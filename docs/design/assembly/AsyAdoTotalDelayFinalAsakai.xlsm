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ing\Production\prod\docs\design\assembly\"/>
    </mc:Choice>
  </mc:AlternateContent>
  <bookViews>
    <workbookView xWindow="0" yWindow="0" windowWidth="28800" windowHeight="11805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5" l="1"/>
  <c r="F16" i="5"/>
  <c r="E17" i="5"/>
  <c r="F17" i="5"/>
  <c r="H17" i="5" s="1"/>
  <c r="E18" i="5"/>
  <c r="F18" i="5"/>
  <c r="E19" i="5"/>
  <c r="L19" i="5" s="1"/>
  <c r="F19" i="5"/>
  <c r="E20" i="5"/>
  <c r="F20" i="5"/>
  <c r="E21" i="5"/>
  <c r="H21" i="5" s="1"/>
  <c r="F21" i="5"/>
  <c r="E22" i="5"/>
  <c r="F22" i="5"/>
  <c r="E23" i="5"/>
  <c r="H23" i="5" s="1"/>
  <c r="F23" i="5"/>
  <c r="E24" i="5"/>
  <c r="F24" i="5"/>
  <c r="E25" i="5"/>
  <c r="F25" i="5"/>
  <c r="E26" i="5"/>
  <c r="F26" i="5"/>
  <c r="E27" i="5"/>
  <c r="F27" i="5"/>
  <c r="U19" i="5"/>
  <c r="H19" i="5"/>
  <c r="G19" i="5"/>
  <c r="V19" i="5"/>
  <c r="C19" i="5"/>
  <c r="B19" i="5"/>
  <c r="D19" i="5" s="1"/>
  <c r="H18" i="5"/>
  <c r="C18" i="5"/>
  <c r="C17" i="5"/>
  <c r="U16" i="5"/>
  <c r="C16" i="5"/>
  <c r="B16" i="5"/>
  <c r="D16" i="5" s="1"/>
  <c r="U23" i="5"/>
  <c r="L23" i="5"/>
  <c r="G23" i="5"/>
  <c r="V23" i="5"/>
  <c r="I23" i="5"/>
  <c r="C23" i="5"/>
  <c r="B23" i="5"/>
  <c r="D23" i="5" s="1"/>
  <c r="H22" i="5"/>
  <c r="C22" i="5"/>
  <c r="C21" i="5"/>
  <c r="U20" i="5"/>
  <c r="C20" i="5"/>
  <c r="B20" i="5"/>
  <c r="D20" i="5" s="1"/>
  <c r="I19" i="5" l="1"/>
  <c r="L20" i="5"/>
  <c r="L16" i="5"/>
  <c r="V20" i="5"/>
  <c r="G20" i="5"/>
  <c r="G16" i="5"/>
  <c r="S16" i="5" s="1"/>
  <c r="H20" i="5"/>
  <c r="V21" i="5"/>
  <c r="K23" i="5"/>
  <c r="H16" i="5"/>
  <c r="V17" i="5"/>
  <c r="K19" i="5"/>
  <c r="V16" i="5"/>
  <c r="T16" i="5"/>
  <c r="T19" i="5"/>
  <c r="S19" i="5"/>
  <c r="I18" i="5"/>
  <c r="I17" i="5"/>
  <c r="B18" i="5"/>
  <c r="D18" i="5" s="1"/>
  <c r="K18" i="5"/>
  <c r="U18" i="5"/>
  <c r="I16" i="5"/>
  <c r="B17" i="5"/>
  <c r="D17" i="5" s="1"/>
  <c r="K17" i="5"/>
  <c r="U17" i="5"/>
  <c r="G18" i="5"/>
  <c r="L18" i="5"/>
  <c r="V18" i="5"/>
  <c r="K16" i="5"/>
  <c r="G17" i="5"/>
  <c r="L17" i="5"/>
  <c r="T20" i="5"/>
  <c r="S20" i="5"/>
  <c r="T23" i="5"/>
  <c r="S23" i="5"/>
  <c r="I22" i="5"/>
  <c r="I21" i="5"/>
  <c r="B22" i="5"/>
  <c r="D22" i="5" s="1"/>
  <c r="K22" i="5"/>
  <c r="U22" i="5"/>
  <c r="I20" i="5"/>
  <c r="B21" i="5"/>
  <c r="D21" i="5" s="1"/>
  <c r="K21" i="5"/>
  <c r="U21" i="5"/>
  <c r="G22" i="5"/>
  <c r="L22" i="5"/>
  <c r="V22" i="5"/>
  <c r="K20" i="5"/>
  <c r="G21" i="5"/>
  <c r="L21" i="5"/>
  <c r="L17" i="1"/>
  <c r="G17" i="1"/>
  <c r="E17" i="1"/>
  <c r="H17" i="1" s="1"/>
  <c r="D17" i="1"/>
  <c r="V17" i="1" s="1"/>
  <c r="G16" i="1"/>
  <c r="E16" i="1"/>
  <c r="H16" i="1" s="1"/>
  <c r="D16" i="1"/>
  <c r="T16" i="1" s="1"/>
  <c r="L15" i="1"/>
  <c r="G15" i="1"/>
  <c r="E15" i="1"/>
  <c r="H15" i="1" s="1"/>
  <c r="D15" i="1"/>
  <c r="V15" i="1" s="1"/>
  <c r="L14" i="1"/>
  <c r="G14" i="1"/>
  <c r="E14" i="1"/>
  <c r="H14" i="1" s="1"/>
  <c r="D14" i="1"/>
  <c r="T14" i="1" s="1"/>
  <c r="L13" i="1"/>
  <c r="G13" i="1"/>
  <c r="E13" i="1"/>
  <c r="H13" i="1" s="1"/>
  <c r="D13" i="1"/>
  <c r="V13" i="1" s="1"/>
  <c r="G12" i="1"/>
  <c r="E12" i="1"/>
  <c r="H12" i="1" s="1"/>
  <c r="D12" i="1"/>
  <c r="T12" i="1" s="1"/>
  <c r="L11" i="1"/>
  <c r="G11" i="1"/>
  <c r="E11" i="1"/>
  <c r="H11" i="1" s="1"/>
  <c r="D11" i="1"/>
  <c r="V11" i="1" s="1"/>
  <c r="G10" i="1"/>
  <c r="E10" i="1"/>
  <c r="H10" i="1" s="1"/>
  <c r="D10" i="1"/>
  <c r="T10" i="1" s="1"/>
  <c r="G21" i="1"/>
  <c r="E21" i="1"/>
  <c r="H21" i="1" s="1"/>
  <c r="D21" i="1"/>
  <c r="V21" i="1" s="1"/>
  <c r="G20" i="1"/>
  <c r="E20" i="1"/>
  <c r="H20" i="1" s="1"/>
  <c r="D20" i="1"/>
  <c r="V20" i="1" s="1"/>
  <c r="L19" i="1"/>
  <c r="G19" i="1"/>
  <c r="E19" i="1"/>
  <c r="H19" i="1" s="1"/>
  <c r="D19" i="1"/>
  <c r="V19" i="1" s="1"/>
  <c r="L18" i="1"/>
  <c r="G18" i="1"/>
  <c r="E18" i="1"/>
  <c r="H18" i="1" s="1"/>
  <c r="M18" i="1" s="1"/>
  <c r="D18" i="1"/>
  <c r="P18" i="1" s="1"/>
  <c r="S18" i="5" l="1"/>
  <c r="T18" i="5"/>
  <c r="T17" i="5"/>
  <c r="S17" i="5"/>
  <c r="T21" i="5"/>
  <c r="S21" i="5"/>
  <c r="S22" i="5"/>
  <c r="T22" i="5"/>
  <c r="M20" i="1"/>
  <c r="P20" i="1"/>
  <c r="T18" i="1"/>
  <c r="P11" i="1"/>
  <c r="P13" i="1"/>
  <c r="P17" i="1"/>
  <c r="T20" i="1"/>
  <c r="M10" i="1"/>
  <c r="I10" i="1"/>
  <c r="W10" i="1"/>
  <c r="O10" i="1"/>
  <c r="W11" i="1"/>
  <c r="O11" i="1"/>
  <c r="J11" i="1"/>
  <c r="N11" i="1"/>
  <c r="I11" i="1"/>
  <c r="M11" i="1"/>
  <c r="W13" i="1"/>
  <c r="O13" i="1"/>
  <c r="J13" i="1"/>
  <c r="N13" i="1"/>
  <c r="I13" i="1"/>
  <c r="M13" i="1"/>
  <c r="W17" i="1"/>
  <c r="O17" i="1"/>
  <c r="J17" i="1"/>
  <c r="N17" i="1"/>
  <c r="I17" i="1"/>
  <c r="M17" i="1"/>
  <c r="M12" i="1"/>
  <c r="I12" i="1"/>
  <c r="W12" i="1"/>
  <c r="O12" i="1"/>
  <c r="J12" i="1"/>
  <c r="N12" i="1"/>
  <c r="M14" i="1"/>
  <c r="W14" i="1"/>
  <c r="O14" i="1"/>
  <c r="J14" i="1"/>
  <c r="N14" i="1"/>
  <c r="I14" i="1"/>
  <c r="W15" i="1"/>
  <c r="O15" i="1"/>
  <c r="J15" i="1"/>
  <c r="I15" i="1"/>
  <c r="N15" i="1"/>
  <c r="M15" i="1"/>
  <c r="M16" i="1"/>
  <c r="W16" i="1"/>
  <c r="O16" i="1"/>
  <c r="J16" i="1"/>
  <c r="N16" i="1"/>
  <c r="I16" i="1"/>
  <c r="V12" i="1"/>
  <c r="V14" i="1"/>
  <c r="P15" i="1"/>
  <c r="V16" i="1"/>
  <c r="T11" i="1"/>
  <c r="T13" i="1"/>
  <c r="T15" i="1"/>
  <c r="T17" i="1"/>
  <c r="P16" i="1"/>
  <c r="V10" i="1"/>
  <c r="P10" i="1"/>
  <c r="P12" i="1"/>
  <c r="P14" i="1"/>
  <c r="W21" i="1"/>
  <c r="O21" i="1"/>
  <c r="J21" i="1"/>
  <c r="N21" i="1"/>
  <c r="I21" i="1"/>
  <c r="M21" i="1"/>
  <c r="N19" i="1"/>
  <c r="I19" i="1"/>
  <c r="M19" i="1"/>
  <c r="W19" i="1"/>
  <c r="O19" i="1"/>
  <c r="J19" i="1"/>
  <c r="I18" i="1"/>
  <c r="N18" i="1"/>
  <c r="V18" i="1"/>
  <c r="P19" i="1"/>
  <c r="I20" i="1"/>
  <c r="N20" i="1"/>
  <c r="P21" i="1"/>
  <c r="J18" i="1"/>
  <c r="O18" i="1"/>
  <c r="W18" i="1"/>
  <c r="T19" i="1"/>
  <c r="J20" i="1"/>
  <c r="O20" i="1"/>
  <c r="W20" i="1"/>
  <c r="T21" i="1"/>
  <c r="W3" i="1" l="1"/>
  <c r="V3" i="1"/>
  <c r="B2" i="5" l="1"/>
  <c r="B3" i="5" s="1"/>
  <c r="C27" i="5"/>
  <c r="B26" i="5"/>
  <c r="D26" i="5" s="1"/>
  <c r="T26" i="5" l="1"/>
  <c r="C26" i="5"/>
  <c r="B27" i="5"/>
  <c r="D27" i="5" s="1"/>
  <c r="B6" i="5"/>
  <c r="L26" i="5" l="1"/>
  <c r="K26" i="5"/>
  <c r="H26" i="5"/>
  <c r="I26" i="5"/>
  <c r="L27" i="5"/>
  <c r="I27" i="5"/>
  <c r="H27" i="5"/>
  <c r="K27" i="5"/>
  <c r="G27" i="5"/>
  <c r="S27" i="5" s="1"/>
  <c r="U27" i="5"/>
  <c r="V27" i="5"/>
  <c r="G26" i="5"/>
  <c r="S26" i="5" s="1"/>
  <c r="U26" i="5"/>
  <c r="V26" i="5"/>
  <c r="T27" i="5"/>
  <c r="U7" i="1" l="1"/>
  <c r="B7" i="5" l="1"/>
  <c r="Q3" i="1" l="1"/>
  <c r="O7" i="1" s="1"/>
  <c r="T3" i="1"/>
  <c r="F3" i="1"/>
  <c r="B4" i="5" l="1"/>
  <c r="N7" i="1"/>
  <c r="E38" i="3" s="1"/>
  <c r="K7" i="1"/>
  <c r="H6" i="1"/>
  <c r="R10" i="5" l="1"/>
  <c r="M45" i="3" s="1"/>
  <c r="N38" i="3" l="1"/>
  <c r="B8" i="5"/>
  <c r="B5" i="5"/>
  <c r="D9" i="1"/>
  <c r="V9" i="1" l="1"/>
  <c r="T9" i="1"/>
  <c r="P10" i="5"/>
  <c r="K45" i="3" s="1"/>
  <c r="Q10" i="5"/>
  <c r="L45" i="3" s="1"/>
  <c r="B43" i="3"/>
  <c r="C43" i="3" s="1"/>
  <c r="M14" i="5"/>
  <c r="H44" i="3" s="1"/>
  <c r="L14" i="5"/>
  <c r="G44" i="3" s="1"/>
  <c r="K14" i="5"/>
  <c r="F44" i="3" s="1"/>
  <c r="L44" i="3"/>
  <c r="K44" i="3"/>
  <c r="O14" i="5"/>
  <c r="J44" i="3" s="1"/>
  <c r="N14" i="5"/>
  <c r="I44" i="3" s="1"/>
  <c r="J14" i="5"/>
  <c r="E44" i="3" s="1"/>
  <c r="I14" i="5"/>
  <c r="D44" i="3" s="1"/>
  <c r="H14" i="5"/>
  <c r="C44" i="3" s="1"/>
  <c r="O10" i="5"/>
  <c r="J45" i="3" s="1"/>
  <c r="N10" i="5"/>
  <c r="I45" i="3" s="1"/>
  <c r="M10" i="5"/>
  <c r="H45" i="3" s="1"/>
  <c r="J10" i="5"/>
  <c r="E45" i="3" s="1"/>
  <c r="V23" i="1"/>
  <c r="N3" i="1" l="1"/>
  <c r="M3" i="1"/>
  <c r="O3" i="1"/>
  <c r="C15" i="5" l="1"/>
  <c r="B15" i="5"/>
  <c r="D15" i="5" s="1"/>
  <c r="V12" i="5" l="1"/>
  <c r="K12" i="5"/>
  <c r="U12" i="5"/>
  <c r="S12" i="5"/>
  <c r="L12" i="5"/>
  <c r="H12" i="5"/>
  <c r="T12" i="5"/>
  <c r="I12" i="5"/>
  <c r="T15" i="5"/>
  <c r="C25" i="5"/>
  <c r="B25" i="5"/>
  <c r="D25" i="5" s="1"/>
  <c r="C24" i="5"/>
  <c r="B24" i="5"/>
  <c r="D24" i="5" s="1"/>
  <c r="T24" i="5" s="1"/>
  <c r="T25" i="5" l="1"/>
  <c r="R3" i="1"/>
  <c r="D1" i="1"/>
  <c r="F6" i="1"/>
  <c r="T13" i="5"/>
  <c r="G9" i="1" l="1"/>
  <c r="F15" i="5" s="1"/>
  <c r="E9" i="1"/>
  <c r="H9" i="1" s="1"/>
  <c r="P9" i="1"/>
  <c r="T23" i="1"/>
  <c r="O9" i="1" l="1"/>
  <c r="M9" i="1"/>
  <c r="E15" i="5"/>
  <c r="W9" i="1"/>
  <c r="T7" i="1"/>
  <c r="I9" i="1"/>
  <c r="W23" i="1"/>
  <c r="L15" i="5" l="1"/>
  <c r="K15" i="5"/>
  <c r="I15" i="5"/>
  <c r="H15" i="5"/>
  <c r="L24" i="5"/>
  <c r="H24" i="5"/>
  <c r="K24" i="5"/>
  <c r="I24" i="5"/>
  <c r="L25" i="5"/>
  <c r="K25" i="5"/>
  <c r="H25" i="5"/>
  <c r="I25" i="5"/>
  <c r="G24" i="5"/>
  <c r="S24" i="5" s="1"/>
  <c r="U24" i="5"/>
  <c r="V24" i="5"/>
  <c r="G15" i="5"/>
  <c r="S15" i="5" s="1"/>
  <c r="V15" i="5"/>
  <c r="U15" i="5"/>
  <c r="G25" i="5"/>
  <c r="S25" i="5" s="1"/>
  <c r="U25" i="5"/>
  <c r="V25" i="5"/>
  <c r="G6" i="1"/>
  <c r="H13" i="5"/>
  <c r="L13" i="5"/>
  <c r="I13" i="5"/>
  <c r="U13" i="5"/>
  <c r="K13" i="5"/>
  <c r="S13" i="5"/>
  <c r="V13" i="5"/>
  <c r="K10" i="5" l="1"/>
  <c r="F45" i="3" s="1"/>
  <c r="I10" i="5"/>
  <c r="D45" i="3" s="1"/>
  <c r="H10" i="5"/>
  <c r="C45" i="3" s="1"/>
  <c r="L10" i="5"/>
  <c r="G45" i="3" s="1"/>
  <c r="L38" i="3"/>
  <c r="D38" i="3"/>
  <c r="D6" i="1"/>
  <c r="B6" i="1" l="1"/>
  <c r="L3" i="1"/>
  <c r="J3" i="1"/>
  <c r="H3" i="1"/>
  <c r="C6" i="1" l="1"/>
  <c r="P7" i="1" s="1"/>
  <c r="S3" i="1"/>
  <c r="S7" i="1" s="1"/>
  <c r="E6" i="1"/>
  <c r="F38" i="3"/>
  <c r="I3" i="1" l="1"/>
  <c r="B7" i="1"/>
  <c r="L10" i="1" l="1"/>
  <c r="L21" i="1"/>
  <c r="L16" i="1"/>
  <c r="L12" i="1"/>
  <c r="L20" i="1"/>
  <c r="N10" i="1"/>
  <c r="J10" i="1"/>
  <c r="N9" i="1"/>
  <c r="L9" i="1"/>
  <c r="J9" i="1"/>
  <c r="C7" i="1"/>
  <c r="J23" i="1"/>
  <c r="N23" i="1"/>
  <c r="I23" i="1"/>
  <c r="P23" i="1"/>
  <c r="O23" i="1"/>
  <c r="Q7" i="1" l="1"/>
  <c r="M38" i="3" s="1"/>
  <c r="L7" i="1"/>
  <c r="G38" i="3" s="1"/>
  <c r="K38" i="3"/>
  <c r="J38" i="3"/>
  <c r="K23" i="1"/>
  <c r="M23" i="1"/>
  <c r="R7" i="1" l="1"/>
  <c r="I38" i="3" s="1"/>
  <c r="M7" i="1"/>
  <c r="H38" i="3" s="1"/>
  <c r="J7" i="1"/>
  <c r="C3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</t>
        </r>
      </text>
    </comment>
    <comment ref="D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E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Core Authorization</t>
        </r>
      </text>
    </comment>
    <comment ref="F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EF Core</t>
        </r>
      </text>
    </comment>
    <comment ref="G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H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 Share</t>
        </r>
      </text>
    </comment>
    <comment ref="I37" authorId="1" shapeId="0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 Share</t>
        </r>
      </text>
    </comment>
    <comment ref="J37" authorId="0" shapeId="0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Application Share</t>
        </r>
      </text>
    </comment>
    <comment ref="K37" authorId="1" shapeId="0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
</t>
        </r>
      </text>
    </comment>
    <comment ref="L37" authorId="1" shapeId="0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
</t>
        </r>
      </text>
    </comment>
    <comment ref="M37" authorId="1" shapeId="0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
</t>
        </r>
      </text>
    </comment>
    <comment ref="N37" authorId="1" shapeId="0">
      <text>
        <r>
          <rPr>
            <b/>
            <sz val="9"/>
            <color indexed="81"/>
            <rFont val="Tahoma"/>
            <charset val="1"/>
          </rPr>
          <t>Quang Trung:</t>
        </r>
        <r>
          <rPr>
            <sz val="9"/>
            <color indexed="81"/>
            <rFont val="Tahoma"/>
            <charset val="1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<sst xmlns="http://schemas.openxmlformats.org/spreadsheetml/2006/main" count="381" uniqueCount="294">
  <si>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</si>
  <si>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</si>
  <si>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</si>
  <si>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</si>
  <si>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</si>
  <si>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</si>
  <si>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</si>
  <si>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</si>
  <si>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</si>
  <si>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</si>
  <si>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</si>
  <si>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</si>
  <si>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</si>
  <si>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</si>
  <si>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</si>
  <si>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</si>
  <si>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</si>
  <si>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</si>
  <si>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</si>
  <si>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</si>
  <si>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</si>
  <si>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</si>
  <si>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</si>
  <si>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</si>
  <si>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</si>
  <si>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</si>
  <si>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</si>
  <si>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</si>
  <si>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</si>
  <si>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</si>
  <si>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</si>
  <si>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</si>
  <si>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</si>
  <si>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</si>
  <si>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</si>
  <si>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</si>
  <si>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</si>
  <si>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</si>
  <si>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</si>
  <si>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</si>
  <si>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</si>
  <si>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</si>
  <si>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</si>
  <si>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</si>
  <si>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</si>
  <si>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</si>
  <si>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</si>
  <si>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</si>
  <si>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</si>
  <si>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</si>
  <si>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</si>
  <si>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</si>
  <si>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</si>
  <si>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</si>
  <si>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</si>
  <si>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</si>
  <si>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</si>
  <si>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</si>
  <si>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</si>
  <si>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</si>
  <si>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</si>
  <si>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</si>
  <si>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</si>
  <si>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</si>
  <si>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</si>
  <si>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</si>
  <si>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</si>
  <si>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</si>
  <si>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</si>
  <si>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</si>
  <si>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</si>
  <si>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</si>
  <si>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</si>
  <si>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</si>
  <si>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</si>
  <si>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</si>
  <si>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</si>
  <si>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</si>
  <si>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</si>
  <si>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</si>
  <si>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Unchecked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</si>
  <si>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</si>
  <si>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</si>
  <si>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</si>
  <si>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</si>
  <si>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</si>
  <si>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</si>
  <si>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</si>
  <si>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</si>
  <si>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</si>
  <si>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</si>
  <si>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</si>
  <si>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</si>
  <si>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</si>
  <si>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</si>
  <si>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</si>
  <si>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</si>
  <si>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</si>
  <si>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</si>
  <si>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</si>
  <si>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</si>
  <si>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</si>
  <si>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</si>
  <si>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</si>
  <si>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</si>
  <si>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</si>
  <si>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</si>
  <si>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</si>
  <si>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</si>
  <si>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</si>
  <si>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</si>
  <si>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</si>
  <si>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</si>
  <si>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</si>
  <si>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</si>
  <si>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</si>
  <si>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</si>
  <si>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</si>
  <si>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</si>
  <si>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</si>
  <si>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</si>
  <si>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</si>
  <si>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</si>
  <si>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</si>
  <si>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</si>
  <si>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</si>
  <si>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</si>
  <si>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</si>
  <si>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</si>
  <si>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</si>
  <si>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</si>
  <si>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</si>
  <si>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</si>
  <si>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</si>
  <si>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</si>
  <si>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</si>
  <si>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</si>
  <si>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</si>
  <si>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</si>
  <si>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</si>
  <si>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</si>
  <si>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</si>
  <si>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</si>
  <si>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</si>
  <si>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</si>
  <si>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</si>
  <si>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</si>
  <si>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</si>
  <si>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</si>
  <si>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</si>
  <si>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</si>
  <si>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</si>
  <si>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</si>
  <si>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</si>
  <si>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</si>
  <si>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</si>
  <si>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</si>
  <si>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</si>
  <si>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</si>
  <si>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</si>
  <si>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</si>
  <si>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</si>
  <si>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</si>
  <si>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</si>
  <si>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</si>
  <si>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</si>
  <si>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</si>
  <si>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</si>
  <si>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</si>
  <si>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</si>
  <si>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</si>
  <si>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</si>
  <si>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</si>
  <si>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</si>
  <si>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</si>
  <si>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</si>
  <si>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</si>
  <si>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</si>
  <si>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</si>
  <si>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</si>
  <si>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</si>
  <si>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</si>
  <si>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</si>
  <si>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</si>
  <si>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</si>
  <si>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</si>
  <si>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</si>
  <si>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</si>
  <si>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</si>
  <si>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</si>
  <si>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</si>
  <si>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</si>
  <si>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</si>
  <si>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</si>
  <si>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</si>
  <si>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</si>
  <si>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</si>
  <si>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</si>
  <si>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</si>
  <si>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</si>
  <si>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</si>
  <si>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</si>
  <si>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</si>
  <si>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</si>
  <si>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</si>
  <si>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</si>
  <si>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</si>
  <si>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</si>
  <si>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</si>
  <si>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</si>
  <si>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</si>
  <si>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</si>
  <si>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</si>
  <si>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</si>
  <si>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</si>
  <si>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</si>
  <si>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</si>
  <si>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</si>
  <si>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</si>
  <si>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</si>
  <si>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</si>
  <si>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</si>
  <si>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</si>
  <si>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</si>
  <si>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</si>
  <si>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</si>
  <si>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</si>
  <si>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</si>
  <si>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</si>
  <si>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</si>
  <si>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</si>
  <si>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</si>
  <si>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</si>
  <si>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</si>
  <si>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</si>
  <si>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</si>
  <si>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</si>
  <si>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</si>
  <si>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</si>
  <si>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</si>
  <si>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</si>
  <si>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</si>
  <si>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</si>
  <si>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</si>
  <si>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</si>
  <si>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</si>
  <si>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</si>
  <si>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</si>
  <si>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</si>
  <si>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datetime2(7)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</si>
  <si>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</si>
  <si>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</si>
  <si>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</si>
  <si>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</si>
  <si>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</si>
  <si>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</si>
  <si>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</si>
  <si>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</si>
  <si>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</si>
  <si>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</si>
  <si>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</si>
  <si>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</si>
  <si>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</si>
  <si>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</si>
  <si>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</si>
  <si>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</si>
  <si>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</si>
  <si>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</si>
  <si>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</si>
  <si>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</si>
  <si>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</si>
  <si>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</si>
  <si>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</si>
  <si>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BODY_NO</t>
  </si>
  <si>
    <t>nvarchar(10)</t>
  </si>
  <si>
    <t>LOT_NO</t>
  </si>
  <si>
    <t>nvarchar(20)</t>
  </si>
  <si>
    <t>COLOR</t>
  </si>
  <si>
    <t>TOTAL_DELAY_LEAD_TIME</t>
  </si>
  <si>
    <t>DISPATCH_PLAN_DATETIME</t>
  </si>
  <si>
    <t>CURR_LOCATION</t>
  </si>
  <si>
    <t>nvarchar(255)</t>
  </si>
  <si>
    <t>LOCATION</t>
  </si>
  <si>
    <t>W_DELAY_WITH_LEAD_TIME</t>
  </si>
  <si>
    <t>T_DELAY_WITH_LEAD_TIME</t>
  </si>
  <si>
    <t>A_DELAY_WITH_LEAD_TIME</t>
  </si>
  <si>
    <t>I_DELAY_WITH_LEAD_TIME</t>
  </si>
  <si>
    <t>F_OUT_DELAY</t>
  </si>
  <si>
    <t>DELAY_FLAG</t>
  </si>
  <si>
    <t>varchar(1)</t>
  </si>
  <si>
    <t>Assy.Andon</t>
  </si>
  <si>
    <t>AsyAdoTotalDelayFinalAsakai</t>
  </si>
  <si>
    <t>Assy</t>
  </si>
  <si>
    <t>TotalDelayFinalAsakai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</si>
</sst>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7" fillId="9" borderId="0" xfId="0" applyFont="1" applyFill="1"/>
    <xf numFmtId="0" fontId="0" fillId="8" borderId="0" xfId="0" applyFill="1" applyBorder="1" applyAlignment="1">
      <alignment wrapText="1"/>
    </xf>
    <xf numFmtId="0" fontId="18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5" fillId="0" borderId="3" xfId="0" applyFont="1" applyBorder="1" applyAlignment="1">
      <alignment horizontal="center"/>
    </xf>
    <xf numFmtId="0" fontId="16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47"/>
  <sheetViews>
    <sheetView tabSelected="1" topLeftCell="A21" workbookViewId="0">
      <selection activeCell="E33" sqref="E33"/>
    </sheetView>
  </sheetViews>
  <sheetFormatPr defaultRowHeight="15" x14ac:dyDescent="0.25"/>
  <cols>
    <col min="1" max="1" width="3.5703125" customWidth="1"/>
    <col min="2" max="2" width="18.5703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5703125" customWidth="1"/>
    <col min="14" max="18" width="18.5703125" customWidth="1"/>
  </cols>
  <sheetData>
    <row r="1" spans="1:6" ht="23.25" x14ac:dyDescent="0.35">
      <c r="A1" s="15" t="s">
        <v>74</v>
      </c>
    </row>
    <row r="2" spans="1:6" ht="15.75" x14ac:dyDescent="0.25">
      <c r="A2" s="1"/>
      <c r="B2" s="27" t="s">
        <v>197</v>
      </c>
    </row>
    <row r="3" spans="1:6" x14ac:dyDescent="0.25">
      <c r="A3" s="1"/>
      <c r="B3" s="1" t="s">
        <v>77</v>
      </c>
    </row>
    <row r="4" spans="1:6" x14ac:dyDescent="0.25">
      <c r="A4" s="1"/>
      <c r="B4" s="17" t="s">
        <v>76</v>
      </c>
    </row>
    <row r="5" spans="1:6" x14ac:dyDescent="0.25">
      <c r="A5" s="1"/>
      <c r="B5" s="17" t="s">
        <v>79</v>
      </c>
    </row>
    <row r="6" spans="1:6" x14ac:dyDescent="0.25">
      <c r="A6" s="1"/>
      <c r="B6" s="17" t="s">
        <v>88</v>
      </c>
    </row>
    <row r="7" spans="1:6" x14ac:dyDescent="0.25">
      <c r="A7" s="1"/>
      <c r="B7" s="17"/>
      <c r="C7" s="2" t="s">
        <v>98</v>
      </c>
      <c r="D7" s="2"/>
      <c r="E7" s="2"/>
      <c r="F7" s="2" t="s">
        <v>106</v>
      </c>
    </row>
    <row r="8" spans="1:6" x14ac:dyDescent="0.25">
      <c r="A8" s="1"/>
      <c r="B8" s="17"/>
      <c r="C8" t="s">
        <v>90</v>
      </c>
      <c r="F8" s="1" t="s">
        <v>235</v>
      </c>
    </row>
    <row r="9" spans="1:6" x14ac:dyDescent="0.25">
      <c r="A9" s="1"/>
      <c r="B9" s="17"/>
      <c r="C9" t="s">
        <v>89</v>
      </c>
      <c r="F9" s="1" t="s">
        <v>99</v>
      </c>
    </row>
    <row r="10" spans="1:6" x14ac:dyDescent="0.25">
      <c r="A10" s="1"/>
      <c r="B10" s="17"/>
      <c r="D10" t="s">
        <v>90</v>
      </c>
      <c r="F10" s="1" t="s">
        <v>235</v>
      </c>
    </row>
    <row r="11" spans="1:6" x14ac:dyDescent="0.25">
      <c r="A11" s="1"/>
      <c r="B11" s="17"/>
      <c r="D11" t="s">
        <v>91</v>
      </c>
      <c r="F11" s="1" t="s">
        <v>100</v>
      </c>
    </row>
    <row r="12" spans="1:6" x14ac:dyDescent="0.25">
      <c r="A12" s="1"/>
      <c r="B12" s="17"/>
      <c r="D12" t="s">
        <v>92</v>
      </c>
      <c r="F12" s="1" t="s">
        <v>101</v>
      </c>
    </row>
    <row r="13" spans="1:6" x14ac:dyDescent="0.25">
      <c r="A13" s="1"/>
      <c r="B13" s="17"/>
      <c r="D13" t="s">
        <v>93</v>
      </c>
      <c r="F13" s="1" t="s">
        <v>102</v>
      </c>
    </row>
    <row r="14" spans="1:6" x14ac:dyDescent="0.25">
      <c r="A14" s="1"/>
      <c r="B14" s="17"/>
      <c r="D14" t="s">
        <v>94</v>
      </c>
      <c r="F14" s="1" t="s">
        <v>103</v>
      </c>
    </row>
    <row r="15" spans="1:6" x14ac:dyDescent="0.25">
      <c r="A15" s="1"/>
      <c r="B15" s="17"/>
      <c r="D15" t="s">
        <v>95</v>
      </c>
      <c r="F15" s="1" t="s">
        <v>104</v>
      </c>
    </row>
    <row r="16" spans="1:6" x14ac:dyDescent="0.25">
      <c r="A16" s="1"/>
      <c r="B16" s="17"/>
      <c r="C16" t="s">
        <v>92</v>
      </c>
      <c r="F16" s="1" t="s">
        <v>101</v>
      </c>
    </row>
    <row r="17" spans="1:6" x14ac:dyDescent="0.25">
      <c r="A17" s="1"/>
      <c r="B17" s="17"/>
      <c r="D17" t="s">
        <v>96</v>
      </c>
      <c r="F17" s="1" t="s">
        <v>115</v>
      </c>
    </row>
    <row r="18" spans="1:6" x14ac:dyDescent="0.25">
      <c r="A18" s="1"/>
      <c r="B18" s="17"/>
      <c r="D18" t="s">
        <v>97</v>
      </c>
      <c r="F18" s="1" t="s">
        <v>105</v>
      </c>
    </row>
    <row r="19" spans="1:6" x14ac:dyDescent="0.25">
      <c r="A19" s="1"/>
      <c r="B19" s="17"/>
      <c r="C19" t="s">
        <v>93</v>
      </c>
      <c r="F19" s="1" t="s">
        <v>102</v>
      </c>
    </row>
    <row r="20" spans="1:6" x14ac:dyDescent="0.25">
      <c r="A20" s="1"/>
      <c r="B20" s="17"/>
      <c r="C20" t="s">
        <v>94</v>
      </c>
      <c r="F20" s="1" t="s">
        <v>103</v>
      </c>
    </row>
    <row r="21" spans="1:6" x14ac:dyDescent="0.25">
      <c r="A21" s="1"/>
      <c r="B21" s="17"/>
    </row>
    <row r="22" spans="1:6" x14ac:dyDescent="0.25">
      <c r="A22" s="1"/>
      <c r="B22" s="17" t="s">
        <v>87</v>
      </c>
    </row>
    <row r="23" spans="1:6" x14ac:dyDescent="0.25">
      <c r="A23" s="1"/>
      <c r="B23" s="17" t="s">
        <v>84</v>
      </c>
    </row>
    <row r="24" spans="1:6" x14ac:dyDescent="0.25">
      <c r="A24" s="1"/>
      <c r="B24" s="17"/>
      <c r="C24" s="19" t="s">
        <v>81</v>
      </c>
    </row>
    <row r="25" spans="1:6" x14ac:dyDescent="0.25">
      <c r="A25" s="1"/>
      <c r="B25" s="17"/>
      <c r="C25" s="18" t="s">
        <v>82</v>
      </c>
    </row>
    <row r="26" spans="1:6" x14ac:dyDescent="0.25">
      <c r="A26" s="1"/>
      <c r="B26" s="17"/>
      <c r="C26" s="18" t="s">
        <v>83</v>
      </c>
    </row>
    <row r="27" spans="1:6" x14ac:dyDescent="0.25">
      <c r="A27" s="1"/>
      <c r="B27" s="17" t="s">
        <v>107</v>
      </c>
      <c r="C27" s="18"/>
    </row>
    <row r="28" spans="1:6" x14ac:dyDescent="0.25">
      <c r="A28" s="1"/>
      <c r="B28" s="17"/>
      <c r="C28" s="18" t="s">
        <v>108</v>
      </c>
    </row>
    <row r="29" spans="1:6" x14ac:dyDescent="0.25">
      <c r="A29" s="1"/>
      <c r="B29" s="17"/>
      <c r="C29" s="18" t="s">
        <v>109</v>
      </c>
    </row>
    <row r="30" spans="1:6" x14ac:dyDescent="0.25">
      <c r="A30" s="1"/>
      <c r="B30" s="17"/>
      <c r="C30" s="18" t="s">
        <v>110</v>
      </c>
    </row>
    <row r="31" spans="1:6" x14ac:dyDescent="0.25">
      <c r="A31" s="1"/>
      <c r="B31" s="17"/>
      <c r="C31" s="18" t="s">
        <v>112</v>
      </c>
    </row>
    <row r="32" spans="1:6" x14ac:dyDescent="0.25">
      <c r="A32" s="1"/>
      <c r="B32" s="17"/>
      <c r="C32" s="18" t="s">
        <v>114</v>
      </c>
    </row>
    <row r="33" spans="1:14" x14ac:dyDescent="0.25">
      <c r="A33" s="1"/>
      <c r="B33" s="17"/>
      <c r="C33" s="18" t="s">
        <v>113</v>
      </c>
    </row>
    <row r="34" spans="1:14" x14ac:dyDescent="0.25">
      <c r="A34" s="1"/>
      <c r="B34" s="17"/>
      <c r="C34" s="18" t="s">
        <v>111</v>
      </c>
    </row>
    <row r="35" spans="1:14" ht="21" customHeight="1" x14ac:dyDescent="0.25">
      <c r="B35" s="21" t="s">
        <v>78</v>
      </c>
    </row>
    <row r="36" spans="1:14" ht="21" customHeight="1" x14ac:dyDescent="0.25">
      <c r="B36" s="63" t="s">
        <v>232</v>
      </c>
    </row>
    <row r="37" spans="1:14" ht="15.75" thickBot="1" x14ac:dyDescent="0.3">
      <c r="C37" s="1" t="s">
        <v>72</v>
      </c>
      <c r="D37" s="1" t="s">
        <v>208</v>
      </c>
      <c r="E37" s="1" t="s">
        <v>209</v>
      </c>
      <c r="F37" s="1" t="s">
        <v>199</v>
      </c>
      <c r="G37" s="1" t="s">
        <v>200</v>
      </c>
      <c r="H37" s="1" t="s">
        <v>201</v>
      </c>
      <c r="I37" s="1" t="s">
        <v>202</v>
      </c>
      <c r="J37" s="1" t="s">
        <v>206</v>
      </c>
      <c r="K37" s="1" t="s">
        <v>210</v>
      </c>
      <c r="L37" s="1" t="s">
        <v>211</v>
      </c>
      <c r="M37" s="1" t="s">
        <v>212</v>
      </c>
      <c r="N37" s="1" t="s">
        <v>228</v>
      </c>
    </row>
    <row r="38" spans="1:14" s="16" customFormat="1" ht="21.75" customHeight="1" thickBot="1" x14ac:dyDescent="0.3">
      <c r="B38" s="52" t="s">
        <v>227</v>
      </c>
      <c r="C38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vovina.Assy.Andon
{
	[Table("AsyAdoTotalDelayFinalAsakai")]
	[Index(nameof(BodyNo), Name="IX_AsyAdoTotalDelayFinalAsakai_BodyNo")]
	[Index(nameof(LotNo), Name="IX_AsyAdoTotalDelayFinalAsakai_LotNo")]
	[Index(nameof(DelayFlag), Name="IX_AsyAdoTotalDelayFinalAsakai_DelayFlag")]	public class AsyAdoTotalDelayFinalAsakai: FullAuditedEntity&lt;long&gt;, IEntity&lt;long&gt;	
	{
		public const int MaxBodyNoLength = 10;
		public const int MaxLotNoLength = 20;
		public const int MaxColorLength = 10;
		public const int MaxTotalDelayLeadTimeLength = 10;
		public const int MaxCurrLocationLength = 255;
		public const int MaxLocationLength = 255;
		public const int MaxWDelayWithLeadTimeLength = 255;
		public const int MaxTDelayWithLeadTimeLength = 255;
		public const int MaxADelayWithLeadTimeLength = 255;
		public const int MaxIDelayWithLeadTimeLength = 255;
		public const int MaxFOutDelayLength = 255;
		public const int MaxDelayFlagLength = 1;
		[Required]
		[StringLength(MaxBodyNoLength)]
		public virtual string BodyNo { get; set; }
		[Required]
		[StringLength(MaxLotNoLength)]
		public virtual string LotNo { get; set; }
		[StringLength(MaxColorLength)]
		public virtual string Color { get; set; }
		[StringLength(MaxTotalDelayLeadTimeLength)]
		public virtual string TotalDelayLeadTime { get; set; }
		public virtual DateTime DispatchPlanDatetime { get; set; }
		[StringLength(MaxCurrLocationLength)]
		public virtual string CurrLocation { get; set; }
		[StringLength(MaxLocationLength)]
		public virtual string Location { get; set; }
		[StringLength(MaxWDelayWithLeadTimeLength)]
		public virtual string WDelayWithLeadTime { get; set; }
		[StringLength(MaxTDelayWithLeadTimeLength)]
		public virtual string TDelayWithLeadTime { get; set; }
		[StringLength(MaxADelayWithLeadTimeLength)]
		public virtual string ADelayWithLeadTime { get; set; }
		[StringLength(MaxIDelayWithLeadTimeLength)]
		public virtual string IDelayWithLeadTime { get; set; }
		[StringLength(MaxFOutDelayLength)]
		public virtual string FOutDelay { get; set; }
		[StringLength(MaxDelayFlagLength)]
		public virtual string DelayFlag { get; set; }
	}
}
</v>
      </c>
      <c r="D38" s="51" t="str">
        <f>A.Backend!O7</f>
        <v xml:space="preserve">		public const string Pages_Assy_Andon_TotalDelayFinalAsakai = "Pages.Assy.Andon.TotalDelayFinalAsakai";
		public const string Pages_Assy_Andon_TotalDelayFinalAsakai_CreateEdit = "Pages.Assy.Andon.TotalDelayFinalAsakai.CreateEdit";
		public const string Pages_Assy_Andon_TotalDelayFinalAsakai_Delete = "Pages.Assy.Andon.TotalDelayFinalAsakai.Delete";
</v>
      </c>
      <c r="E38" s="51" t="str">
        <f>A.Backend!N7</f>
        <v xml:space="preserve">		var perAsyAdoTotalDelayFinalAsakai = PARENTS.CreateChildPermission(AppPermissions.Pages_Assy_Andon_TotalDelayFinalAsakai, L( "AssyAndonTotalDelayFinalAsakai"));
		perAsyAdoTotalDelayFinalAsakai.CreateChildPermission(AppPermissions.Pages_Assy_Andon_TotalDelayFinalAsakai_CreateEdit, L( "AssyAndonTotalDelayFinalAsakaiCreateEdit"));
		perAsyAdoTotalDelayFinalAsakai.CreateChildPermission(AppPermissions.Pages_Assy_Andon_TotalDelayFinalAsakai_Delete, L( "AssyAndonTotalDelayFinalAsakaiDelete"));</v>
      </c>
      <c r="F38" s="51" t="str">
        <f>A.Backend!K7</f>
        <v>public virtual DbSet&lt;AsyAdoTotalDelayFinalAsakai&gt; AsyAdoTotalDelayFinalAsakais { get; set; }</v>
      </c>
      <c r="G38" s="51" t="str">
        <f ca="1">A.Backend!L7</f>
        <v xml:space="preserve">namespace vovina.Assy.Andon
{
	public class AsyAdoTotalDelayFinalAsakaiConsts	
	{
		public const int MaxBodyNoLength = 10;
		public const int MaxLotNoLength = 20;
		public const int MaxColorLength = 10;
		public const int MaxTotalDelayLeadTimeLength = 10;
		public const int MaxCurrLocationLength = 255;
		public const int MaxLocationLength = 255;
		public const int MaxWDelayWithLeadTimeLength = 255;
		public const int MaxTDelayWithLeadTimeLength = 255;
		public const int MaxADelayWithLeadTimeLength = 255;
		public const int MaxIDelayWithLeadTimeLength = 255;
		public const int MaxFOutDelayLength = 255;
		public const int MaxDelayFlagLength = 1;
		// Define Store Name: Format SP_ + &lt;Store Name&gt; = &lt;Store Name&gt;
	}
}
</v>
      </c>
      <c r="H38" s="51" t="str">
        <f ca="1">A.Backend!M7</f>
        <v xml:space="preserve">using Abp.Application.Services.Dto;
using System;
using System.ComponentModel.DataAnnotations;
namespace vovina.Assy.Andon.Dto
{
	public class AsyAdoTotalDelayFinalAsakaiDto : EntityDto&lt;long?&gt;	
	{
		public virtual string BodyNo { get; set; }
		public virtual string LotNo { get; set; }
		public virtual string Color { get; set; }
		public virtual string TotalDelayLeadTime { get; set; }
		public virtual DateTime? DispatchPlanDatetime { get; set; }
		public virtual string CurrLocation { get; set; }
		public virtual string Location { get; set; }
		public virtual string WDelayWithLeadTime { get; set; }
		public virtual string TDelayWithLeadTime { get; set; }
		public virtual string ADelayWithLeadTime { get; set; }
		public virtual string IDelayWithLeadTime { get; set; }
		public virtual string FOutDelay { get; set; }
		public virtual string DelayFlag { get; set; }
	}
	public class CreateOrEditAsyAdoTotalDelayFinalAsakaiDto : EntityDto&lt;long?&gt;	
	{
		[Required]
		[StringLength(AsyAdoTotalDelayFinalAsakaiConsts.MaxBodyNoLength)]
		public virtual string BodyNo { get; set; }
		[Required]
		[StringLength(AsyAdoTotalDelayFinalAsakaiConsts.MaxLotNoLength)]
		public virtual string LotNo { get; set; }
		[StringLength(AsyAdoTotalDelayFinalAsakaiConsts.MaxColorLength)]
		public virtual string Color { get; set; }
		[StringLength(AsyAdoTotalDelayFinalAsakaiConsts.MaxTotalDelayLeadTimeLength)]
		public virtual string TotalDelayLeadTime { get; set; }
		public virtual DateTime? DispatchPlanDatetime { get; set; }
		[StringLength(AsyAdoTotalDelayFinalAsakaiConsts.MaxCurrLocationLength)]
		public virtual string CurrLocation { get; set; }
		[StringLength(AsyAdoTotalDelayFinalAsakaiConsts.MaxLocationLength)]
		public virtual string Location { get; set; }
		[StringLength(AsyAdoTotalDelayFinalAsakaiConsts.MaxWDelayWithLeadTimeLength)]
		public virtual string WDelayWithLeadTime { get; set; }
		[StringLength(AsyAdoTotalDelayFinalAsakaiConsts.MaxTDelayWithLeadTimeLength)]
		public virtual string TDelayWithLeadTime { get; set; }
		[StringLength(AsyAdoTotalDelayFinalAsakaiConsts.MaxADelayWithLeadTimeLength)]
		public virtual string ADelayWithLeadTime { get; set; }
		[StringLength(AsyAdoTotalDelayFinalAsakaiConsts.MaxIDelayWithLeadTimeLength)]
		public virtual string IDelayWithLeadTime { get; set; }
		[StringLength(AsyAdoTotalDelayFinalAsakaiConsts.MaxFOutDelayLength)]
		public virtual string FOutDelay { get; set; }
		[StringLength(AsyAdoTotalDelayFinalAsakaiConsts.MaxDelayFlagLength)]
		public virtual string DelayFlag { get; set; }
	}
	public class GetAsyAdoTotalDelayFinalAsakaiInput : PagedAndSortedResultRequestDto	
	{
		public virtual string BodyNo { get; set; }
		public virtual string LotNo { get; set; }
		public virtual string Color { get; set; }
		public virtual string TotalDelayLeadTime { get; set; }
		public virtual DateTime? DispatchPlanDatetime { get; set; }
		public virtual string CurrLocation { get; set; }
		public virtual string Location { get; set; }
		public virtual string WDelayWithLeadTime { get; set; }
		public virtual string TDelayWithLeadTime { get; set; }
		public virtual string ADelayWithLeadTime { get; set; }
		public virtual string IDelayWithLeadTime { get; set; }
		public virtual string FOutDelay { get; set; }
		public virtual string DelayFlag { get; set; }
	}
}
</v>
      </c>
      <c r="I38" s="51" t="str">
        <f ca="1">A.Backend!R7</f>
        <v xml:space="preserve">using Abp.Application.Services.Dto;
using System;
using System.ComponentModel.DataAnnotations;
namespace vovina.Assy.Andon.Dto
{
	public class AsyAdoTotalDelayFinalAsakaiExportInput{
		public virtual string BodyNo { get; set; }
		public virtual string LotNo { get; set; }
		public virtual string Color { get; set; }
		public virtual string TotalDelayLeadTime { get; set; }
		public virtual DateTime? DispatchPlanDatetime { get; set; }
		public virtual string CurrLocation { get; set; }
		public virtual string Location { get; set; }
		public virtual string WDelayWithLeadTime { get; set; }
		public virtual string TDelayWithLeadTime { get; set; }
		public virtual string ADelayWithLeadTime { get; set; }
		public virtual string IDelayWithLeadTime { get; set; }
		public virtual string FOutDelay { get; set; }
		public virtual string DelayFlag { get; set; }
	}
}
</v>
      </c>
      <c r="J38" s="51" t="str">
        <f>A.Backend!P7</f>
        <v xml:space="preserve">using Abp.Application.Services;
using Abp.Application.Services.Dto;
using System.Collections.Generic;using vovina.Dto;
using System.Threading.Tasks;
using vovina.Assy.Andon.Dto;
namespace vovina.Assy.Andon
{
	public interface IAsyAdoTotalDelayFinalAsakaiAppService : IApplicationService
	{
		Task&lt;PagedResultDto&lt;AsyAdoTotalDelayFinalAsakaiDto&gt;&gt; GetAll(GetAsyAdoTotalDelayFinalAsakaiInput input);
		Task CreateOrEdit(CreateOrEditAsyAdoTotalDelayFinalAsakaiDto input);
		Task Delete(EntityDto input);
	}
}
</v>
      </c>
      <c r="K38" s="51" t="str">
        <f>A.Backend!S7</f>
        <v xml:space="preserve">using Abp.Application.Services;
using Abp.Application.Services.Dto;
using System.Collections.Generic;using vovina.Dto;
using System.Threading.Tasks;
using vovina.Assy.Andon.Dto;
namespace vovina.Assy.Andon.Exporting
{
	public interface IAsyAdoTotalDelayFinalAsakaiExcelExporter : IApplicationService
	{
		FileDto ExportToFile(List&lt;AsyAdoTotalDelayFinalAsakaiDto&gt; asyadototaldelayfinalasakai);
	}
}
</v>
      </c>
      <c r="L38" s="51" t="str">
        <f ca="1">A.Backend!T7</f>
        <v>using System.Collections.Generic;
using vovina.DataExporting.Excel.NPOI;
using vovina.Dto;
using vovina.Assy.Andon.Exporting;
using vovina.Assy.Andon.Dto;
using vovina.Storage;
using vovina.Assy.Andon.Dto;
namespace vovina.Assy.Andon.Exporting
{
    public class AsyAdoTotalDelayFinalAsakaiExcelExporter : NpoiExcelExporterBase, IAsyAdoTotalDelayFinalAsakaiExcelExporter
    {
        public AsyAdoTotalDelayFinalAsakaiExcelExporter(ITempFileCacheManager tempFileCacheManager) : base(tempFileCacheManager) { }
        public FileDto ExportToFile(List&lt;AsyAdoTotalDelayFinalAsakaiDto&gt; totaldelayfinalasakai)
        {
            return CreateExcelPackage(
				"AssyAndonTotalDelayFinalAsakai.xlsx",
				excelPackage =&gt;
				 {
					var sheet = excelPackage.CreateSheet("TotalDelayFinalAsakai");
					AddHeader(
								sheet,
								("BodyNo"),
								("LotNo"),
								("Color"),
								("TotalDelayLeadTime"),
								("DispatchPlanDatetime"),
								("CurrLocation"),
								("Location"),
								("WDelayWithLeadTime"),
								("TDelayWithLeadTime"),
								("ADelayWithLeadTime"),
								("IDelayWithLeadTime"),
								("FOutDelay"),
								("DelayFlag"),
							   );
					AddObjects(
						 sheet, 1, totaldelayfinalasakai,                                       
								_ =&gt; _.BodyNo,
								_ =&gt; _.LotNo,
								_ =&gt; _.Color,
								_ =&gt; _.TotalDelayLeadTime,
								_ =&gt; _.DispatchPlanDatetime,
								_ =&gt; _.CurrLocation,
								_ =&gt; _.Location,
								_ =&gt; _.WDelayWithLeadTime,
								_ =&gt; _.TDelayWithLeadTime,
								_ =&gt; _.ADelayWithLeadTime,
								_ =&gt; _.IDelayWithLeadTime,
								_ =&gt; _.FOutDelay,
								_ =&gt; _.DelayFlag,
								);
			for (var i = 0; i &lt; 8; i++)
				{
					sheet.AutoSizeColumn(i);
				}
			});
        }
    }
}</v>
      </c>
      <c r="M38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vovina.Assy.Andon.Dto;
using vovina.Assy.Andon.Exporting;
namespace vovina.Assy.Andon
{
    [AbpAuthorize(AppPermissions.Pages_Assy_Andon_TotalDelayFinalAsakai)]
    public class AsyAdoTotalDelayFinalAsakaiAppService : vovinaAppServiceBase, IAsyAdoTotalDelayFinalAsakaiAppService
    {
        private readonly IDapperRepository&lt;AsyAdoTotalDelayFinalAsakai, long&gt; _dapperRepo;
        private readonly IRepository&lt;AsyAdoTotalDelayFinalAsakai, long&gt; _repo;
        private readonly IAsyAdoTotalDelayFinalAsakaiExcelExporter _calendarListExcelExporter;
        public AsyAdoTotalDelayFinalAsakaiAppService(IRepository&lt;AsyAdoTotalDelayFinalAsakai,long&gt; repo, 
                                         IDapperRepository&lt;AsyAdoTotalDelayFinalAsakai,long&gt; dapperRepo,
                                        IAsyAdoTotalDelayFinalAsakaiExcelExporter calendarListExcelExporter
            )
        {
            _repo = repo;
            _dapperRepo = dapperRepo;
            _calendarListExcelExporter = calendarListExcelExporter;
        }
        [AbpAuthorize(AppPermissions.Pages_Assy_Andon_TotalDelayFinalAsakai_CreateEdit)]
        public async Task CreateOrEdit(CreateOrEditAsyAdoTotalDelayFinalAsakaiDto input)
        {
            if (input.Id == null) await Create(input);
            else await Update(input);
        }
        //CREATE
        private async Task Create(CreateOrEditAsyAdoTotalDelayFinalAsakaiDto input)
        {          
            var mainObj = ObjectMapper.Map&lt;AsyAdoTotalDelayFinalAsakai&gt;(input);
            await CurrentUnitOfWork.GetDbContext&lt;vovinaDbContext&gt;().AddAsync(mainObj);
        }
        // EDIT
        private async Task Update(CreateOrEditAsyAdoTotalDelayFinalAsakaiDto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[AbpAuthorize(AppPermissions.Pages_Assy_Andon_TotalDelayFinalAsakai_Delete)]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Task&lt;PagedResultDto&lt;AsyAdoTotalDelayFinalAsakaiDto&gt;&gt; GetAll(GetAsyAdoTotalDelayFinalAsakaiInput input)
        {
            var filtered = _repo.GetAll()
				.WhereIf(!string.IsNullOrWhiteSpace(input.BodyNo), e =&gt; e.BodyNo.Contains(input.BodyNo))
				.WhereIf(!string.IsNullOrWhiteSpace(input.LotNo), e =&gt; e.LotNo.Contains(input.LotNo))
				.WhereIf(!string.IsNullOrWhiteSpace(input.Color), e =&gt; e.Color.Contains(input.Color))
				.WhereIf(!string.IsNullOrWhiteSpace(input.TotalDelayLeadTime), e =&gt; e.TotalDelayLeadTime.Contains(input.TotalDelayLeadTime))
				.WhereIf(input.DispatchPlanDatetime.HasValue, t =&gt; t.DispatchPlanDatetime == input.DispatchPlanDatetime.Value)
				.WhereIf(!string.IsNullOrWhiteSpace(input.CurrLocation), e =&gt; e.CurrLocation.Contains(input.CurrLocation))
				.WhereIf(!string.IsNullOrWhiteSpace(input.Location), e =&gt; e.Location.Contains(input.Location))
				.WhereIf(!string.IsNullOrWhiteSpace(input.WDelayWithLeadTime), e =&gt; e.WDelayWithLeadTime.Contains(input.WDelayWithLeadTime))
				.WhereIf(!string.IsNullOrWhiteSpace(input.TDelayWithLeadTime), e =&gt; e.TDelayWithLeadTime.Contains(input.TDelayWithLeadTime))
				.WhereIf(!string.IsNullOrWhiteSpace(input.ADelayWithLeadTime), e =&gt; e.ADelayWithLeadTime.Contains(input.ADelayWithLeadTime))
				.WhereIf(!string.IsNullOrWhiteSpace(input.IDelayWithLeadTime), e =&gt; e.IDelayWithLeadTime.Contains(input.IDelayWithLeadTime))
				.WhereIf(!string.IsNullOrWhiteSpace(input.FOutDelay), e =&gt; e.FOutDelay.Contains(input.FOutDelay))
				.WhereIf(!string.IsNullOrWhiteSpace(input.DelayFlag), e =&gt; e.DelayFlag.Contains(input.DelayFlag))                   
				;
            var pageAndFiltered = filtered.OrderBy(s =&gt; s.Id);
            var system = from o in pageAndFiltered
                         select new AsyAdoTotalDelayFinalAsakaiDto
                        {
							Id = o.Id,
							BodyNo = o.BodyNo,
							LotNo = o.LotNo,
							Color = o.Color,
							TotalDelayLeadTime = o.TotalDelayLeadTime,
							DispatchPlanDatetime = o.DispatchPlanDatetime,
							CurrLocation = o.CurrLocation,
							Location = o.Location,
							WDelayWithLeadTime = o.WDelayWithLeadTime,
							TDelayWithLeadTime = o.TDelayWithLeadTime,
							ADelayWithLeadTime = o.ADelayWithLeadTime,
							IDelayWithLeadTime = o.IDelayWithLeadTime,
							FOutDelay = o.FOutDelay,
							DelayFlag = o.DelayFlag,
                        };
            var totalCount = await filtered.CountAsync();
			var paged = system.PageBy(input);
            return new PagedResultDto&lt;AsyAdoTotalDelayFinalAsakaiDto&gt;(
                totalCount,
                 await paged.ToListAsync()
            );
        }
        public async Task&lt;FileDto&gt; GetTotalDelayFinalAsakaiToExcel(AsyAdoTotalDelayFinalAsakaiExportInput input)
        {
            var query = from o in _repo.GetAll()
                        select new AsyAdoTotalDelayFinalAsakaiDto
                        {
							Id = o.Id,
							BodyNo = o.BodyNo,
							LotNo = o.LotNo,
							Color = o.Color,
							TotalDelayLeadTime = o.TotalDelayLeadTime,
							DispatchPlanDatetime = o.DispatchPlanDatetime,
							CurrLocation = o.CurrLocation,
							Location = o.Location,
							WDelayWithLeadTime = o.WDelayWithLeadTime,
							TDelayWithLeadTime = o.TDelayWithLeadTime,
							ADelayWithLeadTime = o.ADelayWithLeadTime,
							IDelayWithLeadTime = o.IDelayWithLeadTime,
							FOutDelay = o.FOutDelay,
							DelayFlag = o.DelayFlag,
                        };
            var exportToExcel = await query.ToListAsync();
            return _calendarListExcelExporter.ExportToFile(exportToExcel);
        }
       // public async Task GenerateAsync()
      //  {
        //    await _dapperRepo.ExecuteAsync(AsyAdoTotalDelayFinalAsakaiConsts.SP_MST_WPT_CALENDAR_GENERATE);
       // }
    }
}</v>
      </c>
      <c r="N38" s="62" t="str">
        <f>A.Backend!U7</f>
        <v xml:space="preserve">  configuration.CreateMap&lt;AsyAdoTotalDelayFinalAsakaiDto, AsyAdoTotalDelayFinalAsakai&gt;();
  configuration.CreateMap&lt;AsyAdoTotalDelayFinalAsakai, AsyAdoTotalDelayFinalAsakaiDto&gt;();
  configuration.CreateMap&lt;CreateOrEditAsyAdoTotalDelayFinalAsakaiDto, AsyAdoTotalDelayFinalAsakai&gt;();</v>
      </c>
    </row>
    <row r="39" spans="1:14" s="16" customFormat="1" ht="21.75" customHeight="1" x14ac:dyDescent="0.25">
      <c r="C39" s="65"/>
      <c r="D39" s="29"/>
      <c r="E39" s="29"/>
      <c r="F39" s="29"/>
      <c r="G39" s="29"/>
      <c r="H39" s="66"/>
      <c r="I39" s="67"/>
      <c r="J39" s="29"/>
      <c r="K39" s="29"/>
      <c r="M39" s="66"/>
    </row>
    <row r="40" spans="1:14" s="16" customFormat="1" ht="21.75" customHeight="1" x14ac:dyDescent="0.25">
      <c r="C40" s="29"/>
      <c r="D40" s="29"/>
      <c r="E40" s="29"/>
      <c r="F40" s="29"/>
      <c r="G40" s="29"/>
      <c r="H40" s="29"/>
      <c r="J40" s="29"/>
      <c r="K40" s="29"/>
      <c r="M40" s="29"/>
    </row>
    <row r="41" spans="1:14" s="16" customFormat="1" ht="21.75" customHeight="1" x14ac:dyDescent="0.25">
      <c r="C41" s="29"/>
      <c r="D41" s="29"/>
      <c r="E41" s="29"/>
      <c r="G41" s="29"/>
      <c r="H41" s="29"/>
    </row>
    <row r="42" spans="1:14" x14ac:dyDescent="0.25">
      <c r="B42" s="1" t="s">
        <v>73</v>
      </c>
    </row>
    <row r="43" spans="1:14" ht="21" x14ac:dyDescent="0.35">
      <c r="B43" t="str">
        <f>B.Frontend!B8</f>
        <v>totaldelayfinalasakai</v>
      </c>
      <c r="C43" s="72" t="str">
        <f>"create folder " &amp;B43</f>
        <v>create folder totaldelayfinalasakai</v>
      </c>
      <c r="D43" s="72"/>
      <c r="E43" s="72"/>
      <c r="F43" s="72"/>
      <c r="G43" s="72"/>
      <c r="H43" s="72"/>
      <c r="I43" s="72"/>
      <c r="J43" s="72"/>
      <c r="K43" s="73" t="s">
        <v>229</v>
      </c>
      <c r="L43" s="73"/>
      <c r="M43" s="31"/>
    </row>
    <row r="44" spans="1:14" s="28" customFormat="1" ht="18" customHeight="1" x14ac:dyDescent="0.25">
      <c r="B44" s="60" t="s">
        <v>230</v>
      </c>
      <c r="C44" s="31" t="str">
        <f>B.Frontend!H14</f>
        <v>totaldelayfinalasakai.component.ts</v>
      </c>
      <c r="D44" s="31" t="str">
        <f>B.Frontend!I14</f>
        <v>totaldelayfinalasakai.component.html</v>
      </c>
      <c r="E44" s="31" t="str">
        <f>B.Frontend!J14</f>
        <v>totaldelayfinalasakai.component.less</v>
      </c>
      <c r="F44" s="31" t="str">
        <f>B.Frontend!K14</f>
        <v>create-or-edit-totaldelayfinalasakai-modal.component.html</v>
      </c>
      <c r="G44" s="31" t="str">
        <f>B.Frontend!L14</f>
        <v>create-or-edit-totaldelayfinalasakai-modal.component.ts</v>
      </c>
      <c r="H44" s="31" t="str">
        <f>B.Frontend!M14</f>
        <v>create-or-edit-totaldelayfinalasakai-modal.component.less</v>
      </c>
      <c r="I44" s="31" t="str">
        <f>B.Frontend!N14</f>
        <v>totaldelayfinalasakai.module.ts</v>
      </c>
      <c r="J44" s="31" t="str">
        <f>B.Frontend!O14</f>
        <v>totaldelayfinalasakai-routing.module.ts</v>
      </c>
      <c r="K44" s="31" t="str">
        <f>B.Frontend!P14</f>
        <v>app.navigation.service.ts</v>
      </c>
      <c r="L44" s="31" t="str">
        <f>B.Frontend!Q14</f>
        <v>main.routing.module.ts</v>
      </c>
      <c r="M44" s="60" t="s">
        <v>233</v>
      </c>
    </row>
    <row r="45" spans="1:14" ht="21.75" customHeight="1" x14ac:dyDescent="0.25">
      <c r="B45" s="61" t="s">
        <v>227</v>
      </c>
      <c r="C45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AsyAdoTotalDelayFinalAsakaiDto, AsyAdoTotalDelayFinalAsakaiServiceProxy } from '@shared/service-proxies/service-proxies';
import { finalize } from 'rxjs/internal/operators/finalize';
import { CreateOrEditTotalDelayFinalAsakaiModalComponent } from './create-or-edit-totaldelayfinalasakai-modal.component';
import { DatePipe } from '@angular/common';
import { FileDownloadService } from '@shared/utils/file-download.service';
import ceil from 'lodash-es/ceil';
import { Paginator } from 'primeng/paginator';
@Component({
    templateUrl: './totaldelayfinalasakai.component.html',
    styleUrls: ['./totaldelayfinalasakai.component.less'],
})
export class TotalDelayFinalAsakaiComponent extends AppComponentBase implements OnInit {
    @ViewChild('createOrEditModalTotalDelayFinalAsakai', { static: true }) createOrEditModalTotalDelayFinalAsakai:| CreateOrEditTotalDelayFinalAsakaiModalComponent|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AsyAdoTotalDelayFinalAsakaiDto = new AsyAdoTotalDelayFinalAsakaiDto();
    saveSelectedRow: AsyAdoTotalDelayFinalAsakaiDto = new AsyAdoTotalDelayFinalAsakaiDto();
    datas: AsyAdoTotalDelayFinalAsakaiDto = new AsyAdoTotalDelayFinalAsakaiDto();
    isLoading: boolean = false;
    dataParams: GridParams | undefined;
    rowData: any[] = [];
    gridApi!: GridApi;
    rowSelection = 'multiple';
    filter: string = '';
	pipe = new DatePipe('en-US');
	frameworkComponents: FrameworkComponent;
    bodyNo : string = '' ; 
	lotNo : string = '' ; 
	color : string = '' ; 
	totalDelayLeadTime : string = '' ; 
	dispatchPlanDatetime : any ;
	currLocation : string = '' ; 
	location : string = '' ; 
	wDelayWithLeadTime : string = '' ; 
	tDelayWithLeadTime : string = '' ; 
	aDelayWithLeadTime : string = '' ; 
	iDelayWithLeadTime : string = '' ; 
	fOutDelay : string = '' ; 
	delayFlag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AsyAdoTotalDelayFinalAsakaiServiceProxy,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this.l('Body No'),headerTooltip: this.l('Body No'),field: 'bodyNo',flex: 1},
			{headerName: this.l('Lot No'),headerTooltip: this.l('Lot No'),field: 'lotNo',flex: 1},
			{headerName: this.l('Color'),headerTooltip: this.l('Color'),field: 'color',flex: 1},
			{headerName: this.l('Total Delay Lead Time'),headerTooltip: this.l('Total Delay Lead Time'),field: 'totalDelayLeadTime',flex: 1},
			{headerName: this.l('Dispatch Plan Datetime'),headerTooltip: this.l('Dispatch Plan Datetime'),field: 'dispatchPlanDatetime',valueGetter: (params) =&gt; this.pipe.transform(params.data?.dispatchPlanDatetime, 'dd/MM/yyyy'),flex: 1},
			{headerName: this.l('Curr Location'),headerTooltip: this.l('Curr Location'),field: 'currLocation',flex: 1},
			{headerName: this.l('Location'),headerTooltip: this.l('Location'),field: 'location',flex: 1},
			{headerName: this.l('W Delay With Lead Time'),headerTooltip: this.l('W Delay With Lead Time'),field: 'wDelayWithLeadTime',flex: 1},
			{headerName: this.l('T Delay With Lead Time'),headerTooltip: this.l('T Delay With Lead Time'),field: 'tDelayWithLeadTime',flex: 1},
			{headerName: this.l('A Delay With Lead Time'),headerTooltip: this.l('A Delay With Lead Time'),field: 'aDelayWithLeadTime',flex: 1},
			{headerName: this.l('I Delay With Lead Time'),headerTooltip: this.l('I Delay With Lead Time'),field: 'iDelayWithLeadTime',flex: 1},
			{headerName: this.l('F Out Delay'),headerTooltip: this.l('F Out Delay'),field: 'fOutDelay',flex: 1},
			{headerName: this.l('Delay Flag'),headerTooltip: this.l('Delay Flag'),field:  'delayFlag', cellClass: ['text-center'], width: 120, cellRenderer: 'agCellButtonComponent',
buttonDefTwo: { text: params =&gt; (params.data?.'delayFlag' == 'Y') ? 'Active' : 'Inactive',iconName: 'fa fa-circle',className: params =&gt; (params.data?.'delayFlag'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this.bodyNo,
			this.lotNo,
			this.color,
			this.totalDelayLeadTime,
			this.dispatchPlanDatetime,
			this.currLocation,
			this.location,
			this.wDelayWithLeadTime,
			this.tDelayWithLeadTime,
			this.aDelayWithLeadTime,
			this.iDelayWithLeadTime,
			this.fOutDelay,
			this.delayFlag,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this.bodyNo = '',
		this.lotNo = '',
		this.color = '',
		this.totalDelayLeadTime = '',
		this.dispatchPlanDatetime = '',
		this.currLocation = '',
		this.location = '',
		this.wDelayWithLeadTime = '',
		this.tDelayWithLeadTime = '',
		this.aDelayWithLeadTime = '',
		this.iDelayWithLeadTime = '',
		this.fOutDelay = '',
		this.delayFlag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this.bodyNo,
			this.lotNo,
			this.color,
			this.totalDelayLeadTime,
			this.dispatchPlanDatetime,
			this.currLocation,
			this.location,
			this.wDelayWithLeadTime,
			this.tDelayWithLeadTime,
			this.aDelayWithLeadTime,
			this.iDelayWithLeadTime,
			this.fOutDelay,
			this.delayFlag,
			'',
            this.paginationParams.skipCount,
            this.paginationParams.pageSize
        );
    }
    onChangeRowSelection(params: { api: { getSelectedRows: () =&gt; AsyAdoTotalDelayFinalAsakaiDto[] } }) {
        this.saveSelectedRow = params.api.getSelectedRows()[0] ?? new AsyAdoTotalDelayFinalAsakaiDto();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AsyAdoTotalDelayFinalAsakaiDto):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this._service.getTotalDelayFinalAsakaiToExcel(
			this.bodyNo,
			this.lotNo,
			this.color,
			this.totalDelayLeadTime,
			this.dispatchPlanDatetime,
			this.currLocation,
			this.location,
			this.wDelayWithLeadTime,
			this.tDelayWithLeadTime,
			this.aDelayWithLeadTime,
			this.iDelayWithLeadTime,
			this.fOutDelay,
			this.delayFlag,
            )
            .subscribe((result) =&gt; {
                this._fileDownloadService.downloadTempFile(result);
        });
    }
}</v>
      </c>
      <c r="D45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Assy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[(ngModel)]='bodyNo' name='bodyNo'
									class='form-control' [placeholder]="l('Body No')"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[(ngModel)]='color' name='color'
									class='form-control' [placeholder]="l('Color')"
									type='text' (keyup.enter)='searchDatas()'&gt;
								&lt;/div&gt;
								&lt;div class='input-search'&gt;
									&lt;input [(ngModel)]='totalDelayLeadTime' name='totalDelayLeadTime'
									class='form-control' [placeholder]="l('Total Delay Lead Time')"
									type='text' (keyup.enter)='searchDatas()'&gt;
								&lt;/div&gt;
								&lt;div class='input-search'&gt;
									&lt;input type='text' [placeholder]="l('Dispatch Plan Datetime')" [(ngModel)]='dispatchPlanDatetime' 
									name='dispatchPlanDatetime'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[(ngModel)]='currLocation' name='currLocation'
									class='form-control' [placeholder]="l('Curr Location')"
									type='text' (keyup.enter)='searchDatas()'&gt;
								&lt;/div&gt;
								&lt;div class='input-search'&gt;
									&lt;input [(ngModel)]='location' name='location'
									class='form-control' [placeholder]="l('Location')"
									type='text' (keyup.enter)='searchDatas()'&gt;
								&lt;/div&gt;
								&lt;div class='input-search'&gt;
									&lt;input [(ngModel)]='wDelayWithLeadTime' name='wDelayWithLeadTime'
									class='form-control' [placeholder]="l('W Delay With Lead Time')"
									type='text' (keyup.enter)='searchDatas()'&gt;
								&lt;/div&gt;
								&lt;div class='input-search'&gt;
									&lt;input [(ngModel)]='tDelayWithLeadTime' name='tDelayWithLeadTime'
									class='form-control' [placeholder]="l('T Delay With Lead Time')"
									type='text' (keyup.enter)='searchDatas()'&gt;
								&lt;/div&gt;
								&lt;div class='input-search'&gt;
									&lt;input [(ngModel)]='aDelayWithLeadTime' name='aDelayWithLeadTime'
									class='form-control' [placeholder]="l('A Delay With Lead Time')"
									type='text' (keyup.enter)='searchDatas()'&gt;
								&lt;/div&gt;
								&lt;div class='input-search'&gt;
									&lt;input [(ngModel)]='iDelayWithLeadTime' name='iDelayWithLeadTime'
									class='form-control' [placeholder]="l('I Delay With Lead Time')"
									type='text' (keyup.enter)='searchDatas()'&gt;
								&lt;/div&gt;
								&lt;div class='input-search'&gt;
									&lt;input [(ngModel)]='fOutDelay' name='fOutDelay'
									class='form-control' [placeholder]="l('F Out Delay')"
									type='text' (keyup.enter)='searchDatas()'&gt;
								&lt;/div&gt;
								&lt;div class='input-search'&gt;
									&lt;input [(ngModel)]='delayFlag' name='delayFlag'
									class='form-control' [placeholder]="l('Delay Flag')"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(click)="createOrEditModalTotalDelayFinalAsakai.show()"&gt;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(click)="createOrEditModalTotalDelayFinalAsakai.show(selectedRow)"&gt;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&lt;create-or-edit-totaldelayfinalasakai-modal
    #createOrEditModalTotalDelayFinalAsakai
    (modalSave)="callBackDataGrid(dataParams)"
    (modalClose)="onChangeRowSelection(dataParams)"
&gt;
&lt;/create-or-edit-totaldelayfinalasakai-modal&gt;</v>
      </c>
      <c r="E45" s="49" t="str">
        <f>B.Frontend!J10</f>
        <v>.input-search{
    width: 250px;
    border-radius: 10px;
    margin-left: 10px;
}
.btn-search{
    width: 50px;
    margin-left: 10px;
}</v>
      </c>
      <c r="F45" s="49" t="str">
        <f ca="1">B.Frontend!K10</f>
        <v>&lt;div bsModal #createOrEditModalTotalDelayFinalAsakai="bs-modal"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TotalDelayFinalAsakai')}}&lt;/h3&gt;
                    &lt;h3 *ngIf="!rowdata.id"&gt;{{('Create New TotalDelayFinalAsakai')}}&lt;/h3&gt;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title'&gt;Body No&lt;/label&gt;
						&lt;input type='text' class='col-md-10 form-control input-text' name='BodyNo' [(ngModel)]='rowdata.bodyNo'&gt;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title'&gt;Color&lt;/label&gt;
						&lt;input type='text' class='col-md-10 form-control input-text' name='Color' [(ngModel)]='rowdata.color'&gt;
					&lt;/div&gt;
					&lt;div class='col-md-12 form-group row'&gt;
						&lt;label class='col-md-2 form-control title'&gt;Total Delay Lead Time&lt;/label&gt;
						&lt;input type='text' class='col-md-10 form-control input-text' name='TotalDelayLeadTime' [(ngModel)]='rowdata.totalDelayLeadTime'&gt;
					&lt;/div&gt;
					&lt;div class='col-md-12 form-group row'&gt;
						&lt;label class='col-md-2 form-control title'&gt;Dispatch Plan Datetime&lt;/label&gt;
						&lt;input type='text' class='col-md-10 form-control input-text' name='dispatchPlanDatetime' 
						#datepicker='bsDatepicker' [(ngModel)]='rowdata.dispatchPlanDatetime'  bsDatepicker &gt;
					&lt;/div&gt;
					&lt;div class='col-md-12 form-group row'&gt;
						&lt;label class='col-md-2 form-control title'&gt;Curr Location&lt;/label&gt;
						&lt;input type='text' class='col-md-10 form-control input-text' name='CurrLocation' [(ngModel)]='rowdata.currLocation'&gt;
					&lt;/div&gt;
					&lt;div class='col-md-12 form-group row'&gt;
						&lt;label class='col-md-2 form-control title'&gt;Location&lt;/label&gt;
						&lt;input type='text' class='col-md-10 form-control input-text' name='Location' [(ngModel)]='rowdata.location'&gt;
					&lt;/div&gt;
					&lt;div class='col-md-12 form-group row'&gt;
						&lt;label class='col-md-2 form-control title'&gt;W Delay With Lead Time&lt;/label&gt;
						&lt;input type='text' class='col-md-10 form-control input-text' name='WDelayWithLeadTime' [(ngModel)]='rowdata.wDelayWithLeadTime'&gt;
					&lt;/div&gt;
					&lt;div class='col-md-12 form-group row'&gt;
						&lt;label class='col-md-2 form-control title'&gt;T Delay With Lead Time&lt;/label&gt;
						&lt;input type='text' class='col-md-10 form-control input-text' name='TDelayWithLeadTime' [(ngModel)]='rowdata.tDelayWithLeadTime'&gt;
					&lt;/div&gt;
					&lt;div class='col-md-12 form-group row'&gt;
						&lt;label class='col-md-2 form-control title'&gt;A Delay With Lead Time&lt;/label&gt;
						&lt;input type='text' class='col-md-10 form-control input-text' name='ADelayWithLeadTime' [(ngModel)]='rowdata.aDelayWithLeadTime'&gt;
					&lt;/div&gt;
					&lt;div class='col-md-12 form-group row'&gt;
						&lt;label class='col-md-2 form-control title'&gt;I Delay With Lead Time&lt;/label&gt;
						&lt;input type='text' class='col-md-10 form-control input-text' name='IDelayWithLeadTime' [(ngModel)]='rowdata.iDelayWithLeadTime'&gt;
					&lt;/div&gt;
					&lt;div class='col-md-12 form-group row'&gt;
						&lt;label class='col-md-2 form-control title'&gt;F Out Delay&lt;/label&gt;
						&lt;input type='text' class='col-md-10 form-control input-text' name='FOutDelay' [(ngModel)]='rowdata.fOutDelay'&gt;
					&lt;/div&gt;
					&lt;div class='col-md-12 form-group row'&gt;
						&lt;label class='col-md-2 form-control title'&gt;Delay Flag&lt;/label&gt;
						&lt;new-checkbox [(ngModel)]='_delayFlag' name='delayFlag'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45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CreateOrEditAsyAdoTotalDelayFinalAsakaiDto, AsyAdoTotalDelayFinalAsakaiServiceProxy } from '@shared/service-proxies/service-proxies';
import { BsDatepickerDirective } from 'ngx-bootstrap/datepicker';
@Component({
    selector: 'create-or-edit-totaldelayfinalasakai-modal',
    templateUrl: './create-or-edit-totaldelayfinalasakai-modal.component.html',
    styleUrls: ['./create-or-edit-totaldelayfinalasakai-modal.component.less']
    })
export class CreateOrEditTotalDelayFinalAsakaiModalComponent extends AppComponentBase {
    @ViewChild('createOrEditModalTotalDelayFinalAsakai',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CreateOrEditAsyAdoTotalDelayFinalAsakaiDto = new CreateOrEditAsyAdoTotalDelayFinalAsakaiDto();
    active: boolean = false;
    saving: boolean = false;
    _delayFlag: boolean;
    constructor(
        injector: Injector,
        private _mstwptTotalDelayFinalAsakaiService: AsyAdoTotalDelayFinalAsakaiServiceProxy,
    ) 
    {
        super(injector);
    }
    show(rowdata?: CreateOrEditAsyAdoTotalDelayFinalAsakaiDto): void {
        if (!rowdata) this.rowdata = new CreateOrEditAsyAdoTotalDelayFinalAsakaiDto();
        else this.rowdata = rowdata;
		const dateValue =  this.rowdata.dispatchPlanDatetime ? new Date(this.rowdata.dispatchPlanDatetime?.toString()) : new Date();
		this.datepicker?.bsValueChange.emit(dateValue);
        this._delayFlag = (this.rowdata.delayFlag == "N")? false: true;
        this.active = true;
        this.modal.show();
    } 
    changeActive(event){
        this._delayFlag = event.target.checked;
    }
    save(): void {
    this.saving = true; 
    this.rowdata.delayFlag = (this._delayFlag == true) ? 'Y' : 'N'
    this._mstwptTotalDelayFinalAsakaiService.createOrEdit(this.rowdata)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45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45" s="49" t="str">
        <f>B.Frontend!N10</f>
        <v>import {NgModule} from '@angular/core';
import {AppSharedModule} from '@app/shared/app-shared.module';
import { TotalDelayFinalAsakaiRoutingModule } from './totaldelayfinalasakai-routing.module';
import { TotalDelayFinalAsakaiComponent } from './totaldelayfinalasakai.component';
import { CreateOrEditTotalDelayFinalAsakaiModalComponent } from './create-or-edit-totaldelayfinalasakai-modal.component';
@NgModule({
    declarations: [
       TotalDelayFinalAsakaiComponent, 
        CreateOrEditTotalDelayFinalAsakaiModalComponent
    ],
    imports: [
        AppSharedModule, TotalDelayFinalAsakaiRoutingModule]
})
export class TotalDelayFinalAsakaiModule {}</v>
      </c>
      <c r="J45" s="49" t="str">
        <f>B.Frontend!O10</f>
        <v>import {NgModule} from '@angular/core';
import {RouterModule, Routes} from '@angular/router';
import { TotalDelayFinalAsakaiComponent } from './totaldelayfinalasakai.component';
const routes: Routes = [{
    path: '',
    component: TotalDelayFinalAsakaiComponent,
    pathMatch: 'full'
}];
@NgModule({
    imports: [RouterModule.forChild(routes)],
    exports: [RouterModule],
})
export class TotalDelayFinalAsakaiRoutingModule {}</v>
      </c>
      <c r="K45" s="49" t="str">
        <f>B.Frontend!P10</f>
        <v xml:space="preserve"> new AppMenuItem("TotalDelayFinalAsakai", "Pages.Assy.Andon.TotalDelayFinalAsakai", "flaticon-book",   "/app/main/assy/andon/totaldelayfinalasakai"),</v>
      </c>
      <c r="L45" s="50" t="str">
        <f>B.Frontend!Q10</f>
        <v>{
    path: 'assy/andon/totaldelayfinalasakai',
    loadChildren: () =&gt; import('./assy/andon/totaldelayfinalasakai/totaldelayfinalasakai.module').then(m =&gt; m.TotalDelayFinalAsakaiModule),
    data: { permission: 'Pages.Assy.Andon.TotalDelayFinalAsakai' }
},</v>
      </c>
      <c r="M45" s="48" t="str">
        <f>B.Frontend!R10</f>
        <v>ApiServiceProxies.AsyAdoTotalDelayFinalAsakaiServiceProxy,</v>
      </c>
    </row>
    <row r="47" spans="1:14" x14ac:dyDescent="0.25">
      <c r="B47" s="1" t="s">
        <v>75</v>
      </c>
    </row>
  </sheetData>
  <mergeCells count="2">
    <mergeCell ref="C43:J43"/>
    <mergeCell ref="K43:L4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23"/>
  <sheetViews>
    <sheetView workbookViewId="0">
      <pane xSplit="1" topLeftCell="B1" activePane="topRight" state="frozen"/>
      <selection pane="topRight" activeCell="B13" sqref="B13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5703125" style="8" customWidth="1"/>
    <col min="19" max="19" width="20.5703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vovina.Assy.Andon.Dto;</v>
      </c>
      <c r="E1" s="10" t="s">
        <v>268</v>
      </c>
      <c r="F1" s="11" t="s">
        <v>240</v>
      </c>
      <c r="H1" s="11" t="s">
        <v>241</v>
      </c>
      <c r="J1" s="11" t="s">
        <v>242</v>
      </c>
      <c r="L1" s="11" t="s">
        <v>243</v>
      </c>
      <c r="M1" s="11" t="s">
        <v>244</v>
      </c>
      <c r="N1" s="11" t="s">
        <v>245</v>
      </c>
      <c r="O1" s="11" t="s">
        <v>246</v>
      </c>
      <c r="T1" s="10" t="s">
        <v>260</v>
      </c>
      <c r="U1" s="10" t="s">
        <v>231</v>
      </c>
      <c r="W1" s="10"/>
    </row>
    <row r="2" spans="1:23" s="11" customFormat="1" x14ac:dyDescent="0.25">
      <c r="A2" s="1" t="s">
        <v>12</v>
      </c>
      <c r="B2" s="30" t="s">
        <v>290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86</v>
      </c>
      <c r="T2" s="11" t="s">
        <v>247</v>
      </c>
      <c r="V2" s="11" t="s">
        <v>248</v>
      </c>
      <c r="W2" s="10" t="s">
        <v>259</v>
      </c>
    </row>
    <row r="3" spans="1:23" s="11" customFormat="1" ht="33" customHeight="1" x14ac:dyDescent="0.25">
      <c r="A3" s="1" t="s">
        <v>5</v>
      </c>
      <c r="B3" s="30" t="s">
        <v>291</v>
      </c>
      <c r="C3" s="10" t="s">
        <v>43</v>
      </c>
      <c r="D3" s="10" t="s">
        <v>44</v>
      </c>
      <c r="E3" s="10" t="s">
        <v>39</v>
      </c>
      <c r="F3" s="11" t="str">
        <f>"J"&amp;COUNTA($A:$A)</f>
        <v>J21</v>
      </c>
      <c r="G3" s="4" t="s">
        <v>57</v>
      </c>
      <c r="H3" s="10" t="str">
        <f>"I"&amp;COUNTA($A:$A)</f>
        <v>I21</v>
      </c>
      <c r="I3" s="10" t="str">
        <f>REPT(CHAR(9),2)&amp;"[Required]"&amp;"
"</f>
        <v xml:space="preserve">		[Required]
</v>
      </c>
      <c r="J3" s="11" t="str">
        <f>"L"&amp;COUNTA($A:$A)</f>
        <v>L21</v>
      </c>
      <c r="K3" s="5" t="s">
        <v>56</v>
      </c>
      <c r="L3" s="11" t="str">
        <f>"M"&amp;COUNTA($A:$A)</f>
        <v>M21</v>
      </c>
      <c r="M3" s="11" t="str">
        <f>"N"&amp;COUNTA($A:$A)</f>
        <v>N21</v>
      </c>
      <c r="N3" s="11" t="str">
        <f>"O"&amp;COUNTA($A:$A)</f>
        <v>O21</v>
      </c>
      <c r="O3" s="11" t="str">
        <f>"P"&amp;COUNTA($A:$A)</f>
        <v>P21</v>
      </c>
      <c r="Q3" s="11" t="str">
        <f>RIGHT(B2,(LEN(B2)-FIND(".",B2,1)))</f>
        <v>Andon</v>
      </c>
      <c r="R3" s="32" t="str">
        <f>REPT(CHAR(9),1)&amp;"public class "&amp;B3&amp;"ExportInput"&amp;C3</f>
        <v xml:space="preserve">	public class AsyAdoTotalDelayFinalAsakaiExportInput{
</v>
      </c>
      <c r="S3" s="11" t="str">
        <f>"namespace "&amp;$B$6&amp;".Exporting
"&amp;$C$3</f>
        <v xml:space="preserve">namespace vovina.Assy.Andon.Exporting
{
</v>
      </c>
      <c r="T3" s="11" t="str">
        <f>"T"&amp;COUNTA($A:$A)</f>
        <v>T21</v>
      </c>
      <c r="V3" s="11" t="str">
        <f>"V"&amp;COUNTA($A:$A)</f>
        <v>V21</v>
      </c>
      <c r="W3" s="10" t="str">
        <f>"W"&amp;COUNTA($A:$A)</f>
        <v>W21</v>
      </c>
    </row>
    <row r="4" spans="1:23" s="11" customFormat="1" ht="33" customHeight="1" x14ac:dyDescent="0.25">
      <c r="A4" s="1" t="s">
        <v>238</v>
      </c>
      <c r="B4" s="64" t="s">
        <v>292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239</v>
      </c>
      <c r="B5" s="64" t="s">
        <v>293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vovina.Assy.Andon</v>
      </c>
      <c r="C6" s="11" t="str">
        <f>"namespace "&amp;$B$6&amp;"
"&amp;$C$3</f>
        <v xml:space="preserve">namespace vovina.Assy.Andon
{
</v>
      </c>
      <c r="D6" s="11" t="str">
        <f>REPT(CHAR(9),1)&amp;"public class "&amp;B3&amp;G3&amp;REPT(CHAR(9),1)&amp;"
"&amp;REPT(CHAR(9),1)&amp;C3</f>
        <v xml:space="preserve">	public class AsyAdoTotalDelayFinalAsakai: FullAuditedEntity&lt;long&gt;, IEntity&lt;long&gt;	
	{
</v>
      </c>
      <c r="E6" s="11" t="str">
        <f>REPT(CHAR(9),1)&amp;"public class "&amp;B3&amp;"Consts"&amp;REPT(CHAR(9),1)&amp;"
"&amp;REPT(CHAR(9),1)&amp;C3</f>
        <v xml:space="preserve">	public class AsyAdoTotalDelayFinalAsakaiConsts	
	{
</v>
      </c>
      <c r="F6" s="11" t="str">
        <f>REPT(CHAR(9),1)&amp;"public class "&amp;B3&amp;"Dto"&amp;K3&amp;REPT(CHAR(9),1)&amp;"
"&amp;REPT(CHAR(9),1)&amp;C3</f>
        <v xml:space="preserve">	public class AsyAdoTotalDelayFinalAsakaiDto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CreateOrEditAsyAdoTotalDelayFinalAsakaiDto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GetAsyAdoTotalDelayFinalAsakaiInput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237</v>
      </c>
      <c r="O6" s="1" t="s">
        <v>236</v>
      </c>
      <c r="P6" s="1" t="s">
        <v>69</v>
      </c>
      <c r="Q6" s="1" t="s">
        <v>70</v>
      </c>
      <c r="R6" s="1" t="s">
        <v>203</v>
      </c>
      <c r="S6" s="1" t="s">
        <v>205</v>
      </c>
      <c r="T6" s="1" t="s">
        <v>204</v>
      </c>
      <c r="U6" s="1" t="s">
        <v>228</v>
      </c>
      <c r="W6" s="28"/>
    </row>
    <row r="7" spans="1:23" customFormat="1" ht="15.75" customHeight="1" x14ac:dyDescent="0.25">
      <c r="A7" s="1" t="s">
        <v>13</v>
      </c>
      <c r="B7" s="10" t="str">
        <f>B3</f>
        <v>AsyAdoTotalDelayFinalAsakai</v>
      </c>
      <c r="C7" s="11" t="str">
        <f>REPT(CHAR(9),1)&amp;"[Table("""&amp;B7&amp;""")]"&amp;"
"</f>
        <v xml:space="preserve">	[Table("AsyAdoTotalDelayFinalAsakai")]
</v>
      </c>
      <c r="D7" s="11"/>
      <c r="E7" s="11"/>
      <c r="F7" s="11"/>
      <c r="G7" s="11"/>
      <c r="H7" s="11"/>
      <c r="I7" s="11"/>
      <c r="J7" s="6" t="str">
        <f ca="1">SUBSTITUTE(SUBSTITUTE((B1&amp;C6&amp;C7&amp;K23&amp;D6&amp;I23&amp;E3&amp;J23&amp;""&amp;REPT(CHAR(9),1)&amp;D3&amp;D3),"WorkingPattern",$Q$3),"Master",$B$4)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vovina.Assy.Andon
{
	[Table("AsyAdoTotalDelayFinalAsakai")]
	[Index(nameof(BodyNo), Name="IX_AsyAdoTotalDelayFinalAsakai_BodyNo")]
	[Index(nameof(LotNo), Name="IX_AsyAdoTotalDelayFinalAsakai_LotNo")]
	[Index(nameof(DelayFlag), Name="IX_AsyAdoTotalDelayFinalAsakai_DelayFlag")]	public class AsyAdoTotalDelayFinalAsakai: FullAuditedEntity&lt;long&gt;, IEntity&lt;long&gt;	
	{
		public const int MaxBodyNoLength = 10;
		public const int MaxLotNoLength = 20;
		public const int MaxColorLength = 10;
		public const int MaxTotalDelayLeadTimeLength = 10;
		public const int MaxCurrLocationLength = 255;
		public const int MaxLocationLength = 255;
		public const int MaxWDelayWithLeadTimeLength = 255;
		public const int MaxTDelayWithLeadTimeLength = 255;
		public const int MaxADelayWithLeadTimeLength = 255;
		public const int MaxIDelayWithLeadTimeLength = 255;
		public const int MaxFOutDelayLength = 255;
		public const int MaxDelayFlagLength = 1;
		[Required]
		[StringLength(MaxBodyNoLength)]
		public virtual string BodyNo { get; set; }
		[Required]
		[StringLength(MaxLotNoLength)]
		public virtual string LotNo { get; set; }
		[StringLength(MaxColorLength)]
		public virtual string Color { get; set; }
		[StringLength(MaxTotalDelayLeadTimeLength)]
		public virtual string TotalDelayLeadTime { get; set; }
		public virtual DateTime DispatchPlanDatetime { get; set; }
		[StringLength(MaxCurrLocationLength)]
		public virtual string CurrLocation { get; set; }
		[StringLength(MaxLocationLength)]
		public virtual string Location { get; set; }
		[StringLength(MaxWDelayWithLeadTimeLength)]
		public virtual string WDelayWithLeadTime { get; set; }
		[StringLength(MaxTDelayWithLeadTimeLength)]
		public virtual string TDelayWithLeadTime { get; set; }
		[StringLength(MaxADelayWithLeadTimeLength)]
		public virtual string ADelayWithLeadTime { get; set; }
		[StringLength(MaxIDelayWithLeadTimeLength)]
		public virtual string IDelayWithLeadTime { get; set; }
		[StringLength(MaxFOutDelayLength)]
		public virtual string FOutDelay { get; set; }
		[StringLength(MaxDelayFlagLength)]
		public virtual string DelayFlag { get; set; }
	}
}
</v>
      </c>
      <c r="K7" t="str">
        <f>SUBSTITUTE(SUBSTITUTE(("public virtual DbSet&lt;"&amp;B3&amp;"&gt; "&amp;B3&amp;"s { get; set; }"),"WorkingPattern",$Q$3),"Master",$B$4)</f>
        <v>public virtual DbSet&lt;AsyAdoTotalDelayFinalAsakai&gt; AsyAdoTotalDelayFinalAsakais { get; set; }</v>
      </c>
      <c r="L7" t="str">
        <f ca="1">SUBSTITUTE(SUBSTITUTE((C6&amp;E6&amp;I23&amp;"
"&amp;REPT(CHAR(9),2)&amp;"// Define Store Name: Format SP_ + &lt;Store Name&gt; = &lt;Store Name&gt;
"&amp;E3&amp;REPT(CHAR(9),1)&amp;D3&amp;D3),"WorkingPattern",$Q$3),"Master",$B$4)</f>
        <v xml:space="preserve">namespace vovina.Assy.Andon
{
	public class AsyAdoTotalDelayFinalAsakaiConsts	
	{
		public const int MaxBodyNoLength = 10;
		public const int MaxLotNoLength = 20;
		public const int MaxColorLength = 10;
		public const int MaxTotalDelayLeadTimeLength = 10;
		public const int MaxCurrLocationLength = 255;
		public const int MaxLocationLength = 255;
		public const int MaxWDelayWithLeadTimeLength = 255;
		public const int MaxTDelayWithLeadTimeLength = 255;
		public const int MaxADelayWithLeadTimeLength = 255;
		public const int MaxIDelayWithLeadTimeLength = 255;
		public const int MaxFOutDelayLength = 255;
		public const int MaxDelayFlagLength = 1;
		// Define Store Name: Format SP_ + &lt;Store Name&gt; = &lt;Store Name&gt;
	}
}
</v>
      </c>
      <c r="M7" t="str">
        <f ca="1">SUBSTITUTE(SUBSTITUTE((C1&amp;"namespace "&amp;B6&amp;".Dto"&amp;E3&amp;C3&amp;F6&amp;M23&amp;E3&amp;REPT(CHAR(9),1)&amp;D3&amp;G6&amp;N23&amp;REPT(CHAR(9),1)&amp;D3&amp;H6&amp;O23&amp;"
"&amp;REPT(CHAR(9),1)&amp;D3&amp;D3),"WorkingPattern",$Q$3),"Master",$B$4)</f>
        <v xml:space="preserve">using Abp.Application.Services.Dto;
using System;
using System.ComponentModel.DataAnnotations;
namespace vovina.Assy.Andon.Dto
{
	public class AsyAdoTotalDelayFinalAsakaiDto : EntityDto&lt;long?&gt;	
	{
		public virtual string BodyNo { get; set; }
		public virtual string LotNo { get; set; }
		public virtual string Color { get; set; }
		public virtual string TotalDelayLeadTime { get; set; }
		public virtual DateTime? DispatchPlanDatetime { get; set; }
		public virtual string CurrLocation { get; set; }
		public virtual string Location { get; set; }
		public virtual string WDelayWithLeadTime { get; set; }
		public virtual string TDelayWithLeadTime { get; set; }
		public virtual string ADelayWithLeadTime { get; set; }
		public virtual string IDelayWithLeadTime { get; set; }
		public virtual string FOutDelay { get; set; }
		public virtual string DelayFlag { get; set; }
	}
	public class CreateOrEditAsyAdoTotalDelayFinalAsakaiDto : EntityDto&lt;long?&gt;	
	{
		[Required]
		[StringLength(AsyAdoTotalDelayFinalAsakaiConsts.MaxBodyNoLength)]
		public virtual string BodyNo { get; set; }
		[Required]
		[StringLength(AsyAdoTotalDelayFinalAsakaiConsts.MaxLotNoLength)]
		public virtual string LotNo { get; set; }
		[StringLength(AsyAdoTotalDelayFinalAsakaiConsts.MaxColorLength)]
		public virtual string Color { get; set; }
		[StringLength(AsyAdoTotalDelayFinalAsakaiConsts.MaxTotalDelayLeadTimeLength)]
		public virtual string TotalDelayLeadTime { get; set; }
		public virtual DateTime? DispatchPlanDatetime { get; set; }
		[StringLength(AsyAdoTotalDelayFinalAsakaiConsts.MaxCurrLocationLength)]
		public virtual string CurrLocation { get; set; }
		[StringLength(AsyAdoTotalDelayFinalAsakaiConsts.MaxLocationLength)]
		public virtual string Location { get; set; }
		[StringLength(AsyAdoTotalDelayFinalAsakaiConsts.MaxWDelayWithLeadTimeLength)]
		public virtual string WDelayWithLeadTime { get; set; }
		[StringLength(AsyAdoTotalDelayFinalAsakaiConsts.MaxTDelayWithLeadTimeLength)]
		public virtual string TDelayWithLeadTime { get; set; }
		[StringLength(AsyAdoTotalDelayFinalAsakaiConsts.MaxADelayWithLeadTimeLength)]
		public virtual string ADelayWithLeadTime { get; set; }
		[StringLength(AsyAdoTotalDelayFinalAsakaiConsts.MaxIDelayWithLeadTimeLength)]
		public virtual string IDelayWithLeadTime { get; set; }
		[StringLength(AsyAdoTotalDelayFinalAsakaiConsts.MaxFOutDelayLength)]
		public virtual string FOutDelay { get; set; }
		[StringLength(AsyAdoTotalDelayFinalAsakaiConsts.MaxDelayFlagLength)]
		public virtual string DelayFlag { get; set; }
	}
	public class GetAsyAdoTotalDelayFinalAsakaiInput : PagedAndSortedResultRequestDto	
	{
		public virtual string BodyNo { get; set; }
		public virtual string LotNo { get; set; }
		public virtual string Color { get; set; }
		public virtual string TotalDelayLeadTime { get; set; }
		public virtual DateTime? DispatchPlanDatetime { get; set; }
		public virtual string CurrLocation { get; set; }
		public virtual string Location { get; set; }
		public virtual string WDelayWithLeadTime { get; set; }
		public virtual string TDelayWithLeadTime { get; set; }
		public virtual string ADelayWithLeadTime { get; set; }
		public virtual string IDelayWithLeadTime { get; set; }
		public virtual string FOutDelay { get; set; }
		public virtual string DelayFlag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"""&amp;SUBSTITUTE(B2,".","")&amp;B5&amp;"""));"
&amp;E3&amp;REPT(CHAR(9),2)&amp;"per"&amp;B3&amp;".CreateChildPermission(AppPermissions.Pages_"&amp;SUBSTITUTE(B2,".","_")&amp;"_"&amp;B5&amp;"_CreateEdit, L( """&amp;SUBSTITUTE(B2,".","")&amp;B5&amp;"CreateEdit"&amp;"""));"
&amp;E3&amp;REPT(CHAR(9),2)&amp;"per"&amp;B3&amp;".CreateChildPermission(AppPermissions.Pages_"&amp;SUBSTITUTE(B2,".","_")&amp;"_"&amp;B5&amp;"_Delete, L( """&amp;SUBSTITUTE(B2,".","")&amp;B5&amp;"Delete"&amp;"""));"),"WorkingPattern",$Q$3),"Master",$B$4)</f>
        <v xml:space="preserve">		var perAsyAdoTotalDelayFinalAsakai = PARENTS.CreateChildPermission(AppPermissions.Pages_Assy_Andon_TotalDelayFinalAsakai, L( "AssyAndonTotalDelayFinalAsakai"));
		perAsyAdoTotalDelayFinalAsakai.CreateChildPermission(AppPermissions.Pages_Assy_Andon_TotalDelayFinalAsakai_CreateEdit, L( "AssyAndonTotalDelayFinalAsakaiCreateEdit"));
		perAsyAdoTotalDelayFinalAsakai.CreateChildPermission(AppPermissions.Pages_Assy_Andon_TotalDelayFinalAsakai_Delete, L( "AssyAndonTotalDelayFinalAsakaiDelete"));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Pages_Assy_Andon_TotalDelayFinalAsakai = "Pages.Assy.Andon.TotalDelayFinalAsakai";
		public const string Pages_Assy_Andon_TotalDelayFinalAsakai_CreateEdit = "Pages.Assy.Andon.TotalDelayFinalAsakai.CreateEdit";
		public const string Pages_Assy_Andon_TotalDelayFinalAsakai_Delete = "Pages.Assy.Andon.TotalDelayFinalAsakai.Delete";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vovina.Assy.Andon.Dto;
namespace vovina.Assy.Andon
{
	public interface IAsyAdoTotalDelayFinalAsakaiAppService : IApplicationService
	{
		Task&lt;PagedResultDto&lt;AsyAdoTotalDelayFinalAsakaiDto&gt;&gt; GetAll(GetAsyAdoTotalDelayFinalAsakaiInput input);
		Task CreateOrEdit(CreateOrEditAsyAdoTotalDelayFinalAsakaiDto input);
		Task Delete(EntityDto input);
	}
}
</v>
      </c>
      <c r="Q7" t="str">
        <f ca="1">SUBSTITUTE(SUBSTITUTE(SUBSTITUTE(SUBSTITUTE(SUBSTITUTE(SUBSTITUTE(E1,"MstWptCalendar",$B$3),"&lt;PROPERTIES&gt;",P23),"Calendar",$B$5),"WorkingPattern",$Q$3),"Master",$B$4),"&lt;PARAMS_SEARCH&gt;",$W$23)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vovina.Assy.Andon.Dto;
using vovina.Assy.Andon.Exporting;
namespace vovina.Assy.Andon
{
    [AbpAuthorize(AppPermissions.Pages_Assy_Andon_TotalDelayFinalAsakai)]
    public class AsyAdoTotalDelayFinalAsakaiAppService : vovinaAppServiceBase, IAsyAdoTotalDelayFinalAsakaiAppService
    {
        private readonly IDapperRepository&lt;AsyAdoTotalDelayFinalAsakai, long&gt; _dapperRepo;
        private readonly IRepository&lt;AsyAdoTotalDelayFinalAsakai, long&gt; _repo;
        private readonly IAsyAdoTotalDelayFinalAsakaiExcelExporter _calendarListExcelExporter;
        public AsyAdoTotalDelayFinalAsakaiAppService(IRepository&lt;AsyAdoTotalDelayFinalAsakai,long&gt; repo, 
                                         IDapperRepository&lt;AsyAdoTotalDelayFinalAsakai,long&gt; dapperRepo,
                                        IAsyAdoTotalDelayFinalAsakaiExcelExporter calendarListExcelExporter
            )
        {
            _repo = repo;
            _dapperRepo = dapperRepo;
            _calendarListExcelExporter = calendarListExcelExporter;
        }
        [AbpAuthorize(AppPermissions.Pages_Assy_Andon_TotalDelayFinalAsakai_CreateEdit)]
        public async Task CreateOrEdit(CreateOrEditAsyAdoTotalDelayFinalAsakaiDto input)
        {
            if (input.Id == null) await Create(input);
            else await Update(input);
        }
        //CREATE
        private async Task Create(CreateOrEditAsyAdoTotalDelayFinalAsakaiDto input)
        {          
            var mainObj = ObjectMapper.Map&lt;AsyAdoTotalDelayFinalAsakai&gt;(input);
            await CurrentUnitOfWork.GetDbContext&lt;vovinaDbContext&gt;().AddAsync(mainObj);
        }
        // EDIT
        private async Task Update(CreateOrEditAsyAdoTotalDelayFinalAsakaiDto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[AbpAuthorize(AppPermissions.Pages_Assy_Andon_TotalDelayFinalAsakai_Delete)]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Task&lt;PagedResultDto&lt;AsyAdoTotalDelayFinalAsakaiDto&gt;&gt; GetAll(GetAsyAdoTotalDelayFinalAsakaiInput input)
        {
            var filtered = _repo.GetAll()
				.WhereIf(!string.IsNullOrWhiteSpace(input.BodyNo), e =&gt; e.BodyNo.Contains(input.BodyNo))
				.WhereIf(!string.IsNullOrWhiteSpace(input.LotNo), e =&gt; e.LotNo.Contains(input.LotNo))
				.WhereIf(!string.IsNullOrWhiteSpace(input.Color), e =&gt; e.Color.Contains(input.Color))
				.WhereIf(!string.IsNullOrWhiteSpace(input.TotalDelayLeadTime), e =&gt; e.TotalDelayLeadTime.Contains(input.TotalDelayLeadTime))
				.WhereIf(input.DispatchPlanDatetime.HasValue, t =&gt; t.DispatchPlanDatetime == input.DispatchPlanDatetime.Value)
				.WhereIf(!string.IsNullOrWhiteSpace(input.CurrLocation), e =&gt; e.CurrLocation.Contains(input.CurrLocation))
				.WhereIf(!string.IsNullOrWhiteSpace(input.Location), e =&gt; e.Location.Contains(input.Location))
				.WhereIf(!string.IsNullOrWhiteSpace(input.WDelayWithLeadTime), e =&gt; e.WDelayWithLeadTime.Contains(input.WDelayWithLeadTime))
				.WhereIf(!string.IsNullOrWhiteSpace(input.TDelayWithLeadTime), e =&gt; e.TDelayWithLeadTime.Contains(input.TDelayWithLeadTime))
				.WhereIf(!string.IsNullOrWhiteSpace(input.ADelayWithLeadTime), e =&gt; e.ADelayWithLeadTime.Contains(input.ADelayWithLeadTime))
				.WhereIf(!string.IsNullOrWhiteSpace(input.IDelayWithLeadTime), e =&gt; e.IDelayWithLeadTime.Contains(input.IDelayWithLeadTime))
				.WhereIf(!string.IsNullOrWhiteSpace(input.FOutDelay), e =&gt; e.FOutDelay.Contains(input.FOutDelay))
				.WhereIf(!string.IsNullOrWhiteSpace(input.DelayFlag), e =&gt; e.DelayFlag.Contains(input.DelayFlag))                   
				;
            var pageAndFiltered = filtered.OrderBy(s =&gt; s.Id);
            var system = from o in pageAndFiltered
                         select new AsyAdoTotalDelayFinalAsakaiDto
                        {
							Id = o.Id,
							BodyNo = o.BodyNo,
							LotNo = o.LotNo,
							Color = o.Color,
							TotalDelayLeadTime = o.TotalDelayLeadTime,
							DispatchPlanDatetime = o.DispatchPlanDatetime,
							CurrLocation = o.CurrLocation,
							Location = o.Location,
							WDelayWithLeadTime = o.WDelayWithLeadTime,
							TDelayWithLeadTime = o.TDelayWithLeadTime,
							ADelayWithLeadTime = o.ADelayWithLeadTime,
							IDelayWithLeadTime = o.IDelayWithLeadTime,
							FOutDelay = o.FOutDelay,
							DelayFlag = o.DelayFlag,
                        };
            var totalCount = await filtered.CountAsync();
			var paged = system.PageBy(input);
            return new PagedResultDto&lt;AsyAdoTotalDelayFinalAsakaiDto&gt;(
                totalCount,
                 await paged.ToListAsync()
            );
        }
        public async Task&lt;FileDto&gt; GetTotalDelayFinalAsakaiToExcel(AsyAdoTotalDelayFinalAsakaiExportInput input)
        {
            var query = from o in _repo.GetAll()
                        select new AsyAdoTotalDelayFinalAsakaiDto
                        {
							Id = o.Id,
							BodyNo = o.BodyNo,
							LotNo = o.LotNo,
							Color = o.Color,
							TotalDelayLeadTime = o.TotalDelayLeadTime,
							DispatchPlanDatetime = o.DispatchPlanDatetime,
							CurrLocation = o.CurrLocation,
							Location = o.Location,
							WDelayWithLeadTime = o.WDelayWithLeadTime,
							TDelayWithLeadTime = o.TDelayWithLeadTime,
							ADelayWithLeadTime = o.ADelayWithLeadTime,
							IDelayWithLeadTime = o.IDelayWithLeadTime,
							FOutDelay = o.FOutDelay,
							DelayFlag = o.DelayFlag,
                        };
            var exportToExcel = await query.ToListAsync();
            return _calendarListExcelExporter.ExportToFile(exportToExcel);
        }
       // public async Task GenerateAsync()
      //  {
        //    await _dapperRepo.ExecuteAsync(AsyAdoTotalDelayFinalAsakaiConsts.SP_MST_WPT_CALENDAR_GENERATE);
       // }
    }
}</v>
      </c>
      <c r="R7" t="str">
        <f ca="1">SUBSTITUTE(SUBSTITUTE((C1&amp;"namespace "&amp;B6&amp;".Dto"&amp;E3&amp;C3&amp;R3&amp;M23&amp;E3&amp;REPT(CHAR(9),1)&amp;D3&amp;D3),"WorkingPattern",$Q$3),"Master",$B$4)</f>
        <v xml:space="preserve">using Abp.Application.Services.Dto;
using System;
using System.ComponentModel.DataAnnotations;
namespace vovina.Assy.Andon.Dto
{
	public class AsyAdoTotalDelayFinalAsakaiExportInput{
		public virtual string BodyNo { get; set; }
		public virtual string LotNo { get; set; }
		public virtual string Color { get; set; }
		public virtual string TotalDelayLeadTime { get; set; }
		public virtual DateTime? DispatchPlanDatetime { get; set; }
		public virtual string CurrLocation { get; set; }
		public virtual string Location { get; set; }
		public virtual string WDelayWithLeadTime { get; set; }
		public virtual string TDelayWithLeadTime { get; set; }
		public virtual string ADelayWithLeadTime { get; set; }
		public virtual string IDelayWithLeadTime { get; set; }
		public virtual string FOutDelay { get; set; }
		public virtual string DelayFlag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vovina.Assy.Andon.Dto;
namespace vovina.Assy.Andon.Exporting
{
	public interface IAsyAdoTotalDelayFinalAsakaiExcelExporter : IApplicationService
	{
		FileDto ExportToFile(List&lt;AsyAdoTotalDelayFinalAsakaiDto&gt; asyadototaldelayfinalasakai);
	}
}
</v>
      </c>
      <c r="T7" s="28" t="str">
        <f ca="1">SUBSTITUTE(SUBSTITUTE(SUBSTITUTE(SUBSTITUTE(SUBSTITUTE(SUBSTITUTE(SUBSTITUTE(T1,"MstWptCalendar",$B$3),"&lt;PROPERTIES1&gt;",V23),"&lt;PROPERTIES&gt;",T23),"Calendar",$B$5),"calendar",LOWER(B5)),"WorkingPattern",$Q$3),"Master",$B$4)</f>
        <v>using System.Collections.Generic;
using vovina.DataExporting.Excel.NPOI;
using vovina.Dto;
using vovina.Assy.Andon.Exporting;
using vovina.Assy.Andon.Dto;
using vovina.Storage;
using vovina.Assy.Andon.Dto;
namespace vovina.Assy.Andon.Exporting
{
    public class AsyAdoTotalDelayFinalAsakaiExcelExporter : NpoiExcelExporterBase, IAsyAdoTotalDelayFinalAsakaiExcelExporter
    {
        public AsyAdoTotalDelayFinalAsakaiExcelExporter(ITempFileCacheManager tempFileCacheManager) : base(tempFileCacheManager) { }
        public FileDto ExportToFile(List&lt;AsyAdoTotalDelayFinalAsakaiDto&gt; totaldelayfinalasakai)
        {
            return CreateExcelPackage(
				"AssyAndonTotalDelayFinalAsakai.xlsx",
				excelPackage =&gt;
				 {
					var sheet = excelPackage.CreateSheet("TotalDelayFinalAsakai");
					AddHeader(
								sheet,
								("BodyNo"),
								("LotNo"),
								("Color"),
								("TotalDelayLeadTime"),
								("DispatchPlanDatetime"),
								("CurrLocation"),
								("Location"),
								("WDelayWithLeadTime"),
								("TDelayWithLeadTime"),
								("ADelayWithLeadTime"),
								("IDelayWithLeadTime"),
								("FOutDelay"),
								("DelayFlag"),
							   );
					AddObjects(
						 sheet, 1, totaldelayfinalasakai,                                       
								_ =&gt; _.BodyNo,
								_ =&gt; _.LotNo,
								_ =&gt; _.Color,
								_ =&gt; _.TotalDelayLeadTime,
								_ =&gt; _.DispatchPlanDatetime,
								_ =&gt; _.CurrLocation,
								_ =&gt; _.Location,
								_ =&gt; _.WDelayWithLeadTime,
								_ =&gt; _.TDelayWithLeadTime,
								_ =&gt; _.ADelayWithLeadTime,
								_ =&gt; _.IDelayWithLeadTime,
								_ =&gt; _.FOutDelay,
								_ =&gt; _.DelayFlag,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configuration.CreateMap&lt;AsyAdoTotalDelayFinalAsakaiDto, AsyAdoTotalDelayFinalAsakai&gt;();
  configuration.CreateMap&lt;AsyAdoTotalDelayFinalAsakai, AsyAdoTotalDelayFinalAsakaiDto&gt;();
  configuration.CreateMap&lt;CreateOrEditAsyAdoTotalDelayFinalAsakaiDto, AsyAdoTotalDelayFinalAsakai&gt;();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85</v>
      </c>
      <c r="W8" s="3"/>
    </row>
    <row r="9" spans="1:23" customFormat="1" ht="22.5" customHeight="1" x14ac:dyDescent="0.25">
      <c r="A9" t="s">
        <v>273</v>
      </c>
      <c r="B9" t="s">
        <v>274</v>
      </c>
      <c r="C9" t="s">
        <v>80</v>
      </c>
      <c r="D9" t="str">
        <f>SUBSTITUTE(PROPER(A9),"_","")</f>
        <v>BodyNo</v>
      </c>
      <c r="E9" t="str">
        <f t="shared" ref="E9:E13" si="0">IFERROR(LEFT(B9, FIND("(",B9)-1),B9)</f>
        <v>nvarchar</v>
      </c>
      <c r="F9" s="7"/>
      <c r="G9" t="str">
        <f t="shared" ref="G9:G13" si="1">IFERROR(MID(B9,FIND("(",B9) +1, FIND(")",B9) - FIND("(",B9) - 1),"")</f>
        <v>10</v>
      </c>
      <c r="H9" t="str">
        <f>+VLOOKUP(E9,'Data Type Mapping'!A:B,2,)</f>
        <v>string</v>
      </c>
      <c r="I9" t="str">
        <f t="shared" ref="I9:I13" si="2">IF(H9="string",REPT(CHAR(9),2)&amp;"public const int Max"&amp;D9&amp;"Length = "&amp;G9&amp;";"&amp;$E$3,"" )</f>
        <v xml:space="preserve">		public const int MaxBodyNoLength = 10;
</v>
      </c>
      <c r="J9" t="str">
        <f t="shared" ref="J9:J13" si="3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[Required]
		[StringLength(MaxBodyNoLength)]
		public virtual string BodyNo { get; set; }
</v>
      </c>
      <c r="K9" s="7" t="s">
        <v>207</v>
      </c>
      <c r="L9" t="str">
        <f>IF(K9="","",REPT(CHAR(9),1)&amp;"[Index(nameof("&amp;IF(D9="","",""&amp;D9)&amp;")"&amp;", Name="&amp;"""IX_"&amp;$B$7&amp;"_"&amp;D9&amp;""")]")</f>
        <v xml:space="preserve">	[Index(nameof(BodyNo), Name="IX_AsyAdoTotalDelayFinalAsakai_BodyNo")]</v>
      </c>
      <c r="M9" t="str">
        <f>REPT(CHAR(9),2)&amp;"public virtual "&amp;IF(OR(H9="DateTime",H9="TimeSpan"),H9&amp;"?",H9)&amp;IF(C9="?","? "," ")&amp;D9&amp;" { get; set; }" &amp; "
"</f>
        <v xml:space="preserve">		public virtual string BodyNo { get; set; }
</v>
      </c>
      <c r="N9" t="str">
        <f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[Required]
		[StringLength(AsyAdoTotalDelayFinalAsakaiConsts.MaxBodyNoLength)]
		public virtual string BodyNo { get; set; }
</v>
      </c>
      <c r="O9" t="str">
        <f>IF(OR(H9="string",H9="DateTime",H9="int"),REPT(CHAR(9),2)&amp;"public virtual "&amp;IF(OR(H9="DateTime",H9="TimeSpan"),H9&amp;"?",H9)&amp;IF(C9="?","? "," ")&amp;D9&amp;" { get; set; }"&amp;$E$3,"")</f>
        <v xml:space="preserve">		public virtual string BodyNo { get; set; }
</v>
      </c>
      <c r="P9" t="str">
        <f t="shared" ref="P9:P13" si="4">REPT(CHAR(9),7)&amp;D9&amp;" = o." &amp;D9 &amp;","</f>
        <v xml:space="preserve">							BodyNo = o.BodyNo,</v>
      </c>
      <c r="T9" s="69" t="str">
        <f>REPT(CHAR(9),8)&amp;"("""&amp;D9&amp;"""),"</f>
        <v xml:space="preserve">								("BodyNo"),</v>
      </c>
      <c r="V9" s="70" t="str">
        <f>REPT(CHAR(9),8)&amp;"_ =&gt; _."&amp;D9&amp;","</f>
        <v xml:space="preserve">								_ =&gt; _.BodyNo,</v>
      </c>
      <c r="W9" s="69" t="str">
        <f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.WhereIf(!string.IsNullOrWhiteSpace(input.BodyNo), e =&gt; e.BodyNo.Contains(input.BodyNo))</v>
      </c>
    </row>
    <row r="10" spans="1:23" customFormat="1" ht="21" customHeight="1" x14ac:dyDescent="0.25">
      <c r="A10" t="s">
        <v>275</v>
      </c>
      <c r="B10" t="s">
        <v>276</v>
      </c>
      <c r="C10" t="s">
        <v>80</v>
      </c>
      <c r="D10" t="str">
        <f t="shared" ref="D10:D11" si="5">SUBSTITUTE(PROPER(A10),"_","")</f>
        <v>LotNo</v>
      </c>
      <c r="E10" t="str">
        <f t="shared" si="0"/>
        <v>nvarchar</v>
      </c>
      <c r="F10" s="7"/>
      <c r="G10" t="str">
        <f t="shared" si="1"/>
        <v>20</v>
      </c>
      <c r="H10" t="str">
        <f>+VLOOKUP(E10,'Data Type Mapping'!A:B,2,)</f>
        <v>string</v>
      </c>
      <c r="I10" t="str">
        <f t="shared" si="2"/>
        <v xml:space="preserve">		public const int MaxLotNoLength = 20;
</v>
      </c>
      <c r="J10" t="str">
        <f t="shared" si="3"/>
        <v xml:space="preserve">		[Required]
		[StringLength(MaxLotNoLength)]
		public virtual string LotNo { get; set; }
</v>
      </c>
      <c r="K10" s="7" t="s">
        <v>207</v>
      </c>
      <c r="L10" t="str">
        <f t="shared" ref="L10:L11" si="6">IF(K10="","",REPT(CHAR(9),1)&amp;"[Index(nameof("&amp;IF(D10="","",""&amp;D10)&amp;")"&amp;", Name="&amp;"""IX_"&amp;$B$7&amp;"_"&amp;D10&amp;""")]")</f>
        <v xml:space="preserve">	[Index(nameof(LotNo), Name="IX_AsyAdoTotalDelayFinalAsakai_LotNo")]</v>
      </c>
      <c r="M10" t="str">
        <f t="shared" ref="M10:M17" si="7">REPT(CHAR(9),2)&amp;"public virtual "&amp;IF(OR(H10="DateTime",H10="TimeSpan"),H10&amp;"?",H10)&amp;IF(C10="?","? "," ")&amp;D10&amp;" { get; set; }" &amp; "
"</f>
        <v xml:space="preserve">		public virtual string LotNo { get; set; }
</v>
      </c>
      <c r="N10" t="str">
        <f t="shared" ref="N10:N17" si="8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[Required]
		[StringLength(AsyAdoTotalDelayFinalAsakaiConsts.MaxLotNoLength)]
		public virtual string LotNo { get; set; }
</v>
      </c>
      <c r="O10" t="str">
        <f t="shared" ref="O10:O17" si="9">IF(OR(H10="string",H10="DateTime",H10="int"),REPT(CHAR(9),2)&amp;"public virtual "&amp;IF(OR(H10="DateTime",H10="TimeSpan"),H10&amp;"?",H10)&amp;IF(C10="?","? "," ")&amp;D10&amp;" { get; set; }"&amp;$E$3,"")</f>
        <v xml:space="preserve">		public virtual string LotNo { get; set; }
</v>
      </c>
      <c r="P10" t="str">
        <f t="shared" si="4"/>
        <v xml:space="preserve">							LotNo = o.LotNo,</v>
      </c>
      <c r="T10" s="69" t="str">
        <f t="shared" ref="T10:T17" si="10">REPT(CHAR(9),8)&amp;"("""&amp;D10&amp;"""),"</f>
        <v xml:space="preserve">								("LotNo"),</v>
      </c>
      <c r="V10" s="70" t="str">
        <f t="shared" ref="V10:V17" si="11">REPT(CHAR(9),8)&amp;"_ =&gt; _."&amp;D10&amp;","</f>
        <v xml:space="preserve">								_ =&gt; _.LotNo,</v>
      </c>
      <c r="W10" s="69" t="str">
        <f t="shared" ref="W10:W17" si="12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.WhereIf(!string.IsNullOrWhiteSpace(input.LotNo), e =&gt; e.LotNo.Contains(input.LotNo))</v>
      </c>
    </row>
    <row r="11" spans="1:23" customFormat="1" ht="18.75" customHeight="1" x14ac:dyDescent="0.25">
      <c r="A11" t="s">
        <v>277</v>
      </c>
      <c r="B11" t="s">
        <v>274</v>
      </c>
      <c r="C11" t="s">
        <v>1</v>
      </c>
      <c r="D11" t="str">
        <f t="shared" si="5"/>
        <v>Color</v>
      </c>
      <c r="E11" t="str">
        <f t="shared" si="0"/>
        <v>nvarchar</v>
      </c>
      <c r="F11" s="7"/>
      <c r="G11" t="str">
        <f t="shared" si="1"/>
        <v>10</v>
      </c>
      <c r="H11" t="str">
        <f>+VLOOKUP(E11,'Data Type Mapping'!A:B,2,)</f>
        <v>string</v>
      </c>
      <c r="I11" t="str">
        <f t="shared" si="2"/>
        <v xml:space="preserve">		public const int MaxColorLength = 10;
</v>
      </c>
      <c r="J11" t="str">
        <f t="shared" si="3"/>
        <v xml:space="preserve">		[StringLength(MaxColorLength)]
		public virtual string Color { get; set; }
</v>
      </c>
      <c r="K11" s="7"/>
      <c r="L11" t="str">
        <f t="shared" si="6"/>
        <v/>
      </c>
      <c r="M11" t="str">
        <f t="shared" si="7"/>
        <v xml:space="preserve">		public virtual string Color { get; set; }
</v>
      </c>
      <c r="N11" t="str">
        <f t="shared" si="8"/>
        <v xml:space="preserve">		[StringLength(AsyAdoTotalDelayFinalAsakaiConsts.MaxColorLength)]
		public virtual string Color { get; set; }
</v>
      </c>
      <c r="O11" t="str">
        <f t="shared" si="9"/>
        <v xml:space="preserve">		public virtual string Color { get; set; }
</v>
      </c>
      <c r="P11" t="str">
        <f t="shared" si="4"/>
        <v xml:space="preserve">							Color = o.Color,</v>
      </c>
      <c r="T11" s="69" t="str">
        <f t="shared" si="10"/>
        <v xml:space="preserve">								("Color"),</v>
      </c>
      <c r="V11" s="70" t="str">
        <f t="shared" si="11"/>
        <v xml:space="preserve">								_ =&gt; _.Color,</v>
      </c>
      <c r="W11" s="69" t="str">
        <f t="shared" si="12"/>
        <v xml:space="preserve">				.WhereIf(!string.IsNullOrWhiteSpace(input.Color), e =&gt; e.Color.Contains(input.Color))</v>
      </c>
    </row>
    <row r="12" spans="1:23" customFormat="1" ht="22.5" customHeight="1" x14ac:dyDescent="0.25">
      <c r="A12" t="s">
        <v>278</v>
      </c>
      <c r="B12" t="s">
        <v>274</v>
      </c>
      <c r="C12" t="s">
        <v>1</v>
      </c>
      <c r="D12" t="str">
        <f>SUBSTITUTE(PROPER(A12),"_","")</f>
        <v>TotalDelayLeadTime</v>
      </c>
      <c r="E12" t="str">
        <f t="shared" si="0"/>
        <v>nvarchar</v>
      </c>
      <c r="F12" s="7"/>
      <c r="G12" t="str">
        <f t="shared" si="1"/>
        <v>10</v>
      </c>
      <c r="H12" t="str">
        <f>+VLOOKUP(E12,'Data Type Mapping'!A:B,2,)</f>
        <v>string</v>
      </c>
      <c r="I12" t="str">
        <f t="shared" si="2"/>
        <v xml:space="preserve">		public const int MaxTotalDelayLeadTimeLength = 10;
</v>
      </c>
      <c r="J12" t="str">
        <f t="shared" si="3"/>
        <v xml:space="preserve">		[StringLength(MaxTotalDelayLeadTimeLength)]
		public virtual string TotalDelayLeadTime { get; set; }
</v>
      </c>
      <c r="K12" s="7"/>
      <c r="L12" t="str">
        <f>IF(K12="","",REPT(CHAR(9),1)&amp;"[Index(nameof("&amp;IF(D12="","",""&amp;D12)&amp;")"&amp;", Name="&amp;"""IX_"&amp;$B$7&amp;"_"&amp;D12&amp;""")]")</f>
        <v/>
      </c>
      <c r="M12" t="str">
        <f t="shared" si="7"/>
        <v xml:space="preserve">		public virtual string TotalDelayLeadTime { get; set; }
</v>
      </c>
      <c r="N12" t="str">
        <f t="shared" si="8"/>
        <v xml:space="preserve">		[StringLength(AsyAdoTotalDelayFinalAsakaiConsts.MaxTotalDelayLeadTimeLength)]
		public virtual string TotalDelayLeadTime { get; set; }
</v>
      </c>
      <c r="O12" t="str">
        <f t="shared" si="9"/>
        <v xml:space="preserve">		public virtual string TotalDelayLeadTime { get; set; }
</v>
      </c>
      <c r="P12" t="str">
        <f t="shared" si="4"/>
        <v xml:space="preserve">							TotalDelayLeadTime = o.TotalDelayLeadTime,</v>
      </c>
      <c r="T12" s="69" t="str">
        <f t="shared" si="10"/>
        <v xml:space="preserve">								("TotalDelayLeadTime"),</v>
      </c>
      <c r="V12" s="70" t="str">
        <f t="shared" si="11"/>
        <v xml:space="preserve">								_ =&gt; _.TotalDelayLeadTime,</v>
      </c>
      <c r="W12" s="69" t="str">
        <f t="shared" si="12"/>
        <v xml:space="preserve">				.WhereIf(!string.IsNullOrWhiteSpace(input.TotalDelayLeadTime), e =&gt; e.TotalDelayLeadTime.Contains(input.TotalDelayLeadTime))</v>
      </c>
    </row>
    <row r="13" spans="1:23" customFormat="1" ht="21" customHeight="1" x14ac:dyDescent="0.25">
      <c r="A13" t="s">
        <v>279</v>
      </c>
      <c r="B13" t="s">
        <v>249</v>
      </c>
      <c r="C13" t="s">
        <v>1</v>
      </c>
      <c r="D13" t="str">
        <f t="shared" ref="D13:D15" si="13">SUBSTITUTE(PROPER(A13),"_","")</f>
        <v>DispatchPlanDatetime</v>
      </c>
      <c r="E13" t="str">
        <f t="shared" si="0"/>
        <v>datetime2</v>
      </c>
      <c r="F13" s="7"/>
      <c r="G13" t="str">
        <f t="shared" si="1"/>
        <v>7</v>
      </c>
      <c r="H13" t="str">
        <f>+VLOOKUP(E13,'Data Type Mapping'!A:B,2,)</f>
        <v>DateTime</v>
      </c>
      <c r="I13" t="str">
        <f t="shared" si="2"/>
        <v/>
      </c>
      <c r="J13" t="str">
        <f t="shared" si="3"/>
        <v xml:space="preserve">		public virtual DateTime DispatchPlanDatetime { get; set; }
</v>
      </c>
      <c r="K13" s="7"/>
      <c r="L13" t="str">
        <f t="shared" ref="L13:L15" si="14">IF(K13="","",REPT(CHAR(9),1)&amp;"[Index(nameof("&amp;IF(D13="","",""&amp;D13)&amp;")"&amp;", Name="&amp;"""IX_"&amp;$B$7&amp;"_"&amp;D13&amp;""")]")</f>
        <v/>
      </c>
      <c r="M13" t="str">
        <f t="shared" si="7"/>
        <v xml:space="preserve">		public virtual DateTime? DispatchPlanDatetime { get; set; }
</v>
      </c>
      <c r="N13" t="str">
        <f t="shared" si="8"/>
        <v xml:space="preserve">		public virtual DateTime? DispatchPlanDatetime { get; set; }
</v>
      </c>
      <c r="O13" t="str">
        <f t="shared" si="9"/>
        <v xml:space="preserve">		public virtual DateTime? DispatchPlanDatetime { get; set; }
</v>
      </c>
      <c r="P13" t="str">
        <f t="shared" si="4"/>
        <v xml:space="preserve">							DispatchPlanDatetime = o.DispatchPlanDatetime,</v>
      </c>
      <c r="T13" s="69" t="str">
        <f t="shared" si="10"/>
        <v xml:space="preserve">								("DispatchPlanDatetime"),</v>
      </c>
      <c r="V13" s="70" t="str">
        <f t="shared" si="11"/>
        <v xml:space="preserve">								_ =&gt; _.DispatchPlanDatetime,</v>
      </c>
      <c r="W13" s="69" t="str">
        <f t="shared" si="12"/>
        <v xml:space="preserve">				.WhereIf(input.DispatchPlanDatetime.HasValue, t =&gt; t.DispatchPlanDatetime == input.DispatchPlanDatetime.Value)</v>
      </c>
    </row>
    <row r="14" spans="1:23" customFormat="1" ht="21" customHeight="1" x14ac:dyDescent="0.25">
      <c r="A14" t="s">
        <v>280</v>
      </c>
      <c r="B14" t="s">
        <v>281</v>
      </c>
      <c r="C14" t="s">
        <v>1</v>
      </c>
      <c r="D14" t="str">
        <f t="shared" si="13"/>
        <v>CurrLocation</v>
      </c>
      <c r="E14" t="str">
        <f t="shared" ref="E14:E17" si="15">IFERROR(LEFT(B14, FIND("(",B14)-1),B14)</f>
        <v>nvarchar</v>
      </c>
      <c r="F14" s="7"/>
      <c r="G14" t="str">
        <f t="shared" ref="G14:G17" si="16">IFERROR(MID(B14,FIND("(",B14) +1, FIND(")",B14) - FIND("(",B14) - 1),"")</f>
        <v>255</v>
      </c>
      <c r="H14" t="str">
        <f>+VLOOKUP(E14,'Data Type Mapping'!A:B,2,)</f>
        <v>string</v>
      </c>
      <c r="I14" t="str">
        <f t="shared" ref="I14:I17" si="17">IF(H14="string",REPT(CHAR(9),2)&amp;"public const int Max"&amp;D14&amp;"Length = "&amp;G14&amp;";"&amp;$E$3,"" )</f>
        <v xml:space="preserve">		public const int MaxCurrLocationLength = 255;
</v>
      </c>
      <c r="J14" t="str">
        <f t="shared" ref="J14:J17" si="18">IF(F14="","",REPT(CHAR(9),2)&amp;"[Column(TypeName="""&amp;F14&amp;""")]"&amp;$E$3)&amp;IF(C14="Checked","",$I$3)&amp;IF(H14="string",REPT(CHAR(9),2)&amp;"[StringLength(Max"&amp;D14&amp;"Length"&amp;")]"&amp;$E$3,"")&amp;REPT(CHAR(9),2)&amp;"public virtual "&amp;H14&amp;IF(C14="?","? "," ")&amp;D14&amp;" { get; set; }" &amp; "
"</f>
        <v xml:space="preserve">		[StringLength(MaxCurrLocationLength)]
		public virtual string CurrLocation { get; set; }
</v>
      </c>
      <c r="K14" s="7"/>
      <c r="L14" t="str">
        <f t="shared" si="14"/>
        <v/>
      </c>
      <c r="M14" t="str">
        <f t="shared" si="7"/>
        <v xml:space="preserve">		public virtual string CurrLocation { get; set; }
</v>
      </c>
      <c r="N14" t="str">
        <f t="shared" si="8"/>
        <v xml:space="preserve">		[StringLength(AsyAdoTotalDelayFinalAsakaiConsts.MaxCurrLocationLength)]
		public virtual string CurrLocation { get; set; }
</v>
      </c>
      <c r="O14" t="str">
        <f t="shared" si="9"/>
        <v xml:space="preserve">		public virtual string CurrLocation { get; set; }
</v>
      </c>
      <c r="P14" t="str">
        <f t="shared" ref="P14:P17" si="19">REPT(CHAR(9),7)&amp;D14&amp;" = o." &amp;D14 &amp;","</f>
        <v xml:space="preserve">							CurrLocation = o.CurrLocation,</v>
      </c>
      <c r="T14" s="69" t="str">
        <f t="shared" si="10"/>
        <v xml:space="preserve">								("CurrLocation"),</v>
      </c>
      <c r="V14" s="70" t="str">
        <f t="shared" si="11"/>
        <v xml:space="preserve">								_ =&gt; _.CurrLocation,</v>
      </c>
      <c r="W14" s="69" t="str">
        <f t="shared" si="12"/>
        <v xml:space="preserve">				.WhereIf(!string.IsNullOrWhiteSpace(input.CurrLocation), e =&gt; e.CurrLocation.Contains(input.CurrLocation))</v>
      </c>
    </row>
    <row r="15" spans="1:23" customFormat="1" ht="18.75" customHeight="1" x14ac:dyDescent="0.25">
      <c r="A15" t="s">
        <v>282</v>
      </c>
      <c r="B15" t="s">
        <v>281</v>
      </c>
      <c r="C15" t="s">
        <v>1</v>
      </c>
      <c r="D15" t="str">
        <f t="shared" si="13"/>
        <v>Location</v>
      </c>
      <c r="E15" t="str">
        <f t="shared" si="15"/>
        <v>nvarchar</v>
      </c>
      <c r="F15" s="7"/>
      <c r="G15" t="str">
        <f t="shared" si="16"/>
        <v>255</v>
      </c>
      <c r="H15" t="str">
        <f>+VLOOKUP(E15,'Data Type Mapping'!A:B,2,)</f>
        <v>string</v>
      </c>
      <c r="I15" t="str">
        <f t="shared" si="17"/>
        <v xml:space="preserve">		public const int MaxLocationLength = 255;
</v>
      </c>
      <c r="J15" t="str">
        <f t="shared" si="18"/>
        <v xml:space="preserve">		[StringLength(MaxLocationLength)]
		public virtual string Location { get; set; }
</v>
      </c>
      <c r="K15" s="7"/>
      <c r="L15" t="str">
        <f t="shared" si="14"/>
        <v/>
      </c>
      <c r="M15" t="str">
        <f t="shared" si="7"/>
        <v xml:space="preserve">		public virtual string Location { get; set; }
</v>
      </c>
      <c r="N15" t="str">
        <f t="shared" si="8"/>
        <v xml:space="preserve">		[StringLength(AsyAdoTotalDelayFinalAsakaiConsts.MaxLocationLength)]
		public virtual string Location { get; set; }
</v>
      </c>
      <c r="O15" t="str">
        <f t="shared" si="9"/>
        <v xml:space="preserve">		public virtual string Location { get; set; }
</v>
      </c>
      <c r="P15" t="str">
        <f t="shared" si="19"/>
        <v xml:space="preserve">							Location = o.Location,</v>
      </c>
      <c r="T15" s="69" t="str">
        <f t="shared" si="10"/>
        <v xml:space="preserve">								("Location"),</v>
      </c>
      <c r="V15" s="70" t="str">
        <f t="shared" si="11"/>
        <v xml:space="preserve">								_ =&gt; _.Location,</v>
      </c>
      <c r="W15" s="69" t="str">
        <f t="shared" si="12"/>
        <v xml:space="preserve">				.WhereIf(!string.IsNullOrWhiteSpace(input.Location), e =&gt; e.Location.Contains(input.Location))</v>
      </c>
    </row>
    <row r="16" spans="1:23" customFormat="1" ht="22.5" customHeight="1" x14ac:dyDescent="0.25">
      <c r="A16" t="s">
        <v>283</v>
      </c>
      <c r="B16" t="s">
        <v>281</v>
      </c>
      <c r="C16" t="s">
        <v>1</v>
      </c>
      <c r="D16" t="str">
        <f>SUBSTITUTE(PROPER(A16),"_","")</f>
        <v>WDelayWithLeadTime</v>
      </c>
      <c r="E16" t="str">
        <f t="shared" si="15"/>
        <v>nvarchar</v>
      </c>
      <c r="F16" s="7"/>
      <c r="G16" t="str">
        <f t="shared" si="16"/>
        <v>255</v>
      </c>
      <c r="H16" t="str">
        <f>+VLOOKUP(E16,'Data Type Mapping'!A:B,2,)</f>
        <v>string</v>
      </c>
      <c r="I16" t="str">
        <f t="shared" si="17"/>
        <v xml:space="preserve">		public const int MaxWDelayWithLeadTimeLength = 255;
</v>
      </c>
      <c r="J16" t="str">
        <f t="shared" si="18"/>
        <v xml:space="preserve">		[StringLength(MaxWDelayWithLeadTimeLength)]
		public virtual string WDelayWithLeadTime { get; set; }
</v>
      </c>
      <c r="K16" s="7"/>
      <c r="L16" t="str">
        <f>IF(K16="","",REPT(CHAR(9),1)&amp;"[Index(nameof("&amp;IF(D16="","",""&amp;D16)&amp;")"&amp;", Name="&amp;"""IX_"&amp;$B$7&amp;"_"&amp;D16&amp;""")]")</f>
        <v/>
      </c>
      <c r="M16" t="str">
        <f t="shared" si="7"/>
        <v xml:space="preserve">		public virtual string WDelayWithLeadTime { get; set; }
</v>
      </c>
      <c r="N16" t="str">
        <f t="shared" si="8"/>
        <v xml:space="preserve">		[StringLength(AsyAdoTotalDelayFinalAsakaiConsts.MaxWDelayWithLeadTimeLength)]
		public virtual string WDelayWithLeadTime { get; set; }
</v>
      </c>
      <c r="O16" t="str">
        <f t="shared" si="9"/>
        <v xml:space="preserve">		public virtual string WDelayWithLeadTime { get; set; }
</v>
      </c>
      <c r="P16" t="str">
        <f t="shared" si="19"/>
        <v xml:space="preserve">							WDelayWithLeadTime = o.WDelayWithLeadTime,</v>
      </c>
      <c r="T16" s="69" t="str">
        <f t="shared" si="10"/>
        <v xml:space="preserve">								("WDelayWithLeadTime"),</v>
      </c>
      <c r="V16" s="70" t="str">
        <f t="shared" si="11"/>
        <v xml:space="preserve">								_ =&gt; _.WDelayWithLeadTime,</v>
      </c>
      <c r="W16" s="69" t="str">
        <f t="shared" si="12"/>
        <v xml:space="preserve">				.WhereIf(!string.IsNullOrWhiteSpace(input.WDelayWithLeadTime), e =&gt; e.WDelayWithLeadTime.Contains(input.WDelayWithLeadTime))</v>
      </c>
    </row>
    <row r="17" spans="1:23" customFormat="1" ht="21" customHeight="1" x14ac:dyDescent="0.25">
      <c r="A17" t="s">
        <v>284</v>
      </c>
      <c r="B17" t="s">
        <v>281</v>
      </c>
      <c r="C17" t="s">
        <v>1</v>
      </c>
      <c r="D17" t="str">
        <f t="shared" ref="D17" si="20">SUBSTITUTE(PROPER(A17),"_","")</f>
        <v>TDelayWithLeadTime</v>
      </c>
      <c r="E17" t="str">
        <f t="shared" si="15"/>
        <v>nvarchar</v>
      </c>
      <c r="F17" s="7"/>
      <c r="G17" t="str">
        <f t="shared" si="16"/>
        <v>255</v>
      </c>
      <c r="H17" t="str">
        <f>+VLOOKUP(E17,'Data Type Mapping'!A:B,2,)</f>
        <v>string</v>
      </c>
      <c r="I17" t="str">
        <f t="shared" si="17"/>
        <v xml:space="preserve">		public const int MaxTDelayWithLeadTimeLength = 255;
</v>
      </c>
      <c r="J17" t="str">
        <f t="shared" si="18"/>
        <v xml:space="preserve">		[StringLength(MaxTDelayWithLeadTimeLength)]
		public virtual string TDelayWithLeadTime { get; set; }
</v>
      </c>
      <c r="K17" s="7"/>
      <c r="L17" t="str">
        <f t="shared" ref="L17" si="21">IF(K17="","",REPT(CHAR(9),1)&amp;"[Index(nameof("&amp;IF(D17="","",""&amp;D17)&amp;")"&amp;", Name="&amp;"""IX_"&amp;$B$7&amp;"_"&amp;D17&amp;""")]")</f>
        <v/>
      </c>
      <c r="M17" t="str">
        <f t="shared" si="7"/>
        <v xml:space="preserve">		public virtual string TDelayWithLeadTime { get; set; }
</v>
      </c>
      <c r="N17" t="str">
        <f t="shared" si="8"/>
        <v xml:space="preserve">		[StringLength(AsyAdoTotalDelayFinalAsakaiConsts.MaxTDelayWithLeadTimeLength)]
		public virtual string TDelayWithLeadTime { get; set; }
</v>
      </c>
      <c r="O17" t="str">
        <f t="shared" si="9"/>
        <v xml:space="preserve">		public virtual string TDelayWithLeadTime { get; set; }
</v>
      </c>
      <c r="P17" t="str">
        <f t="shared" si="19"/>
        <v xml:space="preserve">							TDelayWithLeadTime = o.TDelayWithLeadTime,</v>
      </c>
      <c r="T17" s="69" t="str">
        <f t="shared" si="10"/>
        <v xml:space="preserve">								("TDelayWithLeadTime"),</v>
      </c>
      <c r="V17" s="70" t="str">
        <f t="shared" si="11"/>
        <v xml:space="preserve">								_ =&gt; _.TDelayWithLeadTime,</v>
      </c>
      <c r="W17" s="69" t="str">
        <f t="shared" si="12"/>
        <v xml:space="preserve">				.WhereIf(!string.IsNullOrWhiteSpace(input.TDelayWithLeadTime), e =&gt; e.TDelayWithLeadTime.Contains(input.TDelayWithLeadTime))</v>
      </c>
    </row>
    <row r="18" spans="1:23" customFormat="1" ht="21" customHeight="1" x14ac:dyDescent="0.25">
      <c r="A18" t="s">
        <v>285</v>
      </c>
      <c r="B18" t="s">
        <v>281</v>
      </c>
      <c r="C18" t="s">
        <v>1</v>
      </c>
      <c r="D18" t="str">
        <f t="shared" ref="D18:D19" si="22">SUBSTITUTE(PROPER(A18),"_","")</f>
        <v>ADelayWithLeadTime</v>
      </c>
      <c r="E18" t="str">
        <f t="shared" ref="E18:E21" si="23">IFERROR(LEFT(B18, FIND("(",B18)-1),B18)</f>
        <v>nvarchar</v>
      </c>
      <c r="F18" s="7"/>
      <c r="G18" t="str">
        <f t="shared" ref="G18:G21" si="24">IFERROR(MID(B18,FIND("(",B18) +1, FIND(")",B18) - FIND("(",B18) - 1),"")</f>
        <v>255</v>
      </c>
      <c r="H18" t="str">
        <f>+VLOOKUP(E18,'Data Type Mapping'!A:B,2,)</f>
        <v>string</v>
      </c>
      <c r="I18" t="str">
        <f t="shared" ref="I18:I21" si="25">IF(H18="string",REPT(CHAR(9),2)&amp;"public const int Max"&amp;D18&amp;"Length = "&amp;G18&amp;";"&amp;$E$3,"" )</f>
        <v xml:space="preserve">		public const int MaxADelayWithLeadTimeLength = 255;
</v>
      </c>
      <c r="J18" t="str">
        <f t="shared" ref="J18:J21" si="26">IF(F18="","",REPT(CHAR(9),2)&amp;"[Column(TypeName="""&amp;F18&amp;""")]"&amp;$E$3)&amp;IF(C18="Checked","",$I$3)&amp;IF(H18="string",REPT(CHAR(9),2)&amp;"[StringLength(Max"&amp;D18&amp;"Length"&amp;")]"&amp;$E$3,"")&amp;REPT(CHAR(9),2)&amp;"public virtual "&amp;H18&amp;IF(C18="?","? "," ")&amp;D18&amp;" { get; set; }" &amp; "
"</f>
        <v xml:space="preserve">		[StringLength(MaxADelayWithLeadTimeLength)]
		public virtual string ADelayWithLeadTime { get; set; }
</v>
      </c>
      <c r="K18" s="7"/>
      <c r="L18" t="str">
        <f t="shared" ref="L18:L19" si="27">IF(K18="","",REPT(CHAR(9),1)&amp;"[Index(nameof("&amp;IF(D18="","",""&amp;D18)&amp;")"&amp;", Name="&amp;"""IX_"&amp;$B$7&amp;"_"&amp;D18&amp;""")]")</f>
        <v/>
      </c>
      <c r="M18" t="str">
        <f t="shared" ref="M18:M21" si="28">REPT(CHAR(9),2)&amp;"public virtual "&amp;IF(OR(H18="DateTime",H18="TimeSpan"),H18&amp;"?",H18)&amp;IF(C18="?","? "," ")&amp;D18&amp;" { get; set; }" &amp; "
"</f>
        <v xml:space="preserve">		public virtual string ADelayWithLeadTime { get; set; }
</v>
      </c>
      <c r="N18" t="str">
        <f t="shared" ref="N18:N21" si="29">IF(C18="Checked","",$I$3)&amp;IF(H18="string",REPT(CHAR(9),2)&amp;"[StringLength("&amp;$B$3&amp;"Consts.Max"&amp;D18&amp;"Length"&amp;")]"&amp;$E$3,"")&amp;REPT(CHAR(9),2)&amp;"public virtual "&amp;IF(OR(H18="DateTime",H18="TimeSpan"),H18&amp;"?",H18)&amp;IF(C18="?","? "," ")&amp;D18&amp;" { get; set; }" &amp; "
"</f>
        <v xml:space="preserve">		[StringLength(AsyAdoTotalDelayFinalAsakaiConsts.MaxADelayWithLeadTimeLength)]
		public virtual string ADelayWithLeadTime { get; set; }
</v>
      </c>
      <c r="O18" t="str">
        <f t="shared" ref="O18:O21" si="30">IF(OR(H18="string",H18="DateTime",H18="int"),REPT(CHAR(9),2)&amp;"public virtual "&amp;IF(OR(H18="DateTime",H18="TimeSpan"),H18&amp;"?",H18)&amp;IF(C18="?","? "," ")&amp;D18&amp;" { get; set; }"&amp;$E$3,"")</f>
        <v xml:space="preserve">		public virtual string ADelayWithLeadTime { get; set; }
</v>
      </c>
      <c r="P18" t="str">
        <f t="shared" ref="P18:P21" si="31">REPT(CHAR(9),7)&amp;D18&amp;" = o." &amp;D18 &amp;","</f>
        <v xml:space="preserve">							ADelayWithLeadTime = o.ADelayWithLeadTime,</v>
      </c>
      <c r="T18" s="69" t="str">
        <f t="shared" ref="T18:T21" si="32">REPT(CHAR(9),8)&amp;"("""&amp;D18&amp;"""),"</f>
        <v xml:space="preserve">								("ADelayWithLeadTime"),</v>
      </c>
      <c r="V18" s="70" t="str">
        <f t="shared" ref="V18:V21" si="33">REPT(CHAR(9),8)&amp;"_ =&gt; _."&amp;D18&amp;","</f>
        <v xml:space="preserve">								_ =&gt; _.ADelayWithLeadTime,</v>
      </c>
      <c r="W18" s="69" t="str">
        <f t="shared" ref="W18:W21" si="34">IF(H18="string",REPT(CHAR(9),4)&amp;".WhereIf(!string.IsNullOrWhiteSpace(input."&amp;D18&amp;"), e =&gt; e."&amp;D18&amp;".Contains(input."&amp;D18&amp;"))",IF(H18="DateTime",REPT(CHAR(9),4)&amp;".WhereIf(input."&amp;D18&amp;".HasValue, t =&gt; t."&amp;D18&amp;" == input."&amp;D18&amp;".Value)",""))</f>
        <v xml:space="preserve">				.WhereIf(!string.IsNullOrWhiteSpace(input.ADelayWithLeadTime), e =&gt; e.ADelayWithLeadTime.Contains(input.ADelayWithLeadTime))</v>
      </c>
    </row>
    <row r="19" spans="1:23" customFormat="1" ht="18.75" customHeight="1" x14ac:dyDescent="0.25">
      <c r="A19" t="s">
        <v>286</v>
      </c>
      <c r="B19" t="s">
        <v>281</v>
      </c>
      <c r="C19" t="s">
        <v>1</v>
      </c>
      <c r="D19" t="str">
        <f t="shared" si="22"/>
        <v>IDelayWithLeadTime</v>
      </c>
      <c r="E19" t="str">
        <f t="shared" si="23"/>
        <v>nvarchar</v>
      </c>
      <c r="F19" s="7"/>
      <c r="G19" t="str">
        <f t="shared" si="24"/>
        <v>255</v>
      </c>
      <c r="H19" t="str">
        <f>+VLOOKUP(E19,'Data Type Mapping'!A:B,2,)</f>
        <v>string</v>
      </c>
      <c r="I19" t="str">
        <f t="shared" si="25"/>
        <v xml:space="preserve">		public const int MaxIDelayWithLeadTimeLength = 255;
</v>
      </c>
      <c r="J19" t="str">
        <f t="shared" si="26"/>
        <v xml:space="preserve">		[StringLength(MaxIDelayWithLeadTimeLength)]
		public virtual string IDelayWithLeadTime { get; set; }
</v>
      </c>
      <c r="K19" s="7"/>
      <c r="L19" t="str">
        <f t="shared" si="27"/>
        <v/>
      </c>
      <c r="M19" t="str">
        <f t="shared" si="28"/>
        <v xml:space="preserve">		public virtual string IDelayWithLeadTime { get; set; }
</v>
      </c>
      <c r="N19" t="str">
        <f t="shared" si="29"/>
        <v xml:space="preserve">		[StringLength(AsyAdoTotalDelayFinalAsakaiConsts.MaxIDelayWithLeadTimeLength)]
		public virtual string IDelayWithLeadTime { get; set; }
</v>
      </c>
      <c r="O19" t="str">
        <f t="shared" si="30"/>
        <v xml:space="preserve">		public virtual string IDelayWithLeadTime { get; set; }
</v>
      </c>
      <c r="P19" t="str">
        <f t="shared" si="31"/>
        <v xml:space="preserve">							IDelayWithLeadTime = o.IDelayWithLeadTime,</v>
      </c>
      <c r="T19" s="69" t="str">
        <f t="shared" si="32"/>
        <v xml:space="preserve">								("IDelayWithLeadTime"),</v>
      </c>
      <c r="V19" s="70" t="str">
        <f t="shared" si="33"/>
        <v xml:space="preserve">								_ =&gt; _.IDelayWithLeadTime,</v>
      </c>
      <c r="W19" s="69" t="str">
        <f t="shared" si="34"/>
        <v xml:space="preserve">				.WhereIf(!string.IsNullOrWhiteSpace(input.IDelayWithLeadTime), e =&gt; e.IDelayWithLeadTime.Contains(input.IDelayWithLeadTime))</v>
      </c>
    </row>
    <row r="20" spans="1:23" customFormat="1" ht="22.5" customHeight="1" x14ac:dyDescent="0.25">
      <c r="A20" t="s">
        <v>287</v>
      </c>
      <c r="B20" t="s">
        <v>281</v>
      </c>
      <c r="C20" t="s">
        <v>1</v>
      </c>
      <c r="D20" t="str">
        <f>SUBSTITUTE(PROPER(A20),"_","")</f>
        <v>FOutDelay</v>
      </c>
      <c r="E20" t="str">
        <f t="shared" si="23"/>
        <v>nvarchar</v>
      </c>
      <c r="F20" s="7"/>
      <c r="G20" t="str">
        <f t="shared" si="24"/>
        <v>255</v>
      </c>
      <c r="H20" t="str">
        <f>+VLOOKUP(E20,'Data Type Mapping'!A:B,2,)</f>
        <v>string</v>
      </c>
      <c r="I20" t="str">
        <f t="shared" si="25"/>
        <v xml:space="preserve">		public const int MaxFOutDelayLength = 255;
</v>
      </c>
      <c r="J20" t="str">
        <f t="shared" si="26"/>
        <v xml:space="preserve">		[StringLength(MaxFOutDelayLength)]
		public virtual string FOutDelay { get; set; }
</v>
      </c>
      <c r="K20" s="7"/>
      <c r="L20" t="str">
        <f>IF(K20="","",REPT(CHAR(9),1)&amp;"[Index(nameof("&amp;IF(D20="","",""&amp;D20)&amp;")"&amp;", Name="&amp;"""IX_"&amp;$B$7&amp;"_"&amp;D20&amp;""")]")</f>
        <v/>
      </c>
      <c r="M20" t="str">
        <f t="shared" si="28"/>
        <v xml:space="preserve">		public virtual string FOutDelay { get; set; }
</v>
      </c>
      <c r="N20" t="str">
        <f t="shared" si="29"/>
        <v xml:space="preserve">		[StringLength(AsyAdoTotalDelayFinalAsakaiConsts.MaxFOutDelayLength)]
		public virtual string FOutDelay { get; set; }
</v>
      </c>
      <c r="O20" t="str">
        <f t="shared" si="30"/>
        <v xml:space="preserve">		public virtual string FOutDelay { get; set; }
</v>
      </c>
      <c r="P20" t="str">
        <f t="shared" si="31"/>
        <v xml:space="preserve">							FOutDelay = o.FOutDelay,</v>
      </c>
      <c r="T20" s="69" t="str">
        <f t="shared" si="32"/>
        <v xml:space="preserve">								("FOutDelay"),</v>
      </c>
      <c r="V20" s="70" t="str">
        <f t="shared" si="33"/>
        <v xml:space="preserve">								_ =&gt; _.FOutDelay,</v>
      </c>
      <c r="W20" s="69" t="str">
        <f t="shared" si="34"/>
        <v xml:space="preserve">				.WhereIf(!string.IsNullOrWhiteSpace(input.FOutDelay), e =&gt; e.FOutDelay.Contains(input.FOutDelay))</v>
      </c>
    </row>
    <row r="21" spans="1:23" customFormat="1" ht="21" customHeight="1" x14ac:dyDescent="0.25">
      <c r="A21" t="s">
        <v>288</v>
      </c>
      <c r="B21" t="s">
        <v>289</v>
      </c>
      <c r="C21" t="s">
        <v>1</v>
      </c>
      <c r="D21" t="str">
        <f t="shared" ref="D21" si="35">SUBSTITUTE(PROPER(A21),"_","")</f>
        <v>DelayFlag</v>
      </c>
      <c r="E21" t="str">
        <f t="shared" si="23"/>
        <v>varchar</v>
      </c>
      <c r="F21" s="7"/>
      <c r="G21" t="str">
        <f t="shared" si="24"/>
        <v>1</v>
      </c>
      <c r="H21" t="str">
        <f>+VLOOKUP(E21,'Data Type Mapping'!A:B,2,)</f>
        <v>string</v>
      </c>
      <c r="I21" t="str">
        <f t="shared" si="25"/>
        <v xml:space="preserve">		public const int MaxDelayFlagLength = 1;
</v>
      </c>
      <c r="J21" t="str">
        <f t="shared" si="26"/>
        <v xml:space="preserve">		[StringLength(MaxDelayFlagLength)]
		public virtual string DelayFlag { get; set; }
</v>
      </c>
      <c r="K21" s="7" t="s">
        <v>207</v>
      </c>
      <c r="L21" t="str">
        <f t="shared" ref="L21" si="36">IF(K21="","",REPT(CHAR(9),1)&amp;"[Index(nameof("&amp;IF(D21="","",""&amp;D21)&amp;")"&amp;", Name="&amp;"""IX_"&amp;$B$7&amp;"_"&amp;D21&amp;""")]")</f>
        <v xml:space="preserve">	[Index(nameof(DelayFlag), Name="IX_AsyAdoTotalDelayFinalAsakai_DelayFlag")]</v>
      </c>
      <c r="M21" t="str">
        <f t="shared" si="28"/>
        <v xml:space="preserve">		public virtual string DelayFlag { get; set; }
</v>
      </c>
      <c r="N21" t="str">
        <f t="shared" si="29"/>
        <v xml:space="preserve">		[StringLength(AsyAdoTotalDelayFinalAsakaiConsts.MaxDelayFlagLength)]
		public virtual string DelayFlag { get; set; }
</v>
      </c>
      <c r="O21" t="str">
        <f t="shared" si="30"/>
        <v xml:space="preserve">		public virtual string DelayFlag { get; set; }
</v>
      </c>
      <c r="P21" t="str">
        <f t="shared" si="31"/>
        <v xml:space="preserve">							DelayFlag = o.DelayFlag,</v>
      </c>
      <c r="T21" s="69" t="str">
        <f t="shared" si="32"/>
        <v xml:space="preserve">								("DelayFlag"),</v>
      </c>
      <c r="V21" s="70" t="str">
        <f t="shared" si="33"/>
        <v xml:space="preserve">								_ =&gt; _.DelayFlag,</v>
      </c>
      <c r="W21" s="69" t="str">
        <f t="shared" si="34"/>
        <v xml:space="preserve">				.WhereIf(!string.IsNullOrWhiteSpace(input.DelayFlag), e =&gt; e.DelayFlag.Contains(input.DelayFlag))</v>
      </c>
    </row>
    <row r="23" spans="1:23" ht="45.75" customHeight="1" x14ac:dyDescent="0.25">
      <c r="H23" s="12"/>
      <c r="I23" s="34" t="str">
        <f ca="1">TEXTJOIN2("
", TRUE,INDIRECT( $H$1):INDIRECT( $H$3))</f>
        <v xml:space="preserve">		public const int MaxBodyNoLength = 10;
		public const int MaxLotNoLength = 20;
		public const int MaxColorLength = 10;
		public const int MaxTotalDelayLeadTimeLength = 10;
		public const int MaxCurrLocationLength = 255;
		public const int MaxLocationLength = 255;
		public const int MaxWDelayWithLeadTimeLength = 255;
		public const int MaxTDelayWithLeadTimeLength = 255;
		public const int MaxADelayWithLeadTimeLength = 255;
		public const int MaxIDelayWithLeadTimeLength = 255;
		public const int MaxFOutDelayLength = 255;
		public const int MaxDelayFlagLength = 1;
</v>
      </c>
      <c r="J23" s="33" t="str">
        <f ca="1">TEXTJOIN2("
", TRUE,INDIRECT( $F$1):INDIRECT( $F$3))</f>
        <v xml:space="preserve">		[Required]
		[StringLength(MaxBodyNoLength)]
		public virtual string BodyNo { get; set; }
		[Required]
		[StringLength(MaxLotNoLength)]
		public virtual string LotNo { get; set; }
		[StringLength(MaxColorLength)]
		public virtual string Color { get; set; }
		[StringLength(MaxTotalDelayLeadTimeLength)]
		public virtual string TotalDelayLeadTime { get; set; }
		public virtual DateTime DispatchPlanDatetime { get; set; }
		[StringLength(MaxCurrLocationLength)]
		public virtual string CurrLocation { get; set; }
		[StringLength(MaxLocationLength)]
		public virtual string Location { get; set; }
		[StringLength(MaxWDelayWithLeadTimeLength)]
		public virtual string WDelayWithLeadTime { get; set; }
		[StringLength(MaxTDelayWithLeadTimeLength)]
		public virtual string TDelayWithLeadTime { get; set; }
		[StringLength(MaxADelayWithLeadTimeLength)]
		public virtual string ADelayWithLeadTime { get; set; }
		[StringLength(MaxIDelayWithLeadTimeLength)]
		public virtual string IDelayWithLeadTime { get; set; }
		[StringLength(MaxFOutDelayLength)]
		public virtual string FOutDelay { get; set; }
		[StringLength(MaxDelayFlagLength)]
		public virtual string DelayFlag { get; set; }
</v>
      </c>
      <c r="K23" s="35" t="str">
        <f ca="1">TEXTJOIN2("
", TRUE,INDIRECT( $J$1):INDIRECT( $J$3))</f>
        <v xml:space="preserve">	[Index(nameof(BodyNo), Name="IX_AsyAdoTotalDelayFinalAsakai_BodyNo")]
	[Index(nameof(LotNo), Name="IX_AsyAdoTotalDelayFinalAsakai_LotNo")]
	[Index(nameof(DelayFlag), Name="IX_AsyAdoTotalDelayFinalAsakai_DelayFlag")]</v>
      </c>
      <c r="L23" s="13" t="s">
        <v>60</v>
      </c>
      <c r="M23" s="36" t="str">
        <f ca="1">TEXTJOIN2("
",TRUE,INDIRECT( $L$1):INDIRECT($L$3))</f>
        <v xml:space="preserve">		public virtual string BodyNo { get; set; }
		public virtual string LotNo { get; set; }
		public virtual string Color { get; set; }
		public virtual string TotalDelayLeadTime { get; set; }
		public virtual DateTime? DispatchPlanDatetime { get; set; }
		public virtual string CurrLocation { get; set; }
		public virtual string Location { get; set; }
		public virtual string WDelayWithLeadTime { get; set; }
		public virtual string TDelayWithLeadTime { get; set; }
		public virtual string ADelayWithLeadTime { get; set; }
		public virtual string IDelayWithLeadTime { get; set; }
		public virtual string FOutDelay { get; set; }
		public virtual string DelayFlag { get; set; }
</v>
      </c>
      <c r="N23" s="33" t="str">
        <f ca="1">TEXTJOIN2("
",TRUE,INDIRECT( $M$1):INDIRECT($M$3))</f>
        <v xml:space="preserve">		[Required]
		[StringLength(AsyAdoTotalDelayFinalAsakaiConsts.MaxBodyNoLength)]
		public virtual string BodyNo { get; set; }
		[Required]
		[StringLength(AsyAdoTotalDelayFinalAsakaiConsts.MaxLotNoLength)]
		public virtual string LotNo { get; set; }
		[StringLength(AsyAdoTotalDelayFinalAsakaiConsts.MaxColorLength)]
		public virtual string Color { get; set; }
		[StringLength(AsyAdoTotalDelayFinalAsakaiConsts.MaxTotalDelayLeadTimeLength)]
		public virtual string TotalDelayLeadTime { get; set; }
		public virtual DateTime? DispatchPlanDatetime { get; set; }
		[StringLength(AsyAdoTotalDelayFinalAsakaiConsts.MaxCurrLocationLength)]
		public virtual string CurrLocation { get; set; }
		[StringLength(AsyAdoTotalDelayFinalAsakaiConsts.MaxLocationLength)]
		public virtual string Location { get; set; }
		[StringLength(AsyAdoTotalDelayFinalAsakaiConsts.MaxWDelayWithLeadTimeLength)]
		public virtual string WDelayWithLeadTime { get; set; }
		[StringLength(AsyAdoTotalDelayFinalAsakaiConsts.MaxTDelayWithLeadTimeLength)]
		public virtual string TDelayWithLeadTime { get; set; }
		[StringLength(AsyAdoTotalDelayFinalAsakaiConsts.MaxADelayWithLeadTimeLength)]
		public virtual string ADelayWithLeadTime { get; set; }
		[StringLength(AsyAdoTotalDelayFinalAsakaiConsts.MaxIDelayWithLeadTimeLength)]
		public virtual string IDelayWithLeadTime { get; set; }
		[StringLength(AsyAdoTotalDelayFinalAsakaiConsts.MaxFOutDelayLength)]
		public virtual string FOutDelay { get; set; }
		[StringLength(AsyAdoTotalDelayFinalAsakaiConsts.MaxDelayFlagLength)]
		public virtual string DelayFlag { get; set; }
</v>
      </c>
      <c r="O23" s="33" t="str">
        <f ca="1">TEXTJOIN2("
",TRUE,INDIRECT( $N$1):INDIRECT($N$3))</f>
        <v xml:space="preserve">		public virtual string BodyNo { get; set; }
		public virtual string LotNo { get; set; }
		public virtual string Color { get; set; }
		public virtual string TotalDelayLeadTime { get; set; }
		public virtual DateTime? DispatchPlanDatetime { get; set; }
		public virtual string CurrLocation { get; set; }
		public virtual string Location { get; set; }
		public virtual string WDelayWithLeadTime { get; set; }
		public virtual string TDelayWithLeadTime { get; set; }
		public virtual string ADelayWithLeadTime { get; set; }
		public virtual string IDelayWithLeadTime { get; set; }
		public virtual string FOutDelay { get; set; }
		public virtual string DelayFlag { get; set; }
</v>
      </c>
      <c r="P23" s="9" t="str">
        <f ca="1">TEXTJOIN2("
",TRUE,INDIRECT( $O$1):INDIRECT($O$3))</f>
        <v xml:space="preserve">							BodyNo = o.BodyNo,
							LotNo = o.LotNo,
							Color = o.Color,
							TotalDelayLeadTime = o.TotalDelayLeadTime,
							DispatchPlanDatetime = o.DispatchPlanDatetime,
							CurrLocation = o.CurrLocation,
							Location = o.Location,
							WDelayWithLeadTime = o.WDelayWithLeadTime,
							TDelayWithLeadTime = o.TDelayWithLeadTime,
							ADelayWithLeadTime = o.ADelayWithLeadTime,
							IDelayWithLeadTime = o.IDelayWithLeadTime,
							FOutDelay = o.FOutDelay,
							DelayFlag = o.DelayFlag,</v>
      </c>
      <c r="T23" s="9" t="str">
        <f ca="1">TEXTJOIN2("
",TRUE,INDIRECT( $T$2):INDIRECT($T$3))</f>
        <v xml:space="preserve">								("BodyNo"),
								("LotNo"),
								("Color"),
								("TotalDelayLeadTime"),
								("DispatchPlanDatetime"),
								("CurrLocation"),
								("Location"),
								("WDelayWithLeadTime"),
								("TDelayWithLeadTime"),
								("ADelayWithLeadTime"),
								("IDelayWithLeadTime"),
								("FOutDelay"),
								("DelayFlag"),</v>
      </c>
      <c r="V23" s="9" t="str">
        <f ca="1">TEXTJOIN2("
",TRUE,INDIRECT( $V$2):INDIRECT($V$3))</f>
        <v xml:space="preserve">								_ =&gt; _.BodyNo,
								_ =&gt; _.LotNo,
								_ =&gt; _.Color,
								_ =&gt; _.TotalDelayLeadTime,
								_ =&gt; _.DispatchPlanDatetime,
								_ =&gt; _.CurrLocation,
								_ =&gt; _.Location,
								_ =&gt; _.WDelayWithLeadTime,
								_ =&gt; _.TDelayWithLeadTime,
								_ =&gt; _.ADelayWithLeadTime,
								_ =&gt; _.IDelayWithLeadTime,
								_ =&gt; _.FOutDelay,
								_ =&gt; _.DelayFlag,</v>
      </c>
      <c r="W23" s="9" t="str">
        <f ca="1">TEXTJOIN2("
",TRUE,INDIRECT( $W$2):INDIRECT($W$3))</f>
        <v xml:space="preserve">				.WhereIf(!string.IsNullOrWhiteSpace(input.BodyNo), e =&gt; e.BodyNo.Contains(input.BodyNo))
				.WhereIf(!string.IsNullOrWhiteSpace(input.LotNo), e =&gt; e.LotNo.Contains(input.LotNo))
				.WhereIf(!string.IsNullOrWhiteSpace(input.Color), e =&gt; e.Color.Contains(input.Color))
				.WhereIf(!string.IsNullOrWhiteSpace(input.TotalDelayLeadTime), e =&gt; e.TotalDelayLeadTime.Contains(input.TotalDelayLeadTime))
				.WhereIf(input.DispatchPlanDatetime.HasValue, t =&gt; t.DispatchPlanDatetime == input.DispatchPlanDatetime.Value)
				.WhereIf(!string.IsNullOrWhiteSpace(input.CurrLocation), e =&gt; e.CurrLocation.Contains(input.CurrLocation))
				.WhereIf(!string.IsNullOrWhiteSpace(input.Location), e =&gt; e.Location.Contains(input.Location))
				.WhereIf(!string.IsNullOrWhiteSpace(input.WDelayWithLeadTime), e =&gt; e.WDelayWithLeadTime.Contains(input.WDelayWithLeadTime))
				.WhereIf(!string.IsNullOrWhiteSpace(input.TDelayWithLeadTime), e =&gt; e.TDelayWithLeadTime.Contains(input.TDelayWithLeadTime))
				.WhereIf(!string.IsNullOrWhiteSpace(input.ADelayWithLeadTime), e =&gt; e.ADelayWithLeadTime.Contains(input.ADelayWithLeadTime))
				.WhereIf(!string.IsNullOrWhiteSpace(input.IDelayWithLeadTime), e =&gt; e.IDelayWithLeadTime.Contains(input.IDelayWithLeadTime))
				.WhereIf(!string.IsNullOrWhiteSpace(input.FOutDelay), e =&gt; e.FOutDelay.Contains(input.FOutDelay))
				.WhereIf(!string.IsNullOrWhiteSpace(input.DelayFlag), e =&gt; e.DelayFlag.Contains(input.DelayFlag))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30"/>
  <sheetViews>
    <sheetView workbookViewId="0">
      <selection activeCell="F15" sqref="F15"/>
    </sheetView>
  </sheetViews>
  <sheetFormatPr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4" width="20.42578125" customWidth="1"/>
    <col min="15" max="15" width="20.5703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x14ac:dyDescent="0.25">
      <c r="A1" s="41" t="s">
        <v>213</v>
      </c>
      <c r="B1" s="42" t="s">
        <v>292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238</v>
      </c>
      <c r="B2" s="42" t="str">
        <f>A.Backend!B4</f>
        <v>Assy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238</v>
      </c>
      <c r="B3" s="42" t="str">
        <f>LOWER(B2)</f>
        <v>assy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215</v>
      </c>
      <c r="B4" s="43" t="str">
        <f>A.Backend!Q3</f>
        <v>Andon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215</v>
      </c>
      <c r="B5" s="43" t="str">
        <f>LOWER(B4)</f>
        <v>andon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225</v>
      </c>
      <c r="B6" s="44" t="str">
        <f>A.Backend!B3</f>
        <v>AsyAdoTotalDelayFinalAsakai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216</v>
      </c>
      <c r="B7" s="43" t="str">
        <f>A.Backend!B5</f>
        <v>TotalDelayFinalAsakai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214</v>
      </c>
      <c r="B8" s="43" t="str">
        <f>LOWER(B7)</f>
        <v>totaldelayfinalasakai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217</v>
      </c>
      <c r="B9" s="54"/>
      <c r="C9" s="53"/>
      <c r="D9" s="53"/>
      <c r="E9" s="53"/>
      <c r="F9" s="53"/>
      <c r="G9" s="53"/>
      <c r="H9" s="45" t="s">
        <v>271</v>
      </c>
      <c r="I9" s="46" t="s">
        <v>272</v>
      </c>
      <c r="J9" s="45" t="s">
        <v>220</v>
      </c>
      <c r="K9" s="47" t="s">
        <v>258</v>
      </c>
      <c r="L9" s="46" t="s">
        <v>262</v>
      </c>
      <c r="M9" s="45" t="s">
        <v>251</v>
      </c>
      <c r="N9" s="45" t="s">
        <v>221</v>
      </c>
      <c r="O9" s="45" t="s">
        <v>222</v>
      </c>
      <c r="P9" s="46" t="s">
        <v>224</v>
      </c>
      <c r="Q9" s="45" t="s">
        <v>252</v>
      </c>
      <c r="R9" s="45" t="s">
        <v>234</v>
      </c>
      <c r="S9" s="31"/>
      <c r="T9" s="31"/>
      <c r="U9" s="31"/>
      <c r="V9" s="31"/>
    </row>
    <row r="10" spans="1:22" ht="18.75" customHeight="1" x14ac:dyDescent="0.25">
      <c r="A10" s="55" t="s">
        <v>218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AsyAdoTotalDelayFinalAsakaiDto, AsyAdoTotalDelayFinalAsakaiServiceProxy } from '@shared/service-proxies/service-proxies';
import { finalize } from 'rxjs/internal/operators/finalize';
import { CreateOrEditTotalDelayFinalAsakaiModalComponent } from './create-or-edit-totaldelayfinalasakai-modal.component';
import { DatePipe } from '@angular/common';
import { FileDownloadService } from '@shared/utils/file-download.service';
import ceil from 'lodash-es/ceil';
import { Paginator } from 'primeng/paginator';
@Component({
    templateUrl: './totaldelayfinalasakai.component.html',
    styleUrls: ['./totaldelayfinalasakai.component.less'],
})
export class TotalDelayFinalAsakaiComponent extends AppComponentBase implements OnInit {
    @ViewChild('createOrEditModalTotalDelayFinalAsakai', { static: true }) createOrEditModalTotalDelayFinalAsakai:| CreateOrEditTotalDelayFinalAsakaiModalComponent|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AsyAdoTotalDelayFinalAsakaiDto = new AsyAdoTotalDelayFinalAsakaiDto();
    saveSelectedRow: AsyAdoTotalDelayFinalAsakaiDto = new AsyAdoTotalDelayFinalAsakaiDto();
    datas: AsyAdoTotalDelayFinalAsakaiDto = new AsyAdoTotalDelayFinalAsakaiDto();
    isLoading: boolean = false;
    dataParams: GridParams | undefined;
    rowData: any[] = [];
    gridApi!: GridApi;
    rowSelection = 'multiple';
    filter: string = '';
	pipe = new DatePipe('en-US');
	frameworkComponents: FrameworkComponent;
    bodyNo : string = '' ; 
	lotNo : string = '' ; 
	color : string = '' ; 
	totalDelayLeadTime : string = '' ; 
	dispatchPlanDatetime : any ;
	currLocation : string = '' ; 
	location : string = '' ; 
	wDelayWithLeadTime : string = '' ; 
	tDelayWithLeadTime : string = '' ; 
	aDelayWithLeadTime : string = '' ; 
	iDelayWithLeadTime : string = '' ; 
	fOutDelay : string = '' ; 
	delayFlag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AsyAdoTotalDelayFinalAsakaiServiceProxy,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this.l('Body No'),headerTooltip: this.l('Body No'),field: 'bodyNo',flex: 1},
			{headerName: this.l('Lot No'),headerTooltip: this.l('Lot No'),field: 'lotNo',flex: 1},
			{headerName: this.l('Color'),headerTooltip: this.l('Color'),field: 'color',flex: 1},
			{headerName: this.l('Total Delay Lead Time'),headerTooltip: this.l('Total Delay Lead Time'),field: 'totalDelayLeadTime',flex: 1},
			{headerName: this.l('Dispatch Plan Datetime'),headerTooltip: this.l('Dispatch Plan Datetime'),field: 'dispatchPlanDatetime',valueGetter: (params) =&gt; this.pipe.transform(params.data?.dispatchPlanDatetime, 'dd/MM/yyyy'),flex: 1},
			{headerName: this.l('Curr Location'),headerTooltip: this.l('Curr Location'),field: 'currLocation',flex: 1},
			{headerName: this.l('Location'),headerTooltip: this.l('Location'),field: 'location',flex: 1},
			{headerName: this.l('W Delay With Lead Time'),headerTooltip: this.l('W Delay With Lead Time'),field: 'wDelayWithLeadTime',flex: 1},
			{headerName: this.l('T Delay With Lead Time'),headerTooltip: this.l('T Delay With Lead Time'),field: 'tDelayWithLeadTime',flex: 1},
			{headerName: this.l('A Delay With Lead Time'),headerTooltip: this.l('A Delay With Lead Time'),field: 'aDelayWithLeadTime',flex: 1},
			{headerName: this.l('I Delay With Lead Time'),headerTooltip: this.l('I Delay With Lead Time'),field: 'iDelayWithLeadTime',flex: 1},
			{headerName: this.l('F Out Delay'),headerTooltip: this.l('F Out Delay'),field: 'fOutDelay',flex: 1},
			{headerName: this.l('Delay Flag'),headerTooltip: this.l('Delay Flag'),field:  'delayFlag', cellClass: ['text-center'], width: 120, cellRenderer: 'agCellButtonComponent',
buttonDefTwo: { text: params =&gt; (params.data?.'delayFlag' == 'Y') ? 'Active' : 'Inactive',iconName: 'fa fa-circle',className: params =&gt; (params.data?.'delayFlag'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this.bodyNo,
			this.lotNo,
			this.color,
			this.totalDelayLeadTime,
			this.dispatchPlanDatetime,
			this.currLocation,
			this.location,
			this.wDelayWithLeadTime,
			this.tDelayWithLeadTime,
			this.aDelayWithLeadTime,
			this.iDelayWithLeadTime,
			this.fOutDelay,
			this.delayFlag,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this.bodyNo = '',
		this.lotNo = '',
		this.color = '',
		this.totalDelayLeadTime = '',
		this.dispatchPlanDatetime = '',
		this.currLocation = '',
		this.location = '',
		this.wDelayWithLeadTime = '',
		this.tDelayWithLeadTime = '',
		this.aDelayWithLeadTime = '',
		this.iDelayWithLeadTime = '',
		this.fOutDelay = '',
		this.delayFlag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this.bodyNo,
			this.lotNo,
			this.color,
			this.totalDelayLeadTime,
			this.dispatchPlanDatetime,
			this.currLocation,
			this.location,
			this.wDelayWithLeadTime,
			this.tDelayWithLeadTime,
			this.aDelayWithLeadTime,
			this.iDelayWithLeadTime,
			this.fOutDelay,
			this.delayFlag,
			'',
            this.paginationParams.skipCount,
            this.paginationParams.pageSize
        );
    }
    onChangeRowSelection(params: { api: { getSelectedRows: () =&gt; AsyAdoTotalDelayFinalAsakaiDto[] } }) {
        this.saveSelectedRow = params.api.getSelectedRows()[0] ?? new AsyAdoTotalDelayFinalAsakaiDto();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AsyAdoTotalDelayFinalAsakaiDto):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this._service.getTotalDelayFinalAsakaiToExcel(
			this.bodyNo,
			this.lotNo,
			this.color,
			this.totalDelayLeadTime,
			this.dispatchPlanDatetime,
			this.currLocation,
			this.location,
			this.wDelayWithLeadTime,
			this.tDelayWithLeadTime,
			this.aDelayWithLeadTime,
			this.iDelayWithLeadTime,
			this.fOutDelay,
			this.delayFlag,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Assy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[(ngModel)]='bodyNo' name='bodyNo'
									class='form-control' [placeholder]="l('Body No')"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[(ngModel)]='color' name='color'
									class='form-control' [placeholder]="l('Color')"
									type='text' (keyup.enter)='searchDatas()'&gt;
								&lt;/div&gt;
								&lt;div class='input-search'&gt;
									&lt;input [(ngModel)]='totalDelayLeadTime' name='totalDelayLeadTime'
									class='form-control' [placeholder]="l('Total Delay Lead Time')"
									type='text' (keyup.enter)='searchDatas()'&gt;
								&lt;/div&gt;
								&lt;div class='input-search'&gt;
									&lt;input type='text' [placeholder]="l('Dispatch Plan Datetime')" [(ngModel)]='dispatchPlanDatetime' 
									name='dispatchPlanDatetime'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[(ngModel)]='currLocation' name='currLocation'
									class='form-control' [placeholder]="l('Curr Location')"
									type='text' (keyup.enter)='searchDatas()'&gt;
								&lt;/div&gt;
								&lt;div class='input-search'&gt;
									&lt;input [(ngModel)]='location' name='location'
									class='form-control' [placeholder]="l('Location')"
									type='text' (keyup.enter)='searchDatas()'&gt;
								&lt;/div&gt;
								&lt;div class='input-search'&gt;
									&lt;input [(ngModel)]='wDelayWithLeadTime' name='wDelayWithLeadTime'
									class='form-control' [placeholder]="l('W Delay With Lead Time')"
									type='text' (keyup.enter)='searchDatas()'&gt;
								&lt;/div&gt;
								&lt;div class='input-search'&gt;
									&lt;input [(ngModel)]='tDelayWithLeadTime' name='tDelayWithLeadTime'
									class='form-control' [placeholder]="l('T Delay With Lead Time')"
									type='text' (keyup.enter)='searchDatas()'&gt;
								&lt;/div&gt;
								&lt;div class='input-search'&gt;
									&lt;input [(ngModel)]='aDelayWithLeadTime' name='aDelayWithLeadTime'
									class='form-control' [placeholder]="l('A Delay With Lead Time')"
									type='text' (keyup.enter)='searchDatas()'&gt;
								&lt;/div&gt;
								&lt;div class='input-search'&gt;
									&lt;input [(ngModel)]='iDelayWithLeadTime' name='iDelayWithLeadTime'
									class='form-control' [placeholder]="l('I Delay With Lead Time')"
									type='text' (keyup.enter)='searchDatas()'&gt;
								&lt;/div&gt;
								&lt;div class='input-search'&gt;
									&lt;input [(ngModel)]='fOutDelay' name='fOutDelay'
									class='form-control' [placeholder]="l('F Out Delay')"
									type='text' (keyup.enter)='searchDatas()'&gt;
								&lt;/div&gt;
								&lt;div class='input-search'&gt;
									&lt;input [(ngModel)]='delayFlag' name='delayFlag'
									class='form-control' [placeholder]="l('Delay Flag')"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(click)="createOrEditModalTotalDelayFinalAsakai.show()"&gt;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(click)="createOrEditModalTotalDelayFinalAsakai.show(selectedRow)"&gt;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&lt;create-or-edit-totaldelayfinalasakai-modal
    #createOrEditModalTotalDelayFinalAsakai
    (modalSave)="callBackDataGrid(dataParams)"
    (modalClose)="onChangeRowSelection(dataParams)"
&gt;
&lt;/create-or-edit-totaldelayfinalasakai-modal&gt;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#createOrEditModalTotalDelayFinalAsakai="bs-modal"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TotalDelayFinalAsakai')}}&lt;/h3&gt;
                    &lt;h3 *ngIf="!rowdata.id"&gt;{{('Create New TotalDelayFinalAsakai')}}&lt;/h3&gt;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title'&gt;Body No&lt;/label&gt;
						&lt;input type='text' class='col-md-10 form-control input-text' name='BodyNo' [(ngModel)]='rowdata.bodyNo'&gt;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title'&gt;Color&lt;/label&gt;
						&lt;input type='text' class='col-md-10 form-control input-text' name='Color' [(ngModel)]='rowdata.color'&gt;
					&lt;/div&gt;
					&lt;div class='col-md-12 form-group row'&gt;
						&lt;label class='col-md-2 form-control title'&gt;Total Delay Lead Time&lt;/label&gt;
						&lt;input type='text' class='col-md-10 form-control input-text' name='TotalDelayLeadTime' [(ngModel)]='rowdata.totalDelayLeadTime'&gt;
					&lt;/div&gt;
					&lt;div class='col-md-12 form-group row'&gt;
						&lt;label class='col-md-2 form-control title'&gt;Dispatch Plan Datetime&lt;/label&gt;
						&lt;input type='text' class='col-md-10 form-control input-text' name='dispatchPlanDatetime' 
						#datepicker='bsDatepicker' [(ngModel)]='rowdata.dispatchPlanDatetime'  bsDatepicker &gt;
					&lt;/div&gt;
					&lt;div class='col-md-12 form-group row'&gt;
						&lt;label class='col-md-2 form-control title'&gt;Curr Location&lt;/label&gt;
						&lt;input type='text' class='col-md-10 form-control input-text' name='CurrLocation' [(ngModel)]='rowdata.currLocation'&gt;
					&lt;/div&gt;
					&lt;div class='col-md-12 form-group row'&gt;
						&lt;label class='col-md-2 form-control title'&gt;Location&lt;/label&gt;
						&lt;input type='text' class='col-md-10 form-control input-text' name='Location' [(ngModel)]='rowdata.location'&gt;
					&lt;/div&gt;
					&lt;div class='col-md-12 form-group row'&gt;
						&lt;label class='col-md-2 form-control title'&gt;W Delay With Lead Time&lt;/label&gt;
						&lt;input type='text' class='col-md-10 form-control input-text' name='WDelayWithLeadTime' [(ngModel)]='rowdata.wDelayWithLeadTime'&gt;
					&lt;/div&gt;
					&lt;div class='col-md-12 form-group row'&gt;
						&lt;label class='col-md-2 form-control title'&gt;T Delay With Lead Time&lt;/label&gt;
						&lt;input type='text' class='col-md-10 form-control input-text' name='TDelayWithLeadTime' [(ngModel)]='rowdata.tDelayWithLeadTime'&gt;
					&lt;/div&gt;
					&lt;div class='col-md-12 form-group row'&gt;
						&lt;label class='col-md-2 form-control title'&gt;A Delay With Lead Time&lt;/label&gt;
						&lt;input type='text' class='col-md-10 form-control input-text' name='ADelayWithLeadTime' [(ngModel)]='rowdata.aDelayWithLeadTime'&gt;
					&lt;/div&gt;
					&lt;div class='col-md-12 form-group row'&gt;
						&lt;label class='col-md-2 form-control title'&gt;I Delay With Lead Time&lt;/label&gt;
						&lt;input type='text' class='col-md-10 form-control input-text' name='IDelayWithLeadTime' [(ngModel)]='rowdata.iDelayWithLeadTime'&gt;
					&lt;/div&gt;
					&lt;div class='col-md-12 form-group row'&gt;
						&lt;label class='col-md-2 form-control title'&gt;F Out Delay&lt;/label&gt;
						&lt;input type='text' class='col-md-10 form-control input-text' name='FOutDelay' [(ngModel)]='rowdata.fOutDelay'&gt;
					&lt;/div&gt;
					&lt;div class='col-md-12 form-group row'&gt;
						&lt;label class='col-md-2 form-control title'&gt;Delay Flag&lt;/label&gt;
						&lt;new-checkbox [(ngModel)]='_delayFlag' name='delayFlag'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CreateOrEditAsyAdoTotalDelayFinalAsakaiDto, AsyAdoTotalDelayFinalAsakaiServiceProxy } from '@shared/service-proxies/service-proxies';
import { BsDatepickerDirective } from 'ngx-bootstrap/datepicker';
@Component({
    selector: 'create-or-edit-totaldelayfinalasakai-modal',
    templateUrl: './create-or-edit-totaldelayfinalasakai-modal.component.html',
    styleUrls: ['./create-or-edit-totaldelayfinalasakai-modal.component.less']
    })
export class CreateOrEditTotalDelayFinalAsakaiModalComponent extends AppComponentBase {
    @ViewChild('createOrEditModalTotalDelayFinalAsakai',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CreateOrEditAsyAdoTotalDelayFinalAsakaiDto = new CreateOrEditAsyAdoTotalDelayFinalAsakaiDto();
    active: boolean = false;
    saving: boolean = false;
    _delayFlag: boolean;
    constructor(
        injector: Injector,
        private _mstwptTotalDelayFinalAsakaiService: AsyAdoTotalDelayFinalAsakaiServiceProxy,
    ) 
    {
        super(injector);
    }
    show(rowdata?: CreateOrEditAsyAdoTotalDelayFinalAsakaiDto): void {
        if (!rowdata) this.rowdata = new CreateOrEditAsyAdoTotalDelayFinalAsakaiDto();
        else this.rowdata = rowdata;
		const dateValue =  this.rowdata.dispatchPlanDatetime ? new Date(this.rowdata.dispatchPlanDatetime?.toString()) : new Date();
		this.datepicker?.bsValueChange.emit(dateValue);
        this._delayFlag = (this.rowdata.delayFlag == "N")? false: true;
        this.active = true;
        this.modal.show();
    } 
    changeActive(event){
        this._delayFlag = event.target.checked;
    }
    save(): void {
    this.saving = true; 
    this.rowdata.delayFlag = (this._delayFlag == true) ? 'Y' : 'N'
    this._mstwptTotalDelayFinalAsakaiService.createOrEdit(this.rowdata)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TotalDelayFinalAsakaiRoutingModule } from './totaldelayfinalasakai-routing.module';
import { TotalDelayFinalAsakaiComponent } from './totaldelayfinalasakai.component';
import { CreateOrEditTotalDelayFinalAsakaiModalComponent } from './create-or-edit-totaldelayfinalasakai-modal.component';
@NgModule({
    declarations: [
       TotalDelayFinalAsakaiComponent, 
        CreateOrEditTotalDelayFinalAsakaiModalComponent
    ],
    imports: [
        AppSharedModule, TotalDelayFinalAsakaiRoutingModule]
})
export class TotalDelayFinalAsakaiModule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TotalDelayFinalAsakaiComponent } from './totaldelayfinalasakai.component';
const routes: Routes = [{
    path: '',
    component: TotalDelayFinalAsakaiComponent,
    pathMatch: 'full'
}];
@NgModule({
    imports: [RouterModule.forChild(routes)],
    exports: [RouterModule],
})
export class TotalDelayFinalAsakaiRoutingModule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AppMenuItem("TotalDelayFinalAsakai", "Pages.Assy.Andon.TotalDelayFinalAsakai", "flaticon-book",   "/app/main/assy/andon/totaldelayfinalasakai"),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'assy/andon/totaldelayfinalasakai',
    loadChildren: () =&gt; import('./assy/andon/totaldelayfinalasakai/totaldelayfinalasakai.module').then(m =&gt; m.TotalDelayFinalAsakaiModule),
    data: { permission: 'Pages.Assy.Andon.TotalDelayFinalAsakai' }
},</v>
      </c>
      <c r="R10" s="50" t="str">
        <f>SUBSTITUTE(R9,"MstWptCalendar",$B$6)</f>
        <v>ApiServiceProxies.AsyAdoTotalDelayFinalAsakaiServiceProxy,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250</v>
      </c>
      <c r="I11" s="31" t="s">
        <v>263</v>
      </c>
      <c r="J11" s="31"/>
      <c r="K11" s="31" t="s">
        <v>261</v>
      </c>
      <c r="L11" s="31" t="s">
        <v>264</v>
      </c>
      <c r="M11" s="38"/>
      <c r="N11" s="31"/>
      <c r="O11" s="31"/>
      <c r="P11" s="31"/>
      <c r="Q11" s="31"/>
      <c r="R11" s="31"/>
      <c r="S11" s="31" t="s">
        <v>255</v>
      </c>
      <c r="T11" s="31" t="s">
        <v>256</v>
      </c>
      <c r="U11" s="31" t="s">
        <v>265</v>
      </c>
      <c r="V11" s="71" t="s">
        <v>267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H27</v>
      </c>
      <c r="I12" s="31" t="str">
        <f>"I"&amp;COUNTA($A:$A)</f>
        <v>I27</v>
      </c>
      <c r="J12" s="31"/>
      <c r="K12" s="31" t="str">
        <f>"K"&amp;COUNTA($A:$A)</f>
        <v>K27</v>
      </c>
      <c r="L12" s="31" t="str">
        <f>"L"&amp;COUNTA($A:$A)</f>
        <v>L27</v>
      </c>
      <c r="M12" s="31"/>
      <c r="N12" s="31"/>
      <c r="O12" s="31"/>
      <c r="P12" s="31"/>
      <c r="Q12" s="31"/>
      <c r="R12" s="31"/>
      <c r="S12" s="31" t="str">
        <f>"S"&amp;COUNTA($A:$A)</f>
        <v>S27</v>
      </c>
      <c r="T12" s="31" t="str">
        <f>"T"&amp;COUNTA($A:$A)</f>
        <v>T27</v>
      </c>
      <c r="U12" s="31" t="str">
        <f>"U"&amp;COUNTA($A:$A)</f>
        <v>U27</v>
      </c>
      <c r="V12" s="31" t="str">
        <f>"V"&amp;COUNTA($A:$A)</f>
        <v>V27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this.l('Body No'),headerTooltip: this.l('Body No'),field: 'bodyNo',flex: 1},
			{headerName: this.l('Lot No'),headerTooltip: this.l('Lot No'),field: 'lotNo',flex: 1},
			{headerName: this.l('Color'),headerTooltip: this.l('Color'),field: 'color',flex: 1},
			{headerName: this.l('Total Delay Lead Time'),headerTooltip: this.l('Total Delay Lead Time'),field: 'totalDelayLeadTime',flex: 1},
			{headerName: this.l('Dispatch Plan Datetime'),headerTooltip: this.l('Dispatch Plan Datetime'),field: 'dispatchPlanDatetime',valueGetter: (params) =&gt; this.pipe.transform(params.data?.dispatchPlanDatetime, 'dd/MM/yyyy'),flex: 1},
			{headerName: this.l('Curr Location'),headerTooltip: this.l('Curr Location'),field: 'currLocation',flex: 1},
			{headerName: this.l('Location'),headerTooltip: this.l('Location'),field: 'location',flex: 1},
			{headerName: this.l('W Delay With Lead Time'),headerTooltip: this.l('W Delay With Lead Time'),field: 'wDelayWithLeadTime',flex: 1},
			{headerName: this.l('T Delay With Lead Time'),headerTooltip: this.l('T Delay With Lead Time'),field: 'tDelayWithLeadTime',flex: 1},
			{headerName: this.l('A Delay With Lead Time'),headerTooltip: this.l('A Delay With Lead Time'),field: 'aDelayWithLeadTime',flex: 1},
			{headerName: this.l('I Delay With Lead Time'),headerTooltip: this.l('I Delay With Lead Time'),field: 'iDelayWithLeadTime',flex: 1},
			{headerName: this.l('F Out Delay'),headerTooltip: this.l('F Out Delay'),field: 'fOutDelay',flex: 1},
			{headerName: this.l('Delay Flag'),headerTooltip: this.l('Delay Flag'),field:  'delayFlag', cellClass: ['text-center'], width: 120, cellRenderer: 'agCellButtonComponent',
buttonDefTwo: { text: params =&gt; (params.data?.'delayFlag' == 'Y') ? 'Active' : 'Inactive',iconName: 'fa fa-circle',className: params =&gt; (params.data?.'delayFlag' == 'Y') ? 'btnActive' : 'btnInActive',},}</v>
      </c>
      <c r="I13" s="38" t="str">
        <f ca="1">TEXTJOIN2("
",TRUE,INDIRECT(I11):INDIRECT(I12))</f>
        <v xml:space="preserve">								&lt;div class='input-search'&gt;
									&lt;input [(ngModel)]='bodyNo' name='bodyNo'
									class='form-control' [placeholder]="l('Body No')"
									type='text' (keyup.enter)='searchDatas()'&gt;
								&lt;/div&gt;
								&lt;div class='input-search'&gt;
									&lt;input [(ngModel)]='lotNo' name='lotNo'
									class='form-control' [placeholder]="l('Lot No')"
									type='text' (keyup.enter)='searchDatas()'&gt;
								&lt;/div&gt;
								&lt;div class='input-search'&gt;
									&lt;input [(ngModel)]='color' name='color'
									class='form-control' [placeholder]="l('Color')"
									type='text' (keyup.enter)='searchDatas()'&gt;
								&lt;/div&gt;
								&lt;div class='input-search'&gt;
									&lt;input [(ngModel)]='totalDelayLeadTime' name='totalDelayLeadTime'
									class='form-control' [placeholder]="l('Total Delay Lead Time')"
									type='text' (keyup.enter)='searchDatas()'&gt;
								&lt;/div&gt;
								&lt;div class='input-search'&gt;
									&lt;input type='text' [placeholder]="l('Dispatch Plan Datetime')" [(ngModel)]='dispatchPlanDatetime' 
									name='dispatchPlanDatetime' (keydown)='searchDatas()' class='form-control' 
									bsDatepicker #d='bsDatepicker' placement='bottom left'&gt;
									&lt;i class='fa fa-calendar-alt' (click)='d.toggle()'&gt;&lt;/i&gt;
								&lt;/div&gt;
								&lt;div class='input-search'&gt;
									&lt;input [(ngModel)]='currLocation' name='currLocation'
									class='form-control' [placeholder]="l('Curr Location')"
									type='text' (keyup.enter)='searchDatas()'&gt;
								&lt;/div&gt;
								&lt;div class='input-search'&gt;
									&lt;input [(ngModel)]='location' name='location'
									class='form-control' [placeholder]="l('Location')"
									type='text' (keyup.enter)='searchDatas()'&gt;
								&lt;/div&gt;
								&lt;div class='input-search'&gt;
									&lt;input [(ngModel)]='wDelayWithLeadTime' name='wDelayWithLeadTime'
									class='form-control' [placeholder]="l('W Delay With Lead Time')"
									type='text' (keyup.enter)='searchDatas()'&gt;
								&lt;/div&gt;
								&lt;div class='input-search'&gt;
									&lt;input [(ngModel)]='tDelayWithLeadTime' name='tDelayWithLeadTime'
									class='form-control' [placeholder]="l('T Delay With Lead Time')"
									type='text' (keyup.enter)='searchDatas()'&gt;
								&lt;/div&gt;
								&lt;div class='input-search'&gt;
									&lt;input [(ngModel)]='aDelayWithLeadTime' name='aDelayWithLeadTime'
									class='form-control' [placeholder]="l('A Delay With Lead Time')"
									type='text' (keyup.enter)='searchDatas()'&gt;
								&lt;/div&gt;
								&lt;div class='input-search'&gt;
									&lt;input [(ngModel)]='iDelayWithLeadTime' name='iDelayWithLeadTime'
									class='form-control' [placeholder]="l('I Delay With Lead Time')"
									type='text' (keyup.enter)='searchDatas()'&gt;
								&lt;/div&gt;
								&lt;div class='input-search'&gt;
									&lt;input [(ngModel)]='fOutDelay' name='fOutDelay'
									class='form-control' [placeholder]="l('F Out Delay')"
									type='text' (keyup.enter)='searchDatas()'&gt;
								&lt;/div&gt;
								&lt;div class='input-search'&gt;
									&lt;input [(ngModel)]='delayFlag' name='delayFlag'
									class='form-control' [placeholder]="l('Delay Flag')"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title'&gt;Body No&lt;/label&gt;
						&lt;input type='text' class='col-md-10 form-control input-text' name='BodyNo' [(ngModel)]='rowdata.bodyNo'&gt;
					&lt;/div&gt;
					&lt;div class='col-md-12 form-group row'&gt;
						&lt;label class='col-md-2 form-control title'&gt;Lot No&lt;/label&gt;
						&lt;input type='text' class='col-md-10 form-control input-text' name='LotNo' [(ngModel)]='rowdata.lotNo'&gt;
					&lt;/div&gt;
					&lt;div class='col-md-12 form-group row'&gt;
						&lt;label class='col-md-2 form-control title'&gt;Color&lt;/label&gt;
						&lt;input type='text' class='col-md-10 form-control input-text' name='Color' [(ngModel)]='rowdata.color'&gt;
					&lt;/div&gt;
					&lt;div class='col-md-12 form-group row'&gt;
						&lt;label class='col-md-2 form-control title'&gt;Total Delay Lead Time&lt;/label&gt;
						&lt;input type='text' class='col-md-10 form-control input-text' name='TotalDelayLeadTime' [(ngModel)]='rowdata.totalDelayLeadTime'&gt;
					&lt;/div&gt;
					&lt;div class='col-md-12 form-group row'&gt;
						&lt;label class='col-md-2 form-control title'&gt;Dispatch Plan Datetime&lt;/label&gt;
						&lt;input type='text' class='col-md-10 form-control input-text' name='dispatchPlanDatetime' 
						#datepicker='bsDatepicker' [(ngModel)]='rowdata.dispatchPlanDatetime'  bsDatepicker &gt;
					&lt;/div&gt;
					&lt;div class='col-md-12 form-group row'&gt;
						&lt;label class='col-md-2 form-control title'&gt;Curr Location&lt;/label&gt;
						&lt;input type='text' class='col-md-10 form-control input-text' name='CurrLocation' [(ngModel)]='rowdata.currLocation'&gt;
					&lt;/div&gt;
					&lt;div class='col-md-12 form-group row'&gt;
						&lt;label class='col-md-2 form-control title'&gt;Location&lt;/label&gt;
						&lt;input type='text' class='col-md-10 form-control input-text' name='Location' [(ngModel)]='rowdata.location'&gt;
					&lt;/div&gt;
					&lt;div class='col-md-12 form-group row'&gt;
						&lt;label class='col-md-2 form-control title'&gt;W Delay With Lead Time&lt;/label&gt;
						&lt;input type='text' class='col-md-10 form-control input-text' name='WDelayWithLeadTime' [(ngModel)]='rowdata.wDelayWithLeadTime'&gt;
					&lt;/div&gt;
					&lt;div class='col-md-12 form-group row'&gt;
						&lt;label class='col-md-2 form-control title'&gt;T Delay With Lead Time&lt;/label&gt;
						&lt;input type='text' class='col-md-10 form-control input-text' name='TDelayWithLeadTime' [(ngModel)]='rowdata.tDelayWithLeadTime'&gt;
					&lt;/div&gt;
					&lt;div class='col-md-12 form-group row'&gt;
						&lt;label class='col-md-2 form-control title'&gt;A Delay With Lead Time&lt;/label&gt;
						&lt;input type='text' class='col-md-10 form-control input-text' name='ADelayWithLeadTime' [(ngModel)]='rowdata.aDelayWithLeadTime'&gt;
					&lt;/div&gt;
					&lt;div class='col-md-12 form-group row'&gt;
						&lt;label class='col-md-2 form-control title'&gt;I Delay With Lead Time&lt;/label&gt;
						&lt;input type='text' class='col-md-10 form-control input-text' name='IDelayWithLeadTime' [(ngModel)]='rowdata.iDelayWithLeadTime'&gt;
					&lt;/div&gt;
					&lt;div class='col-md-12 form-group row'&gt;
						&lt;label class='col-md-2 form-control title'&gt;F Out Delay&lt;/label&gt;
						&lt;input type='text' class='col-md-10 form-control input-text' name='FOutDelay' [(ngModel)]='rowdata.fOutDelay'&gt;
					&lt;/div&gt;
					&lt;div class='col-md-12 form-group row'&gt;
						&lt;label class='col-md-2 form-control title'&gt;Delay Flag&lt;/label&gt;
						&lt;new-checkbox [(ngModel)]='_delayFlag' name='delayFlag' className='col-md-10' &gt; &lt;/new-checkbox&gt;
					&lt;/div&gt;</v>
      </c>
      <c r="L13" s="60" t="str">
        <f ca="1">TEXTJOIN2("
",TRUE,INDIRECT(L11):INDIRECT(L12))</f>
        <v xml:space="preserve">		const dateValue =  this.rowdata.dispatchPlanDatetime ? new Date(this.rowdata.dispatchPlanDatetime?.toString()) : new Date();
		this.datepicker?.bsValueChange.emit(dateValue);
</v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bodyNo : string = '' ; 
	lotNo : string = '' ; 
	color : string = '' ; 
	totalDelayLeadTime : string = '' ; 
	dispatchPlanDatetime : any ;
	currLocation : string = '' ; 
	location : string = '' ; 
	wDelayWithLeadTime : string = '' ; 
	tDelayWithLeadTime : string = '' ; 
	aDelayWithLeadTime : string = '' ; 
	iDelayWithLeadTime : string = '' ; 
	fOutDelay : string = '' ; 
	delayFlag : string = '' ; </v>
      </c>
      <c r="T13" s="68" t="str">
        <f ca="1">TEXTJOIN2("
",TRUE,INDIRECT(T11):INDIRECT(T12))</f>
        <v xml:space="preserve">			this.bodyNo,
			this.lotNo,
			this.color,
			this.totalDelayLeadTime,
			this.dispatchPlanDatetime,
			this.currLocation,
			this.location,
			this.wDelayWithLeadTime,
			this.tDelayWithLeadTime,
			this.aDelayWithLeadTime,
			this.iDelayWithLeadTime,
			this.fOutDelay,
			this.delayFlag,</v>
      </c>
      <c r="U13" s="68" t="str">
        <f ca="1">TEXTJOIN2("
",TRUE,INDIRECT(U11):INDIRECT(U12))</f>
        <v>this.bodyNo = '',
		this.lotNo = '',
		this.color = '',
		this.totalDelayLeadTime = '',
		this.dispatchPlanDatetime = '',
		this.currLocation = '',
		this.location = '',
		this.wDelayWithLeadTime = '',
		this.tDelayWithLeadTime = '',
		this.aDelayWithLeadTime = '',
		this.iDelayWithLeadTime = '',
		this.fOutDelay = '',
		this.delayFlag = '',</v>
      </c>
      <c r="V13" s="31" t="str">
        <f ca="1">TEXTJOIN2("
",TRUE,INDIRECT(V11):INDIRECT(V12))</f>
        <v>delayFlag</v>
      </c>
    </row>
    <row r="14" spans="1:22" x14ac:dyDescent="0.25">
      <c r="A14" s="41" t="s">
        <v>219</v>
      </c>
      <c r="B14" s="31"/>
      <c r="C14" s="31"/>
      <c r="D14" s="31"/>
      <c r="E14" s="31"/>
      <c r="F14" s="31"/>
      <c r="G14" s="31"/>
      <c r="H14" s="39" t="str">
        <f>B8&amp;".component.ts"</f>
        <v>totaldelayfinalasakai.component.ts</v>
      </c>
      <c r="I14" s="40" t="str">
        <f>B8&amp;".component.html"</f>
        <v>totaldelayfinalasakai.component.html</v>
      </c>
      <c r="J14" s="39" t="str">
        <f>B8&amp;".component.less"</f>
        <v>totaldelayfinalasakai.component.less</v>
      </c>
      <c r="K14" s="40" t="str">
        <f>"create-or-edit-"&amp;B8&amp;"-modal.component.html"</f>
        <v>create-or-edit-totaldelayfinalasakai-modal.component.html</v>
      </c>
      <c r="L14" s="40" t="str">
        <f>"create-or-edit-"&amp;B8&amp;"-modal.component.ts"</f>
        <v>create-or-edit-totaldelayfinalasakai-modal.component.ts</v>
      </c>
      <c r="M14" s="40" t="str">
        <f>"create-or-edit-"&amp;B8&amp;"-modal.component.less"</f>
        <v>create-or-edit-totaldelayfinalasakai-modal.component.less</v>
      </c>
      <c r="N14" s="40" t="str">
        <f>B8&amp;".module.ts"</f>
        <v>totaldelayfinalasakai.module.ts</v>
      </c>
      <c r="O14" s="40" t="str">
        <f>B8&amp;"-routing.module.ts"</f>
        <v>totaldelayfinalasakai-routing.module.ts</v>
      </c>
      <c r="P14" s="40" t="s">
        <v>223</v>
      </c>
      <c r="Q14" s="40" t="s">
        <v>226</v>
      </c>
      <c r="R14" s="41" t="s">
        <v>233</v>
      </c>
      <c r="S14" s="40" t="s">
        <v>253</v>
      </c>
      <c r="T14" s="40" t="s">
        <v>254</v>
      </c>
      <c r="U14" s="40" t="s">
        <v>257</v>
      </c>
      <c r="V14" s="40" t="s">
        <v>266</v>
      </c>
    </row>
    <row r="15" spans="1:22" ht="18" customHeight="1" x14ac:dyDescent="0.25">
      <c r="A15" s="44" t="s">
        <v>273</v>
      </c>
      <c r="B15" s="31" t="str">
        <f>SUBSTITUTE(PROPER(A15),"_","")</f>
        <v>BodyNo</v>
      </c>
      <c r="C15" s="31" t="str">
        <f>SUBSTITUTE(PROPER(A15),"_"," ")</f>
        <v>Body No</v>
      </c>
      <c r="D15" s="31" t="str">
        <f>LOWER(LEFT(B15,1))&amp;RIGHT(B15,LEN(B15) - 1)</f>
        <v>bodyNo</v>
      </c>
      <c r="E15" s="31" t="str">
        <f>A.Backend!H9</f>
        <v>string</v>
      </c>
      <c r="F15" s="31" t="str">
        <f>A.Backend!G9</f>
        <v>10</v>
      </c>
      <c r="G15" s="31" t="str">
        <f>IF(E15="string"," : string = '' ; ",IF(OR(E15="DateTime",E15="TimeSpan")," : any ;",IF(E15="int"," : number = 0 ;","")))</f>
        <v xml:space="preserve"> : string = '' ; </v>
      </c>
      <c r="H15" s="38" t="str">
        <f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this.l('Body No'),headerTooltip: this.l('Body No'),field: 'bodyNo',flex: 1},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[(ngModel)]='bodyNo' name='bodyNo'
									class='form-control' [placeholder]="l('Body No')"
									type='text' (keyup.enter)='searchDatas()'&gt;
								&lt;/div&gt;</v>
      </c>
      <c r="J15" s="31"/>
      <c r="K15" s="38" t="str">
        <f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title'&gt;Body No&lt;/label&gt;
						&lt;input type='text' class='col-md-10 form-control input-text' name='BodyNo' [(ngModel)]='rowdata.bodyNo'&gt;
					&lt;/div&gt;</v>
      </c>
      <c r="L15" s="60" t="str">
        <f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D15&amp;G15</f>
        <v xml:space="preserve">bodyNo : string = '' ; </v>
      </c>
      <c r="T15" s="31" t="str">
        <f>REPT(CHAR(9),3)&amp;"this."&amp;D15&amp;","</f>
        <v xml:space="preserve">			this.bodyNo,</v>
      </c>
      <c r="U15" s="31" t="str">
        <f>IF(E15="int","this."&amp;D15&amp;" = 0,","this."&amp;D15&amp;" = '',")</f>
        <v>this.bodyNo = '',</v>
      </c>
      <c r="V15" s="31" t="str">
        <f>IF(AND(E15="string",F15="1"),D15,"")</f>
        <v/>
      </c>
    </row>
    <row r="16" spans="1:22" ht="15" customHeight="1" x14ac:dyDescent="0.25">
      <c r="A16" s="44" t="s">
        <v>275</v>
      </c>
      <c r="B16" s="31" t="str">
        <f t="shared" ref="B16:B17" si="0">SUBSTITUTE(PROPER(A16),"_","")</f>
        <v>LotNo</v>
      </c>
      <c r="C16" s="31" t="str">
        <f t="shared" ref="C16:C17" si="1">SUBSTITUTE(PROPER(A16),"_"," ")</f>
        <v>Lot No</v>
      </c>
      <c r="D16" s="31" t="str">
        <f t="shared" ref="D16:D17" si="2">LOWER(LEFT(B16,1))&amp;RIGHT(B16,LEN(B16) - 1)</f>
        <v>lotNo</v>
      </c>
      <c r="E16" s="31" t="str">
        <f>A.Backend!H10</f>
        <v>string</v>
      </c>
      <c r="F16" s="31" t="str">
        <f>A.Backend!G10</f>
        <v>20</v>
      </c>
      <c r="G16" s="31" t="str">
        <f t="shared" ref="G16:G19" si="3">IF(E16="string"," : string = '' ; ",IF(OR(E16="DateTime",E16="TimeSpan")," : any ;",IF(E16="int"," : number = 0 ;","")))</f>
        <v xml:space="preserve"> : string = '' ; </v>
      </c>
      <c r="H16" s="38" t="str">
        <f t="shared" ref="H16:H19" si="4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this.l('Lot No'),headerTooltip: this.l('Lot No'),field: 'lotNo',flex: 1},</v>
      </c>
      <c r="I16" s="38" t="str">
        <f t="shared" ref="I16:I19" si="5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[(ngModel)]='lotNo' name='lotNo'
									class='form-control' [placeholder]="l('Lot No')"
									type='text' (keyup.enter)='searchDatas()'&gt;
								&lt;/div&gt;</v>
      </c>
      <c r="J16" s="31"/>
      <c r="K16" s="38" t="str">
        <f t="shared" ref="K16:K19" si="6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title'&gt;Lot No&lt;/label&gt;
						&lt;input type='text' class='col-md-10 form-control input-text' name='LotNo' [(ngModel)]='rowdata.lotNo'&gt;
					&lt;/div&gt;</v>
      </c>
      <c r="L16" s="60" t="str">
        <f t="shared" ref="L16:L19" si="7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>REPT(CHAR(9),1)&amp;D16&amp;G16</f>
        <v xml:space="preserve">	lotNo : string = '' ; </v>
      </c>
      <c r="T16" s="31" t="str">
        <f>REPT(CHAR(9),3)&amp;"this."&amp;D16&amp;","</f>
        <v xml:space="preserve">			this.lotNo,</v>
      </c>
      <c r="U16" s="31" t="str">
        <f>IF(E16="int",REPT(CHAR(9),2)&amp;"this."&amp;D16&amp;" = 0,",REPT(CHAR(9),2)&amp;"this."&amp;D16&amp;" = '',")</f>
        <v xml:space="preserve">		this.lotNo = '',</v>
      </c>
      <c r="V16" s="31" t="str">
        <f t="shared" ref="V16:V19" si="8">IF(AND(E16="string",F16="1"),D16,"")</f>
        <v/>
      </c>
    </row>
    <row r="17" spans="1:22" ht="18" customHeight="1" x14ac:dyDescent="0.25">
      <c r="A17" s="44" t="s">
        <v>277</v>
      </c>
      <c r="B17" s="31" t="str">
        <f t="shared" si="0"/>
        <v>Color</v>
      </c>
      <c r="C17" s="31" t="str">
        <f t="shared" si="1"/>
        <v>Color</v>
      </c>
      <c r="D17" s="31" t="str">
        <f t="shared" si="2"/>
        <v>color</v>
      </c>
      <c r="E17" s="31" t="str">
        <f>A.Backend!H11</f>
        <v>string</v>
      </c>
      <c r="F17" s="31" t="str">
        <f>A.Backend!G11</f>
        <v>10</v>
      </c>
      <c r="G17" s="31" t="str">
        <f t="shared" si="3"/>
        <v xml:space="preserve"> : string = '' ; </v>
      </c>
      <c r="H17" s="38" t="str">
        <f t="shared" si="4"/>
        <v xml:space="preserve">			{headerName: this.l('Color'),headerTooltip: this.l('Color'),field: 'color',flex: 1},</v>
      </c>
      <c r="I17" s="38" t="str">
        <f t="shared" si="5"/>
        <v xml:space="preserve">								&lt;div class='input-search'&gt;
									&lt;input [(ngModel)]='color' name='color'
									class='form-control' [placeholder]="l('Color')"
									type='text' (keyup.enter)='searchDatas()'&gt;
								&lt;/div&gt;</v>
      </c>
      <c r="J17" s="31"/>
      <c r="K17" s="38" t="str">
        <f t="shared" si="6"/>
        <v xml:space="preserve">					&lt;div class='col-md-12 form-group row'&gt;
						&lt;label class='col-md-2 form-control title'&gt;Color&lt;/label&gt;
						&lt;input type='text' class='col-md-10 form-control input-text' name='Color' [(ngModel)]='rowdata.color'&gt;
					&lt;/div&gt;</v>
      </c>
      <c r="L17" s="60" t="str">
        <f t="shared" si="7"/>
        <v/>
      </c>
      <c r="M17" s="31"/>
      <c r="N17" s="31"/>
      <c r="O17" s="31"/>
      <c r="P17" s="31"/>
      <c r="Q17" s="31"/>
      <c r="R17" s="31"/>
      <c r="S17" s="31" t="str">
        <f t="shared" ref="S17:S19" si="9">REPT(CHAR(9),1)&amp;D17&amp;G17</f>
        <v xml:space="preserve">	color : string = '' ; </v>
      </c>
      <c r="T17" s="31" t="str">
        <f t="shared" ref="T17:T19" si="10">REPT(CHAR(9),3)&amp;"this."&amp;D17&amp;","</f>
        <v xml:space="preserve">			this.color,</v>
      </c>
      <c r="U17" s="31" t="str">
        <f t="shared" ref="U17:U19" si="11">IF(E17="int",REPT(CHAR(9),2)&amp;"this."&amp;D17&amp;" = 0,",REPT(CHAR(9),2)&amp;"this."&amp;D17&amp;" = '',")</f>
        <v xml:space="preserve">		this.color = '',</v>
      </c>
      <c r="V17" s="31" t="str">
        <f t="shared" si="8"/>
        <v/>
      </c>
    </row>
    <row r="18" spans="1:22" ht="18" customHeight="1" x14ac:dyDescent="0.25">
      <c r="A18" s="44" t="s">
        <v>278</v>
      </c>
      <c r="B18" s="31" t="str">
        <f>SUBSTITUTE(PROPER(A18),"_","")</f>
        <v>TotalDelayLeadTime</v>
      </c>
      <c r="C18" s="31" t="str">
        <f>SUBSTITUTE(PROPER(A18),"_"," ")</f>
        <v>Total Delay Lead Time</v>
      </c>
      <c r="D18" s="31" t="str">
        <f>LOWER(LEFT(B18,1))&amp;RIGHT(B18,LEN(B18) - 1)</f>
        <v>totalDelayLeadTime</v>
      </c>
      <c r="E18" s="31" t="str">
        <f>A.Backend!H12</f>
        <v>string</v>
      </c>
      <c r="F18" s="31" t="str">
        <f>A.Backend!G12</f>
        <v>10</v>
      </c>
      <c r="G18" s="31" t="str">
        <f t="shared" si="3"/>
        <v xml:space="preserve"> : string = '' ; </v>
      </c>
      <c r="H18" s="38" t="str">
        <f t="shared" si="4"/>
        <v xml:space="preserve">			{headerName: this.l('Total Delay Lead Time'),headerTooltip: this.l('Total Delay Lead Time'),field: 'totalDelayLeadTime',flex: 1},</v>
      </c>
      <c r="I18" s="38" t="str">
        <f t="shared" si="5"/>
        <v xml:space="preserve">								&lt;div class='input-search'&gt;
									&lt;input [(ngModel)]='totalDelayLeadTime' name='totalDelayLeadTime'
									class='form-control' [placeholder]="l('Total Delay Lead Time')"
									type='text' (keyup.enter)='searchDatas()'&gt;
								&lt;/div&gt;</v>
      </c>
      <c r="J18" s="31"/>
      <c r="K18" s="38" t="str">
        <f t="shared" si="6"/>
        <v xml:space="preserve">					&lt;div class='col-md-12 form-group row'&gt;
						&lt;label class='col-md-2 form-control title'&gt;Total Delay Lead Time&lt;/label&gt;
						&lt;input type='text' class='col-md-10 form-control input-text' name='TotalDelayLeadTime' [(ngModel)]='rowdata.totalDelayLeadTime'&gt;
					&lt;/div&gt;</v>
      </c>
      <c r="L18" s="60" t="str">
        <f t="shared" si="7"/>
        <v/>
      </c>
      <c r="M18" s="31"/>
      <c r="N18" s="31"/>
      <c r="O18" s="31"/>
      <c r="P18" s="31"/>
      <c r="Q18" s="31"/>
      <c r="R18" s="31"/>
      <c r="S18" s="31" t="str">
        <f t="shared" si="9"/>
        <v xml:space="preserve">	totalDelayLeadTime : string = '' ; </v>
      </c>
      <c r="T18" s="31" t="str">
        <f t="shared" si="10"/>
        <v xml:space="preserve">			this.totalDelayLeadTime,</v>
      </c>
      <c r="U18" s="31" t="str">
        <f t="shared" si="11"/>
        <v xml:space="preserve">		this.totalDelayLeadTime = '',</v>
      </c>
      <c r="V18" s="31" t="str">
        <f t="shared" si="8"/>
        <v/>
      </c>
    </row>
    <row r="19" spans="1:22" ht="15" customHeight="1" x14ac:dyDescent="0.25">
      <c r="A19" s="44" t="s">
        <v>279</v>
      </c>
      <c r="B19" s="31" t="str">
        <f t="shared" ref="B19" si="12">SUBSTITUTE(PROPER(A19),"_","")</f>
        <v>DispatchPlanDatetime</v>
      </c>
      <c r="C19" s="31" t="str">
        <f t="shared" ref="C19" si="13">SUBSTITUTE(PROPER(A19),"_"," ")</f>
        <v>Dispatch Plan Datetime</v>
      </c>
      <c r="D19" s="31" t="str">
        <f t="shared" ref="D19" si="14">LOWER(LEFT(B19,1))&amp;RIGHT(B19,LEN(B19) - 1)</f>
        <v>dispatchPlanDatetime</v>
      </c>
      <c r="E19" s="31" t="str">
        <f>A.Backend!H13</f>
        <v>DateTime</v>
      </c>
      <c r="F19" s="31" t="str">
        <f>A.Backend!G13</f>
        <v>7</v>
      </c>
      <c r="G19" s="31" t="str">
        <f t="shared" si="3"/>
        <v xml:space="preserve"> : any ;</v>
      </c>
      <c r="H19" s="38" t="str">
        <f t="shared" si="4"/>
        <v xml:space="preserve">			{headerName: this.l('Dispatch Plan Datetime'),headerTooltip: this.l('Dispatch Plan Datetime'),field: 'dispatchPlanDatetime',valueGetter: (params) =&gt; this.pipe.transform(params.data?.dispatchPlanDatetime, 'dd/MM/yyyy'),flex: 1},</v>
      </c>
      <c r="I19" s="38" t="str">
        <f t="shared" si="5"/>
        <v xml:space="preserve">								&lt;div class='input-search'&gt;
									&lt;input type='text' [placeholder]="l('Dispatch Plan Datetime')" [(ngModel)]='dispatchPlanDatetime' 
									name='dispatchPlanDatetime' (keydown)='searchDatas()' class='form-control' 
									bsDatepicker #d='bsDatepicker' placement='bottom left'&gt;
									&lt;i class='fa fa-calendar-alt' (click)='d.toggle()'&gt;&lt;/i&gt;
								&lt;/div&gt;</v>
      </c>
      <c r="J19" s="31"/>
      <c r="K19" s="38" t="str">
        <f t="shared" si="6"/>
        <v xml:space="preserve">					&lt;div class='col-md-12 form-group row'&gt;
						&lt;label class='col-md-2 form-control title'&gt;Dispatch Plan Datetime&lt;/label&gt;
						&lt;input type='text' class='col-md-10 form-control input-text' name='dispatchPlanDatetime' 
						#datepicker='bsDatepicker' [(ngModel)]='rowdata.dispatchPlanDatetime'  bsDatepicker &gt;
					&lt;/div&gt;</v>
      </c>
      <c r="L19" s="60" t="str">
        <f t="shared" si="7"/>
        <v xml:space="preserve">		const dateValue =  this.rowdata.dispatchPlanDatetime ? new Date(this.rowdata.dispatchPlanDatetime?.toString()) : new Date();
		this.datepicker?.bsValueChange.emit(dateValue);</v>
      </c>
      <c r="M19" s="31"/>
      <c r="N19" s="31"/>
      <c r="O19" s="31"/>
      <c r="P19" s="31"/>
      <c r="Q19" s="31"/>
      <c r="R19" s="31"/>
      <c r="S19" s="31" t="str">
        <f t="shared" si="9"/>
        <v xml:space="preserve">	dispatchPlanDatetime : any ;</v>
      </c>
      <c r="T19" s="31" t="str">
        <f t="shared" si="10"/>
        <v xml:space="preserve">			this.dispatchPlanDatetime,</v>
      </c>
      <c r="U19" s="31" t="str">
        <f t="shared" si="11"/>
        <v xml:space="preserve">		this.dispatchPlanDatetime = '',</v>
      </c>
      <c r="V19" s="31" t="str">
        <f t="shared" si="8"/>
        <v/>
      </c>
    </row>
    <row r="20" spans="1:22" ht="15" customHeight="1" x14ac:dyDescent="0.25">
      <c r="A20" s="44" t="s">
        <v>280</v>
      </c>
      <c r="B20" s="31" t="str">
        <f t="shared" ref="B20:B21" si="15">SUBSTITUTE(PROPER(A20),"_","")</f>
        <v>CurrLocation</v>
      </c>
      <c r="C20" s="31" t="str">
        <f t="shared" ref="C20:C21" si="16">SUBSTITUTE(PROPER(A20),"_"," ")</f>
        <v>Curr Location</v>
      </c>
      <c r="D20" s="31" t="str">
        <f t="shared" ref="D20:D21" si="17">LOWER(LEFT(B20,1))&amp;RIGHT(B20,LEN(B20) - 1)</f>
        <v>currLocation</v>
      </c>
      <c r="E20" s="31" t="str">
        <f>A.Backend!H14</f>
        <v>string</v>
      </c>
      <c r="F20" s="31" t="str">
        <f>A.Backend!G14</f>
        <v>255</v>
      </c>
      <c r="G20" s="31" t="str">
        <f t="shared" ref="G20:G23" si="18">IF(E20="string"," : string = '' ; ",IF(OR(E20="DateTime",E20="TimeSpan")," : any ;",IF(E20="int"," : number = 0 ;","")))</f>
        <v xml:space="preserve"> : string = '' ; </v>
      </c>
      <c r="H20" s="38" t="str">
        <f t="shared" ref="H20:H23" si="19">IF(E20="DateTime",
REPT(CHAR(9),3)&amp;"{headerName: this.l('"&amp;C20&amp;"'),headerTooltip: this.l('"&amp;C20&amp;"'),field: '"&amp;D20&amp;"',valueGetter: (params) =&gt; this.pipe.transform(params.data?."&amp;D20&amp;", 'dd/MM/yyyy'),flex: 1},",
IF(AND(E20="string",F20="1"),
REPT(CHAR(9),3)&amp;"{headerName: this.l('"&amp;C20&amp;"'),headerTooltip: this.l('"&amp;C20&amp;"'),field:  '"&amp;D20&amp;"', cellClass: ['text-center'], width: 120, cellRenderer: 'agCellButtonComponent',
buttonDefTwo: { text: params =&gt; (params.data?.'"&amp;D20&amp;"' == 'Y') ? 'Active' : 'Inactive',iconName: 'fa fa-circle',className: params =&gt; (params.data?.'"&amp;D20&amp;"' == 'Y') ? 'btnActive' : 'btnInActive',},}",
REPT(CHAR(9),3)&amp;"{headerName: this.l('"&amp;C20&amp;"'),headerTooltip: this.l('"&amp;C20&amp;"'),field: '"&amp;D20&amp;"',flex: 1},"))</f>
        <v xml:space="preserve">			{headerName: this.l('Curr Location'),headerTooltip: this.l('Curr Location'),field: 'currLocation',flex: 1},</v>
      </c>
      <c r="I20" s="38" t="str">
        <f t="shared" ref="I20:I23" si="20">IF(E20="DateTime",
REPT(CHAR(9),8)&amp;"&lt;div class='input-search'&gt;
"&amp;REPT(CHAR(9),9)&amp;"&lt;input type='text' [placeholder]=""l('"&amp;C20&amp;"')"" [(ngModel)]='"&amp;D20&amp;"' 
"&amp;REPT(CHAR(9),9)&amp;"name='"&amp;D20&amp;"'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IF(E20="string",
REPT(CHAR(9),8)&amp;"&lt;div class='input-search'&gt;
"&amp;REPT(CHAR(9),9)&amp;"&lt;input [(ngModel)]='"&amp;D20&amp;"' name='"&amp;D20&amp;"'
"&amp;REPT(CHAR(9),9)&amp;"class='form-control' [placeholder]=""l('"&amp;C20&amp;"')""
"&amp;REPT(CHAR(9),9)&amp;"type='text' (keyup.enter)='searchDatas()'&gt;
"&amp;REPT(CHAR(9),8)&amp;"&lt;/div&gt;",""))</f>
        <v xml:space="preserve">								&lt;div class='input-search'&gt;
									&lt;input [(ngModel)]='currLocation' name='currLocation'
									class='form-control' [placeholder]="l('Curr Location')"
									type='text' (keyup.enter)='searchDatas()'&gt;
								&lt;/div&gt;</v>
      </c>
      <c r="J20" s="31"/>
      <c r="K20" s="38" t="str">
        <f t="shared" ref="K20:K23" si="21">IF(OR(E20="DateTime",E20="TimeSpan"),
REPT(CHAR(9),5)&amp;"&lt;div class='col-md-12 form-group row'&gt;
"&amp;REPT(CHAR(9),6)&amp;"&lt;label class='col-md-2 form-control title'&gt;"&amp;C20&amp;"&lt;/label&gt;
"&amp;REPT(CHAR(9),6)&amp;"&lt;input type='text' class='col-md-10 form-control input-text' name='"&amp;D20&amp;"' 
"&amp;REPT(CHAR(9),6)&amp;"#datepicker='bsDatepicker' [(ngModel)]='rowdata."&amp;D20&amp;"'  bsDatepicker &gt;
"&amp;REPT(CHAR(9),5)&amp;"&lt;/div&gt;",
IF(AND(E20="string",F20="1"),
REPT(CHAR(9),5)&amp;"&lt;div class='col-md-12 form-group row'&gt;
"&amp;REPT(CHAR(9),6)&amp;"&lt;label class='col-md-2 form-control title'&gt;"&amp;C20&amp;"&lt;/label&gt;
"&amp;REPT(CHAR(9),6)&amp;"&lt;new-checkbox [(ngModel)]='_"&amp;D20&amp;"' name='"&amp;D20&amp;"' className='col-md-10' &gt; &lt;/new-checkbox&gt;
"&amp;REPT(CHAR(9),5)&amp;"&lt;/div&gt;",
IF(E20="string",
REPT(CHAR(9),5)&amp;"&lt;div class='col-md-12 form-group row'&gt;
"&amp;REPT(CHAR(9),6)&amp;"&lt;label class='col-md-2 form-control title'&gt;"&amp;C20&amp;"&lt;/label&gt;
"&amp;REPT(CHAR(9),6)&amp;"&lt;input type='text' class='col-md-10 form-control input-text' name='"&amp;B20&amp;"' [(ngModel)]='rowdata."&amp;D20&amp;"'&gt;
"&amp;REPT(CHAR(9),5)&amp;"&lt;/div&gt;",
IF(E20="int",
REPT(CHAR(9),5)&amp;"&lt;div class='col-md-12 form-group row'&gt;
"&amp;REPT(CHAR(9),6)&amp;"&lt;label class='col-md-2 form-control title'&gt;"&amp;C20&amp;"&lt;/label&gt;
"&amp;REPT(CHAR(9),6)&amp;"&lt;input type='number' class='col-md-10 form-control input-text' name='"&amp;B20&amp;"' [(ngModel)]='rowdata."&amp;D20&amp;"'&gt;
"&amp;REPT(CHAR(9),5)&amp;"&lt;/div&gt;",""))))</f>
        <v xml:space="preserve">					&lt;div class='col-md-12 form-group row'&gt;
						&lt;label class='col-md-2 form-control title'&gt;Curr Location&lt;/label&gt;
						&lt;input type='text' class='col-md-10 form-control input-text' name='CurrLocation' [(ngModel)]='rowdata.currLocation'&gt;
					&lt;/div&gt;</v>
      </c>
      <c r="L20" s="60" t="str">
        <f t="shared" ref="L20:L23" si="22">IF(E20="DateTime",
REPT(CHAR(9),2)&amp;"const dateValue =  this.rowdata."&amp;D20&amp;" ? new Date(this.rowdata."&amp;D20&amp;"?.toString()) : new Date();
"&amp;REPT(CHAR(9),2)&amp;"this.datepicker?.bsValueChange.emit(dateValue);","")</f>
        <v/>
      </c>
      <c r="M20" s="31"/>
      <c r="N20" s="31"/>
      <c r="O20" s="31"/>
      <c r="P20" s="31"/>
      <c r="Q20" s="31"/>
      <c r="R20" s="31"/>
      <c r="S20" s="31" t="str">
        <f>REPT(CHAR(9),1)&amp;D20&amp;G20</f>
        <v xml:space="preserve">	currLocation : string = '' ; </v>
      </c>
      <c r="T20" s="31" t="str">
        <f>REPT(CHAR(9),3)&amp;"this."&amp;D20&amp;","</f>
        <v xml:space="preserve">			this.currLocation,</v>
      </c>
      <c r="U20" s="31" t="str">
        <f>IF(E20="int",REPT(CHAR(9),2)&amp;"this."&amp;D20&amp;" = 0,",REPT(CHAR(9),2)&amp;"this."&amp;D20&amp;" = '',")</f>
        <v xml:space="preserve">		this.currLocation = '',</v>
      </c>
      <c r="V20" s="31" t="str">
        <f t="shared" ref="V20:V23" si="23">IF(AND(E20="string",F20="1"),D20,"")</f>
        <v/>
      </c>
    </row>
    <row r="21" spans="1:22" ht="18" customHeight="1" x14ac:dyDescent="0.25">
      <c r="A21" s="44" t="s">
        <v>282</v>
      </c>
      <c r="B21" s="31" t="str">
        <f t="shared" si="15"/>
        <v>Location</v>
      </c>
      <c r="C21" s="31" t="str">
        <f t="shared" si="16"/>
        <v>Location</v>
      </c>
      <c r="D21" s="31" t="str">
        <f t="shared" si="17"/>
        <v>location</v>
      </c>
      <c r="E21" s="31" t="str">
        <f>A.Backend!H15</f>
        <v>string</v>
      </c>
      <c r="F21" s="31" t="str">
        <f>A.Backend!G15</f>
        <v>255</v>
      </c>
      <c r="G21" s="31" t="str">
        <f t="shared" si="18"/>
        <v xml:space="preserve"> : string = '' ; </v>
      </c>
      <c r="H21" s="38" t="str">
        <f t="shared" si="19"/>
        <v xml:space="preserve">			{headerName: this.l('Location'),headerTooltip: this.l('Location'),field: 'location',flex: 1},</v>
      </c>
      <c r="I21" s="38" t="str">
        <f t="shared" si="20"/>
        <v xml:space="preserve">								&lt;div class='input-search'&gt;
									&lt;input [(ngModel)]='location' name='location'
									class='form-control' [placeholder]="l('Location')"
									type='text' (keyup.enter)='searchDatas()'&gt;
								&lt;/div&gt;</v>
      </c>
      <c r="J21" s="31"/>
      <c r="K21" s="38" t="str">
        <f t="shared" si="21"/>
        <v xml:space="preserve">					&lt;div class='col-md-12 form-group row'&gt;
						&lt;label class='col-md-2 form-control title'&gt;Location&lt;/label&gt;
						&lt;input type='text' class='col-md-10 form-control input-text' name='Location' [(ngModel)]='rowdata.location'&gt;
					&lt;/div&gt;</v>
      </c>
      <c r="L21" s="60" t="str">
        <f t="shared" si="22"/>
        <v/>
      </c>
      <c r="M21" s="31"/>
      <c r="N21" s="31"/>
      <c r="O21" s="31"/>
      <c r="P21" s="31"/>
      <c r="Q21" s="31"/>
      <c r="R21" s="31"/>
      <c r="S21" s="31" t="str">
        <f t="shared" ref="S21:S23" si="24">REPT(CHAR(9),1)&amp;D21&amp;G21</f>
        <v xml:space="preserve">	location : string = '' ; </v>
      </c>
      <c r="T21" s="31" t="str">
        <f t="shared" ref="T21:T23" si="25">REPT(CHAR(9),3)&amp;"this."&amp;D21&amp;","</f>
        <v xml:space="preserve">			this.location,</v>
      </c>
      <c r="U21" s="31" t="str">
        <f t="shared" ref="U21:U23" si="26">IF(E21="int",REPT(CHAR(9),2)&amp;"this."&amp;D21&amp;" = 0,",REPT(CHAR(9),2)&amp;"this."&amp;D21&amp;" = '',")</f>
        <v xml:space="preserve">		this.location = '',</v>
      </c>
      <c r="V21" s="31" t="str">
        <f t="shared" si="23"/>
        <v/>
      </c>
    </row>
    <row r="22" spans="1:22" ht="18" customHeight="1" x14ac:dyDescent="0.25">
      <c r="A22" s="44" t="s">
        <v>283</v>
      </c>
      <c r="B22" s="31" t="str">
        <f>SUBSTITUTE(PROPER(A22),"_","")</f>
        <v>WDelayWithLeadTime</v>
      </c>
      <c r="C22" s="31" t="str">
        <f>SUBSTITUTE(PROPER(A22),"_"," ")</f>
        <v>W Delay With Lead Time</v>
      </c>
      <c r="D22" s="31" t="str">
        <f>LOWER(LEFT(B22,1))&amp;RIGHT(B22,LEN(B22) - 1)</f>
        <v>wDelayWithLeadTime</v>
      </c>
      <c r="E22" s="31" t="str">
        <f>A.Backend!H16</f>
        <v>string</v>
      </c>
      <c r="F22" s="31" t="str">
        <f>A.Backend!G16</f>
        <v>255</v>
      </c>
      <c r="G22" s="31" t="str">
        <f t="shared" si="18"/>
        <v xml:space="preserve"> : string = '' ; </v>
      </c>
      <c r="H22" s="38" t="str">
        <f t="shared" si="19"/>
        <v xml:space="preserve">			{headerName: this.l('W Delay With Lead Time'),headerTooltip: this.l('W Delay With Lead Time'),field: 'wDelayWithLeadTime',flex: 1},</v>
      </c>
      <c r="I22" s="38" t="str">
        <f t="shared" si="20"/>
        <v xml:space="preserve">								&lt;div class='input-search'&gt;
									&lt;input [(ngModel)]='wDelayWithLeadTime' name='wDelayWithLeadTime'
									class='form-control' [placeholder]="l('W Delay With Lead Time')"
									type='text' (keyup.enter)='searchDatas()'&gt;
								&lt;/div&gt;</v>
      </c>
      <c r="J22" s="31"/>
      <c r="K22" s="38" t="str">
        <f t="shared" si="21"/>
        <v xml:space="preserve">					&lt;div class='col-md-12 form-group row'&gt;
						&lt;label class='col-md-2 form-control title'&gt;W Delay With Lead Time&lt;/label&gt;
						&lt;input type='text' class='col-md-10 form-control input-text' name='WDelayWithLeadTime' [(ngModel)]='rowdata.wDelayWithLeadTime'&gt;
					&lt;/div&gt;</v>
      </c>
      <c r="L22" s="60" t="str">
        <f t="shared" si="22"/>
        <v/>
      </c>
      <c r="M22" s="31"/>
      <c r="N22" s="31"/>
      <c r="O22" s="31"/>
      <c r="P22" s="31"/>
      <c r="Q22" s="31"/>
      <c r="R22" s="31"/>
      <c r="S22" s="31" t="str">
        <f t="shared" si="24"/>
        <v xml:space="preserve">	wDelayWithLeadTime : string = '' ; </v>
      </c>
      <c r="T22" s="31" t="str">
        <f t="shared" si="25"/>
        <v xml:space="preserve">			this.wDelayWithLeadTime,</v>
      </c>
      <c r="U22" s="31" t="str">
        <f t="shared" si="26"/>
        <v xml:space="preserve">		this.wDelayWithLeadTime = '',</v>
      </c>
      <c r="V22" s="31" t="str">
        <f t="shared" si="23"/>
        <v/>
      </c>
    </row>
    <row r="23" spans="1:22" ht="15" customHeight="1" x14ac:dyDescent="0.25">
      <c r="A23" s="44" t="s">
        <v>284</v>
      </c>
      <c r="B23" s="31" t="str">
        <f t="shared" ref="B23" si="27">SUBSTITUTE(PROPER(A23),"_","")</f>
        <v>TDelayWithLeadTime</v>
      </c>
      <c r="C23" s="31" t="str">
        <f t="shared" ref="C23" si="28">SUBSTITUTE(PROPER(A23),"_"," ")</f>
        <v>T Delay With Lead Time</v>
      </c>
      <c r="D23" s="31" t="str">
        <f t="shared" ref="D23" si="29">LOWER(LEFT(B23,1))&amp;RIGHT(B23,LEN(B23) - 1)</f>
        <v>tDelayWithLeadTime</v>
      </c>
      <c r="E23" s="31" t="str">
        <f>A.Backend!H17</f>
        <v>string</v>
      </c>
      <c r="F23" s="31" t="str">
        <f>A.Backend!G17</f>
        <v>255</v>
      </c>
      <c r="G23" s="31" t="str">
        <f t="shared" si="18"/>
        <v xml:space="preserve"> : string = '' ; </v>
      </c>
      <c r="H23" s="38" t="str">
        <f t="shared" si="19"/>
        <v xml:space="preserve">			{headerName: this.l('T Delay With Lead Time'),headerTooltip: this.l('T Delay With Lead Time'),field: 'tDelayWithLeadTime',flex: 1},</v>
      </c>
      <c r="I23" s="38" t="str">
        <f t="shared" si="20"/>
        <v xml:space="preserve">								&lt;div class='input-search'&gt;
									&lt;input [(ngModel)]='tDelayWithLeadTime' name='tDelayWithLeadTime'
									class='form-control' [placeholder]="l('T Delay With Lead Time')"
									type='text' (keyup.enter)='searchDatas()'&gt;
								&lt;/div&gt;</v>
      </c>
      <c r="J23" s="31"/>
      <c r="K23" s="38" t="str">
        <f t="shared" si="21"/>
        <v xml:space="preserve">					&lt;div class='col-md-12 form-group row'&gt;
						&lt;label class='col-md-2 form-control title'&gt;T Delay With Lead Time&lt;/label&gt;
						&lt;input type='text' class='col-md-10 form-control input-text' name='TDelayWithLeadTime' [(ngModel)]='rowdata.tDelayWithLeadTime'&gt;
					&lt;/div&gt;</v>
      </c>
      <c r="L23" s="60" t="str">
        <f t="shared" si="22"/>
        <v/>
      </c>
      <c r="M23" s="31"/>
      <c r="N23" s="31"/>
      <c r="O23" s="31"/>
      <c r="P23" s="31"/>
      <c r="Q23" s="31"/>
      <c r="R23" s="31"/>
      <c r="S23" s="31" t="str">
        <f t="shared" si="24"/>
        <v xml:space="preserve">	tDelayWithLeadTime : string = '' ; </v>
      </c>
      <c r="T23" s="31" t="str">
        <f t="shared" si="25"/>
        <v xml:space="preserve">			this.tDelayWithLeadTime,</v>
      </c>
      <c r="U23" s="31" t="str">
        <f t="shared" si="26"/>
        <v xml:space="preserve">		this.tDelayWithLeadTime = '',</v>
      </c>
      <c r="V23" s="31" t="str">
        <f t="shared" si="23"/>
        <v/>
      </c>
    </row>
    <row r="24" spans="1:22" ht="15" customHeight="1" x14ac:dyDescent="0.25">
      <c r="A24" s="44" t="s">
        <v>285</v>
      </c>
      <c r="B24" s="31" t="str">
        <f t="shared" ref="B24:B25" si="30">SUBSTITUTE(PROPER(A24),"_","")</f>
        <v>ADelayWithLeadTime</v>
      </c>
      <c r="C24" s="31" t="str">
        <f t="shared" ref="C24:C25" si="31">SUBSTITUTE(PROPER(A24),"_"," ")</f>
        <v>A Delay With Lead Time</v>
      </c>
      <c r="D24" s="31" t="str">
        <f t="shared" ref="D24:D25" si="32">LOWER(LEFT(B24,1))&amp;RIGHT(B24,LEN(B24) - 1)</f>
        <v>aDelayWithLeadTime</v>
      </c>
      <c r="E24" s="31" t="str">
        <f>A.Backend!H18</f>
        <v>string</v>
      </c>
      <c r="F24" s="31" t="str">
        <f>A.Backend!G18</f>
        <v>255</v>
      </c>
      <c r="G24" s="31" t="str">
        <f t="shared" ref="G24:G27" si="33">IF(E24="string"," : string = '' ; ",IF(OR(E24="DateTime",E24="TimeSpan")," : any ;",IF(E24="int"," : number = 0 ;","")))</f>
        <v xml:space="preserve"> : string = '' ; </v>
      </c>
      <c r="H24" s="38" t="str">
        <f t="shared" ref="H24:H27" si="34">IF(E24="DateTime",
REPT(CHAR(9),3)&amp;"{headerName: this.l('"&amp;C24&amp;"'),headerTooltip: this.l('"&amp;C24&amp;"'),field: '"&amp;D24&amp;"',valueGetter: (params) =&gt; this.pipe.transform(params.data?."&amp;D24&amp;", 'dd/MM/yyyy'),flex: 1},",
IF(AND(E24="string",F24="1"),
REPT(CHAR(9),3)&amp;"{headerName: this.l('"&amp;C24&amp;"'),headerTooltip: this.l('"&amp;C24&amp;"'),field:  '"&amp;D24&amp;"', cellClass: ['text-center'], width: 120, cellRenderer: 'agCellButtonComponent',
buttonDefTwo: { text: params =&gt; (params.data?.'"&amp;D24&amp;"' == 'Y') ? 'Active' : 'Inactive',iconName: 'fa fa-circle',className: params =&gt; (params.data?.'"&amp;D24&amp;"' == 'Y') ? 'btnActive' : 'btnInActive',},}",
REPT(CHAR(9),3)&amp;"{headerName: this.l('"&amp;C24&amp;"'),headerTooltip: this.l('"&amp;C24&amp;"'),field: '"&amp;D24&amp;"',flex: 1},"))</f>
        <v xml:space="preserve">			{headerName: this.l('A Delay With Lead Time'),headerTooltip: this.l('A Delay With Lead Time'),field: 'aDelayWithLeadTime',flex: 1},</v>
      </c>
      <c r="I24" s="38" t="str">
        <f t="shared" ref="I24:I27" si="35">IF(E24="DateTime",
REPT(CHAR(9),8)&amp;"&lt;div class='input-search'&gt;
"&amp;REPT(CHAR(9),9)&amp;"&lt;input type='text' [placeholder]=""l('"&amp;C24&amp;"')"" [(ngModel)]='"&amp;D24&amp;"' 
"&amp;REPT(CHAR(9),9)&amp;"name='"&amp;D24&amp;"'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IF(E24="string",
REPT(CHAR(9),8)&amp;"&lt;div class='input-search'&gt;
"&amp;REPT(CHAR(9),9)&amp;"&lt;input [(ngModel)]='"&amp;D24&amp;"' name='"&amp;D24&amp;"'
"&amp;REPT(CHAR(9),9)&amp;"class='form-control' [placeholder]=""l('"&amp;C24&amp;"')""
"&amp;REPT(CHAR(9),9)&amp;"type='text' (keyup.enter)='searchDatas()'&gt;
"&amp;REPT(CHAR(9),8)&amp;"&lt;/div&gt;",""))</f>
        <v xml:space="preserve">								&lt;div class='input-search'&gt;
									&lt;input [(ngModel)]='aDelayWithLeadTime' name='aDelayWithLeadTime'
									class='form-control' [placeholder]="l('A Delay With Lead Time')"
									type='text' (keyup.enter)='searchDatas()'&gt;
								&lt;/div&gt;</v>
      </c>
      <c r="J24" s="31"/>
      <c r="K24" s="38" t="str">
        <f t="shared" ref="K24:K27" si="36">IF(OR(E24="DateTime",E24="TimeSpan"),
REPT(CHAR(9),5)&amp;"&lt;div class='col-md-12 form-group row'&gt;
"&amp;REPT(CHAR(9),6)&amp;"&lt;label class='col-md-2 form-control title'&gt;"&amp;C24&amp;"&lt;/label&gt;
"&amp;REPT(CHAR(9),6)&amp;"&lt;input type='text' class='col-md-10 form-control input-text' name='"&amp;D24&amp;"' 
"&amp;REPT(CHAR(9),6)&amp;"#datepicker='bsDatepicker' [(ngModel)]='rowdata."&amp;D24&amp;"'  bsDatepicker &gt;
"&amp;REPT(CHAR(9),5)&amp;"&lt;/div&gt;",
IF(AND(E24="string",F24="1"),
REPT(CHAR(9),5)&amp;"&lt;div class='col-md-12 form-group row'&gt;
"&amp;REPT(CHAR(9),6)&amp;"&lt;label class='col-md-2 form-control title'&gt;"&amp;C24&amp;"&lt;/label&gt;
"&amp;REPT(CHAR(9),6)&amp;"&lt;new-checkbox [(ngModel)]='_"&amp;D24&amp;"' name='"&amp;D24&amp;"' className='col-md-10' &gt; &lt;/new-checkbox&gt;
"&amp;REPT(CHAR(9),5)&amp;"&lt;/div&gt;",
IF(E24="string",
REPT(CHAR(9),5)&amp;"&lt;div class='col-md-12 form-group row'&gt;
"&amp;REPT(CHAR(9),6)&amp;"&lt;label class='col-md-2 form-control title'&gt;"&amp;C24&amp;"&lt;/label&gt;
"&amp;REPT(CHAR(9),6)&amp;"&lt;input type='text' class='col-md-10 form-control input-text' name='"&amp;B24&amp;"' [(ngModel)]='rowdata."&amp;D24&amp;"'&gt;
"&amp;REPT(CHAR(9),5)&amp;"&lt;/div&gt;",
IF(E24="int",
REPT(CHAR(9),5)&amp;"&lt;div class='col-md-12 form-group row'&gt;
"&amp;REPT(CHAR(9),6)&amp;"&lt;label class='col-md-2 form-control title'&gt;"&amp;C24&amp;"&lt;/label&gt;
"&amp;REPT(CHAR(9),6)&amp;"&lt;input type='number' class='col-md-10 form-control input-text' name='"&amp;B24&amp;"' [(ngModel)]='rowdata."&amp;D24&amp;"'&gt;
"&amp;REPT(CHAR(9),5)&amp;"&lt;/div&gt;",""))))</f>
        <v xml:space="preserve">					&lt;div class='col-md-12 form-group row'&gt;
						&lt;label class='col-md-2 form-control title'&gt;A Delay With Lead Time&lt;/label&gt;
						&lt;input type='text' class='col-md-10 form-control input-text' name='ADelayWithLeadTime' [(ngModel)]='rowdata.aDelayWithLeadTime'&gt;
					&lt;/div&gt;</v>
      </c>
      <c r="L24" s="60" t="str">
        <f t="shared" ref="L24:L27" si="37">IF(E24="DateTime",
REPT(CHAR(9),2)&amp;"const dateValue =  this.rowdata."&amp;D24&amp;" ? new Date(this.rowdata."&amp;D24&amp;"?.toString()) : new Date();
"&amp;REPT(CHAR(9),2)&amp;"this.datepicker?.bsValueChange.emit(dateValue);","")</f>
        <v/>
      </c>
      <c r="M24" s="31"/>
      <c r="N24" s="31"/>
      <c r="O24" s="31"/>
      <c r="P24" s="31"/>
      <c r="Q24" s="31"/>
      <c r="R24" s="31"/>
      <c r="S24" s="31" t="str">
        <f>REPT(CHAR(9),1)&amp;D24&amp;G24</f>
        <v xml:space="preserve">	aDelayWithLeadTime : string = '' ; </v>
      </c>
      <c r="T24" s="31" t="str">
        <f>REPT(CHAR(9),3)&amp;"this."&amp;D24&amp;","</f>
        <v xml:space="preserve">			this.aDelayWithLeadTime,</v>
      </c>
      <c r="U24" s="31" t="str">
        <f>IF(E24="int",REPT(CHAR(9),2)&amp;"this."&amp;D24&amp;" = 0,",REPT(CHAR(9),2)&amp;"this."&amp;D24&amp;" = '',")</f>
        <v xml:space="preserve">		this.aDelayWithLeadTime = '',</v>
      </c>
      <c r="V24" s="31" t="str">
        <f t="shared" ref="V24:V27" si="38">IF(AND(E24="string",F24="1"),D24,"")</f>
        <v/>
      </c>
    </row>
    <row r="25" spans="1:22" ht="18" customHeight="1" x14ac:dyDescent="0.25">
      <c r="A25" s="44" t="s">
        <v>286</v>
      </c>
      <c r="B25" s="31" t="str">
        <f t="shared" si="30"/>
        <v>IDelayWithLeadTime</v>
      </c>
      <c r="C25" s="31" t="str">
        <f t="shared" si="31"/>
        <v>I Delay With Lead Time</v>
      </c>
      <c r="D25" s="31" t="str">
        <f t="shared" si="32"/>
        <v>iDelayWithLeadTime</v>
      </c>
      <c r="E25" s="31" t="str">
        <f>A.Backend!H19</f>
        <v>string</v>
      </c>
      <c r="F25" s="31" t="str">
        <f>A.Backend!G19</f>
        <v>255</v>
      </c>
      <c r="G25" s="31" t="str">
        <f t="shared" si="33"/>
        <v xml:space="preserve"> : string = '' ; </v>
      </c>
      <c r="H25" s="38" t="str">
        <f t="shared" si="34"/>
        <v xml:space="preserve">			{headerName: this.l('I Delay With Lead Time'),headerTooltip: this.l('I Delay With Lead Time'),field: 'iDelayWithLeadTime',flex: 1},</v>
      </c>
      <c r="I25" s="38" t="str">
        <f t="shared" si="35"/>
        <v xml:space="preserve">								&lt;div class='input-search'&gt;
									&lt;input [(ngModel)]='iDelayWithLeadTime' name='iDelayWithLeadTime'
									class='form-control' [placeholder]="l('I Delay With Lead Time')"
									type='text' (keyup.enter)='searchDatas()'&gt;
								&lt;/div&gt;</v>
      </c>
      <c r="J25" s="31"/>
      <c r="K25" s="38" t="str">
        <f t="shared" si="36"/>
        <v xml:space="preserve">					&lt;div class='col-md-12 form-group row'&gt;
						&lt;label class='col-md-2 form-control title'&gt;I Delay With Lead Time&lt;/label&gt;
						&lt;input type='text' class='col-md-10 form-control input-text' name='IDelayWithLeadTime' [(ngModel)]='rowdata.iDelayWithLeadTime'&gt;
					&lt;/div&gt;</v>
      </c>
      <c r="L25" s="60" t="str">
        <f t="shared" si="37"/>
        <v/>
      </c>
      <c r="M25" s="31"/>
      <c r="N25" s="31"/>
      <c r="O25" s="31"/>
      <c r="P25" s="31"/>
      <c r="Q25" s="31"/>
      <c r="R25" s="31"/>
      <c r="S25" s="31" t="str">
        <f t="shared" ref="S25:S27" si="39">REPT(CHAR(9),1)&amp;D25&amp;G25</f>
        <v xml:space="preserve">	iDelayWithLeadTime : string = '' ; </v>
      </c>
      <c r="T25" s="31" t="str">
        <f t="shared" ref="T25:T27" si="40">REPT(CHAR(9),3)&amp;"this."&amp;D25&amp;","</f>
        <v xml:space="preserve">			this.iDelayWithLeadTime,</v>
      </c>
      <c r="U25" s="31" t="str">
        <f t="shared" ref="U25:U27" si="41">IF(E25="int",REPT(CHAR(9),2)&amp;"this."&amp;D25&amp;" = 0,",REPT(CHAR(9),2)&amp;"this."&amp;D25&amp;" = '',")</f>
        <v xml:space="preserve">		this.iDelayWithLeadTime = '',</v>
      </c>
      <c r="V25" s="31" t="str">
        <f t="shared" si="38"/>
        <v/>
      </c>
    </row>
    <row r="26" spans="1:22" ht="18" customHeight="1" x14ac:dyDescent="0.25">
      <c r="A26" s="44" t="s">
        <v>287</v>
      </c>
      <c r="B26" s="31" t="str">
        <f>SUBSTITUTE(PROPER(A26),"_","")</f>
        <v>FOutDelay</v>
      </c>
      <c r="C26" s="31" t="str">
        <f>SUBSTITUTE(PROPER(A26),"_"," ")</f>
        <v>F Out Delay</v>
      </c>
      <c r="D26" s="31" t="str">
        <f>LOWER(LEFT(B26,1))&amp;RIGHT(B26,LEN(B26) - 1)</f>
        <v>fOutDelay</v>
      </c>
      <c r="E26" s="31" t="str">
        <f>A.Backend!H20</f>
        <v>string</v>
      </c>
      <c r="F26" s="31" t="str">
        <f>A.Backend!G20</f>
        <v>255</v>
      </c>
      <c r="G26" s="31" t="str">
        <f t="shared" si="33"/>
        <v xml:space="preserve"> : string = '' ; </v>
      </c>
      <c r="H26" s="38" t="str">
        <f t="shared" si="34"/>
        <v xml:space="preserve">			{headerName: this.l('F Out Delay'),headerTooltip: this.l('F Out Delay'),field: 'fOutDelay',flex: 1},</v>
      </c>
      <c r="I26" s="38" t="str">
        <f t="shared" si="35"/>
        <v xml:space="preserve">								&lt;div class='input-search'&gt;
									&lt;input [(ngModel)]='fOutDelay' name='fOutDelay'
									class='form-control' [placeholder]="l('F Out Delay')"
									type='text' (keyup.enter)='searchDatas()'&gt;
								&lt;/div&gt;</v>
      </c>
      <c r="J26" s="31"/>
      <c r="K26" s="38" t="str">
        <f t="shared" si="36"/>
        <v xml:space="preserve">					&lt;div class='col-md-12 form-group row'&gt;
						&lt;label class='col-md-2 form-control title'&gt;F Out Delay&lt;/label&gt;
						&lt;input type='text' class='col-md-10 form-control input-text' name='FOutDelay' [(ngModel)]='rowdata.fOutDelay'&gt;
					&lt;/div&gt;</v>
      </c>
      <c r="L26" s="60" t="str">
        <f t="shared" si="37"/>
        <v/>
      </c>
      <c r="M26" s="31"/>
      <c r="N26" s="31"/>
      <c r="O26" s="31"/>
      <c r="P26" s="31"/>
      <c r="Q26" s="31"/>
      <c r="R26" s="31"/>
      <c r="S26" s="31" t="str">
        <f t="shared" si="39"/>
        <v xml:space="preserve">	fOutDelay : string = '' ; </v>
      </c>
      <c r="T26" s="31" t="str">
        <f t="shared" si="40"/>
        <v xml:space="preserve">			this.fOutDelay,</v>
      </c>
      <c r="U26" s="31" t="str">
        <f t="shared" si="41"/>
        <v xml:space="preserve">		this.fOutDelay = '',</v>
      </c>
      <c r="V26" s="31" t="str">
        <f t="shared" si="38"/>
        <v/>
      </c>
    </row>
    <row r="27" spans="1:22" ht="15" customHeight="1" x14ac:dyDescent="0.25">
      <c r="A27" s="44" t="s">
        <v>288</v>
      </c>
      <c r="B27" s="31" t="str">
        <f t="shared" ref="B27" si="42">SUBSTITUTE(PROPER(A27),"_","")</f>
        <v>DelayFlag</v>
      </c>
      <c r="C27" s="31" t="str">
        <f t="shared" ref="C27" si="43">SUBSTITUTE(PROPER(A27),"_"," ")</f>
        <v>Delay Flag</v>
      </c>
      <c r="D27" s="31" t="str">
        <f t="shared" ref="D27" si="44">LOWER(LEFT(B27,1))&amp;RIGHT(B27,LEN(B27) - 1)</f>
        <v>delayFlag</v>
      </c>
      <c r="E27" s="31" t="str">
        <f>A.Backend!H21</f>
        <v>string</v>
      </c>
      <c r="F27" s="31" t="str">
        <f>A.Backend!G21</f>
        <v>1</v>
      </c>
      <c r="G27" s="31" t="str">
        <f t="shared" si="33"/>
        <v xml:space="preserve"> : string = '' ; </v>
      </c>
      <c r="H27" s="38" t="str">
        <f t="shared" si="34"/>
        <v xml:space="preserve">			{headerName: this.l('Delay Flag'),headerTooltip: this.l('Delay Flag'),field:  'delayFlag', cellClass: ['text-center'], width: 120, cellRenderer: 'agCellButtonComponent',
buttonDefTwo: { text: params =&gt; (params.data?.'delayFlag' == 'Y') ? 'Active' : 'Inactive',iconName: 'fa fa-circle',className: params =&gt; (params.data?.'delayFlag' == 'Y') ? 'btnActive' : 'btnInActive',},}</v>
      </c>
      <c r="I27" s="38" t="str">
        <f t="shared" si="35"/>
        <v xml:space="preserve">								&lt;div class='input-search'&gt;
									&lt;input [(ngModel)]='delayFlag' name='delayFlag'
									class='form-control' [placeholder]="l('Delay Flag')"
									type='text' (keyup.enter)='searchDatas()'&gt;
								&lt;/div&gt;</v>
      </c>
      <c r="J27" s="31"/>
      <c r="K27" s="38" t="str">
        <f t="shared" si="36"/>
        <v xml:space="preserve">					&lt;div class='col-md-12 form-group row'&gt;
						&lt;label class='col-md-2 form-control title'&gt;Delay Flag&lt;/label&gt;
						&lt;new-checkbox [(ngModel)]='_delayFlag' name='delayFlag' className='col-md-10' &gt; &lt;/new-checkbox&gt;
					&lt;/div&gt;</v>
      </c>
      <c r="L27" s="60" t="str">
        <f t="shared" si="37"/>
        <v/>
      </c>
      <c r="M27" s="31"/>
      <c r="N27" s="31"/>
      <c r="O27" s="31"/>
      <c r="P27" s="31"/>
      <c r="Q27" s="31"/>
      <c r="R27" s="31"/>
      <c r="S27" s="31" t="str">
        <f t="shared" si="39"/>
        <v xml:space="preserve">	delayFlag : string = '' ; </v>
      </c>
      <c r="T27" s="31" t="str">
        <f t="shared" si="40"/>
        <v xml:space="preserve">			this.delayFlag,</v>
      </c>
      <c r="U27" s="31" t="str">
        <f t="shared" si="41"/>
        <v xml:space="preserve">		this.delayFlag = '',</v>
      </c>
      <c r="V27" s="31" t="str">
        <f t="shared" si="38"/>
        <v>delayFlag</v>
      </c>
    </row>
    <row r="30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opLeftCell="A4" workbookViewId="0">
      <selection activeCell="E18" sqref="E18"/>
    </sheetView>
  </sheetViews>
  <sheetFormatPr defaultRowHeight="15" x14ac:dyDescent="0.25"/>
  <cols>
    <col min="1" max="1" width="22.5703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269</v>
      </c>
      <c r="B20" t="s">
        <v>270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topLeftCell="A76" workbookViewId="0">
      <selection activeCell="E95" sqref="E95"/>
    </sheetView>
  </sheetViews>
  <sheetFormatPr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194</v>
      </c>
      <c r="B2" s="25" t="s">
        <v>191</v>
      </c>
    </row>
    <row r="3" spans="1:2" x14ac:dyDescent="0.25">
      <c r="B3" s="22" t="s">
        <v>116</v>
      </c>
    </row>
    <row r="4" spans="1:2" x14ac:dyDescent="0.25">
      <c r="B4" s="22" t="s">
        <v>117</v>
      </c>
    </row>
    <row r="5" spans="1:2" x14ac:dyDescent="0.25">
      <c r="B5" s="22" t="s">
        <v>118</v>
      </c>
    </row>
    <row r="6" spans="1:2" x14ac:dyDescent="0.25">
      <c r="B6" s="22" t="s">
        <v>119</v>
      </c>
    </row>
    <row r="7" spans="1:2" x14ac:dyDescent="0.25">
      <c r="B7" s="22" t="s">
        <v>120</v>
      </c>
    </row>
    <row r="8" spans="1:2" x14ac:dyDescent="0.25">
      <c r="B8" s="22" t="s">
        <v>121</v>
      </c>
    </row>
    <row r="9" spans="1:2" x14ac:dyDescent="0.25">
      <c r="B9" s="22" t="s">
        <v>122</v>
      </c>
    </row>
    <row r="10" spans="1:2" x14ac:dyDescent="0.25">
      <c r="B10" s="22" t="s">
        <v>123</v>
      </c>
    </row>
    <row r="11" spans="1:2" x14ac:dyDescent="0.25">
      <c r="B11" s="22" t="s">
        <v>124</v>
      </c>
    </row>
    <row r="12" spans="1:2" x14ac:dyDescent="0.25">
      <c r="B12" s="22" t="s">
        <v>125</v>
      </c>
    </row>
    <row r="13" spans="1:2" x14ac:dyDescent="0.25">
      <c r="B13" s="22" t="s">
        <v>126</v>
      </c>
    </row>
    <row r="14" spans="1:2" x14ac:dyDescent="0.25">
      <c r="B14" s="22" t="s">
        <v>127</v>
      </c>
    </row>
    <row r="15" spans="1:2" x14ac:dyDescent="0.25">
      <c r="B15" s="22" t="s">
        <v>128</v>
      </c>
    </row>
    <row r="16" spans="1:2" x14ac:dyDescent="0.25">
      <c r="B16" s="22" t="s">
        <v>129</v>
      </c>
    </row>
    <row r="17" spans="1:3" x14ac:dyDescent="0.25">
      <c r="B17" s="22" t="s">
        <v>130</v>
      </c>
    </row>
    <row r="18" spans="1:3" x14ac:dyDescent="0.25">
      <c r="B18" s="22" t="s">
        <v>131</v>
      </c>
      <c r="C18" t="s">
        <v>193</v>
      </c>
    </row>
    <row r="19" spans="1:3" x14ac:dyDescent="0.25">
      <c r="B19" s="22" t="s">
        <v>132</v>
      </c>
    </row>
    <row r="20" spans="1:3" x14ac:dyDescent="0.25">
      <c r="B20" s="22" t="s">
        <v>133</v>
      </c>
    </row>
    <row r="21" spans="1:3" x14ac:dyDescent="0.25">
      <c r="B21" s="22" t="s">
        <v>134</v>
      </c>
    </row>
    <row r="22" spans="1:3" x14ac:dyDescent="0.25">
      <c r="B22" s="22" t="s">
        <v>135</v>
      </c>
      <c r="C22" t="s">
        <v>198</v>
      </c>
    </row>
    <row r="23" spans="1:3" x14ac:dyDescent="0.25">
      <c r="B23" s="22" t="s">
        <v>136</v>
      </c>
    </row>
    <row r="24" spans="1:3" x14ac:dyDescent="0.25">
      <c r="B24" s="22" t="s">
        <v>137</v>
      </c>
    </row>
    <row r="25" spans="1:3" x14ac:dyDescent="0.25">
      <c r="B25" s="22" t="s">
        <v>138</v>
      </c>
    </row>
    <row r="26" spans="1:3" x14ac:dyDescent="0.25">
      <c r="A26" s="24" t="s">
        <v>195</v>
      </c>
      <c r="B26" s="25" t="s">
        <v>192</v>
      </c>
    </row>
    <row r="27" spans="1:3" x14ac:dyDescent="0.25">
      <c r="B27" s="22" t="s">
        <v>139</v>
      </c>
    </row>
    <row r="28" spans="1:3" x14ac:dyDescent="0.25">
      <c r="B28" s="23" t="s">
        <v>140</v>
      </c>
    </row>
    <row r="29" spans="1:3" x14ac:dyDescent="0.25">
      <c r="B29" s="22" t="s">
        <v>141</v>
      </c>
    </row>
    <row r="30" spans="1:3" x14ac:dyDescent="0.25">
      <c r="B30" s="22" t="s">
        <v>142</v>
      </c>
    </row>
    <row r="31" spans="1:3" x14ac:dyDescent="0.25">
      <c r="B31" s="22" t="s">
        <v>143</v>
      </c>
    </row>
    <row r="32" spans="1:3" x14ac:dyDescent="0.25">
      <c r="B32" s="22" t="s">
        <v>144</v>
      </c>
    </row>
    <row r="33" spans="2:2" x14ac:dyDescent="0.25">
      <c r="B33" s="22" t="s">
        <v>145</v>
      </c>
    </row>
    <row r="34" spans="2:2" x14ac:dyDescent="0.25">
      <c r="B34" s="22" t="s">
        <v>146</v>
      </c>
    </row>
    <row r="35" spans="2:2" x14ac:dyDescent="0.25">
      <c r="B35" s="22" t="s">
        <v>147</v>
      </c>
    </row>
    <row r="36" spans="2:2" x14ac:dyDescent="0.25">
      <c r="B36" s="22" t="s">
        <v>148</v>
      </c>
    </row>
    <row r="37" spans="2:2" x14ac:dyDescent="0.25">
      <c r="B37" s="22" t="s">
        <v>149</v>
      </c>
    </row>
    <row r="38" spans="2:2" x14ac:dyDescent="0.25">
      <c r="B38" s="22" t="s">
        <v>150</v>
      </c>
    </row>
    <row r="39" spans="2:2" x14ac:dyDescent="0.25">
      <c r="B39" s="22" t="s">
        <v>151</v>
      </c>
    </row>
    <row r="40" spans="2:2" x14ac:dyDescent="0.25">
      <c r="B40" s="22" t="s">
        <v>152</v>
      </c>
    </row>
    <row r="41" spans="2:2" x14ac:dyDescent="0.25">
      <c r="B41" s="22" t="s">
        <v>153</v>
      </c>
    </row>
    <row r="42" spans="2:2" x14ac:dyDescent="0.25">
      <c r="B42" s="22" t="s">
        <v>154</v>
      </c>
    </row>
    <row r="43" spans="2:2" x14ac:dyDescent="0.25">
      <c r="B43" s="23" t="s">
        <v>155</v>
      </c>
    </row>
    <row r="44" spans="2:2" x14ac:dyDescent="0.25">
      <c r="B44" s="22" t="s">
        <v>141</v>
      </c>
    </row>
    <row r="45" spans="2:2" x14ac:dyDescent="0.25">
      <c r="B45" s="22" t="s">
        <v>156</v>
      </c>
    </row>
    <row r="46" spans="2:2" x14ac:dyDescent="0.25">
      <c r="B46" s="22" t="s">
        <v>157</v>
      </c>
    </row>
    <row r="47" spans="2:2" x14ac:dyDescent="0.25">
      <c r="B47" s="22" t="s">
        <v>158</v>
      </c>
    </row>
    <row r="48" spans="2:2" x14ac:dyDescent="0.25">
      <c r="B48" s="22" t="s">
        <v>159</v>
      </c>
    </row>
    <row r="49" spans="2:2" x14ac:dyDescent="0.25">
      <c r="B49" s="22" t="s">
        <v>142</v>
      </c>
    </row>
    <row r="50" spans="2:2" x14ac:dyDescent="0.25">
      <c r="B50" s="22" t="s">
        <v>143</v>
      </c>
    </row>
    <row r="51" spans="2:2" x14ac:dyDescent="0.25">
      <c r="B51" s="22" t="s">
        <v>144</v>
      </c>
    </row>
    <row r="52" spans="2:2" x14ac:dyDescent="0.25">
      <c r="B52" s="22" t="s">
        <v>145</v>
      </c>
    </row>
    <row r="53" spans="2:2" x14ac:dyDescent="0.25">
      <c r="B53" s="22" t="s">
        <v>146</v>
      </c>
    </row>
    <row r="54" spans="2:2" x14ac:dyDescent="0.25">
      <c r="B54" s="22" t="s">
        <v>147</v>
      </c>
    </row>
    <row r="55" spans="2:2" x14ac:dyDescent="0.25">
      <c r="B55" s="22" t="s">
        <v>148</v>
      </c>
    </row>
    <row r="56" spans="2:2" x14ac:dyDescent="0.25">
      <c r="B56" s="22" t="s">
        <v>160</v>
      </c>
    </row>
    <row r="57" spans="2:2" x14ac:dyDescent="0.25">
      <c r="B57" s="22" t="s">
        <v>161</v>
      </c>
    </row>
    <row r="58" spans="2:2" x14ac:dyDescent="0.25">
      <c r="B58" s="22" t="s">
        <v>149</v>
      </c>
    </row>
    <row r="59" spans="2:2" x14ac:dyDescent="0.25">
      <c r="B59" s="22" t="s">
        <v>150</v>
      </c>
    </row>
    <row r="60" spans="2:2" x14ac:dyDescent="0.25">
      <c r="B60" s="22" t="s">
        <v>162</v>
      </c>
    </row>
    <row r="61" spans="2:2" x14ac:dyDescent="0.25">
      <c r="B61" s="22" t="s">
        <v>163</v>
      </c>
    </row>
    <row r="62" spans="2:2" x14ac:dyDescent="0.25">
      <c r="B62" s="22" t="s">
        <v>164</v>
      </c>
    </row>
    <row r="63" spans="2:2" x14ac:dyDescent="0.25">
      <c r="B63" s="22" t="s">
        <v>159</v>
      </c>
    </row>
    <row r="64" spans="2:2" x14ac:dyDescent="0.25">
      <c r="B64" s="22" t="s">
        <v>151</v>
      </c>
    </row>
    <row r="65" spans="2:2" x14ac:dyDescent="0.25">
      <c r="B65" s="22" t="s">
        <v>152</v>
      </c>
    </row>
    <row r="66" spans="2:2" x14ac:dyDescent="0.25">
      <c r="B66" s="22" t="s">
        <v>165</v>
      </c>
    </row>
    <row r="67" spans="2:2" x14ac:dyDescent="0.25">
      <c r="B67" s="22" t="s">
        <v>159</v>
      </c>
    </row>
    <row r="68" spans="2:2" x14ac:dyDescent="0.25">
      <c r="B68" s="22" t="s">
        <v>153</v>
      </c>
    </row>
    <row r="69" spans="2:2" x14ac:dyDescent="0.25">
      <c r="B69" s="22" t="s">
        <v>166</v>
      </c>
    </row>
    <row r="70" spans="2:2" x14ac:dyDescent="0.25">
      <c r="B70" s="23" t="s">
        <v>167</v>
      </c>
    </row>
    <row r="71" spans="2:2" x14ac:dyDescent="0.25">
      <c r="B71" s="22" t="s">
        <v>141</v>
      </c>
    </row>
    <row r="72" spans="2:2" x14ac:dyDescent="0.25">
      <c r="B72" s="22" t="s">
        <v>142</v>
      </c>
    </row>
    <row r="73" spans="2:2" x14ac:dyDescent="0.25">
      <c r="B73" s="22" t="s">
        <v>143</v>
      </c>
    </row>
    <row r="74" spans="2:2" x14ac:dyDescent="0.25">
      <c r="B74" s="22" t="s">
        <v>144</v>
      </c>
    </row>
    <row r="75" spans="2:2" x14ac:dyDescent="0.25">
      <c r="B75" s="22" t="s">
        <v>148</v>
      </c>
    </row>
    <row r="76" spans="2:2" x14ac:dyDescent="0.25">
      <c r="B76" s="22" t="s">
        <v>150</v>
      </c>
    </row>
    <row r="77" spans="2:2" x14ac:dyDescent="0.25">
      <c r="B77" s="22" t="s">
        <v>151</v>
      </c>
    </row>
    <row r="78" spans="2:2" x14ac:dyDescent="0.25">
      <c r="B78" s="22" t="s">
        <v>152</v>
      </c>
    </row>
    <row r="79" spans="2:2" x14ac:dyDescent="0.25">
      <c r="B79" s="22" t="s">
        <v>153</v>
      </c>
    </row>
    <row r="80" spans="2:2" x14ac:dyDescent="0.25">
      <c r="B80" s="22" t="s">
        <v>166</v>
      </c>
    </row>
    <row r="81" spans="1:2" x14ac:dyDescent="0.25">
      <c r="B81" s="23" t="s">
        <v>168</v>
      </c>
    </row>
    <row r="82" spans="1:2" x14ac:dyDescent="0.25">
      <c r="B82" s="23" t="s">
        <v>169</v>
      </c>
    </row>
    <row r="83" spans="1:2" x14ac:dyDescent="0.25">
      <c r="B83" s="23" t="s">
        <v>170</v>
      </c>
    </row>
    <row r="84" spans="1:2" x14ac:dyDescent="0.25">
      <c r="B84" s="23" t="s">
        <v>171</v>
      </c>
    </row>
    <row r="85" spans="1:2" x14ac:dyDescent="0.25">
      <c r="B85" s="23" t="s">
        <v>172</v>
      </c>
    </row>
    <row r="86" spans="1:2" x14ac:dyDescent="0.25">
      <c r="B86" s="23" t="s">
        <v>173</v>
      </c>
    </row>
    <row r="87" spans="1:2" x14ac:dyDescent="0.25">
      <c r="B87" s="23" t="s">
        <v>174</v>
      </c>
    </row>
    <row r="88" spans="1:2" x14ac:dyDescent="0.25">
      <c r="A88" s="24" t="s">
        <v>196</v>
      </c>
      <c r="B88" s="26" t="s">
        <v>175</v>
      </c>
    </row>
    <row r="89" spans="1:2" x14ac:dyDescent="0.25">
      <c r="B89" s="22" t="s">
        <v>176</v>
      </c>
    </row>
    <row r="90" spans="1:2" x14ac:dyDescent="0.25">
      <c r="B90" s="22" t="s">
        <v>177</v>
      </c>
    </row>
    <row r="91" spans="1:2" x14ac:dyDescent="0.25">
      <c r="B91" s="22" t="s">
        <v>178</v>
      </c>
    </row>
    <row r="92" spans="1:2" x14ac:dyDescent="0.25">
      <c r="B92" s="22" t="s">
        <v>179</v>
      </c>
    </row>
    <row r="93" spans="1:2" x14ac:dyDescent="0.25">
      <c r="B93" s="22" t="s">
        <v>180</v>
      </c>
    </row>
    <row r="94" spans="1:2" x14ac:dyDescent="0.25">
      <c r="B94" s="22" t="s">
        <v>181</v>
      </c>
    </row>
    <row r="95" spans="1:2" x14ac:dyDescent="0.25">
      <c r="B95" s="22" t="s">
        <v>182</v>
      </c>
    </row>
    <row r="96" spans="1:2" x14ac:dyDescent="0.25">
      <c r="B96" s="22" t="s">
        <v>183</v>
      </c>
    </row>
    <row r="97" spans="2:2" x14ac:dyDescent="0.25">
      <c r="B97" s="22" t="s">
        <v>184</v>
      </c>
    </row>
    <row r="98" spans="2:2" x14ac:dyDescent="0.25">
      <c r="B98" s="22" t="s">
        <v>185</v>
      </c>
    </row>
    <row r="99" spans="2:2" x14ac:dyDescent="0.25">
      <c r="B99" s="22" t="s">
        <v>186</v>
      </c>
    </row>
    <row r="100" spans="2:2" x14ac:dyDescent="0.25">
      <c r="B100" s="22" t="s">
        <v>187</v>
      </c>
    </row>
    <row r="101" spans="2:2" x14ac:dyDescent="0.25">
      <c r="B101" s="22" t="s">
        <v>188</v>
      </c>
    </row>
    <row r="102" spans="2:2" x14ac:dyDescent="0.25">
      <c r="B102" s="22" t="s">
        <v>189</v>
      </c>
    </row>
    <row r="103" spans="2:2" x14ac:dyDescent="0.25">
      <c r="B103" s="22" t="s">
        <v>190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2022-06-13T09:38:40Z</dcterms:modified>
</cp:coreProperties>
</file>
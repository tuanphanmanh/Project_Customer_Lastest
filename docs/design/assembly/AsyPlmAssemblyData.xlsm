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TmvProdV12\docs\design\assembly\"/>
    </mc:Choice>
  </mc:AlternateContent>
  <xr:revisionPtr revIDLastSave="0" documentId="13_ncr:1_{48649786-B52B-4CFE-8215-25CFBB74FAE3}" xr6:coauthVersionLast="47" xr6:coauthVersionMax="47" xr10:uidLastSave="{00000000-0000-0000-0000-000000000000}"/>
  <bookViews>
    <workbookView xWindow="19080" yWindow="-120" windowWidth="19440" windowHeight="15000" activeTab="1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  <c r="D10" i="1" l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E16" i="5" l="1"/>
  <c r="F16" i="5"/>
  <c r="G16" i="5"/>
  <c r="E17" i="5"/>
  <c r="G17" i="5" s="1"/>
  <c r="F17" i="5"/>
  <c r="E18" i="5"/>
  <c r="G18" i="5" s="1"/>
  <c r="F18" i="5"/>
  <c r="E19" i="5"/>
  <c r="F19" i="5"/>
  <c r="G19" i="5"/>
  <c r="E20" i="5"/>
  <c r="F20" i="5"/>
  <c r="G20" i="5"/>
  <c r="E21" i="5"/>
  <c r="G21" i="5" s="1"/>
  <c r="F21" i="5"/>
  <c r="E22" i="5"/>
  <c r="G22" i="5" s="1"/>
  <c r="F22" i="5"/>
  <c r="E23" i="5"/>
  <c r="F23" i="5"/>
  <c r="G23" i="5"/>
  <c r="E24" i="5"/>
  <c r="F24" i="5"/>
  <c r="G24" i="5"/>
  <c r="E25" i="5"/>
  <c r="G25" i="5" s="1"/>
  <c r="F25" i="5"/>
  <c r="E26" i="5"/>
  <c r="G26" i="5" s="1"/>
  <c r="F26" i="5"/>
  <c r="E27" i="5"/>
  <c r="L27" i="5" s="1"/>
  <c r="F27" i="5"/>
  <c r="G27" i="5"/>
  <c r="E28" i="5"/>
  <c r="F28" i="5"/>
  <c r="G28" i="5"/>
  <c r="E29" i="5"/>
  <c r="G29" i="5" s="1"/>
  <c r="F29" i="5"/>
  <c r="C29" i="5"/>
  <c r="B29" i="5"/>
  <c r="D29" i="5" s="1"/>
  <c r="V28" i="5"/>
  <c r="C28" i="5"/>
  <c r="B28" i="5"/>
  <c r="D28" i="5" s="1"/>
  <c r="T28" i="5" s="1"/>
  <c r="C27" i="5"/>
  <c r="B27" i="5"/>
  <c r="D27" i="5" s="1"/>
  <c r="D26" i="5"/>
  <c r="T26" i="5" s="1"/>
  <c r="C26" i="5"/>
  <c r="B26" i="5"/>
  <c r="C25" i="5"/>
  <c r="B25" i="5"/>
  <c r="D25" i="5" s="1"/>
  <c r="C24" i="5"/>
  <c r="B24" i="5"/>
  <c r="D24" i="5" s="1"/>
  <c r="T24" i="5" s="1"/>
  <c r="L23" i="5"/>
  <c r="C23" i="5"/>
  <c r="B23" i="5"/>
  <c r="D23" i="5" s="1"/>
  <c r="I22" i="5"/>
  <c r="C22" i="5"/>
  <c r="B22" i="5"/>
  <c r="D22" i="5" s="1"/>
  <c r="C21" i="5"/>
  <c r="B21" i="5"/>
  <c r="D21" i="5" s="1"/>
  <c r="T21" i="5" s="1"/>
  <c r="L20" i="5"/>
  <c r="C20" i="5"/>
  <c r="B20" i="5"/>
  <c r="D20" i="5" s="1"/>
  <c r="V19" i="5"/>
  <c r="C19" i="5"/>
  <c r="B19" i="5"/>
  <c r="D19" i="5" s="1"/>
  <c r="T19" i="5" s="1"/>
  <c r="L23" i="1"/>
  <c r="G23" i="1"/>
  <c r="E23" i="1"/>
  <c r="H23" i="1" s="1"/>
  <c r="I23" i="1" s="1"/>
  <c r="T23" i="1"/>
  <c r="G22" i="1"/>
  <c r="E22" i="1"/>
  <c r="H22" i="1" s="1"/>
  <c r="V22" i="1"/>
  <c r="G21" i="1"/>
  <c r="E21" i="1"/>
  <c r="H21" i="1" s="1"/>
  <c r="T21" i="1"/>
  <c r="L20" i="1"/>
  <c r="G20" i="1"/>
  <c r="E20" i="1"/>
  <c r="H20" i="1" s="1"/>
  <c r="V20" i="1"/>
  <c r="L19" i="1"/>
  <c r="G19" i="1"/>
  <c r="E19" i="1"/>
  <c r="H19" i="1" s="1"/>
  <c r="T19" i="1"/>
  <c r="G18" i="1"/>
  <c r="E18" i="1"/>
  <c r="H18" i="1" s="1"/>
  <c r="V18" i="1"/>
  <c r="G17" i="1"/>
  <c r="E17" i="1"/>
  <c r="H17" i="1" s="1"/>
  <c r="T17" i="1"/>
  <c r="L16" i="1"/>
  <c r="G16" i="1"/>
  <c r="E16" i="1"/>
  <c r="H16" i="1" s="1"/>
  <c r="V16" i="1"/>
  <c r="L15" i="1"/>
  <c r="G15" i="1"/>
  <c r="E15" i="1"/>
  <c r="H15" i="1" s="1"/>
  <c r="M15" i="1" s="1"/>
  <c r="T15" i="1"/>
  <c r="G14" i="1"/>
  <c r="E14" i="1"/>
  <c r="H14" i="1" s="1"/>
  <c r="V14" i="1"/>
  <c r="G13" i="1"/>
  <c r="E13" i="1"/>
  <c r="H13" i="1" s="1"/>
  <c r="P13" i="1"/>
  <c r="I25" i="5" l="1"/>
  <c r="I29" i="5"/>
  <c r="H23" i="5"/>
  <c r="K25" i="5"/>
  <c r="V26" i="5"/>
  <c r="V24" i="5"/>
  <c r="L29" i="5"/>
  <c r="L25" i="5"/>
  <c r="I27" i="5"/>
  <c r="H29" i="5"/>
  <c r="V21" i="5"/>
  <c r="I23" i="5"/>
  <c r="H25" i="5"/>
  <c r="H27" i="5"/>
  <c r="S29" i="5"/>
  <c r="T29" i="5"/>
  <c r="U29" i="5"/>
  <c r="T25" i="5"/>
  <c r="S25" i="5"/>
  <c r="U25" i="5"/>
  <c r="T27" i="5"/>
  <c r="S27" i="5"/>
  <c r="U27" i="5"/>
  <c r="T23" i="5"/>
  <c r="S23" i="5"/>
  <c r="U23" i="5"/>
  <c r="I20" i="5"/>
  <c r="K23" i="5"/>
  <c r="H24" i="5"/>
  <c r="H26" i="5"/>
  <c r="K27" i="5"/>
  <c r="H28" i="5"/>
  <c r="K29" i="5"/>
  <c r="H22" i="5"/>
  <c r="V23" i="5"/>
  <c r="I24" i="5"/>
  <c r="V25" i="5"/>
  <c r="I26" i="5"/>
  <c r="V27" i="5"/>
  <c r="I28" i="5"/>
  <c r="V29" i="5"/>
  <c r="H20" i="5"/>
  <c r="K24" i="5"/>
  <c r="U24" i="5"/>
  <c r="K26" i="5"/>
  <c r="U26" i="5"/>
  <c r="K28" i="5"/>
  <c r="U28" i="5"/>
  <c r="S20" i="5"/>
  <c r="L22" i="5"/>
  <c r="S24" i="5"/>
  <c r="L24" i="5"/>
  <c r="S26" i="5"/>
  <c r="L26" i="5"/>
  <c r="S28" i="5"/>
  <c r="L28" i="5"/>
  <c r="T22" i="5"/>
  <c r="S22" i="5"/>
  <c r="U22" i="5"/>
  <c r="T20" i="5"/>
  <c r="U20" i="5"/>
  <c r="H19" i="5"/>
  <c r="K20" i="5"/>
  <c r="H21" i="5"/>
  <c r="K22" i="5"/>
  <c r="I19" i="5"/>
  <c r="V20" i="5"/>
  <c r="I21" i="5"/>
  <c r="V22" i="5"/>
  <c r="K19" i="5"/>
  <c r="U19" i="5"/>
  <c r="K21" i="5"/>
  <c r="U21" i="5"/>
  <c r="S19" i="5"/>
  <c r="L19" i="5"/>
  <c r="S21" i="5"/>
  <c r="L21" i="5"/>
  <c r="M13" i="1"/>
  <c r="M17" i="1"/>
  <c r="M21" i="1"/>
  <c r="P22" i="1"/>
  <c r="M23" i="1"/>
  <c r="W22" i="1"/>
  <c r="O22" i="1"/>
  <c r="J22" i="1"/>
  <c r="N22" i="1"/>
  <c r="I22" i="1"/>
  <c r="M22" i="1"/>
  <c r="M19" i="1"/>
  <c r="I19" i="1"/>
  <c r="T16" i="1"/>
  <c r="I21" i="1"/>
  <c r="N23" i="1"/>
  <c r="V23" i="1"/>
  <c r="I17" i="1"/>
  <c r="P18" i="1"/>
  <c r="J21" i="1"/>
  <c r="O21" i="1"/>
  <c r="W21" i="1"/>
  <c r="T22" i="1"/>
  <c r="J23" i="1"/>
  <c r="O23" i="1"/>
  <c r="W23" i="1"/>
  <c r="N21" i="1"/>
  <c r="V21" i="1"/>
  <c r="P21" i="1"/>
  <c r="P23" i="1"/>
  <c r="P20" i="1"/>
  <c r="W20" i="1"/>
  <c r="O20" i="1"/>
  <c r="J20" i="1"/>
  <c r="N20" i="1"/>
  <c r="I20" i="1"/>
  <c r="M20" i="1"/>
  <c r="W18" i="1"/>
  <c r="O18" i="1"/>
  <c r="J18" i="1"/>
  <c r="N18" i="1"/>
  <c r="I18" i="1"/>
  <c r="M18" i="1"/>
  <c r="N17" i="1"/>
  <c r="N19" i="1"/>
  <c r="J17" i="1"/>
  <c r="O17" i="1"/>
  <c r="W17" i="1"/>
  <c r="T18" i="1"/>
  <c r="J19" i="1"/>
  <c r="O19" i="1"/>
  <c r="W19" i="1"/>
  <c r="T20" i="1"/>
  <c r="T14" i="1"/>
  <c r="V19" i="1"/>
  <c r="P16" i="1"/>
  <c r="P17" i="1"/>
  <c r="P19" i="1"/>
  <c r="V17" i="1"/>
  <c r="T13" i="1"/>
  <c r="P14" i="1"/>
  <c r="W14" i="1"/>
  <c r="O14" i="1"/>
  <c r="J14" i="1"/>
  <c r="N14" i="1"/>
  <c r="I14" i="1"/>
  <c r="M14" i="1"/>
  <c r="W16" i="1"/>
  <c r="O16" i="1"/>
  <c r="J16" i="1"/>
  <c r="N16" i="1"/>
  <c r="I16" i="1"/>
  <c r="M16" i="1"/>
  <c r="I13" i="1"/>
  <c r="N13" i="1"/>
  <c r="V13" i="1"/>
  <c r="I15" i="1"/>
  <c r="N15" i="1"/>
  <c r="V15" i="1"/>
  <c r="J13" i="1"/>
  <c r="O13" i="1"/>
  <c r="W13" i="1"/>
  <c r="J15" i="1"/>
  <c r="O15" i="1"/>
  <c r="W15" i="1"/>
  <c r="P15" i="1"/>
  <c r="C18" i="5"/>
  <c r="B18" i="5"/>
  <c r="D18" i="5" s="1"/>
  <c r="T18" i="5" s="1"/>
  <c r="B7" i="5" l="1"/>
  <c r="B6" i="5"/>
  <c r="B2" i="5"/>
  <c r="B8" i="5" l="1"/>
  <c r="B3" i="5"/>
  <c r="L12" i="1"/>
  <c r="G12" i="1"/>
  <c r="E12" i="1"/>
  <c r="H12" i="1" s="1"/>
  <c r="T12" i="1"/>
  <c r="L11" i="1"/>
  <c r="G11" i="1"/>
  <c r="E11" i="1"/>
  <c r="H11" i="1" s="1"/>
  <c r="V11" i="1"/>
  <c r="P11" i="1" l="1"/>
  <c r="W11" i="1"/>
  <c r="M12" i="1"/>
  <c r="N12" i="1"/>
  <c r="I12" i="1"/>
  <c r="W12" i="1"/>
  <c r="O12" i="1"/>
  <c r="J12" i="1"/>
  <c r="M11" i="1"/>
  <c r="T11" i="1"/>
  <c r="V12" i="1"/>
  <c r="I11" i="1"/>
  <c r="N11" i="1"/>
  <c r="P12" i="1"/>
  <c r="J11" i="1"/>
  <c r="O11" i="1"/>
  <c r="C17" i="5"/>
  <c r="B17" i="5"/>
  <c r="D17" i="5" s="1"/>
  <c r="T17" i="5" s="1"/>
  <c r="C16" i="5"/>
  <c r="B16" i="5"/>
  <c r="D16" i="5" s="1"/>
  <c r="T16" i="5" s="1"/>
  <c r="B6" i="1" l="1"/>
  <c r="C15" i="5" l="1"/>
  <c r="B15" i="5"/>
  <c r="D15" i="5" s="1"/>
  <c r="T15" i="5" s="1"/>
  <c r="H18" i="5" l="1"/>
  <c r="S18" i="5"/>
  <c r="V18" i="5"/>
  <c r="U18" i="5"/>
  <c r="K18" i="5"/>
  <c r="I18" i="5"/>
  <c r="L18" i="5"/>
  <c r="S17" i="5"/>
  <c r="V17" i="5"/>
  <c r="U17" i="5"/>
  <c r="K17" i="5"/>
  <c r="I17" i="5"/>
  <c r="H17" i="5"/>
  <c r="L17" i="5"/>
  <c r="G9" i="1" l="1"/>
  <c r="F15" i="5" s="1"/>
  <c r="E9" i="1"/>
  <c r="H9" i="1" s="1"/>
  <c r="E15" i="5" s="1"/>
  <c r="V9" i="1" l="1"/>
  <c r="U15" i="5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E10" i="1"/>
  <c r="H10" i="1" s="1"/>
  <c r="T10" i="1"/>
  <c r="V16" i="5" l="1"/>
  <c r="U16" i="5"/>
  <c r="K16" i="5"/>
  <c r="I16" i="5"/>
  <c r="H16" i="5"/>
  <c r="S16" i="5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5" i="1"/>
  <c r="K12" i="5" l="1"/>
  <c r="H12" i="5"/>
  <c r="V12" i="5"/>
  <c r="T12" i="5"/>
  <c r="U12" i="5"/>
  <c r="I12" i="5"/>
  <c r="L12" i="5"/>
  <c r="S12" i="5"/>
  <c r="R3" i="1" l="1"/>
  <c r="D1" i="1"/>
  <c r="F6" i="1"/>
  <c r="T25" i="1"/>
  <c r="T13" i="5"/>
  <c r="T7" i="1" l="1"/>
  <c r="W25" i="1"/>
  <c r="G6" i="1" l="1"/>
  <c r="U13" i="5"/>
  <c r="S13" i="5"/>
  <c r="I13" i="5"/>
  <c r="L13" i="5"/>
  <c r="K13" i="5"/>
  <c r="H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22" i="1" l="1"/>
  <c r="L21" i="1"/>
  <c r="L18" i="1"/>
  <c r="L17" i="1"/>
  <c r="L14" i="1"/>
  <c r="L13" i="1"/>
  <c r="L9" i="1"/>
  <c r="L10" i="1"/>
  <c r="C7" i="1"/>
  <c r="N25" i="1"/>
  <c r="J25" i="1"/>
  <c r="P25" i="1"/>
  <c r="O25" i="1"/>
  <c r="I25" i="1"/>
  <c r="Q7" i="1" l="1"/>
  <c r="M68" i="3" s="1"/>
  <c r="L7" i="1"/>
  <c r="G68" i="3" s="1"/>
  <c r="K68" i="3"/>
  <c r="J68" i="3"/>
  <c r="M25" i="1"/>
  <c r="K25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<sst xmlns="http://schemas.openxmlformats.org/spreadsheetml/2006/main" count="499" uniqueCount="377">
  <si>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</si>
  <si>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</si>
  <si>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</si>
  <si>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</si>
  <si>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</si>
  <si>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</si>
  <si>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</si>
  <si>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</si>
  <si>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</si>
  <si>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</si>
  <si>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</si>
  <si>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</si>
  <si>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</si>
  <si>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</si>
  <si>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</si>
  <si>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</si>
  <si>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</si>
  <si>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</si>
  <si>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</si>
  <si>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</si>
  <si>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</si>
  <si>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</si>
  <si>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</si>
  <si>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</si>
  <si>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</si>
  <si>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</si>
  <si>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</si>
  <si>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</si>
  <si>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</si>
  <si>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</si>
  <si>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</si>
  <si>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</si>
  <si>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</si>
  <si>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</si>
  <si>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</si>
  <si>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</si>
  <si>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</si>
  <si>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</si>
  <si>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</si>
  <si>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</si>
  <si>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</si>
  <si>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</si>
  <si>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</si>
  <si>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</si>
  <si>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</si>
  <si>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</si>
  <si>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</si>
  <si>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</si>
  <si>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</si>
  <si>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</si>
  <si>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</si>
  <si>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</si>
  <si>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</si>
  <si>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</si>
  <si>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</si>
  <si>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</si>
  <si>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</si>
  <si>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</si>
  <si>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</si>
  <si>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</si>
  <si>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</si>
  <si>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</si>
  <si>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</si>
  <si>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</si>
  <si>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</si>
  <si>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</si>
  <si>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</si>
  <si>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</si>
  <si>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</si>
  <si>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</si>
  <si>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</si>
  <si>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</si>
  <si>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</si>
  <si>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</si>
  <si>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</si>
  <si>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</si>
  <si>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</si>
  <si>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</si>
  <si>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</si>
  <si>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</si>
  <si>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</si>
  <si>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</si>
  <si>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</si>
  <si>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</si>
  <si>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</si>
  <si>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</si>
  <si>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</si>
  <si>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</si>
  <si>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</si>
  <si>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</si>
  <si>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</si>
  <si>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</si>
  <si>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</si>
  <si>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</si>
  <si>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</si>
  <si>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</si>
  <si>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</si>
  <si>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</si>
  <si>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</si>
  <si>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</si>
  <si>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</si>
  <si>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</si>
  <si>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</si>
  <si>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</si>
  <si>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</si>
  <si>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</si>
  <si>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</si>
  <si>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</si>
  <si>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</si>
  <si>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</si>
  <si>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</si>
  <si>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</si>
  <si>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</si>
  <si>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</si>
  <si>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</si>
  <si>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</si>
  <si>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</si>
  <si>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</si>
  <si>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</si>
  <si>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</si>
  <si>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</si>
  <si>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</si>
  <si>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</si>
  <si>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</si>
  <si>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</si>
  <si>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</si>
  <si>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</si>
  <si>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</si>
  <si>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</si>
  <si>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</si>
  <si>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</si>
  <si>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</si>
  <si>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</si>
  <si>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</si>
  <si>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</si>
  <si>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</si>
  <si>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</si>
  <si>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</si>
  <si>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</si>
  <si>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</si>
  <si>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</si>
  <si>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</si>
  <si>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</si>
  <si>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</si>
  <si>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</si>
  <si>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</si>
  <si>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</si>
  <si>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</si>
  <si>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</si>
  <si>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</si>
  <si>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</si>
  <si>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</si>
  <si>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</si>
  <si>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</si>
  <si>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</si>
  <si>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</si>
  <si>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</si>
  <si>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</si>
  <si>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</si>
  <si>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</si>
  <si>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</si>
  <si>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</si>
  <si>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</si>
  <si>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</si>
  <si>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</si>
  <si>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</si>
  <si>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</si>
  <si>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</si>
  <si>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</si>
  <si>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</si>
  <si>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</si>
  <si>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</si>
  <si>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</si>
  <si>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</si>
  <si>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</si>
  <si>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</si>
  <si>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</si>
  <si>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</si>
  <si>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</si>
  <si>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</si>
  <si>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</si>
  <si>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</si>
  <si>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</si>
  <si>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</si>
  <si>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</si>
  <si>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</si>
  <si>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</si>
  <si>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</si>
  <si>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</si>
  <si>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</si>
  <si>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</si>
  <si>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</si>
  <si>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</si>
  <si>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</si>
  <si>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</si>
  <si>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</si>
  <si>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</si>
  <si>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</si>
  <si>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</si>
  <si>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</si>
  <si>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</si>
  <si>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</si>
  <si>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</si>
  <si>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</si>
  <si>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</si>
  <si>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</si>
  <si>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</si>
  <si>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</si>
  <si>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</si>
  <si>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</si>
  <si>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</si>
  <si>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</si>
  <si>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</si>
  <si>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</si>
  <si>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</si>
  <si>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</si>
  <si>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</si>
  <si>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</si>
  <si>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</si>
  <si>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</si>
  <si>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</si>
  <si>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</si>
  <si>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</si>
  <si>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</si>
  <si>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</si>
  <si>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</si>
  <si>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</si>
  <si>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</si>
  <si>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</si>
  <si>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</si>
  <si>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</si>
  <si>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</si>
  <si>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</si>
  <si>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</si>
  <si>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</si>
  <si>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</si>
  <si>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</si>
  <si>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</si>
  <si>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</si>
  <si>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</si>
  <si>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</si>
  <si>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</si>
  <si>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</si>
  <si>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</si>
  <si>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</si>
  <si>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</si>
  <si>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</si>
  <si>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</si>
  <si>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</si>
  <si>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</si>
  <si>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</si>
  <si>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</si>
  <si>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</si>
  <si>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</si>
  <si>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</si>
  <si>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</si>
  <si>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</si>
  <si>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</si>
  <si>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</si>
  <si>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</si>
  <si>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</si>
  <si>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</si>
  <si>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</si>
  <si>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</si>
  <si>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</si>
  <si>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</si>
  <si>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</si>
  <si>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</si>
  <si>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</si>
  <si>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</si>
  <si>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</si>
  <si>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</si>
  <si>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</si>
  <si>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</si>
  <si>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</si>
  <si>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</si>
  <si>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</si>
  <si>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</si>
  <si>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</si>
  <si>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</si>
  <si>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</si>
  <si>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</si>
  <si>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</si>
  <si>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</si>
  <si>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</si>
  <si>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</si>
  <si>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</si>
  <si>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</si>
  <si>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</si>
  <si>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</si>
  <si>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</si>
  <si>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</si>
  <si>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</si>
  <si>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</si>
  <si>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</si>
  <si>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</si>
  <si>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</si>
  <si>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</si>
  <si>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</si>
  <si>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</si>
  <si>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</si>
  <si>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</si>
  <si>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</si>
  <si>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</si>
  <si>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</si>
  <si>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</si>
  <si>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</si>
  <si>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</si>
  <si>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</si>
  <si>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</si>
  <si>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</si>
  <si>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</si>
  <si>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</si>
  <si>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</si>
  <si>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</si>
  <si>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</si>
  <si>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</si>
  <si>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</si>
  <si>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</si>
  <si>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</si>
  <si>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</si>
  <si>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</si>
  <si>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</si>
  <si>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</si>
  <si>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</si>
  <si>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</si>
  <si>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</si>
  <si>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</si>
  <si>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</si>
  <si>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</si>
  <si>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</si>
  <si>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</si>
  <si>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</si>
  <si>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</si>
  <si>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</si>
  <si>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</si>
  <si>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</si>
  <si>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</si>
  <si>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</si>
  <si>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</si>
  <si>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</si>
  <si>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</si>
  <si>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</si>
  <si>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</si>
  <si>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</si>
  <si>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</si>
  <si>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</si>
  <si>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</si>
  <si>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</si>
  <si>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</si>
  <si>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</si>
  <si>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</si>
  <si>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</si>
  <si>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</si>
  <si>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Container Invoice</t>
  </si>
  <si>
    <t>nvarchar(500)</t>
  </si>
  <si>
    <t>varchar(50)</t>
  </si>
  <si>
    <t>Y</t>
  </si>
  <si>
    <t>GROUP_ID</t>
  </si>
  <si>
    <t>LINE</t>
  </si>
  <si>
    <t>PROCESS</t>
  </si>
  <si>
    <t>MODEL</t>
  </si>
  <si>
    <t>BODY_NO</t>
  </si>
  <si>
    <t>SEQ_NO</t>
  </si>
  <si>
    <t>GRADE</t>
  </si>
  <si>
    <t>LOT_NO</t>
  </si>
  <si>
    <t>NO_IN_LOT</t>
  </si>
  <si>
    <t>COLOR</t>
  </si>
  <si>
    <t>WORKING_DATE</t>
  </si>
  <si>
    <t>CREATE_DATE</t>
  </si>
  <si>
    <t>TACK_TIME</t>
  </si>
  <si>
    <t>NO_IN_DATE</t>
  </si>
  <si>
    <t>LOT_NO_INDEX</t>
  </si>
  <si>
    <t>Asy.Plm</t>
  </si>
  <si>
    <t>AsyPlmAssemblyData</t>
  </si>
  <si>
    <t>Asy</t>
  </si>
  <si>
    <t>AssemblyData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</si>
</sst>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opLeftCell="A61" zoomScaleNormal="100" workbookViewId="0">
      <selection activeCell="D82" sqref="D82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prod.Asy.Plm
{
	[Table("AsyPlmAssemblyData")]
	[Index(nameof(GroupId), Name="IX_AsyPlmAssemblyData_GroupId")]
	[Index(nameof(Line), Name="IX_AsyPlmAssemblyData_Line")]
	[Index(nameof(BodyNo), Name="IX_AsyPlmAssemblyData_BodyNo")]
	[Index(nameof(SeqNo), Name="IX_AsyPlmAssemblyData_SeqNo")]
	[Index(nameof(NoInLot), Name="IX_AsyPlmAssemblyData_NoInLot")]
	[Index(nameof(Color), Name="IX_AsyPlmAssemblyData_Color")]
	[Index(nameof(TackTime), Name="IX_AsyPlmAssemblyData_TackTime")]
	[Index(nameof(NoInDate), Name="IX_AsyPlmAssemblyData_NoInDate")]
	public class AsyPlmAssemblyData: FullAuditedEntity&lt;long&gt;, IEntity&lt;long&gt;	
	{
		public const int MaxGroupIdLength = 500;
		public const int MaxLineLength = 50;
		public const int MaxBodyNoLength = 500;
		public const int MaxSeqNoLength = 50;
		public const int MaxNoInLotLength = 500;
		public const int MaxColorLength = 50;
		public const int MaxTackTimeLength = 500;
		public const int MaxNoInDateLength = 50;
		[StringLength(MaxGroupIdLength)]
		public virtual string GroupId { get; set; }
		[StringLength(MaxLineLength)]
		public virtual string Line { get; set; }
		public virtual int? Process { get; set; }
		public virtual int? Model { get; set; }
		[StringLength(MaxBodyNoLength)]
		public virtual string BodyNo { get; set; }
		[StringLength(MaxSeqNoLength)]
		public virtual string SeqNo { get; set; }
		public virtual int? Grade { get; set; }
		public virtual int? LotNo { get; set; }
		[StringLength(MaxNoInLotLength)]
		public virtual string NoInLot { get; set; }
		[StringLength(MaxColorLength)]
		public virtual string Color { get; set; }
		public virtual int? WorkingDate { get; set; }
		public virtual int? CreateDate { get; set; }
		[StringLength(MaxTackTimeLength)]
		public virtual string TackTime { get; set; }
		[StringLength(MaxNoInDateLength)]
		public virtual string NoInDate { get; set; }
		public virtual int? LotNoIndex { get; set; }
	}
}
</v>
      </c>
      <c r="D68" s="48" t="str">
        <f>A.Backend!O7</f>
        <v xml:space="preserve">		public const string Pages_Asy_Plm_AssemblyData = "Pages.Asy.Plm.AssemblyData";
		public const string Pages_Asy_Plm_AssemblyData_CreateEdit = "Pages.Asy.Plm.AssemblyData.CreateEdit";
		public const string Pages_Asy_Plm_AssemblyData_Delete = "Pages.Asy.Plm.AssemblyData.Delete";
</v>
      </c>
      <c r="E68" s="48" t="str">
        <f>A.Backend!N7</f>
        <v xml:space="preserve">		var perAsyPlmAssemblyData = PARENTS.CreateChildPermission(AppPermissions.Pages_Asy_Plm_AssemblyData, L( "AsyPlmAssemblyData"), multiTenancySides: MultiTenancySides.Tenant);
		perAsyPlmAssemblyData.CreateChildPermission(AppPermissions.Pages_Asy_Plm_AssemblyData_CreateEdit, L( "AsyPlmAssemblyDataCreateEdit"), multiTenancySides: MultiTenancySides.Tenant);
		perAsyPlmAssemblyData.CreateChildPermission(AppPermissions.Pages_Asy_Plm_AssemblyData_Delete, L( "AsyPlmAssemblyDataDelete"), multiTenancySides: MultiTenancySides.Tenant);</v>
      </c>
      <c r="F68" s="48" t="str">
        <f>A.Backend!K7</f>
        <v>public virtual DbSet&lt;AsyPlmAssemblyData&gt; AsyPlmAssemblyDatas { get; set; }</v>
      </c>
      <c r="G68" s="48" t="str">
        <f ca="1">A.Backend!L7</f>
        <v xml:space="preserve">namespace prod.Asy.Plm
{
	public class AsyPlmAssemblyDataConsts	
	{
		public const int MaxGroupIdLength = 500;
		public const int MaxLineLength = 50;
		public const int MaxBodyNoLength = 500;
		public const int MaxSeqNoLength = 50;
		public const int MaxNoInLotLength = 500;
		public const int MaxColorLength = 50;
		public const int MaxTackTimeLength = 500;
		public const int MaxNoInDateLength = 50;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prod.Asy.Plm.Dto
{
	public class AsyPlmAssemblyDataDto : EntityDto&lt;long?&gt;	
	{
		public virtual string GroupId { get; set; }
		public virtual string Line { get; set; }
		public virtual int? Process { get; set; }
		public virtual int? Model { get; set; }
		public virtual string BodyNo { get; set; }
		public virtual string SeqNo { get; set; }
		public virtual int? Grade { get; set; }
		public virtual int? LotNo { get; set; }
		public virtual string NoInLot { get; set; }
		public virtual string Color { get; set; }
		public virtual int? WorkingDate { get; set; }
		public virtual int? CreateDate { get; set; }
		public virtual string TackTime { get; set; }
		public virtual string NoInDate { get; set; }
		public virtual int? LotNoIndex { get; set; }
	}
	public class CreateOrEditAsyPlmAssemblyDataDto : EntityDto&lt;long?&gt;	
	{
		[StringLength(AsyPlmAssemblyDataConsts.MaxGroupIdLength)]
		public virtual string GroupId { get; set; }
		[StringLength(AsyPlmAssemblyDataConsts.MaxLineLength)]
		public virtual string Line { get; set; }
		public virtual int? Process { get; set; }
		public virtual int? Model { get; set; }
		[StringLength(AsyPlmAssemblyDataConsts.MaxBodyNoLength)]
		public virtual string BodyNo { get; set; }
		[StringLength(AsyPlmAssemblyDataConsts.MaxSeqNoLength)]
		public virtual string SeqNo { get; set; }
		public virtual int? Grade { get; set; }
		public virtual int? LotNo { get; set; }
		[StringLength(AsyPlmAssemblyDataConsts.MaxNoInLotLength)]
		public virtual string NoInLot { get; set; }
		[StringLength(AsyPlmAssemblyDataConsts.MaxColorLength)]
		public virtual string Color { get; set; }
		public virtual int? WorkingDate { get; set; }
		public virtual int? CreateDate { get; set; }
		[StringLength(AsyPlmAssemblyDataConsts.MaxTackTimeLength)]
		public virtual string TackTime { get; set; }
		[StringLength(AsyPlmAssemblyDataConsts.MaxNoInDateLength)]
		public virtual string NoInDate { get; set; }
		public virtual int? LotNoIndex { get; set; }
	}
	public class GetAsyPlmAssemblyDataInput : PagedAndSortedResultRequestDto	
	{
		public virtual string GroupId { get; set; }
		public virtual string Line { get; set; }
		public virtual string BodyNo { get; set; }
		public virtual string SeqNo { get; set; }
		public virtual string NoInLot { get; set; }
		public virtual string Color { get; set; }
		public virtual string TackTime { get; set; }
		public virtual string NoInDate { get; set; }
	}
}
</v>
      </c>
      <c r="I68" s="48" t="str">
        <f ca="1">A.Backend!R7</f>
        <v xml:space="preserve">using Abp.Application.Services.Dto;
using System;
using System.ComponentModel.DataAnnotations;
namespace prod.Asy.Plm.Dto
{
	public class AsyPlmAssemblyDataExportInput{
		public virtual string GroupId { get; set; }
		public virtual string Line { get; set; }
		public virtual int? Process { get; set; }
		public virtual int? Model { get; set; }
		public virtual string BodyNo { get; set; }
		public virtual string SeqNo { get; set; }
		public virtual int? Grade { get; set; }
		public virtual int? LotNo { get; set; }
		public virtual string NoInLot { get; set; }
		public virtual string Color { get; set; }
		public virtual int? WorkingDate { get; set; }
		public virtual int? CreateDate { get; set; }
		public virtual string TackTime { get; set; }
		public virtual string NoInDate { get; set; }
		public virtual int? LotNoIndex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vovina.Asy.Plm.Dto;
namespace prod.Asy.Plm
{
	public interface IAsyPlmAssemblyDataAppService : IApplicationService
	{
		Task&lt;PagedResultDto&lt;AsyPlmAssemblyDataDto&gt;&gt; GetAll(GetAsyPlmAssemblyDataInput input);
		Task CreateOrEdit(CreateOrEditAsyPlmAssemblyDataDto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vovina.Asy.Plm.Dto;
namespace prod.Asy.Plm.Exporting
{
	public interface IAsyPlmAssemblyDataExcelExporter : IApplicationService
	{
		FileDto ExportToFile(List&lt;AsyPlmAssemblyDataDto&gt; asyplmassemblydata);
	}
}
</v>
      </c>
      <c r="L68" s="48" t="str">
        <f ca="1">A.Backend!T7</f>
        <v>using System.Collections.Generic;
using vovina.DataExporting.Excel.NPOI;
using vovina.Dto;
using vovina.Asy.Plm.Exporting;
using vovina.Asy.Plm.Dto;
using vovina.Storage;
using vovina.Asy.Plm.Dto;
namespace vovina.Asy.Plm.Exporting
{
    public class AsyPlmAssemblyDataExcelExporter : NpoiExcelExporterBase, IAsyPlmAssemblyDataExcelExporter
    {
        public AsyPlmAssemblyDataExcelExporter(ITempFileCacheManager tempFileCacheManager) : base(tempFileCacheManager) { }
        public FileDto ExportToFile(List&lt;AsyPlmAssemblyDataDto&gt; assemblydata)
        {
            return CreateExcelPackage(
				"AsyPlmAssemblyData.xlsx",
				excelPackage =&gt;
				 {
					var sheet = excelPackage.CreateSheet("AssemblyData");
					AddHeader(
								sheet,
								("GroupId"),
								("Line"),
								("Process"),
								("Model"),
								("BodyNo"),
								("SeqNo"),
								("Grade"),
								("LotNo"),
								("NoInLot"),
								("Color"),
								("WorkingDate"),
								("CreateDate"),
								("TackTime"),
								("NoInDate"),
								("LotNoIndex"),
							   );
					AddObjects(
						 sheet, 1, assemblydata,                                       
								_ =&gt; _.GroupId,
								_ =&gt; _.Line,
								_ =&gt; _.Process,
								_ =&gt; _.Model,
								_ =&gt; _.BodyNo,
								_ =&gt; _.SeqNo,
								_ =&gt; _.Grade,
								_ =&gt; _.LotNo,
								_ =&gt; _.NoInLot,
								_ =&gt; _.Color,
								_ =&gt; _.WorkingDate,
								_ =&gt; _.CreateDate,
								_ =&gt; _.TackTime,
								_ =&gt; _.NoInDate,
								_ =&gt; _.LotNoIndex,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vovina.Asy.Plm.Dto;
using vovina.Asy.Plm.Exporting;
namespace vovina.Asy.Plm
{
    [AbpAuthorize(AppPermissions.Pages_Asy_Plm_AssemblyData)]
    public class AsyPlmAssemblyDataAppService : vovinaAppServiceBase, IAsyPlmAssemblyDataAppService
    {
        private readonly IDapperRepository&lt;AsyPlmAssemblyData, long&gt; _dapperRepo;
        private readonly IRepository&lt;AsyPlmAssemblyData, long&gt; _repo;
        private readonly IAsyPlmAssemblyDataExcelExporter _calendarListExcelExporter;
        public AsyPlmAssemblyDataAppService(IRepository&lt;AsyPlmAssemblyData,long&gt; repo, 
                                         IDapperRepository&lt;AsyPlmAssemblyData,long&gt; dapperRepo,
                                        IAsyPlmAssemblyDataExcelExporter calendarListExcelExporter
            )
        {
            _repo = repo;
            _dapperRepo = dapperRepo;
            _calendarListExcelExporter = calendarListExcelExporter;
        }
        [AbpAuthorize(AppPermissions.Pages_Asy_Plm_AssemblyData_CreateEdit)]
        public async Task CreateOrEdit(CreateOrEditAsyPlmAssemblyDataDto input)
        {
            if (input.Id == null) await Create(input);
            else await Update(input);
        }
        //CREATE
        private async Task Create(CreateOrEditAsyPlmAssemblyDataDto input)
        {          
            var mainObj = ObjectMapper.Map&lt;AsyPlmAssemblyData&gt;(input);
            await CurrentUnitOfWork.GetDbContext&lt;vovinaDbContext&gt;().AddAsync(mainObj);
        }
        // EDIT
        private async Task Update(CreateOrEditAsyPlmAssemblyDataDto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[AbpAuthorize(AppPermissions.Pages_Asy_Plm_AssemblyData_Delete)]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Task&lt;PagedResultDto&lt;AsyPlmAssemblyDataDto&gt;&gt; GetAll(GetAsyPlmAssemblyDataInput input)
        {
            var filtered = _repo.GetAll()
				.WhereIf(!string.IsNullOrWhiteSpace(input.GroupId), e =&gt; e.GroupId.Contains(input.GroupId))
				.WhereIf(!string.IsNullOrWhiteSpace(input.Line), e =&gt; e.Line.Contains(input.Line))
				.WhereIf(!string.IsNullOrWhiteSpace(input.BodyNo), e =&gt; e.BodyNo.Contains(input.BodyNo))
				.WhereIf(!string.IsNullOrWhiteSpace(input.SeqNo), e =&gt; e.SeqNo.Contains(input.SeqNo))
				.WhereIf(!string.IsNullOrWhiteSpace(input.NoInLot), e =&gt; e.NoInLot.Contains(input.NoInLot))
				.WhereIf(!string.IsNullOrWhiteSpace(input.Color), e =&gt; e.Color.Contains(input.Color))
				.WhereIf(!string.IsNullOrWhiteSpace(input.TackTime), e =&gt; e.TackTime.Contains(input.TackTime))
				.WhereIf(!string.IsNullOrWhiteSpace(input.NoInDate), e =&gt; e.NoInDate.Contains(input.NoInDate))
				;
            var pageAndFiltered = filtered.OrderBy(s =&gt; s.Id);
            var system = from o in pageAndFiltered
                         select new AsyPlmAssemblyDataDto
                        {
							Id = o.Id,
							GroupId = o.GroupId,
							Line = o.Line,
							Process = o.Process,
							Model = o.Model,
							BodyNo = o.BodyNo,
							SeqNo = o.SeqNo,
							Grade = o.Grade,
							LotNo = o.LotNo,
							NoInLot = o.NoInLot,
							Color = o.Color,
							WorkingDate = o.WorkingDate,
							CreateDate = o.CreateDate,
							TackTime = o.TackTime,
							NoInDate = o.NoInDate,
							LotNoIndex = o.LotNoIndex,
                        };
            var totalCount = await filtered.CountAsync();
			var paged = system.PageBy(input);
            return new PagedResultDto&lt;AsyPlmAssemblyDataDto&gt;(
                totalCount,
                 await paged.ToListAsync()
            );
        }
        public async Task&lt;FileDto&gt; GetAssemblyDataToExcel(AsyPlmAssemblyDataExportInput input)
        {
            var query = from o in _repo.GetAll()
                        select new AsyPlmAssemblyDataDto
                        {
							Id = o.Id,
							GroupId = o.GroupId,
							Line = o.Line,
							Process = o.Process,
							Model = o.Model,
							BodyNo = o.BodyNo,
							SeqNo = o.SeqNo,
							Grade = o.Grade,
							LotNo = o.LotNo,
							NoInLot = o.NoInLot,
							Color = o.Color,
							WorkingDate = o.WorkingDate,
							CreateDate = o.CreateDate,
							TackTime = o.TackTime,
							NoInDate = o.NoInDate,
							LotNoIndex = o.LotNoIndex,
                        };
            var exportToExcel = await query.ToListAsync();
            return _calendarListExcelExporter.ExportToFile(exportToExcel);
        }
       // public async Task GenerateAsync()
      //  {
        //    await _dapperRepo.ExecuteAsync(AsyPlmAssemblyDataConsts.SP_MST_WPT_CALENDAR_GENERATE);
       // }
    }
}</v>
      </c>
      <c r="N68" s="58" t="str">
        <f>A.Backend!U7</f>
        <v xml:space="preserve">  configuration.CreateMap&lt;AsyPlmAssemblyDataDto, AsyPlmAssemblyData&gt;();
  configuration.CreateMap&lt;AsyPlmAssemblyData, AsyPlmAssemblyDataDto&gt;();
  configuration.CreateMap&lt;CreateOrEditAsyPlmAssemblyDataDto, AsyPlmAssemblyData&gt;();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assemblydata</v>
      </c>
      <c r="C73" s="66" t="str">
        <f>"create folder " &amp;B73</f>
        <v>create folder assemblydata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assemblydata.component.ts</v>
      </c>
      <c r="D74" s="28" t="str">
        <f>B.Frontend!I14</f>
        <v>assemblydata.component.html</v>
      </c>
      <c r="E74" s="28" t="str">
        <f>B.Frontend!J14</f>
        <v>assemblydata.component.less</v>
      </c>
      <c r="F74" s="28" t="str">
        <f>B.Frontend!K14</f>
        <v>create-or-edit-assemblydata-modal.component.html</v>
      </c>
      <c r="G74" s="28" t="str">
        <f>B.Frontend!L14</f>
        <v>create-or-edit-assemblydata-modal.component.ts</v>
      </c>
      <c r="H74" s="28" t="str">
        <f>B.Frontend!M14</f>
        <v>create-or-edit-assemblydata-modal.component.less</v>
      </c>
      <c r="I74" s="28" t="str">
        <f>B.Frontend!N14</f>
        <v>assemblydata.module.ts</v>
      </c>
      <c r="J74" s="28" t="str">
        <f>B.Frontend!O14</f>
        <v>assemblydata-routing.module.ts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AsyPlmAssemblyDataDto, AsyPlmAssemblyDataServiceProxy } from '@shared/service-proxies/service-proxies';
import { finalize } from 'rxjs/internal/operators/finalize';
import { CreateOrEditAssemblyDataModalComponent } from './create-or-edit-assemblydata-modal.component';
import { DatePipe } from '@angular/common';
import { FileDownloadService } from '@shared/utils/file-download.service';
import ceil from 'lodash-es/ceil';
import { Paginator } from 'primeng/paginator';
@Component({
    templateUrl: './assemblydata.component.html',
    styleUrls: ['./assemblydata.component.less'],
})
export class AssemblyDataComponent extends AppComponentBase implements OnInit {
    @ViewChild('createOrEditModalAssemblyData', { static: true }) createOrEditModalAssemblyData:| CreateOrEditAssemblyDataModalComponent|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AsyPlmAssemblyDataDto = new AsyPlmAssemblyDataDto();
    saveSelectedRow: AsyPlmAssemblyDataDto = new AsyPlmAssemblyDataDto();
    datas: AsyPlmAssemblyDataDto = new AsyPlmAssemblyDataDto();
    isLoading: boolean = false;
    dataParams: GridParams | undefined;
    rowData: any[] = [];
    gridApi!: GridApi;
    rowSelection = 'multiple';
    filter: string = '';
	pipe = new DatePipe('en-US');
	frameworkComponents: FrameworkComponent;
    	groupId : string = '' ; 
	line : string = '' ; 
	process
	model
	bodyNo : string = '' ; 
	seqNo : string = '' ; 
	grade
	lotNo
	noInLot : string = '' ; 
	color : string = '' ; 
	workingDate
	createDate
	tackTime : string = '' ; 
	noInDate : string = '' ; 
	lotNoIndex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AsyPlmAssemblyDataServiceProxy,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this.l('Group Id'),headerTooltip: this.l('Group Id'),field: 'groupId',flex: 1},
			{headerName: this.l('Line'),headerTooltip: this.l('Line'),field: 'line',flex: 1},
			{headerName: this.l('Process'),headerTooltip: this.l('Process'),field: 'process',flex: 1},
			{headerName: this.l('Model'),headerTooltip: this.l('Model'),field: 'model',flex: 1},
			{headerName: this.l('Body No'),headerTooltip: this.l('Body No'),field: 'bodyNo',flex: 1},
			{headerName: this.l('Seq No'),headerTooltip: this.l('Seq No'),field: 'seqNo',flex: 1},
			{headerName: this.l('Grade'),headerTooltip: this.l('Grade'),field: 'grade',flex: 1},
			{headerName: this.l('Lot No'),headerTooltip: this.l('Lot No'),field: 'lotNo',flex: 1},
			{headerName: this.l('No In Lot'),headerTooltip: this.l('No In Lot'),field: 'noInLot',flex: 1},
			{headerName: this.l('Color'),headerTooltip: this.l('Color'),field: 'color',flex: 1},
			{headerName: this.l('Working Date'),headerTooltip: this.l('Working Date'),field: 'workingDate',flex: 1},
			{headerName: this.l('Create Date'),headerTooltip: this.l('Create Date'),field: 'createDate',flex: 1},
			{headerName: this.l('Tack Time'),headerTooltip: this.l('Tack Time'),field: 'tackTime',flex: 1},
			{headerName: this.l('No In Date'),headerTooltip: this.l('No In Date'),field: 'noInDate',flex: 1},
			{headerName: this.l('Lot No Index'),headerTooltip: this.l('Lot No Index'),field: 'lotNoIndex',flex: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this.groupId,
			this.line,
			this.process,
			this.model,
			this.bodyNo,
			this.seqNo,
			this.grade,
			this.lotNo,
			this.noInLot,
			this.color,
			this.workingDate,
			this.createDate,
			this.tackTime,
			this.noInDate,
			this.lotNoIndex,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this.groupId = '',
		this.line = '',
		this.process = '',
		this.model = '',
		this.bodyNo = '',
		this.seqNo = '',
		this.grade = '',
		this.lotNo = '',
		this.noInLot = '',
		this.color = '',
		this.workingDate = '',
		this.createDate = '',
		this.tackTime = '',
		this.noInDate = '',
		this.lotNoIndex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this.groupId,
			this.line,
			this.process,
			this.model,
			this.bodyNo,
			this.seqNo,
			this.grade,
			this.lotNo,
			this.noInLot,
			this.color,
			this.workingDate,
			this.createDate,
			this.tackTime,
			this.noInDate,
			this.lotNoIndex,
			'',
            this.paginationParams.skipCount,
            this.paginationParams.pageSize
        );
    }
    onChangeRowSelection(params: { api: { getSelectedRows: () =&gt; AsyPlmAssemblyDataDto[] } }) {
        this.saveSelectedRow = params.api.getSelectedRows()[0] ?? new AsyPlmAssemblyDataDto();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AsyPlmAssemblyDataDto):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this._service.getAssemblyDataToExcel(
			this.groupId,
			this.line,
			this.process,
			this.model,
			this.bodyNo,
			this.seqNo,
			this.grade,
			this.lotNo,
			this.noInLot,
			this.color,
			this.workingDate,
			this.createDate,
			this.tackTime,
			this.noInDate,
			this.lotNoIndex,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[(ngModel)]='groupId' name='groupId'
									class='form-control' [placeholder]="l('Group Id')"
									type='text' (keyup.enter)='searchDatas()'&gt;
								&lt;/div&gt;
								&lt;div class='input-search'&gt;
									&lt;input [(ngModel)]='line' name='line'
									class='form-control' [placeholder]="l('Line')"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[(ngModel)]='seqNo' name='seqNo'
									class='form-control' [placeholder]="l('Seq No')"
									type='text' (keyup.enter)='searchDatas()'&gt;
								&lt;/div&gt;
								&lt;div class='input-search'&gt;
									&lt;input [(ngModel)]='noInLot' name='noInLot'
									class='form-control' [placeholder]="l('No In Lot')"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[(ngModel)]='tackTime' name='tackTime'
									class='form-control' [placeholder]="l('Tack Time')"
									type='text' (keyup.enter)='searchDatas()'&gt;
								&lt;/div&gt;
								&lt;div class='input-search'&gt;
									&lt;input [(ngModel)]='noInDate' name='noInDate'
									class='form-control' [placeholder]="l('No In Date')"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(click)="createOrEditModalAssemblyData.show()"&gt;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(click)="createOrEditModalAssemblyData.show(selectedRow)"&gt;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&lt;create-or-edit-assemblydata-modal
    #createOrEditModalAssemblyData
    (modalSave)="callBackDataGrid(dataParams)"
    (modalClose)="onChangeRowSelection(dataParams)"
&gt;
&lt;/create-or-edit-assemblydata-modal&gt;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#createOrEditModalAssemblyData="bs-modal"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AssemblyData')}}&lt;/h3&gt;
                    &lt;h3 *ngIf="!rowdata.id"&gt;{{('Create New AssemblyData')}}&lt;/h3&gt;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title'&gt;Group Id&lt;/label&gt;
						&lt;input type='text' class='col-md-10 form-control input-text' name='GroupId' [(ngModel)]='rowdata.groupId'&gt;
					&lt;/div&gt;
					&lt;div class='col-md-12 form-group row'&gt;
						&lt;label class='col-md-2 form-control title'&gt;Line&lt;/label&gt;
						&lt;input type='text' class='col-md-10 form-control input-text' name='Line' [(ngModel)]='rowdata.line'&gt;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title'&gt;Seq No&lt;/label&gt;
						&lt;input type='text' class='col-md-10 form-control input-text' name='SeqNo' [(ngModel)]='rowdata.seqNo'&gt;
					&lt;/div&gt;
					&lt;div class='col-md-12 form-group row'&gt;
						&lt;label class='col-md-2 form-control title'&gt;No In Lot&lt;/label&gt;
						&lt;input type='text' class='col-md-10 form-control input-text' name='NoInLot' [(ngModel)]='rowdata.noInLot'&gt;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title'&gt;Tack Time&lt;/label&gt;
						&lt;input type='text' class='col-md-10 form-control input-text' name='TackTime' [(ngModel)]='rowdata.tackTime'&gt;
					&lt;/div&gt;
					&lt;div class='col-md-12 form-group row'&gt;
						&lt;label class='col-md-2 form-control title'&gt;No In Date&lt;/label&gt;
						&lt;input type='text' class='col-md-10 form-control input-text' name='NoInDate' [(ngModel)]='rowdata.noInDate'&gt;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CreateOrEditAsyPlmAssemblyDataDto, AsyPlmAssemblyDataServiceProxy } from '@shared/service-proxies/service-proxies';
import { BsDatepickerDirective } from 'ngx-bootstrap/datepicker';
@Component({
    selector: 'create-or-edit-assemblydata-modal',
    templateUrl: './create-or-edit-assemblydata-modal.component.html',
    styleUrls: ['./create-or-edit-assemblydata-modal.component.less']
    })
export class CreateOrEditAssemblyDataModalComponent extends AppComponentBase {
    @ViewChild('createOrEditModalAssemblyData',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CreateOrEditAsyPlmAssemblyDataDto = new CreateOrEditAsyPlmAssemblyDataDto();
    active: boolean = false;
    saving: boolean = false;
    _: boolean;
    constructor(
        injector: Injector,
        private _mstwptAssemblyDataService: AsyPlmAssemblyDataServiceProxy,
    ) 
    {
        super(injector);
    }
    show(rowdata?: CreateOrEditAsyPlmAssemblyDataDto): void {
        if (!rowdata) this.rowdata = new CreateOrEditAsyPlmAssemblyDataDto();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this._mstwptAssemblyDataService.createOrEdit(this.rowdata)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AssemblyDataRoutingModule } from './assemblydata-routing.module';
import { AssemblyDataComponent } from './assemblydata.component';
import { CreateOrEditAssemblyDataModalComponent } from './create-or-edit-assemblydata-modal.component';
@NgModule({
    declarations: [
       AssemblyDataComponent, 
        CreateOrEditAssemblyDataModalComponent
    ],
    imports: [
        AppSharedModule, AssemblyDataRoutingModule]
})
export class AssemblyDataModule {}</v>
      </c>
      <c r="J75" s="46" t="str">
        <f>B.Frontend!O10</f>
        <v>import {NgModule} from '@angular/core';
import {RouterModule, Routes} from '@angular/router';
import { AssemblyDataComponent } from './assemblydata.component';
const routes: Routes = [{
    path: '',
    component: AssemblyDataComponent,
    pathMatch: 'full'
}];
@NgModule({
    imports: [RouterModule.forChild(routes)],
    exports: [RouterModule],
})
export class AssemblyDataRoutingModule {}</v>
      </c>
      <c r="K75" s="46" t="str">
        <f>B.Frontend!P10</f>
        <v xml:space="preserve"> new AppMenuItem("AssemblyData", "Pages.Asy.Plm.AssemblyData", "flaticon-book",   "/app/main/asy/plm/assemblydata"),</v>
      </c>
      <c r="L75" s="47" t="str">
        <f>B.Frontend!Q10</f>
        <v>{
    path: 'asy/plm/assemblydata',
    loadChildren: () =&gt; import('./asy/plm/assemblydata/assemblydata.module').then(m =&gt; m.AssemblyDataModule),
    data: { permission: 'Pages.Asy.Plm.AssemblyData' }
},</v>
      </c>
      <c r="M75" s="45" t="str">
        <f>B.Frontend!R10</f>
        <v>ApiServiceProxies.AsyPlmAssemblyDataServiceProxy,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25"/>
  <sheetViews>
    <sheetView tabSelected="1" topLeftCell="A7" zoomScale="77" zoomScaleNormal="77" workbookViewId="0">
      <pane xSplit="1" topLeftCell="B1" activePane="topRight" state="frozen"/>
      <selection pane="topRight" activeCell="D10" sqref="D10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vovina.Asy.Plm.Dto;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373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374</v>
      </c>
      <c r="C3" s="9" t="s">
        <v>41</v>
      </c>
      <c r="D3" s="9" t="s">
        <v>42</v>
      </c>
      <c r="E3" s="9" t="s">
        <v>37</v>
      </c>
      <c r="F3" s="10" t="str">
        <f>"J"&amp;COUNTA($A:$A)</f>
        <v>J23</v>
      </c>
      <c r="G3" s="4" t="s">
        <v>54</v>
      </c>
      <c r="H3" s="9" t="str">
        <f>"I"&amp;COUNTA($A:$A)</f>
        <v>I23</v>
      </c>
      <c r="I3" s="9" t="str">
        <f>REPT(CHAR(9),2)&amp;"[Required]"&amp;"
"</f>
        <v xml:space="preserve">		[Required]
</v>
      </c>
      <c r="J3" s="10" t="str">
        <f>"L"&amp;COUNTA($A:$A)</f>
        <v>L23</v>
      </c>
      <c r="K3" s="5" t="s">
        <v>53</v>
      </c>
      <c r="L3" s="10" t="str">
        <f>"M"&amp;COUNTA($A:$A)</f>
        <v>M23</v>
      </c>
      <c r="M3" s="10" t="str">
        <f>"N"&amp;COUNTA($A:$A)</f>
        <v>N23</v>
      </c>
      <c r="N3" s="10" t="str">
        <f>"O"&amp;COUNTA($A:$A)</f>
        <v>O23</v>
      </c>
      <c r="O3" s="10" t="str">
        <f>"P"&amp;COUNTA($A:$A)</f>
        <v>P23</v>
      </c>
      <c r="Q3" s="10" t="str">
        <f>RIGHT(B2,(LEN(B2)-FIND(".",B2,1)))</f>
        <v>Plm</v>
      </c>
      <c r="R3" s="29" t="str">
        <f>REPT(CHAR(9),1)&amp;"public class "&amp;B3&amp;"ExportInput"&amp;C3</f>
        <v xml:space="preserve">	public class AsyPlmAssemblyDataExportInput{
</v>
      </c>
      <c r="S3" s="10" t="str">
        <f>"namespace "&amp;$B$6&amp;".Exporting
"&amp;$C$3</f>
        <v xml:space="preserve">namespace prod.Asy.Plm.Exporting
{
</v>
      </c>
      <c r="T3" s="10" t="str">
        <f>"T"&amp;COUNTA($A:$A)</f>
        <v>T23</v>
      </c>
      <c r="V3" s="10" t="str">
        <f>"V"&amp;COUNTA($A:$A)</f>
        <v>V23</v>
      </c>
      <c r="W3" s="9" t="str">
        <f>"W"&amp;COUNTA($A:$A)</f>
        <v>W23</v>
      </c>
    </row>
    <row r="4" spans="1:23" s="10" customFormat="1" ht="33" customHeight="1" x14ac:dyDescent="0.25">
      <c r="A4" s="1" t="s">
        <v>233</v>
      </c>
      <c r="B4" s="65" t="s">
        <v>375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376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prod.Asy.Plm</v>
      </c>
      <c r="C6" s="10" t="str">
        <f>"namespace "&amp;$B$6&amp;"
"&amp;$C$3</f>
        <v xml:space="preserve">namespace prod.Asy.Plm
{
</v>
      </c>
      <c r="D6" s="10" t="str">
        <f>REPT(CHAR(9),1)&amp;"public class "&amp;B3&amp;G3&amp;REPT(CHAR(9),1)&amp;"
"&amp;REPT(CHAR(9),1)&amp;C3</f>
        <v xml:space="preserve">	public class AsyPlmAssemblyData: FullAuditedEntity&lt;long&gt;, IEntity&lt;long&gt;	
	{
</v>
      </c>
      <c r="E6" s="10" t="str">
        <f>REPT(CHAR(9),1)&amp;"public class "&amp;B3&amp;"Consts"&amp;REPT(CHAR(9),1)&amp;"
"&amp;REPT(CHAR(9),1)&amp;C3</f>
        <v xml:space="preserve">	public class AsyPlmAssemblyDataConsts	
	{
</v>
      </c>
      <c r="F6" s="10" t="str">
        <f>REPT(CHAR(9),1)&amp;"public class "&amp;B3&amp;"Dto"&amp;K3&amp;REPT(CHAR(9),1)&amp;"
"&amp;REPT(CHAR(9),1)&amp;C3</f>
        <v xml:space="preserve">	public class AsyPlmAssemblyDataDto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CreateOrEditAsyPlmAssemblyDataDto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GetAsyPlmAssemblyDataInput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AsyPlmAssemblyData</v>
      </c>
      <c r="C7" s="10" t="str">
        <f>REPT(CHAR(9),1)&amp;"[Table("""&amp;B7&amp;""")]"&amp;"
"</f>
        <v xml:space="preserve">	[Table("AsyPlmAssemblyData")]
</v>
      </c>
      <c r="D7" s="10"/>
      <c r="E7" s="10"/>
      <c r="F7" s="10"/>
      <c r="G7" s="10"/>
      <c r="H7" s="10"/>
      <c r="I7" s="10"/>
      <c r="J7" t="str">
        <f ca="1">SUBSTITUTE(SUBSTITUTE((B1&amp;C6&amp;C7&amp;K25&amp;D6&amp;I25&amp;E3&amp;J25&amp;""&amp;REPT(CHAR(9),1)&amp;D3&amp;D3),"WorkingPattern",$Q$3),"Master",$B$4)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prod.Asy.Plm
{
	[Table("AsyPlmAssemblyData")]
	[Index(nameof(GroupId), Name="IX_AsyPlmAssemblyData_GroupId")]
	[Index(nameof(Line), Name="IX_AsyPlmAssemblyData_Line")]
	[Index(nameof(BodyNo), Name="IX_AsyPlmAssemblyData_BodyNo")]
	[Index(nameof(SeqNo), Name="IX_AsyPlmAssemblyData_SeqNo")]
	[Index(nameof(NoInLot), Name="IX_AsyPlmAssemblyData_NoInLot")]
	[Index(nameof(Color), Name="IX_AsyPlmAssemblyData_Color")]
	[Index(nameof(TackTime), Name="IX_AsyPlmAssemblyData_TackTime")]
	[Index(nameof(NoInDate), Name="IX_AsyPlmAssemblyData_NoInDate")]
	public class AsyPlmAssemblyData: FullAuditedEntity&lt;long&gt;, IEntity&lt;long&gt;	
	{
		public const int MaxGroupIdLength = 500;
		public const int MaxLineLength = 50;
		public const int MaxBodyNoLength = 500;
		public const int MaxSeqNoLength = 50;
		public const int MaxNoInLotLength = 500;
		public const int MaxColorLength = 50;
		public const int MaxTackTimeLength = 500;
		public const int MaxNoInDateLength = 50;
		[StringLength(MaxGroupIdLength)]
		public virtual string GroupId { get; set; }
		[StringLength(MaxLineLength)]
		public virtual string Line { get; set; }
		public virtual int? Process { get; set; }
		public virtual int? Model { get; set; }
		[StringLength(MaxBodyNoLength)]
		public virtual string BodyNo { get; set; }
		[StringLength(MaxSeqNoLength)]
		public virtual string SeqNo { get; set; }
		public virtual int? Grade { get; set; }
		public virtual int? LotNo { get; set; }
		[StringLength(MaxNoInLotLength)]
		public virtual string NoInLot { get; set; }
		[StringLength(MaxColorLength)]
		public virtual string Color { get; set; }
		public virtual int? WorkingDate { get; set; }
		public virtual int? CreateDate { get; set; }
		[StringLength(MaxTackTimeLength)]
		public virtual string TackTime { get; set; }
		[StringLength(MaxNoInDateLength)]
		public virtual string NoInDate { get; set; }
		public virtual int? LotNoIndex { get; set; }
	}
}
</v>
      </c>
      <c r="K7" t="str">
        <f>SUBSTITUTE(SUBSTITUTE(("public virtual DbSet&lt;"&amp;B3&amp;"&gt; "&amp;B3&amp;"s { get; set; }"),"WorkingPattern",$Q$3),"Master",$B$4)</f>
        <v>public virtual DbSet&lt;AsyPlmAssemblyData&gt; AsyPlmAssemblyDatas { get; set; }</v>
      </c>
      <c r="L7" t="str">
        <f ca="1">SUBSTITUTE(SUBSTITUTE((C6&amp;E6&amp;I25&amp;"
"&amp;REPT(CHAR(9),2)&amp;"// Define Store Name: Format SP_ + &lt;Store Name&gt; = &lt;Store Name&gt;
"&amp;E3&amp;REPT(CHAR(9),1)&amp;D3&amp;D3),"WorkingPattern",$Q$3),"Master",$B$4)</f>
        <v xml:space="preserve">namespace prod.Asy.Plm
{
	public class AsyPlmAssemblyDataConsts	
	{
		public const int MaxGroupIdLength = 500;
		public const int MaxLineLength = 50;
		public const int MaxBodyNoLength = 500;
		public const int MaxSeqNoLength = 50;
		public const int MaxNoInLotLength = 500;
		public const int MaxColorLength = 50;
		public const int MaxTackTimeLength = 500;
		public const int MaxNoInDateLength = 50;
		// Define Store Name: Format SP_ + &lt;Store Name&gt; = &lt;Store Name&gt;
	}
}
</v>
      </c>
      <c r="M7" t="str">
        <f ca="1">SUBSTITUTE(SUBSTITUTE((C1&amp;"namespace "&amp;B6&amp;".Dto"&amp;E3&amp;C3&amp;F6&amp;M25&amp;E3&amp;REPT(CHAR(9),1)&amp;D3&amp;G6&amp;N25&amp;REPT(CHAR(9),1)&amp;D3&amp;H6&amp;O25&amp;"
"&amp;REPT(CHAR(9),1)&amp;D3&amp;D3),"WorkingPattern",$Q$3),"Master",$B$4)</f>
        <v xml:space="preserve">using Abp.Application.Services.Dto;
using System;
using System.ComponentModel.DataAnnotations;
namespace prod.Asy.Plm.Dto
{
	public class AsyPlmAssemblyDataDto : EntityDto&lt;long?&gt;	
	{
		public virtual string GroupId { get; set; }
		public virtual string Line { get; set; }
		public virtual int? Process { get; set; }
		public virtual int? Model { get; set; }
		public virtual string BodyNo { get; set; }
		public virtual string SeqNo { get; set; }
		public virtual int? Grade { get; set; }
		public virtual int? LotNo { get; set; }
		public virtual string NoInLot { get; set; }
		public virtual string Color { get; set; }
		public virtual int? WorkingDate { get; set; }
		public virtual int? CreateDate { get; set; }
		public virtual string TackTime { get; set; }
		public virtual string NoInDate { get; set; }
		public virtual int? LotNoIndex { get; set; }
	}
	public class CreateOrEditAsyPlmAssemblyDataDto : EntityDto&lt;long?&gt;	
	{
		[StringLength(AsyPlmAssemblyDataConsts.MaxGroupIdLength)]
		public virtual string GroupId { get; set; }
		[StringLength(AsyPlmAssemblyDataConsts.MaxLineLength)]
		public virtual string Line { get; set; }
		public virtual int? Process { get; set; }
		public virtual int? Model { get; set; }
		[StringLength(AsyPlmAssemblyDataConsts.MaxBodyNoLength)]
		public virtual string BodyNo { get; set; }
		[StringLength(AsyPlmAssemblyDataConsts.MaxSeqNoLength)]
		public virtual string SeqNo { get; set; }
		public virtual int? Grade { get; set; }
		public virtual int? LotNo { get; set; }
		[StringLength(AsyPlmAssemblyDataConsts.MaxNoInLotLength)]
		public virtual string NoInLot { get; set; }
		[StringLength(AsyPlmAssemblyDataConsts.MaxColorLength)]
		public virtual string Color { get; set; }
		public virtual int? WorkingDate { get; set; }
		public virtual int? CreateDate { get; set; }
		[StringLength(AsyPlmAssemblyDataConsts.MaxTackTimeLength)]
		public virtual string TackTime { get; set; }
		[StringLength(AsyPlmAssemblyDataConsts.MaxNoInDateLength)]
		public virtual string NoInDate { get; set; }
		public virtual int? LotNoIndex { get; set; }
	}
	public class GetAsyPlmAssemblyDataInput : PagedAndSortedResultRequestDto	
	{
		public virtual string GroupId { get; set; }
		public virtual string Line { get; set; }
		public virtual string BodyNo { get; set; }
		public virtual string SeqNo { get; set; }
		public virtual string NoInLot { get; set; }
		public virtual string Color { get; set; }
		public virtual string TackTime { get; set; }
		public virtual string NoInDate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perAsyPlmAssemblyData = PARENTS.CreateChildPermission(AppPermissions.Pages_Asy_Plm_AssemblyData, L( "AsyPlmAssemblyData"), multiTenancySides: MultiTenancySides.Tenant);
		perAsyPlmAssemblyData.CreateChildPermission(AppPermissions.Pages_Asy_Plm_AssemblyData_CreateEdit, L( "AsyPlmAssemblyDataCreateEdit"), multiTenancySides: MultiTenancySides.Tenant);
		perAsyPlmAssemblyData.CreateChildPermission(AppPermissions.Pages_Asy_Plm_AssemblyData_Delete, L( "AsyPlmAssemblyDataDelete"),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Pages_Asy_Plm_AssemblyData = "Pages.Asy.Plm.AssemblyData";
		public const string Pages_Asy_Plm_AssemblyData_CreateEdit = "Pages.Asy.Plm.AssemblyData.CreateEdit";
		public const string Pages_Asy_Plm_AssemblyData_Delete = "Pages.Asy.Plm.AssemblyData.Delete";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vovina.Asy.Plm.Dto;
namespace prod.Asy.Plm
{
	public interface IAsyPlmAssemblyDataAppService : IApplicationService
	{
		Task&lt;PagedResultDto&lt;AsyPlmAssemblyDataDto&gt;&gt; GetAll(GetAsyPlmAssemblyDataInput input);
		Task CreateOrEdit(CreateOrEditAsyPlmAssemblyDataDto input);
		Task Delete(EntityDto input);
	}
}
</v>
      </c>
      <c r="Q7" t="str">
        <f ca="1">SUBSTITUTE(SUBSTITUTE(SUBSTITUTE(SUBSTITUTE(SUBSTITUTE(SUBSTITUTE(E1,"MstWptCalendar",$B$3),"&lt;PROPERTIES&gt;",P25),"Calendar",$B$5),"WorkingPattern",$Q$3),"Master",$B$4),"&lt;PARAMS_SEARCH&gt;",$W$25)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vovina.Asy.Plm.Dto;
using vovina.Asy.Plm.Exporting;
namespace vovina.Asy.Plm
{
    [AbpAuthorize(AppPermissions.Pages_Asy_Plm_AssemblyData)]
    public class AsyPlmAssemblyDataAppService : vovinaAppServiceBase, IAsyPlmAssemblyDataAppService
    {
        private readonly IDapperRepository&lt;AsyPlmAssemblyData, long&gt; _dapperRepo;
        private readonly IRepository&lt;AsyPlmAssemblyData, long&gt; _repo;
        private readonly IAsyPlmAssemblyDataExcelExporter _calendarListExcelExporter;
        public AsyPlmAssemblyDataAppService(IRepository&lt;AsyPlmAssemblyData,long&gt; repo, 
                                         IDapperRepository&lt;AsyPlmAssemblyData,long&gt; dapperRepo,
                                        IAsyPlmAssemblyDataExcelExporter calendarListExcelExporter
            )
        {
            _repo = repo;
            _dapperRepo = dapperRepo;
            _calendarListExcelExporter = calendarListExcelExporter;
        }
        [AbpAuthorize(AppPermissions.Pages_Asy_Plm_AssemblyData_CreateEdit)]
        public async Task CreateOrEdit(CreateOrEditAsyPlmAssemblyDataDto input)
        {
            if (input.Id == null) await Create(input);
            else await Update(input);
        }
        //CREATE
        private async Task Create(CreateOrEditAsyPlmAssemblyDataDto input)
        {          
            var mainObj = ObjectMapper.Map&lt;AsyPlmAssemblyData&gt;(input);
            await CurrentUnitOfWork.GetDbContext&lt;vovinaDbContext&gt;().AddAsync(mainObj);
        }
        // EDIT
        private async Task Update(CreateOrEditAsyPlmAssemblyDataDto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[AbpAuthorize(AppPermissions.Pages_Asy_Plm_AssemblyData_Delete)]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Task&lt;PagedResultDto&lt;AsyPlmAssemblyDataDto&gt;&gt; GetAll(GetAsyPlmAssemblyDataInput input)
        {
            var filtered = _repo.GetAll()
				.WhereIf(!string.IsNullOrWhiteSpace(input.GroupId), e =&gt; e.GroupId.Contains(input.GroupId))
				.WhereIf(!string.IsNullOrWhiteSpace(input.Line), e =&gt; e.Line.Contains(input.Line))
				.WhereIf(!string.IsNullOrWhiteSpace(input.BodyNo), e =&gt; e.BodyNo.Contains(input.BodyNo))
				.WhereIf(!string.IsNullOrWhiteSpace(input.SeqNo), e =&gt; e.SeqNo.Contains(input.SeqNo))
				.WhereIf(!string.IsNullOrWhiteSpace(input.NoInLot), e =&gt; e.NoInLot.Contains(input.NoInLot))
				.WhereIf(!string.IsNullOrWhiteSpace(input.Color), e =&gt; e.Color.Contains(input.Color))
				.WhereIf(!string.IsNullOrWhiteSpace(input.TackTime), e =&gt; e.TackTime.Contains(input.TackTime))
				.WhereIf(!string.IsNullOrWhiteSpace(input.NoInDate), e =&gt; e.NoInDate.Contains(input.NoInDate))
				;
            var pageAndFiltered = filtered.OrderBy(s =&gt; s.Id);
            var system = from o in pageAndFiltered
                         select new AsyPlmAssemblyDataDto
                        {
							Id = o.Id,
							GroupId = o.GroupId,
							Line = o.Line,
							Process = o.Process,
							Model = o.Model,
							BodyNo = o.BodyNo,
							SeqNo = o.SeqNo,
							Grade = o.Grade,
							LotNo = o.LotNo,
							NoInLot = o.NoInLot,
							Color = o.Color,
							WorkingDate = o.WorkingDate,
							CreateDate = o.CreateDate,
							TackTime = o.TackTime,
							NoInDate = o.NoInDate,
							LotNoIndex = o.LotNoIndex,
                        };
            var totalCount = await filtered.CountAsync();
			var paged = system.PageBy(input);
            return new PagedResultDto&lt;AsyPlmAssemblyDataDto&gt;(
                totalCount,
                 await paged.ToListAsync()
            );
        }
        public async Task&lt;FileDto&gt; GetAssemblyDataToExcel(AsyPlmAssemblyDataExportInput input)
        {
            var query = from o in _repo.GetAll()
                        select new AsyPlmAssemblyDataDto
                        {
							Id = o.Id,
							GroupId = o.GroupId,
							Line = o.Line,
							Process = o.Process,
							Model = o.Model,
							BodyNo = o.BodyNo,
							SeqNo = o.SeqNo,
							Grade = o.Grade,
							LotNo = o.LotNo,
							NoInLot = o.NoInLot,
							Color = o.Color,
							WorkingDate = o.WorkingDate,
							CreateDate = o.CreateDate,
							TackTime = o.TackTime,
							NoInDate = o.NoInDate,
							LotNoIndex = o.LotNoIndex,
                        };
            var exportToExcel = await query.ToListAsync();
            return _calendarListExcelExporter.ExportToFile(exportToExcel);
        }
       // public async Task GenerateAsync()
      //  {
        //    await _dapperRepo.ExecuteAsync(AsyPlmAssemblyDataConsts.SP_MST_WPT_CALENDAR_GENERATE);
       // }
    }
}</v>
      </c>
      <c r="R7" t="str">
        <f ca="1">SUBSTITUTE(SUBSTITUTE((C1&amp;"namespace "&amp;B6&amp;".Dto"&amp;E3&amp;C3&amp;R3&amp;M25&amp;E3&amp;REPT(CHAR(9),1)&amp;D3&amp;D3),"WorkingPattern",$Q$3),"Master",$B$4)</f>
        <v xml:space="preserve">using Abp.Application.Services.Dto;
using System;
using System.ComponentModel.DataAnnotations;
namespace prod.Asy.Plm.Dto
{
	public class AsyPlmAssemblyDataExportInput{
		public virtual string GroupId { get; set; }
		public virtual string Line { get; set; }
		public virtual int? Process { get; set; }
		public virtual int? Model { get; set; }
		public virtual string BodyNo { get; set; }
		public virtual string SeqNo { get; set; }
		public virtual int? Grade { get; set; }
		public virtual int? LotNo { get; set; }
		public virtual string NoInLot { get; set; }
		public virtual string Color { get; set; }
		public virtual int? WorkingDate { get; set; }
		public virtual int? CreateDate { get; set; }
		public virtual string TackTime { get; set; }
		public virtual string NoInDate { get; set; }
		public virtual int? LotNoIndex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vovina.Asy.Plm.Dto;
namespace prod.Asy.Plm.Exporting
{
	public interface IAsyPlmAssemblyDataExcelExporter : IApplicationService
	{
		FileDto ExportToFile(List&lt;AsyPlmAssemblyDataDto&gt; asyplmassemblydata);
	}
}
</v>
      </c>
      <c r="T7" s="26" t="str">
        <f ca="1">SUBSTITUTE(SUBSTITUTE(SUBSTITUTE(SUBSTITUTE(SUBSTITUTE(SUBSTITUTE(SUBSTITUTE(T1,"MstWptCalendar",$B$3),"&lt;PROPERTIES1&gt;",V25),"&lt;PROPERTIES&gt;",T25),"Calendar",$B$5),"calendar",LOWER(B5)),"WorkingPattern",$Q$3),"Master",$B$4)</f>
        <v>using System.Collections.Generic;
using vovina.DataExporting.Excel.NPOI;
using vovina.Dto;
using vovina.Asy.Plm.Exporting;
using vovina.Asy.Plm.Dto;
using vovina.Storage;
using vovina.Asy.Plm.Dto;
namespace vovina.Asy.Plm.Exporting
{
    public class AsyPlmAssemblyDataExcelExporter : NpoiExcelExporterBase, IAsyPlmAssemblyDataExcelExporter
    {
        public AsyPlmAssemblyDataExcelExporter(ITempFileCacheManager tempFileCacheManager) : base(tempFileCacheManager) { }
        public FileDto ExportToFile(List&lt;AsyPlmAssemblyDataDto&gt; assemblydata)
        {
            return CreateExcelPackage(
				"AsyPlmAssemblyData.xlsx",
				excelPackage =&gt;
				 {
					var sheet = excelPackage.CreateSheet("AssemblyData");
					AddHeader(
								sheet,
								("GroupId"),
								("Line"),
								("Process"),
								("Model"),
								("BodyNo"),
								("SeqNo"),
								("Grade"),
								("LotNo"),
								("NoInLot"),
								("Color"),
								("WorkingDate"),
								("CreateDate"),
								("TackTime"),
								("NoInDate"),
								("LotNoIndex"),
							   );
					AddObjects(
						 sheet, 1, assemblydata,                                       
								_ =&gt; _.GroupId,
								_ =&gt; _.Line,
								_ =&gt; _.Process,
								_ =&gt; _.Model,
								_ =&gt; _.BodyNo,
								_ =&gt; _.SeqNo,
								_ =&gt; _.Grade,
								_ =&gt; _.LotNo,
								_ =&gt; _.NoInLot,
								_ =&gt; _.Color,
								_ =&gt; _.WorkingDate,
								_ =&gt; _.CreateDate,
								_ =&gt; _.TackTime,
								_ =&gt; _.NoInDate,
								_ =&gt; _.LotNoIndex,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configuration.CreateMap&lt;AsyPlmAssemblyDataDto, AsyPlmAssemblyData&gt;();
  configuration.CreateMap&lt;AsyPlmAssemblyData, AsyPlmAssemblyDataDto&gt;();
  configuration.CreateMap&lt;CreateOrEditAsyPlmAssemblyDataDto, AsyPlmAssemblyData&gt;();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358</v>
      </c>
      <c r="B9" t="s">
        <v>355</v>
      </c>
      <c r="C9" t="s">
        <v>1</v>
      </c>
      <c r="D9" t="str">
        <f>SUBSTITUTE(PROPER(A9),"_","")</f>
        <v>GroupId</v>
      </c>
      <c r="E9" t="str">
        <f t="shared" ref="E9" si="0">IFERROR(LEFT(B9, FIND("(",B9)-1),B9)</f>
        <v>nvarchar</v>
      </c>
      <c r="F9" s="6"/>
      <c r="G9" t="str">
        <f t="shared" ref="G9" si="1">IFERROR(MID(B9,FIND("(",B9) +1, FIND(")",B9) - FIND("(",B9) - 1),"")</f>
        <v>500</v>
      </c>
      <c r="H9" t="str">
        <f>+VLOOKUP(E9,'Data Type Mapping'!A:B,2,)</f>
        <v>string</v>
      </c>
      <c r="I9" t="str">
        <f t="shared" ref="I9" si="2">IF(H9="string",REPT(CHAR(9),2)&amp;"public const int Max"&amp;D9&amp;"Length = "&amp;G9&amp;";"&amp;$E$3,"" )</f>
        <v xml:space="preserve">		public const int MaxGroupIdLength = 500;
</v>
      </c>
      <c r="J9" t="str">
        <f t="shared" ref="J9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[StringLength(MaxGroupIdLength)]
		public virtual string GroupId { get; set; }
</v>
      </c>
      <c r="K9" s="6" t="s">
        <v>357</v>
      </c>
      <c r="L9" t="str">
        <f t="shared" ref="L9:L10" si="4">IF(K9="","",REPT(CHAR(9),1)&amp;"[Index(nameof("&amp;IF(D9="","",""&amp;D9)&amp;")"&amp;", Name="&amp;"""IX_"&amp;$B$7&amp;"_"&amp;D9&amp;""")]")</f>
        <v xml:space="preserve">	[Index(nameof(GroupId), Name="IX_AsyPlmAssemblyData_GroupId")]</v>
      </c>
      <c r="M9" t="str">
        <f t="shared" ref="M9" si="5">REPT(CHAR(9),2)&amp;"public virtual "&amp;IF(OR(H9="DateTime",H9="TimeSpan"),H9&amp;"?",H9)&amp;IF(C9="?","? "," ")&amp;D9&amp;" { get; set; }" &amp; "
"</f>
        <v xml:space="preserve">		public virtual string GroupId { get; set; }
</v>
      </c>
      <c r="N9" t="str">
        <f t="shared" ref="N9" si="6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[StringLength(AsyPlmAssemblyDataConsts.MaxGroupIdLength)]
		public virtual string GroupId { get; set; }
</v>
      </c>
      <c r="O9" t="str">
        <f t="shared" ref="O9" si="7">IF(OR(H9="string",H9="DateTime",H9="int"),REPT(CHAR(9),2)&amp;"public virtual "&amp;IF(OR(H9="DateTime",H9="TimeSpan"),H9&amp;"?",H9)&amp;IF(C9="?","? "," ")&amp;D9&amp;" { get; set; }"&amp;$E$3,"")</f>
        <v xml:space="preserve">		public virtual string GroupId { get; set; }
</v>
      </c>
      <c r="P9" t="str">
        <f t="shared" ref="P9" si="8">REPT(CHAR(9),7)&amp;D9&amp;" = o." &amp;D9 &amp;","</f>
        <v xml:space="preserve">							GroupId = o.GroupId,</v>
      </c>
      <c r="T9" s="63" t="str">
        <f t="shared" ref="T9" si="9">REPT(CHAR(9),8)&amp;"("""&amp;D9&amp;"""),"</f>
        <v xml:space="preserve">								("GroupId"),</v>
      </c>
      <c r="V9" s="64" t="str">
        <f t="shared" ref="V9" si="10">REPT(CHAR(9),8)&amp;"_ =&gt; _."&amp;D9&amp;","</f>
        <v xml:space="preserve">								_ =&gt; _.GroupId,</v>
      </c>
      <c r="W9" s="63" t="str">
        <f t="shared" ref="W9" si="11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.WhereIf(!string.IsNullOrWhiteSpace(input.GroupId), e =&gt; e.GroupId.Contains(input.GroupId))</v>
      </c>
    </row>
    <row r="10" spans="1:23" customFormat="1" ht="18.75" customHeight="1" x14ac:dyDescent="0.25">
      <c r="A10" t="s">
        <v>359</v>
      </c>
      <c r="B10" t="s">
        <v>356</v>
      </c>
      <c r="C10" t="s">
        <v>1</v>
      </c>
      <c r="D10" t="str">
        <f t="shared" ref="D10:D23" si="12">SUBSTITUTE(PROPER(A10),"_","")</f>
        <v>Line</v>
      </c>
      <c r="E10" t="str">
        <f t="shared" ref="E10" si="13">IFERROR(LEFT(B10, FIND("(",B10)-1),B10)</f>
        <v>varchar</v>
      </c>
      <c r="F10" s="6"/>
      <c r="G10" t="str">
        <f t="shared" ref="G10" si="14">IFERROR(MID(B10,FIND("(",B10) +1, FIND(")",B10) - FIND("(",B10) - 1),"")</f>
        <v>50</v>
      </c>
      <c r="H10" t="str">
        <f>+VLOOKUP(E10,'Data Type Mapping'!A:B,2,)</f>
        <v>string</v>
      </c>
      <c r="I10" t="str">
        <f t="shared" ref="I10" si="15">IF(H10="string",REPT(CHAR(9),2)&amp;"public const int Max"&amp;D10&amp;"Length = "&amp;G10&amp;";"&amp;$E$3,"" )</f>
        <v xml:space="preserve">		public const int MaxLineLength = 50;
</v>
      </c>
      <c r="J10" t="str">
        <f t="shared" ref="J10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[StringLength(MaxLineLength)]
		public virtual string Line { get; set; }
</v>
      </c>
      <c r="K10" s="6" t="s">
        <v>357</v>
      </c>
      <c r="L10" t="str">
        <f t="shared" si="4"/>
        <v xml:space="preserve">	[Index(nameof(Line), Name="IX_AsyPlmAssemblyData_Line")]</v>
      </c>
      <c r="M10" t="str">
        <f t="shared" ref="M10" si="17">REPT(CHAR(9),2)&amp;"public virtual "&amp;IF(OR(H10="DateTime",H10="TimeSpan"),H10&amp;"?",H10)&amp;IF(C10="?","? "," ")&amp;D10&amp;" { get; set; }" &amp; "
"</f>
        <v xml:space="preserve">		public virtual string Line { get; set; }
</v>
      </c>
      <c r="N10" t="str">
        <f t="shared" ref="N10" si="1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[StringLength(AsyPlmAssemblyDataConsts.MaxLineLength)]
		public virtual string Line { get; set; }
</v>
      </c>
      <c r="O10" t="str">
        <f t="shared" ref="O10" si="19">IF(OR(H10="string",H10="DateTime",H10="int"),REPT(CHAR(9),2)&amp;"public virtual "&amp;IF(OR(H10="DateTime",H10="TimeSpan"),H10&amp;"?",H10)&amp;IF(C10="?","? "," ")&amp;D10&amp;" { get; set; }"&amp;$E$3,"")</f>
        <v xml:space="preserve">		public virtual string Line { get; set; }
</v>
      </c>
      <c r="P10" t="str">
        <f t="shared" ref="P10" si="20">REPT(CHAR(9),7)&amp;D10&amp;" = o." &amp;D10 &amp;","</f>
        <v xml:space="preserve">							Line = o.Line,</v>
      </c>
      <c r="T10" s="63" t="str">
        <f t="shared" ref="T10" si="21">REPT(CHAR(9),8)&amp;"("""&amp;D10&amp;"""),"</f>
        <v xml:space="preserve">								("Line"),</v>
      </c>
      <c r="V10" s="64" t="str">
        <f t="shared" ref="V10" si="22">REPT(CHAR(9),8)&amp;"_ =&gt; _."&amp;D10&amp;","</f>
        <v xml:space="preserve">								_ =&gt; _.Line,</v>
      </c>
      <c r="W10" s="63" t="str">
        <f t="shared" ref="W10" si="23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.WhereIf(!string.IsNullOrWhiteSpace(input.Line), e =&gt; e.Line.Contains(input.Line))</v>
      </c>
    </row>
    <row r="11" spans="1:23" customFormat="1" ht="18.75" customHeight="1" x14ac:dyDescent="0.25">
      <c r="A11" t="s">
        <v>360</v>
      </c>
      <c r="B11" t="s">
        <v>4</v>
      </c>
      <c r="C11" t="s">
        <v>1</v>
      </c>
      <c r="D11" t="str">
        <f t="shared" si="12"/>
        <v>Process</v>
      </c>
      <c r="E11" t="str">
        <f t="shared" ref="E11" si="24">IFERROR(LEFT(B11, FIND("(",B11)-1),B11)</f>
        <v>int</v>
      </c>
      <c r="F11" s="6"/>
      <c r="G11" t="str">
        <f t="shared" ref="G11" si="25">IFERROR(MID(B11,FIND("(",B11) +1, FIND(")",B11) - FIND("(",B11) - 1),"")</f>
        <v/>
      </c>
      <c r="H11" t="str">
        <f>+VLOOKUP(E11,'Data Type Mapping'!A:B,2,)</f>
        <v>int?</v>
      </c>
      <c r="I11" t="str">
        <f t="shared" ref="I11" si="26">IF(H11="string",REPT(CHAR(9),2)&amp;"public const int Max"&amp;D11&amp;"Length = "&amp;G11&amp;";"&amp;$E$3,"" )</f>
        <v/>
      </c>
      <c r="J11" t="str">
        <f t="shared" ref="J11" si="27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public virtual int? Process { get; set; }
</v>
      </c>
      <c r="K11" s="6"/>
      <c r="L11" t="str">
        <f t="shared" ref="L11" si="28">IF(K11="","",REPT(CHAR(9),1)&amp;"[Index(nameof("&amp;IF(D11="","",""&amp;D11)&amp;")"&amp;", Name="&amp;"""IX_"&amp;$B$7&amp;"_"&amp;D11&amp;""")]")</f>
        <v/>
      </c>
      <c r="M11" t="str">
        <f t="shared" ref="M11" si="29">REPT(CHAR(9),2)&amp;"public virtual "&amp;IF(OR(H11="DateTime",H11="TimeSpan"),H11&amp;"?",H11)&amp;IF(C11="?","? "," ")&amp;D11&amp;" { get; set; }" &amp; "
"</f>
        <v xml:space="preserve">		public virtual int? Process { get; set; }
</v>
      </c>
      <c r="N11" t="str">
        <f t="shared" ref="N11" si="30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public virtual int? Process { get; set; }
</v>
      </c>
      <c r="O11" t="str">
        <f t="shared" ref="O11" si="31">IF(OR(H11="string",H11="DateTime",H11="int"),REPT(CHAR(9),2)&amp;"public virtual "&amp;IF(OR(H11="DateTime",H11="TimeSpan"),H11&amp;"?",H11)&amp;IF(C11="?","? "," ")&amp;D11&amp;" { get; set; }"&amp;$E$3,"")</f>
        <v/>
      </c>
      <c r="P11" t="str">
        <f t="shared" ref="P11" si="32">REPT(CHAR(9),7)&amp;D11&amp;" = o." &amp;D11 &amp;","</f>
        <v xml:space="preserve">							Process = o.Process,</v>
      </c>
      <c r="T11" s="63" t="str">
        <f t="shared" ref="T11" si="33">REPT(CHAR(9),8)&amp;"("""&amp;D11&amp;"""),"</f>
        <v xml:space="preserve">								("Process"),</v>
      </c>
      <c r="V11" s="64" t="str">
        <f t="shared" ref="V11" si="34">REPT(CHAR(9),8)&amp;"_ =&gt; _."&amp;D11&amp;","</f>
        <v xml:space="preserve">								_ =&gt; _.Process,</v>
      </c>
      <c r="W11" s="63" t="str">
        <f t="shared" ref="W11" si="35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/>
      </c>
    </row>
    <row r="12" spans="1:23" customFormat="1" ht="18.75" customHeight="1" x14ac:dyDescent="0.25">
      <c r="A12" t="s">
        <v>361</v>
      </c>
      <c r="B12" t="s">
        <v>4</v>
      </c>
      <c r="C12" t="s">
        <v>1</v>
      </c>
      <c r="D12" t="str">
        <f t="shared" si="12"/>
        <v>Model</v>
      </c>
      <c r="E12" t="str">
        <f t="shared" ref="E12:E15" si="36">IFERROR(LEFT(B12, FIND("(",B12)-1),B12)</f>
        <v>int</v>
      </c>
      <c r="F12" s="6"/>
      <c r="G12" t="str">
        <f t="shared" ref="G12:G15" si="37">IFERROR(MID(B12,FIND("(",B12) +1, FIND(")",B12) - FIND("(",B12) - 1),"")</f>
        <v/>
      </c>
      <c r="H12" t="str">
        <f>+VLOOKUP(E12,'Data Type Mapping'!A:B,2,)</f>
        <v>int?</v>
      </c>
      <c r="I12" t="str">
        <f t="shared" ref="I12:I15" si="38">IF(H12="string",REPT(CHAR(9),2)&amp;"public const int Max"&amp;D12&amp;"Length = "&amp;G12&amp;";"&amp;$E$3,"" )</f>
        <v/>
      </c>
      <c r="J12" t="str">
        <f t="shared" ref="J12:J15" si="39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int? Model { get; set; }
</v>
      </c>
      <c r="K12" s="6"/>
      <c r="L12" t="str">
        <f t="shared" ref="L12:L15" si="40">IF(K12="","",REPT(CHAR(9),1)&amp;"[Index(nameof("&amp;IF(D12="","",""&amp;D12)&amp;")"&amp;", Name="&amp;"""IX_"&amp;$B$7&amp;"_"&amp;D12&amp;""")]")</f>
        <v/>
      </c>
      <c r="M12" t="str">
        <f t="shared" ref="M12:M15" si="41">REPT(CHAR(9),2)&amp;"public virtual "&amp;IF(OR(H12="DateTime",H12="TimeSpan"),H12&amp;"?",H12)&amp;IF(C12="?","? "," ")&amp;D12&amp;" { get; set; }" &amp; "
"</f>
        <v xml:space="preserve">		public virtual int? Model { get; set; }
</v>
      </c>
      <c r="N12" t="str">
        <f t="shared" ref="N12:N15" si="42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int? Model { get; set; }
</v>
      </c>
      <c r="O12" t="str">
        <f t="shared" ref="O12:O15" si="43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:P15" si="44">REPT(CHAR(9),7)&amp;D12&amp;" = o." &amp;D12 &amp;","</f>
        <v xml:space="preserve">							Model = o.Model,</v>
      </c>
      <c r="T12" s="63" t="str">
        <f t="shared" ref="T12:T15" si="45">REPT(CHAR(9),8)&amp;"("""&amp;D12&amp;"""),"</f>
        <v xml:space="preserve">								("Model"),</v>
      </c>
      <c r="V12" s="64" t="str">
        <f t="shared" ref="V12:V15" si="46">REPT(CHAR(9),8)&amp;"_ =&gt; _."&amp;D12&amp;","</f>
        <v xml:space="preserve">								_ =&gt; _.Model,</v>
      </c>
      <c r="W12" s="63" t="str">
        <f t="shared" ref="W12:W15" si="47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18.75" customHeight="1" x14ac:dyDescent="0.25">
      <c r="A13" t="s">
        <v>362</v>
      </c>
      <c r="B13" t="s">
        <v>355</v>
      </c>
      <c r="C13" t="s">
        <v>1</v>
      </c>
      <c r="D13" t="str">
        <f t="shared" si="12"/>
        <v>BodyNo</v>
      </c>
      <c r="E13" t="str">
        <f t="shared" si="36"/>
        <v>nvarchar</v>
      </c>
      <c r="F13" s="6"/>
      <c r="G13" t="str">
        <f t="shared" si="37"/>
        <v>500</v>
      </c>
      <c r="H13" t="str">
        <f>+VLOOKUP(E13,'Data Type Mapping'!A:B,2,)</f>
        <v>string</v>
      </c>
      <c r="I13" t="str">
        <f t="shared" si="38"/>
        <v xml:space="preserve">		public const int MaxBodyNoLength = 500;
</v>
      </c>
      <c r="J13" t="str">
        <f t="shared" si="39"/>
        <v xml:space="preserve">		[StringLength(MaxBodyNoLength)]
		public virtual string BodyNo { get; set; }
</v>
      </c>
      <c r="K13" s="6" t="s">
        <v>357</v>
      </c>
      <c r="L13" t="str">
        <f t="shared" si="40"/>
        <v xml:space="preserve">	[Index(nameof(BodyNo), Name="IX_AsyPlmAssemblyData_BodyNo")]</v>
      </c>
      <c r="M13" t="str">
        <f t="shared" si="41"/>
        <v xml:space="preserve">		public virtual string BodyNo { get; set; }
</v>
      </c>
      <c r="N13" t="str">
        <f t="shared" si="42"/>
        <v xml:space="preserve">		[StringLength(AsyPlmAssemblyDataConsts.MaxBodyNoLength)]
		public virtual string BodyNo { get; set; }
</v>
      </c>
      <c r="O13" t="str">
        <f t="shared" si="43"/>
        <v xml:space="preserve">		public virtual string BodyNo { get; set; }
</v>
      </c>
      <c r="P13" t="str">
        <f t="shared" si="44"/>
        <v xml:space="preserve">							BodyNo = o.BodyNo,</v>
      </c>
      <c r="T13" s="63" t="str">
        <f t="shared" si="45"/>
        <v xml:space="preserve">								("BodyNo"),</v>
      </c>
      <c r="V13" s="64" t="str">
        <f t="shared" si="46"/>
        <v xml:space="preserve">								_ =&gt; _.BodyNo,</v>
      </c>
      <c r="W13" s="63" t="str">
        <f t="shared" si="47"/>
        <v xml:space="preserve">				.WhereIf(!string.IsNullOrWhiteSpace(input.BodyNo), e =&gt; e.BodyNo.Contains(input.BodyNo))</v>
      </c>
    </row>
    <row r="14" spans="1:23" customFormat="1" ht="18.75" customHeight="1" x14ac:dyDescent="0.25">
      <c r="A14" t="s">
        <v>363</v>
      </c>
      <c r="B14" t="s">
        <v>356</v>
      </c>
      <c r="C14" t="s">
        <v>1</v>
      </c>
      <c r="D14" t="str">
        <f t="shared" si="12"/>
        <v>SeqNo</v>
      </c>
      <c r="E14" t="str">
        <f t="shared" si="36"/>
        <v>varchar</v>
      </c>
      <c r="F14" s="6"/>
      <c r="G14" t="str">
        <f t="shared" si="37"/>
        <v>50</v>
      </c>
      <c r="H14" t="str">
        <f>+VLOOKUP(E14,'Data Type Mapping'!A:B,2,)</f>
        <v>string</v>
      </c>
      <c r="I14" t="str">
        <f t="shared" si="38"/>
        <v xml:space="preserve">		public const int MaxSeqNoLength = 50;
</v>
      </c>
      <c r="J14" t="str">
        <f t="shared" si="39"/>
        <v xml:space="preserve">		[StringLength(MaxSeqNoLength)]
		public virtual string SeqNo { get; set; }
</v>
      </c>
      <c r="K14" s="6" t="s">
        <v>357</v>
      </c>
      <c r="L14" t="str">
        <f t="shared" si="40"/>
        <v xml:space="preserve">	[Index(nameof(SeqNo), Name="IX_AsyPlmAssemblyData_SeqNo")]</v>
      </c>
      <c r="M14" t="str">
        <f t="shared" si="41"/>
        <v xml:space="preserve">		public virtual string SeqNo { get; set; }
</v>
      </c>
      <c r="N14" t="str">
        <f t="shared" si="42"/>
        <v xml:space="preserve">		[StringLength(AsyPlmAssemblyDataConsts.MaxSeqNoLength)]
		public virtual string SeqNo { get; set; }
</v>
      </c>
      <c r="O14" t="str">
        <f t="shared" si="43"/>
        <v xml:space="preserve">		public virtual string SeqNo { get; set; }
</v>
      </c>
      <c r="P14" t="str">
        <f t="shared" si="44"/>
        <v xml:space="preserve">							SeqNo = o.SeqNo,</v>
      </c>
      <c r="T14" s="63" t="str">
        <f t="shared" si="45"/>
        <v xml:space="preserve">								("SeqNo"),</v>
      </c>
      <c r="V14" s="64" t="str">
        <f t="shared" si="46"/>
        <v xml:space="preserve">								_ =&gt; _.SeqNo,</v>
      </c>
      <c r="W14" s="63" t="str">
        <f t="shared" si="47"/>
        <v xml:space="preserve">				.WhereIf(!string.IsNullOrWhiteSpace(input.SeqNo), e =&gt; e.SeqNo.Contains(input.SeqNo))</v>
      </c>
    </row>
    <row r="15" spans="1:23" customFormat="1" ht="18.75" customHeight="1" x14ac:dyDescent="0.25">
      <c r="A15" t="s">
        <v>364</v>
      </c>
      <c r="B15" t="s">
        <v>4</v>
      </c>
      <c r="C15" t="s">
        <v>1</v>
      </c>
      <c r="D15" t="str">
        <f t="shared" si="12"/>
        <v>Grade</v>
      </c>
      <c r="E15" t="str">
        <f t="shared" si="36"/>
        <v>int</v>
      </c>
      <c r="F15" s="6"/>
      <c r="G15" t="str">
        <f t="shared" si="37"/>
        <v/>
      </c>
      <c r="H15" t="str">
        <f>+VLOOKUP(E15,'Data Type Mapping'!A:B,2,)</f>
        <v>int?</v>
      </c>
      <c r="I15" t="str">
        <f t="shared" si="38"/>
        <v/>
      </c>
      <c r="J15" t="str">
        <f t="shared" si="39"/>
        <v xml:space="preserve">		public virtual int? Grade { get; set; }
</v>
      </c>
      <c r="K15" s="6"/>
      <c r="L15" t="str">
        <f t="shared" si="40"/>
        <v/>
      </c>
      <c r="M15" t="str">
        <f t="shared" si="41"/>
        <v xml:space="preserve">		public virtual int? Grade { get; set; }
</v>
      </c>
      <c r="N15" t="str">
        <f t="shared" si="42"/>
        <v xml:space="preserve">		public virtual int? Grade { get; set; }
</v>
      </c>
      <c r="O15" t="str">
        <f t="shared" si="43"/>
        <v/>
      </c>
      <c r="P15" t="str">
        <f t="shared" si="44"/>
        <v xml:space="preserve">							Grade = o.Grade,</v>
      </c>
      <c r="T15" s="63" t="str">
        <f t="shared" si="45"/>
        <v xml:space="preserve">								("Grade"),</v>
      </c>
      <c r="V15" s="64" t="str">
        <f t="shared" si="46"/>
        <v xml:space="preserve">								_ =&gt; _.Grade,</v>
      </c>
      <c r="W15" s="63" t="str">
        <f t="shared" si="47"/>
        <v/>
      </c>
    </row>
    <row r="16" spans="1:23" customFormat="1" ht="18.75" customHeight="1" x14ac:dyDescent="0.25">
      <c r="A16" t="s">
        <v>365</v>
      </c>
      <c r="B16" t="s">
        <v>4</v>
      </c>
      <c r="C16" t="s">
        <v>1</v>
      </c>
      <c r="D16" t="str">
        <f t="shared" si="12"/>
        <v>LotNo</v>
      </c>
      <c r="E16" t="str">
        <f t="shared" ref="E16:E23" si="48">IFERROR(LEFT(B16, FIND("(",B16)-1),B16)</f>
        <v>int</v>
      </c>
      <c r="F16" s="6"/>
      <c r="G16" t="str">
        <f t="shared" ref="G16:G23" si="49">IFERROR(MID(B16,FIND("(",B16) +1, FIND(")",B16) - FIND("(",B16) - 1),"")</f>
        <v/>
      </c>
      <c r="H16" t="str">
        <f>+VLOOKUP(E16,'Data Type Mapping'!A:B,2,)</f>
        <v>int?</v>
      </c>
      <c r="I16" t="str">
        <f t="shared" ref="I16:I23" si="50">IF(H16="string",REPT(CHAR(9),2)&amp;"public const int Max"&amp;D16&amp;"Length = "&amp;G16&amp;";"&amp;$E$3,"" )</f>
        <v/>
      </c>
      <c r="J16" t="str">
        <f t="shared" ref="J16:J23" si="51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int? LotNo { get; set; }
</v>
      </c>
      <c r="K16" s="6"/>
      <c r="L16" t="str">
        <f t="shared" ref="L16:L23" si="52">IF(K16="","",REPT(CHAR(9),1)&amp;"[Index(nameof("&amp;IF(D16="","",""&amp;D16)&amp;")"&amp;", Name="&amp;"""IX_"&amp;$B$7&amp;"_"&amp;D16&amp;""")]")</f>
        <v/>
      </c>
      <c r="M16" t="str">
        <f t="shared" ref="M16:M23" si="53">REPT(CHAR(9),2)&amp;"public virtual "&amp;IF(OR(H16="DateTime",H16="TimeSpan"),H16&amp;"?",H16)&amp;IF(C16="?","? "," ")&amp;D16&amp;" { get; set; }" &amp; "
"</f>
        <v xml:space="preserve">		public virtual int? LotNo { get; set; }
</v>
      </c>
      <c r="N16" t="str">
        <f t="shared" ref="N16:N23" si="54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int? LotNo { get; set; }
</v>
      </c>
      <c r="O16" t="str">
        <f t="shared" ref="O16:O23" si="55">IF(OR(H16="string",H16="DateTime",H16="int"),REPT(CHAR(9),2)&amp;"public virtual "&amp;IF(OR(H16="DateTime",H16="TimeSpan"),H16&amp;"?",H16)&amp;IF(C16="?","? "," ")&amp;D16&amp;" { get; set; }"&amp;$E$3,"")</f>
        <v/>
      </c>
      <c r="P16" t="str">
        <f t="shared" ref="P16:P23" si="56">REPT(CHAR(9),7)&amp;D16&amp;" = o." &amp;D16 &amp;","</f>
        <v xml:space="preserve">							LotNo = o.LotNo,</v>
      </c>
      <c r="T16" s="63" t="str">
        <f t="shared" ref="T16:T23" si="57">REPT(CHAR(9),8)&amp;"("""&amp;D16&amp;"""),"</f>
        <v xml:space="preserve">								("LotNo"),</v>
      </c>
      <c r="V16" s="64" t="str">
        <f t="shared" ref="V16:V23" si="58">REPT(CHAR(9),8)&amp;"_ =&gt; _."&amp;D16&amp;","</f>
        <v xml:space="preserve">								_ =&gt; _.LotNo,</v>
      </c>
      <c r="W16" s="63" t="str">
        <f t="shared" ref="W16:W23" si="59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7" spans="1:23" customFormat="1" ht="18.75" customHeight="1" x14ac:dyDescent="0.25">
      <c r="A17" t="s">
        <v>366</v>
      </c>
      <c r="B17" t="s">
        <v>355</v>
      </c>
      <c r="C17" t="s">
        <v>1</v>
      </c>
      <c r="D17" t="str">
        <f t="shared" si="12"/>
        <v>NoInLot</v>
      </c>
      <c r="E17" t="str">
        <f t="shared" si="48"/>
        <v>nvarchar</v>
      </c>
      <c r="F17" s="6"/>
      <c r="G17" t="str">
        <f t="shared" si="49"/>
        <v>500</v>
      </c>
      <c r="H17" t="str">
        <f>+VLOOKUP(E17,'Data Type Mapping'!A:B,2,)</f>
        <v>string</v>
      </c>
      <c r="I17" t="str">
        <f t="shared" si="50"/>
        <v xml:space="preserve">		public const int MaxNoInLotLength = 500;
</v>
      </c>
      <c r="J17" t="str">
        <f t="shared" si="51"/>
        <v xml:space="preserve">		[StringLength(MaxNoInLotLength)]
		public virtual string NoInLot { get; set; }
</v>
      </c>
      <c r="K17" s="6" t="s">
        <v>357</v>
      </c>
      <c r="L17" t="str">
        <f t="shared" si="52"/>
        <v xml:space="preserve">	[Index(nameof(NoInLot), Name="IX_AsyPlmAssemblyData_NoInLot")]</v>
      </c>
      <c r="M17" t="str">
        <f t="shared" si="53"/>
        <v xml:space="preserve">		public virtual string NoInLot { get; set; }
</v>
      </c>
      <c r="N17" t="str">
        <f t="shared" si="54"/>
        <v xml:space="preserve">		[StringLength(AsyPlmAssemblyDataConsts.MaxNoInLotLength)]
		public virtual string NoInLot { get; set; }
</v>
      </c>
      <c r="O17" t="str">
        <f t="shared" si="55"/>
        <v xml:space="preserve">		public virtual string NoInLot { get; set; }
</v>
      </c>
      <c r="P17" t="str">
        <f t="shared" si="56"/>
        <v xml:space="preserve">							NoInLot = o.NoInLot,</v>
      </c>
      <c r="T17" s="63" t="str">
        <f t="shared" si="57"/>
        <v xml:space="preserve">								("NoInLot"),</v>
      </c>
      <c r="V17" s="64" t="str">
        <f t="shared" si="58"/>
        <v xml:space="preserve">								_ =&gt; _.NoInLot,</v>
      </c>
      <c r="W17" s="63" t="str">
        <f t="shared" si="59"/>
        <v xml:space="preserve">				.WhereIf(!string.IsNullOrWhiteSpace(input.NoInLot), e =&gt; e.NoInLot.Contains(input.NoInLot))</v>
      </c>
    </row>
    <row r="18" spans="1:23" customFormat="1" ht="18.75" customHeight="1" x14ac:dyDescent="0.25">
      <c r="A18" t="s">
        <v>367</v>
      </c>
      <c r="B18" t="s">
        <v>356</v>
      </c>
      <c r="C18" t="s">
        <v>1</v>
      </c>
      <c r="D18" t="str">
        <f t="shared" si="12"/>
        <v>Color</v>
      </c>
      <c r="E18" t="str">
        <f t="shared" si="48"/>
        <v>varchar</v>
      </c>
      <c r="F18" s="6"/>
      <c r="G18" t="str">
        <f t="shared" si="49"/>
        <v>50</v>
      </c>
      <c r="H18" t="str">
        <f>+VLOOKUP(E18,'Data Type Mapping'!A:B,2,)</f>
        <v>string</v>
      </c>
      <c r="I18" t="str">
        <f t="shared" si="50"/>
        <v xml:space="preserve">		public const int MaxColorLength = 50;
</v>
      </c>
      <c r="J18" t="str">
        <f t="shared" si="51"/>
        <v xml:space="preserve">		[StringLength(MaxColorLength)]
		public virtual string Color { get; set; }
</v>
      </c>
      <c r="K18" s="6" t="s">
        <v>357</v>
      </c>
      <c r="L18" t="str">
        <f t="shared" si="52"/>
        <v xml:space="preserve">	[Index(nameof(Color), Name="IX_AsyPlmAssemblyData_Color")]</v>
      </c>
      <c r="M18" t="str">
        <f t="shared" si="53"/>
        <v xml:space="preserve">		public virtual string Color { get; set; }
</v>
      </c>
      <c r="N18" t="str">
        <f t="shared" si="54"/>
        <v xml:space="preserve">		[StringLength(AsyPlmAssemblyDataConsts.MaxColorLength)]
		public virtual string Color { get; set; }
</v>
      </c>
      <c r="O18" t="str">
        <f t="shared" si="55"/>
        <v xml:space="preserve">		public virtual string Color { get; set; }
</v>
      </c>
      <c r="P18" t="str">
        <f t="shared" si="56"/>
        <v xml:space="preserve">							Color = o.Color,</v>
      </c>
      <c r="T18" s="63" t="str">
        <f t="shared" si="57"/>
        <v xml:space="preserve">								("Color"),</v>
      </c>
      <c r="V18" s="64" t="str">
        <f t="shared" si="58"/>
        <v xml:space="preserve">								_ =&gt; _.Color,</v>
      </c>
      <c r="W18" s="63" t="str">
        <f t="shared" si="59"/>
        <v xml:space="preserve">				.WhereIf(!string.IsNullOrWhiteSpace(input.Color), e =&gt; e.Color.Contains(input.Color))</v>
      </c>
    </row>
    <row r="19" spans="1:23" customFormat="1" ht="18.75" customHeight="1" x14ac:dyDescent="0.25">
      <c r="A19" t="s">
        <v>368</v>
      </c>
      <c r="B19" t="s">
        <v>4</v>
      </c>
      <c r="C19" t="s">
        <v>1</v>
      </c>
      <c r="D19" t="str">
        <f t="shared" si="12"/>
        <v>WorkingDate</v>
      </c>
      <c r="E19" t="str">
        <f t="shared" si="48"/>
        <v>int</v>
      </c>
      <c r="F19" s="6"/>
      <c r="G19" t="str">
        <f t="shared" si="49"/>
        <v/>
      </c>
      <c r="H19" t="str">
        <f>+VLOOKUP(E19,'Data Type Mapping'!A:B,2,)</f>
        <v>int?</v>
      </c>
      <c r="I19" t="str">
        <f t="shared" si="50"/>
        <v/>
      </c>
      <c r="J19" t="str">
        <f t="shared" si="51"/>
        <v xml:space="preserve">		public virtual int? WorkingDate { get; set; }
</v>
      </c>
      <c r="K19" s="6"/>
      <c r="L19" t="str">
        <f t="shared" si="52"/>
        <v/>
      </c>
      <c r="M19" t="str">
        <f t="shared" si="53"/>
        <v xml:space="preserve">		public virtual int? WorkingDate { get; set; }
</v>
      </c>
      <c r="N19" t="str">
        <f t="shared" si="54"/>
        <v xml:space="preserve">		public virtual int? WorkingDate { get; set; }
</v>
      </c>
      <c r="O19" t="str">
        <f t="shared" si="55"/>
        <v/>
      </c>
      <c r="P19" t="str">
        <f t="shared" si="56"/>
        <v xml:space="preserve">							WorkingDate = o.WorkingDate,</v>
      </c>
      <c r="T19" s="63" t="str">
        <f t="shared" si="57"/>
        <v xml:space="preserve">								("WorkingDate"),</v>
      </c>
      <c r="V19" s="64" t="str">
        <f t="shared" si="58"/>
        <v xml:space="preserve">								_ =&gt; _.WorkingDate,</v>
      </c>
      <c r="W19" s="63" t="str">
        <f t="shared" si="59"/>
        <v/>
      </c>
    </row>
    <row r="20" spans="1:23" customFormat="1" ht="18.75" customHeight="1" x14ac:dyDescent="0.25">
      <c r="A20" t="s">
        <v>369</v>
      </c>
      <c r="B20" t="s">
        <v>4</v>
      </c>
      <c r="C20" t="s">
        <v>1</v>
      </c>
      <c r="D20" t="str">
        <f t="shared" si="12"/>
        <v>CreateDate</v>
      </c>
      <c r="E20" t="str">
        <f t="shared" si="48"/>
        <v>int</v>
      </c>
      <c r="F20" s="6"/>
      <c r="G20" t="str">
        <f t="shared" si="49"/>
        <v/>
      </c>
      <c r="H20" t="str">
        <f>+VLOOKUP(E20,'Data Type Mapping'!A:B,2,)</f>
        <v>int?</v>
      </c>
      <c r="I20" t="str">
        <f t="shared" si="50"/>
        <v/>
      </c>
      <c r="J20" t="str">
        <f t="shared" si="51"/>
        <v xml:space="preserve">		public virtual int? CreateDate { get; set; }
</v>
      </c>
      <c r="K20" s="6"/>
      <c r="L20" t="str">
        <f t="shared" si="52"/>
        <v/>
      </c>
      <c r="M20" t="str">
        <f t="shared" si="53"/>
        <v xml:space="preserve">		public virtual int? CreateDate { get; set; }
</v>
      </c>
      <c r="N20" t="str">
        <f t="shared" si="54"/>
        <v xml:space="preserve">		public virtual int? CreateDate { get; set; }
</v>
      </c>
      <c r="O20" t="str">
        <f t="shared" si="55"/>
        <v/>
      </c>
      <c r="P20" t="str">
        <f t="shared" si="56"/>
        <v xml:space="preserve">							CreateDate = o.CreateDate,</v>
      </c>
      <c r="T20" s="63" t="str">
        <f t="shared" si="57"/>
        <v xml:space="preserve">								("CreateDate"),</v>
      </c>
      <c r="V20" s="64" t="str">
        <f t="shared" si="58"/>
        <v xml:space="preserve">								_ =&gt; _.CreateDate,</v>
      </c>
      <c r="W20" s="63" t="str">
        <f t="shared" si="59"/>
        <v/>
      </c>
    </row>
    <row r="21" spans="1:23" customFormat="1" ht="18.75" customHeight="1" x14ac:dyDescent="0.25">
      <c r="A21" t="s">
        <v>370</v>
      </c>
      <c r="B21" t="s">
        <v>355</v>
      </c>
      <c r="C21" t="s">
        <v>1</v>
      </c>
      <c r="D21" t="str">
        <f t="shared" si="12"/>
        <v>TackTime</v>
      </c>
      <c r="E21" t="str">
        <f t="shared" si="48"/>
        <v>nvarchar</v>
      </c>
      <c r="F21" s="6"/>
      <c r="G21" t="str">
        <f t="shared" si="49"/>
        <v>500</v>
      </c>
      <c r="H21" t="str">
        <f>+VLOOKUP(E21,'Data Type Mapping'!A:B,2,)</f>
        <v>string</v>
      </c>
      <c r="I21" t="str">
        <f t="shared" si="50"/>
        <v xml:space="preserve">		public const int MaxTackTimeLength = 500;
</v>
      </c>
      <c r="J21" t="str">
        <f t="shared" si="51"/>
        <v xml:space="preserve">		[StringLength(MaxTackTimeLength)]
		public virtual string TackTime { get; set; }
</v>
      </c>
      <c r="K21" s="6" t="s">
        <v>357</v>
      </c>
      <c r="L21" t="str">
        <f t="shared" si="52"/>
        <v xml:space="preserve">	[Index(nameof(TackTime), Name="IX_AsyPlmAssemblyData_TackTime")]</v>
      </c>
      <c r="M21" t="str">
        <f t="shared" si="53"/>
        <v xml:space="preserve">		public virtual string TackTime { get; set; }
</v>
      </c>
      <c r="N21" t="str">
        <f t="shared" si="54"/>
        <v xml:space="preserve">		[StringLength(AsyPlmAssemblyDataConsts.MaxTackTimeLength)]
		public virtual string TackTime { get; set; }
</v>
      </c>
      <c r="O21" t="str">
        <f t="shared" si="55"/>
        <v xml:space="preserve">		public virtual string TackTime { get; set; }
</v>
      </c>
      <c r="P21" t="str">
        <f t="shared" si="56"/>
        <v xml:space="preserve">							TackTime = o.TackTime,</v>
      </c>
      <c r="T21" s="63" t="str">
        <f t="shared" si="57"/>
        <v xml:space="preserve">								("TackTime"),</v>
      </c>
      <c r="V21" s="64" t="str">
        <f t="shared" si="58"/>
        <v xml:space="preserve">								_ =&gt; _.TackTime,</v>
      </c>
      <c r="W21" s="63" t="str">
        <f t="shared" si="59"/>
        <v xml:space="preserve">				.WhereIf(!string.IsNullOrWhiteSpace(input.TackTime), e =&gt; e.TackTime.Contains(input.TackTime))</v>
      </c>
    </row>
    <row r="22" spans="1:23" customFormat="1" ht="18.75" customHeight="1" x14ac:dyDescent="0.25">
      <c r="A22" t="s">
        <v>371</v>
      </c>
      <c r="B22" t="s">
        <v>356</v>
      </c>
      <c r="C22" t="s">
        <v>1</v>
      </c>
      <c r="D22" t="str">
        <f t="shared" si="12"/>
        <v>NoInDate</v>
      </c>
      <c r="E22" t="str">
        <f t="shared" si="48"/>
        <v>varchar</v>
      </c>
      <c r="F22" s="6"/>
      <c r="G22" t="str">
        <f t="shared" si="49"/>
        <v>50</v>
      </c>
      <c r="H22" t="str">
        <f>+VLOOKUP(E22,'Data Type Mapping'!A:B,2,)</f>
        <v>string</v>
      </c>
      <c r="I22" t="str">
        <f t="shared" si="50"/>
        <v xml:space="preserve">		public const int MaxNoInDateLength = 50;
</v>
      </c>
      <c r="J22" t="str">
        <f t="shared" si="51"/>
        <v xml:space="preserve">		[StringLength(MaxNoInDateLength)]
		public virtual string NoInDate { get; set; }
</v>
      </c>
      <c r="K22" s="6" t="s">
        <v>357</v>
      </c>
      <c r="L22" t="str">
        <f t="shared" si="52"/>
        <v xml:space="preserve">	[Index(nameof(NoInDate), Name="IX_AsyPlmAssemblyData_NoInDate")]</v>
      </c>
      <c r="M22" t="str">
        <f t="shared" si="53"/>
        <v xml:space="preserve">		public virtual string NoInDate { get; set; }
</v>
      </c>
      <c r="N22" t="str">
        <f t="shared" si="54"/>
        <v xml:space="preserve">		[StringLength(AsyPlmAssemblyDataConsts.MaxNoInDateLength)]
		public virtual string NoInDate { get; set; }
</v>
      </c>
      <c r="O22" t="str">
        <f t="shared" si="55"/>
        <v xml:space="preserve">		public virtual string NoInDate { get; set; }
</v>
      </c>
      <c r="P22" t="str">
        <f t="shared" si="56"/>
        <v xml:space="preserve">							NoInDate = o.NoInDate,</v>
      </c>
      <c r="T22" s="63" t="str">
        <f t="shared" si="57"/>
        <v xml:space="preserve">								("NoInDate"),</v>
      </c>
      <c r="V22" s="64" t="str">
        <f t="shared" si="58"/>
        <v xml:space="preserve">								_ =&gt; _.NoInDate,</v>
      </c>
      <c r="W22" s="63" t="str">
        <f t="shared" si="59"/>
        <v xml:space="preserve">				.WhereIf(!string.IsNullOrWhiteSpace(input.NoInDate), e =&gt; e.NoInDate.Contains(input.NoInDate))</v>
      </c>
    </row>
    <row r="23" spans="1:23" customFormat="1" ht="18.75" customHeight="1" x14ac:dyDescent="0.25">
      <c r="A23" t="s">
        <v>372</v>
      </c>
      <c r="B23" t="s">
        <v>4</v>
      </c>
      <c r="C23" t="s">
        <v>1</v>
      </c>
      <c r="D23" t="str">
        <f t="shared" si="12"/>
        <v>LotNoIndex</v>
      </c>
      <c r="E23" t="str">
        <f t="shared" si="48"/>
        <v>int</v>
      </c>
      <c r="F23" s="6"/>
      <c r="G23" t="str">
        <f t="shared" si="49"/>
        <v/>
      </c>
      <c r="H23" t="str">
        <f>+VLOOKUP(E23,'Data Type Mapping'!A:B,2,)</f>
        <v>int?</v>
      </c>
      <c r="I23" t="str">
        <f t="shared" si="50"/>
        <v/>
      </c>
      <c r="J23" t="str">
        <f t="shared" si="51"/>
        <v xml:space="preserve">		public virtual int? LotNoIndex { get; set; }
</v>
      </c>
      <c r="K23" s="6"/>
      <c r="L23" t="str">
        <f t="shared" si="52"/>
        <v/>
      </c>
      <c r="M23" t="str">
        <f t="shared" si="53"/>
        <v xml:space="preserve">		public virtual int? LotNoIndex { get; set; }
</v>
      </c>
      <c r="N23" t="str">
        <f t="shared" si="54"/>
        <v xml:space="preserve">		public virtual int? LotNoIndex { get; set; }
</v>
      </c>
      <c r="O23" t="str">
        <f t="shared" si="55"/>
        <v/>
      </c>
      <c r="P23" t="str">
        <f t="shared" si="56"/>
        <v xml:space="preserve">							LotNoIndex = o.LotNoIndex,</v>
      </c>
      <c r="T23" s="63" t="str">
        <f t="shared" si="57"/>
        <v xml:space="preserve">								("LotNoIndex"),</v>
      </c>
      <c r="V23" s="64" t="str">
        <f t="shared" si="58"/>
        <v xml:space="preserve">								_ =&gt; _.LotNoIndex,</v>
      </c>
      <c r="W23" s="63" t="str">
        <f t="shared" si="59"/>
        <v/>
      </c>
    </row>
    <row r="25" spans="1:23" ht="45.75" customHeight="1" x14ac:dyDescent="0.25">
      <c r="H25" s="11"/>
      <c r="I25" s="31" t="str">
        <f ca="1">TEXTJOIN2("
", TRUE,INDIRECT( $H$1):INDIRECT( $H$3))</f>
        <v xml:space="preserve">		public const int MaxGroupIdLength = 500;
		public const int MaxLineLength = 50;
		public const int MaxBodyNoLength = 500;
		public const int MaxSeqNoLength = 50;
		public const int MaxNoInLotLength = 500;
		public const int MaxColorLength = 50;
		public const int MaxTackTimeLength = 500;
		public const int MaxNoInDateLength = 50;
</v>
      </c>
      <c r="J25" s="30" t="str">
        <f ca="1">TEXTJOIN2("
", TRUE,INDIRECT( $F$1):INDIRECT( $F$3))</f>
        <v xml:space="preserve">		[StringLength(MaxGroupIdLength)]
		public virtual string GroupId { get; set; }
		[StringLength(MaxLineLength)]
		public virtual string Line { get; set; }
		public virtual int? Process { get; set; }
		public virtual int? Model { get; set; }
		[StringLength(MaxBodyNoLength)]
		public virtual string BodyNo { get; set; }
		[StringLength(MaxSeqNoLength)]
		public virtual string SeqNo { get; set; }
		public virtual int? Grade { get; set; }
		public virtual int? LotNo { get; set; }
		[StringLength(MaxNoInLotLength)]
		public virtual string NoInLot { get; set; }
		[StringLength(MaxColorLength)]
		public virtual string Color { get; set; }
		public virtual int? WorkingDate { get; set; }
		public virtual int? CreateDate { get; set; }
		[StringLength(MaxTackTimeLength)]
		public virtual string TackTime { get; set; }
		[StringLength(MaxNoInDateLength)]
		public virtual string NoInDate { get; set; }
		public virtual int? LotNoIndex { get; set; }
</v>
      </c>
      <c r="K25" s="32" t="str">
        <f ca="1">TEXTJOIN2("
", TRUE,INDIRECT( $J$1):INDIRECT( $J$3))</f>
        <v xml:space="preserve">	[Index(nameof(GroupId), Name="IX_AsyPlmAssemblyData_GroupId")]
	[Index(nameof(Line), Name="IX_AsyPlmAssemblyData_Line")]
	[Index(nameof(BodyNo), Name="IX_AsyPlmAssemblyData_BodyNo")]
	[Index(nameof(SeqNo), Name="IX_AsyPlmAssemblyData_SeqNo")]
	[Index(nameof(NoInLot), Name="IX_AsyPlmAssemblyData_NoInLot")]
	[Index(nameof(Color), Name="IX_AsyPlmAssemblyData_Color")]
	[Index(nameof(TackTime), Name="IX_AsyPlmAssemblyData_TackTime")]
	[Index(nameof(NoInDate), Name="IX_AsyPlmAssemblyData_NoInDate")]
</v>
      </c>
      <c r="L25" s="12" t="s">
        <v>57</v>
      </c>
      <c r="M25" s="33" t="str">
        <f ca="1">TEXTJOIN2("
",TRUE,INDIRECT( $L$1):INDIRECT($L$3))</f>
        <v xml:space="preserve">		public virtual string GroupId { get; set; }
		public virtual string Line { get; set; }
		public virtual int? Process { get; set; }
		public virtual int? Model { get; set; }
		public virtual string BodyNo { get; set; }
		public virtual string SeqNo { get; set; }
		public virtual int? Grade { get; set; }
		public virtual int? LotNo { get; set; }
		public virtual string NoInLot { get; set; }
		public virtual string Color { get; set; }
		public virtual int? WorkingDate { get; set; }
		public virtual int? CreateDate { get; set; }
		public virtual string TackTime { get; set; }
		public virtual string NoInDate { get; set; }
		public virtual int? LotNoIndex { get; set; }
</v>
      </c>
      <c r="N25" s="30" t="str">
        <f ca="1">TEXTJOIN2("
",TRUE,INDIRECT( $M$1):INDIRECT($M$3))</f>
        <v xml:space="preserve">		[StringLength(AsyPlmAssemblyDataConsts.MaxGroupIdLength)]
		public virtual string GroupId { get; set; }
		[StringLength(AsyPlmAssemblyDataConsts.MaxLineLength)]
		public virtual string Line { get; set; }
		public virtual int? Process { get; set; }
		public virtual int? Model { get; set; }
		[StringLength(AsyPlmAssemblyDataConsts.MaxBodyNoLength)]
		public virtual string BodyNo { get; set; }
		[StringLength(AsyPlmAssemblyDataConsts.MaxSeqNoLength)]
		public virtual string SeqNo { get; set; }
		public virtual int? Grade { get; set; }
		public virtual int? LotNo { get; set; }
		[StringLength(AsyPlmAssemblyDataConsts.MaxNoInLotLength)]
		public virtual string NoInLot { get; set; }
		[StringLength(AsyPlmAssemblyDataConsts.MaxColorLength)]
		public virtual string Color { get; set; }
		public virtual int? WorkingDate { get; set; }
		public virtual int? CreateDate { get; set; }
		[StringLength(AsyPlmAssemblyDataConsts.MaxTackTimeLength)]
		public virtual string TackTime { get; set; }
		[StringLength(AsyPlmAssemblyDataConsts.MaxNoInDateLength)]
		public virtual string NoInDate { get; set; }
		public virtual int? LotNoIndex { get; set; }
</v>
      </c>
      <c r="O25" s="30" t="str">
        <f ca="1">TEXTJOIN2("
",TRUE,INDIRECT( $N$1):INDIRECT($N$3))</f>
        <v xml:space="preserve">		public virtual string GroupId { get; set; }
		public virtual string Line { get; set; }
		public virtual string BodyNo { get; set; }
		public virtual string SeqNo { get; set; }
		public virtual string NoInLot { get; set; }
		public virtual string Color { get; set; }
		public virtual string TackTime { get; set; }
		public virtual string NoInDate { get; set; }
</v>
      </c>
      <c r="P25" s="8" t="str">
        <f ca="1">TEXTJOIN2("
",TRUE,INDIRECT( $O$1):INDIRECT($O$3))</f>
        <v xml:space="preserve">							GroupId = o.GroupId,
							Line = o.Line,
							Process = o.Process,
							Model = o.Model,
							BodyNo = o.BodyNo,
							SeqNo = o.SeqNo,
							Grade = o.Grade,
							LotNo = o.LotNo,
							NoInLot = o.NoInLot,
							Color = o.Color,
							WorkingDate = o.WorkingDate,
							CreateDate = o.CreateDate,
							TackTime = o.TackTime,
							NoInDate = o.NoInDate,
							LotNoIndex = o.LotNoIndex,</v>
      </c>
      <c r="T25" s="8" t="str">
        <f ca="1">TEXTJOIN2("
",TRUE,INDIRECT( $T$2):INDIRECT($T$3))</f>
        <v xml:space="preserve">								("GroupId"),
								("Line"),
								("Process"),
								("Model"),
								("BodyNo"),
								("SeqNo"),
								("Grade"),
								("LotNo"),
								("NoInLot"),
								("Color"),
								("WorkingDate"),
								("CreateDate"),
								("TackTime"),
								("NoInDate"),
								("LotNoIndex"),</v>
      </c>
      <c r="V25" s="8" t="str">
        <f ca="1">TEXTJOIN2("
",TRUE,INDIRECT( $V$2):INDIRECT($V$3))</f>
        <v xml:space="preserve">								_ =&gt; _.GroupId,
								_ =&gt; _.Line,
								_ =&gt; _.Process,
								_ =&gt; _.Model,
								_ =&gt; _.BodyNo,
								_ =&gt; _.SeqNo,
								_ =&gt; _.Grade,
								_ =&gt; _.LotNo,
								_ =&gt; _.NoInLot,
								_ =&gt; _.Color,
								_ =&gt; _.WorkingDate,
								_ =&gt; _.CreateDate,
								_ =&gt; _.TackTime,
								_ =&gt; _.NoInDate,
								_ =&gt; _.LotNoIndex,</v>
      </c>
      <c r="W25" s="8" t="str">
        <f ca="1">TEXTJOIN2("
",TRUE,INDIRECT( $W$2):INDIRECT($W$3))</f>
        <v xml:space="preserve">				.WhereIf(!string.IsNullOrWhiteSpace(input.GroupId), e =&gt; e.GroupId.Contains(input.GroupId))
				.WhereIf(!string.IsNullOrWhiteSpace(input.Line), e =&gt; e.Line.Contains(input.Line))
				.WhereIf(!string.IsNullOrWhiteSpace(input.BodyNo), e =&gt; e.BodyNo.Contains(input.BodyNo))
				.WhereIf(!string.IsNullOrWhiteSpace(input.SeqNo), e =&gt; e.SeqNo.Contains(input.SeqNo))
				.WhereIf(!string.IsNullOrWhiteSpace(input.NoInLot), e =&gt; e.NoInLot.Contains(input.NoInLot))
				.WhereIf(!string.IsNullOrWhiteSpace(input.Color), e =&gt; e.Color.Contains(input.Color))
				.WhereIf(!string.IsNullOrWhiteSpace(input.TackTime), e =&gt; e.TackTime.Contains(input.TackTime))
				.WhereIf(!string.IsNullOrWhiteSpace(input.NoInDate), e =&gt; e.NoInDate.Contains(input.NoInDate))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31"/>
  <sheetViews>
    <sheetView topLeftCell="A11" workbookViewId="0">
      <selection activeCell="D30" sqref="D30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208</v>
      </c>
      <c r="B1" s="39" t="s">
        <v>354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Asy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asy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Plm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plm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AsyPlmAssemblyData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AssemblyData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assemblydata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AsyPlmAssemblyDataDto, AsyPlmAssemblyDataServiceProxy } from '@shared/service-proxies/service-proxies';
import { finalize } from 'rxjs/internal/operators/finalize';
import { CreateOrEditAssemblyDataModalComponent } from './create-or-edit-assemblydata-modal.component';
import { DatePipe } from '@angular/common';
import { FileDownloadService } from '@shared/utils/file-download.service';
import ceil from 'lodash-es/ceil';
import { Paginator } from 'primeng/paginator';
@Component({
    templateUrl: './assemblydata.component.html',
    styleUrls: ['./assemblydata.component.less'],
})
export class AssemblyDataComponent extends AppComponentBase implements OnInit {
    @ViewChild('createOrEditModalAssemblyData', { static: true }) createOrEditModalAssemblyData:| CreateOrEditAssemblyDataModalComponent|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AsyPlmAssemblyDataDto = new AsyPlmAssemblyDataDto();
    saveSelectedRow: AsyPlmAssemblyDataDto = new AsyPlmAssemblyDataDto();
    datas: AsyPlmAssemblyDataDto = new AsyPlmAssemblyDataDto();
    isLoading: boolean = false;
    dataParams: GridParams | undefined;
    rowData: any[] = [];
    gridApi!: GridApi;
    rowSelection = 'multiple';
    filter: string = '';
	pipe = new DatePipe('en-US');
	frameworkComponents: FrameworkComponent;
    	groupId : string = '' ; 
	line : string = '' ; 
	process
	model
	bodyNo : string = '' ; 
	seqNo : string = '' ; 
	grade
	lotNo
	noInLot : string = '' ; 
	color : string = '' ; 
	workingDate
	createDate
	tackTime : string = '' ; 
	noInDate : string = '' ; 
	lotNoIndex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AsyPlmAssemblyDataServiceProxy,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this.l('Group Id'),headerTooltip: this.l('Group Id'),field: 'groupId',flex: 1},
			{headerName: this.l('Line'),headerTooltip: this.l('Line'),field: 'line',flex: 1},
			{headerName: this.l('Process'),headerTooltip: this.l('Process'),field: 'process',flex: 1},
			{headerName: this.l('Model'),headerTooltip: this.l('Model'),field: 'model',flex: 1},
			{headerName: this.l('Body No'),headerTooltip: this.l('Body No'),field: 'bodyNo',flex: 1},
			{headerName: this.l('Seq No'),headerTooltip: this.l('Seq No'),field: 'seqNo',flex: 1},
			{headerName: this.l('Grade'),headerTooltip: this.l('Grade'),field: 'grade',flex: 1},
			{headerName: this.l('Lot No'),headerTooltip: this.l('Lot No'),field: 'lotNo',flex: 1},
			{headerName: this.l('No In Lot'),headerTooltip: this.l('No In Lot'),field: 'noInLot',flex: 1},
			{headerName: this.l('Color'),headerTooltip: this.l('Color'),field: 'color',flex: 1},
			{headerName: this.l('Working Date'),headerTooltip: this.l('Working Date'),field: 'workingDate',flex: 1},
			{headerName: this.l('Create Date'),headerTooltip: this.l('Create Date'),field: 'createDate',flex: 1},
			{headerName: this.l('Tack Time'),headerTooltip: this.l('Tack Time'),field: 'tackTime',flex: 1},
			{headerName: this.l('No In Date'),headerTooltip: this.l('No In Date'),field: 'noInDate',flex: 1},
			{headerName: this.l('Lot No Index'),headerTooltip: this.l('Lot No Index'),field: 'lotNoIndex',flex: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this.groupId,
			this.line,
			this.process,
			this.model,
			this.bodyNo,
			this.seqNo,
			this.grade,
			this.lotNo,
			this.noInLot,
			this.color,
			this.workingDate,
			this.createDate,
			this.tackTime,
			this.noInDate,
			this.lotNoIndex,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this.groupId = '',
		this.line = '',
		this.process = '',
		this.model = '',
		this.bodyNo = '',
		this.seqNo = '',
		this.grade = '',
		this.lotNo = '',
		this.noInLot = '',
		this.color = '',
		this.workingDate = '',
		this.createDate = '',
		this.tackTime = '',
		this.noInDate = '',
		this.lotNoIndex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this.groupId,
			this.line,
			this.process,
			this.model,
			this.bodyNo,
			this.seqNo,
			this.grade,
			this.lotNo,
			this.noInLot,
			this.color,
			this.workingDate,
			this.createDate,
			this.tackTime,
			this.noInDate,
			this.lotNoIndex,
			'',
            this.paginationParams.skipCount,
            this.paginationParams.pageSize
        );
    }
    onChangeRowSelection(params: { api: { getSelectedRows: () =&gt; AsyPlmAssemblyDataDto[] } }) {
        this.saveSelectedRow = params.api.getSelectedRows()[0] ?? new AsyPlmAssemblyDataDto();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AsyPlmAssemblyDataDto):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this._service.getAssemblyDataToExcel(
			this.groupId,
			this.line,
			this.process,
			this.model,
			this.bodyNo,
			this.seqNo,
			this.grade,
			this.lotNo,
			this.noInLot,
			this.color,
			this.workingDate,
			this.createDate,
			this.tackTime,
			this.noInDate,
			this.lotNoIndex,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[(ngModel)]='groupId' name='groupId'
									class='form-control' [placeholder]="l('Group Id')"
									type='text' (keyup.enter)='searchDatas()'&gt;
								&lt;/div&gt;
								&lt;div class='input-search'&gt;
									&lt;input [(ngModel)]='line' name='line'
									class='form-control' [placeholder]="l('Line')"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[(ngModel)]='seqNo' name='seqNo'
									class='form-control' [placeholder]="l('Seq No')"
									type='text' (keyup.enter)='searchDatas()'&gt;
								&lt;/div&gt;
								&lt;div class='input-search'&gt;
									&lt;input [(ngModel)]='noInLot' name='noInLot'
									class='form-control' [placeholder]="l('No In Lot')"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[(ngModel)]='tackTime' name='tackTime'
									class='form-control' [placeholder]="l('Tack Time')"
									type='text' (keyup.enter)='searchDatas()'&gt;
								&lt;/div&gt;
								&lt;div class='input-search'&gt;
									&lt;input [(ngModel)]='noInDate' name='noInDate'
									class='form-control' [placeholder]="l('No In Date')"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(click)="createOrEditModalAssemblyData.show()"&gt;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(click)="createOrEditModalAssemblyData.show(selectedRow)"&gt;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&lt;create-or-edit-assemblydata-modal
    #createOrEditModalAssemblyData
    (modalSave)="callBackDataGrid(dataParams)"
    (modalClose)="onChangeRowSelection(dataParams)"
&gt;
&lt;/create-or-edit-assemblydata-modal&gt;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#createOrEditModalAssemblyData="bs-modal"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AssemblyData')}}&lt;/h3&gt;
                    &lt;h3 *ngIf="!rowdata.id"&gt;{{('Create New AssemblyData')}}&lt;/h3&gt;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title'&gt;Group Id&lt;/label&gt;
						&lt;input type='text' class='col-md-10 form-control input-text' name='GroupId' [(ngModel)]='rowdata.groupId'&gt;
					&lt;/div&gt;
					&lt;div class='col-md-12 form-group row'&gt;
						&lt;label class='col-md-2 form-control title'&gt;Line&lt;/label&gt;
						&lt;input type='text' class='col-md-10 form-control input-text' name='Line' [(ngModel)]='rowdata.line'&gt;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title'&gt;Seq No&lt;/label&gt;
						&lt;input type='text' class='col-md-10 form-control input-text' name='SeqNo' [(ngModel)]='rowdata.seqNo'&gt;
					&lt;/div&gt;
					&lt;div class='col-md-12 form-group row'&gt;
						&lt;label class='col-md-2 form-control title'&gt;No In Lot&lt;/label&gt;
						&lt;input type='text' class='col-md-10 form-control input-text' name='NoInLot' [(ngModel)]='rowdata.noInLot'&gt;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title'&gt;Tack Time&lt;/label&gt;
						&lt;input type='text' class='col-md-10 form-control input-text' name='TackTime' [(ngModel)]='rowdata.tackTime'&gt;
					&lt;/div&gt;
					&lt;div class='col-md-12 form-group row'&gt;
						&lt;label class='col-md-2 form-control title'&gt;No In Date&lt;/label&gt;
						&lt;input type='text' class='col-md-10 form-control input-text' name='NoInDate' [(ngModel)]='rowdata.noInDate'&gt;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CreateOrEditAsyPlmAssemblyDataDto, AsyPlmAssemblyDataServiceProxy } from '@shared/service-proxies/service-proxies';
import { BsDatepickerDirective } from 'ngx-bootstrap/datepicker';
@Component({
    selector: 'create-or-edit-assemblydata-modal',
    templateUrl: './create-or-edit-assemblydata-modal.component.html',
    styleUrls: ['./create-or-edit-assemblydata-modal.component.less']
    })
export class CreateOrEditAssemblyDataModalComponent extends AppComponentBase {
    @ViewChild('createOrEditModalAssemblyData',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CreateOrEditAsyPlmAssemblyDataDto = new CreateOrEditAsyPlmAssemblyDataDto();
    active: boolean = false;
    saving: boolean = false;
    _: boolean;
    constructor(
        injector: Injector,
        private _mstwptAssemblyDataService: AsyPlmAssemblyDataServiceProxy,
    ) 
    {
        super(injector);
    }
    show(rowdata?: CreateOrEditAsyPlmAssemblyDataDto): void {
        if (!rowdata) this.rowdata = new CreateOrEditAsyPlmAssemblyDataDto();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this._mstwptAssemblyDataService.createOrEdit(this.rowdata)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AssemblyDataRoutingModule } from './assemblydata-routing.module';
import { AssemblyDataComponent } from './assemblydata.component';
import { CreateOrEditAssemblyDataModalComponent } from './create-or-edit-assemblydata-modal.component';
@NgModule({
    declarations: [
       AssemblyDataComponent, 
        CreateOrEditAssemblyDataModalComponent
    ],
    imports: [
        AppSharedModule, AssemblyDataRoutingModule]
})
export class AssemblyDataModule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AssemblyDataComponent } from './assemblydata.component';
const routes: Routes = [{
    path: '',
    component: AssemblyDataComponent,
    pathMatch: 'full'
}];
@NgModule({
    imports: [RouterModule.forChild(routes)],
    exports: [RouterModule],
})
export class AssemblyDataRoutingModule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AppMenuItem("AssemblyData", "Pages.Asy.Plm.AssemblyData", "flaticon-book",   "/app/main/asy/plm/assemblydata"),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'asy/plm/assemblydata',
    loadChildren: () =&gt; import('./asy/plm/assemblydata/assemblydata.module').then(m =&gt; m.AssemblyDataModule),
    data: { permission: 'Pages.Asy.Plm.AssemblyData' }
},</v>
      </c>
      <c r="R10" s="47" t="str">
        <f>SUBSTITUTE(R9,"MstWptCalendar",$B$6)</f>
        <v>ApiServiceProxies.AsyPlmAssemblyDataServiceProxy,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H29</v>
      </c>
      <c r="I12" s="28" t="str">
        <f>"I"&amp;COUNTA($A:$A)</f>
        <v>I29</v>
      </c>
      <c r="J12" s="28"/>
      <c r="K12" s="28" t="str">
        <f>"K"&amp;COUNTA($A:$A)</f>
        <v>K29</v>
      </c>
      <c r="L12" s="28" t="str">
        <f>"L"&amp;COUNTA($A:$A)</f>
        <v>L29</v>
      </c>
      <c r="M12" s="28"/>
      <c r="N12" s="28"/>
      <c r="O12" s="28"/>
      <c r="P12" s="28"/>
      <c r="Q12" s="28"/>
      <c r="R12" s="28"/>
      <c r="S12" s="28" t="str">
        <f>"S"&amp;COUNTA($A:$A)</f>
        <v>S29</v>
      </c>
      <c r="T12" s="28" t="str">
        <f>"T"&amp;COUNTA($A:$A)</f>
        <v>T29</v>
      </c>
      <c r="U12" s="28" t="str">
        <f>"U"&amp;COUNTA($A:$A)</f>
        <v>U29</v>
      </c>
      <c r="V12" s="28" t="str">
        <f>"V"&amp;COUNTA($A:$A)</f>
        <v>V29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this.l('Group Id'),headerTooltip: this.l('Group Id'),field: 'groupId',flex: 1},
			{headerName: this.l('Line'),headerTooltip: this.l('Line'),field: 'line',flex: 1},
			{headerName: this.l('Process'),headerTooltip: this.l('Process'),field: 'process',flex: 1},
			{headerName: this.l('Model'),headerTooltip: this.l('Model'),field: 'model',flex: 1},
			{headerName: this.l('Body No'),headerTooltip: this.l('Body No'),field: 'bodyNo',flex: 1},
			{headerName: this.l('Seq No'),headerTooltip: this.l('Seq No'),field: 'seqNo',flex: 1},
			{headerName: this.l('Grade'),headerTooltip: this.l('Grade'),field: 'grade',flex: 1},
			{headerName: this.l('Lot No'),headerTooltip: this.l('Lot No'),field: 'lotNo',flex: 1},
			{headerName: this.l('No In Lot'),headerTooltip: this.l('No In Lot'),field: 'noInLot',flex: 1},
			{headerName: this.l('Color'),headerTooltip: this.l('Color'),field: 'color',flex: 1},
			{headerName: this.l('Working Date'),headerTooltip: this.l('Working Date'),field: 'workingDate',flex: 1},
			{headerName: this.l('Create Date'),headerTooltip: this.l('Create Date'),field: 'createDate',flex: 1},
			{headerName: this.l('Tack Time'),headerTooltip: this.l('Tack Time'),field: 'tackTime',flex: 1},
			{headerName: this.l('No In Date'),headerTooltip: this.l('No In Date'),field: 'noInDate',flex: 1},
			{headerName: this.l('Lot No Index'),headerTooltip: this.l('Lot No Index'),field: 'lotNoIndex',flex: 1},</v>
      </c>
      <c r="I13" s="35" t="str">
        <f ca="1">TEXTJOIN2("
",TRUE,INDIRECT(I11):INDIRECT(I12))</f>
        <v xml:space="preserve">								&lt;div class='input-search'&gt;
									&lt;input [(ngModel)]='groupId' name='groupId'
									class='form-control' [placeholder]="l('Group Id')"
									type='text' (keyup.enter)='searchDatas()'&gt;
								&lt;/div&gt;
								&lt;div class='input-search'&gt;
									&lt;input [(ngModel)]='line' name='line'
									class='form-control' [placeholder]="l('Line')"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[(ngModel)]='seqNo' name='seqNo'
									class='form-control' [placeholder]="l('Seq No')"
									type='text' (keyup.enter)='searchDatas()'&gt;
								&lt;/div&gt;
								&lt;div class='input-search'&gt;
									&lt;input [(ngModel)]='noInLot' name='noInLot'
									class='form-control' [placeholder]="l('No In Lot')"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[(ngModel)]='tackTime' name='tackTime'
									class='form-control' [placeholder]="l('Tack Time')"
									type='text' (keyup.enter)='searchDatas()'&gt;
								&lt;/div&gt;
								&lt;div class='input-search'&gt;
									&lt;input [(ngModel)]='noInDate' name='noInDate'
									class='form-control' [placeholder]="l('No In Date')"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title'&gt;Group Id&lt;/label&gt;
						&lt;input type='text' class='col-md-10 form-control input-text' name='GroupId' [(ngModel)]='rowdata.groupId'&gt;
					&lt;/div&gt;
					&lt;div class='col-md-12 form-group row'&gt;
						&lt;label class='col-md-2 form-control title'&gt;Line&lt;/label&gt;
						&lt;input type='text' class='col-md-10 form-control input-text' name='Line' [(ngModel)]='rowdata.line'&gt;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title'&gt;Seq No&lt;/label&gt;
						&lt;input type='text' class='col-md-10 form-control input-text' name='SeqNo' [(ngModel)]='rowdata.seqNo'&gt;
					&lt;/div&gt;
					&lt;div class='col-md-12 form-group row'&gt;
						&lt;label class='col-md-2 form-control title'&gt;No In Lot&lt;/label&gt;
						&lt;input type='text' class='col-md-10 form-control input-text' name='NoInLot' [(ngModel)]='rowdata.noInLot'&gt;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title'&gt;Tack Time&lt;/label&gt;
						&lt;input type='text' class='col-md-10 form-control input-text' name='TackTime' [(ngModel)]='rowdata.tackTime'&gt;
					&lt;/div&gt;
					&lt;div class='col-md-12 form-group row'&gt;
						&lt;label class='col-md-2 form-control title'&gt;No In Date&lt;/label&gt;
						&lt;input type='text' class='col-md-10 form-control input-text' name='NoInDate' [(ngModel)]='rowdata.noInDate'&gt;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groupId : string = '' ; 
	line : string = '' ; 
	process
	model
	bodyNo : string = '' ; 
	seqNo : string = '' ; 
	grade
	lotNo
	noInLot : string = '' ; 
	color : string = '' ; 
	workingDate
	createDate
	tackTime : string = '' ; 
	noInDate : string = '' ; 
	lotNoIndex</v>
      </c>
      <c r="T13" s="62" t="str">
        <f ca="1">TEXTJOIN2("
",TRUE,INDIRECT(T11):INDIRECT(T12))</f>
        <v xml:space="preserve">			this.groupId,
			this.line,
			this.process,
			this.model,
			this.bodyNo,
			this.seqNo,
			this.grade,
			this.lotNo,
			this.noInLot,
			this.color,
			this.workingDate,
			this.createDate,
			this.tackTime,
			this.noInDate,
			this.lotNoIndex,</v>
      </c>
      <c r="U13" s="62" t="str">
        <f ca="1">TEXTJOIN2("
",TRUE,INDIRECT(U11):INDIRECT(U12))</f>
        <v xml:space="preserve">		this.groupId = '',
		this.line = '',
		this.process = '',
		this.model = '',
		this.bodyNo = '',
		this.seqNo = '',
		this.grade = '',
		this.lotNo = '',
		this.noInLot = '',
		this.color = '',
		this.workingDate = '',
		this.createDate = '',
		this.tackTime = '',
		this.noInDate = '',
		this.lotNoIndex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assemblydata.component.ts</v>
      </c>
      <c r="I14" s="37" t="str">
        <f>B8&amp;".component.html"</f>
        <v>assemblydata.component.html</v>
      </c>
      <c r="J14" s="36" t="str">
        <f>B8&amp;".component.less"</f>
        <v>assemblydata.component.less</v>
      </c>
      <c r="K14" s="37" t="str">
        <f>"create-or-edit-"&amp;B8&amp;"-modal.component.html"</f>
        <v>create-or-edit-assemblydata-modal.component.html</v>
      </c>
      <c r="L14" s="37" t="str">
        <f>"create-or-edit-"&amp;B8&amp;"-modal.component.ts"</f>
        <v>create-or-edit-assemblydata-modal.component.ts</v>
      </c>
      <c r="M14" s="37" t="str">
        <f>"create-or-edit-"&amp;B8&amp;"-modal.component.less"</f>
        <v>create-or-edit-assemblydata-modal.component.less</v>
      </c>
      <c r="N14" s="37" t="str">
        <f>B8&amp;".module.ts"</f>
        <v>assemblydata.module.ts</v>
      </c>
      <c r="O14" s="37" t="str">
        <f>B8&amp;"-routing.module.ts"</f>
        <v>assemblydata-routing.module.ts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358</v>
      </c>
      <c r="B15" s="28" t="str">
        <f t="shared" ref="B15" si="0">SUBSTITUTE(PROPER(A15),"_","")</f>
        <v>GroupId</v>
      </c>
      <c r="C15" s="28" t="str">
        <f t="shared" ref="C15" si="1">SUBSTITUTE(PROPER(A15),"_"," ")</f>
        <v>Group Id</v>
      </c>
      <c r="D15" s="28" t="str">
        <f t="shared" ref="D15" si="2">LOWER(LEFT(B15,1))&amp;RIGHT(B15,LEN(B15) - 1)</f>
        <v>groupId</v>
      </c>
      <c r="E15" s="28" t="str">
        <f>A.Backend!H9</f>
        <v>string</v>
      </c>
      <c r="F15" s="28" t="str">
        <f>A.Backend!G9</f>
        <v>500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:H18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this.l('Group Id'),headerTooltip: this.l('Group Id'),field: 'groupId',flex: 1},</v>
      </c>
      <c r="I15" s="35" t="str">
        <f t="shared" ref="I15:I18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[(ngModel)]='groupId' name='groupId'
									class='form-control' [placeholder]="l('Group Id')"
									type='text' (keyup.enter)='searchDatas()'&gt;
								&lt;/div&gt;</v>
      </c>
      <c r="J15" s="28"/>
      <c r="K15" s="35" t="str">
        <f t="shared" ref="K15:K18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title'&gt;Group Id&lt;/label&gt;
						&lt;input type='text' class='col-md-10 form-control input-text' name='GroupId' [(ngModel)]='rowdata.groupId'&gt;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groupId : string = '' ; </v>
      </c>
      <c r="T15" s="28" t="str">
        <f>REPT(CHAR(9),3)&amp;"this."&amp;D15&amp;","</f>
        <v xml:space="preserve">			this.groupId,</v>
      </c>
      <c r="U15" s="28" t="str">
        <f>IF(E15="int",REPT(CHAR(9),2)&amp;"this."&amp;D15&amp;" = 0,",REPT(CHAR(9),2)&amp;"this."&amp;D15&amp;" = '',")</f>
        <v xml:space="preserve">		this.groupId = '',</v>
      </c>
      <c r="V15" s="28" t="str">
        <f t="shared" ref="V15:V18" si="8">IF(AND(E15="string",F15="1"),D15,"")</f>
        <v/>
      </c>
    </row>
    <row r="16" spans="1:22" ht="18" customHeight="1" x14ac:dyDescent="0.25">
      <c r="A16" t="s">
        <v>359</v>
      </c>
      <c r="B16" s="28" t="str">
        <f t="shared" ref="B16" si="9">SUBSTITUTE(PROPER(A16),"_","")</f>
        <v>Line</v>
      </c>
      <c r="C16" s="28" t="str">
        <f t="shared" ref="C16" si="10">SUBSTITUTE(PROPER(A16),"_"," ")</f>
        <v>Line</v>
      </c>
      <c r="D16" s="28" t="str">
        <f t="shared" ref="D16" si="11">LOWER(LEFT(B16,1))&amp;RIGHT(B16,LEN(B16) - 1)</f>
        <v>line</v>
      </c>
      <c r="E16" s="28" t="str">
        <f>A.Backend!H10</f>
        <v>string</v>
      </c>
      <c r="F16" s="28" t="str">
        <f>A.Backend!G10</f>
        <v>50</v>
      </c>
      <c r="G16" s="28" t="str">
        <f t="shared" ref="G16:G29" si="12">IF(E16="string"," : string = '' ; ",IF(OR(E16="DateTime",E16="TimeSpan")," : any ;",IF(E16="int"," : number = 0 ;","")))</f>
        <v xml:space="preserve"> : string = '' ; </v>
      </c>
      <c r="H16" s="35" t="str">
        <f t="shared" si="4"/>
        <v xml:space="preserve">			{headerName: this.l('Line'),headerTooltip: this.l('Line'),field: 'line',flex: 1},</v>
      </c>
      <c r="I16" s="35" t="str">
        <f t="shared" si="5"/>
        <v xml:space="preserve">								&lt;div class='input-search'&gt;
									&lt;input [(ngModel)]='line' name='line'
									class='form-control' [placeholder]="l('Line')"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title'&gt;Line&lt;/label&gt;
						&lt;input type='text' class='col-md-10 form-control input-text' name='Line' [(ngModel)]='rowdata.line'&gt;
					&lt;/div&gt;</v>
      </c>
      <c r="L16" s="56" t="str">
        <f t="shared" ref="L16" si="13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8" si="14">REPT(CHAR(9),1)&amp;D16&amp;G16</f>
        <v xml:space="preserve">	line : string = '' ; </v>
      </c>
      <c r="T16" s="28" t="str">
        <f t="shared" ref="T16:T18" si="15">REPT(CHAR(9),3)&amp;"this."&amp;D16&amp;","</f>
        <v xml:space="preserve">			this.line,</v>
      </c>
      <c r="U16" s="28" t="str">
        <f t="shared" ref="U16:U18" si="16">IF(E16="int",REPT(CHAR(9),2)&amp;"this."&amp;D16&amp;" = 0,",REPT(CHAR(9),2)&amp;"this."&amp;D16&amp;" = '',")</f>
        <v xml:space="preserve">		this.line = '',</v>
      </c>
      <c r="V16" s="28" t="str">
        <f t="shared" si="8"/>
        <v/>
      </c>
    </row>
    <row r="17" spans="1:22" ht="18" customHeight="1" x14ac:dyDescent="0.25">
      <c r="A17" t="s">
        <v>360</v>
      </c>
      <c r="B17" s="28" t="str">
        <f>SUBSTITUTE(PROPER(A17),"_","")</f>
        <v>Process</v>
      </c>
      <c r="C17" s="28" t="str">
        <f>SUBSTITUTE(PROPER(A17),"_"," ")</f>
        <v>Process</v>
      </c>
      <c r="D17" s="28" t="str">
        <f>LOWER(LEFT(B17,1))&amp;RIGHT(B17,LEN(B17) - 1)</f>
        <v>process</v>
      </c>
      <c r="E17" s="28" t="str">
        <f>A.Backend!H11</f>
        <v>int?</v>
      </c>
      <c r="F17" s="28" t="str">
        <f>A.Backend!G11</f>
        <v/>
      </c>
      <c r="G17" s="28" t="str">
        <f t="shared" si="12"/>
        <v/>
      </c>
      <c r="H17" s="35" t="str">
        <f t="shared" si="4"/>
        <v xml:space="preserve">			{headerName: this.l('Process'),headerTooltip: this.l('Process'),field: 'process',flex: 1},</v>
      </c>
      <c r="I17" s="35" t="str">
        <f t="shared" si="5"/>
        <v/>
      </c>
      <c r="J17" s="28"/>
      <c r="K17" s="35" t="str">
        <f t="shared" si="6"/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4"/>
        <v xml:space="preserve">	process</v>
      </c>
      <c r="T17" s="28" t="str">
        <f t="shared" si="15"/>
        <v xml:space="preserve">			this.process,</v>
      </c>
      <c r="U17" s="28" t="str">
        <f t="shared" si="16"/>
        <v xml:space="preserve">		this.process = '',</v>
      </c>
      <c r="V17" s="28" t="str">
        <f t="shared" si="8"/>
        <v/>
      </c>
    </row>
    <row r="18" spans="1:22" ht="15" customHeight="1" x14ac:dyDescent="0.25">
      <c r="A18" t="s">
        <v>361</v>
      </c>
      <c r="B18" s="28" t="str">
        <f t="shared" ref="B18:B20" si="17">SUBSTITUTE(PROPER(A18),"_","")</f>
        <v>Model</v>
      </c>
      <c r="C18" s="28" t="str">
        <f t="shared" ref="C18:C20" si="18">SUBSTITUTE(PROPER(A18),"_"," ")</f>
        <v>Model</v>
      </c>
      <c r="D18" s="28" t="str">
        <f t="shared" ref="D18:D20" si="19">LOWER(LEFT(B18,1))&amp;RIGHT(B18,LEN(B18) - 1)</f>
        <v>model</v>
      </c>
      <c r="E18" s="28" t="str">
        <f>A.Backend!H12</f>
        <v>int?</v>
      </c>
      <c r="F18" s="28" t="str">
        <f>A.Backend!G12</f>
        <v/>
      </c>
      <c r="G18" s="28" t="str">
        <f t="shared" si="12"/>
        <v/>
      </c>
      <c r="H18" s="35" t="str">
        <f t="shared" si="4"/>
        <v xml:space="preserve">			{headerName: this.l('Model'),headerTooltip: this.l('Model'),field: 'model',flex: 1},</v>
      </c>
      <c r="I18" s="35" t="str">
        <f t="shared" si="5"/>
        <v/>
      </c>
      <c r="J18" s="28"/>
      <c r="K18" s="35" t="str">
        <f t="shared" si="6"/>
        <v/>
      </c>
      <c r="L18" s="56" t="str">
        <f t="shared" ref="L18:L20" si="20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4"/>
        <v xml:space="preserve">	model</v>
      </c>
      <c r="T18" s="28" t="str">
        <f t="shared" si="15"/>
        <v xml:space="preserve">			this.model,</v>
      </c>
      <c r="U18" s="28" t="str">
        <f t="shared" si="16"/>
        <v xml:space="preserve">		this.model = '',</v>
      </c>
      <c r="V18" s="28" t="str">
        <f t="shared" si="8"/>
        <v/>
      </c>
    </row>
    <row r="19" spans="1:22" ht="15" customHeight="1" x14ac:dyDescent="0.25">
      <c r="A19" t="s">
        <v>362</v>
      </c>
      <c r="B19" s="28" t="str">
        <f t="shared" si="17"/>
        <v>BodyNo</v>
      </c>
      <c r="C19" s="28" t="str">
        <f t="shared" si="18"/>
        <v>Body No</v>
      </c>
      <c r="D19" s="28" t="str">
        <f t="shared" si="19"/>
        <v>bodyNo</v>
      </c>
      <c r="E19" s="28" t="str">
        <f>A.Backend!H13</f>
        <v>string</v>
      </c>
      <c r="F19" s="28" t="str">
        <f>A.Backend!G13</f>
        <v>500</v>
      </c>
      <c r="G19" s="28" t="str">
        <f t="shared" si="12"/>
        <v xml:space="preserve"> : string = '' ; </v>
      </c>
      <c r="H19" s="35" t="str">
        <f t="shared" ref="H19:H26" si="21"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this.l('Body No'),headerTooltip: this.l('Body No'),field: 'bodyNo',flex: 1},</v>
      </c>
      <c r="I19" s="35" t="str">
        <f t="shared" ref="I19:I26" si="22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[(ngModel)]='bodyNo' name='bodyNo'
									class='form-control' [placeholder]="l('Body No')"
									type='text' (keyup.enter)='searchDatas()'&gt;
								&lt;/div&gt;</v>
      </c>
      <c r="J19" s="28"/>
      <c r="K19" s="35" t="str">
        <f t="shared" ref="K19:K26" si="23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</v>
      </c>
      <c r="L19" s="56" t="str">
        <f t="shared" si="20"/>
        <v/>
      </c>
      <c r="M19" s="28"/>
      <c r="N19" s="28"/>
      <c r="O19" s="28"/>
      <c r="P19" s="28"/>
      <c r="Q19" s="28"/>
      <c r="R19" s="28"/>
      <c r="S19" s="28" t="str">
        <f>REPT(CHAR(9),1)&amp;D19&amp;G19</f>
        <v xml:space="preserve">	bodyNo : string = '' ; </v>
      </c>
      <c r="T19" s="28" t="str">
        <f>REPT(CHAR(9),3)&amp;"this."&amp;D19&amp;","</f>
        <v xml:space="preserve">			this.bodyNo,</v>
      </c>
      <c r="U19" s="28" t="str">
        <f>IF(E19="int",REPT(CHAR(9),2)&amp;"this."&amp;D19&amp;" = 0,",REPT(CHAR(9),2)&amp;"this."&amp;D19&amp;" = '',")</f>
        <v xml:space="preserve">		this.bodyNo = '',</v>
      </c>
      <c r="V19" s="28" t="str">
        <f t="shared" ref="V19:V26" si="24">IF(AND(E19="string",F19="1"),D19,"")</f>
        <v/>
      </c>
    </row>
    <row r="20" spans="1:22" ht="18" customHeight="1" x14ac:dyDescent="0.25">
      <c r="A20" t="s">
        <v>363</v>
      </c>
      <c r="B20" s="28" t="str">
        <f t="shared" si="17"/>
        <v>SeqNo</v>
      </c>
      <c r="C20" s="28" t="str">
        <f t="shared" si="18"/>
        <v>Seq No</v>
      </c>
      <c r="D20" s="28" t="str">
        <f t="shared" si="19"/>
        <v>seqNo</v>
      </c>
      <c r="E20" s="28" t="str">
        <f>A.Backend!H14</f>
        <v>string</v>
      </c>
      <c r="F20" s="28" t="str">
        <f>A.Backend!G14</f>
        <v>50</v>
      </c>
      <c r="G20" s="28" t="str">
        <f t="shared" si="12"/>
        <v xml:space="preserve"> : string = '' ; </v>
      </c>
      <c r="H20" s="35" t="str">
        <f t="shared" si="21"/>
        <v xml:space="preserve">			{headerName: this.l('Seq No'),headerTooltip: this.l('Seq No'),field: 'seqNo',flex: 1},</v>
      </c>
      <c r="I20" s="35" t="str">
        <f t="shared" si="22"/>
        <v xml:space="preserve">								&lt;div class='input-search'&gt;
									&lt;input [(ngModel)]='seqNo' name='seqNo'
									class='form-control' [placeholder]="l('Seq No')"
									type='text' (keyup.enter)='searchDatas()'&gt;
								&lt;/div&gt;</v>
      </c>
      <c r="J20" s="28"/>
      <c r="K20" s="35" t="str">
        <f t="shared" si="23"/>
        <v xml:space="preserve">					&lt;div class='col-md-12 form-group row'&gt;
						&lt;label class='col-md-2 form-control title'&gt;Seq No&lt;/label&gt;
						&lt;input type='text' class='col-md-10 form-control input-text' name='SeqNo' [(ngModel)]='rowdata.seqNo'&gt;
					&lt;/div&gt;</v>
      </c>
      <c r="L20" s="56" t="str">
        <f t="shared" si="20"/>
        <v/>
      </c>
      <c r="M20" s="28"/>
      <c r="N20" s="28"/>
      <c r="O20" s="28"/>
      <c r="P20" s="28"/>
      <c r="Q20" s="28"/>
      <c r="R20" s="28"/>
      <c r="S20" s="28" t="str">
        <f t="shared" ref="S20:S22" si="25">REPT(CHAR(9),1)&amp;D20&amp;G20</f>
        <v xml:space="preserve">	seqNo : string = '' ; </v>
      </c>
      <c r="T20" s="28" t="str">
        <f t="shared" ref="T20:T22" si="26">REPT(CHAR(9),3)&amp;"this."&amp;D20&amp;","</f>
        <v xml:space="preserve">			this.seqNo,</v>
      </c>
      <c r="U20" s="28" t="str">
        <f t="shared" ref="U20:U22" si="27">IF(E20="int",REPT(CHAR(9),2)&amp;"this."&amp;D20&amp;" = 0,",REPT(CHAR(9),2)&amp;"this."&amp;D20&amp;" = '',")</f>
        <v xml:space="preserve">		this.seqNo = '',</v>
      </c>
      <c r="V20" s="28" t="str">
        <f t="shared" si="24"/>
        <v/>
      </c>
    </row>
    <row r="21" spans="1:22" ht="18" customHeight="1" x14ac:dyDescent="0.25">
      <c r="A21" t="s">
        <v>364</v>
      </c>
      <c r="B21" s="28" t="str">
        <f>SUBSTITUTE(PROPER(A21),"_","")</f>
        <v>Grade</v>
      </c>
      <c r="C21" s="28" t="str">
        <f>SUBSTITUTE(PROPER(A21),"_"," ")</f>
        <v>Grade</v>
      </c>
      <c r="D21" s="28" t="str">
        <f>LOWER(LEFT(B21,1))&amp;RIGHT(B21,LEN(B21) - 1)</f>
        <v>grade</v>
      </c>
      <c r="E21" s="28" t="str">
        <f>A.Backend!H15</f>
        <v>int?</v>
      </c>
      <c r="F21" s="28" t="str">
        <f>A.Backend!G15</f>
        <v/>
      </c>
      <c r="G21" s="28" t="str">
        <f t="shared" si="12"/>
        <v/>
      </c>
      <c r="H21" s="35" t="str">
        <f t="shared" si="21"/>
        <v xml:space="preserve">			{headerName: this.l('Grade'),headerTooltip: this.l('Grade'),field: 'grade',flex: 1},</v>
      </c>
      <c r="I21" s="35" t="str">
        <f t="shared" si="22"/>
        <v/>
      </c>
      <c r="J21" s="28"/>
      <c r="K21" s="35" t="str">
        <f t="shared" si="23"/>
        <v/>
      </c>
      <c r="L21" s="56" t="str">
        <f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8"/>
      <c r="N21" s="28"/>
      <c r="O21" s="28"/>
      <c r="P21" s="28"/>
      <c r="Q21" s="28"/>
      <c r="R21" s="28"/>
      <c r="S21" s="28" t="str">
        <f t="shared" si="25"/>
        <v xml:space="preserve">	grade</v>
      </c>
      <c r="T21" s="28" t="str">
        <f t="shared" si="26"/>
        <v xml:space="preserve">			this.grade,</v>
      </c>
      <c r="U21" s="28" t="str">
        <f t="shared" si="27"/>
        <v xml:space="preserve">		this.grade = '',</v>
      </c>
      <c r="V21" s="28" t="str">
        <f t="shared" si="24"/>
        <v/>
      </c>
    </row>
    <row r="22" spans="1:22" ht="15" customHeight="1" x14ac:dyDescent="0.25">
      <c r="A22" t="s">
        <v>365</v>
      </c>
      <c r="B22" s="28" t="str">
        <f t="shared" ref="B22:B24" si="28">SUBSTITUTE(PROPER(A22),"_","")</f>
        <v>LotNo</v>
      </c>
      <c r="C22" s="28" t="str">
        <f t="shared" ref="C22:C24" si="29">SUBSTITUTE(PROPER(A22),"_"," ")</f>
        <v>Lot No</v>
      </c>
      <c r="D22" s="28" t="str">
        <f t="shared" ref="D22:D24" si="30">LOWER(LEFT(B22,1))&amp;RIGHT(B22,LEN(B22) - 1)</f>
        <v>lotNo</v>
      </c>
      <c r="E22" s="28" t="str">
        <f>A.Backend!H16</f>
        <v>int?</v>
      </c>
      <c r="F22" s="28" t="str">
        <f>A.Backend!G16</f>
        <v/>
      </c>
      <c r="G22" s="28" t="str">
        <f t="shared" si="12"/>
        <v/>
      </c>
      <c r="H22" s="35" t="str">
        <f t="shared" si="21"/>
        <v xml:space="preserve">			{headerName: this.l('Lot No'),headerTooltip: this.l('Lot No'),field: 'lotNo',flex: 1},</v>
      </c>
      <c r="I22" s="35" t="str">
        <f t="shared" si="22"/>
        <v/>
      </c>
      <c r="J22" s="28"/>
      <c r="K22" s="35" t="str">
        <f t="shared" si="23"/>
        <v/>
      </c>
      <c r="L22" s="56" t="str">
        <f t="shared" ref="L22:L24" si="31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25"/>
        <v xml:space="preserve">	lotNo</v>
      </c>
      <c r="T22" s="28" t="str">
        <f t="shared" si="26"/>
        <v xml:space="preserve">			this.lotNo,</v>
      </c>
      <c r="U22" s="28" t="str">
        <f t="shared" si="27"/>
        <v xml:space="preserve">		this.lotNo = '',</v>
      </c>
      <c r="V22" s="28" t="str">
        <f t="shared" si="24"/>
        <v/>
      </c>
    </row>
    <row r="23" spans="1:22" ht="15" customHeight="1" x14ac:dyDescent="0.25">
      <c r="A23" t="s">
        <v>366</v>
      </c>
      <c r="B23" s="28" t="str">
        <f t="shared" si="28"/>
        <v>NoInLot</v>
      </c>
      <c r="C23" s="28" t="str">
        <f t="shared" si="29"/>
        <v>No In Lot</v>
      </c>
      <c r="D23" s="28" t="str">
        <f t="shared" si="30"/>
        <v>noInLot</v>
      </c>
      <c r="E23" s="28" t="str">
        <f>A.Backend!H17</f>
        <v>string</v>
      </c>
      <c r="F23" s="28" t="str">
        <f>A.Backend!G17</f>
        <v>500</v>
      </c>
      <c r="G23" s="28" t="str">
        <f t="shared" si="12"/>
        <v xml:space="preserve"> : string = '' ; </v>
      </c>
      <c r="H23" s="35" t="str">
        <f t="shared" si="21"/>
        <v xml:space="preserve">			{headerName: this.l('No In Lot'),headerTooltip: this.l('No In Lot'),field: 'noInLot',flex: 1},</v>
      </c>
      <c r="I23" s="35" t="str">
        <f t="shared" si="22"/>
        <v xml:space="preserve">								&lt;div class='input-search'&gt;
									&lt;input [(ngModel)]='noInLot' name='noInLot'
									class='form-control' [placeholder]="l('No In Lot')"
									type='text' (keyup.enter)='searchDatas()'&gt;
								&lt;/div&gt;</v>
      </c>
      <c r="J23" s="28"/>
      <c r="K23" s="35" t="str">
        <f t="shared" si="23"/>
        <v xml:space="preserve">					&lt;div class='col-md-12 form-group row'&gt;
						&lt;label class='col-md-2 form-control title'&gt;No In Lot&lt;/label&gt;
						&lt;input type='text' class='col-md-10 form-control input-text' name='NoInLot' [(ngModel)]='rowdata.noInLot'&gt;
					&lt;/div&gt;</v>
      </c>
      <c r="L23" s="56" t="str">
        <f t="shared" si="31"/>
        <v/>
      </c>
      <c r="M23" s="28"/>
      <c r="N23" s="28"/>
      <c r="O23" s="28"/>
      <c r="P23" s="28"/>
      <c r="Q23" s="28"/>
      <c r="R23" s="28"/>
      <c r="S23" s="28" t="str">
        <f>REPT(CHAR(9),1)&amp;D23&amp;G23</f>
        <v xml:space="preserve">	noInLot : string = '' ; </v>
      </c>
      <c r="T23" s="28" t="str">
        <f>REPT(CHAR(9),3)&amp;"this."&amp;D23&amp;","</f>
        <v xml:space="preserve">			this.noInLot,</v>
      </c>
      <c r="U23" s="28" t="str">
        <f>IF(E23="int",REPT(CHAR(9),2)&amp;"this."&amp;D23&amp;" = 0,",REPT(CHAR(9),2)&amp;"this."&amp;D23&amp;" = '',")</f>
        <v xml:space="preserve">		this.noInLot = '',</v>
      </c>
      <c r="V23" s="28" t="str">
        <f t="shared" si="24"/>
        <v/>
      </c>
    </row>
    <row r="24" spans="1:22" ht="18" customHeight="1" x14ac:dyDescent="0.25">
      <c r="A24" t="s">
        <v>367</v>
      </c>
      <c r="B24" s="28" t="str">
        <f t="shared" si="28"/>
        <v>Color</v>
      </c>
      <c r="C24" s="28" t="str">
        <f t="shared" si="29"/>
        <v>Color</v>
      </c>
      <c r="D24" s="28" t="str">
        <f t="shared" si="30"/>
        <v>color</v>
      </c>
      <c r="E24" s="28" t="str">
        <f>A.Backend!H18</f>
        <v>string</v>
      </c>
      <c r="F24" s="28" t="str">
        <f>A.Backend!G18</f>
        <v>50</v>
      </c>
      <c r="G24" s="28" t="str">
        <f t="shared" si="12"/>
        <v xml:space="preserve"> : string = '' ; </v>
      </c>
      <c r="H24" s="35" t="str">
        <f t="shared" si="21"/>
        <v xml:space="preserve">			{headerName: this.l('Color'),headerTooltip: this.l('Color'),field: 'color',flex: 1},</v>
      </c>
      <c r="I24" s="35" t="str">
        <f t="shared" si="22"/>
        <v xml:space="preserve">								&lt;div class='input-search'&gt;
									&lt;input [(ngModel)]='color' name='color'
									class='form-control' [placeholder]="l('Color')"
									type='text' (keyup.enter)='searchDatas()'&gt;
								&lt;/div&gt;</v>
      </c>
      <c r="J24" s="28"/>
      <c r="K24" s="35" t="str">
        <f t="shared" si="23"/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</v>
      </c>
      <c r="L24" s="56" t="str">
        <f t="shared" si="31"/>
        <v/>
      </c>
      <c r="M24" s="28"/>
      <c r="N24" s="28"/>
      <c r="O24" s="28"/>
      <c r="P24" s="28"/>
      <c r="Q24" s="28"/>
      <c r="R24" s="28"/>
      <c r="S24" s="28" t="str">
        <f t="shared" ref="S24:S26" si="32">REPT(CHAR(9),1)&amp;D24&amp;G24</f>
        <v xml:space="preserve">	color : string = '' ; </v>
      </c>
      <c r="T24" s="28" t="str">
        <f t="shared" ref="T24:T26" si="33">REPT(CHAR(9),3)&amp;"this."&amp;D24&amp;","</f>
        <v xml:space="preserve">			this.color,</v>
      </c>
      <c r="U24" s="28" t="str">
        <f t="shared" ref="U24:U26" si="34">IF(E24="int",REPT(CHAR(9),2)&amp;"this."&amp;D24&amp;" = 0,",REPT(CHAR(9),2)&amp;"this."&amp;D24&amp;" = '',")</f>
        <v xml:space="preserve">		this.color = '',</v>
      </c>
      <c r="V24" s="28" t="str">
        <f t="shared" si="24"/>
        <v/>
      </c>
    </row>
    <row r="25" spans="1:22" ht="18" customHeight="1" x14ac:dyDescent="0.25">
      <c r="A25" t="s">
        <v>368</v>
      </c>
      <c r="B25" s="28" t="str">
        <f>SUBSTITUTE(PROPER(A25),"_","")</f>
        <v>WorkingDate</v>
      </c>
      <c r="C25" s="28" t="str">
        <f>SUBSTITUTE(PROPER(A25),"_"," ")</f>
        <v>Working Date</v>
      </c>
      <c r="D25" s="28" t="str">
        <f>LOWER(LEFT(B25,1))&amp;RIGHT(B25,LEN(B25) - 1)</f>
        <v>workingDate</v>
      </c>
      <c r="E25" s="28" t="str">
        <f>A.Backend!H19</f>
        <v>int?</v>
      </c>
      <c r="F25" s="28" t="str">
        <f>A.Backend!G19</f>
        <v/>
      </c>
      <c r="G25" s="28" t="str">
        <f t="shared" si="12"/>
        <v/>
      </c>
      <c r="H25" s="35" t="str">
        <f t="shared" si="21"/>
        <v xml:space="preserve">			{headerName: this.l('Working Date'),headerTooltip: this.l('Working Date'),field: 'workingDate',flex: 1},</v>
      </c>
      <c r="I25" s="35" t="str">
        <f t="shared" si="22"/>
        <v/>
      </c>
      <c r="J25" s="28"/>
      <c r="K25" s="35" t="str">
        <f t="shared" si="23"/>
        <v/>
      </c>
      <c r="L25" s="56" t="str">
        <f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28"/>
      <c r="N25" s="28"/>
      <c r="O25" s="28"/>
      <c r="P25" s="28"/>
      <c r="Q25" s="28"/>
      <c r="R25" s="28"/>
      <c r="S25" s="28" t="str">
        <f t="shared" si="32"/>
        <v xml:space="preserve">	workingDate</v>
      </c>
      <c r="T25" s="28" t="str">
        <f t="shared" si="33"/>
        <v xml:space="preserve">			this.workingDate,</v>
      </c>
      <c r="U25" s="28" t="str">
        <f t="shared" si="34"/>
        <v xml:space="preserve">		this.workingDate = '',</v>
      </c>
      <c r="V25" s="28" t="str">
        <f t="shared" si="24"/>
        <v/>
      </c>
    </row>
    <row r="26" spans="1:22" ht="15" customHeight="1" x14ac:dyDescent="0.25">
      <c r="A26" t="s">
        <v>369</v>
      </c>
      <c r="B26" s="28" t="str">
        <f t="shared" ref="B26:B28" si="35">SUBSTITUTE(PROPER(A26),"_","")</f>
        <v>CreateDate</v>
      </c>
      <c r="C26" s="28" t="str">
        <f t="shared" ref="C26:C28" si="36">SUBSTITUTE(PROPER(A26),"_"," ")</f>
        <v>Create Date</v>
      </c>
      <c r="D26" s="28" t="str">
        <f t="shared" ref="D26:D28" si="37">LOWER(LEFT(B26,1))&amp;RIGHT(B26,LEN(B26) - 1)</f>
        <v>createDate</v>
      </c>
      <c r="E26" s="28" t="str">
        <f>A.Backend!H20</f>
        <v>int?</v>
      </c>
      <c r="F26" s="28" t="str">
        <f>A.Backend!G20</f>
        <v/>
      </c>
      <c r="G26" s="28" t="str">
        <f t="shared" si="12"/>
        <v/>
      </c>
      <c r="H26" s="35" t="str">
        <f t="shared" si="21"/>
        <v xml:space="preserve">			{headerName: this.l('Create Date'),headerTooltip: this.l('Create Date'),field: 'createDate',flex: 1},</v>
      </c>
      <c r="I26" s="35" t="str">
        <f t="shared" si="22"/>
        <v/>
      </c>
      <c r="J26" s="28"/>
      <c r="K26" s="35" t="str">
        <f t="shared" si="23"/>
        <v/>
      </c>
      <c r="L26" s="56" t="str">
        <f t="shared" ref="L26:L28" si="38"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28"/>
      <c r="N26" s="28"/>
      <c r="O26" s="28"/>
      <c r="P26" s="28"/>
      <c r="Q26" s="28"/>
      <c r="R26" s="28"/>
      <c r="S26" s="28" t="str">
        <f t="shared" si="32"/>
        <v xml:space="preserve">	createDate</v>
      </c>
      <c r="T26" s="28" t="str">
        <f t="shared" si="33"/>
        <v xml:space="preserve">			this.createDate,</v>
      </c>
      <c r="U26" s="28" t="str">
        <f t="shared" si="34"/>
        <v xml:space="preserve">		this.createDate = '',</v>
      </c>
      <c r="V26" s="28" t="str">
        <f t="shared" si="24"/>
        <v/>
      </c>
    </row>
    <row r="27" spans="1:22" ht="15" customHeight="1" x14ac:dyDescent="0.25">
      <c r="A27" t="s">
        <v>370</v>
      </c>
      <c r="B27" s="28" t="str">
        <f t="shared" si="35"/>
        <v>TackTime</v>
      </c>
      <c r="C27" s="28" t="str">
        <f t="shared" si="36"/>
        <v>Tack Time</v>
      </c>
      <c r="D27" s="28" t="str">
        <f t="shared" si="37"/>
        <v>tackTime</v>
      </c>
      <c r="E27" s="28" t="str">
        <f>A.Backend!H21</f>
        <v>string</v>
      </c>
      <c r="F27" s="28" t="str">
        <f>A.Backend!G21</f>
        <v>500</v>
      </c>
      <c r="G27" s="28" t="str">
        <f t="shared" si="12"/>
        <v xml:space="preserve"> : string = '' ; </v>
      </c>
      <c r="H27" s="35" t="str">
        <f t="shared" ref="H27:H29" si="39">IF(E27="DateTime",
REPT(CHAR(9),3)&amp;"{headerName: this.l('"&amp;C27&amp;"'),headerTooltip: this.l('"&amp;C27&amp;"'),field: '"&amp;D27&amp;"',valueGetter: (params) =&gt; this.pipe.transform(params.data?."&amp;D27&amp;", 'dd/MM/yyyy'),flex: 1},",
IF(AND(E27="string",F27="1"),
REPT(CHAR(9),3)&amp;"{headerName: this.l('"&amp;C27&amp;"'),headerTooltip: this.l('"&amp;C27&amp;"'),field:  '"&amp;D27&amp;"', cellClass: ['text-center'], width: 120, cellRenderer: 'agCellButtonComponent',
buttonDefTwo: { text: params =&gt; (params.data?.'"&amp;D27&amp;"' == 'Y') ? 'Active' : 'Inactive',iconName: 'fa fa-circle',className: params =&gt; (params.data?.'"&amp;D27&amp;"' == 'Y') ? 'btnActive' : 'btnInActive',},}",
REPT(CHAR(9),3)&amp;"{headerName: this.l('"&amp;C27&amp;"'),headerTooltip: this.l('"&amp;C27&amp;"'),field: '"&amp;D27&amp;"',flex: 1},"))</f>
        <v xml:space="preserve">			{headerName: this.l('Tack Time'),headerTooltip: this.l('Tack Time'),field: 'tackTime',flex: 1},</v>
      </c>
      <c r="I27" s="35" t="str">
        <f t="shared" ref="I27:I29" si="40">IF(E27="DateTime",
REPT(CHAR(9),8)&amp;"&lt;div class='input-search'&gt;
"&amp;REPT(CHAR(9),9)&amp;"&lt;input type='text' [placeholder]=""l('"&amp;C27&amp;"')"" [(ngModel)]='"&amp;D27&amp;"' 
"&amp;REPT(CHAR(9),9)&amp;"name='"&amp;D27&amp;"'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IF(E27="string",
REPT(CHAR(9),8)&amp;"&lt;div class='input-search'&gt;
"&amp;REPT(CHAR(9),9)&amp;"&lt;input [(ngModel)]='"&amp;D27&amp;"' name='"&amp;D27&amp;"'
"&amp;REPT(CHAR(9),9)&amp;"class='form-control' [placeholder]=""l('"&amp;C27&amp;"')""
"&amp;REPT(CHAR(9),9)&amp;"type='text' (keyup.enter)='searchDatas()'&gt;
"&amp;REPT(CHAR(9),8)&amp;"&lt;/div&gt;",""))</f>
        <v xml:space="preserve">								&lt;div class='input-search'&gt;
									&lt;input [(ngModel)]='tackTime' name='tackTime'
									class='form-control' [placeholder]="l('Tack Time')"
									type='text' (keyup.enter)='searchDatas()'&gt;
								&lt;/div&gt;</v>
      </c>
      <c r="J27" s="28"/>
      <c r="K27" s="35" t="str">
        <f t="shared" ref="K27:K29" si="41">IF(OR(E27="DateTime",E27="TimeSpan"),
REPT(CHAR(9),5)&amp;"&lt;div class='col-md-12 form-group row'&gt;
"&amp;REPT(CHAR(9),6)&amp;"&lt;label class='col-md-2 form-control title'&gt;"&amp;C27&amp;"&lt;/label&gt;
"&amp;REPT(CHAR(9),6)&amp;"&lt;input type='text' class='col-md-10 form-control input-text' name='"&amp;D27&amp;"' 
"&amp;REPT(CHAR(9),6)&amp;"#datepicker='bsDatepicker' [(ngModel)]='rowdata."&amp;D27&amp;"'  bsDatepicker &gt;
"&amp;REPT(CHAR(9),5)&amp;"&lt;/div&gt;",
IF(AND(E27="string",F27="1"),
REPT(CHAR(9),5)&amp;"&lt;div class='col-md-12 form-group row'&gt;
"&amp;REPT(CHAR(9),6)&amp;"&lt;label class='col-md-2 form-control title'&gt;"&amp;C27&amp;"&lt;/label&gt;
"&amp;REPT(CHAR(9),6)&amp;"&lt;new-checkbox [(ngModel)]='_"&amp;D27&amp;"' name='"&amp;D27&amp;"' className='col-md-10' &gt; &lt;/new-checkbox&gt;
"&amp;REPT(CHAR(9),5)&amp;"&lt;/div&gt;",
IF(E27="string",
REPT(CHAR(9),5)&amp;"&lt;div class='col-md-12 form-group row'&gt;
"&amp;REPT(CHAR(9),6)&amp;"&lt;label class='col-md-2 form-control title'&gt;"&amp;C27&amp;"&lt;/label&gt;
"&amp;REPT(CHAR(9),6)&amp;"&lt;input type='text' class='col-md-10 form-control input-text' name='"&amp;B27&amp;"' [(ngModel)]='rowdata."&amp;D27&amp;"'&gt;
"&amp;REPT(CHAR(9),5)&amp;"&lt;/div&gt;",
IF(E27="int",
REPT(CHAR(9),5)&amp;"&lt;div class='col-md-12 form-group row'&gt;
"&amp;REPT(CHAR(9),6)&amp;"&lt;label class='col-md-2 form-control title'&gt;"&amp;C27&amp;"&lt;/label&gt;
"&amp;REPT(CHAR(9),6)&amp;"&lt;input type='number' class='col-md-10 form-control input-text' name='"&amp;B27&amp;"' [(ngModel)]='rowdata."&amp;D27&amp;"'&gt;
"&amp;REPT(CHAR(9),5)&amp;"&lt;/div&gt;",""))))</f>
        <v xml:space="preserve">					&lt;div class='col-md-12 form-group row'&gt;
						&lt;label class='col-md-2 form-control title'&gt;Tack Time&lt;/label&gt;
						&lt;input type='text' class='col-md-10 form-control input-text' name='TackTime' [(ngModel)]='rowdata.tackTime'&gt;
					&lt;/div&gt;</v>
      </c>
      <c r="L27" s="56" t="str">
        <f t="shared" si="38"/>
        <v/>
      </c>
      <c r="M27" s="28"/>
      <c r="N27" s="28"/>
      <c r="O27" s="28"/>
      <c r="P27" s="28"/>
      <c r="Q27" s="28"/>
      <c r="R27" s="28"/>
      <c r="S27" s="28" t="str">
        <f>REPT(CHAR(9),1)&amp;D27&amp;G27</f>
        <v xml:space="preserve">	tackTime : string = '' ; </v>
      </c>
      <c r="T27" s="28" t="str">
        <f>REPT(CHAR(9),3)&amp;"this."&amp;D27&amp;","</f>
        <v xml:space="preserve">			this.tackTime,</v>
      </c>
      <c r="U27" s="28" t="str">
        <f>IF(E27="int",REPT(CHAR(9),2)&amp;"this."&amp;D27&amp;" = 0,",REPT(CHAR(9),2)&amp;"this."&amp;D27&amp;" = '',")</f>
        <v xml:space="preserve">		this.tackTime = '',</v>
      </c>
      <c r="V27" s="28" t="str">
        <f t="shared" ref="V27:V29" si="42">IF(AND(E27="string",F27="1"),D27,"")</f>
        <v/>
      </c>
    </row>
    <row r="28" spans="1:22" ht="18" customHeight="1" x14ac:dyDescent="0.25">
      <c r="A28" t="s">
        <v>371</v>
      </c>
      <c r="B28" s="28" t="str">
        <f t="shared" si="35"/>
        <v>NoInDate</v>
      </c>
      <c r="C28" s="28" t="str">
        <f t="shared" si="36"/>
        <v>No In Date</v>
      </c>
      <c r="D28" s="28" t="str">
        <f t="shared" si="37"/>
        <v>noInDate</v>
      </c>
      <c r="E28" s="28" t="str">
        <f>A.Backend!H22</f>
        <v>string</v>
      </c>
      <c r="F28" s="28" t="str">
        <f>A.Backend!G22</f>
        <v>50</v>
      </c>
      <c r="G28" s="28" t="str">
        <f t="shared" si="12"/>
        <v xml:space="preserve"> : string = '' ; </v>
      </c>
      <c r="H28" s="35" t="str">
        <f t="shared" si="39"/>
        <v xml:space="preserve">			{headerName: this.l('No In Date'),headerTooltip: this.l('No In Date'),field: 'noInDate',flex: 1},</v>
      </c>
      <c r="I28" s="35" t="str">
        <f t="shared" si="40"/>
        <v xml:space="preserve">								&lt;div class='input-search'&gt;
									&lt;input [(ngModel)]='noInDate' name='noInDate'
									class='form-control' [placeholder]="l('No In Date')"
									type='text' (keyup.enter)='searchDatas()'&gt;
								&lt;/div&gt;</v>
      </c>
      <c r="J28" s="28"/>
      <c r="K28" s="35" t="str">
        <f t="shared" si="41"/>
        <v xml:space="preserve">					&lt;div class='col-md-12 form-group row'&gt;
						&lt;label class='col-md-2 form-control title'&gt;No In Date&lt;/label&gt;
						&lt;input type='text' class='col-md-10 form-control input-text' name='NoInDate' [(ngModel)]='rowdata.noInDate'&gt;
					&lt;/div&gt;</v>
      </c>
      <c r="L28" s="56" t="str">
        <f t="shared" si="38"/>
        <v/>
      </c>
      <c r="M28" s="28"/>
      <c r="N28" s="28"/>
      <c r="O28" s="28"/>
      <c r="P28" s="28"/>
      <c r="Q28" s="28"/>
      <c r="R28" s="28"/>
      <c r="S28" s="28" t="str">
        <f t="shared" ref="S28:S29" si="43">REPT(CHAR(9),1)&amp;D28&amp;G28</f>
        <v xml:space="preserve">	noInDate : string = '' ; </v>
      </c>
      <c r="T28" s="28" t="str">
        <f t="shared" ref="T28:T29" si="44">REPT(CHAR(9),3)&amp;"this."&amp;D28&amp;","</f>
        <v xml:space="preserve">			this.noInDate,</v>
      </c>
      <c r="U28" s="28" t="str">
        <f t="shared" ref="U28:U29" si="45">IF(E28="int",REPT(CHAR(9),2)&amp;"this."&amp;D28&amp;" = 0,",REPT(CHAR(9),2)&amp;"this."&amp;D28&amp;" = '',")</f>
        <v xml:space="preserve">		this.noInDate = '',</v>
      </c>
      <c r="V28" s="28" t="str">
        <f t="shared" si="42"/>
        <v/>
      </c>
    </row>
    <row r="29" spans="1:22" ht="18" customHeight="1" x14ac:dyDescent="0.25">
      <c r="A29" t="s">
        <v>372</v>
      </c>
      <c r="B29" s="28" t="str">
        <f>SUBSTITUTE(PROPER(A29),"_","")</f>
        <v>LotNoIndex</v>
      </c>
      <c r="C29" s="28" t="str">
        <f>SUBSTITUTE(PROPER(A29),"_"," ")</f>
        <v>Lot No Index</v>
      </c>
      <c r="D29" s="28" t="str">
        <f>LOWER(LEFT(B29,1))&amp;RIGHT(B29,LEN(B29) - 1)</f>
        <v>lotNoIndex</v>
      </c>
      <c r="E29" s="28" t="str">
        <f>A.Backend!H23</f>
        <v>int?</v>
      </c>
      <c r="F29" s="28" t="str">
        <f>A.Backend!G23</f>
        <v/>
      </c>
      <c r="G29" s="28" t="str">
        <f t="shared" si="12"/>
        <v/>
      </c>
      <c r="H29" s="35" t="str">
        <f t="shared" si="39"/>
        <v xml:space="preserve">			{headerName: this.l('Lot No Index'),headerTooltip: this.l('Lot No Index'),field: 'lotNoIndex',flex: 1},</v>
      </c>
      <c r="I29" s="35" t="str">
        <f t="shared" si="40"/>
        <v/>
      </c>
      <c r="J29" s="28"/>
      <c r="K29" s="35" t="str">
        <f t="shared" si="41"/>
        <v/>
      </c>
      <c r="L29" s="56" t="str">
        <f>IF(E29="DateTime",
REPT(CHAR(9),2)&amp;"const dateValue =  this.rowdata."&amp;D29&amp;" ? new Date(this.rowdata."&amp;D29&amp;"?.toString()) : new Date();
"&amp;REPT(CHAR(9),2)&amp;"this.datepicker?.bsValueChange.emit(dateValue);","")</f>
        <v/>
      </c>
      <c r="M29" s="28"/>
      <c r="N29" s="28"/>
      <c r="O29" s="28"/>
      <c r="P29" s="28"/>
      <c r="Q29" s="28"/>
      <c r="R29" s="28"/>
      <c r="S29" s="28" t="str">
        <f t="shared" si="43"/>
        <v xml:space="preserve">	lotNoIndex</v>
      </c>
      <c r="T29" s="28" t="str">
        <f t="shared" si="44"/>
        <v xml:space="preserve">			this.lotNoIndex,</v>
      </c>
      <c r="U29" s="28" t="str">
        <f t="shared" si="45"/>
        <v xml:space="preserve">		this.lotNoIndex = '',</v>
      </c>
      <c r="V29" s="28" t="str">
        <f t="shared" si="42"/>
        <v/>
      </c>
    </row>
    <row r="31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2023-04-14T07:50:37Z</dcterms:modified>
</cp:coreProperties>
</file>
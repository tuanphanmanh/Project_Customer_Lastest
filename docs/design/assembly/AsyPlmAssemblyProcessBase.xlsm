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TmvProdV12\docs\design\assembly\"/>
    </mc:Choice>
  </mc:AlternateContent>
  <xr:revisionPtr revIDLastSave="0" documentId="13_ncr:1_{78D00549-22AD-43CB-AC9D-6741F6F638FA}" xr6:coauthVersionLast="47" xr6:coauthVersionMax="47" xr10:uidLastSave="{00000000-0000-0000-0000-000000000000}"/>
  <bookViews>
    <workbookView xWindow="-120" yWindow="-120" windowWidth="19440" windowHeight="15000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1" l="1"/>
  <c r="D11" i="1"/>
  <c r="D12" i="1"/>
  <c r="D13" i="1"/>
  <c r="D14" i="1"/>
  <c r="D9" i="1"/>
  <c r="C20" i="5"/>
  <c r="B20" i="5"/>
  <c r="D20" i="5" s="1"/>
  <c r="C19" i="5"/>
  <c r="B19" i="5"/>
  <c r="D19" i="5" s="1"/>
  <c r="T19" i="5" s="1"/>
  <c r="G14" i="1"/>
  <c r="F20" i="5" s="1"/>
  <c r="E14" i="1"/>
  <c r="H14" i="1" s="1"/>
  <c r="E20" i="5" s="1"/>
  <c r="G20" i="5" s="1"/>
  <c r="V14" i="1"/>
  <c r="G13" i="1"/>
  <c r="F19" i="5" s="1"/>
  <c r="E13" i="1"/>
  <c r="H13" i="1" s="1"/>
  <c r="E19" i="5" s="1"/>
  <c r="P13" i="1"/>
  <c r="V19" i="5" l="1"/>
  <c r="G19" i="5"/>
  <c r="L20" i="5"/>
  <c r="I20" i="5"/>
  <c r="H20" i="5"/>
  <c r="S20" i="5"/>
  <c r="T20" i="5"/>
  <c r="U20" i="5"/>
  <c r="H19" i="5"/>
  <c r="K20" i="5"/>
  <c r="I19" i="5"/>
  <c r="V20" i="5"/>
  <c r="K19" i="5"/>
  <c r="U19" i="5"/>
  <c r="S19" i="5"/>
  <c r="L19" i="5"/>
  <c r="M13" i="1"/>
  <c r="T14" i="1"/>
  <c r="T13" i="1"/>
  <c r="P14" i="1"/>
  <c r="W14" i="1"/>
  <c r="O14" i="1"/>
  <c r="J14" i="1"/>
  <c r="N14" i="1"/>
  <c r="I14" i="1"/>
  <c r="M14" i="1"/>
  <c r="I13" i="1"/>
  <c r="N13" i="1"/>
  <c r="V13" i="1"/>
  <c r="J13" i="1"/>
  <c r="O13" i="1"/>
  <c r="W13" i="1"/>
  <c r="C18" i="5"/>
  <c r="B18" i="5"/>
  <c r="D18" i="5" s="1"/>
  <c r="T18" i="5" s="1"/>
  <c r="B7" i="5" l="1"/>
  <c r="B6" i="5"/>
  <c r="B2" i="5"/>
  <c r="B8" i="5" l="1"/>
  <c r="B3" i="5"/>
  <c r="L12" i="1"/>
  <c r="G12" i="1"/>
  <c r="F18" i="5" s="1"/>
  <c r="E12" i="1"/>
  <c r="H12" i="1" s="1"/>
  <c r="E18" i="5" s="1"/>
  <c r="G18" i="5" s="1"/>
  <c r="T12" i="1"/>
  <c r="L11" i="1"/>
  <c r="G11" i="1"/>
  <c r="F17" i="5" s="1"/>
  <c r="E11" i="1"/>
  <c r="H11" i="1" s="1"/>
  <c r="E17" i="5" s="1"/>
  <c r="G17" i="5" s="1"/>
  <c r="V11" i="1"/>
  <c r="P11" i="1" l="1"/>
  <c r="W11" i="1"/>
  <c r="M12" i="1"/>
  <c r="N12" i="1"/>
  <c r="I12" i="1"/>
  <c r="W12" i="1"/>
  <c r="O12" i="1"/>
  <c r="J12" i="1"/>
  <c r="M11" i="1"/>
  <c r="T11" i="1"/>
  <c r="V12" i="1"/>
  <c r="I11" i="1"/>
  <c r="N11" i="1"/>
  <c r="P12" i="1"/>
  <c r="J11" i="1"/>
  <c r="O11" i="1"/>
  <c r="C17" i="5"/>
  <c r="B17" i="5"/>
  <c r="D17" i="5" s="1"/>
  <c r="T17" i="5" s="1"/>
  <c r="C16" i="5"/>
  <c r="B16" i="5"/>
  <c r="D16" i="5" s="1"/>
  <c r="T16" i="5" s="1"/>
  <c r="B6" i="1" l="1"/>
  <c r="C15" i="5" l="1"/>
  <c r="B15" i="5"/>
  <c r="D15" i="5" s="1"/>
  <c r="T15" i="5" s="1"/>
  <c r="H18" i="5" l="1"/>
  <c r="S18" i="5"/>
  <c r="V18" i="5"/>
  <c r="U18" i="5"/>
  <c r="K18" i="5"/>
  <c r="I18" i="5"/>
  <c r="L18" i="5"/>
  <c r="S17" i="5"/>
  <c r="V17" i="5"/>
  <c r="U17" i="5"/>
  <c r="K17" i="5"/>
  <c r="I17" i="5"/>
  <c r="H17" i="5"/>
  <c r="L17" i="5"/>
  <c r="G9" i="1" l="1"/>
  <c r="F15" i="5" s="1"/>
  <c r="E9" i="1"/>
  <c r="H9" i="1" s="1"/>
  <c r="E15" i="5" s="1"/>
  <c r="V9" i="1" l="1"/>
  <c r="U15" i="5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F16" i="5" s="1"/>
  <c r="E10" i="1"/>
  <c r="H10" i="1" s="1"/>
  <c r="E16" i="5" s="1"/>
  <c r="G16" i="5" s="1"/>
  <c r="T10" i="1"/>
  <c r="V16" i="5" l="1"/>
  <c r="U16" i="5"/>
  <c r="K16" i="5"/>
  <c r="I16" i="5"/>
  <c r="H16" i="5"/>
  <c r="S16" i="5"/>
  <c r="L16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6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6" i="1"/>
  <c r="T7" i="1" l="1"/>
  <c r="W16" i="1"/>
  <c r="G6" i="1" l="1"/>
  <c r="L13" i="5"/>
  <c r="K13" i="5"/>
  <c r="S13" i="5"/>
  <c r="V13" i="5"/>
  <c r="I13" i="5"/>
  <c r="U13" i="5"/>
  <c r="H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4" i="1" l="1"/>
  <c r="L13" i="1"/>
  <c r="L9" i="1"/>
  <c r="L10" i="1"/>
  <c r="C7" i="1"/>
  <c r="O16" i="1"/>
  <c r="I16" i="1"/>
  <c r="N16" i="1"/>
  <c r="J16" i="1"/>
  <c r="P16" i="1"/>
  <c r="Q7" i="1" l="1"/>
  <c r="M68" i="3" s="1"/>
  <c r="L7" i="1"/>
  <c r="G68" i="3" s="1"/>
  <c r="K68" i="3"/>
  <c r="J68" i="3"/>
  <c r="K16" i="1"/>
  <c r="M16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6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<sst xmlns="http://schemas.openxmlformats.org/spreadsheetml/2006/main" count="459" uniqueCount="369">
  <si>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</si>
  <si>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</si>
  <si>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</si>
  <si>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</si>
  <si>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</si>
  <si>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</si>
  <si>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</si>
  <si>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</si>
  <si>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</si>
  <si>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</si>
  <si>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</si>
  <si>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</si>
  <si>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</si>
  <si>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</si>
  <si>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</si>
  <si>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</si>
  <si>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</si>
  <si>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</si>
  <si>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</si>
  <si>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</si>
  <si>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</si>
  <si>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</si>
  <si>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</si>
  <si>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</si>
  <si>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</si>
  <si>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</si>
  <si>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</si>
  <si>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</si>
  <si>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</si>
  <si>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</si>
  <si>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</si>
  <si>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</si>
  <si>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</si>
  <si>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</si>
  <si>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</si>
  <si>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</si>
  <si>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</si>
  <si>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</si>
  <si>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</si>
  <si>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</si>
  <si>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</si>
  <si>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</si>
  <si>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</si>
  <si>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</si>
  <si>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</si>
  <si>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</si>
  <si>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</si>
  <si>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</si>
  <si>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</si>
  <si>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</si>
  <si>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</si>
  <si>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</si>
  <si>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</si>
  <si>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</si>
  <si>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</si>
  <si>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</si>
  <si>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</si>
  <si>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</si>
  <si>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</si>
  <si>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</si>
  <si>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</si>
  <si>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</si>
  <si>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</si>
  <si>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</si>
  <si>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</si>
  <si>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</si>
  <si>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</si>
  <si>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</si>
  <si>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</si>
  <si>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</si>
  <si>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</si>
  <si>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</si>
  <si>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</si>
  <si>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</si>
  <si>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</si>
  <si>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</si>
  <si>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</si>
  <si>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</si>
  <si>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</si>
  <si>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</si>
  <si>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</si>
  <si>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</si>
  <si>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</si>
  <si>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</si>
  <si>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</si>
  <si>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</si>
  <si>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</si>
  <si>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</si>
  <si>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</si>
  <si>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</si>
  <si>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</si>
  <si>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</si>
  <si>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</si>
  <si>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</si>
  <si>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</si>
  <si>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</si>
  <si>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</si>
  <si>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</si>
  <si>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</si>
  <si>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</si>
  <si>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</si>
  <si>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</si>
  <si>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</si>
  <si>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</si>
  <si>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</si>
  <si>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</si>
  <si>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</si>
  <si>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</si>
  <si>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</si>
  <si>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</si>
  <si>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</si>
  <si>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</si>
  <si>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</si>
  <si>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</si>
  <si>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</si>
  <si>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</si>
  <si>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</si>
  <si>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</si>
  <si>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</si>
  <si>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</si>
  <si>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</si>
  <si>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</si>
  <si>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</si>
  <si>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</si>
  <si>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</si>
  <si>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</si>
  <si>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</si>
  <si>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</si>
  <si>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</si>
  <si>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</si>
  <si>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</si>
  <si>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</si>
  <si>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</si>
  <si>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</si>
  <si>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</si>
  <si>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</si>
  <si>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</si>
  <si>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</si>
  <si>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</si>
  <si>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</si>
  <si>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</si>
  <si>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</si>
  <si>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</si>
  <si>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</si>
  <si>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</si>
  <si>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</si>
  <si>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</si>
  <si>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</si>
  <si>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</si>
  <si>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</si>
  <si>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</si>
  <si>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</si>
  <si>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</si>
  <si>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</si>
  <si>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</si>
  <si>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</si>
  <si>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</si>
  <si>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</si>
  <si>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</si>
  <si>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</si>
  <si>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</si>
  <si>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</si>
  <si>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</si>
  <si>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</si>
  <si>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</si>
  <si>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</si>
  <si>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</si>
  <si>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</si>
  <si>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</si>
  <si>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</si>
  <si>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</si>
  <si>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</si>
  <si>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</si>
  <si>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</si>
  <si>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</si>
  <si>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</si>
  <si>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</si>
  <si>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</si>
  <si>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</si>
  <si>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</si>
  <si>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</si>
  <si>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</si>
  <si>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</si>
  <si>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</si>
  <si>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</si>
  <si>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</si>
  <si>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</si>
  <si>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</si>
  <si>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</si>
  <si>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</si>
  <si>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</si>
  <si>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</si>
  <si>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</si>
  <si>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</si>
  <si>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</si>
  <si>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</si>
  <si>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</si>
  <si>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</si>
  <si>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</si>
  <si>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</si>
  <si>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</si>
  <si>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</si>
  <si>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</si>
  <si>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</si>
  <si>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</si>
  <si>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</si>
  <si>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</si>
  <si>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</si>
  <si>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</si>
  <si>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</si>
  <si>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</si>
  <si>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</si>
  <si>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</si>
  <si>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</si>
  <si>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</si>
  <si>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</si>
  <si>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</si>
  <si>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</si>
  <si>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</si>
  <si>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</si>
  <si>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</si>
  <si>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</si>
  <si>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</si>
  <si>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</si>
  <si>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</si>
  <si>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</si>
  <si>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</si>
  <si>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</si>
  <si>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</si>
  <si>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</si>
  <si>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</si>
  <si>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</si>
  <si>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</si>
  <si>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</si>
  <si>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</si>
  <si>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</si>
  <si>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</si>
  <si>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</si>
  <si>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</si>
  <si>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</si>
  <si>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</si>
  <si>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</si>
  <si>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</si>
  <si>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</si>
  <si>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</si>
  <si>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</si>
  <si>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</si>
  <si>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</si>
  <si>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</si>
  <si>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</si>
  <si>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</si>
  <si>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</si>
  <si>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</si>
  <si>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</si>
  <si>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</si>
  <si>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</si>
  <si>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</si>
  <si>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</si>
  <si>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</si>
  <si>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</si>
  <si>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</si>
  <si>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</si>
  <si>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</si>
  <si>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</si>
  <si>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</si>
  <si>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</si>
  <si>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</si>
  <si>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</si>
  <si>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</si>
  <si>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</si>
  <si>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</si>
  <si>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</si>
  <si>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</si>
  <si>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</si>
  <si>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</si>
  <si>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</si>
  <si>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</si>
  <si>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</si>
  <si>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</si>
  <si>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</si>
  <si>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</si>
  <si>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</si>
  <si>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</si>
  <si>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</si>
  <si>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</si>
  <si>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</si>
  <si>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</si>
  <si>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</si>
  <si>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</si>
  <si>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</si>
  <si>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</si>
  <si>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</si>
  <si>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</si>
  <si>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</si>
  <si>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</si>
  <si>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</si>
  <si>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</si>
  <si>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</si>
  <si>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</si>
  <si>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</si>
  <si>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</si>
  <si>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</si>
  <si>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</si>
  <si>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</si>
  <si>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</si>
  <si>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</si>
  <si>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</si>
  <si>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</si>
  <si>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</si>
  <si>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</si>
  <si>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</si>
  <si>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</si>
  <si>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</si>
  <si>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</si>
  <si>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</si>
  <si>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</si>
  <si>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</si>
  <si>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</si>
  <si>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</si>
  <si>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</si>
  <si>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</si>
  <si>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</si>
  <si>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</si>
  <si>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</si>
  <si>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</si>
  <si>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</si>
  <si>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</si>
  <si>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</si>
  <si>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</si>
  <si>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</si>
  <si>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</si>
  <si>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</si>
  <si>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</si>
  <si>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</si>
  <si>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</si>
  <si>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</si>
  <si>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</si>
  <si>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</si>
  <si>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</si>
  <si>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</si>
  <si>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</si>
  <si>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</si>
  <si>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</si>
  <si>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</si>
  <si>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</si>
  <si>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</si>
  <si>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</si>
  <si>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</si>
  <si>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</si>
  <si>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</si>
  <si>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</si>
  <si>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</si>
  <si>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</si>
  <si>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</si>
  <si>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Container Invoice</t>
  </si>
  <si>
    <t>Y</t>
  </si>
  <si>
    <t>LINE</t>
  </si>
  <si>
    <t>PROCESS</t>
  </si>
  <si>
    <t>Asy.Plm</t>
  </si>
  <si>
    <t>Asy</t>
  </si>
  <si>
    <t>NAME</t>
  </si>
  <si>
    <t>SORT</t>
  </si>
  <si>
    <t>DOLLY</t>
  </si>
  <si>
    <t>IS_PICKING</t>
  </si>
  <si>
    <t>varchar(5)</t>
  </si>
  <si>
    <t>varchar(10)</t>
  </si>
  <si>
    <t>varchar(30)</t>
  </si>
  <si>
    <t>AsyPlmAssemblyProcessBase</t>
  </si>
  <si>
    <t>AssemblyProcessBase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</si>
</sst>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77"/>
  <sheetViews>
    <sheetView tabSelected="1" topLeftCell="A61" zoomScaleNormal="100" workbookViewId="0">
      <selection activeCell="F68" sqref="F68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prod.Asy.Plm
{
	[Table("AsyPlmAssemblyProcessBase")]
	[Index(nameof(Line), Name="IX_AsyPlmAssemblyProcessBase_Line")]
	[Index(nameof(Name), Name="IX_AsyPlmAssemblyProcessBase_Name")]
	[Index(nameof(Dolly), Name="IX_AsyPlmAssemblyProcessBase_Dolly")]
	[Index(nameof(IsPicking), Name="IX_AsyPlmAssemblyProcessBase_IsPicking")]	public class AsyPlmAssemblyProcessBase: FullAuditedEntity&lt;long&gt;, IEntity&lt;long&gt;	
	{
		public const int MaxLineLength = 5;
		public const int MaxNameLength = 10;
		public const int MaxProcessLength = 10;
		public const int MaxDollyLength = 30;
		[StringLength(MaxLineLength)]
		public virtual string Line { get; set; }
		[StringLength(MaxNameLength)]
		public virtual string Name { get; set; }
		[StringLength(MaxProcessLength)]
		public virtual string Process { get; set; }
		public virtual int? Sort { get; set; }
		[StringLength(MaxDollyLength)]
		public virtual string Dolly { get; set; }
		public virtual bool IsPicking { get; set; }
	}
}
</v>
      </c>
      <c r="D68" s="48" t="str">
        <f>A.Backend!O7</f>
        <v xml:space="preserve">		public const string Pages_Asy_Plm_AssemblyProcessBase = "Pages.Asy.Plm.AssemblyProcessBase";
		public const string Pages_Asy_Plm_AssemblyProcessBase_CreateEdit = "Pages.Asy.Plm.AssemblyProcessBase.CreateEdit";
		public const string Pages_Asy_Plm_AssemblyProcessBase_Delete = "Pages.Asy.Plm.AssemblyProcessBase.Delete";
</v>
      </c>
      <c r="E68" s="48" t="str">
        <f>A.Backend!N7</f>
        <v xml:space="preserve">		var perAsyPlmAssemblyProcessBase = PARENTS.CreateChildPermission(AppPermissions.Pages_Asy_Plm_AssemblyProcessBase, L( "AsyPlmAssemblyProcessBase"), multiTenancySides: MultiTenancySides.Tenant);
		perAsyPlmAssemblyProcessBase.CreateChildPermission(AppPermissions.Pages_Asy_Plm_AssemblyProcessBase_CreateEdit, L( "AsyPlmAssemblyProcessBaseCreateEdit"), multiTenancySides: MultiTenancySides.Tenant);
		perAsyPlmAssemblyProcessBase.CreateChildPermission(AppPermissions.Pages_Asy_Plm_AssemblyProcessBase_Delete, L( "AsyPlmAssemblyProcessBaseDelete"), multiTenancySides: MultiTenancySides.Tenant);</v>
      </c>
      <c r="F68" s="48" t="str">
        <f>A.Backend!K7</f>
        <v>public virtual DbSet&lt;AsyPlmAssemblyProcessBase&gt; AsyPlmAssemblyProcessBases { get; set; }</v>
      </c>
      <c r="G68" s="48" t="str">
        <f ca="1">A.Backend!L7</f>
        <v xml:space="preserve">namespace prod.Asy.Plm
{
	public class AsyPlmAssemblyProcessBaseConsts	
	{
		public const int MaxLineLength = 5;
		public const int MaxNameLength = 10;
		public const int MaxProcessLength = 10;
		public const int MaxDollyLength = 30;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prod.Asy.Plm.Dto
{
	public class AsyPlmAssemblyProcessBaseDto : EntityDto&lt;long?&gt;	
	{
		public virtual string Line { get; set; }
		public virtual string Name { get; set; }
		public virtual string Process { get; set; }
		public virtual int? Sort { get; set; }
		public virtual string Dolly { get; set; }
		public virtual bool IsPicking { get; set; }
	}
	public class CreateOrEditAsyPlmAssemblyProcessBaseDto : EntityDto&lt;long?&gt;	
	{
		[StringLength(AsyPlmAssemblyProcessBaseConsts.MaxLineLength)]
		public virtual string Line { get; set; }
		[StringLength(AsyPlmAssemblyProcessBaseConsts.MaxNameLength)]
		public virtual string Name { get; set; }
		[StringLength(AsyPlmAssemblyProcessBaseConsts.MaxProcessLength)]
		public virtual string Process { get; set; }
		public virtual int? Sort { get; set; }
		[StringLength(AsyPlmAssemblyProcessBaseConsts.MaxDollyLength)]
		public virtual string Dolly { get; set; }
		public virtual bool IsPicking { get; set; }
	}
	public class GetAsyPlmAssemblyProcessBaseInput : PagedAndSortedResultRequestDto	
	{
		public virtual string Line { get; set; }
		public virtual string Name { get; set; }
		public virtual string Process { get; set; }
		public virtual string Dolly { get; set; }
	}
}
</v>
      </c>
      <c r="I68" s="48" t="str">
        <f ca="1">A.Backend!R7</f>
        <v xml:space="preserve">using Abp.Application.Services.Dto;
using System;
using System.ComponentModel.DataAnnotations;
namespace prod.Asy.Plm.Dto
{
	public class AsyPlmAssemblyProcessBaseExportInput{
		public virtual string Line { get; set; }
		public virtual string Name { get; set; }
		public virtual string Process { get; set; }
		public virtual int? Sort { get; set; }
		public virtual string Dolly { get; set; }
		public virtual bool IsPicking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vovina.Asy.Plm.Dto;
namespace prod.Asy.Plm
{
	public interface IAsyPlmAssemblyProcessBaseAppService : IApplicationService
	{
		Task&lt;PagedResultDto&lt;AsyPlmAssemblyProcessBaseDto&gt;&gt; GetAll(GetAsyPlmAssemblyProcessBaseInput input);
		Task CreateOrEdit(CreateOrEditAsyPlmAssemblyProcessBaseDto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vovina.Asy.Plm.Dto;
namespace prod.Asy.Plm.Exporting
{
	public interface IAsyPlmAssemblyProcessBaseExcelExporter : IApplicationService
	{
		FileDto ExportToFile(List&lt;AsyPlmAssemblyProcessBaseDto&gt; asyplmassemblyprocessbase);
	}
}
</v>
      </c>
      <c r="L68" s="48" t="str">
        <f ca="1">A.Backend!T7</f>
        <v>using System.Collections.Generic;
using vovina.DataExporting.Excel.NPOI;
using vovina.Dto;
using vovina.Asy.Plm.Exporting;
using vovina.Asy.Plm.Dto;
using vovina.Storage;
using vovina.Asy.Plm.Dto;
namespace vovina.Asy.Plm.Exporting
{
    public class AsyPlmAssemblyProcessBaseExcelExporter : NpoiExcelExporterBase, IAsyPlmAssemblyProcessBaseExcelExporter
    {
        public AsyPlmAssemblyProcessBaseExcelExporter(ITempFileCacheManager tempFileCacheManager) : base(tempFileCacheManager) { }
        public FileDto ExportToFile(List&lt;AsyPlmAssemblyProcessBaseDto&gt; assemblyprocessbase)
        {
            return CreateExcelPackage(
				"AsyPlmAssemblyProcessBase.xlsx",
				excelPackage =&gt;
				 {
					var sheet = excelPackage.CreateSheet("AssemblyProcessBase");
					AddHeader(
								sheet,
								("Line"),
								("Name"),
								("Process"),
								("Sort"),
								("Dolly"),
								("IsPicking"),
							   );
					AddObjects(
						 sheet, 1, assemblyprocessbase,                                       
								_ =&gt; _.Line,
								_ =&gt; _.Name,
								_ =&gt; _.Process,
								_ =&gt; _.Sort,
								_ =&gt; _.Dolly,
								_ =&gt; _.IsPicking,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vovina.Asy.Plm.Dto;
using vovina.Asy.Plm.Exporting;
namespace vovina.Asy.Plm
{
    [AbpAuthorize(AppPermissions.Pages_Asy_Plm_AssemblyProcessBase)]
    public class AsyPlmAssemblyProcessBaseAppService : vovinaAppServiceBase, IAsyPlmAssemblyProcessBaseAppService
    {
        private readonly IDapperRepository&lt;AsyPlmAssemblyProcessBase, long&gt; _dapperRepo;
        private readonly IRepository&lt;AsyPlmAssemblyProcessBase, long&gt; _repo;
        private readonly IAsyPlmAssemblyProcessBaseExcelExporter _calendarListExcelExporter;
        public AsyPlmAssemblyProcessBaseAppService(IRepository&lt;AsyPlmAssemblyProcessBase,long&gt; repo, 
                                         IDapperRepository&lt;AsyPlmAssemblyProcessBase,long&gt; dapperRepo,
                                        IAsyPlmAssemblyProcessBaseExcelExporter calendarListExcelExporter
            )
        {
            _repo = repo;
            _dapperRepo = dapperRepo;
            _calendarListExcelExporter = calendarListExcelExporter;
        }
        [AbpAuthorize(AppPermissions.Pages_Asy_Plm_AssemblyProcessBase_CreateEdit)]
        public async Task CreateOrEdit(CreateOrEditAsyPlmAssemblyProcessBaseDto input)
        {
            if (input.Id == null) await Create(input);
            else await Update(input);
        }
        //CREATE
        private async Task Create(CreateOrEditAsyPlmAssemblyProcessBaseDto input)
        {          
            var mainObj = ObjectMapper.Map&lt;AsyPlmAssemblyProcessBase&gt;(input);
            await CurrentUnitOfWork.GetDbContext&lt;vovinaDbContext&gt;().AddAsync(mainObj);
        }
        // EDIT
        private async Task Update(CreateOrEditAsyPlmAssemblyProcessBaseDto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[AbpAuthorize(AppPermissions.Pages_Asy_Plm_AssemblyProcessBase_Delete)]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Task&lt;PagedResultDto&lt;AsyPlmAssemblyProcessBaseDto&gt;&gt; GetAll(GetAsyPlmAssemblyProcessBaseInput input)
        {
            var filtered = _repo.GetAll()
				.WhereIf(!string.IsNullOrWhiteSpace(input.Line), e =&gt; e.Line.Contains(input.Line))
				.WhereIf(!string.IsNullOrWhiteSpace(input.Name), e =&gt; e.Name.Contains(input.Name))
				.WhereIf(!string.IsNullOrWhiteSpace(input.Process), e =&gt; e.Process.Contains(input.Process))
				.WhereIf(!string.IsNullOrWhiteSpace(input.Dolly), e =&gt; e.Dolly.Contains(input.Dolly))
				;
            var pageAndFiltered = filtered.OrderBy(s =&gt; s.Id);
            var system = from o in pageAndFiltered
                         select new AsyPlmAssemblyProcessBaseDto
                        {
							Id = o.Id,
							Line = o.Line,
							Name = o.Name,
							Process = o.Process,
							Sort = o.Sort,
							Dolly = o.Dolly,
							IsPicking = o.IsPicking,
                        };
            var totalCount = await filtered.CountAsync();
			var paged = system.PageBy(input);
            return new PagedResultDto&lt;AsyPlmAssemblyProcessBaseDto&gt;(
                totalCount,
                 await paged.ToListAsync()
            );
        }
        public async Task&lt;FileDto&gt; GetAssemblyProcessBaseToExcel(AsyPlmAssemblyProcessBaseExportInput input)
        {
            var query = from o in _repo.GetAll()
                        select new AsyPlmAssemblyProcessBaseDto
                        {
							Id = o.Id,
							Line = o.Line,
							Name = o.Name,
							Process = o.Process,
							Sort = o.Sort,
							Dolly = o.Dolly,
							IsPicking = o.IsPicking,
                        };
            var exportToExcel = await query.ToListAsync();
            return _calendarListExcelExporter.ExportToFile(exportToExcel);
        }
       // public async Task GenerateAsync()
      //  {
        //    await _dapperRepo.ExecuteAsync(AsyPlmAssemblyProcessBaseConsts.SP_MST_WPT_CALENDAR_GENERATE);
       // }
    }
}</v>
      </c>
      <c r="N68" s="58" t="str">
        <f>A.Backend!U7</f>
        <v xml:space="preserve">  configuration.CreateMap&lt;AsyPlmAssemblyProcessBaseDto, AsyPlmAssemblyProcessBase&gt;();
  configuration.CreateMap&lt;AsyPlmAssemblyProcessBase, AsyPlmAssemblyProcessBaseDto&gt;();
  configuration.CreateMap&lt;CreateOrEditAsyPlmAssemblyProcessBaseDto, AsyPlmAssemblyProcessBase&gt;();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assemblyprocessbase</v>
      </c>
      <c r="C73" s="66" t="str">
        <f>"create folder " &amp;B73</f>
        <v>create folder assemblyprocessbase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assemblyprocessbase.component.ts</v>
      </c>
      <c r="D74" s="28" t="str">
        <f>B.Frontend!I14</f>
        <v>assemblyprocessbase.component.html</v>
      </c>
      <c r="E74" s="28" t="str">
        <f>B.Frontend!J14</f>
        <v>assemblyprocessbase.component.less</v>
      </c>
      <c r="F74" s="28" t="str">
        <f>B.Frontend!K14</f>
        <v>create-or-edit-assemblyprocessbase-modal.component.html</v>
      </c>
      <c r="G74" s="28" t="str">
        <f>B.Frontend!L14</f>
        <v>create-or-edit-assemblyprocessbase-modal.component.ts</v>
      </c>
      <c r="H74" s="28" t="str">
        <f>B.Frontend!M14</f>
        <v>create-or-edit-assemblyprocessbase-modal.component.less</v>
      </c>
      <c r="I74" s="28" t="str">
        <f>B.Frontend!N14</f>
        <v>assemblyprocessbase.module.ts</v>
      </c>
      <c r="J74" s="28" t="str">
        <f>B.Frontend!O14</f>
        <v>assemblyprocessbase-routing.module.ts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AsyPlmAssemblyProcessBaseDto, AsyPlmAssemblyProcessBaseServiceProxy } from '@shared/service-proxies/service-proxies';
import { finalize } from 'rxjs/internal/operators/finalize';
import { CreateOrEditAssemblyProcessBaseModalComponent } from './create-or-edit-assemblyprocessbase-modal.component';
import { DatePipe } from '@angular/common';
import { FileDownloadService } from '@shared/utils/file-download.service';
import ceil from 'lodash-es/ceil';
import { Paginator } from 'primeng/paginator';
@Component({
    templateUrl: './assemblyprocessbase.component.html',
    styleUrls: ['./assemblyprocessbase.component.less'],
})
export class AssemblyProcessBaseComponent extends AppComponentBase implements OnInit {
    @ViewChild('createOrEditModalAssemblyProcessBase', { static: true }) createOrEditModalAssemblyProcessBase:| CreateOrEditAssemblyProcessBaseModalComponent|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AsyPlmAssemblyProcessBaseDto = new AsyPlmAssemblyProcessBaseDto();
    saveSelectedRow: AsyPlmAssemblyProcessBaseDto = new AsyPlmAssemblyProcessBaseDto();
    datas: AsyPlmAssemblyProcessBaseDto = new AsyPlmAssemblyProcessBaseDto();
    isLoading: boolean = false;
    dataParams: GridParams | undefined;
    rowData: any[] = [];
    gridApi!: GridApi;
    rowSelection = 'multiple';
    filter: string = '';
	pipe = new DatePipe('en-US');
	frameworkComponents: FrameworkComponent;
    	line : string = '' ; 
	name : string = '' ; 
	process : string = '' ; 
	sort
	dolly : string = '' ; 
	isPicking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AsyPlmAssemblyProcessBaseServiceProxy,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this.l('Line'),headerTooltip: this.l('Line'),field: 'line',flex: 1},
			{headerName: this.l('Name'),headerTooltip: this.l('Name'),field: 'name',flex: 1},
			{headerName: this.l('Process'),headerTooltip: this.l('Process'),field: 'process',flex: 1},
			{headerName: this.l('Sort'),headerTooltip: this.l('Sort'),field: 'sort',flex: 1},
			{headerName: this.l('Dolly'),headerTooltip: this.l('Dolly'),field: 'dolly',flex: 1},
			{headerName: this.l('Is Picking'),headerTooltip: this.l('Is Picking'),field: 'isPicking',flex: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this.line,
			this.name,
			this.process,
			this.sort,
			this.dolly,
			this.isPicking,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this.line = '',
		this.name = '',
		this.process = '',
		this.sort = '',
		this.dolly = '',
		this.isPicking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this.line,
			this.name,
			this.process,
			this.sort,
			this.dolly,
			this.isPicking,
			'',
            this.paginationParams.skipCount,
            this.paginationParams.pageSize
        );
    }
    onChangeRowSelection(params: { api: { getSelectedRows: () =&gt; AsyPlmAssemblyProcessBaseDto[] } }) {
        this.saveSelectedRow = params.api.getSelectedRows()[0] ?? new AsyPlmAssemblyProcessBaseDto();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AsyPlmAssemblyProcessBaseDto):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this._service.getAssemblyProcessBaseToExcel(
			this.line,
			this.name,
			this.process,
			this.sort,
			this.dolly,
			this.isPicking,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Container Invoice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[(ngModel)]='line' name='line'
									class='form-control' [placeholder]="l('Line')"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[(ngModel)]='process' name='process'
									class='form-control' [placeholder]="l('Process')"
									type='text' (keyup.enter)='searchDatas()'&gt;
								&lt;/div&gt;
								&lt;div class='input-search'&gt;
									&lt;input [(ngModel)]='dolly' name='dolly'
									class='form-control' [placeholder]="l('Dolly')"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(click)="createOrEditModalAssemblyProcessBase.show()"&gt;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(click)="createOrEditModalAssemblyProcessBase.show(selectedRow)"&gt;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&lt;create-or-edit-assemblyprocessbase-modal
    #createOrEditModalAssemblyProcessBase
    (modalSave)="callBackDataGrid(dataParams)"
    (modalClose)="onChangeRowSelection(dataParams)"
&gt;
&lt;/create-or-edit-assemblyprocessbase-modal&gt;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#createOrEditModalAssemblyProcessBase="bs-modal"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AssemblyProcessBase')}}&lt;/h3&gt;
                    &lt;h3 *ngIf="!rowdata.id"&gt;{{('Create New AssemblyProcessBase')}}&lt;/h3&gt;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title'&gt;Line&lt;/label&gt;
						&lt;input type='text' class='col-md-10 form-control input-text' name='Line' [(ngModel)]='rowdata.line'&gt;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title'&gt;Process&lt;/label&gt;
						&lt;input type='text' class='col-md-10 form-control input-text' name='Process' [(ngModel)]='rowdata.process'&gt;
					&lt;/div&gt;
					&lt;div class='col-md-12 form-group row'&gt;
						&lt;label class='col-md-2 form-control title'&gt;Dolly&lt;/label&gt;
						&lt;input type='text' class='col-md-10 form-control input-text' name='Dolly' [(ngModel)]='rowdata.dolly'&gt;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CreateOrEditAsyPlmAssemblyProcessBaseDto, AsyPlmAssemblyProcessBaseServiceProxy } from '@shared/service-proxies/service-proxies';
import { BsDatepickerDirective } from 'ngx-bootstrap/datepicker';
@Component({
    selector: 'create-or-edit-assemblyprocessbase-modal',
    templateUrl: './create-or-edit-assemblyprocessbase-modal.component.html',
    styleUrls: ['./create-or-edit-assemblyprocessbase-modal.component.less']
    })
export class CreateOrEditAssemblyProcessBaseModalComponent extends AppComponentBase {
    @ViewChild('createOrEditModalAssemblyProcessBase',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CreateOrEditAsyPlmAssemblyProcessBaseDto = new CreateOrEditAsyPlmAssemblyProcessBaseDto();
    active: boolean = false;
    saving: boolean = false;
    _: boolean;
    constructor(
        injector: Injector,
        private _mstwptAssemblyProcessBaseService: AsyPlmAssemblyProcessBaseServiceProxy,
    ) 
    {
        super(injector);
    }
    show(rowdata?: CreateOrEditAsyPlmAssemblyProcessBaseDto): void {
        if (!rowdata) this.rowdata = new CreateOrEditAsyPlmAssemblyProcessBaseDto();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this._mstwptAssemblyProcessBaseService.createOrEdit(this.rowdata)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AssemblyProcessBaseRoutingModule } from './assemblyprocessbase-routing.module';
import { AssemblyProcessBaseComponent } from './assemblyprocessbase.component';
import { CreateOrEditAssemblyProcessBaseModalComponent } from './create-or-edit-assemblyprocessbase-modal.component';
@NgModule({
    declarations: [
       AssemblyProcessBaseComponent, 
        CreateOrEditAssemblyProcessBaseModalComponent
    ],
    imports: [
        AppSharedModule, AssemblyProcessBaseRoutingModule]
})
export class AssemblyProcessBaseModule {}</v>
      </c>
      <c r="J75" s="46" t="str">
        <f>B.Frontend!O10</f>
        <v>import {NgModule} from '@angular/core';
import {RouterModule, Routes} from '@angular/router';
import { AssemblyProcessBaseComponent } from './assemblyprocessbase.component';
const routes: Routes = [{
    path: '',
    component: AssemblyProcessBaseComponent,
    pathMatch: 'full'
}];
@NgModule({
    imports: [RouterModule.forChild(routes)],
    exports: [RouterModule],
})
export class AssemblyProcessBaseRoutingModule {}</v>
      </c>
      <c r="K75" s="46" t="str">
        <f>B.Frontend!P10</f>
        <v xml:space="preserve"> new AppMenuItem("AssemblyProcessBase", "Pages.Asy.Plm.AssemblyProcessBase", "flaticon-book",   "/app/main/asy/plm/assemblyprocessbase"),</v>
      </c>
      <c r="L75" s="47" t="str">
        <f>B.Frontend!Q10</f>
        <v>{
    path: 'asy/plm/assemblyprocessbase',
    loadChildren: () =&gt; import('./asy/plm/assemblyprocessbase/assemblyprocessbase.module').then(m =&gt; m.AssemblyProcessBaseModule),
    data: { permission: 'Pages.Asy.Plm.AssemblyProcessBase' }
},</v>
      </c>
      <c r="M75" s="45" t="str">
        <f>B.Frontend!R10</f>
        <v>ApiServiceProxies.AsyPlmAssemblyProcessBaseServiceProxy,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16"/>
  <sheetViews>
    <sheetView topLeftCell="A4" zoomScale="77" zoomScaleNormal="77" workbookViewId="0">
      <pane xSplit="1" topLeftCell="B1" activePane="topRight" state="frozen"/>
      <selection pane="topRight" activeCell="D19" sqref="D19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vovina.Asy.Plm.Dto;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358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367</v>
      </c>
      <c r="C3" s="9" t="s">
        <v>41</v>
      </c>
      <c r="D3" s="9" t="s">
        <v>42</v>
      </c>
      <c r="E3" s="9" t="s">
        <v>37</v>
      </c>
      <c r="F3" s="10" t="str">
        <f>"J"&amp;COUNTA($A:$A)</f>
        <v>J14</v>
      </c>
      <c r="G3" s="4" t="s">
        <v>54</v>
      </c>
      <c r="H3" s="9" t="str">
        <f>"I"&amp;COUNTA($A:$A)</f>
        <v>I14</v>
      </c>
      <c r="I3" s="9" t="str">
        <f>REPT(CHAR(9),2)&amp;"[Required]"&amp;"
"</f>
        <v xml:space="preserve">		[Required]
</v>
      </c>
      <c r="J3" s="10" t="str">
        <f>"L"&amp;COUNTA($A:$A)</f>
        <v>L14</v>
      </c>
      <c r="K3" s="5" t="s">
        <v>53</v>
      </c>
      <c r="L3" s="10" t="str">
        <f>"M"&amp;COUNTA($A:$A)</f>
        <v>M14</v>
      </c>
      <c r="M3" s="10" t="str">
        <f>"N"&amp;COUNTA($A:$A)</f>
        <v>N14</v>
      </c>
      <c r="N3" s="10" t="str">
        <f>"O"&amp;COUNTA($A:$A)</f>
        <v>O14</v>
      </c>
      <c r="O3" s="10" t="str">
        <f>"P"&amp;COUNTA($A:$A)</f>
        <v>P14</v>
      </c>
      <c r="Q3" s="10" t="str">
        <f>RIGHT(B2,(LEN(B2)-FIND(".",B2,1)))</f>
        <v>Plm</v>
      </c>
      <c r="R3" s="29" t="str">
        <f>REPT(CHAR(9),1)&amp;"public class "&amp;B3&amp;"ExportInput"&amp;C3</f>
        <v xml:space="preserve">	public class AsyPlmAssemblyProcessBaseExportInput{
</v>
      </c>
      <c r="S3" s="10" t="str">
        <f>"namespace "&amp;$B$6&amp;".Exporting
"&amp;$C$3</f>
        <v xml:space="preserve">namespace prod.Asy.Plm.Exporting
{
</v>
      </c>
      <c r="T3" s="10" t="str">
        <f>"T"&amp;COUNTA($A:$A)</f>
        <v>T14</v>
      </c>
      <c r="V3" s="10" t="str">
        <f>"V"&amp;COUNTA($A:$A)</f>
        <v>V14</v>
      </c>
      <c r="W3" s="9" t="str">
        <f>"W"&amp;COUNTA($A:$A)</f>
        <v>W14</v>
      </c>
    </row>
    <row r="4" spans="1:23" s="10" customFormat="1" ht="33" customHeight="1" x14ac:dyDescent="0.25">
      <c r="A4" s="1" t="s">
        <v>233</v>
      </c>
      <c r="B4" s="65" t="s">
        <v>359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368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prod.Asy.Plm</v>
      </c>
      <c r="C6" s="10" t="str">
        <f>"namespace "&amp;$B$6&amp;"
"&amp;$C$3</f>
        <v xml:space="preserve">namespace prod.Asy.Plm
{
</v>
      </c>
      <c r="D6" s="10" t="str">
        <f>REPT(CHAR(9),1)&amp;"public class "&amp;B3&amp;G3&amp;REPT(CHAR(9),1)&amp;"
"&amp;REPT(CHAR(9),1)&amp;C3</f>
        <v xml:space="preserve">	public class AsyPlmAssemblyProcessBase: FullAuditedEntity&lt;long&gt;, IEntity&lt;long&gt;	
	{
</v>
      </c>
      <c r="E6" s="10" t="str">
        <f>REPT(CHAR(9),1)&amp;"public class "&amp;B3&amp;"Consts"&amp;REPT(CHAR(9),1)&amp;"
"&amp;REPT(CHAR(9),1)&amp;C3</f>
        <v xml:space="preserve">	public class AsyPlmAssemblyProcessBaseConsts	
	{
</v>
      </c>
      <c r="F6" s="10" t="str">
        <f>REPT(CHAR(9),1)&amp;"public class "&amp;B3&amp;"Dto"&amp;K3&amp;REPT(CHAR(9),1)&amp;"
"&amp;REPT(CHAR(9),1)&amp;C3</f>
        <v xml:space="preserve">	public class AsyPlmAssemblyProcessBaseDto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CreateOrEditAsyPlmAssemblyProcessBaseDto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GetAsyPlmAssemblyProcessBaseInput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4.95" customHeight="1" x14ac:dyDescent="0.25">
      <c r="A7" s="1" t="s">
        <v>13</v>
      </c>
      <c r="B7" s="9" t="str">
        <f>B3</f>
        <v>AsyPlmAssemblyProcessBase</v>
      </c>
      <c r="C7" s="10" t="str">
        <f>REPT(CHAR(9),1)&amp;"[Table("""&amp;B7&amp;""")]"&amp;"
"</f>
        <v xml:space="preserve">	[Table("AsyPlmAssemblyProcessBase")]
</v>
      </c>
      <c r="D7" s="10"/>
      <c r="E7" s="10"/>
      <c r="F7" s="10"/>
      <c r="G7" s="10"/>
      <c r="H7" s="10"/>
      <c r="I7" s="10"/>
      <c r="J7" t="str">
        <f ca="1">SUBSTITUTE(SUBSTITUTE((B1&amp;C6&amp;C7&amp;K16&amp;D6&amp;I16&amp;E3&amp;J16&amp;""&amp;REPT(CHAR(9),1)&amp;D3&amp;D3),"WorkingPattern",$Q$3),"Master",$B$4)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prod.Asy.Plm
{
	[Table("AsyPlmAssemblyProcessBase")]
	[Index(nameof(Line), Name="IX_AsyPlmAssemblyProcessBase_Line")]
	[Index(nameof(Name), Name="IX_AsyPlmAssemblyProcessBase_Name")]
	[Index(nameof(Dolly), Name="IX_AsyPlmAssemblyProcessBase_Dolly")]
	[Index(nameof(IsPicking), Name="IX_AsyPlmAssemblyProcessBase_IsPicking")]	public class AsyPlmAssemblyProcessBase: FullAuditedEntity&lt;long&gt;, IEntity&lt;long&gt;	
	{
		public const int MaxLineLength = 5;
		public const int MaxNameLength = 10;
		public const int MaxProcessLength = 10;
		public const int MaxDollyLength = 30;
		[StringLength(MaxLineLength)]
		public virtual string Line { get; set; }
		[StringLength(MaxNameLength)]
		public virtual string Name { get; set; }
		[StringLength(MaxProcessLength)]
		public virtual string Process { get; set; }
		public virtual int? Sort { get; set; }
		[StringLength(MaxDollyLength)]
		public virtual string Dolly { get; set; }
		public virtual bool IsPicking { get; set; }
	}
}
</v>
      </c>
      <c r="K7" t="str">
        <f>SUBSTITUTE(SUBSTITUTE(("public virtual DbSet&lt;"&amp;B3&amp;"&gt; "&amp;B3&amp;"s { get; set; }"),"WorkingPattern",$Q$3),"Master",$B$4)</f>
        <v>public virtual DbSet&lt;AsyPlmAssemblyProcessBase&gt; AsyPlmAssemblyProcessBases { get; set; }</v>
      </c>
      <c r="L7" t="str">
        <f ca="1">SUBSTITUTE(SUBSTITUTE((C6&amp;E6&amp;I16&amp;"
"&amp;REPT(CHAR(9),2)&amp;"// Define Store Name: Format SP_ + &lt;Store Name&gt; = &lt;Store Name&gt;
"&amp;E3&amp;REPT(CHAR(9),1)&amp;D3&amp;D3),"WorkingPattern",$Q$3),"Master",$B$4)</f>
        <v xml:space="preserve">namespace prod.Asy.Plm
{
	public class AsyPlmAssemblyProcessBaseConsts	
	{
		public const int MaxLineLength = 5;
		public const int MaxNameLength = 10;
		public const int MaxProcessLength = 10;
		public const int MaxDollyLength = 30;
		// Define Store Name: Format SP_ + &lt;Store Name&gt; = &lt;Store Name&gt;
	}
}
</v>
      </c>
      <c r="M7" t="str">
        <f ca="1">SUBSTITUTE(SUBSTITUTE((C1&amp;"namespace "&amp;B6&amp;".Dto"&amp;E3&amp;C3&amp;F6&amp;M16&amp;E3&amp;REPT(CHAR(9),1)&amp;D3&amp;G6&amp;N16&amp;REPT(CHAR(9),1)&amp;D3&amp;H6&amp;O16&amp;"
"&amp;REPT(CHAR(9),1)&amp;D3&amp;D3),"WorkingPattern",$Q$3),"Master",$B$4)</f>
        <v xml:space="preserve">using Abp.Application.Services.Dto;
using System;
using System.ComponentModel.DataAnnotations;
namespace prod.Asy.Plm.Dto
{
	public class AsyPlmAssemblyProcessBaseDto : EntityDto&lt;long?&gt;	
	{
		public virtual string Line { get; set; }
		public virtual string Name { get; set; }
		public virtual string Process { get; set; }
		public virtual int? Sort { get; set; }
		public virtual string Dolly { get; set; }
		public virtual bool IsPicking { get; set; }
	}
	public class CreateOrEditAsyPlmAssemblyProcessBaseDto : EntityDto&lt;long?&gt;	
	{
		[StringLength(AsyPlmAssemblyProcessBaseConsts.MaxLineLength)]
		public virtual string Line { get; set; }
		[StringLength(AsyPlmAssemblyProcessBaseConsts.MaxNameLength)]
		public virtual string Name { get; set; }
		[StringLength(AsyPlmAssemblyProcessBaseConsts.MaxProcessLength)]
		public virtual string Process { get; set; }
		public virtual int? Sort { get; set; }
		[StringLength(AsyPlmAssemblyProcessBaseConsts.MaxDollyLength)]
		public virtual string Dolly { get; set; }
		public virtual bool IsPicking { get; set; }
	}
	public class GetAsyPlmAssemblyProcessBaseInput : PagedAndSortedResultRequestDto	
	{
		public virtual string Line { get; set; }
		public virtual string Name { get; set; }
		public virtual string Process { get; set; }
		public virtual string Dolly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perAsyPlmAssemblyProcessBase = PARENTS.CreateChildPermission(AppPermissions.Pages_Asy_Plm_AssemblyProcessBase, L( "AsyPlmAssemblyProcessBase"), multiTenancySides: MultiTenancySides.Tenant);
		perAsyPlmAssemblyProcessBase.CreateChildPermission(AppPermissions.Pages_Asy_Plm_AssemblyProcessBase_CreateEdit, L( "AsyPlmAssemblyProcessBaseCreateEdit"), multiTenancySides: MultiTenancySides.Tenant);
		perAsyPlmAssemblyProcessBase.CreateChildPermission(AppPermissions.Pages_Asy_Plm_AssemblyProcessBase_Delete, L( "AsyPlmAssemblyProcessBaseDelete"),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Pages_Asy_Plm_AssemblyProcessBase = "Pages.Asy.Plm.AssemblyProcessBase";
		public const string Pages_Asy_Plm_AssemblyProcessBase_CreateEdit = "Pages.Asy.Plm.AssemblyProcessBase.CreateEdit";
		public const string Pages_Asy_Plm_AssemblyProcessBase_Delete = "Pages.Asy.Plm.AssemblyProcessBase.Delete";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vovina.Asy.Plm.Dto;
namespace prod.Asy.Plm
{
	public interface IAsyPlmAssemblyProcessBaseAppService : IApplicationService
	{
		Task&lt;PagedResultDto&lt;AsyPlmAssemblyProcessBaseDto&gt;&gt; GetAll(GetAsyPlmAssemblyProcessBaseInput input);
		Task CreateOrEdit(CreateOrEditAsyPlmAssemblyProcessBaseDto input);
		Task Delete(EntityDto input);
	}
}
</v>
      </c>
      <c r="Q7" t="str">
        <f ca="1">SUBSTITUTE(SUBSTITUTE(SUBSTITUTE(SUBSTITUTE(SUBSTITUTE(SUBSTITUTE(E1,"MstWptCalendar",$B$3),"&lt;PROPERTIES&gt;",P16),"Calendar",$B$5),"WorkingPattern",$Q$3),"Master",$B$4),"&lt;PARAMS_SEARCH&gt;",$W$16)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vovina.Asy.Plm.Dto;
using vovina.Asy.Plm.Exporting;
namespace vovina.Asy.Plm
{
    [AbpAuthorize(AppPermissions.Pages_Asy_Plm_AssemblyProcessBase)]
    public class AsyPlmAssemblyProcessBaseAppService : vovinaAppServiceBase, IAsyPlmAssemblyProcessBaseAppService
    {
        private readonly IDapperRepository&lt;AsyPlmAssemblyProcessBase, long&gt; _dapperRepo;
        private readonly IRepository&lt;AsyPlmAssemblyProcessBase, long&gt; _repo;
        private readonly IAsyPlmAssemblyProcessBaseExcelExporter _calendarListExcelExporter;
        public AsyPlmAssemblyProcessBaseAppService(IRepository&lt;AsyPlmAssemblyProcessBase,long&gt; repo, 
                                         IDapperRepository&lt;AsyPlmAssemblyProcessBase,long&gt; dapperRepo,
                                        IAsyPlmAssemblyProcessBaseExcelExporter calendarListExcelExporter
            )
        {
            _repo = repo;
            _dapperRepo = dapperRepo;
            _calendarListExcelExporter = calendarListExcelExporter;
        }
        [AbpAuthorize(AppPermissions.Pages_Asy_Plm_AssemblyProcessBase_CreateEdit)]
        public async Task CreateOrEdit(CreateOrEditAsyPlmAssemblyProcessBaseDto input)
        {
            if (input.Id == null) await Create(input);
            else await Update(input);
        }
        //CREATE
        private async Task Create(CreateOrEditAsyPlmAssemblyProcessBaseDto input)
        {          
            var mainObj = ObjectMapper.Map&lt;AsyPlmAssemblyProcessBase&gt;(input);
            await CurrentUnitOfWork.GetDbContext&lt;vovinaDbContext&gt;().AddAsync(mainObj);
        }
        // EDIT
        private async Task Update(CreateOrEditAsyPlmAssemblyProcessBaseDto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[AbpAuthorize(AppPermissions.Pages_Asy_Plm_AssemblyProcessBase_Delete)]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Task&lt;PagedResultDto&lt;AsyPlmAssemblyProcessBaseDto&gt;&gt; GetAll(GetAsyPlmAssemblyProcessBaseInput input)
        {
            var filtered = _repo.GetAll()
				.WhereIf(!string.IsNullOrWhiteSpace(input.Line), e =&gt; e.Line.Contains(input.Line))
				.WhereIf(!string.IsNullOrWhiteSpace(input.Name), e =&gt; e.Name.Contains(input.Name))
				.WhereIf(!string.IsNullOrWhiteSpace(input.Process), e =&gt; e.Process.Contains(input.Process))
				.WhereIf(!string.IsNullOrWhiteSpace(input.Dolly), e =&gt; e.Dolly.Contains(input.Dolly))
				;
            var pageAndFiltered = filtered.OrderBy(s =&gt; s.Id);
            var system = from o in pageAndFiltered
                         select new AsyPlmAssemblyProcessBaseDto
                        {
							Id = o.Id,
							Line = o.Line,
							Name = o.Name,
							Process = o.Process,
							Sort = o.Sort,
							Dolly = o.Dolly,
							IsPicking = o.IsPicking,
                        };
            var totalCount = await filtered.CountAsync();
			var paged = system.PageBy(input);
            return new PagedResultDto&lt;AsyPlmAssemblyProcessBaseDto&gt;(
                totalCount,
                 await paged.ToListAsync()
            );
        }
        public async Task&lt;FileDto&gt; GetAssemblyProcessBaseToExcel(AsyPlmAssemblyProcessBaseExportInput input)
        {
            var query = from o in _repo.GetAll()
                        select new AsyPlmAssemblyProcessBaseDto
                        {
							Id = o.Id,
							Line = o.Line,
							Name = o.Name,
							Process = o.Process,
							Sort = o.Sort,
							Dolly = o.Dolly,
							IsPicking = o.IsPicking,
                        };
            var exportToExcel = await query.ToListAsync();
            return _calendarListExcelExporter.ExportToFile(exportToExcel);
        }
       // public async Task GenerateAsync()
      //  {
        //    await _dapperRepo.ExecuteAsync(AsyPlmAssemblyProcessBaseConsts.SP_MST_WPT_CALENDAR_GENERATE);
       // }
    }
}</v>
      </c>
      <c r="R7" t="str">
        <f ca="1">SUBSTITUTE(SUBSTITUTE((C1&amp;"namespace "&amp;B6&amp;".Dto"&amp;E3&amp;C3&amp;R3&amp;M16&amp;E3&amp;REPT(CHAR(9),1)&amp;D3&amp;D3),"WorkingPattern",$Q$3),"Master",$B$4)</f>
        <v xml:space="preserve">using Abp.Application.Services.Dto;
using System;
using System.ComponentModel.DataAnnotations;
namespace prod.Asy.Plm.Dto
{
	public class AsyPlmAssemblyProcessBaseExportInput{
		public virtual string Line { get; set; }
		public virtual string Name { get; set; }
		public virtual string Process { get; set; }
		public virtual int? Sort { get; set; }
		public virtual string Dolly { get; set; }
		public virtual bool IsPicking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vovina.Asy.Plm.Dto;
namespace prod.Asy.Plm.Exporting
{
	public interface IAsyPlmAssemblyProcessBaseExcelExporter : IApplicationService
	{
		FileDto ExportToFile(List&lt;AsyPlmAssemblyProcessBaseDto&gt; asyplmassemblyprocessbase);
	}
}
</v>
      </c>
      <c r="T7" s="26" t="str">
        <f ca="1">SUBSTITUTE(SUBSTITUTE(SUBSTITUTE(SUBSTITUTE(SUBSTITUTE(SUBSTITUTE(SUBSTITUTE(T1,"MstWptCalendar",$B$3),"&lt;PROPERTIES1&gt;",V16),"&lt;PROPERTIES&gt;",T16),"Calendar",$B$5),"calendar",LOWER(B5)),"WorkingPattern",$Q$3),"Master",$B$4)</f>
        <v>using System.Collections.Generic;
using vovina.DataExporting.Excel.NPOI;
using vovina.Dto;
using vovina.Asy.Plm.Exporting;
using vovina.Asy.Plm.Dto;
using vovina.Storage;
using vovina.Asy.Plm.Dto;
namespace vovina.Asy.Plm.Exporting
{
    public class AsyPlmAssemblyProcessBaseExcelExporter : NpoiExcelExporterBase, IAsyPlmAssemblyProcessBaseExcelExporter
    {
        public AsyPlmAssemblyProcessBaseExcelExporter(ITempFileCacheManager tempFileCacheManager) : base(tempFileCacheManager) { }
        public FileDto ExportToFile(List&lt;AsyPlmAssemblyProcessBaseDto&gt; assemblyprocessbase)
        {
            return CreateExcelPackage(
				"AsyPlmAssemblyProcessBase.xlsx",
				excelPackage =&gt;
				 {
					var sheet = excelPackage.CreateSheet("AssemblyProcessBase");
					AddHeader(
								sheet,
								("Line"),
								("Name"),
								("Process"),
								("Sort"),
								("Dolly"),
								("IsPicking"),
							   );
					AddObjects(
						 sheet, 1, assemblyprocessbase,                                       
								_ =&gt; _.Line,
								_ =&gt; _.Name,
								_ =&gt; _.Process,
								_ =&gt; _.Sort,
								_ =&gt; _.Dolly,
								_ =&gt; _.IsPicking,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configuration.CreateMap&lt;AsyPlmAssemblyProcessBaseDto, AsyPlmAssemblyProcessBase&gt;();
  configuration.CreateMap&lt;AsyPlmAssemblyProcessBase, AsyPlmAssemblyProcessBaseDto&gt;();
  configuration.CreateMap&lt;CreateOrEditAsyPlmAssemblyProcessBaseDto, AsyPlmAssemblyProcessBase&gt;();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t="s">
        <v>356</v>
      </c>
      <c r="B9" t="s">
        <v>364</v>
      </c>
      <c r="C9" t="s">
        <v>1</v>
      </c>
      <c r="D9" t="str">
        <f>SUBSTITUTE(PROPER(A9),"_","")</f>
        <v>Line</v>
      </c>
      <c r="E9" t="str">
        <f t="shared" ref="E9" si="0">IFERROR(LEFT(B9, FIND("(",B9)-1),B9)</f>
        <v>varchar</v>
      </c>
      <c r="F9" s="6"/>
      <c r="G9" t="str">
        <f t="shared" ref="G9" si="1">IFERROR(MID(B9,FIND("(",B9) +1, FIND(")",B9) - FIND("(",B9) - 1),"")</f>
        <v>5</v>
      </c>
      <c r="H9" t="str">
        <f>+VLOOKUP(E9,'Data Type Mapping'!A:B,2,)</f>
        <v>string</v>
      </c>
      <c r="I9" t="str">
        <f t="shared" ref="I9" si="2">IF(H9="string",REPT(CHAR(9),2)&amp;"public const int Max"&amp;D9&amp;"Length = "&amp;G9&amp;";"&amp;$E$3,"" )</f>
        <v xml:space="preserve">		public const int MaxLineLength = 5;
</v>
      </c>
      <c r="J9" t="str">
        <f t="shared" ref="J9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[StringLength(MaxLineLength)]
		public virtual string Line { get; set; }
</v>
      </c>
      <c r="K9" s="6" t="s">
        <v>355</v>
      </c>
      <c r="L9" t="str">
        <f t="shared" ref="L9:L10" si="4">IF(K9="","",REPT(CHAR(9),1)&amp;"[Index(nameof("&amp;IF(D9="","",""&amp;D9)&amp;")"&amp;", Name="&amp;"""IX_"&amp;$B$7&amp;"_"&amp;D9&amp;""")]")</f>
        <v xml:space="preserve">	[Index(nameof(Line), Name="IX_AsyPlmAssemblyProcessBase_Line")]</v>
      </c>
      <c r="M9" t="str">
        <f t="shared" ref="M9" si="5">REPT(CHAR(9),2)&amp;"public virtual "&amp;IF(OR(H9="DateTime",H9="TimeSpan"),H9&amp;"?",H9)&amp;IF(C9="?","? "," ")&amp;D9&amp;" { get; set; }" &amp; "
"</f>
        <v xml:space="preserve">		public virtual string Line { get; set; }
</v>
      </c>
      <c r="N9" t="str">
        <f t="shared" ref="N9" si="6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[StringLength(AsyPlmAssemblyProcessBaseConsts.MaxLineLength)]
		public virtual string Line { get; set; }
</v>
      </c>
      <c r="O9" t="str">
        <f t="shared" ref="O9" si="7">IF(OR(H9="string",H9="DateTime",H9="int"),REPT(CHAR(9),2)&amp;"public virtual "&amp;IF(OR(H9="DateTime",H9="TimeSpan"),H9&amp;"?",H9)&amp;IF(C9="?","? "," ")&amp;D9&amp;" { get; set; }"&amp;$E$3,"")</f>
        <v xml:space="preserve">		public virtual string Line { get; set; }
</v>
      </c>
      <c r="P9" t="str">
        <f t="shared" ref="P9" si="8">REPT(CHAR(9),7)&amp;D9&amp;" = o." &amp;D9 &amp;","</f>
        <v xml:space="preserve">							Line = o.Line,</v>
      </c>
      <c r="T9" s="63" t="str">
        <f t="shared" ref="T9" si="9">REPT(CHAR(9),8)&amp;"("""&amp;D9&amp;"""),"</f>
        <v xml:space="preserve">								("Line"),</v>
      </c>
      <c r="V9" s="64" t="str">
        <f t="shared" ref="V9" si="10">REPT(CHAR(9),8)&amp;"_ =&gt; _."&amp;D9&amp;","</f>
        <v xml:space="preserve">								_ =&gt; _.Line,</v>
      </c>
      <c r="W9" s="63" t="str">
        <f t="shared" ref="W9" si="11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.WhereIf(!string.IsNullOrWhiteSpace(input.Line), e =&gt; e.Line.Contains(input.Line))</v>
      </c>
    </row>
    <row r="10" spans="1:23" customFormat="1" ht="18.75" customHeight="1" x14ac:dyDescent="0.25">
      <c r="A10" t="s">
        <v>360</v>
      </c>
      <c r="B10" t="s">
        <v>365</v>
      </c>
      <c r="C10" t="s">
        <v>1</v>
      </c>
      <c r="D10" t="str">
        <f t="shared" ref="D10:D14" si="12">SUBSTITUTE(PROPER(A10),"_","")</f>
        <v>Name</v>
      </c>
      <c r="E10" t="str">
        <f t="shared" ref="E10" si="13">IFERROR(LEFT(B10, FIND("(",B10)-1),B10)</f>
        <v>varchar</v>
      </c>
      <c r="F10" s="6"/>
      <c r="G10" t="str">
        <f t="shared" ref="G10" si="14">IFERROR(MID(B10,FIND("(",B10) +1, FIND(")",B10) - FIND("(",B10) - 1),"")</f>
        <v>10</v>
      </c>
      <c r="H10" t="str">
        <f>+VLOOKUP(E10,'Data Type Mapping'!A:B,2,)</f>
        <v>string</v>
      </c>
      <c r="I10" t="str">
        <f t="shared" ref="I10" si="15">IF(H10="string",REPT(CHAR(9),2)&amp;"public const int Max"&amp;D10&amp;"Length = "&amp;G10&amp;";"&amp;$E$3,"" )</f>
        <v xml:space="preserve">		public const int MaxNameLength = 10;
</v>
      </c>
      <c r="J10" t="str">
        <f t="shared" ref="J10" si="16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[StringLength(MaxNameLength)]
		public virtual string Name { get; set; }
</v>
      </c>
      <c r="K10" s="6" t="s">
        <v>355</v>
      </c>
      <c r="L10" t="str">
        <f t="shared" si="4"/>
        <v xml:space="preserve">	[Index(nameof(Name), Name="IX_AsyPlmAssemblyProcessBase_Name")]</v>
      </c>
      <c r="M10" t="str">
        <f t="shared" ref="M10" si="17">REPT(CHAR(9),2)&amp;"public virtual "&amp;IF(OR(H10="DateTime",H10="TimeSpan"),H10&amp;"?",H10)&amp;IF(C10="?","? "," ")&amp;D10&amp;" { get; set; }" &amp; "
"</f>
        <v xml:space="preserve">		public virtual string Name { get; set; }
</v>
      </c>
      <c r="N10" t="str">
        <f t="shared" ref="N10" si="1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[StringLength(AsyPlmAssemblyProcessBaseConsts.MaxNameLength)]
		public virtual string Name { get; set; }
</v>
      </c>
      <c r="O10" t="str">
        <f t="shared" ref="O10" si="19">IF(OR(H10="string",H10="DateTime",H10="int"),REPT(CHAR(9),2)&amp;"public virtual "&amp;IF(OR(H10="DateTime",H10="TimeSpan"),H10&amp;"?",H10)&amp;IF(C10="?","? "," ")&amp;D10&amp;" { get; set; }"&amp;$E$3,"")</f>
        <v xml:space="preserve">		public virtual string Name { get; set; }
</v>
      </c>
      <c r="P10" t="str">
        <f t="shared" ref="P10" si="20">REPT(CHAR(9),7)&amp;D10&amp;" = o." &amp;D10 &amp;","</f>
        <v xml:space="preserve">							Name = o.Name,</v>
      </c>
      <c r="T10" s="63" t="str">
        <f t="shared" ref="T10" si="21">REPT(CHAR(9),8)&amp;"("""&amp;D10&amp;"""),"</f>
        <v xml:space="preserve">								("Name"),</v>
      </c>
      <c r="V10" s="64" t="str">
        <f t="shared" ref="V10" si="22">REPT(CHAR(9),8)&amp;"_ =&gt; _."&amp;D10&amp;","</f>
        <v xml:space="preserve">								_ =&gt; _.Name,</v>
      </c>
      <c r="W10" s="63" t="str">
        <f t="shared" ref="W10" si="23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.WhereIf(!string.IsNullOrWhiteSpace(input.Name), e =&gt; e.Name.Contains(input.Name))</v>
      </c>
    </row>
    <row r="11" spans="1:23" customFormat="1" ht="18.75" customHeight="1" x14ac:dyDescent="0.25">
      <c r="A11" t="s">
        <v>357</v>
      </c>
      <c r="B11" t="s">
        <v>365</v>
      </c>
      <c r="C11" t="s">
        <v>1</v>
      </c>
      <c r="D11" t="str">
        <f t="shared" si="12"/>
        <v>Process</v>
      </c>
      <c r="E11" t="str">
        <f t="shared" ref="E11" si="24">IFERROR(LEFT(B11, FIND("(",B11)-1),B11)</f>
        <v>varchar</v>
      </c>
      <c r="F11" s="6"/>
      <c r="G11" t="str">
        <f t="shared" ref="G11" si="25">IFERROR(MID(B11,FIND("(",B11) +1, FIND(")",B11) - FIND("(",B11) - 1),"")</f>
        <v>10</v>
      </c>
      <c r="H11" t="str">
        <f>+VLOOKUP(E11,'Data Type Mapping'!A:B,2,)</f>
        <v>string</v>
      </c>
      <c r="I11" t="str">
        <f t="shared" ref="I11" si="26">IF(H11="string",REPT(CHAR(9),2)&amp;"public const int Max"&amp;D11&amp;"Length = "&amp;G11&amp;";"&amp;$E$3,"" )</f>
        <v xml:space="preserve">		public const int MaxProcessLength = 10;
</v>
      </c>
      <c r="J11" t="str">
        <f t="shared" ref="J11" si="27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[StringLength(MaxProcessLength)]
		public virtual string Process { get; set; }
</v>
      </c>
      <c r="K11" s="6"/>
      <c r="L11" t="str">
        <f t="shared" ref="L11" si="28">IF(K11="","",REPT(CHAR(9),1)&amp;"[Index(nameof("&amp;IF(D11="","",""&amp;D11)&amp;")"&amp;", Name="&amp;"""IX_"&amp;$B$7&amp;"_"&amp;D11&amp;""")]")</f>
        <v/>
      </c>
      <c r="M11" t="str">
        <f t="shared" ref="M11" si="29">REPT(CHAR(9),2)&amp;"public virtual "&amp;IF(OR(H11="DateTime",H11="TimeSpan"),H11&amp;"?",H11)&amp;IF(C11="?","? "," ")&amp;D11&amp;" { get; set; }" &amp; "
"</f>
        <v xml:space="preserve">		public virtual string Process { get; set; }
</v>
      </c>
      <c r="N11" t="str">
        <f t="shared" ref="N11" si="30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[StringLength(AsyPlmAssemblyProcessBaseConsts.MaxProcessLength)]
		public virtual string Process { get; set; }
</v>
      </c>
      <c r="O11" t="str">
        <f t="shared" ref="O11" si="31">IF(OR(H11="string",H11="DateTime",H11="int"),REPT(CHAR(9),2)&amp;"public virtual "&amp;IF(OR(H11="DateTime",H11="TimeSpan"),H11&amp;"?",H11)&amp;IF(C11="?","? "," ")&amp;D11&amp;" { get; set; }"&amp;$E$3,"")</f>
        <v xml:space="preserve">		public virtual string Process { get; set; }
</v>
      </c>
      <c r="P11" t="str">
        <f t="shared" ref="P11" si="32">REPT(CHAR(9),7)&amp;D11&amp;" = o." &amp;D11 &amp;","</f>
        <v xml:space="preserve">							Process = o.Process,</v>
      </c>
      <c r="T11" s="63" t="str">
        <f t="shared" ref="T11" si="33">REPT(CHAR(9),8)&amp;"("""&amp;D11&amp;"""),"</f>
        <v xml:space="preserve">								("Process"),</v>
      </c>
      <c r="V11" s="64" t="str">
        <f t="shared" ref="V11" si="34">REPT(CHAR(9),8)&amp;"_ =&gt; _."&amp;D11&amp;","</f>
        <v xml:space="preserve">								_ =&gt; _.Process,</v>
      </c>
      <c r="W11" s="63" t="str">
        <f t="shared" ref="W11" si="35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.WhereIf(!string.IsNullOrWhiteSpace(input.Process), e =&gt; e.Process.Contains(input.Process))</v>
      </c>
    </row>
    <row r="12" spans="1:23" customFormat="1" ht="18.75" customHeight="1" x14ac:dyDescent="0.25">
      <c r="A12" t="s">
        <v>361</v>
      </c>
      <c r="B12" t="s">
        <v>4</v>
      </c>
      <c r="C12" t="s">
        <v>1</v>
      </c>
      <c r="D12" t="str">
        <f t="shared" si="12"/>
        <v>Sort</v>
      </c>
      <c r="E12" t="str">
        <f t="shared" ref="E12:E14" si="36">IFERROR(LEFT(B12, FIND("(",B12)-1),B12)</f>
        <v>int</v>
      </c>
      <c r="F12" s="6"/>
      <c r="G12" t="str">
        <f t="shared" ref="G12:G14" si="37">IFERROR(MID(B12,FIND("(",B12) +1, FIND(")",B12) - FIND("(",B12) - 1),"")</f>
        <v/>
      </c>
      <c r="H12" t="str">
        <f>+VLOOKUP(E12,'Data Type Mapping'!A:B,2,)</f>
        <v>int?</v>
      </c>
      <c r="I12" t="str">
        <f t="shared" ref="I12:I14" si="38">IF(H12="string",REPT(CHAR(9),2)&amp;"public const int Max"&amp;D12&amp;"Length = "&amp;G12&amp;";"&amp;$E$3,"" )</f>
        <v/>
      </c>
      <c r="J12" t="str">
        <f t="shared" ref="J12:J14" si="39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public virtual int? Sort { get; set; }
</v>
      </c>
      <c r="K12" s="6"/>
      <c r="L12" t="str">
        <f t="shared" ref="L12:L14" si="40">IF(K12="","",REPT(CHAR(9),1)&amp;"[Index(nameof("&amp;IF(D12="","",""&amp;D12)&amp;")"&amp;", Name="&amp;"""IX_"&amp;$B$7&amp;"_"&amp;D12&amp;""")]")</f>
        <v/>
      </c>
      <c r="M12" t="str">
        <f t="shared" ref="M12:M14" si="41">REPT(CHAR(9),2)&amp;"public virtual "&amp;IF(OR(H12="DateTime",H12="TimeSpan"),H12&amp;"?",H12)&amp;IF(C12="?","? "," ")&amp;D12&amp;" { get; set; }" &amp; "
"</f>
        <v xml:space="preserve">		public virtual int? Sort { get; set; }
</v>
      </c>
      <c r="N12" t="str">
        <f t="shared" ref="N12:N14" si="42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public virtual int? Sort { get; set; }
</v>
      </c>
      <c r="O12" t="str">
        <f t="shared" ref="O12:O14" si="43">IF(OR(H12="string",H12="DateTime",H12="int"),REPT(CHAR(9),2)&amp;"public virtual "&amp;IF(OR(H12="DateTime",H12="TimeSpan"),H12&amp;"?",H12)&amp;IF(C12="?","? "," ")&amp;D12&amp;" { get; set; }"&amp;$E$3,"")</f>
        <v/>
      </c>
      <c r="P12" t="str">
        <f t="shared" ref="P12:P14" si="44">REPT(CHAR(9),7)&amp;D12&amp;" = o." &amp;D12 &amp;","</f>
        <v xml:space="preserve">							Sort = o.Sort,</v>
      </c>
      <c r="T12" s="63" t="str">
        <f t="shared" ref="T12:T14" si="45">REPT(CHAR(9),8)&amp;"("""&amp;D12&amp;"""),"</f>
        <v xml:space="preserve">								("Sort"),</v>
      </c>
      <c r="V12" s="64" t="str">
        <f t="shared" ref="V12:V14" si="46">REPT(CHAR(9),8)&amp;"_ =&gt; _."&amp;D12&amp;","</f>
        <v xml:space="preserve">								_ =&gt; _.Sort,</v>
      </c>
      <c r="W12" s="63" t="str">
        <f t="shared" ref="W12:W14" si="47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/>
      </c>
    </row>
    <row r="13" spans="1:23" customFormat="1" ht="18.75" customHeight="1" x14ac:dyDescent="0.25">
      <c r="A13" t="s">
        <v>362</v>
      </c>
      <c r="B13" t="s">
        <v>366</v>
      </c>
      <c r="C13" t="s">
        <v>1</v>
      </c>
      <c r="D13" t="str">
        <f t="shared" si="12"/>
        <v>Dolly</v>
      </c>
      <c r="E13" t="str">
        <f t="shared" si="36"/>
        <v>varchar</v>
      </c>
      <c r="F13" s="6"/>
      <c r="G13" t="str">
        <f t="shared" si="37"/>
        <v>30</v>
      </c>
      <c r="H13" t="str">
        <f>+VLOOKUP(E13,'Data Type Mapping'!A:B,2,)</f>
        <v>string</v>
      </c>
      <c r="I13" t="str">
        <f t="shared" si="38"/>
        <v xml:space="preserve">		public const int MaxDollyLength = 30;
</v>
      </c>
      <c r="J13" t="str">
        <f t="shared" si="39"/>
        <v xml:space="preserve">		[StringLength(MaxDollyLength)]
		public virtual string Dolly { get; set; }
</v>
      </c>
      <c r="K13" s="6" t="s">
        <v>355</v>
      </c>
      <c r="L13" t="str">
        <f t="shared" si="40"/>
        <v xml:space="preserve">	[Index(nameof(Dolly), Name="IX_AsyPlmAssemblyProcessBase_Dolly")]</v>
      </c>
      <c r="M13" t="str">
        <f t="shared" si="41"/>
        <v xml:space="preserve">		public virtual string Dolly { get; set; }
</v>
      </c>
      <c r="N13" t="str">
        <f t="shared" si="42"/>
        <v xml:space="preserve">		[StringLength(AsyPlmAssemblyProcessBaseConsts.MaxDollyLength)]
		public virtual string Dolly { get; set; }
</v>
      </c>
      <c r="O13" t="str">
        <f t="shared" si="43"/>
        <v xml:space="preserve">		public virtual string Dolly { get; set; }
</v>
      </c>
      <c r="P13" t="str">
        <f t="shared" si="44"/>
        <v xml:space="preserve">							Dolly = o.Dolly,</v>
      </c>
      <c r="T13" s="63" t="str">
        <f t="shared" si="45"/>
        <v xml:space="preserve">								("Dolly"),</v>
      </c>
      <c r="V13" s="64" t="str">
        <f t="shared" si="46"/>
        <v xml:space="preserve">								_ =&gt; _.Dolly,</v>
      </c>
      <c r="W13" s="63" t="str">
        <f t="shared" si="47"/>
        <v xml:space="preserve">				.WhereIf(!string.IsNullOrWhiteSpace(input.Dolly), e =&gt; e.Dolly.Contains(input.Dolly))</v>
      </c>
    </row>
    <row r="14" spans="1:23" customFormat="1" ht="18.75" customHeight="1" x14ac:dyDescent="0.25">
      <c r="A14" t="s">
        <v>363</v>
      </c>
      <c r="B14" t="s">
        <v>22</v>
      </c>
      <c r="C14" t="s">
        <v>1</v>
      </c>
      <c r="D14" t="str">
        <f t="shared" si="12"/>
        <v>IsPicking</v>
      </c>
      <c r="E14" t="str">
        <f t="shared" si="36"/>
        <v>bit</v>
      </c>
      <c r="F14" s="6"/>
      <c r="G14" t="str">
        <f t="shared" si="37"/>
        <v/>
      </c>
      <c r="H14" t="str">
        <f>+VLOOKUP(E14,'Data Type Mapping'!A:B,2,)</f>
        <v>bool</v>
      </c>
      <c r="I14" t="str">
        <f t="shared" si="38"/>
        <v/>
      </c>
      <c r="J14" t="str">
        <f t="shared" si="39"/>
        <v xml:space="preserve">		public virtual bool IsPicking { get; set; }
</v>
      </c>
      <c r="K14" s="6" t="s">
        <v>355</v>
      </c>
      <c r="L14" t="str">
        <f t="shared" si="40"/>
        <v xml:space="preserve">	[Index(nameof(IsPicking), Name="IX_AsyPlmAssemblyProcessBase_IsPicking")]</v>
      </c>
      <c r="M14" t="str">
        <f t="shared" si="41"/>
        <v xml:space="preserve">		public virtual bool IsPicking { get; set; }
</v>
      </c>
      <c r="N14" t="str">
        <f t="shared" si="42"/>
        <v xml:space="preserve">		public virtual bool IsPicking { get; set; }
</v>
      </c>
      <c r="O14" t="str">
        <f t="shared" si="43"/>
        <v/>
      </c>
      <c r="P14" t="str">
        <f t="shared" si="44"/>
        <v xml:space="preserve">							IsPicking = o.IsPicking,</v>
      </c>
      <c r="T14" s="63" t="str">
        <f t="shared" si="45"/>
        <v xml:space="preserve">								("IsPicking"),</v>
      </c>
      <c r="V14" s="64" t="str">
        <f t="shared" si="46"/>
        <v xml:space="preserve">								_ =&gt; _.IsPicking,</v>
      </c>
      <c r="W14" s="63" t="str">
        <f t="shared" si="47"/>
        <v/>
      </c>
    </row>
    <row r="16" spans="1:23" ht="45.75" customHeight="1" x14ac:dyDescent="0.25">
      <c r="H16" s="11"/>
      <c r="I16" s="31" t="str">
        <f ca="1">TEXTJOIN2("
", TRUE,INDIRECT( $H$1):INDIRECT( $H$3))</f>
        <v xml:space="preserve">		public const int MaxLineLength = 5;
		public const int MaxNameLength = 10;
		public const int MaxProcessLength = 10;
		public const int MaxDollyLength = 30;
</v>
      </c>
      <c r="J16" s="30" t="str">
        <f ca="1">TEXTJOIN2("
", TRUE,INDIRECT( $F$1):INDIRECT( $F$3))</f>
        <v xml:space="preserve">		[StringLength(MaxLineLength)]
		public virtual string Line { get; set; }
		[StringLength(MaxNameLength)]
		public virtual string Name { get; set; }
		[StringLength(MaxProcessLength)]
		public virtual string Process { get; set; }
		public virtual int? Sort { get; set; }
		[StringLength(MaxDollyLength)]
		public virtual string Dolly { get; set; }
		public virtual bool IsPicking { get; set; }
</v>
      </c>
      <c r="K16" s="32" t="str">
        <f ca="1">TEXTJOIN2("
", TRUE,INDIRECT( $J$1):INDIRECT( $J$3))</f>
        <v xml:space="preserve">	[Index(nameof(Line), Name="IX_AsyPlmAssemblyProcessBase_Line")]
	[Index(nameof(Name), Name="IX_AsyPlmAssemblyProcessBase_Name")]
	[Index(nameof(Dolly), Name="IX_AsyPlmAssemblyProcessBase_Dolly")]
	[Index(nameof(IsPicking), Name="IX_AsyPlmAssemblyProcessBase_IsPicking")]</v>
      </c>
      <c r="L16" s="12" t="s">
        <v>57</v>
      </c>
      <c r="M16" s="33" t="str">
        <f ca="1">TEXTJOIN2("
",TRUE,INDIRECT( $L$1):INDIRECT($L$3))</f>
        <v xml:space="preserve">		public virtual string Line { get; set; }
		public virtual string Name { get; set; }
		public virtual string Process { get; set; }
		public virtual int? Sort { get; set; }
		public virtual string Dolly { get; set; }
		public virtual bool IsPicking { get; set; }
</v>
      </c>
      <c r="N16" s="30" t="str">
        <f ca="1">TEXTJOIN2("
",TRUE,INDIRECT( $M$1):INDIRECT($M$3))</f>
        <v xml:space="preserve">		[StringLength(AsyPlmAssemblyProcessBaseConsts.MaxLineLength)]
		public virtual string Line { get; set; }
		[StringLength(AsyPlmAssemblyProcessBaseConsts.MaxNameLength)]
		public virtual string Name { get; set; }
		[StringLength(AsyPlmAssemblyProcessBaseConsts.MaxProcessLength)]
		public virtual string Process { get; set; }
		public virtual int? Sort { get; set; }
		[StringLength(AsyPlmAssemblyProcessBaseConsts.MaxDollyLength)]
		public virtual string Dolly { get; set; }
		public virtual bool IsPicking { get; set; }
</v>
      </c>
      <c r="O16" s="30" t="str">
        <f ca="1">TEXTJOIN2("
",TRUE,INDIRECT( $N$1):INDIRECT($N$3))</f>
        <v xml:space="preserve">		public virtual string Line { get; set; }
		public virtual string Name { get; set; }
		public virtual string Process { get; set; }
		public virtual string Dolly { get; set; }
</v>
      </c>
      <c r="P16" s="8" t="str">
        <f ca="1">TEXTJOIN2("
",TRUE,INDIRECT( $O$1):INDIRECT($O$3))</f>
        <v xml:space="preserve">							Line = o.Line,
							Name = o.Name,
							Process = o.Process,
							Sort = o.Sort,
							Dolly = o.Dolly,
							IsPicking = o.IsPicking,</v>
      </c>
      <c r="T16" s="8" t="str">
        <f ca="1">TEXTJOIN2("
",TRUE,INDIRECT( $T$2):INDIRECT($T$3))</f>
        <v xml:space="preserve">								("Line"),
								("Name"),
								("Process"),
								("Sort"),
								("Dolly"),
								("IsPicking"),</v>
      </c>
      <c r="V16" s="8" t="str">
        <f ca="1">TEXTJOIN2("
",TRUE,INDIRECT( $V$2):INDIRECT($V$3))</f>
        <v xml:space="preserve">								_ =&gt; _.Line,
								_ =&gt; _.Name,
								_ =&gt; _.Process,
								_ =&gt; _.Sort,
								_ =&gt; _.Dolly,
								_ =&gt; _.IsPicking,</v>
      </c>
      <c r="W16" s="8" t="str">
        <f ca="1">TEXTJOIN2("
",TRUE,INDIRECT( $W$2):INDIRECT($W$3))</f>
        <v xml:space="preserve">				.WhereIf(!string.IsNullOrWhiteSpace(input.Line), e =&gt; e.Line.Contains(input.Line))
				.WhereIf(!string.IsNullOrWhiteSpace(input.Name), e =&gt; e.Name.Contains(input.Name))
				.WhereIf(!string.IsNullOrWhiteSpace(input.Process), e =&gt; e.Process.Contains(input.Process))
				.WhereIf(!string.IsNullOrWhiteSpace(input.Dolly), e =&gt; e.Dolly.Contains(input.Dolly))
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2"/>
  <sheetViews>
    <sheetView topLeftCell="A2" workbookViewId="0">
      <selection activeCell="E23" sqref="E23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38" t="s">
        <v>208</v>
      </c>
      <c r="B1" s="39" t="s">
        <v>354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Asy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asy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Plm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plm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AsyPlmAssemblyProcessBase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AssemblyProcessBase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assemblyprocessbase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AsyPlmAssemblyProcessBaseDto, AsyPlmAssemblyProcessBaseServiceProxy } from '@shared/service-proxies/service-proxies';
import { finalize } from 'rxjs/internal/operators/finalize';
import { CreateOrEditAssemblyProcessBaseModalComponent } from './create-or-edit-assemblyprocessbase-modal.component';
import { DatePipe } from '@angular/common';
import { FileDownloadService } from '@shared/utils/file-download.service';
import ceil from 'lodash-es/ceil';
import { Paginator } from 'primeng/paginator';
@Component({
    templateUrl: './assemblyprocessbase.component.html',
    styleUrls: ['./assemblyprocessbase.component.less'],
})
export class AssemblyProcessBaseComponent extends AppComponentBase implements OnInit {
    @ViewChild('createOrEditModalAssemblyProcessBase', { static: true }) createOrEditModalAssemblyProcessBase:| CreateOrEditAssemblyProcessBaseModalComponent|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AsyPlmAssemblyProcessBaseDto = new AsyPlmAssemblyProcessBaseDto();
    saveSelectedRow: AsyPlmAssemblyProcessBaseDto = new AsyPlmAssemblyProcessBaseDto();
    datas: AsyPlmAssemblyProcessBaseDto = new AsyPlmAssemblyProcessBaseDto();
    isLoading: boolean = false;
    dataParams: GridParams | undefined;
    rowData: any[] = [];
    gridApi!: GridApi;
    rowSelection = 'multiple';
    filter: string = '';
	pipe = new DatePipe('en-US');
	frameworkComponents: FrameworkComponent;
    	line : string = '' ; 
	name : string = '' ; 
	process : string = '' ; 
	sort
	dolly : string = '' ; 
	isPicking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AsyPlmAssemblyProcessBaseServiceProxy,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this.l('Line'),headerTooltip: this.l('Line'),field: 'line',flex: 1},
			{headerName: this.l('Name'),headerTooltip: this.l('Name'),field: 'name',flex: 1},
			{headerName: this.l('Process'),headerTooltip: this.l('Process'),field: 'process',flex: 1},
			{headerName: this.l('Sort'),headerTooltip: this.l('Sort'),field: 'sort',flex: 1},
			{headerName: this.l('Dolly'),headerTooltip: this.l('Dolly'),field: 'dolly',flex: 1},
			{headerName: this.l('Is Picking'),headerTooltip: this.l('Is Picking'),field: 'isPicking',flex: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this.line,
			this.name,
			this.process,
			this.sort,
			this.dolly,
			this.isPicking,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this.line = '',
		this.name = '',
		this.process = '',
		this.sort = '',
		this.dolly = '',
		this.isPicking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this.line,
			this.name,
			this.process,
			this.sort,
			this.dolly,
			this.isPicking,
			'',
            this.paginationParams.skipCount,
            this.paginationParams.pageSize
        );
    }
    onChangeRowSelection(params: { api: { getSelectedRows: () =&gt; AsyPlmAssemblyProcessBaseDto[] } }) {
        this.saveSelectedRow = params.api.getSelectedRows()[0] ?? new AsyPlmAssemblyProcessBaseDto();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AsyPlmAssemblyProcessBaseDto):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this._service.getAssemblyProcessBaseToExcel(
			this.line,
			this.name,
			this.process,
			this.sort,
			this.dolly,
			this.isPicking,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Container Invoice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[(ngModel)]='line' name='line'
									class='form-control' [placeholder]="l('Line')"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[(ngModel)]='process' name='process'
									class='form-control' [placeholder]="l('Process')"
									type='text' (keyup.enter)='searchDatas()'&gt;
								&lt;/div&gt;
								&lt;div class='input-search'&gt;
									&lt;input [(ngModel)]='dolly' name='dolly'
									class='form-control' [placeholder]="l('Dolly')"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(click)="createOrEditModalAssemblyProcessBase.show()"&gt;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(click)="createOrEditModalAssemblyProcessBase.show(selectedRow)"&gt;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&lt;create-or-edit-assemblyprocessbase-modal
    #createOrEditModalAssemblyProcessBase
    (modalSave)="callBackDataGrid(dataParams)"
    (modalClose)="onChangeRowSelection(dataParams)"
&gt;
&lt;/create-or-edit-assemblyprocessbase-modal&gt;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#createOrEditModalAssemblyProcessBase="bs-modal"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AssemblyProcessBase')}}&lt;/h3&gt;
                    &lt;h3 *ngIf="!rowdata.id"&gt;{{('Create New AssemblyProcessBase')}}&lt;/h3&gt;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title'&gt;Line&lt;/label&gt;
						&lt;input type='text' class='col-md-10 form-control input-text' name='Line' [(ngModel)]='rowdata.line'&gt;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title'&gt;Process&lt;/label&gt;
						&lt;input type='text' class='col-md-10 form-control input-text' name='Process' [(ngModel)]='rowdata.process'&gt;
					&lt;/div&gt;
					&lt;div class='col-md-12 form-group row'&gt;
						&lt;label class='col-md-2 form-control title'&gt;Dolly&lt;/label&gt;
						&lt;input type='text' class='col-md-10 form-control input-text' name='Dolly' [(ngModel)]='rowdata.dolly'&gt;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CreateOrEditAsyPlmAssemblyProcessBaseDto, AsyPlmAssemblyProcessBaseServiceProxy } from '@shared/service-proxies/service-proxies';
import { BsDatepickerDirective } from 'ngx-bootstrap/datepicker';
@Component({
    selector: 'create-or-edit-assemblyprocessbase-modal',
    templateUrl: './create-or-edit-assemblyprocessbase-modal.component.html',
    styleUrls: ['./create-or-edit-assemblyprocessbase-modal.component.less']
    })
export class CreateOrEditAssemblyProcessBaseModalComponent extends AppComponentBase {
    @ViewChild('createOrEditModalAssemblyProcessBase',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CreateOrEditAsyPlmAssemblyProcessBaseDto = new CreateOrEditAsyPlmAssemblyProcessBaseDto();
    active: boolean = false;
    saving: boolean = false;
    _: boolean;
    constructor(
        injector: Injector,
        private _mstwptAssemblyProcessBaseService: AsyPlmAssemblyProcessBaseServiceProxy,
    ) 
    {
        super(injector);
    }
    show(rowdata?: CreateOrEditAsyPlmAssemblyProcessBaseDto): void {
        if (!rowdata) this.rowdata = new CreateOrEditAsyPlmAssemblyProcessBaseDto();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this._mstwptAssemblyProcessBaseService.createOrEdit(this.rowdata)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AssemblyProcessBaseRoutingModule } from './assemblyprocessbase-routing.module';
import { AssemblyProcessBaseComponent } from './assemblyprocessbase.component';
import { CreateOrEditAssemblyProcessBaseModalComponent } from './create-or-edit-assemblyprocessbase-modal.component';
@NgModule({
    declarations: [
       AssemblyProcessBaseComponent, 
        CreateOrEditAssemblyProcessBaseModalComponent
    ],
    imports: [
        AppSharedModule, AssemblyProcessBaseRoutingModule]
})
export class AssemblyProcessBaseModule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AssemblyProcessBaseComponent } from './assemblyprocessbase.component';
const routes: Routes = [{
    path: '',
    component: AssemblyProcessBaseComponent,
    pathMatch: 'full'
}];
@NgModule({
    imports: [RouterModule.forChild(routes)],
    exports: [RouterModule],
})
export class AssemblyProcessBaseRoutingModule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AppMenuItem("AssemblyProcessBase", "Pages.Asy.Plm.AssemblyProcessBase", "flaticon-book",   "/app/main/asy/plm/assemblyprocessbase"),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'asy/plm/assemblyprocessbase',
    loadChildren: () =&gt; import('./asy/plm/assemblyprocessbase/assemblyprocessbase.module').then(m =&gt; m.AssemblyProcessBaseModule),
    data: { permission: 'Pages.Asy.Plm.AssemblyProcessBase' }
},</v>
      </c>
      <c r="R10" s="47" t="str">
        <f>SUBSTITUTE(R9,"MstWptCalendar",$B$6)</f>
        <v>ApiServiceProxies.AsyPlmAssemblyProcessBaseServiceProxy,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H20</v>
      </c>
      <c r="I12" s="28" t="str">
        <f>"I"&amp;COUNTA($A:$A)</f>
        <v>I20</v>
      </c>
      <c r="J12" s="28"/>
      <c r="K12" s="28" t="str">
        <f>"K"&amp;COUNTA($A:$A)</f>
        <v>K20</v>
      </c>
      <c r="L12" s="28" t="str">
        <f>"L"&amp;COUNTA($A:$A)</f>
        <v>L20</v>
      </c>
      <c r="M12" s="28"/>
      <c r="N12" s="28"/>
      <c r="O12" s="28"/>
      <c r="P12" s="28"/>
      <c r="Q12" s="28"/>
      <c r="R12" s="28"/>
      <c r="S12" s="28" t="str">
        <f>"S"&amp;COUNTA($A:$A)</f>
        <v>S20</v>
      </c>
      <c r="T12" s="28" t="str">
        <f>"T"&amp;COUNTA($A:$A)</f>
        <v>T20</v>
      </c>
      <c r="U12" s="28" t="str">
        <f>"U"&amp;COUNTA($A:$A)</f>
        <v>U20</v>
      </c>
      <c r="V12" s="28" t="str">
        <f>"V"&amp;COUNTA($A:$A)</f>
        <v>V20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this.l('Line'),headerTooltip: this.l('Line'),field: 'line',flex: 1},
			{headerName: this.l('Name'),headerTooltip: this.l('Name'),field: 'name',flex: 1},
			{headerName: this.l('Process'),headerTooltip: this.l('Process'),field: 'process',flex: 1},
			{headerName: this.l('Sort'),headerTooltip: this.l('Sort'),field: 'sort',flex: 1},
			{headerName: this.l('Dolly'),headerTooltip: this.l('Dolly'),field: 'dolly',flex: 1},
			{headerName: this.l('Is Picking'),headerTooltip: this.l('Is Picking'),field: 'isPicking',flex: 1},</v>
      </c>
      <c r="I13" s="35" t="str">
        <f ca="1">TEXTJOIN2("
",TRUE,INDIRECT(I11):INDIRECT(I12))</f>
        <v xml:space="preserve">								&lt;div class='input-search'&gt;
									&lt;input [(ngModel)]='line' name='line'
									class='form-control' [placeholder]="l('Line')"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[(ngModel)]='process' name='process'
									class='form-control' [placeholder]="l('Process')"
									type='text' (keyup.enter)='searchDatas()'&gt;
								&lt;/div&gt;
								&lt;div class='input-search'&gt;
									&lt;input [(ngModel)]='dolly' name='dolly'
									class='form-control' [placeholder]="l('Dolly')"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title'&gt;Line&lt;/label&gt;
						&lt;input type='text' class='col-md-10 form-control input-text' name='Line' [(ngModel)]='rowdata.line'&gt;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title'&gt;Process&lt;/label&gt;
						&lt;input type='text' class='col-md-10 form-control input-text' name='Process' [(ngModel)]='rowdata.process'&gt;
					&lt;/div&gt;
					&lt;div class='col-md-12 form-group row'&gt;
						&lt;label class='col-md-2 form-control title'&gt;Dolly&lt;/label&gt;
						&lt;input type='text' class='col-md-10 form-control input-text' name='Dolly' [(ngModel)]='rowdata.dolly'&gt;
					&lt;/div&gt;
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line : string = '' ; 
	name : string = '' ; 
	process : string = '' ; 
	sort
	dolly : string = '' ; 
	isPicking</v>
      </c>
      <c r="T13" s="62" t="str">
        <f ca="1">TEXTJOIN2("
",TRUE,INDIRECT(T11):INDIRECT(T12))</f>
        <v xml:space="preserve">			this.line,
			this.name,
			this.process,
			this.sort,
			this.dolly,
			this.isPicking,</v>
      </c>
      <c r="U13" s="62" t="str">
        <f ca="1">TEXTJOIN2("
",TRUE,INDIRECT(U11):INDIRECT(U12))</f>
        <v xml:space="preserve">		this.line = '',
		this.name = '',
		this.process = '',
		this.sort = '',
		this.dolly = '',
		this.isPicking = '',</v>
      </c>
      <c r="V13" s="28" t="str">
        <f ca="1">TEXTJOIN2("
",TRUE,INDIRECT(V11):INDIRECT(V12))</f>
        <v/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assemblyprocessbase.component.ts</v>
      </c>
      <c r="I14" s="37" t="str">
        <f>B8&amp;".component.html"</f>
        <v>assemblyprocessbase.component.html</v>
      </c>
      <c r="J14" s="36" t="str">
        <f>B8&amp;".component.less"</f>
        <v>assemblyprocessbase.component.less</v>
      </c>
      <c r="K14" s="37" t="str">
        <f>"create-or-edit-"&amp;B8&amp;"-modal.component.html"</f>
        <v>create-or-edit-assemblyprocessbase-modal.component.html</v>
      </c>
      <c r="L14" s="37" t="str">
        <f>"create-or-edit-"&amp;B8&amp;"-modal.component.ts"</f>
        <v>create-or-edit-assemblyprocessbase-modal.component.ts</v>
      </c>
      <c r="M14" s="37" t="str">
        <f>"create-or-edit-"&amp;B8&amp;"-modal.component.less"</f>
        <v>create-or-edit-assemblyprocessbase-modal.component.less</v>
      </c>
      <c r="N14" s="37" t="str">
        <f>B8&amp;".module.ts"</f>
        <v>assemblyprocessbase.module.ts</v>
      </c>
      <c r="O14" s="37" t="str">
        <f>B8&amp;"-routing.module.ts"</f>
        <v>assemblyprocessbase-routing.module.ts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356</v>
      </c>
      <c r="B15" s="28" t="str">
        <f t="shared" ref="B15" si="0">SUBSTITUTE(PROPER(A15),"_","")</f>
        <v>Line</v>
      </c>
      <c r="C15" s="28" t="str">
        <f t="shared" ref="C15" si="1">SUBSTITUTE(PROPER(A15),"_"," ")</f>
        <v>Line</v>
      </c>
      <c r="D15" s="28" t="str">
        <f t="shared" ref="D15" si="2">LOWER(LEFT(B15,1))&amp;RIGHT(B15,LEN(B15) - 1)</f>
        <v>line</v>
      </c>
      <c r="E15" s="28" t="str">
        <f>A.Backend!H9</f>
        <v>string</v>
      </c>
      <c r="F15" s="28" t="str">
        <f>A.Backend!G9</f>
        <v>5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:H18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this.l('Line'),headerTooltip: this.l('Line'),field: 'line',flex: 1},</v>
      </c>
      <c r="I15" s="35" t="str">
        <f t="shared" ref="I15:I18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[(ngModel)]='line' name='line'
									class='form-control' [placeholder]="l('Line')"
									type='text' (keyup.enter)='searchDatas()'&gt;
								&lt;/div&gt;</v>
      </c>
      <c r="J15" s="28"/>
      <c r="K15" s="35" t="str">
        <f t="shared" ref="K15:K18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title'&gt;Line&lt;/label&gt;
						&lt;input type='text' class='col-md-10 form-control input-text' name='Line' [(ngModel)]='rowdata.line'&gt;
					&lt;/div&gt;</v>
      </c>
      <c r="L15" s="56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line : string = '' ; </v>
      </c>
      <c r="T15" s="28" t="str">
        <f>REPT(CHAR(9),3)&amp;"this."&amp;D15&amp;","</f>
        <v xml:space="preserve">			this.line,</v>
      </c>
      <c r="U15" s="28" t="str">
        <f>IF(E15="int",REPT(CHAR(9),2)&amp;"this."&amp;D15&amp;" = 0,",REPT(CHAR(9),2)&amp;"this."&amp;D15&amp;" = '',")</f>
        <v xml:space="preserve">		this.line = '',</v>
      </c>
      <c r="V15" s="28" t="str">
        <f t="shared" ref="V15:V18" si="8">IF(AND(E15="string",F15="1"),D15,"")</f>
        <v/>
      </c>
    </row>
    <row r="16" spans="1:22" ht="18" customHeight="1" x14ac:dyDescent="0.25">
      <c r="A16" t="s">
        <v>360</v>
      </c>
      <c r="B16" s="28" t="str">
        <f t="shared" ref="B16" si="9">SUBSTITUTE(PROPER(A16),"_","")</f>
        <v>Name</v>
      </c>
      <c r="C16" s="28" t="str">
        <f t="shared" ref="C16" si="10">SUBSTITUTE(PROPER(A16),"_"," ")</f>
        <v>Name</v>
      </c>
      <c r="D16" s="28" t="str">
        <f t="shared" ref="D16" si="11">LOWER(LEFT(B16,1))&amp;RIGHT(B16,LEN(B16) - 1)</f>
        <v>name</v>
      </c>
      <c r="E16" s="28" t="str">
        <f>A.Backend!H10</f>
        <v>string</v>
      </c>
      <c r="F16" s="28" t="str">
        <f>A.Backend!G10</f>
        <v>10</v>
      </c>
      <c r="G16" s="28" t="str">
        <f t="shared" ref="G16:G20" si="12">IF(E16="string"," : string = '' ; ",IF(OR(E16="DateTime",E16="TimeSpan")," : any ;",IF(E16="int"," : number = 0 ;","")))</f>
        <v xml:space="preserve"> : string = '' ; </v>
      </c>
      <c r="H16" s="35" t="str">
        <f t="shared" si="4"/>
        <v xml:space="preserve">			{headerName: this.l('Name'),headerTooltip: this.l('Name'),field: 'name',flex: 1},</v>
      </c>
      <c r="I16" s="35" t="str">
        <f t="shared" si="5"/>
        <v xml:space="preserve">								&lt;div class='input-search'&gt;
									&lt;input [(ngModel)]='name' name='name'
									class='form-control' [placeholder]="l('Name')"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title'&gt;Name&lt;/label&gt;
						&lt;input type='text' class='col-md-10 form-control input-text' name='Name' [(ngModel)]='rowdata.name'&gt;
					&lt;/div&gt;</v>
      </c>
      <c r="L16" s="56" t="str">
        <f t="shared" ref="L16" si="13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18" si="14">REPT(CHAR(9),1)&amp;D16&amp;G16</f>
        <v xml:space="preserve">	name : string = '' ; </v>
      </c>
      <c r="T16" s="28" t="str">
        <f t="shared" ref="T16:T18" si="15">REPT(CHAR(9),3)&amp;"this."&amp;D16&amp;","</f>
        <v xml:space="preserve">			this.name,</v>
      </c>
      <c r="U16" s="28" t="str">
        <f t="shared" ref="U16:U18" si="16">IF(E16="int",REPT(CHAR(9),2)&amp;"this."&amp;D16&amp;" = 0,",REPT(CHAR(9),2)&amp;"this."&amp;D16&amp;" = '',")</f>
        <v xml:space="preserve">		this.name = '',</v>
      </c>
      <c r="V16" s="28" t="str">
        <f t="shared" si="8"/>
        <v/>
      </c>
    </row>
    <row r="17" spans="1:22" ht="18" customHeight="1" x14ac:dyDescent="0.25">
      <c r="A17" t="s">
        <v>357</v>
      </c>
      <c r="B17" s="28" t="str">
        <f>SUBSTITUTE(PROPER(A17),"_","")</f>
        <v>Process</v>
      </c>
      <c r="C17" s="28" t="str">
        <f>SUBSTITUTE(PROPER(A17),"_"," ")</f>
        <v>Process</v>
      </c>
      <c r="D17" s="28" t="str">
        <f>LOWER(LEFT(B17,1))&amp;RIGHT(B17,LEN(B17) - 1)</f>
        <v>process</v>
      </c>
      <c r="E17" s="28" t="str">
        <f>A.Backend!H11</f>
        <v>string</v>
      </c>
      <c r="F17" s="28" t="str">
        <f>A.Backend!G11</f>
        <v>10</v>
      </c>
      <c r="G17" s="28" t="str">
        <f t="shared" si="12"/>
        <v xml:space="preserve"> : string = '' ; </v>
      </c>
      <c r="H17" s="35" t="str">
        <f t="shared" si="4"/>
        <v xml:space="preserve">			{headerName: this.l('Process'),headerTooltip: this.l('Process'),field: 'process',flex: 1},</v>
      </c>
      <c r="I17" s="35" t="str">
        <f t="shared" si="5"/>
        <v xml:space="preserve">								&lt;div class='input-search'&gt;
									&lt;input [(ngModel)]='process' name='process'
									class='form-control' [placeholder]="l('Process')"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title'&gt;Process&lt;/label&gt;
						&lt;input type='text' class='col-md-10 form-control input-text' name='Process' [(ngModel)]='rowdata.process'&gt;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4"/>
        <v xml:space="preserve">	process : string = '' ; </v>
      </c>
      <c r="T17" s="28" t="str">
        <f t="shared" si="15"/>
        <v xml:space="preserve">			this.process,</v>
      </c>
      <c r="U17" s="28" t="str">
        <f t="shared" si="16"/>
        <v xml:space="preserve">		this.process = '',</v>
      </c>
      <c r="V17" s="28" t="str">
        <f t="shared" si="8"/>
        <v/>
      </c>
    </row>
    <row r="18" spans="1:22" ht="15" customHeight="1" x14ac:dyDescent="0.25">
      <c r="A18" t="s">
        <v>361</v>
      </c>
      <c r="B18" s="28" t="str">
        <f t="shared" ref="B18:B20" si="17">SUBSTITUTE(PROPER(A18),"_","")</f>
        <v>Sort</v>
      </c>
      <c r="C18" s="28" t="str">
        <f t="shared" ref="C18:C20" si="18">SUBSTITUTE(PROPER(A18),"_"," ")</f>
        <v>Sort</v>
      </c>
      <c r="D18" s="28" t="str">
        <f t="shared" ref="D18:D20" si="19">LOWER(LEFT(B18,1))&amp;RIGHT(B18,LEN(B18) - 1)</f>
        <v>sort</v>
      </c>
      <c r="E18" s="28" t="str">
        <f>A.Backend!H12</f>
        <v>int?</v>
      </c>
      <c r="F18" s="28" t="str">
        <f>A.Backend!G12</f>
        <v/>
      </c>
      <c r="G18" s="28" t="str">
        <f t="shared" si="12"/>
        <v/>
      </c>
      <c r="H18" s="35" t="str">
        <f t="shared" si="4"/>
        <v xml:space="preserve">			{headerName: this.l('Sort'),headerTooltip: this.l('Sort'),field: 'sort',flex: 1},</v>
      </c>
      <c r="I18" s="35" t="str">
        <f t="shared" si="5"/>
        <v/>
      </c>
      <c r="J18" s="28"/>
      <c r="K18" s="35" t="str">
        <f t="shared" si="6"/>
        <v/>
      </c>
      <c r="L18" s="56" t="str">
        <f t="shared" ref="L18:L20" si="20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4"/>
        <v xml:space="preserve">	sort</v>
      </c>
      <c r="T18" s="28" t="str">
        <f t="shared" si="15"/>
        <v xml:space="preserve">			this.sort,</v>
      </c>
      <c r="U18" s="28" t="str">
        <f t="shared" si="16"/>
        <v xml:space="preserve">		this.sort = '',</v>
      </c>
      <c r="V18" s="28" t="str">
        <f t="shared" si="8"/>
        <v/>
      </c>
    </row>
    <row r="19" spans="1:22" ht="15" customHeight="1" x14ac:dyDescent="0.25">
      <c r="A19" t="s">
        <v>362</v>
      </c>
      <c r="B19" s="28" t="str">
        <f t="shared" si="17"/>
        <v>Dolly</v>
      </c>
      <c r="C19" s="28" t="str">
        <f t="shared" si="18"/>
        <v>Dolly</v>
      </c>
      <c r="D19" s="28" t="str">
        <f t="shared" si="19"/>
        <v>dolly</v>
      </c>
      <c r="E19" s="28" t="str">
        <f>A.Backend!H13</f>
        <v>string</v>
      </c>
      <c r="F19" s="28" t="str">
        <f>A.Backend!G13</f>
        <v>30</v>
      </c>
      <c r="G19" s="28" t="str">
        <f t="shared" si="12"/>
        <v xml:space="preserve"> : string = '' ; </v>
      </c>
      <c r="H19" s="35" t="str">
        <f t="shared" ref="H19:H20" si="21">IF(E19="DateTime",
REPT(CHAR(9),3)&amp;"{headerName: this.l('"&amp;C19&amp;"'),headerTooltip: this.l('"&amp;C19&amp;"'),field: '"&amp;D19&amp;"',valueGetter: (params) =&gt; this.pipe.transform(params.data?."&amp;D19&amp;", 'dd/MM/yyyy'),flex: 1},",
IF(AND(E19="string",F19="1"),
REPT(CHAR(9),3)&amp;"{headerName: this.l('"&amp;C19&amp;"'),headerTooltip: this.l('"&amp;C19&amp;"'),field:  '"&amp;D19&amp;"', cellClass: ['text-center'], width: 120, cellRenderer: 'agCellButtonComponent',
buttonDefTwo: { text: params =&gt; (params.data?.'"&amp;D19&amp;"' == 'Y') ? 'Active' : 'Inactive',iconName: 'fa fa-circle',className: params =&gt; (params.data?.'"&amp;D19&amp;"' == 'Y') ? 'btnActive' : 'btnInActive',},}",
REPT(CHAR(9),3)&amp;"{headerName: this.l('"&amp;C19&amp;"'),headerTooltip: this.l('"&amp;C19&amp;"'),field: '"&amp;D19&amp;"',flex: 1},"))</f>
        <v xml:space="preserve">			{headerName: this.l('Dolly'),headerTooltip: this.l('Dolly'),field: 'dolly',flex: 1},</v>
      </c>
      <c r="I19" s="35" t="str">
        <f t="shared" ref="I19:I20" si="22"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IF(E19="string",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[(ngModel)]='dolly' name='dolly'
									class='form-control' [placeholder]="l('Dolly')"
									type='text' (keyup.enter)='searchDatas()'&gt;
								&lt;/div&gt;</v>
      </c>
      <c r="J19" s="28"/>
      <c r="K19" s="35" t="str">
        <f t="shared" ref="K19:K20" si="23">IF(OR(E19="DateTime",E19="TimeSpan"),
REPT(CHAR(9),5)&amp;"&lt;div class='col-md-12 form-group row'&gt;
"&amp;REPT(CHAR(9),6)&amp;"&lt;label class='col-md-2 form-control title'&gt;"&amp;C19&amp;"&lt;/label&gt;
"&amp;REPT(CHAR(9),6)&amp;"&lt;input type='text' class='col-md-10 form-control input-text' name='"&amp;D19&amp;"' 
"&amp;REPT(CHAR(9),6)&amp;"#datepicker='bsDatepicker' [(ngModel)]='rowdata."&amp;D19&amp;"'  bsDatepicker &gt;
"&amp;REPT(CHAR(9),5)&amp;"&lt;/div&gt;",
IF(AND(E19="string",F19="1"),
REPT(CHAR(9),5)&amp;"&lt;div class='col-md-12 form-group row'&gt;
"&amp;REPT(CHAR(9),6)&amp;"&lt;label class='col-md-2 form-control title'&gt;"&amp;C19&amp;"&lt;/label&gt;
"&amp;REPT(CHAR(9),6)&amp;"&lt;new-checkbox [(ngModel)]='_"&amp;D19&amp;"' name='"&amp;D19&amp;"' className='col-md-10' &gt; &lt;/new-checkbox&gt;
"&amp;REPT(CHAR(9),5)&amp;"&lt;/div&gt;",
IF(E19="string",
REPT(CHAR(9),5)&amp;"&lt;div class='col-md-12 form-group row'&gt;
"&amp;REPT(CHAR(9),6)&amp;"&lt;label class='col-md-2 form-control title'&gt;"&amp;C19&amp;"&lt;/label&gt;
"&amp;REPT(CHAR(9),6)&amp;"&lt;input type='text' class='col-md-10 form-control input-text' name='"&amp;B19&amp;"' [(ngModel)]='rowdata."&amp;D19&amp;"'&gt;
"&amp;REPT(CHAR(9),5)&amp;"&lt;/div&gt;",
IF(E19="int",
REPT(CHAR(9),5)&amp;"&lt;div class='col-md-12 form-group row'&gt;
"&amp;REPT(CHAR(9),6)&amp;"&lt;label class='col-md-2 form-control title'&gt;"&amp;C19&amp;"&lt;/label&gt;
"&amp;REPT(CHAR(9),6)&amp;"&lt;input type='number' class='col-md-10 form-control input-text' name='"&amp;B19&amp;"' [(ngModel)]='rowdata."&amp;D19&amp;"'&gt;
"&amp;REPT(CHAR(9),5)&amp;"&lt;/div&gt;",""))))</f>
        <v xml:space="preserve">					&lt;div class='col-md-12 form-group row'&gt;
						&lt;label class='col-md-2 form-control title'&gt;Dolly&lt;/label&gt;
						&lt;input type='text' class='col-md-10 form-control input-text' name='Dolly' [(ngModel)]='rowdata.dolly'&gt;
					&lt;/div&gt;</v>
      </c>
      <c r="L19" s="56" t="str">
        <f t="shared" si="20"/>
        <v/>
      </c>
      <c r="M19" s="28"/>
      <c r="N19" s="28"/>
      <c r="O19" s="28"/>
      <c r="P19" s="28"/>
      <c r="Q19" s="28"/>
      <c r="R19" s="28"/>
      <c r="S19" s="28" t="str">
        <f>REPT(CHAR(9),1)&amp;D19&amp;G19</f>
        <v xml:space="preserve">	dolly : string = '' ; </v>
      </c>
      <c r="T19" s="28" t="str">
        <f>REPT(CHAR(9),3)&amp;"this."&amp;D19&amp;","</f>
        <v xml:space="preserve">			this.dolly,</v>
      </c>
      <c r="U19" s="28" t="str">
        <f>IF(E19="int",REPT(CHAR(9),2)&amp;"this."&amp;D19&amp;" = 0,",REPT(CHAR(9),2)&amp;"this."&amp;D19&amp;" = '',")</f>
        <v xml:space="preserve">		this.dolly = '',</v>
      </c>
      <c r="V19" s="28" t="str">
        <f t="shared" ref="V19:V20" si="24">IF(AND(E19="string",F19="1"),D19,"")</f>
        <v/>
      </c>
    </row>
    <row r="20" spans="1:22" ht="18" customHeight="1" x14ac:dyDescent="0.25">
      <c r="A20" t="s">
        <v>363</v>
      </c>
      <c r="B20" s="28" t="str">
        <f t="shared" si="17"/>
        <v>IsPicking</v>
      </c>
      <c r="C20" s="28" t="str">
        <f t="shared" si="18"/>
        <v>Is Picking</v>
      </c>
      <c r="D20" s="28" t="str">
        <f t="shared" si="19"/>
        <v>isPicking</v>
      </c>
      <c r="E20" s="28" t="str">
        <f>A.Backend!H14</f>
        <v>bool</v>
      </c>
      <c r="F20" s="28" t="str">
        <f>A.Backend!G14</f>
        <v/>
      </c>
      <c r="G20" s="28" t="str">
        <f t="shared" si="12"/>
        <v/>
      </c>
      <c r="H20" s="35" t="str">
        <f t="shared" si="21"/>
        <v xml:space="preserve">			{headerName: this.l('Is Picking'),headerTooltip: this.l('Is Picking'),field: 'isPicking',flex: 1},</v>
      </c>
      <c r="I20" s="35" t="str">
        <f t="shared" si="22"/>
        <v/>
      </c>
      <c r="J20" s="28"/>
      <c r="K20" s="35" t="str">
        <f t="shared" si="23"/>
        <v/>
      </c>
      <c r="L20" s="56" t="str">
        <f t="shared" si="20"/>
        <v/>
      </c>
      <c r="M20" s="28"/>
      <c r="N20" s="28"/>
      <c r="O20" s="28"/>
      <c r="P20" s="28"/>
      <c r="Q20" s="28"/>
      <c r="R20" s="28"/>
      <c r="S20" s="28" t="str">
        <f t="shared" ref="S20" si="25">REPT(CHAR(9),1)&amp;D20&amp;G20</f>
        <v xml:space="preserve">	isPicking</v>
      </c>
      <c r="T20" s="28" t="str">
        <f t="shared" ref="T20" si="26">REPT(CHAR(9),3)&amp;"this."&amp;D20&amp;","</f>
        <v xml:space="preserve">			this.isPicking,</v>
      </c>
      <c r="U20" s="28" t="str">
        <f t="shared" ref="U20" si="27">IF(E20="int",REPT(CHAR(9),2)&amp;"this."&amp;D20&amp;" = 0,",REPT(CHAR(9),2)&amp;"this."&amp;D20&amp;" = '',")</f>
        <v xml:space="preserve">		this.isPicking = '',</v>
      </c>
      <c r="V20" s="28" t="str">
        <f t="shared" si="24"/>
        <v/>
      </c>
    </row>
    <row r="22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workbookViewId="0">
      <selection activeCell="B24" sqref="B24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263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2023-04-14T07:52:52Z</dcterms:modified>
</cp:coreProperties>
</file>
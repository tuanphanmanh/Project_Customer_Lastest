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909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quangtrung/Documents/Product/docs/design/assembly/"/>
    </mc:Choice>
  </mc:AlternateContent>
  <xr:revisionPtr revIDLastSave="0" documentId="8_{B57D768B-5D97-E24D-B9F4-563053274019}" xr6:coauthVersionLast="37" xr6:coauthVersionMax="37" xr10:uidLastSave="{00000000-0000-0000-0000-000000000000}"/>
  <bookViews>
    <workbookView xWindow="0" yWindow="500" windowWidth="28800" windowHeight="16420" activeTab="2" xr2:uid="{00000000-000D-0000-FFFF-FFFF00000000}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9"/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5" i="5" l="1"/>
  <c r="A16" i="5"/>
  <c r="A17" i="5"/>
  <c r="A18" i="5"/>
  <c r="A19" i="5"/>
  <c r="A20" i="5"/>
  <c r="A21" i="5"/>
  <c r="A22" i="5"/>
  <c r="C22" i="5" s="1"/>
  <c r="A23" i="5"/>
  <c r="A24" i="5"/>
  <c r="A25" i="5"/>
  <c r="A26" i="5"/>
  <c r="C26" i="5" s="1"/>
  <c r="A27" i="5"/>
  <c r="F27" i="5"/>
  <c r="E27" i="5"/>
  <c r="V27" i="5" s="1"/>
  <c r="C27" i="5"/>
  <c r="V26" i="5"/>
  <c r="L26" i="5"/>
  <c r="G26" i="5"/>
  <c r="F26" i="5"/>
  <c r="E26" i="5"/>
  <c r="F23" i="5"/>
  <c r="E23" i="5"/>
  <c r="V23" i="5" s="1"/>
  <c r="C23" i="5"/>
  <c r="L25" i="5"/>
  <c r="G25" i="5"/>
  <c r="F25" i="5"/>
  <c r="E25" i="5"/>
  <c r="I25" i="5" s="1"/>
  <c r="C25" i="5"/>
  <c r="B25" i="5"/>
  <c r="D25" i="5" s="1"/>
  <c r="F24" i="5"/>
  <c r="E24" i="5"/>
  <c r="C24" i="5"/>
  <c r="V22" i="5"/>
  <c r="L22" i="5"/>
  <c r="G22" i="5"/>
  <c r="F22" i="5"/>
  <c r="E22" i="5"/>
  <c r="L21" i="5"/>
  <c r="G21" i="5"/>
  <c r="F21" i="5"/>
  <c r="E21" i="5"/>
  <c r="C21" i="5"/>
  <c r="B21" i="5"/>
  <c r="D21" i="5" s="1"/>
  <c r="F20" i="5"/>
  <c r="E20" i="5"/>
  <c r="C20" i="5"/>
  <c r="B26" i="5" l="1"/>
  <c r="D26" i="5" s="1"/>
  <c r="U26" i="5" s="1"/>
  <c r="B22" i="5"/>
  <c r="D22" i="5" s="1"/>
  <c r="H22" i="5" s="1"/>
  <c r="K25" i="5"/>
  <c r="I21" i="5"/>
  <c r="T26" i="5"/>
  <c r="S26" i="5"/>
  <c r="H26" i="5"/>
  <c r="I26" i="5"/>
  <c r="B27" i="5"/>
  <c r="D27" i="5" s="1"/>
  <c r="K27" i="5" s="1"/>
  <c r="K26" i="5"/>
  <c r="G27" i="5"/>
  <c r="B23" i="5"/>
  <c r="D23" i="5" s="1"/>
  <c r="K23" i="5"/>
  <c r="G23" i="5"/>
  <c r="L23" i="5"/>
  <c r="S22" i="5"/>
  <c r="U25" i="5"/>
  <c r="T25" i="5"/>
  <c r="S25" i="5"/>
  <c r="I24" i="5"/>
  <c r="B24" i="5"/>
  <c r="D24" i="5" s="1"/>
  <c r="V25" i="5"/>
  <c r="G24" i="5"/>
  <c r="L24" i="5"/>
  <c r="V24" i="5"/>
  <c r="H25" i="5"/>
  <c r="H21" i="5"/>
  <c r="T21" i="5"/>
  <c r="S21" i="5"/>
  <c r="U21" i="5"/>
  <c r="V21" i="5"/>
  <c r="K21" i="5"/>
  <c r="B20" i="5"/>
  <c r="D20" i="5" s="1"/>
  <c r="I20" i="5" s="1"/>
  <c r="G20" i="5"/>
  <c r="L20" i="5"/>
  <c r="V20" i="5"/>
  <c r="T22" i="5" l="1"/>
  <c r="K22" i="5"/>
  <c r="U22" i="5"/>
  <c r="I22" i="5"/>
  <c r="U27" i="5"/>
  <c r="I27" i="5"/>
  <c r="H27" i="5"/>
  <c r="L27" i="5"/>
  <c r="T27" i="5"/>
  <c r="S27" i="5"/>
  <c r="T23" i="5"/>
  <c r="S23" i="5"/>
  <c r="I23" i="5"/>
  <c r="U23" i="5"/>
  <c r="H23" i="5"/>
  <c r="T24" i="5"/>
  <c r="S24" i="5"/>
  <c r="U24" i="5"/>
  <c r="H24" i="5"/>
  <c r="K24" i="5"/>
  <c r="H20" i="5"/>
  <c r="U20" i="5"/>
  <c r="K20" i="5"/>
  <c r="S20" i="5"/>
  <c r="T20" i="5"/>
  <c r="D14" i="1" l="1"/>
  <c r="E14" i="1"/>
  <c r="H14" i="1" s="1"/>
  <c r="I14" i="1" s="1"/>
  <c r="G14" i="1"/>
  <c r="L14" i="1"/>
  <c r="P14" i="1"/>
  <c r="T14" i="1"/>
  <c r="V14" i="1"/>
  <c r="D15" i="1"/>
  <c r="P15" i="1" s="1"/>
  <c r="E15" i="1"/>
  <c r="H15" i="1" s="1"/>
  <c r="G15" i="1"/>
  <c r="L15" i="1"/>
  <c r="V15" i="1"/>
  <c r="D16" i="1"/>
  <c r="V16" i="1" s="1"/>
  <c r="E16" i="1"/>
  <c r="H16" i="1" s="1"/>
  <c r="I16" i="1" s="1"/>
  <c r="G16" i="1"/>
  <c r="T16" i="1"/>
  <c r="D17" i="1"/>
  <c r="P17" i="1" s="1"/>
  <c r="E17" i="1"/>
  <c r="H17" i="1" s="1"/>
  <c r="G17" i="1"/>
  <c r="L17" i="1"/>
  <c r="D18" i="1"/>
  <c r="P18" i="1" s="1"/>
  <c r="E18" i="1"/>
  <c r="H18" i="1" s="1"/>
  <c r="G18" i="1"/>
  <c r="L18" i="1"/>
  <c r="D19" i="1"/>
  <c r="E19" i="1"/>
  <c r="H19" i="1" s="1"/>
  <c r="G19" i="1"/>
  <c r="V19" i="1"/>
  <c r="H21" i="1"/>
  <c r="G21" i="1"/>
  <c r="E21" i="1"/>
  <c r="D21" i="1"/>
  <c r="V21" i="1" s="1"/>
  <c r="L20" i="1"/>
  <c r="G20" i="1"/>
  <c r="E20" i="1"/>
  <c r="H20" i="1" s="1"/>
  <c r="D20" i="1"/>
  <c r="T20" i="1" s="1"/>
  <c r="D13" i="1"/>
  <c r="E13" i="1"/>
  <c r="H13" i="1" s="1"/>
  <c r="I13" i="1" s="1"/>
  <c r="G13" i="1"/>
  <c r="L13" i="1"/>
  <c r="P13" i="1"/>
  <c r="T13" i="1"/>
  <c r="V13" i="1"/>
  <c r="M13" i="1" l="1"/>
  <c r="W21" i="1"/>
  <c r="P21" i="1"/>
  <c r="T21" i="1"/>
  <c r="T18" i="1"/>
  <c r="V18" i="1"/>
  <c r="I18" i="1"/>
  <c r="V17" i="1"/>
  <c r="P16" i="1"/>
  <c r="J17" i="1"/>
  <c r="W17" i="1"/>
  <c r="M17" i="1"/>
  <c r="I17" i="1"/>
  <c r="N17" i="1"/>
  <c r="O17" i="1"/>
  <c r="I19" i="1"/>
  <c r="N19" i="1"/>
  <c r="J19" i="1"/>
  <c r="O19" i="1"/>
  <c r="W19" i="1"/>
  <c r="M19" i="1"/>
  <c r="M15" i="1"/>
  <c r="I15" i="1"/>
  <c r="N15" i="1"/>
  <c r="J15" i="1"/>
  <c r="O15" i="1"/>
  <c r="W15" i="1"/>
  <c r="M14" i="1"/>
  <c r="T19" i="1"/>
  <c r="W18" i="1"/>
  <c r="O18" i="1"/>
  <c r="J18" i="1"/>
  <c r="T17" i="1"/>
  <c r="W16" i="1"/>
  <c r="O16" i="1"/>
  <c r="J16" i="1"/>
  <c r="T15" i="1"/>
  <c r="W14" i="1"/>
  <c r="O14" i="1"/>
  <c r="J14" i="1"/>
  <c r="M18" i="1"/>
  <c r="M16" i="1"/>
  <c r="P19" i="1"/>
  <c r="N18" i="1"/>
  <c r="N16" i="1"/>
  <c r="N14" i="1"/>
  <c r="M20" i="1"/>
  <c r="W20" i="1"/>
  <c r="O20" i="1"/>
  <c r="J20" i="1"/>
  <c r="N20" i="1"/>
  <c r="I20" i="1"/>
  <c r="V20" i="1"/>
  <c r="M21" i="1"/>
  <c r="P20" i="1"/>
  <c r="I21" i="1"/>
  <c r="N21" i="1"/>
  <c r="J21" i="1"/>
  <c r="O21" i="1"/>
  <c r="W13" i="1"/>
  <c r="O13" i="1"/>
  <c r="J13" i="1"/>
  <c r="N13" i="1"/>
  <c r="W3" i="1"/>
  <c r="V3" i="1"/>
  <c r="B2" i="5" l="1"/>
  <c r="B3" i="5" s="1"/>
  <c r="C19" i="5"/>
  <c r="B18" i="5"/>
  <c r="D18" i="5" s="1"/>
  <c r="F19" i="5"/>
  <c r="G12" i="1"/>
  <c r="F18" i="5" s="1"/>
  <c r="E12" i="1"/>
  <c r="H12" i="1" s="1"/>
  <c r="D12" i="1"/>
  <c r="O12" i="1" l="1"/>
  <c r="M12" i="1"/>
  <c r="T12" i="1"/>
  <c r="V12" i="1"/>
  <c r="W12" i="1"/>
  <c r="E18" i="5"/>
  <c r="E19" i="5"/>
  <c r="T18" i="5"/>
  <c r="C18" i="5"/>
  <c r="B19" i="5"/>
  <c r="D19" i="5" s="1"/>
  <c r="I12" i="1"/>
  <c r="P12" i="1"/>
  <c r="B6" i="5"/>
  <c r="L19" i="5" l="1"/>
  <c r="K19" i="5"/>
  <c r="H19" i="5"/>
  <c r="I19" i="5"/>
  <c r="L18" i="5"/>
  <c r="H18" i="5"/>
  <c r="I18" i="5"/>
  <c r="K18" i="5"/>
  <c r="G19" i="5"/>
  <c r="S19" i="5" s="1"/>
  <c r="U19" i="5"/>
  <c r="V19" i="5"/>
  <c r="G18" i="5"/>
  <c r="S18" i="5" s="1"/>
  <c r="U18" i="5"/>
  <c r="V18" i="5"/>
  <c r="T19" i="5"/>
  <c r="U7" i="1" l="1"/>
  <c r="B7" i="5" l="1"/>
  <c r="Q3" i="1" l="1"/>
  <c r="T3" i="1"/>
  <c r="F3" i="1"/>
  <c r="O7" i="1" l="1"/>
  <c r="N7" i="1"/>
  <c r="E58" i="3" s="1"/>
  <c r="B4" i="5"/>
  <c r="K7" i="1"/>
  <c r="H6" i="1"/>
  <c r="R10" i="5" l="1"/>
  <c r="M65" i="3" s="1"/>
  <c r="N58" i="3" l="1"/>
  <c r="B8" i="5"/>
  <c r="B5" i="5"/>
  <c r="D9" i="1"/>
  <c r="V9" i="1" l="1"/>
  <c r="T9" i="1"/>
  <c r="P10" i="5"/>
  <c r="K65" i="3" s="1"/>
  <c r="Q10" i="5"/>
  <c r="L65" i="3" s="1"/>
  <c r="B63" i="3"/>
  <c r="C63" i="3" s="1"/>
  <c r="M14" i="5"/>
  <c r="H64" i="3" s="1"/>
  <c r="L14" i="5"/>
  <c r="G64" i="3" s="1"/>
  <c r="K14" i="5"/>
  <c r="F64" i="3" s="1"/>
  <c r="L64" i="3"/>
  <c r="K64" i="3"/>
  <c r="O14" i="5"/>
  <c r="J64" i="3" s="1"/>
  <c r="N14" i="5"/>
  <c r="I64" i="3" s="1"/>
  <c r="J14" i="5"/>
  <c r="E64" i="3" s="1"/>
  <c r="I14" i="5"/>
  <c r="D64" i="3" s="1"/>
  <c r="H14" i="5"/>
  <c r="C64" i="3" s="1"/>
  <c r="O10" i="5"/>
  <c r="J65" i="3" s="1"/>
  <c r="N10" i="5"/>
  <c r="I65" i="3" s="1"/>
  <c r="M10" i="5"/>
  <c r="H65" i="3" s="1"/>
  <c r="J10" i="5"/>
  <c r="E65" i="3" s="1"/>
  <c r="N3" i="1" l="1"/>
  <c r="M3" i="1"/>
  <c r="O3" i="1"/>
  <c r="D10" i="1"/>
  <c r="D11" i="1"/>
  <c r="V11" i="1" l="1"/>
  <c r="T11" i="1"/>
  <c r="V10" i="1"/>
  <c r="T10" i="1"/>
  <c r="C15" i="5"/>
  <c r="B15" i="5"/>
  <c r="D15" i="5" s="1"/>
  <c r="K12" i="5" l="1"/>
  <c r="H12" i="5"/>
  <c r="V12" i="5"/>
  <c r="T12" i="5"/>
  <c r="U12" i="5"/>
  <c r="I12" i="5"/>
  <c r="L12" i="5"/>
  <c r="S12" i="5"/>
  <c r="T15" i="5"/>
  <c r="C17" i="5"/>
  <c r="B17" i="5"/>
  <c r="D17" i="5" s="1"/>
  <c r="C16" i="5"/>
  <c r="B16" i="5"/>
  <c r="D16" i="5" s="1"/>
  <c r="T16" i="5" s="1"/>
  <c r="T17" i="5" l="1"/>
  <c r="R3" i="1"/>
  <c r="D1" i="1"/>
  <c r="F6" i="1"/>
  <c r="T13" i="5"/>
  <c r="L11" i="1" l="1"/>
  <c r="G9" i="1"/>
  <c r="F15" i="5" s="1"/>
  <c r="G10" i="1"/>
  <c r="F16" i="5" s="1"/>
  <c r="G11" i="1"/>
  <c r="F17" i="5" s="1"/>
  <c r="E9" i="1"/>
  <c r="H9" i="1" s="1"/>
  <c r="E10" i="1"/>
  <c r="H10" i="1" s="1"/>
  <c r="E11" i="1"/>
  <c r="H11" i="1" s="1"/>
  <c r="P9" i="1"/>
  <c r="P10" i="1"/>
  <c r="P11" i="1"/>
  <c r="M11" i="1" l="1"/>
  <c r="O11" i="1"/>
  <c r="N11" i="1"/>
  <c r="O10" i="1"/>
  <c r="M10" i="1"/>
  <c r="N10" i="1"/>
  <c r="M9" i="1"/>
  <c r="O9" i="1"/>
  <c r="W11" i="1"/>
  <c r="E17" i="5"/>
  <c r="E15" i="5"/>
  <c r="W9" i="1"/>
  <c r="W10" i="1"/>
  <c r="E16" i="5"/>
  <c r="T7" i="1"/>
  <c r="I11" i="1"/>
  <c r="I10" i="1"/>
  <c r="I9" i="1"/>
  <c r="L15" i="5" l="1"/>
  <c r="K15" i="5"/>
  <c r="I15" i="5"/>
  <c r="H15" i="5"/>
  <c r="L16" i="5"/>
  <c r="I16" i="5"/>
  <c r="K16" i="5"/>
  <c r="H16" i="5"/>
  <c r="L17" i="5"/>
  <c r="H17" i="5"/>
  <c r="I17" i="5"/>
  <c r="K17" i="5"/>
  <c r="G16" i="5"/>
  <c r="S16" i="5" s="1"/>
  <c r="U16" i="5"/>
  <c r="V16" i="5"/>
  <c r="G15" i="5"/>
  <c r="S15" i="5" s="1"/>
  <c r="V15" i="5"/>
  <c r="U15" i="5"/>
  <c r="G17" i="5"/>
  <c r="S17" i="5" s="1"/>
  <c r="U17" i="5"/>
  <c r="V17" i="5"/>
  <c r="G6" i="1"/>
  <c r="K13" i="5"/>
  <c r="H13" i="5"/>
  <c r="S13" i="5"/>
  <c r="L13" i="5"/>
  <c r="I13" i="5"/>
  <c r="U13" i="5"/>
  <c r="V13" i="5"/>
  <c r="K10" i="5" l="1"/>
  <c r="F65" i="3" s="1"/>
  <c r="I10" i="5"/>
  <c r="D65" i="3" s="1"/>
  <c r="H10" i="5"/>
  <c r="C65" i="3" s="1"/>
  <c r="L10" i="5"/>
  <c r="G65" i="3" s="1"/>
  <c r="L58" i="3"/>
  <c r="D58" i="3"/>
  <c r="D6" i="1"/>
  <c r="B6" i="1" l="1"/>
  <c r="L3" i="1"/>
  <c r="J3" i="1"/>
  <c r="H3" i="1"/>
  <c r="C6" i="1" l="1"/>
  <c r="P7" i="1" s="1"/>
  <c r="S3" i="1"/>
  <c r="S7" i="1" s="1"/>
  <c r="E6" i="1"/>
  <c r="F58" i="3"/>
  <c r="I3" i="1" l="1"/>
  <c r="B7" i="1"/>
  <c r="L12" i="1" l="1"/>
  <c r="L16" i="1"/>
  <c r="L19" i="1"/>
  <c r="L21" i="1"/>
  <c r="N12" i="1"/>
  <c r="J12" i="1"/>
  <c r="N9" i="1"/>
  <c r="L9" i="1"/>
  <c r="L10" i="1"/>
  <c r="J11" i="1"/>
  <c r="J9" i="1"/>
  <c r="J10" i="1"/>
  <c r="C7" i="1"/>
  <c r="Q7" i="1" l="1"/>
  <c r="M58" i="3" s="1"/>
  <c r="L7" i="1"/>
  <c r="G58" i="3" s="1"/>
  <c r="K58" i="3"/>
  <c r="J58" i="3"/>
  <c r="R7" i="1" l="1"/>
  <c r="I58" i="3" s="1"/>
  <c r="M7" i="1"/>
  <c r="H58" i="3" s="1"/>
  <c r="J7" i="1"/>
  <c r="C58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S_member</author>
    <author>Quang Trung</author>
  </authors>
  <commentList>
    <comment ref="C57" authorId="0" shapeId="0" xr:uid="{00000000-0006-0000-0000-000001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</t>
        </r>
      </text>
    </comment>
    <comment ref="D57" authorId="0" shapeId="0" xr:uid="{00000000-0006-0000-0000-000002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E57" authorId="0" shapeId="0" xr:uid="{00000000-0006-0000-0000-000003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F57" authorId="0" shapeId="0" xr:uid="{00000000-0006-0000-0000-000004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EF Core</t>
        </r>
      </text>
    </comment>
    <comment ref="G57" authorId="0" shapeId="0" xr:uid="{00000000-0006-0000-0000-000005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H57" authorId="0" shapeId="0" xr:uid="{00000000-0006-0000-0000-000006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I57" authorId="1" shapeId="0" xr:uid="{00000000-0006-0000-0000-000007000000}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J57" authorId="0" shapeId="0" xr:uid="{00000000-0006-0000-0000-000008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K57" authorId="1" shapeId="0" xr:uid="{00000000-0006-0000-0000-000009000000}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L57" authorId="1" shapeId="0" xr:uid="{00000000-0006-0000-0000-00000A000000}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M57" authorId="1" shapeId="0" xr:uid="{00000000-0006-0000-0000-00000B000000}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N57" authorId="1" shapeId="0" xr:uid="{00000000-0006-0000-0000-00000C000000}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<sst xmlns="http://schemas.openxmlformats.org/spreadsheetml/2006/main" count="441" uniqueCount="343">
  <si>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</si>
  <si>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</si>
  <si>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</si>
  <si>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</si>
  <si>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</si>
  <si>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</si>
  <si>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</si>
  <si>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</si>
  <si>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</si>
  <si>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</si>
  <si>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</si>
  <si>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</si>
  <si>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</si>
  <si>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</si>
  <si>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</si>
  <si>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</si>
  <si>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</si>
  <si>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</si>
  <si>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</si>
  <si>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</si>
  <si>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</si>
  <si>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</si>
  <si>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</si>
  <si>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</si>
  <si>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</si>
  <si>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</si>
  <si>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</si>
  <si>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</si>
  <si>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</si>
  <si>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</si>
  <si>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</si>
  <si>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</si>
  <si>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DateTime</t>
  </si>
  <si>
    <t>string</t>
  </si>
  <si>
    <t>byte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</si>
  <si>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</si>
  <si>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</si>
  <si>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</si>
  <si>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</si>
  <si>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</si>
  <si>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</si>
  <si>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</si>
  <si>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</si>
  <si>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</si>
  <si>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</si>
  <si>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</si>
  <si>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</si>
  <si>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</si>
  <si>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long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</si>
  <si>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</si>
  <si>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</si>
  <si>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</si>
  <si>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</si>
  <si>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</si>
  <si>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</si>
  <si>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</si>
  <si>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</si>
  <si>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</si>
  <si>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</si>
  <si>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</si>
  <si>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</si>
  <si>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</si>
  <si>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</si>
  <si>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</si>
  <si>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</si>
  <si>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</si>
  <si>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</si>
  <si>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</si>
  <si>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</si>
  <si>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</si>
  <si>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</si>
  <si>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</si>
  <si>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</si>
  <si>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</si>
  <si>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</si>
  <si>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</si>
  <si>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</si>
  <si>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</si>
  <si>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</si>
  <si>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Unchecked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</si>
  <si>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</si>
  <si>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</si>
  <si>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</si>
  <si>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</si>
  <si>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</si>
  <si>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</si>
  <si>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</si>
  <si>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</si>
  <si>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</si>
  <si>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</si>
  <si>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</si>
  <si>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</si>
  <si>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</si>
  <si>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</si>
  <si>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</si>
  <si>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</si>
  <si>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</si>
  <si>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</si>
  <si>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</si>
  <si>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</si>
  <si>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</si>
  <si>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</si>
  <si>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</si>
  <si>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</si>
  <si>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</si>
  <si>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</si>
  <si>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</si>
  <si>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</si>
  <si>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</si>
  <si>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</si>
  <si>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</si>
  <si>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</si>
  <si>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</si>
  <si>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</si>
  <si>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</si>
  <si>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</si>
  <si>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</si>
  <si>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</si>
  <si>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</si>
  <si>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</si>
  <si>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</si>
  <si>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</si>
  <si>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</si>
  <si>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</si>
  <si>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</si>
  <si>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</si>
  <si>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</si>
  <si>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</si>
  <si>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</si>
  <si>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</si>
  <si>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</si>
  <si>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</si>
  <si>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</si>
  <si>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</si>
  <si>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</si>
  <si>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</si>
  <si>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</si>
  <si>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</si>
  <si>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</si>
  <si>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</si>
  <si>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</si>
  <si>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</si>
  <si>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</si>
  <si>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</si>
  <si>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</si>
  <si>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</si>
  <si>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</si>
  <si>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</si>
  <si>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</si>
  <si>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</si>
  <si>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</si>
  <si>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</si>
  <si>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</si>
  <si>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</si>
  <si>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</si>
  <si>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</si>
  <si>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</si>
  <si>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</si>
  <si>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</si>
  <si>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</si>
  <si>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</si>
  <si>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</si>
  <si>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</si>
  <si>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</si>
  <si>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</si>
  <si>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</si>
  <si>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</si>
  <si>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</si>
  <si>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</si>
  <si>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</si>
  <si>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</si>
  <si>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</si>
  <si>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</si>
  <si>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</si>
  <si>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</si>
  <si>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</si>
  <si>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</si>
  <si>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</si>
  <si>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</si>
  <si>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</si>
  <si>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</si>
  <si>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</si>
  <si>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</si>
  <si>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</si>
  <si>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</si>
  <si>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</si>
  <si>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</si>
  <si>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</si>
  <si>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</si>
  <si>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</si>
  <si>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</si>
  <si>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</si>
  <si>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</si>
  <si>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</si>
  <si>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</si>
  <si>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</si>
  <si>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</si>
  <si>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</si>
  <si>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</si>
  <si>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</si>
  <si>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</si>
  <si>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</si>
  <si>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</si>
  <si>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</si>
  <si>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</si>
  <si>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</si>
  <si>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Y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</si>
  <si>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</si>
  <si>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</si>
  <si>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</si>
  <si>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</si>
  <si>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</si>
  <si>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</si>
  <si>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</si>
  <si>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</si>
  <si>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</si>
  <si>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</si>
  <si>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</si>
  <si>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</si>
  <si>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</si>
  <si>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</si>
  <si>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</si>
  <si>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</si>
  <si>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</si>
  <si>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</si>
  <si>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</si>
  <si>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</si>
  <si>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</si>
  <si>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</si>
  <si>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</si>
  <si>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</si>
  <si>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</si>
  <si>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</si>
  <si>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</si>
  <si>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</si>
  <si>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</si>
  <si>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</si>
  <si>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</si>
  <si>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</si>
  <si>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</si>
  <si>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</si>
  <si>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</si>
  <si>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</si>
  <si>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</si>
  <si>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</si>
  <si>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</si>
  <si>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</si>
  <si>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</si>
  <si>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datetime2(7)</t>
  </si>
  <si>
    <t>Painting Andon Scan Info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</si>
  <si>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</si>
  <si>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</si>
  <si>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</si>
  <si>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</si>
  <si>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</si>
  <si>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</si>
  <si>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</si>
  <si>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</si>
  <si>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</si>
  <si>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</si>
  <si>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</si>
  <si>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</si>
  <si>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</si>
  <si>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</si>
  <si>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</si>
  <si>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</si>
  <si>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</si>
  <si>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</si>
  <si>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</si>
  <si>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</si>
  <si>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TimeSpan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</si>
  <si>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</si>
  <si>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</si>
  <si>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</si>
  <si>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</si>
  <si>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</si>
  <si>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</si>
  <si>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</si>
  <si>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</si>
  <si>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</si>
  <si>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</si>
  <si>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</si>
  <si>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</si>
  <si>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</si>
  <si>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</si>
  <si>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</si>
  <si>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</si>
  <si>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</si>
  <si>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</si>
  <si>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</si>
  <si>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</si>
  <si>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</si>
  <si>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</si>
  <si>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</si>
  <si>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</si>
  <si>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</si>
  <si>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</si>
  <si>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</si>
  <si>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</si>
  <si>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</si>
  <si>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</si>
  <si>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</si>
  <si>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</si>
  <si>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Pln</t>
  </si>
  <si>
    <t>FrmAdo</t>
  </si>
  <si>
    <t>WldAdo</t>
  </si>
  <si>
    <t>Ccr</t>
  </si>
  <si>
    <t>PlnCcr</t>
  </si>
  <si>
    <t>CCR Plan</t>
  </si>
  <si>
    <t>LogA</t>
  </si>
  <si>
    <t>Lga</t>
  </si>
  <si>
    <t>MstLga</t>
  </si>
  <si>
    <t>LotDirectSupply</t>
  </si>
  <si>
    <t>Lds</t>
  </si>
  <si>
    <t>LgaLds</t>
  </si>
  <si>
    <t>LgaBmp</t>
  </si>
  <si>
    <t>Ekanban</t>
  </si>
  <si>
    <t>Ekb</t>
  </si>
  <si>
    <t>LgaEkb</t>
  </si>
  <si>
    <t>BigPart2x2</t>
  </si>
  <si>
    <t>Bp2</t>
  </si>
  <si>
    <t>LgaBp2</t>
  </si>
  <si>
    <t>Plan</t>
  </si>
  <si>
    <t>WorkingDate</t>
  </si>
  <si>
    <t>NoInDate</t>
  </si>
  <si>
    <t>Line</t>
  </si>
  <si>
    <t>Process</t>
  </si>
  <si>
    <t>Model</t>
  </si>
  <si>
    <t>Body</t>
  </si>
  <si>
    <t>SeqNo</t>
  </si>
  <si>
    <t>Grade</t>
  </si>
  <si>
    <t>LotNo</t>
  </si>
  <si>
    <t>NoInLot</t>
  </si>
  <si>
    <t>LotNoIndex</t>
  </si>
  <si>
    <t>Color</t>
  </si>
  <si>
    <t>CreateDate</t>
  </si>
  <si>
    <t>varchar(10)</t>
  </si>
  <si>
    <t>varchar(2)</t>
  </si>
  <si>
    <t>varchar(5)</t>
  </si>
  <si>
    <t>Asy.Andon</t>
  </si>
  <si>
    <t>AsyAdoAssemblyData</t>
  </si>
  <si>
    <t>AssemblyData</t>
  </si>
  <si>
    <t>Assembly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</si>
</sst>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</fonts>
  <fills count="13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8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0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6" borderId="0" xfId="0" applyFill="1" applyAlignment="1">
      <alignment wrapText="1"/>
    </xf>
    <xf numFmtId="0" fontId="0" fillId="6" borderId="0" xfId="0" applyFill="1"/>
    <xf numFmtId="0" fontId="2" fillId="6" borderId="0" xfId="0" applyFont="1" applyFill="1"/>
    <xf numFmtId="0" fontId="5" fillId="0" borderId="0" xfId="0" applyFont="1"/>
    <xf numFmtId="0" fontId="0" fillId="0" borderId="0" xfId="0" applyAlignment="1">
      <alignment vertical="center"/>
    </xf>
    <xf numFmtId="0" fontId="0" fillId="0" borderId="0" xfId="0" applyFont="1"/>
    <xf numFmtId="0" fontId="0" fillId="0" borderId="0" xfId="0" quotePrefix="1"/>
    <xf numFmtId="0" fontId="6" fillId="0" borderId="0" xfId="0" applyFont="1"/>
    <xf numFmtId="0" fontId="7" fillId="2" borderId="0" xfId="0" applyFont="1" applyFill="1"/>
    <xf numFmtId="0" fontId="8" fillId="8" borderId="0" xfId="0" applyFont="1" applyFill="1"/>
    <xf numFmtId="0" fontId="10" fillId="0" borderId="0" xfId="0" applyFont="1"/>
    <xf numFmtId="0" fontId="10" fillId="9" borderId="0" xfId="0" applyFont="1" applyFill="1"/>
    <xf numFmtId="0" fontId="0" fillId="10" borderId="0" xfId="0" applyFill="1"/>
    <xf numFmtId="0" fontId="9" fillId="10" borderId="0" xfId="0" quotePrefix="1" applyFont="1" applyFill="1"/>
    <xf numFmtId="0" fontId="10" fillId="10" borderId="0" xfId="0" applyFont="1" applyFill="1"/>
    <xf numFmtId="0" fontId="11" fillId="0" borderId="0" xfId="0" applyFont="1"/>
    <xf numFmtId="0" fontId="0" fillId="0" borderId="0" xfId="0" applyAlignment="1">
      <alignment wrapText="1"/>
    </xf>
    <xf numFmtId="0" fontId="0" fillId="0" borderId="0" xfId="0" applyBorder="1" applyAlignment="1">
      <alignment vertical="center"/>
    </xf>
    <xf numFmtId="0" fontId="0" fillId="7" borderId="2" xfId="0" applyFill="1" applyBorder="1" applyAlignment="1">
      <alignment wrapText="1"/>
    </xf>
    <xf numFmtId="0" fontId="0" fillId="0" borderId="3" xfId="0" applyBorder="1"/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1" borderId="3" xfId="0" applyFill="1" applyBorder="1" applyAlignment="1">
      <alignment horizontal="center"/>
    </xf>
    <xf numFmtId="0" fontId="0" fillId="11" borderId="3" xfId="0" applyFill="1" applyBorder="1" applyAlignment="1">
      <alignment horizontal="center" vertical="center"/>
    </xf>
    <xf numFmtId="0" fontId="0" fillId="11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0" borderId="3" xfId="0" applyFill="1" applyBorder="1" applyAlignment="1">
      <alignment vertical="top" wrapText="1"/>
    </xf>
    <xf numFmtId="0" fontId="0" fillId="10" borderId="3" xfId="0" applyFill="1" applyBorder="1" applyAlignment="1">
      <alignment horizontal="left" vertical="top" wrapText="1"/>
    </xf>
    <xf numFmtId="0" fontId="0" fillId="10" borderId="3" xfId="0" applyFill="1" applyBorder="1" applyAlignment="1">
      <alignment wrapText="1"/>
    </xf>
    <xf numFmtId="0" fontId="0" fillId="9" borderId="3" xfId="0" applyFill="1" applyBorder="1" applyAlignment="1">
      <alignment vertical="top" wrapText="1"/>
    </xf>
    <xf numFmtId="0" fontId="0" fillId="9" borderId="3" xfId="0" applyFill="1" applyBorder="1" applyAlignment="1"/>
    <xf numFmtId="0" fontId="0" fillId="9" borderId="3" xfId="0" applyFill="1" applyBorder="1" applyAlignment="1">
      <alignment wrapText="1"/>
    </xf>
    <xf numFmtId="0" fontId="0" fillId="9" borderId="1" xfId="0" applyFill="1" applyBorder="1" applyAlignment="1"/>
    <xf numFmtId="0" fontId="2" fillId="12" borderId="0" xfId="0" applyFont="1" applyFill="1" applyAlignment="1">
      <alignment vertical="center"/>
    </xf>
    <xf numFmtId="0" fontId="0" fillId="10" borderId="3" xfId="0" applyFill="1" applyBorder="1"/>
    <xf numFmtId="0" fontId="0" fillId="10" borderId="3" xfId="0" applyFill="1" applyBorder="1" applyAlignment="1">
      <alignment horizontal="left" vertical="top"/>
    </xf>
    <xf numFmtId="0" fontId="0" fillId="9" borderId="3" xfId="0" applyFont="1" applyFill="1" applyBorder="1" applyAlignment="1">
      <alignment horizontal="left" vertical="center"/>
    </xf>
    <xf numFmtId="0" fontId="0" fillId="9" borderId="3" xfId="0" applyFill="1" applyBorder="1" applyAlignment="1">
      <alignment horizontal="left" vertical="top"/>
    </xf>
    <xf numFmtId="0" fontId="0" fillId="9" borderId="3" xfId="0" applyFill="1" applyBorder="1"/>
    <xf numFmtId="0" fontId="0" fillId="8" borderId="3" xfId="0" applyFill="1" applyBorder="1"/>
    <xf numFmtId="0" fontId="0" fillId="9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2" borderId="3" xfId="0" applyFont="1" applyFill="1" applyBorder="1" applyAlignment="1">
      <alignment vertical="center"/>
    </xf>
    <xf numFmtId="0" fontId="0" fillId="9" borderId="4" xfId="0" applyFill="1" applyBorder="1" applyAlignment="1">
      <alignment vertical="top" wrapText="1"/>
    </xf>
    <xf numFmtId="0" fontId="14" fillId="8" borderId="0" xfId="0" applyFont="1" applyFill="1"/>
    <xf numFmtId="0" fontId="0" fillId="7" borderId="0" xfId="0" applyFill="1" applyBorder="1" applyAlignment="1">
      <alignment wrapText="1"/>
    </xf>
    <xf numFmtId="0" fontId="15" fillId="3" borderId="0" xfId="0" applyFont="1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0" borderId="3" xfId="0" applyFill="1" applyBorder="1"/>
    <xf numFmtId="0" fontId="12" fillId="0" borderId="3" xfId="0" applyFont="1" applyBorder="1" applyAlignment="1">
      <alignment horizontal="center"/>
    </xf>
    <xf numFmtId="0" fontId="13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N67"/>
  <sheetViews>
    <sheetView topLeftCell="A6" workbookViewId="0">
      <selection activeCell="G38" sqref="G38"/>
    </sheetView>
  </sheetViews>
  <sheetFormatPr baseColWidth="10" defaultColWidth="8.83203125" defaultRowHeight="15" x14ac:dyDescent="0.2"/>
  <cols>
    <col min="1" max="1" width="3.5" customWidth="1"/>
    <col min="2" max="2" width="18.5" customWidth="1"/>
    <col min="3" max="5" width="26.1640625" customWidth="1"/>
    <col min="6" max="6" width="29.5" customWidth="1"/>
    <col min="7" max="10" width="26.1640625" customWidth="1"/>
    <col min="11" max="11" width="26.5" customWidth="1"/>
    <col min="12" max="12" width="27.6640625" customWidth="1"/>
    <col min="13" max="13" width="25.5" customWidth="1"/>
    <col min="14" max="18" width="18.5" customWidth="1"/>
  </cols>
  <sheetData>
    <row r="1" spans="1:7" ht="24" x14ac:dyDescent="0.3">
      <c r="A1" s="13" t="s">
        <v>73</v>
      </c>
    </row>
    <row r="2" spans="1:7" ht="16" x14ac:dyDescent="0.2">
      <c r="A2" s="1"/>
      <c r="B2" s="25" t="s">
        <v>196</v>
      </c>
    </row>
    <row r="3" spans="1:7" x14ac:dyDescent="0.2">
      <c r="A3" s="1"/>
      <c r="B3" s="1" t="s">
        <v>76</v>
      </c>
    </row>
    <row r="4" spans="1:7" x14ac:dyDescent="0.2">
      <c r="A4" s="1"/>
      <c r="B4" s="15" t="s">
        <v>75</v>
      </c>
    </row>
    <row r="5" spans="1:7" x14ac:dyDescent="0.2">
      <c r="A5" s="1"/>
      <c r="B5" s="15" t="s">
        <v>78</v>
      </c>
    </row>
    <row r="6" spans="1:7" x14ac:dyDescent="0.2">
      <c r="A6" s="1"/>
      <c r="B6" s="15" t="s">
        <v>87</v>
      </c>
    </row>
    <row r="7" spans="1:7" x14ac:dyDescent="0.2">
      <c r="A7" s="1"/>
      <c r="B7" s="15"/>
      <c r="C7" s="2" t="s">
        <v>97</v>
      </c>
      <c r="D7" s="2"/>
      <c r="E7" s="2"/>
      <c r="F7" s="2" t="s">
        <v>105</v>
      </c>
      <c r="G7" s="2" t="s">
        <v>287</v>
      </c>
    </row>
    <row r="8" spans="1:7" x14ac:dyDescent="0.2">
      <c r="A8" s="1"/>
      <c r="B8" s="15"/>
      <c r="C8" t="s">
        <v>89</v>
      </c>
      <c r="F8" s="1" t="s">
        <v>234</v>
      </c>
      <c r="G8" s="15" t="s">
        <v>234</v>
      </c>
    </row>
    <row r="9" spans="1:7" x14ac:dyDescent="0.2">
      <c r="A9" s="1"/>
      <c r="B9" s="15"/>
      <c r="C9" t="s">
        <v>88</v>
      </c>
      <c r="F9" s="1" t="s">
        <v>98</v>
      </c>
      <c r="G9" s="15" t="s">
        <v>98</v>
      </c>
    </row>
    <row r="10" spans="1:7" x14ac:dyDescent="0.2">
      <c r="A10" s="1"/>
      <c r="B10" s="15"/>
      <c r="D10" t="s">
        <v>89</v>
      </c>
      <c r="F10" s="1" t="s">
        <v>234</v>
      </c>
      <c r="G10" s="15" t="s">
        <v>288</v>
      </c>
    </row>
    <row r="11" spans="1:7" x14ac:dyDescent="0.2">
      <c r="A11" s="1"/>
      <c r="B11" s="15"/>
      <c r="D11" t="s">
        <v>90</v>
      </c>
      <c r="F11" s="1" t="s">
        <v>99</v>
      </c>
      <c r="G11" s="15" t="s">
        <v>289</v>
      </c>
    </row>
    <row r="12" spans="1:7" x14ac:dyDescent="0.2">
      <c r="A12" s="1"/>
      <c r="B12" s="15"/>
      <c r="D12" t="s">
        <v>91</v>
      </c>
      <c r="F12" s="1" t="s">
        <v>100</v>
      </c>
      <c r="G12" s="15" t="s">
        <v>290</v>
      </c>
    </row>
    <row r="13" spans="1:7" x14ac:dyDescent="0.2">
      <c r="A13" s="1"/>
      <c r="B13" s="15"/>
      <c r="D13" t="s">
        <v>92</v>
      </c>
      <c r="F13" s="1" t="s">
        <v>101</v>
      </c>
      <c r="G13" s="15" t="s">
        <v>291</v>
      </c>
    </row>
    <row r="14" spans="1:7" x14ac:dyDescent="0.2">
      <c r="A14" s="1"/>
      <c r="B14" s="15"/>
      <c r="D14" t="s">
        <v>93</v>
      </c>
      <c r="F14" s="1" t="s">
        <v>102</v>
      </c>
      <c r="G14" s="15" t="s">
        <v>292</v>
      </c>
    </row>
    <row r="15" spans="1:7" x14ac:dyDescent="0.2">
      <c r="A15" s="1"/>
      <c r="B15" s="15"/>
      <c r="D15" t="s">
        <v>94</v>
      </c>
      <c r="F15" s="1" t="s">
        <v>103</v>
      </c>
      <c r="G15" s="15" t="s">
        <v>293</v>
      </c>
    </row>
    <row r="16" spans="1:7" ht="12" customHeight="1" x14ac:dyDescent="0.2">
      <c r="A16" s="1"/>
      <c r="B16" s="15"/>
      <c r="D16" t="s">
        <v>273</v>
      </c>
      <c r="F16" s="1" t="s">
        <v>274</v>
      </c>
      <c r="G16" s="15" t="s">
        <v>294</v>
      </c>
    </row>
    <row r="17" spans="1:7" ht="12" customHeight="1" x14ac:dyDescent="0.2">
      <c r="A17" s="1"/>
      <c r="B17" s="15"/>
      <c r="D17" t="s">
        <v>309</v>
      </c>
      <c r="F17" s="1" t="s">
        <v>310</v>
      </c>
      <c r="G17" s="15" t="s">
        <v>311</v>
      </c>
    </row>
    <row r="18" spans="1:7" x14ac:dyDescent="0.2">
      <c r="A18" s="1"/>
      <c r="B18" s="15"/>
      <c r="C18" t="s">
        <v>91</v>
      </c>
      <c r="F18" s="1" t="s">
        <v>100</v>
      </c>
      <c r="G18" s="15" t="s">
        <v>100</v>
      </c>
    </row>
    <row r="19" spans="1:7" x14ac:dyDescent="0.2">
      <c r="A19" s="1"/>
      <c r="B19" s="15"/>
      <c r="D19" t="s">
        <v>95</v>
      </c>
      <c r="F19" s="1" t="s">
        <v>114</v>
      </c>
      <c r="G19" s="15" t="s">
        <v>295</v>
      </c>
    </row>
    <row r="20" spans="1:7" x14ac:dyDescent="0.2">
      <c r="A20" s="1"/>
      <c r="B20" s="15"/>
      <c r="D20" t="s">
        <v>96</v>
      </c>
      <c r="F20" s="1" t="s">
        <v>104</v>
      </c>
      <c r="G20" s="15" t="s">
        <v>296</v>
      </c>
    </row>
    <row r="21" spans="1:7" x14ac:dyDescent="0.2">
      <c r="A21" s="1"/>
      <c r="B21" s="15"/>
      <c r="C21" t="s">
        <v>92</v>
      </c>
      <c r="F21" s="1" t="s">
        <v>101</v>
      </c>
      <c r="G21" s="15" t="s">
        <v>101</v>
      </c>
    </row>
    <row r="22" spans="1:7" x14ac:dyDescent="0.2">
      <c r="A22" s="1"/>
      <c r="B22" s="15"/>
      <c r="D22" t="s">
        <v>95</v>
      </c>
      <c r="F22" s="1" t="s">
        <v>114</v>
      </c>
      <c r="G22" s="15" t="s">
        <v>305</v>
      </c>
    </row>
    <row r="23" spans="1:7" x14ac:dyDescent="0.2">
      <c r="A23" s="1"/>
      <c r="B23" s="15"/>
      <c r="C23" t="s">
        <v>90</v>
      </c>
      <c r="F23" s="1" t="s">
        <v>99</v>
      </c>
      <c r="G23" s="15" t="s">
        <v>99</v>
      </c>
    </row>
    <row r="24" spans="1:7" x14ac:dyDescent="0.2">
      <c r="A24" s="1"/>
      <c r="B24" s="15"/>
      <c r="D24" t="s">
        <v>95</v>
      </c>
      <c r="F24" s="1" t="s">
        <v>114</v>
      </c>
      <c r="G24" s="15" t="s">
        <v>304</v>
      </c>
    </row>
    <row r="25" spans="1:7" x14ac:dyDescent="0.2">
      <c r="A25" s="1"/>
      <c r="B25" s="15"/>
      <c r="C25" t="s">
        <v>93</v>
      </c>
      <c r="F25" s="1" t="s">
        <v>102</v>
      </c>
      <c r="G25" s="15" t="s">
        <v>102</v>
      </c>
    </row>
    <row r="26" spans="1:7" x14ac:dyDescent="0.2">
      <c r="A26" s="1"/>
      <c r="B26" s="15"/>
      <c r="C26" t="s">
        <v>273</v>
      </c>
      <c r="F26" s="1" t="s">
        <v>274</v>
      </c>
      <c r="G26" s="15" t="s">
        <v>274</v>
      </c>
    </row>
    <row r="27" spans="1:7" x14ac:dyDescent="0.2">
      <c r="A27" s="1"/>
      <c r="B27" s="15"/>
      <c r="D27" t="s">
        <v>275</v>
      </c>
      <c r="F27" s="1" t="s">
        <v>277</v>
      </c>
      <c r="G27" s="15" t="s">
        <v>297</v>
      </c>
    </row>
    <row r="28" spans="1:7" x14ac:dyDescent="0.2">
      <c r="A28" s="1"/>
      <c r="B28" s="15"/>
      <c r="D28" t="s">
        <v>278</v>
      </c>
      <c r="F28" s="1" t="s">
        <v>276</v>
      </c>
      <c r="G28" s="15" t="s">
        <v>298</v>
      </c>
    </row>
    <row r="29" spans="1:7" x14ac:dyDescent="0.2">
      <c r="A29" s="1"/>
      <c r="B29" s="15"/>
      <c r="D29" t="s">
        <v>279</v>
      </c>
      <c r="F29" s="1" t="s">
        <v>282</v>
      </c>
      <c r="G29" s="15" t="s">
        <v>299</v>
      </c>
    </row>
    <row r="30" spans="1:7" x14ac:dyDescent="0.2">
      <c r="A30" s="1"/>
      <c r="B30" s="15"/>
      <c r="D30" t="s">
        <v>280</v>
      </c>
      <c r="F30" s="1" t="s">
        <v>283</v>
      </c>
      <c r="G30" s="15" t="s">
        <v>300</v>
      </c>
    </row>
    <row r="31" spans="1:7" x14ac:dyDescent="0.2">
      <c r="A31" s="1"/>
      <c r="B31" s="15"/>
      <c r="D31" t="s">
        <v>281</v>
      </c>
      <c r="F31" s="1" t="s">
        <v>284</v>
      </c>
      <c r="G31" s="15" t="s">
        <v>301</v>
      </c>
    </row>
    <row r="32" spans="1:7" x14ac:dyDescent="0.2">
      <c r="A32" s="1"/>
      <c r="B32" s="15"/>
      <c r="D32" t="s">
        <v>286</v>
      </c>
      <c r="F32" s="1" t="s">
        <v>285</v>
      </c>
      <c r="G32" s="15" t="s">
        <v>302</v>
      </c>
    </row>
    <row r="33" spans="1:8" x14ac:dyDescent="0.2">
      <c r="A33" s="1"/>
      <c r="B33" s="15"/>
      <c r="C33" t="s">
        <v>309</v>
      </c>
      <c r="F33" s="1" t="s">
        <v>310</v>
      </c>
      <c r="G33" s="15" t="s">
        <v>310</v>
      </c>
    </row>
    <row r="34" spans="1:8" x14ac:dyDescent="0.2">
      <c r="A34" s="1"/>
      <c r="B34" s="15"/>
      <c r="D34" t="s">
        <v>312</v>
      </c>
      <c r="F34" s="1" t="s">
        <v>313</v>
      </c>
      <c r="G34" s="15" t="s">
        <v>314</v>
      </c>
    </row>
    <row r="35" spans="1:8" x14ac:dyDescent="0.2">
      <c r="A35" s="1"/>
      <c r="B35" s="15"/>
      <c r="D35" t="s">
        <v>96</v>
      </c>
      <c r="F35" s="1" t="s">
        <v>104</v>
      </c>
      <c r="G35" s="15" t="s">
        <v>315</v>
      </c>
    </row>
    <row r="36" spans="1:8" x14ac:dyDescent="0.2">
      <c r="A36" s="1"/>
      <c r="B36" s="15"/>
      <c r="D36" t="s">
        <v>316</v>
      </c>
      <c r="F36" s="1" t="s">
        <v>317</v>
      </c>
      <c r="G36" s="15" t="s">
        <v>318</v>
      </c>
    </row>
    <row r="37" spans="1:8" x14ac:dyDescent="0.2">
      <c r="A37" s="1"/>
      <c r="B37" s="15"/>
      <c r="D37" t="s">
        <v>319</v>
      </c>
      <c r="F37" s="1" t="s">
        <v>320</v>
      </c>
      <c r="G37" s="15" t="s">
        <v>321</v>
      </c>
    </row>
    <row r="38" spans="1:8" x14ac:dyDescent="0.2">
      <c r="A38" s="1"/>
      <c r="B38" s="15"/>
      <c r="C38" t="s">
        <v>322</v>
      </c>
      <c r="F38" s="1" t="s">
        <v>303</v>
      </c>
      <c r="G38" s="15" t="s">
        <v>303</v>
      </c>
    </row>
    <row r="39" spans="1:8" x14ac:dyDescent="0.2">
      <c r="A39" s="1"/>
      <c r="B39" s="15"/>
      <c r="D39" t="s">
        <v>306</v>
      </c>
      <c r="F39" s="1" t="s">
        <v>306</v>
      </c>
      <c r="G39" s="15" t="s">
        <v>307</v>
      </c>
      <c r="H39" s="15" t="s">
        <v>308</v>
      </c>
    </row>
    <row r="40" spans="1:8" x14ac:dyDescent="0.2">
      <c r="A40" s="1"/>
      <c r="B40" s="15"/>
      <c r="F40" s="1"/>
    </row>
    <row r="41" spans="1:8" x14ac:dyDescent="0.2">
      <c r="A41" s="1"/>
      <c r="B41" s="15"/>
    </row>
    <row r="42" spans="1:8" x14ac:dyDescent="0.2">
      <c r="A42" s="1"/>
      <c r="B42" s="15" t="s">
        <v>86</v>
      </c>
    </row>
    <row r="43" spans="1:8" x14ac:dyDescent="0.2">
      <c r="A43" s="1"/>
      <c r="B43" s="15" t="s">
        <v>83</v>
      </c>
    </row>
    <row r="44" spans="1:8" x14ac:dyDescent="0.2">
      <c r="A44" s="1"/>
      <c r="B44" s="15"/>
      <c r="C44" s="17" t="s">
        <v>80</v>
      </c>
    </row>
    <row r="45" spans="1:8" x14ac:dyDescent="0.2">
      <c r="A45" s="1"/>
      <c r="B45" s="15"/>
      <c r="C45" s="16" t="s">
        <v>81</v>
      </c>
    </row>
    <row r="46" spans="1:8" x14ac:dyDescent="0.2">
      <c r="A46" s="1"/>
      <c r="B46" s="15"/>
      <c r="C46" s="16" t="s">
        <v>82</v>
      </c>
    </row>
    <row r="47" spans="1:8" x14ac:dyDescent="0.2">
      <c r="A47" s="1"/>
      <c r="B47" s="15" t="s">
        <v>106</v>
      </c>
      <c r="C47" s="16"/>
    </row>
    <row r="48" spans="1:8" x14ac:dyDescent="0.2">
      <c r="A48" s="1"/>
      <c r="B48" s="15"/>
      <c r="C48" s="16" t="s">
        <v>107</v>
      </c>
    </row>
    <row r="49" spans="1:14" x14ac:dyDescent="0.2">
      <c r="A49" s="1"/>
      <c r="B49" s="15"/>
      <c r="C49" s="16" t="s">
        <v>108</v>
      </c>
    </row>
    <row r="50" spans="1:14" x14ac:dyDescent="0.2">
      <c r="A50" s="1"/>
      <c r="B50" s="15"/>
      <c r="C50" s="16" t="s">
        <v>109</v>
      </c>
    </row>
    <row r="51" spans="1:14" x14ac:dyDescent="0.2">
      <c r="A51" s="1"/>
      <c r="B51" s="15"/>
      <c r="C51" s="16" t="s">
        <v>111</v>
      </c>
    </row>
    <row r="52" spans="1:14" x14ac:dyDescent="0.2">
      <c r="A52" s="1"/>
      <c r="B52" s="15"/>
      <c r="C52" s="16" t="s">
        <v>113</v>
      </c>
    </row>
    <row r="53" spans="1:14" x14ac:dyDescent="0.2">
      <c r="A53" s="1"/>
      <c r="B53" s="15"/>
      <c r="C53" s="16" t="s">
        <v>112</v>
      </c>
    </row>
    <row r="54" spans="1:14" x14ac:dyDescent="0.2">
      <c r="A54" s="1"/>
      <c r="B54" s="15"/>
      <c r="C54" s="16" t="s">
        <v>110</v>
      </c>
    </row>
    <row r="55" spans="1:14" ht="21" customHeight="1" x14ac:dyDescent="0.2">
      <c r="B55" s="19" t="s">
        <v>77</v>
      </c>
    </row>
    <row r="56" spans="1:14" ht="21" customHeight="1" x14ac:dyDescent="0.2">
      <c r="B56" s="57" t="s">
        <v>231</v>
      </c>
    </row>
    <row r="57" spans="1:14" ht="16" thickBot="1" x14ac:dyDescent="0.25">
      <c r="C57" s="1" t="s">
        <v>71</v>
      </c>
      <c r="D57" s="1" t="s">
        <v>207</v>
      </c>
      <c r="E57" s="1" t="s">
        <v>208</v>
      </c>
      <c r="F57" s="1" t="s">
        <v>198</v>
      </c>
      <c r="G57" s="1" t="s">
        <v>199</v>
      </c>
      <c r="H57" s="1" t="s">
        <v>200</v>
      </c>
      <c r="I57" s="1" t="s">
        <v>201</v>
      </c>
      <c r="J57" s="1" t="s">
        <v>205</v>
      </c>
      <c r="K57" s="1" t="s">
        <v>209</v>
      </c>
      <c r="L57" s="1" t="s">
        <v>210</v>
      </c>
      <c r="M57" s="1" t="s">
        <v>211</v>
      </c>
      <c r="N57" s="1" t="s">
        <v>227</v>
      </c>
    </row>
    <row r="58" spans="1:14" s="14" customFormat="1" ht="21.75" customHeight="1" thickBot="1" x14ac:dyDescent="0.25">
      <c r="B58" s="46" t="s">
        <v>226</v>
      </c>
      <c r="C58" s="45" t="str">
        <f>A.Backend!J7</f>
        <v xml:space="preserve">using Abp.Domain.Entities;
using Abp.Domain.Entities.Auditing;
using Microsoft.EntityFrameworkCore;
using System;
using System.ComponentModel.DataAnnotations;
using System.ComponentModel.DataAnnotations.Schema;
namespace vovina.Asy.Andon
{
	[Table("AsyAdoAssemblyData")]
Y	public class AsyAdoAssemblyData: FullAuditedEntity&lt;long&gt;, IEntity&lt;long&gt;	
	{
		public const int MaxGradeLength = 2;
		[StringLength(MaxGradeLength)]
		public virtual string Grade { get; set; }
	}
}
</v>
      </c>
      <c r="D58" s="45" t="str">
        <f>A.Backend!O7</f>
        <v xml:space="preserve">		public const string Pages_Asy_Andon_AssemblyData = "Pages.Asy.Andon.AssemblyData";
		public const string Pages_Asy_Andon_AssemblyData_CreateEdit = "Pages.Asy.Andon.AssemblyData.CreateEdit";
		public const string Pages_Asy_Andon_AssemblyData_Delete = "Pages.Asy.Andon.AssemblyData.Delete";
</v>
      </c>
      <c r="E58" s="45" t="str">
        <f>A.Backend!N7</f>
        <v xml:space="preserve">		var perAsyAdoAssemblyData = PARENTS.CreateChildPermission(AppPermissions.Pages_Asy_Andon_AssemblyData, L( "AsyAndonAssemblyData"), multiTenancySides: MultiTenancySides.Tenant);
		perAsyAdoAssemblyData.CreateChildPermission(AppPermissions.Pages_Asy_Andon_AssemblyData_CreateEdit, L( "AsyAndonAssemblyDataCreateEdit"), multiTenancySides: MultiTenancySides.Tenant);
		perAsyAdoAssemblyData.CreateChildPermission(AppPermissions.Pages_Asy_Andon_AssemblyData_Delete, L( "AsyAndonAssemblyDataDelete"), multiTenancySides: MultiTenancySides.Tenant);</v>
      </c>
      <c r="F58" s="45" t="str">
        <f>A.Backend!K7</f>
        <v>public virtual DbSet&lt;AsyAdoAssemblyData&gt; AsyAdoAssemblyDatas { get; set; }</v>
      </c>
      <c r="G58" s="45" t="str">
        <f>A.Backend!L7</f>
        <v xml:space="preserve">namespace vovina.Asy.Andon
{
	public class AsyAdoAssemblyDataConsts	
	{
		public const int MaxGradeLength = 2;
		// Define Store Name: Format SP_ + &lt;Store Name&gt; = &lt;Store Name&gt;
	}
}
</v>
      </c>
      <c r="H58" s="45" t="str">
        <f>A.Backend!M7</f>
        <v xml:space="preserve">using Abp.Application.Services.Dto;
using System;
using System.ComponentModel.DataAnnotations;
namespace vovina.Asy.Andon.Dto
{
	public class AsyAdoAssemblyDataDto : EntityDto&lt;long?&gt;	
	{
		public virtual string Grade { get; set; }
	}
	public class CreateOrEditAsyAdoAssemblyDataDto : EntityDto&lt;long?&gt;	
	{
		[StringLength(AsyAdoAssemblyDataConsts.MaxGradeLength)]
		public virtual string Grade { get; set; }
	}
	public class GetAsyAdoAssemblyDataInput : PagedAndSortedResultRequestDto	
	{
		public virtual string Grade { get; set; }
	}
}
</v>
      </c>
      <c r="I58" s="45" t="str">
        <f>A.Backend!R7</f>
        <v xml:space="preserve">using Abp.Application.Services.Dto;
using System;
using System.ComponentModel.DataAnnotations;
namespace vovina.Asy.Andon.Dto
{
	public class AsyAdoAssemblyDataExportInput{
		public virtual string Grade { get; set; }
	}
}
</v>
      </c>
      <c r="J58" s="45" t="str">
        <f>A.Backend!P7</f>
        <v xml:space="preserve">using Abp.Application.Services;
using Abp.Application.Services.Dto;
using System.Collections.Generic;using vovina.Dto;
using System.Threading.Tasks;
using vovina.Asy.Andon.Dto;
namespace vovina.Asy.Andon
{
	public interface IAsyAdoAssemblyDataAppService : IApplicationService
	{
		Task&lt;PagedResultDto&lt;AsyAdoAssemblyDataDto&gt;&gt; GetAll(GetAsyAdoAssemblyDataInput input);
		Task CreateOrEdit(CreateOrEditAsyAdoAssemblyDataDto input);
		Task Delete(EntityDto input);
	}
}
</v>
      </c>
      <c r="K58" s="45" t="str">
        <f>A.Backend!S7</f>
        <v xml:space="preserve">using Abp.Application.Services;
using Abp.Application.Services.Dto;
using System.Collections.Generic;using vovina.Dto;
using System.Threading.Tasks;
using vovina.Asy.Andon.Dto;
namespace vovina.Asy.Andon.Exporting
{
	public interface IAsyAdoAssemblyDataExcelExporter : IApplicationService
	{
		FileDto ExportToFile(List&lt;AsyAdoAssemblyDataDto&gt; asyadoassemblydata);
	}
}
</v>
      </c>
      <c r="L58" s="45" t="str">
        <f>A.Backend!T7</f>
        <v>using System.Collections.Generic;
using vovina.DataExporting.Excel.NPOI;
using vovina.Dto;
using vovina.Assembly.Andon.Exporting;
using vovina.Assembly.Andon.Dto;
using vovina.Storage;
using vovina.Assembly.Andon.Dto;
namespace vovina.Assembly.Andon.Exporting
{
    public class AsyAdoAssemblyDataExcelExporter : NpoiExcelExporterBase, IAsyAdoAssemblyDataExcelExporter
    {
        public AsyAdoAssemblyDataExcelExporter(ITempFileCacheManager tempFileCacheManager) : base(tempFileCacheManager) { }
        public FileDto ExportToFile(List&lt;AsyAdoAssemblyDataDto&gt; assemblydata)
        {
            return CreateExcelPackage(
				"AssemblyAndonAssemblyData.xlsx",
				excelPackage =&gt;
				 {
					var sheet = excelPackage.CreateSheet("AssemblyData");
					AddHeader(
								sheet,
								("Grade"),
							   );
					AddObjects(
						 sheet, 1, assemblydata,                                       
								_ =&gt; _.Grade,
								);
			for (var i = 0; i &lt; 8; i++)
				{
					sheet.AutoSizeColumn(i);
				}
			});
        }
    }
}</v>
      </c>
      <c r="M58" s="53" t="str">
        <f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vovina.Assembly.Andon.Dto;
using vovina.Assembly.Andon.Exporting;
namespace vovina.Assembly.Andon
{
    [AbpAuthorize(AppPermissions.Pages_Assembly_Andon_AssemblyData)]
    public class AsyAdoAssemblyDataAppService : vovinaAppServiceBase, IAsyAdoAssemblyDataAppService
    {
        private readonly IDapperRepository&lt;AsyAdoAssemblyData, long&gt; _dapperRepo;
        private readonly IRepository&lt;AsyAdoAssemblyData, long&gt; _repo;
        private readonly IAsyAdoAssemblyDataExcelExporter _calendarListExcelExporter;
        public AsyAdoAssemblyDataAppService(IRepository&lt;AsyAdoAssemblyData,long&gt; repo, 
                                         IDapperRepository&lt;AsyAdoAssemblyData,long&gt; dapperRepo,
                                        IAsyAdoAssemblyDataExcelExporter calendarListExcelExporter
            )
        {
            _repo = repo;
            _dapperRepo = dapperRepo;
            _calendarListExcelExporter = calendarListExcelExporter;
        }
        [AbpAuthorize(AppPermissions.Pages_Assembly_Andon_AssemblyData_CreateEdit)]
        public async Task CreateOrEdit(CreateOrEditAsyAdoAssemblyDataDto input)
        {
            if (input.Id == null) await Create(input);
            else await Update(input);
        }
        //CREATE
        private async Task Create(CreateOrEditAsyAdoAssemblyDataDto input)
        {          
            var mainObj = ObjectMapper.Map&lt;AsyAdoAssemblyData&gt;(input);
            await CurrentUnitOfWork.GetDbContext&lt;vovinaDbContext&gt;().AddAsync(mainObj);
        }
        // EDIT
        private async Task Update(CreateOrEditAsyAdoAssemblyDataDto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[AbpAuthorize(AppPermissions.Pages_Assembly_Andon_AssemblyData_Delete)]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Task&lt;PagedResultDto&lt;AsyAdoAssemblyDataDto&gt;&gt; GetAll(GetAsyAdoAssemblyDataInput input)
        {
            var filtered = _repo.GetAll()
				.WhereIf(!string.IsNullOrWhiteSpace(input.Grade), e =&gt; e.Grade.Contains(input.Grade))                   
				;
            var pageAndFiltered = filtered.OrderBy(s =&gt; s.Id);
            var system = from o in pageAndFiltered
                         select new AsyAdoAssemblyDataDto
                        {
							Id = o.Id,
							Grade = o.Grade,
                        };
            var totalCount = await filtered.CountAsync();
			var paged = system.PageBy(input);
            return new PagedResultDto&lt;AsyAdoAssemblyDataDto&gt;(
                totalCount,
                 await paged.ToListAsync()
            );
        }
        public async Task&lt;FileDto&gt; GetAssemblyDataToExcel(AsyAdoAssemblyDataExportInput input)
        {
            var query = from o in _repo.GetAll()
                        select new AsyAdoAssemblyDataDto
                        {
							Id = o.Id,
							Grade = o.Grade,
                        };
            var exportToExcel = await query.ToListAsync();
            return _calendarListExcelExporter.ExportToFile(exportToExcel);
        }
       // public async Task GenerateAsync()
      //  {
        //    await _dapperRepo.ExecuteAsync(AsyAdoAssemblyDataConsts.SP_MST_WPT_CALENDAR_GENERATE);
       // }
    }
}</v>
      </c>
      <c r="N58" s="56" t="str">
        <f>A.Backend!U7</f>
        <v xml:space="preserve">  configuration.CreateMap&lt;AsyAdoAssemblyDataDto, AsyAdoAssemblyData&gt;();
  configuration.CreateMap&lt;AsyAdoAssemblyData, AsyAdoAssemblyDataDto&gt;();
  configuration.CreateMap&lt;CreateOrEditAsyAdoAssemblyDataDto, AsyAdoAssemblyData&gt;();</v>
      </c>
    </row>
    <row r="59" spans="1:14" s="14" customFormat="1" ht="21.75" customHeight="1" x14ac:dyDescent="0.2">
      <c r="C59" s="59"/>
      <c r="D59" s="27"/>
      <c r="E59" s="27"/>
      <c r="F59" s="27"/>
      <c r="G59" s="27"/>
      <c r="H59" s="60"/>
      <c r="I59" s="61"/>
      <c r="J59" s="27"/>
      <c r="K59" s="27"/>
      <c r="M59" s="60"/>
    </row>
    <row r="60" spans="1:14" s="14" customFormat="1" ht="21.75" customHeight="1" x14ac:dyDescent="0.2">
      <c r="C60" s="27"/>
      <c r="D60" s="27"/>
      <c r="E60" s="27"/>
      <c r="F60" s="27"/>
      <c r="G60" s="27"/>
      <c r="H60" s="27"/>
      <c r="J60" s="27"/>
      <c r="K60" s="27"/>
      <c r="M60" s="27"/>
    </row>
    <row r="61" spans="1:14" s="14" customFormat="1" ht="21.75" customHeight="1" x14ac:dyDescent="0.2">
      <c r="C61" s="27"/>
      <c r="D61" s="27"/>
      <c r="E61" s="27"/>
      <c r="G61" s="27"/>
      <c r="H61" s="27"/>
    </row>
    <row r="62" spans="1:14" x14ac:dyDescent="0.2">
      <c r="B62" s="1" t="s">
        <v>72</v>
      </c>
    </row>
    <row r="63" spans="1:14" ht="21" x14ac:dyDescent="0.25">
      <c r="B63" t="str">
        <f>B.Frontend!B8</f>
        <v>assemblydata</v>
      </c>
      <c r="C63" s="66" t="str">
        <f>"create folder " &amp;B63</f>
        <v>create folder assemblydata</v>
      </c>
      <c r="D63" s="66"/>
      <c r="E63" s="66"/>
      <c r="F63" s="66"/>
      <c r="G63" s="66"/>
      <c r="H63" s="66"/>
      <c r="I63" s="66"/>
      <c r="J63" s="66"/>
      <c r="K63" s="67" t="s">
        <v>228</v>
      </c>
      <c r="L63" s="67"/>
      <c r="M63" s="29"/>
    </row>
    <row r="64" spans="1:14" s="26" customFormat="1" ht="18" customHeight="1" x14ac:dyDescent="0.2">
      <c r="B64" s="54" t="s">
        <v>229</v>
      </c>
      <c r="C64" s="29" t="str">
        <f>B.Frontend!H14</f>
        <v>assemblydata.component.ts</v>
      </c>
      <c r="D64" s="29" t="str">
        <f>B.Frontend!I14</f>
        <v>assemblydata.component.html</v>
      </c>
      <c r="E64" s="29" t="str">
        <f>B.Frontend!J14</f>
        <v>assemblydata.component.less</v>
      </c>
      <c r="F64" s="29" t="str">
        <f>B.Frontend!K14</f>
        <v>create-or-edit-assemblydata-modal.component.html</v>
      </c>
      <c r="G64" s="29" t="str">
        <f>B.Frontend!L14</f>
        <v>create-or-edit-assemblydata-modal.component.ts</v>
      </c>
      <c r="H64" s="29" t="str">
        <f>B.Frontend!M14</f>
        <v>create-or-edit-assemblydata-modal.component.less</v>
      </c>
      <c r="I64" s="29" t="str">
        <f>B.Frontend!N14</f>
        <v>assemblydata.module.ts</v>
      </c>
      <c r="J64" s="29" t="str">
        <f>B.Frontend!O14</f>
        <v>assemblydata-routing.module.ts</v>
      </c>
      <c r="K64" s="29" t="str">
        <f>B.Frontend!P14</f>
        <v>app.navigation.service.ts</v>
      </c>
      <c r="L64" s="29" t="str">
        <f>B.Frontend!Q14</f>
        <v>main.routing.module.ts</v>
      </c>
      <c r="M64" s="54" t="s">
        <v>232</v>
      </c>
    </row>
    <row r="65" spans="2:13" ht="21.75" customHeight="1" x14ac:dyDescent="0.2">
      <c r="B65" s="55" t="s">
        <v>226</v>
      </c>
      <c r="C65" s="43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AsyAdoAssemblyDataDto, AsyAdoAssemblyDataServiceProxy } from '@shared/service-proxies/service-proxies';
import { finalize } from 'rxjs/internal/operators/finalize';
import { CreateOrEditAssemblyDataModalComponent } from './create-or-edit-assemblydata-modal.component';
import { DatePipe } from '@angular/common';
import { FileDownloadService } from '@shared/utils/file-download.service';
import ceil from 'lodash-es/ceil';
import { Paginator } from 'primeng/paginator';
@Component({
    templateUrl: './assemblydata.component.html',
    styleUrls: ['./assemblydata.component.less'],
})
export class AssemblyDataComponent extends AppComponentBase implements OnInit {
    @ViewChild('createOrEditModalAssemblyData', { static: true }) createOrEditModalAssemblyData:| CreateOrEditAssemblyDataModalComponent|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AsyAdoAssemblyDataDto = new AsyAdoAssemblyDataDto();
    saveSelectedRow: AsyAdoAssemblyDataDto = new AsyAdoAssemblyDataDto();
    datas: AsyAdoAssemblyDataDto = new AsyAdoAssemblyDataDto();
    isLoading: boolean = false;
    dataParams: GridParams | undefined;
    rowData: any[] = [];
    gridApi!: GridApi;
    rowSelection = 'multiple';
    filter: string = '';
	pipe = new DatePipe('en-US');
	frameworkComponents: FrameworkComponent;
    workingdate : any ;
	noindate : number = 0 ;
	line : string = '' ; 
	process : string = '' ; 
	model : string = '' ; 
body : string = '' ; 
	seqno : string = '' ; 
	grade : string = '' ; 
	lotno : string = '' ; 
	noinlot : number = 0 ;
lotnoindex : number = 0 ;
	color : string = '' ; 
	createdate : any 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AsyAdoAssemblyDataServiceProxy,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this.l('Workingdate'),headerTooltip: this.l('Workingdate'),field: 'workingdate',valueGetter: (params) =&gt; this.pipe.transform(params.data?.workingdate, 'dd/MM/yyyy'),flex: 1},
			{headerName: this.l('Noindate'),headerTooltip: this.l('Noindate'),field: 'noindate',flex: 1},
			{headerName: this.l('Line'),headerTooltip: this.l('Line'),field: 'line',flex: 1},
			{headerName: this.l('Process'),headerTooltip: this.l('Process'),field: 'process',flex: 1},
			{headerName: this.l('Model'),headerTooltip: this.l('Model'),field: 'model',flex: 1},
			{headerName: this.l('Body'),headerTooltip: this.l('Body'),field: 'body',flex: 1},
			{headerName: this.l('Seqno'),headerTooltip: this.l('Seqno'),field: 'seqno',flex: 1},
			{headerName: this.l('Grade'),headerTooltip: this.l('Grade'),field: 'grade',flex: 1},
			{headerName: this.l('Lotno'),headerTooltip: this.l('Lotno'),field: 'lotno',flex: 1},
			{headerName: this.l('Noinlot'),headerTooltip: this.l('Noinlot'),field: 'noinlot',flex: 1},
			{headerName: this.l('Lotnoindex'),headerTooltip: this.l('Lotnoindex'),field: 'lotnoindex',flex: 1},
			{headerName: this.l('Color'),headerTooltip: this.l('Color'),field: 'color',flex: 1},
			{headerName: this.l('Createdate'),headerTooltip: this.l('Createdate'),field: 'createdate',valueGetter: (params) =&gt; this.pipe.transform(params.data?.createdate, 'dd/MM/yyyy'),flex: 1},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this.workingdate,
			this.noindate,
			this.line,
			this.process,
			this.model,
			this.body,
			this.seqno,
			this.grade,
			this.lotno,
			this.noinlot,
			this.lotnoindex,
			this.color,
			this.createdate,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this.workingdate = '',
		this.noindate = 0,
		this.line = '',
		this.process = '',
		this.model = '',
this.body = '',
		this.seqno = '',
		this.grade = '',
		this.lotno = '',
		this.noinlot = 0,
this.lotnoindex = 0,
		this.color = '',
		this.createdate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this.workingdate,
			this.noindate,
			this.line,
			this.process,
			this.model,
			this.body,
			this.seqno,
			this.grade,
			this.lotno,
			this.noinlot,
			this.lotnoindex,
			this.color,
			this.createdate,
			'',
            this.paginationParams.skipCount,
            this.paginationParams.pageSize
        );
    }
    onChangeRowSelection(params: { api: { getSelectedRows: () =&gt; AsyAdoAssemblyDataDto[] } }) {
        this.saveSelectedRow = params.api.getSelectedRows()[0] ?? new AsyAdoAssemblyDataDto();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AsyAdoAssemblyDataDto):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this._service.getAssemblyDataToExcel(
			this.workingdate,
			this.noindate,
			this.line,
			this.process,
			this.model,
			this.body,
			this.seqno,
			this.grade,
			this.lotno,
			this.noinlot,
			this.lotnoindex,
			this.color,
			this.createdate,
            )
            .subscribe((result) =&gt; {
                this._fileDownloadService.downloadTempFile(result);
        });
    }
}</v>
      </c>
      <c r="D65" s="43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Painting Andon Scan Info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type='text' [placeholder]="l('Workingdate')" [(ngModel)]='workingdate' 
									name='workingdate'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[(ngModel)]='line' name='line'
									class='form-control' [placeholder]="l('Line')"
									type='text' (keyup.enter)='searchDatas()'&gt;
								&lt;/div&gt;
								&lt;div class='input-search'&gt;
									&lt;input [(ngModel)]='process' name='process'
									class='form-control' [placeholder]="l('Process')"
									type='text' (keyup.enter)='searchDatas()'&gt;
								&lt;/div&gt;
								&lt;div class='input-search'&gt;
									&lt;input [(ngModel)]='model' name='model'
									class='form-control' [placeholder]="l('Model')"
									type='text' (keyup.enter)='searchDatas()'&gt;
								&lt;/div&gt;
								&lt;div class='input-search'&gt;
									&lt;input [(ngModel)]='body' name='body'
									class='form-control' [placeholder]="l('Body')"
									type='text' (keyup.enter)='searchDatas()'&gt;
								&lt;/div&gt;
								&lt;div class='input-search'&gt;
									&lt;input [(ngModel)]='seqno' name='seqno'
									class='form-control' [placeholder]="l('Seqno')"
									type='text' (keyup.enter)='searchDatas()'&gt;
								&lt;/div&gt;
								&lt;div class='input-search'&gt;
									&lt;input [(ngModel)]='grade' name='grade'
									class='form-control' [placeholder]="l('Grade')"
									type='text' (keyup.enter)='searchDatas()'&gt;
								&lt;/div&gt;
								&lt;div class='input-search'&gt;
									&lt;input [(ngModel)]='lotno' name='lotno'
									class='form-control' [placeholder]="l('Lotno')"
									type='text' (keyup.enter)='searchDatas()'&gt;
								&lt;/div&gt;
								&lt;div class='input-search'&gt;
									&lt;input [(ngModel)]='color' name='color'
									class='form-control' [placeholder]="l('Color')"
									type='text' (keyup.enter)='searchDatas()'&gt;
								&lt;/div&gt;
								&lt;div class='input-search'&gt;
									&lt;input type='text' [placeholder]="l('Createdate')" [(ngModel)]='createdate' 
									name='createdate' (keydown)='searchDatas()' class='form-control' 
									bsDatepicker #d='bsDatepicker' placement='bottom left'&gt;
									&lt;i class='fa fa-calendar-alt' (click)='d.toggle()'&gt;&lt;/i&gt;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(click)="createOrEditModalAssemblyData.show()"&gt;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(click)="createOrEditModalAssemblyData.show(selectedRow)"&gt;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&lt;create-or-edit-assemblydata-modal
    #createOrEditModalAssemblyData
    (modalSave)="callBackDataGrid(dataParams)"
    (modalClose)="onChangeRowSelection(dataParams)"
&gt;
&lt;/create-or-edit-assemblydata-modal&gt;</v>
      </c>
      <c r="E65" s="43" t="str">
        <f>B.Frontend!J10</f>
        <v>.input-search{
    width: 250px;
    border-radius: 10px;
    margin-left: 10px;
}
.btn-search{
    width: 50px;
    margin-left: 10px;
}</v>
      </c>
      <c r="F65" s="43" t="str">
        <f ca="1">B.Frontend!K10</f>
        <v>&lt;div bsModal #createOrEditModalAssemblyData="bs-modal"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AssemblyData')}}&lt;/h3&gt;
                    &lt;h3 *ngIf="!rowdata.id"&gt;{{('Create New AssemblyData')}}&lt;/h3&gt;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title'&gt;Workingdate&lt;/label&gt;
						&lt;input type='text' class='col-md-10 form-control input-text' name='workingdate' 
						#datepicker='bsDatepicker' [(ngModel)]='rowdata.workingdate'  bsDatepicker &gt;
					&lt;/div&gt;
					&lt;div class='col-md-12 form-group row'&gt;
						&lt;label class='col-md-2 form-control title'&gt;Noindate&lt;/label&gt;
						&lt;input type='number' class='col-md-10 form-control input-text' name='Noindate' [(ngModel)]='rowdata.noindate'&gt;
					&lt;/div&gt;
					&lt;div class='col-md-12 form-group row'&gt;
						&lt;label class='col-md-2 form-control title'&gt;Line&lt;/label&gt;
						&lt;input type='text' class='col-md-10 form-control input-text' name='Line' [(ngModel)]='rowdata.line'&gt;
					&lt;/div&gt;
					&lt;div class='col-md-12 form-group row'&gt;
						&lt;label class='col-md-2 form-control title'&gt;Process&lt;/label&gt;
						&lt;input type='text' class='col-md-10 form-control input-text' name='Process' [(ngModel)]='rowdata.process'&gt;
					&lt;/div&gt;
					&lt;div class='col-md-12 form-group row'&gt;
						&lt;label class='col-md-2 form-control title'&gt;Model&lt;/label&gt;
						&lt;input type='text' class='col-md-10 form-control input-text' name='Model' [(ngModel)]='rowdata.model'&gt;
					&lt;/div&gt;
					&lt;div class='col-md-12 form-group row'&gt;
						&lt;label class='col-md-2 form-control title'&gt;Body&lt;/label&gt;
						&lt;input type='text' class='col-md-10 form-control input-text' name='Body' [(ngModel)]='rowdata.body'&gt;
					&lt;/div&gt;
					&lt;div class='col-md-12 form-group row'&gt;
						&lt;label class='col-md-2 form-control title'&gt;Seqno&lt;/label&gt;
						&lt;input type='text' class='col-md-10 form-control input-text' name='Seqno' [(ngModel)]='rowdata.seqno'&gt;
					&lt;/div&gt;
					&lt;div class='col-md-12 form-group row'&gt;
						&lt;label class='col-md-2 form-control title'&gt;Grade&lt;/label&gt;
						&lt;input type='text' class='col-md-10 form-control input-text' name='Grade' [(ngModel)]='rowdata.grade'&gt;
					&lt;/div&gt;
					&lt;div class='col-md-12 form-group row'&gt;
						&lt;label class='col-md-2 form-control title'&gt;Lotno&lt;/label&gt;
						&lt;input type='text' class='col-md-10 form-control input-text' name='Lotno' [(ngModel)]='rowdata.lotno'&gt;
					&lt;/div&gt;
					&lt;div class='col-md-12 form-group row'&gt;
						&lt;label class='col-md-2 form-control title'&gt;Noinlot&lt;/label&gt;
						&lt;input type='number' class='col-md-10 form-control input-text' name='Noinlot' [(ngModel)]='rowdata.noinlot'&gt;
					&lt;/div&gt;
					&lt;div class='col-md-12 form-group row'&gt;
						&lt;label class='col-md-2 form-control title'&gt;Lotnoindex&lt;/label&gt;
						&lt;input type='number' class='col-md-10 form-control input-text' name='Lotnoindex' [(ngModel)]='rowdata.lotnoindex'&gt;
					&lt;/div&gt;
					&lt;div class='col-md-12 form-group row'&gt;
						&lt;label class='col-md-2 form-control title'&gt;Color&lt;/label&gt;
						&lt;input type='text' class='col-md-10 form-control input-text' name='Color' [(ngModel)]='rowdata.color'&gt;
					&lt;/div&gt;
					&lt;div class='col-md-12 form-group row'&gt;
						&lt;label class='col-md-2 form-control title'&gt;Createdate&lt;/label&gt;
						&lt;input type='text' class='col-md-10 form-control input-text' name='createdate' 
						#datepicker='bsDatepicker' [(ngModel)]='rowdata.createdate'  bsDatepicker 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65" s="43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CreateOrEditAsyAdoAssemblyDataDto, AsyAdoAssemblyDataServiceProxy } from '@shared/service-proxies/service-proxies';
import { BsDatepickerDirective } from 'ngx-bootstrap/datepicker';
@Component({
    selector: 'create-or-edit-assemblydata-modal',
    templateUrl: './create-or-edit-assemblydata-modal.component.html',
    styleUrls: ['./create-or-edit-assemblydata-modal.component.less']
    })
export class CreateOrEditAssemblyDataModalComponent extends AppComponentBase {
    @ViewChild('createOrEditModalAssemblyData',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CreateOrEditAsyAdoAssemblyDataDto = new CreateOrEditAsyAdoAssemblyDataDto();
    active: boolean = false;
    saving: boolean = false;
    _: boolean;
    constructor(
        injector: Injector,
        private _mstwptAssemblyDataService: AsyAdoAssemblyDataServiceProxy,
    ) 
    {
        super(injector);
    }
    show(rowdata?: CreateOrEditAsyAdoAssemblyDataDto): void {
        if (!rowdata) this.rowdata = new CreateOrEditAsyAdoAssemblyDataDto();
        else this.rowdata = rowdata;
		const dateValue =  this.rowdata.workingdate ? new Date(this.rowdata.workingdate?.toString()) : new Date();
		this.datepicker?.bsValueChange.emit(dateValue);
		const dateValue =  this.rowdata.createdate ? new Date(this.rowdata.createdate?.toString()) : new Date();
		this.datepicker?.bsValueChange.emit(dateValue);
        this._ = (this.rowdata. == "N")? false: true;
        this.active = true;
        this.modal.show();
    } 
    changeActive(event){
        this._ = event.target.checked;
    }
    save(): void {
    this.saving = true; 
    this.rowdata. = (this._ == true) ? 'Y' : 'N'
    this._mstwptAssemblyDataService.createOrEdit(this.rowdata)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65" s="43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65" s="43" t="str">
        <f>B.Frontend!N10</f>
        <v>import {NgModule} from '@angular/core';
import {AppSharedModule} from '@app/shared/app-shared.module';
import { AssemblyDataRoutingModule } from './assemblydata-routing.module';
import { AssemblyDataComponent } from './assemblydata.component';
import { CreateOrEditAssemblyDataModalComponent } from './create-or-edit-assemblydata-modal.component';
@NgModule({
    declarations: [
       AssemblyDataComponent, 
        CreateOrEditAssemblyDataModalComponent
    ],
    imports: [
        AppSharedModule, AssemblyDataRoutingModule]
})
export class AssemblyDataModule {}</v>
      </c>
      <c r="J65" s="43" t="str">
        <f>B.Frontend!O10</f>
        <v>import {NgModule} from '@angular/core';
import {RouterModule, Routes} from '@angular/router';
import { AssemblyDataComponent } from './assemblydata.component';
const routes: Routes = [{
    path: '',
    component: AssemblyDataComponent,
    pathMatch: 'full'
}];
@NgModule({
    imports: [RouterModule.forChild(routes)],
    exports: [RouterModule],
})
export class AssemblyDataRoutingModule {}</v>
      </c>
      <c r="K65" s="43" t="str">
        <f>B.Frontend!P10</f>
        <v xml:space="preserve"> new AppMenuItem("AssemblyData", "Pages.Assembly.Andon.AssemblyData", "flaticon-book",   "/app/main/assembly/andon/assemblydata"),</v>
      </c>
      <c r="L65" s="44" t="str">
        <f>B.Frontend!Q10</f>
        <v>{
    path: 'assembly/andon/assemblydata',
    loadChildren: () =&gt; import('./assembly/andon/assemblydata/assemblydata.module').then(m =&gt; m.AssemblyDataModule),
    data: { permission: 'Pages.Assembly.Andon.AssemblyData' }
},</v>
      </c>
      <c r="M65" s="42" t="str">
        <f>B.Frontend!R10</f>
        <v>ApiServiceProxies.AsyAdoAssemblyDataServiceProxy,</v>
      </c>
    </row>
    <row r="67" spans="2:13" x14ac:dyDescent="0.2">
      <c r="B67" s="1" t="s">
        <v>74</v>
      </c>
    </row>
  </sheetData>
  <mergeCells count="2">
    <mergeCell ref="C63:J63"/>
    <mergeCell ref="K63:L63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W21"/>
  <sheetViews>
    <sheetView workbookViewId="0">
      <pane xSplit="1" topLeftCell="B1" activePane="topRight" state="frozen"/>
      <selection pane="topRight" activeCell="B15" sqref="B15"/>
    </sheetView>
  </sheetViews>
  <sheetFormatPr baseColWidth="10" defaultColWidth="9.1640625" defaultRowHeight="15" x14ac:dyDescent="0.2"/>
  <cols>
    <col min="1" max="1" width="20.83203125" style="8" customWidth="1"/>
    <col min="2" max="2" width="20.5" style="9" customWidth="1"/>
    <col min="3" max="3" width="19.5" style="8" customWidth="1"/>
    <col min="4" max="4" width="23.5" style="8" customWidth="1"/>
    <col min="5" max="5" width="14.5" style="8" customWidth="1"/>
    <col min="6" max="6" width="14.83203125" style="8" customWidth="1"/>
    <col min="7" max="7" width="17.33203125" style="8" bestFit="1" customWidth="1"/>
    <col min="8" max="8" width="15" style="8" customWidth="1"/>
    <col min="9" max="9" width="16" style="8" customWidth="1"/>
    <col min="10" max="10" width="15.83203125" style="8" customWidth="1"/>
    <col min="11" max="11" width="16" style="8" customWidth="1"/>
    <col min="12" max="12" width="16.6640625" style="8" customWidth="1"/>
    <col min="13" max="13" width="17.5" style="8" customWidth="1"/>
    <col min="14" max="14" width="16.1640625" style="8" customWidth="1"/>
    <col min="15" max="15" width="14.6640625" style="8" customWidth="1"/>
    <col min="16" max="16" width="16" style="8" customWidth="1"/>
    <col min="17" max="17" width="15.6640625" style="8" customWidth="1"/>
    <col min="18" max="18" width="19.5" style="8" customWidth="1"/>
    <col min="19" max="19" width="20.5" style="8" customWidth="1"/>
    <col min="20" max="20" width="17" style="8" customWidth="1"/>
    <col min="21" max="21" width="14" style="8" customWidth="1"/>
    <col min="22" max="22" width="15.1640625" style="8" customWidth="1"/>
    <col min="23" max="23" width="27.83203125" style="9" customWidth="1"/>
    <col min="24" max="16384" width="9.1640625" style="8"/>
  </cols>
  <sheetData>
    <row r="1" spans="1:23" s="11" customFormat="1" ht="14.25" customHeight="1" x14ac:dyDescent="0.2">
      <c r="A1" s="1" t="s">
        <v>11</v>
      </c>
      <c r="B1" s="10" t="s">
        <v>70</v>
      </c>
      <c r="C1" s="10" t="s">
        <v>54</v>
      </c>
      <c r="D1" s="10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vovina.Asy.Andon.Dto;</v>
      </c>
      <c r="E1" s="10" t="s">
        <v>268</v>
      </c>
      <c r="F1" s="11" t="s">
        <v>239</v>
      </c>
      <c r="H1" s="11" t="s">
        <v>240</v>
      </c>
      <c r="J1" s="11" t="s">
        <v>241</v>
      </c>
      <c r="L1" s="11" t="s">
        <v>242</v>
      </c>
      <c r="M1" s="11" t="s">
        <v>243</v>
      </c>
      <c r="N1" s="11" t="s">
        <v>244</v>
      </c>
      <c r="O1" s="11" t="s">
        <v>245</v>
      </c>
      <c r="T1" s="10" t="s">
        <v>260</v>
      </c>
      <c r="U1" s="10" t="s">
        <v>230</v>
      </c>
      <c r="W1" s="10"/>
    </row>
    <row r="2" spans="1:23" s="11" customFormat="1" ht="16" x14ac:dyDescent="0.2">
      <c r="A2" s="1" t="s">
        <v>12</v>
      </c>
      <c r="B2" s="28" t="s">
        <v>339</v>
      </c>
      <c r="C2" s="12" t="s">
        <v>40</v>
      </c>
      <c r="D2" s="12" t="s">
        <v>41</v>
      </c>
      <c r="E2" s="12" t="s">
        <v>42</v>
      </c>
      <c r="F2" s="12" t="s">
        <v>51</v>
      </c>
      <c r="G2" s="12" t="s">
        <v>49</v>
      </c>
      <c r="H2" s="12" t="s">
        <v>52</v>
      </c>
      <c r="I2" s="12" t="s">
        <v>45</v>
      </c>
      <c r="J2" s="12" t="s">
        <v>53</v>
      </c>
      <c r="K2" s="12" t="s">
        <v>55</v>
      </c>
      <c r="L2" s="12" t="s">
        <v>61</v>
      </c>
      <c r="M2" s="12" t="s">
        <v>60</v>
      </c>
      <c r="N2" s="12" t="s">
        <v>64</v>
      </c>
      <c r="O2" s="12" t="s">
        <v>85</v>
      </c>
      <c r="T2" s="11" t="s">
        <v>246</v>
      </c>
      <c r="V2" s="11" t="s">
        <v>247</v>
      </c>
      <c r="W2" s="10" t="s">
        <v>259</v>
      </c>
    </row>
    <row r="3" spans="1:23" s="11" customFormat="1" ht="33" customHeight="1" x14ac:dyDescent="0.2">
      <c r="A3" s="1" t="s">
        <v>5</v>
      </c>
      <c r="B3" s="28" t="s">
        <v>340</v>
      </c>
      <c r="C3" s="10" t="s">
        <v>43</v>
      </c>
      <c r="D3" s="10" t="s">
        <v>44</v>
      </c>
      <c r="E3" s="10" t="s">
        <v>39</v>
      </c>
      <c r="F3" s="11" t="str">
        <f>"J"&amp;COUNTA($A:$A)</f>
        <v>J21</v>
      </c>
      <c r="G3" s="4" t="s">
        <v>57</v>
      </c>
      <c r="H3" s="10" t="str">
        <f>"I"&amp;COUNTA($A:$A)</f>
        <v>I21</v>
      </c>
      <c r="I3" s="10" t="str">
        <f>REPT(CHAR(9),2)&amp;"[Required]"&amp;"
"</f>
        <v xml:space="preserve">		[Required]
</v>
      </c>
      <c r="J3" s="11" t="str">
        <f>"L"&amp;COUNTA($A:$A)</f>
        <v>L21</v>
      </c>
      <c r="K3" s="5" t="s">
        <v>56</v>
      </c>
      <c r="L3" s="11" t="str">
        <f>"M"&amp;COUNTA($A:$A)</f>
        <v>M21</v>
      </c>
      <c r="M3" s="11" t="str">
        <f>"N"&amp;COUNTA($A:$A)</f>
        <v>N21</v>
      </c>
      <c r="N3" s="11" t="str">
        <f>"O"&amp;COUNTA($A:$A)</f>
        <v>O21</v>
      </c>
      <c r="O3" s="11" t="str">
        <f>"P"&amp;COUNTA($A:$A)</f>
        <v>P21</v>
      </c>
      <c r="Q3" s="11" t="str">
        <f>RIGHT(B2,(LEN(B2)-FIND(".",B2,1)))</f>
        <v>Andon</v>
      </c>
      <c r="R3" s="30" t="str">
        <f>REPT(CHAR(9),1)&amp;"public class "&amp;B3&amp;"ExportInput"&amp;C3</f>
        <v xml:space="preserve">	public class AsyAdoAssemblyDataExportInput{
</v>
      </c>
      <c r="S3" s="11" t="str">
        <f>"namespace "&amp;$B$6&amp;".Exporting
"&amp;$C$3</f>
        <v xml:space="preserve">namespace vovina.Asy.Andon.Exporting
{
</v>
      </c>
      <c r="T3" s="11" t="str">
        <f>"T"&amp;COUNTA($A:$A)</f>
        <v>T21</v>
      </c>
      <c r="V3" s="11" t="str">
        <f>"V"&amp;COUNTA($A:$A)</f>
        <v>V21</v>
      </c>
      <c r="W3" s="10" t="str">
        <f>"W"&amp;COUNTA($A:$A)</f>
        <v>W21</v>
      </c>
    </row>
    <row r="4" spans="1:23" s="11" customFormat="1" ht="33" customHeight="1" x14ac:dyDescent="0.2">
      <c r="A4" s="1" t="s">
        <v>237</v>
      </c>
      <c r="B4" s="58" t="s">
        <v>342</v>
      </c>
      <c r="C4" s="10"/>
      <c r="D4" s="10"/>
      <c r="E4" s="10"/>
      <c r="G4" s="4"/>
      <c r="H4" s="10"/>
      <c r="I4" s="10"/>
      <c r="K4" s="5"/>
      <c r="R4" s="30"/>
      <c r="W4" s="10"/>
    </row>
    <row r="5" spans="1:23" s="11" customFormat="1" ht="33" customHeight="1" x14ac:dyDescent="0.2">
      <c r="A5" s="1" t="s">
        <v>238</v>
      </c>
      <c r="B5" s="58" t="s">
        <v>341</v>
      </c>
      <c r="C5" s="10"/>
      <c r="D5" s="10"/>
      <c r="E5" s="10"/>
      <c r="G5" s="4"/>
      <c r="H5" s="10"/>
      <c r="I5" s="10"/>
      <c r="K5" s="5"/>
      <c r="R5" s="30"/>
      <c r="W5" s="10"/>
    </row>
    <row r="6" spans="1:23" customFormat="1" ht="16.5" customHeight="1" x14ac:dyDescent="0.2">
      <c r="A6" s="1" t="s">
        <v>6</v>
      </c>
      <c r="B6" s="10" t="str">
        <f>"vovina."&amp;B2</f>
        <v>vovina.Asy.Andon</v>
      </c>
      <c r="C6" s="11" t="str">
        <f>"namespace "&amp;$B$6&amp;"
"&amp;$C$3</f>
        <v xml:space="preserve">namespace vovina.Asy.Andon
{
</v>
      </c>
      <c r="D6" s="11" t="str">
        <f>REPT(CHAR(9),1)&amp;"public class "&amp;B3&amp;G3&amp;REPT(CHAR(9),1)&amp;"
"&amp;REPT(CHAR(9),1)&amp;C3</f>
        <v xml:space="preserve">	public class AsyAdoAssemblyData: FullAuditedEntity&lt;long&gt;, IEntity&lt;long&gt;	
	{
</v>
      </c>
      <c r="E6" s="11" t="str">
        <f>REPT(CHAR(9),1)&amp;"public class "&amp;B3&amp;"Consts"&amp;REPT(CHAR(9),1)&amp;"
"&amp;REPT(CHAR(9),1)&amp;C3</f>
        <v xml:space="preserve">	public class AsyAdoAssemblyDataConsts	
	{
</v>
      </c>
      <c r="F6" s="11" t="str">
        <f>REPT(CHAR(9),1)&amp;"public class "&amp;B3&amp;"Dto"&amp;K3&amp;REPT(CHAR(9),1)&amp;"
"&amp;REPT(CHAR(9),1)&amp;C3</f>
        <v xml:space="preserve">	public class AsyAdoAssemblyDataDto : EntityDto&lt;long?&gt;	
	{
</v>
      </c>
      <c r="G6" s="11" t="str">
        <f>REPT(CHAR(9),1)&amp;"public class CreateOrEdit"&amp;B3&amp;"Dto"&amp;K3&amp;REPT(CHAR(9),1)&amp;"
"&amp;REPT(CHAR(9),1)&amp;C3</f>
        <v xml:space="preserve">	public class CreateOrEditAsyAdoAssemblyDataDto : EntityDto&lt;long?&gt;	
	{
</v>
      </c>
      <c r="H6" s="11" t="str">
        <f>REPT(CHAR(9),1)&amp;"public class Get"&amp;B3&amp;"Input : PagedAndSortedResultRequestDto"&amp;REPT(CHAR(9),1)&amp;"
"&amp;REPT(CHAR(9),1)&amp;C3</f>
        <v xml:space="preserve">	public class GetAsyAdoAssemblyDataInput : PagedAndSortedResultRequestDto	
	{
</v>
      </c>
      <c r="I6" s="11"/>
      <c r="J6" s="1" t="s">
        <v>71</v>
      </c>
      <c r="K6" s="1" t="s">
        <v>65</v>
      </c>
      <c r="L6" s="1" t="s">
        <v>66</v>
      </c>
      <c r="M6" s="1" t="s">
        <v>67</v>
      </c>
      <c r="N6" s="1" t="s">
        <v>236</v>
      </c>
      <c r="O6" s="1" t="s">
        <v>235</v>
      </c>
      <c r="P6" s="1" t="s">
        <v>68</v>
      </c>
      <c r="Q6" s="1" t="s">
        <v>69</v>
      </c>
      <c r="R6" s="1" t="s">
        <v>202</v>
      </c>
      <c r="S6" s="1" t="s">
        <v>204</v>
      </c>
      <c r="T6" s="1" t="s">
        <v>203</v>
      </c>
      <c r="U6" s="1" t="s">
        <v>227</v>
      </c>
      <c r="W6" s="26"/>
    </row>
    <row r="7" spans="1:23" customFormat="1" ht="15.75" customHeight="1" x14ac:dyDescent="0.2">
      <c r="A7" s="1" t="s">
        <v>13</v>
      </c>
      <c r="B7" s="10" t="str">
        <f>B3</f>
        <v>AsyAdoAssemblyData</v>
      </c>
      <c r="C7" s="11" t="str">
        <f>REPT(CHAR(9),1)&amp;"[Table("""&amp;B7&amp;""")]"&amp;"
"</f>
        <v xml:space="preserve">	[Table("AsyAdoAssemblyData")]
</v>
      </c>
      <c r="D7" s="11"/>
      <c r="E7" s="11"/>
      <c r="F7" s="11"/>
      <c r="G7" s="11"/>
      <c r="H7" s="11"/>
      <c r="I7" s="11"/>
      <c r="J7" s="6" t="str">
        <f>SUBSTITUTE(SUBSTITUTE((B1&amp;C6&amp;C7&amp;K16&amp;D6&amp;I16&amp;E3&amp;J16&amp;""&amp;REPT(CHAR(9),1)&amp;D3&amp;D3),"WorkingPattern",$Q$3),"Master",$B$4)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vovina.Asy.Andon
{
	[Table("AsyAdoAssemblyData")]
Y	public class AsyAdoAssemblyData: FullAuditedEntity&lt;long&gt;, IEntity&lt;long&gt;	
	{
		public const int MaxGradeLength = 2;
		[StringLength(MaxGradeLength)]
		public virtual string Grade { get; set; }
	}
}
</v>
      </c>
      <c r="K7" t="str">
        <f>SUBSTITUTE(SUBSTITUTE(("public virtual DbSet&lt;"&amp;B3&amp;"&gt; "&amp;B3&amp;"s { get; set; }"),"WorkingPattern",$Q$3),"Master",$B$4)</f>
        <v>public virtual DbSet&lt;AsyAdoAssemblyData&gt; AsyAdoAssemblyDatas { get; set; }</v>
      </c>
      <c r="L7" t="str">
        <f>SUBSTITUTE(SUBSTITUTE((C6&amp;E6&amp;I16&amp;"
"&amp;REPT(CHAR(9),2)&amp;"// Define Store Name: Format SP_ + &lt;Store Name&gt; = &lt;Store Name&gt;
"&amp;E3&amp;REPT(CHAR(9),1)&amp;D3&amp;D3),"WorkingPattern",$Q$3),"Master",$B$4)</f>
        <v xml:space="preserve">namespace vovina.Asy.Andon
{
	public class AsyAdoAssemblyDataConsts	
	{
		public const int MaxGradeLength = 2;
		// Define Store Name: Format SP_ + &lt;Store Name&gt; = &lt;Store Name&gt;
	}
}
</v>
      </c>
      <c r="M7" t="str">
        <f>SUBSTITUTE(SUBSTITUTE((C1&amp;"namespace "&amp;B6&amp;".Dto"&amp;E3&amp;C3&amp;F6&amp;M16&amp;E3&amp;REPT(CHAR(9),1)&amp;D3&amp;G6&amp;N16&amp;REPT(CHAR(9),1)&amp;D3&amp;H6&amp;O16&amp;"
"&amp;REPT(CHAR(9),1)&amp;D3&amp;D3),"WorkingPattern",$Q$3),"Master",$B$4)</f>
        <v xml:space="preserve">using Abp.Application.Services.Dto;
using System;
using System.ComponentModel.DataAnnotations;
namespace vovina.Asy.Andon.Dto
{
	public class AsyAdoAssemblyDataDto : EntityDto&lt;long?&gt;	
	{
		public virtual string Grade { get; set; }
	}
	public class CreateOrEditAsyAdoAssemblyDataDto : EntityDto&lt;long?&gt;	
	{
		[StringLength(AsyAdoAssemblyDataConsts.MaxGradeLength)]
		public virtual string Grade { get; set; }
	}
	public class GetAsyAdoAssemblyDataInput : PagedAndSortedResultRequestDto	
	{
		public virtual string Grade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"""&amp;SUBSTITUTE(B2,".","")&amp;B5&amp;"""), multiTenancySides: MultiTenancySides.Tenant);"
&amp;E3&amp;REPT(CHAR(9),2)&amp;"per"&amp;B3&amp;".CreateChildPermission(AppPermissions.Pages_"&amp;SUBSTITUTE(B2,".","_")&amp;"_"&amp;B5&amp;"_CreateEdit, L( """&amp;SUBSTITUTE(B2,".","")&amp;B5&amp;"CreateEdit"&amp;"""), multiTenancySides: MultiTenancySides.Tenant);"
&amp;E3&amp;REPT(CHAR(9),2)&amp;"per"&amp;B3&amp;".CreateChildPermission(AppPermissions.Pages_"&amp;SUBSTITUTE(B2,".","_")&amp;"_"&amp;B5&amp;"_Delete, L( """&amp;SUBSTITUTE(B2,".","")&amp;B5&amp;"Delete"&amp;"""), multiTenancySides: MultiTenancySides.Tenant);"),"WorkingPattern",$Q$3),"Master",$B$4)</f>
        <v xml:space="preserve">		var perAsyAdoAssemblyData = PARENTS.CreateChildPermission(AppPermissions.Pages_Asy_Andon_AssemblyData, L( "AsyAndonAssemblyData"), multiTenancySides: MultiTenancySides.Tenant);
		perAsyAdoAssemblyData.CreateChildPermission(AppPermissions.Pages_Asy_Andon_AssemblyData_CreateEdit, L( "AsyAndonAssemblyDataCreateEdit"), multiTenancySides: MultiTenancySides.Tenant);
		perAsyAdoAssemblyData.CreateChildPermission(AppPermissions.Pages_Asy_Andon_AssemblyData_Delete, L( "AsyAndonAssemblyDataDelete"), multiTenancySides: MultiTenancySides.Tenant);</v>
      </c>
      <c r="O7" s="26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Pages_Asy_Andon_AssemblyData = "Pages.Asy.Andon.AssemblyData";
		public const string Pages_Asy_Andon_AssemblyData_CreateEdit = "Pages.Asy.Andon.AssemblyData.CreateEdit";
		public const string Pages_Asy_Andon_AssemblyData_Delete = "Pages.Asy.Andon.AssemblyData.Delete";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vovina.Asy.Andon.Dto;
namespace vovina.Asy.Andon
{
	public interface IAsyAdoAssemblyDataAppService : IApplicationService
	{
		Task&lt;PagedResultDto&lt;AsyAdoAssemblyDataDto&gt;&gt; GetAll(GetAsyAdoAssemblyDataInput input);
		Task CreateOrEdit(CreateOrEditAsyAdoAssemblyDataDto input);
		Task Delete(EntityDto input);
	}
}
</v>
      </c>
      <c r="Q7" t="str">
        <f>SUBSTITUTE(SUBSTITUTE(SUBSTITUTE(SUBSTITUTE(SUBSTITUTE(SUBSTITUTE(E1,"MstWptCalendar",$B$3),"&lt;PROPERTIES&gt;",P16),"Calendar",$B$5),"WorkingPattern",$Q$3),"Master",$B$4),"&lt;PARAMS_SEARCH&gt;",$W$16)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vovina.Assembly.Andon.Dto;
using vovina.Assembly.Andon.Exporting;
namespace vovina.Assembly.Andon
{
    [AbpAuthorize(AppPermissions.Pages_Assembly_Andon_AssemblyData)]
    public class AsyAdoAssemblyDataAppService : vovinaAppServiceBase, IAsyAdoAssemblyDataAppService
    {
        private readonly IDapperRepository&lt;AsyAdoAssemblyData, long&gt; _dapperRepo;
        private readonly IRepository&lt;AsyAdoAssemblyData, long&gt; _repo;
        private readonly IAsyAdoAssemblyDataExcelExporter _calendarListExcelExporter;
        public AsyAdoAssemblyDataAppService(IRepository&lt;AsyAdoAssemblyData,long&gt; repo, 
                                         IDapperRepository&lt;AsyAdoAssemblyData,long&gt; dapperRepo,
                                        IAsyAdoAssemblyDataExcelExporter calendarListExcelExporter
            )
        {
            _repo = repo;
            _dapperRepo = dapperRepo;
            _calendarListExcelExporter = calendarListExcelExporter;
        }
        [AbpAuthorize(AppPermissions.Pages_Assembly_Andon_AssemblyData_CreateEdit)]
        public async Task CreateOrEdit(CreateOrEditAsyAdoAssemblyDataDto input)
        {
            if (input.Id == null) await Create(input);
            else await Update(input);
        }
        //CREATE
        private async Task Create(CreateOrEditAsyAdoAssemblyDataDto input)
        {          
            var mainObj = ObjectMapper.Map&lt;AsyAdoAssemblyData&gt;(input);
            await CurrentUnitOfWork.GetDbContext&lt;vovinaDbContext&gt;().AddAsync(mainObj);
        }
        // EDIT
        private async Task Update(CreateOrEditAsyAdoAssemblyDataDto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[AbpAuthorize(AppPermissions.Pages_Assembly_Andon_AssemblyData_Delete)]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Task&lt;PagedResultDto&lt;AsyAdoAssemblyDataDto&gt;&gt; GetAll(GetAsyAdoAssemblyDataInput input)
        {
            var filtered = _repo.GetAll()
				.WhereIf(!string.IsNullOrWhiteSpace(input.Grade), e =&gt; e.Grade.Contains(input.Grade))                   
				;
            var pageAndFiltered = filtered.OrderBy(s =&gt; s.Id);
            var system = from o in pageAndFiltered
                         select new AsyAdoAssemblyDataDto
                        {
							Id = o.Id,
							Grade = o.Grade,
                        };
            var totalCount = await filtered.CountAsync();
			var paged = system.PageBy(input);
            return new PagedResultDto&lt;AsyAdoAssemblyDataDto&gt;(
                totalCount,
                 await paged.ToListAsync()
            );
        }
        public async Task&lt;FileDto&gt; GetAssemblyDataToExcel(AsyAdoAssemblyDataExportInput input)
        {
            var query = from o in _repo.GetAll()
                        select new AsyAdoAssemblyDataDto
                        {
							Id = o.Id,
							Grade = o.Grade,
                        };
            var exportToExcel = await query.ToListAsync();
            return _calendarListExcelExporter.ExportToFile(exportToExcel);
        }
       // public async Task GenerateAsync()
      //  {
        //    await _dapperRepo.ExecuteAsync(AsyAdoAssemblyDataConsts.SP_MST_WPT_CALENDAR_GENERATE);
       // }
    }
}</v>
      </c>
      <c r="R7" t="str">
        <f>SUBSTITUTE(SUBSTITUTE((C1&amp;"namespace "&amp;B6&amp;".Dto"&amp;E3&amp;C3&amp;R3&amp;M16&amp;E3&amp;REPT(CHAR(9),1)&amp;D3&amp;D3),"WorkingPattern",$Q$3),"Master",$B$4)</f>
        <v xml:space="preserve">using Abp.Application.Services.Dto;
using System;
using System.ComponentModel.DataAnnotations;
namespace vovina.Asy.Andon.Dto
{
	public class AsyAdoAssemblyDataExportInput{
		public virtual string Grade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vovina.Asy.Andon.Dto;
namespace vovina.Asy.Andon.Exporting
{
	public interface IAsyAdoAssemblyDataExcelExporter : IApplicationService
	{
		FileDto ExportToFile(List&lt;AsyAdoAssemblyDataDto&gt; asyadoassemblydata);
	}
}
</v>
      </c>
      <c r="T7" s="26" t="str">
        <f>SUBSTITUTE(SUBSTITUTE(SUBSTITUTE(SUBSTITUTE(SUBSTITUTE(SUBSTITUTE(SUBSTITUTE(T1,"MstWptCalendar",$B$3),"&lt;PROPERTIES1&gt;",V16),"&lt;PROPERTIES&gt;",T16),"Calendar",$B$5),"calendar",LOWER(B5)),"WorkingPattern",$Q$3),"Master",$B$4)</f>
        <v>using System.Collections.Generic;
using vovina.DataExporting.Excel.NPOI;
using vovina.Dto;
using vovina.Assembly.Andon.Exporting;
using vovina.Assembly.Andon.Dto;
using vovina.Storage;
using vovina.Assembly.Andon.Dto;
namespace vovina.Assembly.Andon.Exporting
{
    public class AsyAdoAssemblyDataExcelExporter : NpoiExcelExporterBase, IAsyAdoAssemblyDataExcelExporter
    {
        public AsyAdoAssemblyDataExcelExporter(ITempFileCacheManager tempFileCacheManager) : base(tempFileCacheManager) { }
        public FileDto ExportToFile(List&lt;AsyAdoAssemblyDataDto&gt; assemblydata)
        {
            return CreateExcelPackage(
				"AssemblyAndonAssemblyData.xlsx",
				excelPackage =&gt;
				 {
					var sheet = excelPackage.CreateSheet("AssemblyData");
					AddHeader(
								sheet,
								("Grade"),
							   );
					AddObjects(
						 sheet, 1, assemblydata,                                       
								_ =&gt; _.Grade,
								);
			for (var i = 0; i &lt; 8; i++)
				{
					sheet.AutoSizeColumn(i);
				}
			});
        }
    }
}</v>
      </c>
      <c r="U7" s="26" t="str">
        <f>SUBSTITUTE(SUBSTITUTE(U1,"MstWptCalendar",$B$3),"Master",$B$4)</f>
        <v xml:space="preserve">  configuration.CreateMap&lt;AsyAdoAssemblyDataDto, AsyAdoAssemblyData&gt;();
  configuration.CreateMap&lt;AsyAdoAssemblyData, AsyAdoAssemblyDataDto&gt;();
  configuration.CreateMap&lt;CreateOrEditAsyAdoAssemblyDataDto, AsyAdoAssemblyData&gt;();</v>
      </c>
      <c r="V7" s="26"/>
      <c r="W7" s="26"/>
    </row>
    <row r="8" spans="1:23" s="2" customFormat="1" ht="16" x14ac:dyDescent="0.2">
      <c r="A8" s="2" t="s">
        <v>7</v>
      </c>
      <c r="B8" s="3" t="s">
        <v>8</v>
      </c>
      <c r="C8" s="2" t="s">
        <v>10</v>
      </c>
      <c r="D8" s="2" t="s">
        <v>14</v>
      </c>
      <c r="E8" s="2" t="s">
        <v>37</v>
      </c>
      <c r="F8" s="2" t="s">
        <v>59</v>
      </c>
      <c r="G8" s="2" t="s">
        <v>9</v>
      </c>
      <c r="H8" s="2" t="s">
        <v>15</v>
      </c>
      <c r="I8" s="2" t="s">
        <v>50</v>
      </c>
      <c r="J8" s="2" t="s">
        <v>38</v>
      </c>
      <c r="K8" s="2" t="s">
        <v>46</v>
      </c>
      <c r="L8" s="2" t="s">
        <v>47</v>
      </c>
      <c r="M8" s="2" t="s">
        <v>62</v>
      </c>
      <c r="N8" s="2" t="s">
        <v>58</v>
      </c>
      <c r="O8" s="2" t="s">
        <v>63</v>
      </c>
      <c r="P8" s="18" t="s">
        <v>84</v>
      </c>
      <c r="W8" s="3"/>
    </row>
    <row r="9" spans="1:23" customFormat="1" ht="22.5" customHeight="1" x14ac:dyDescent="0.2">
      <c r="A9" t="s">
        <v>323</v>
      </c>
      <c r="B9" t="s">
        <v>2</v>
      </c>
      <c r="C9" t="s">
        <v>79</v>
      </c>
      <c r="D9" t="str">
        <f>SUBSTITUTE(PROPER(A9),"_","")</f>
        <v>Workingdate</v>
      </c>
      <c r="E9" t="str">
        <f t="shared" ref="E9:E11" si="0">IFERROR(LEFT(B9, FIND("(",B9)-1),B9)</f>
        <v>date</v>
      </c>
      <c r="F9" s="7"/>
      <c r="G9" t="str">
        <f t="shared" ref="G9:G11" si="1">IFERROR(MID(B9,FIND("(",B9) +1, FIND(")",B9) - FIND("(",B9) - 1),"")</f>
        <v/>
      </c>
      <c r="H9" t="str">
        <f>+VLOOKUP(E9,'Data Type Mapping'!A:B,2,)</f>
        <v>DateTime</v>
      </c>
      <c r="I9" t="str">
        <f t="shared" ref="I9:I11" si="2">IF(H9="string",REPT(CHAR(9),2)&amp;"public const int Max"&amp;D9&amp;"Length = "&amp;G9&amp;";"&amp;$E$3,"" )</f>
        <v/>
      </c>
      <c r="J9" t="str">
        <f t="shared" ref="J9:J11" si="3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[Required]
		public virtual DateTime Workingdate { get; set; }
</v>
      </c>
      <c r="K9" s="7" t="s">
        <v>206</v>
      </c>
      <c r="L9" t="str">
        <f>IF(K9="","",REPT(CHAR(9),1)&amp;"[Index(nameof("&amp;IF(D9="","",""&amp;D9)&amp;")"&amp;", Name="&amp;"""IX_"&amp;$B$7&amp;"_"&amp;D9&amp;""")]")</f>
        <v xml:space="preserve">	[Index(nameof(Workingdate), Name="IX_AsyAdoAssemblyData_Workingdate")]</v>
      </c>
      <c r="M9" t="str">
        <f>REPT(CHAR(9),2)&amp;"public virtual "&amp;IF(OR(H9="DateTime",H9="TimeSpan"),H9&amp;"?",H9)&amp;IF(C9="?","? "," ")&amp;D9&amp;" { get; set; }" &amp; "
"</f>
        <v xml:space="preserve">		public virtual DateTime? Workingdate { get; set; }
</v>
      </c>
      <c r="N9" t="str">
        <f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[Required]
		public virtual DateTime? Workingdate { get; set; }
</v>
      </c>
      <c r="O9" t="str">
        <f>IF(OR(H9="string",H9="DateTime",H9="int"),REPT(CHAR(9),2)&amp;"public virtual "&amp;IF(OR(H9="DateTime",H9="TimeSpan"),H9&amp;"?",H9)&amp;IF(C9="?","? "," ")&amp;D9&amp;" { get; set; }"&amp;$E$3,"")</f>
        <v xml:space="preserve">		public virtual DateTime? Workingdate { get; set; }
</v>
      </c>
      <c r="P9" t="str">
        <f t="shared" ref="P9:P11" si="4">REPT(CHAR(9),7)&amp;D9&amp;" = o." &amp;D9 &amp;","</f>
        <v xml:space="preserve">							Workingdate = o.Workingdate,</v>
      </c>
      <c r="T9" s="63" t="str">
        <f>REPT(CHAR(9),8)&amp;"("""&amp;D9&amp;"""),"</f>
        <v xml:space="preserve">								("Workingdate"),</v>
      </c>
      <c r="V9" s="64" t="str">
        <f>REPT(CHAR(9),8)&amp;"_ =&gt; _."&amp;D9&amp;","</f>
        <v xml:space="preserve">								_ =&gt; _.Workingdate,</v>
      </c>
      <c r="W9" s="63" t="str">
        <f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 xml:space="preserve">				.WhereIf(input.Workingdate.HasValue, t =&gt; t.Workingdate == input.Workingdate.Value)</v>
      </c>
    </row>
    <row r="10" spans="1:23" customFormat="1" ht="21" customHeight="1" x14ac:dyDescent="0.2">
      <c r="A10" t="s">
        <v>324</v>
      </c>
      <c r="B10" t="s">
        <v>4</v>
      </c>
      <c r="C10" t="s">
        <v>79</v>
      </c>
      <c r="D10" t="str">
        <f t="shared" ref="D10:D11" si="5">SUBSTITUTE(PROPER(A10),"_","")</f>
        <v>Noindate</v>
      </c>
      <c r="E10" t="str">
        <f t="shared" si="0"/>
        <v>int</v>
      </c>
      <c r="F10" s="7"/>
      <c r="G10" t="str">
        <f t="shared" si="1"/>
        <v/>
      </c>
      <c r="H10" t="str">
        <f>+VLOOKUP(E10,'Data Type Mapping'!A:B,2,)</f>
        <v>int</v>
      </c>
      <c r="I10" t="str">
        <f t="shared" si="2"/>
        <v/>
      </c>
      <c r="J10" t="str">
        <f t="shared" si="3"/>
        <v xml:space="preserve">		[Required]
		public virtual int Noindate { get; set; }
</v>
      </c>
      <c r="K10" s="7"/>
      <c r="L10" t="str">
        <f t="shared" ref="L10:L11" si="6">IF(K10="","",REPT(CHAR(9),1)&amp;"[Index(nameof("&amp;IF(D10="","",""&amp;D10)&amp;")"&amp;", Name="&amp;"""IX_"&amp;$B$7&amp;"_"&amp;D10&amp;""")]")</f>
        <v/>
      </c>
      <c r="M10" t="str">
        <f t="shared" ref="M10:M14" si="7">REPT(CHAR(9),2)&amp;"public virtual "&amp;IF(OR(H10="DateTime",H10="TimeSpan"),H10&amp;"?",H10)&amp;IF(C10="?","? "," ")&amp;D10&amp;" { get; set; }" &amp; "
"</f>
        <v xml:space="preserve">		public virtual int Noindate { get; set; }
</v>
      </c>
      <c r="N10" t="str">
        <f t="shared" ref="N10:N14" si="8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[Required]
		public virtual int Noindate { get; set; }
</v>
      </c>
      <c r="O10" t="str">
        <f t="shared" ref="O10:O14" si="9">IF(OR(H10="string",H10="DateTime",H10="int"),REPT(CHAR(9),2)&amp;"public virtual "&amp;IF(OR(H10="DateTime",H10="TimeSpan"),H10&amp;"?",H10)&amp;IF(C10="?","? "," ")&amp;D10&amp;" { get; set; }"&amp;$E$3,"")</f>
        <v xml:space="preserve">		public virtual int Noindate { get; set; }
</v>
      </c>
      <c r="P10" t="str">
        <f t="shared" si="4"/>
        <v xml:space="preserve">							Noindate = o.Noindate,</v>
      </c>
      <c r="T10" s="63" t="str">
        <f t="shared" ref="T10:T14" si="10">REPT(CHAR(9),8)&amp;"("""&amp;D10&amp;"""),"</f>
        <v xml:space="preserve">								("Noindate"),</v>
      </c>
      <c r="V10" s="64" t="str">
        <f t="shared" ref="V10:V14" si="11">REPT(CHAR(9),8)&amp;"_ =&gt; _."&amp;D10&amp;","</f>
        <v xml:space="preserve">								_ =&gt; _.Noindate,</v>
      </c>
      <c r="W10" s="63" t="str">
        <f t="shared" ref="W10:W14" si="12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/>
      </c>
    </row>
    <row r="11" spans="1:23" customFormat="1" ht="18.75" customHeight="1" x14ac:dyDescent="0.2">
      <c r="A11" t="s">
        <v>325</v>
      </c>
      <c r="B11" t="s">
        <v>337</v>
      </c>
      <c r="C11" t="s">
        <v>1</v>
      </c>
      <c r="D11" t="str">
        <f t="shared" si="5"/>
        <v>Line</v>
      </c>
      <c r="E11" t="str">
        <f t="shared" si="0"/>
        <v>varchar</v>
      </c>
      <c r="F11" s="7"/>
      <c r="G11" t="str">
        <f t="shared" si="1"/>
        <v>2</v>
      </c>
      <c r="H11" t="str">
        <f>+VLOOKUP(E11,'Data Type Mapping'!A:B,2,)</f>
        <v>string</v>
      </c>
      <c r="I11" t="str">
        <f t="shared" si="2"/>
        <v xml:space="preserve">		public const int MaxLineLength = 2;
</v>
      </c>
      <c r="J11" t="str">
        <f t="shared" si="3"/>
        <v xml:space="preserve">		[StringLength(MaxLineLength)]
		public virtual string Line { get; set; }
</v>
      </c>
      <c r="K11" s="7"/>
      <c r="L11" t="str">
        <f t="shared" si="6"/>
        <v/>
      </c>
      <c r="M11" t="str">
        <f t="shared" si="7"/>
        <v xml:space="preserve">		public virtual string Line { get; set; }
</v>
      </c>
      <c r="N11" t="str">
        <f t="shared" si="8"/>
        <v xml:space="preserve">		[StringLength(AsyAdoAssemblyDataConsts.MaxLineLength)]
		public virtual string Line { get; set; }
</v>
      </c>
      <c r="O11" t="str">
        <f t="shared" si="9"/>
        <v xml:space="preserve">		public virtual string Line { get; set; }
</v>
      </c>
      <c r="P11" t="str">
        <f t="shared" si="4"/>
        <v xml:space="preserve">							Line = o.Line,</v>
      </c>
      <c r="T11" s="63" t="str">
        <f t="shared" si="10"/>
        <v xml:space="preserve">								("Line"),</v>
      </c>
      <c r="V11" s="64" t="str">
        <f t="shared" si="11"/>
        <v xml:space="preserve">								_ =&gt; _.Line,</v>
      </c>
      <c r="W11" s="63" t="str">
        <f t="shared" si="12"/>
        <v xml:space="preserve">				.WhereIf(!string.IsNullOrWhiteSpace(input.Line), e =&gt; e.Line.Contains(input.Line))</v>
      </c>
    </row>
    <row r="12" spans="1:23" customFormat="1" ht="22.5" customHeight="1" x14ac:dyDescent="0.2">
      <c r="A12" t="s">
        <v>326</v>
      </c>
      <c r="B12" t="s">
        <v>338</v>
      </c>
      <c r="C12" t="s">
        <v>1</v>
      </c>
      <c r="D12" t="str">
        <f>SUBSTITUTE(PROPER(A12),"_","")</f>
        <v>Process</v>
      </c>
      <c r="E12" t="str">
        <f t="shared" ref="E12:E14" si="13">IFERROR(LEFT(B12, FIND("(",B12)-1),B12)</f>
        <v>varchar</v>
      </c>
      <c r="F12" s="7"/>
      <c r="G12" t="str">
        <f t="shared" ref="G12:G14" si="14">IFERROR(MID(B12,FIND("(",B12) +1, FIND(")",B12) - FIND("(",B12) - 1),"")</f>
        <v>5</v>
      </c>
      <c r="H12" t="str">
        <f>+VLOOKUP(E12,'Data Type Mapping'!A:B,2,)</f>
        <v>string</v>
      </c>
      <c r="I12" t="str">
        <f t="shared" ref="I12:I14" si="15">IF(H12="string",REPT(CHAR(9),2)&amp;"public const int Max"&amp;D12&amp;"Length = "&amp;G12&amp;";"&amp;$E$3,"" )</f>
        <v xml:space="preserve">		public const int MaxProcessLength = 5;
</v>
      </c>
      <c r="J12" t="str">
        <f t="shared" ref="J12:J14" si="16">IF(F12="","",REPT(CHAR(9),2)&amp;"[Column(TypeName="""&amp;F12&amp;""")]"&amp;$E$3)&amp;IF(C12="Checked","",$I$3)&amp;IF(H12="string",REPT(CHAR(9),2)&amp;"[StringLength(Max"&amp;D12&amp;"Length"&amp;")]"&amp;$E$3,"")&amp;REPT(CHAR(9),2)&amp;"public virtual "&amp;H12&amp;IF(C12="?","? "," ")&amp;D12&amp;" { get; set; }" &amp; "
"</f>
        <v xml:space="preserve">		[StringLength(MaxProcessLength)]
		public virtual string Process { get; set; }
</v>
      </c>
      <c r="K12" s="7" t="s">
        <v>206</v>
      </c>
      <c r="L12" t="str">
        <f>IF(K12="","",REPT(CHAR(9),1)&amp;"[Index(nameof("&amp;IF(D12="","",""&amp;D12)&amp;")"&amp;", Name="&amp;"""IX_"&amp;$B$7&amp;"_"&amp;D12&amp;""")]")</f>
        <v xml:space="preserve">	[Index(nameof(Process), Name="IX_AsyAdoAssemblyData_Process")]</v>
      </c>
      <c r="M12" t="str">
        <f t="shared" si="7"/>
        <v xml:space="preserve">		public virtual string Process { get; set; }
</v>
      </c>
      <c r="N12" t="str">
        <f t="shared" si="8"/>
        <v xml:space="preserve">		[StringLength(AsyAdoAssemblyDataConsts.MaxProcessLength)]
		public virtual string Process { get; set; }
</v>
      </c>
      <c r="O12" t="str">
        <f t="shared" si="9"/>
        <v xml:space="preserve">		public virtual string Process { get; set; }
</v>
      </c>
      <c r="P12" t="str">
        <f t="shared" ref="P12:P14" si="17">REPT(CHAR(9),7)&amp;D12&amp;" = o." &amp;D12 &amp;","</f>
        <v xml:space="preserve">							Process = o.Process,</v>
      </c>
      <c r="T12" s="63" t="str">
        <f t="shared" si="10"/>
        <v xml:space="preserve">								("Process"),</v>
      </c>
      <c r="V12" s="64" t="str">
        <f t="shared" si="11"/>
        <v xml:space="preserve">								_ =&gt; _.Process,</v>
      </c>
      <c r="W12" s="63" t="str">
        <f t="shared" si="12"/>
        <v xml:space="preserve">				.WhereIf(!string.IsNullOrWhiteSpace(input.Process), e =&gt; e.Process.Contains(input.Process))</v>
      </c>
    </row>
    <row r="13" spans="1:23" customFormat="1" ht="21" customHeight="1" x14ac:dyDescent="0.2">
      <c r="A13" t="s">
        <v>327</v>
      </c>
      <c r="B13" t="s">
        <v>337</v>
      </c>
      <c r="C13" t="s">
        <v>1</v>
      </c>
      <c r="D13" t="str">
        <f t="shared" ref="D13:D15" si="18">SUBSTITUTE(PROPER(A13),"_","")</f>
        <v>Model</v>
      </c>
      <c r="E13" t="str">
        <f t="shared" ref="E13:E18" si="19">IFERROR(LEFT(B13, FIND("(",B13)-1),B13)</f>
        <v>varchar</v>
      </c>
      <c r="F13" s="7"/>
      <c r="G13" t="str">
        <f t="shared" ref="G13:G18" si="20">IFERROR(MID(B13,FIND("(",B13) +1, FIND(")",B13) - FIND("(",B13) - 1),"")</f>
        <v>2</v>
      </c>
      <c r="H13" t="str">
        <f>+VLOOKUP(E13,'Data Type Mapping'!A:B,2,)</f>
        <v>string</v>
      </c>
      <c r="I13" t="str">
        <f t="shared" ref="I13:I18" si="21">IF(H13="string",REPT(CHAR(9),2)&amp;"public const int Max"&amp;D13&amp;"Length = "&amp;G13&amp;";"&amp;$E$3,"" )</f>
        <v xml:space="preserve">		public const int MaxModelLength = 2;
</v>
      </c>
      <c r="J13" t="str">
        <f t="shared" ref="J13:J18" si="22">IF(F13="","",REPT(CHAR(9),2)&amp;"[Column(TypeName="""&amp;F13&amp;""")]"&amp;$E$3)&amp;IF(C13="Checked","",$I$3)&amp;IF(H13="string",REPT(CHAR(9),2)&amp;"[StringLength(Max"&amp;D13&amp;"Length"&amp;")]"&amp;$E$3,"")&amp;REPT(CHAR(9),2)&amp;"public virtual "&amp;H13&amp;IF(C13="?","? "," ")&amp;D13&amp;" { get; set; }" &amp; "
"</f>
        <v xml:space="preserve">		[StringLength(MaxModelLength)]
		public virtual string Model { get; set; }
</v>
      </c>
      <c r="K13" s="7"/>
      <c r="L13" t="str">
        <f t="shared" ref="L13:L15" si="23">IF(K13="","",REPT(CHAR(9),1)&amp;"[Index(nameof("&amp;IF(D13="","",""&amp;D13)&amp;")"&amp;", Name="&amp;"""IX_"&amp;$B$7&amp;"_"&amp;D13&amp;""")]")</f>
        <v/>
      </c>
      <c r="M13" t="str">
        <f t="shared" ref="M13:M18" si="24">REPT(CHAR(9),2)&amp;"public virtual "&amp;IF(OR(H13="DateTime",H13="TimeSpan"),H13&amp;"?",H13)&amp;IF(C13="?","? "," ")&amp;D13&amp;" { get; set; }" &amp; "
"</f>
        <v xml:space="preserve">		public virtual string Model { get; set; }
</v>
      </c>
      <c r="N13" t="str">
        <f t="shared" ref="N13:N18" si="25">IF(C13="Checked","",$I$3)&amp;IF(H13="string",REPT(CHAR(9),2)&amp;"[StringLength("&amp;$B$3&amp;"Consts.Max"&amp;D13&amp;"Length"&amp;")]"&amp;$E$3,"")&amp;REPT(CHAR(9),2)&amp;"public virtual "&amp;IF(OR(H13="DateTime",H13="TimeSpan"),H13&amp;"?",H13)&amp;IF(C13="?","? "," ")&amp;D13&amp;" { get; set; }" &amp; "
"</f>
        <v xml:space="preserve">		[StringLength(AsyAdoAssemblyDataConsts.MaxModelLength)]
		public virtual string Model { get; set; }
</v>
      </c>
      <c r="O13" t="str">
        <f t="shared" ref="O13:O18" si="26">IF(OR(H13="string",H13="DateTime",H13="int"),REPT(CHAR(9),2)&amp;"public virtual "&amp;IF(OR(H13="DateTime",H13="TimeSpan"),H13&amp;"?",H13)&amp;IF(C13="?","? "," ")&amp;D13&amp;" { get; set; }"&amp;$E$3,"")</f>
        <v xml:space="preserve">		public virtual string Model { get; set; }
</v>
      </c>
      <c r="P13" t="str">
        <f t="shared" ref="P13:P18" si="27">REPT(CHAR(9),7)&amp;D13&amp;" = o." &amp;D13 &amp;","</f>
        <v xml:space="preserve">							Model = o.Model,</v>
      </c>
      <c r="T13" s="63" t="str">
        <f t="shared" ref="T13:T18" si="28">REPT(CHAR(9),8)&amp;"("""&amp;D13&amp;"""),"</f>
        <v xml:space="preserve">								("Model"),</v>
      </c>
      <c r="V13" s="64" t="str">
        <f t="shared" ref="V13:V18" si="29">REPT(CHAR(9),8)&amp;"_ =&gt; _."&amp;D13&amp;","</f>
        <v xml:space="preserve">								_ =&gt; _.Model,</v>
      </c>
      <c r="W13" s="63" t="str">
        <f t="shared" ref="W13:W18" si="30">IF(H13="string",REPT(CHAR(9),4)&amp;".WhereIf(!string.IsNullOrWhiteSpace(input."&amp;D13&amp;"), e =&gt; e."&amp;D13&amp;".Contains(input."&amp;D13&amp;"))",IF(H13="DateTime",REPT(CHAR(9),4)&amp;".WhereIf(input."&amp;D13&amp;".HasValue, t =&gt; t."&amp;D13&amp;" == input."&amp;D13&amp;".Value)",""))</f>
        <v xml:space="preserve">				.WhereIf(!string.IsNullOrWhiteSpace(input.Model), e =&gt; e.Model.Contains(input.Model))</v>
      </c>
    </row>
    <row r="14" spans="1:23" customFormat="1" ht="21" customHeight="1" x14ac:dyDescent="0.2">
      <c r="A14" t="s">
        <v>328</v>
      </c>
      <c r="B14" t="s">
        <v>338</v>
      </c>
      <c r="C14" t="s">
        <v>1</v>
      </c>
      <c r="D14" t="str">
        <f t="shared" ref="D14:D16" si="31">SUBSTITUTE(PROPER(A14),"_","")</f>
        <v>Body</v>
      </c>
      <c r="E14" t="str">
        <f t="shared" ref="E14:E21" si="32">IFERROR(LEFT(B14, FIND("(",B14)-1),B14)</f>
        <v>varchar</v>
      </c>
      <c r="F14" s="7"/>
      <c r="G14" t="str">
        <f t="shared" ref="G14:G21" si="33">IFERROR(MID(B14,FIND("(",B14) +1, FIND(")",B14) - FIND("(",B14) - 1),"")</f>
        <v>5</v>
      </c>
      <c r="H14" t="str">
        <f>+VLOOKUP(E14,'Data Type Mapping'!A:B,2,)</f>
        <v>string</v>
      </c>
      <c r="I14" t="str">
        <f t="shared" ref="I14:I21" si="34">IF(H14="string",REPT(CHAR(9),2)&amp;"public const int Max"&amp;D14&amp;"Length = "&amp;G14&amp;";"&amp;$E$3,"" )</f>
        <v xml:space="preserve">		public const int MaxBodyLength = 5;
</v>
      </c>
      <c r="J14" t="str">
        <f t="shared" ref="J14:J21" si="35">IF(F14="","",REPT(CHAR(9),2)&amp;"[Column(TypeName="""&amp;F14&amp;""")]"&amp;$E$3)&amp;IF(C14="Checked","",$I$3)&amp;IF(H14="string",REPT(CHAR(9),2)&amp;"[StringLength(Max"&amp;D14&amp;"Length"&amp;")]"&amp;$E$3,"")&amp;REPT(CHAR(9),2)&amp;"public virtual "&amp;H14&amp;IF(C14="?","? "," ")&amp;D14&amp;" { get; set; }" &amp; "
"</f>
        <v xml:space="preserve">		[StringLength(MaxBodyLength)]
		public virtual string Body { get; set; }
</v>
      </c>
      <c r="K14" s="7"/>
      <c r="L14" t="str">
        <f t="shared" ref="L14:L16" si="36">IF(K14="","",REPT(CHAR(9),1)&amp;"[Index(nameof("&amp;IF(D14="","",""&amp;D14)&amp;")"&amp;", Name="&amp;"""IX_"&amp;$B$7&amp;"_"&amp;D14&amp;""")]")</f>
        <v/>
      </c>
      <c r="M14" t="str">
        <f t="shared" ref="M14:M21" si="37">REPT(CHAR(9),2)&amp;"public virtual "&amp;IF(OR(H14="DateTime",H14="TimeSpan"),H14&amp;"?",H14)&amp;IF(C14="?","? "," ")&amp;D14&amp;" { get; set; }" &amp; "
"</f>
        <v xml:space="preserve">		public virtual string Body { get; set; }
</v>
      </c>
      <c r="N14" t="str">
        <f t="shared" ref="N14:N21" si="38">IF(C14="Checked","",$I$3)&amp;IF(H14="string",REPT(CHAR(9),2)&amp;"[StringLength("&amp;$B$3&amp;"Consts.Max"&amp;D14&amp;"Length"&amp;")]"&amp;$E$3,"")&amp;REPT(CHAR(9),2)&amp;"public virtual "&amp;IF(OR(H14="DateTime",H14="TimeSpan"),H14&amp;"?",H14)&amp;IF(C14="?","? "," ")&amp;D14&amp;" { get; set; }" &amp; "
"</f>
        <v xml:space="preserve">		[StringLength(AsyAdoAssemblyDataConsts.MaxBodyLength)]
		public virtual string Body { get; set; }
</v>
      </c>
      <c r="O14" t="str">
        <f t="shared" ref="O14:O21" si="39">IF(OR(H14="string",H14="DateTime",H14="int"),REPT(CHAR(9),2)&amp;"public virtual "&amp;IF(OR(H14="DateTime",H14="TimeSpan"),H14&amp;"?",H14)&amp;IF(C14="?","? "," ")&amp;D14&amp;" { get; set; }"&amp;$E$3,"")</f>
        <v xml:space="preserve">		public virtual string Body { get; set; }
</v>
      </c>
      <c r="P14" t="str">
        <f t="shared" ref="P14:P21" si="40">REPT(CHAR(9),7)&amp;D14&amp;" = o." &amp;D14 &amp;","</f>
        <v xml:space="preserve">							Body = o.Body,</v>
      </c>
      <c r="T14" s="63" t="str">
        <f t="shared" ref="T14:T21" si="41">REPT(CHAR(9),8)&amp;"("""&amp;D14&amp;"""),"</f>
        <v xml:space="preserve">								("Body"),</v>
      </c>
      <c r="V14" s="64" t="str">
        <f t="shared" ref="V14:V21" si="42">REPT(CHAR(9),8)&amp;"_ =&gt; _."&amp;D14&amp;","</f>
        <v xml:space="preserve">								_ =&gt; _.Body,</v>
      </c>
      <c r="W14" s="63" t="str">
        <f t="shared" ref="W14:W21" si="43">IF(H14="string",REPT(CHAR(9),4)&amp;".WhereIf(!string.IsNullOrWhiteSpace(input."&amp;D14&amp;"), e =&gt; e."&amp;D14&amp;".Contains(input."&amp;D14&amp;"))",IF(H14="DateTime",REPT(CHAR(9),4)&amp;".WhereIf(input."&amp;D14&amp;".HasValue, t =&gt; t."&amp;D14&amp;" == input."&amp;D14&amp;".Value)",""))</f>
        <v xml:space="preserve">				.WhereIf(!string.IsNullOrWhiteSpace(input.Body), e =&gt; e.Body.Contains(input.Body))</v>
      </c>
    </row>
    <row r="15" spans="1:23" customFormat="1" ht="18.75" customHeight="1" x14ac:dyDescent="0.2">
      <c r="A15" t="s">
        <v>329</v>
      </c>
      <c r="B15" t="s">
        <v>336</v>
      </c>
      <c r="C15" t="s">
        <v>1</v>
      </c>
      <c r="D15" t="str">
        <f t="shared" si="31"/>
        <v>Seqno</v>
      </c>
      <c r="E15" t="str">
        <f t="shared" si="32"/>
        <v>varchar</v>
      </c>
      <c r="F15" s="7"/>
      <c r="G15" t="str">
        <f t="shared" si="33"/>
        <v>10</v>
      </c>
      <c r="H15" t="str">
        <f>+VLOOKUP(E15,'Data Type Mapping'!A:B,2,)</f>
        <v>string</v>
      </c>
      <c r="I15" t="str">
        <f t="shared" si="34"/>
        <v xml:space="preserve">		public const int MaxSeqnoLength = 10;
</v>
      </c>
      <c r="J15" t="str">
        <f t="shared" si="35"/>
        <v xml:space="preserve">		[StringLength(MaxSeqnoLength)]
		public virtual string Seqno { get; set; }
</v>
      </c>
      <c r="K15" s="7"/>
      <c r="L15" t="str">
        <f t="shared" si="36"/>
        <v/>
      </c>
      <c r="M15" t="str">
        <f t="shared" si="37"/>
        <v xml:space="preserve">		public virtual string Seqno { get; set; }
</v>
      </c>
      <c r="N15" t="str">
        <f t="shared" si="38"/>
        <v xml:space="preserve">		[StringLength(AsyAdoAssemblyDataConsts.MaxSeqnoLength)]
		public virtual string Seqno { get; set; }
</v>
      </c>
      <c r="O15" t="str">
        <f t="shared" si="39"/>
        <v xml:space="preserve">		public virtual string Seqno { get; set; }
</v>
      </c>
      <c r="P15" t="str">
        <f t="shared" si="40"/>
        <v xml:space="preserve">							Seqno = o.Seqno,</v>
      </c>
      <c r="T15" s="63" t="str">
        <f t="shared" si="41"/>
        <v xml:space="preserve">								("Seqno"),</v>
      </c>
      <c r="V15" s="64" t="str">
        <f t="shared" si="42"/>
        <v xml:space="preserve">								_ =&gt; _.Seqno,</v>
      </c>
      <c r="W15" s="63" t="str">
        <f t="shared" si="43"/>
        <v xml:space="preserve">				.WhereIf(!string.IsNullOrWhiteSpace(input.Seqno), e =&gt; e.Seqno.Contains(input.Seqno))</v>
      </c>
    </row>
    <row r="16" spans="1:23" customFormat="1" ht="22.5" customHeight="1" x14ac:dyDescent="0.2">
      <c r="A16" t="s">
        <v>330</v>
      </c>
      <c r="B16" t="s">
        <v>337</v>
      </c>
      <c r="C16" t="s">
        <v>1</v>
      </c>
      <c r="D16" t="str">
        <f>SUBSTITUTE(PROPER(A16),"_","")</f>
        <v>Grade</v>
      </c>
      <c r="E16" t="str">
        <f t="shared" si="32"/>
        <v>varchar</v>
      </c>
      <c r="F16" s="7"/>
      <c r="G16" t="str">
        <f t="shared" si="33"/>
        <v>2</v>
      </c>
      <c r="H16" t="str">
        <f>+VLOOKUP(E16,'Data Type Mapping'!A:B,2,)</f>
        <v>string</v>
      </c>
      <c r="I16" t="str">
        <f t="shared" si="34"/>
        <v xml:space="preserve">		public const int MaxGradeLength = 2;
</v>
      </c>
      <c r="J16" t="str">
        <f t="shared" si="35"/>
        <v xml:space="preserve">		[StringLength(MaxGradeLength)]
		public virtual string Grade { get; set; }
</v>
      </c>
      <c r="K16" s="7" t="s">
        <v>206</v>
      </c>
      <c r="L16" t="str">
        <f>IF(K16="","",REPT(CHAR(9),1)&amp;"[Index(nameof("&amp;IF(D16="","",""&amp;D16)&amp;")"&amp;", Name="&amp;"""IX_"&amp;$B$7&amp;"_"&amp;D16&amp;""")]")</f>
        <v xml:space="preserve">	[Index(nameof(Grade), Name="IX_AsyAdoAssemblyData_Grade")]</v>
      </c>
      <c r="M16" t="str">
        <f t="shared" si="37"/>
        <v xml:space="preserve">		public virtual string Grade { get; set; }
</v>
      </c>
      <c r="N16" t="str">
        <f t="shared" si="38"/>
        <v xml:space="preserve">		[StringLength(AsyAdoAssemblyDataConsts.MaxGradeLength)]
		public virtual string Grade { get; set; }
</v>
      </c>
      <c r="O16" t="str">
        <f t="shared" si="39"/>
        <v xml:space="preserve">		public virtual string Grade { get; set; }
</v>
      </c>
      <c r="P16" t="str">
        <f t="shared" si="40"/>
        <v xml:space="preserve">							Grade = o.Grade,</v>
      </c>
      <c r="T16" s="63" t="str">
        <f t="shared" si="41"/>
        <v xml:space="preserve">								("Grade"),</v>
      </c>
      <c r="V16" s="64" t="str">
        <f t="shared" si="42"/>
        <v xml:space="preserve">								_ =&gt; _.Grade,</v>
      </c>
      <c r="W16" s="63" t="str">
        <f t="shared" si="43"/>
        <v xml:space="preserve">				.WhereIf(!string.IsNullOrWhiteSpace(input.Grade), e =&gt; e.Grade.Contains(input.Grade))</v>
      </c>
    </row>
    <row r="17" spans="1:23" customFormat="1" ht="21" customHeight="1" x14ac:dyDescent="0.2">
      <c r="A17" t="s">
        <v>331</v>
      </c>
      <c r="B17" t="s">
        <v>336</v>
      </c>
      <c r="C17" t="s">
        <v>1</v>
      </c>
      <c r="D17" t="str">
        <f t="shared" ref="D17:D19" si="44">SUBSTITUTE(PROPER(A17),"_","")</f>
        <v>Lotno</v>
      </c>
      <c r="E17" t="str">
        <f t="shared" si="32"/>
        <v>varchar</v>
      </c>
      <c r="F17" s="7"/>
      <c r="G17" t="str">
        <f t="shared" si="33"/>
        <v>10</v>
      </c>
      <c r="H17" t="str">
        <f>+VLOOKUP(E17,'Data Type Mapping'!A:B,2,)</f>
        <v>string</v>
      </c>
      <c r="I17" t="str">
        <f t="shared" si="34"/>
        <v xml:space="preserve">		public const int MaxLotnoLength = 10;
</v>
      </c>
      <c r="J17" t="str">
        <f t="shared" si="35"/>
        <v xml:space="preserve">		[StringLength(MaxLotnoLength)]
		public virtual string Lotno { get; set; }
</v>
      </c>
      <c r="K17" s="7"/>
      <c r="L17" t="str">
        <f t="shared" ref="L17:L19" si="45">IF(K17="","",REPT(CHAR(9),1)&amp;"[Index(nameof("&amp;IF(D17="","",""&amp;D17)&amp;")"&amp;", Name="&amp;"""IX_"&amp;$B$7&amp;"_"&amp;D17&amp;""")]")</f>
        <v/>
      </c>
      <c r="M17" t="str">
        <f t="shared" si="37"/>
        <v xml:space="preserve">		public virtual string Lotno { get; set; }
</v>
      </c>
      <c r="N17" t="str">
        <f t="shared" si="38"/>
        <v xml:space="preserve">		[StringLength(AsyAdoAssemblyDataConsts.MaxLotnoLength)]
		public virtual string Lotno { get; set; }
</v>
      </c>
      <c r="O17" t="str">
        <f t="shared" si="39"/>
        <v xml:space="preserve">		public virtual string Lotno { get; set; }
</v>
      </c>
      <c r="P17" t="str">
        <f t="shared" si="40"/>
        <v xml:space="preserve">							Lotno = o.Lotno,</v>
      </c>
      <c r="T17" s="63" t="str">
        <f t="shared" si="41"/>
        <v xml:space="preserve">								("Lotno"),</v>
      </c>
      <c r="V17" s="64" t="str">
        <f t="shared" si="42"/>
        <v xml:space="preserve">								_ =&gt; _.Lotno,</v>
      </c>
      <c r="W17" s="63" t="str">
        <f t="shared" si="43"/>
        <v xml:space="preserve">				.WhereIf(!string.IsNullOrWhiteSpace(input.Lotno), e =&gt; e.Lotno.Contains(input.Lotno))</v>
      </c>
    </row>
    <row r="18" spans="1:23" customFormat="1" ht="18.75" customHeight="1" x14ac:dyDescent="0.2">
      <c r="A18" t="s">
        <v>332</v>
      </c>
      <c r="B18" t="s">
        <v>4</v>
      </c>
      <c r="C18" t="s">
        <v>79</v>
      </c>
      <c r="D18" t="str">
        <f t="shared" si="44"/>
        <v>Noinlot</v>
      </c>
      <c r="E18" t="str">
        <f t="shared" si="32"/>
        <v>int</v>
      </c>
      <c r="F18" s="7"/>
      <c r="G18" t="str">
        <f t="shared" si="33"/>
        <v/>
      </c>
      <c r="H18" t="str">
        <f>+VLOOKUP(E18,'Data Type Mapping'!A:B,2,)</f>
        <v>int</v>
      </c>
      <c r="I18" t="str">
        <f t="shared" si="34"/>
        <v/>
      </c>
      <c r="J18" t="str">
        <f t="shared" si="35"/>
        <v xml:space="preserve">		[Required]
		public virtual int Noinlot { get; set; }
</v>
      </c>
      <c r="K18" s="7"/>
      <c r="L18" t="str">
        <f t="shared" si="45"/>
        <v/>
      </c>
      <c r="M18" t="str">
        <f t="shared" si="37"/>
        <v xml:space="preserve">		public virtual int Noinlot { get; set; }
</v>
      </c>
      <c r="N18" t="str">
        <f t="shared" si="38"/>
        <v xml:space="preserve">		[Required]
		public virtual int Noinlot { get; set; }
</v>
      </c>
      <c r="O18" t="str">
        <f t="shared" si="39"/>
        <v xml:space="preserve">		public virtual int Noinlot { get; set; }
</v>
      </c>
      <c r="P18" t="str">
        <f t="shared" si="40"/>
        <v xml:space="preserve">							Noinlot = o.Noinlot,</v>
      </c>
      <c r="T18" s="63" t="str">
        <f t="shared" si="41"/>
        <v xml:space="preserve">								("Noinlot"),</v>
      </c>
      <c r="V18" s="64" t="str">
        <f t="shared" si="42"/>
        <v xml:space="preserve">								_ =&gt; _.Noinlot,</v>
      </c>
      <c r="W18" s="63" t="str">
        <f t="shared" si="43"/>
        <v/>
      </c>
    </row>
    <row r="19" spans="1:23" customFormat="1" ht="22.5" customHeight="1" x14ac:dyDescent="0.2">
      <c r="A19" t="s">
        <v>333</v>
      </c>
      <c r="B19" t="s">
        <v>4</v>
      </c>
      <c r="C19" t="s">
        <v>79</v>
      </c>
      <c r="D19" t="str">
        <f>SUBSTITUTE(PROPER(A19),"_","")</f>
        <v>Lotnoindex</v>
      </c>
      <c r="E19" t="str">
        <f t="shared" si="32"/>
        <v>int</v>
      </c>
      <c r="F19" s="7"/>
      <c r="G19" t="str">
        <f t="shared" si="33"/>
        <v/>
      </c>
      <c r="H19" t="str">
        <f>+VLOOKUP(E19,'Data Type Mapping'!A:B,2,)</f>
        <v>int</v>
      </c>
      <c r="I19" t="str">
        <f t="shared" si="34"/>
        <v/>
      </c>
      <c r="J19" t="str">
        <f t="shared" si="35"/>
        <v xml:space="preserve">		[Required]
		public virtual int Lotnoindex { get; set; }
</v>
      </c>
      <c r="K19" s="7" t="s">
        <v>206</v>
      </c>
      <c r="L19" t="str">
        <f>IF(K19="","",REPT(CHAR(9),1)&amp;"[Index(nameof("&amp;IF(D19="","",""&amp;D19)&amp;")"&amp;", Name="&amp;"""IX_"&amp;$B$7&amp;"_"&amp;D19&amp;""")]")</f>
        <v xml:space="preserve">	[Index(nameof(Lotnoindex), Name="IX_AsyAdoAssemblyData_Lotnoindex")]</v>
      </c>
      <c r="M19" t="str">
        <f t="shared" si="37"/>
        <v xml:space="preserve">		public virtual int Lotnoindex { get; set; }
</v>
      </c>
      <c r="N19" t="str">
        <f t="shared" si="38"/>
        <v xml:space="preserve">		[Required]
		public virtual int Lotnoindex { get; set; }
</v>
      </c>
      <c r="O19" t="str">
        <f t="shared" si="39"/>
        <v xml:space="preserve">		public virtual int Lotnoindex { get; set; }
</v>
      </c>
      <c r="P19" t="str">
        <f t="shared" si="40"/>
        <v xml:space="preserve">							Lotnoindex = o.Lotnoindex,</v>
      </c>
      <c r="T19" s="63" t="str">
        <f t="shared" si="41"/>
        <v xml:space="preserve">								("Lotnoindex"),</v>
      </c>
      <c r="V19" s="64" t="str">
        <f t="shared" si="42"/>
        <v xml:space="preserve">								_ =&gt; _.Lotnoindex,</v>
      </c>
      <c r="W19" s="63" t="str">
        <f t="shared" si="43"/>
        <v/>
      </c>
    </row>
    <row r="20" spans="1:23" customFormat="1" ht="18.75" customHeight="1" x14ac:dyDescent="0.2">
      <c r="A20" t="s">
        <v>334</v>
      </c>
      <c r="B20" t="s">
        <v>338</v>
      </c>
      <c r="C20" t="s">
        <v>1</v>
      </c>
      <c r="D20" t="str">
        <f t="shared" ref="D19:D21" si="46">SUBSTITUTE(PROPER(A20),"_","")</f>
        <v>Color</v>
      </c>
      <c r="E20" t="str">
        <f t="shared" si="32"/>
        <v>varchar</v>
      </c>
      <c r="F20" s="7"/>
      <c r="G20" t="str">
        <f t="shared" si="33"/>
        <v>5</v>
      </c>
      <c r="H20" t="str">
        <f>+VLOOKUP(E20,'Data Type Mapping'!A:B,2,)</f>
        <v>string</v>
      </c>
      <c r="I20" t="str">
        <f t="shared" si="34"/>
        <v xml:space="preserve">		public const int MaxColorLength = 5;
</v>
      </c>
      <c r="J20" t="str">
        <f t="shared" si="35"/>
        <v xml:space="preserve">		[StringLength(MaxColorLength)]
		public virtual string Color { get; set; }
</v>
      </c>
      <c r="K20" s="7"/>
      <c r="L20" t="str">
        <f t="shared" ref="L19:L21" si="47">IF(K20="","",REPT(CHAR(9),1)&amp;"[Index(nameof("&amp;IF(D20="","",""&amp;D20)&amp;")"&amp;", Name="&amp;"""IX_"&amp;$B$7&amp;"_"&amp;D20&amp;""")]")</f>
        <v/>
      </c>
      <c r="M20" t="str">
        <f t="shared" si="37"/>
        <v xml:space="preserve">		public virtual string Color { get; set; }
</v>
      </c>
      <c r="N20" t="str">
        <f t="shared" si="38"/>
        <v xml:space="preserve">		[StringLength(AsyAdoAssemblyDataConsts.MaxColorLength)]
		public virtual string Color { get; set; }
</v>
      </c>
      <c r="O20" t="str">
        <f t="shared" si="39"/>
        <v xml:space="preserve">		public virtual string Color { get; set; }
</v>
      </c>
      <c r="P20" t="str">
        <f t="shared" si="40"/>
        <v xml:space="preserve">							Color = o.Color,</v>
      </c>
      <c r="T20" s="63" t="str">
        <f t="shared" si="41"/>
        <v xml:space="preserve">								("Color"),</v>
      </c>
      <c r="V20" s="64" t="str">
        <f t="shared" si="42"/>
        <v xml:space="preserve">								_ =&gt; _.Color,</v>
      </c>
      <c r="W20" s="63" t="str">
        <f t="shared" si="43"/>
        <v xml:space="preserve">				.WhereIf(!string.IsNullOrWhiteSpace(input.Color), e =&gt; e.Color.Contains(input.Color))</v>
      </c>
    </row>
    <row r="21" spans="1:23" customFormat="1" ht="22.5" customHeight="1" x14ac:dyDescent="0.2">
      <c r="A21" t="s">
        <v>335</v>
      </c>
      <c r="B21" t="s">
        <v>248</v>
      </c>
      <c r="C21" t="s">
        <v>79</v>
      </c>
      <c r="D21" t="str">
        <f>SUBSTITUTE(PROPER(A21),"_","")</f>
        <v>Createdate</v>
      </c>
      <c r="E21" t="str">
        <f t="shared" si="32"/>
        <v>datetime2</v>
      </c>
      <c r="F21" s="7"/>
      <c r="G21" t="str">
        <f t="shared" si="33"/>
        <v>7</v>
      </c>
      <c r="H21" t="str">
        <f>+VLOOKUP(E21,'Data Type Mapping'!A:B,2,)</f>
        <v>DateTime</v>
      </c>
      <c r="I21" t="str">
        <f t="shared" si="34"/>
        <v/>
      </c>
      <c r="J21" t="str">
        <f t="shared" si="35"/>
        <v xml:space="preserve">		[Required]
		public virtual DateTime Createdate { get; set; }
</v>
      </c>
      <c r="K21" s="7" t="s">
        <v>206</v>
      </c>
      <c r="L21" t="str">
        <f>IF(K21="","",REPT(CHAR(9),1)&amp;"[Index(nameof("&amp;IF(D21="","",""&amp;D21)&amp;")"&amp;", Name="&amp;"""IX_"&amp;$B$7&amp;"_"&amp;D21&amp;""")]")</f>
        <v xml:space="preserve">	[Index(nameof(Createdate), Name="IX_AsyAdoAssemblyData_Createdate")]</v>
      </c>
      <c r="M21" t="str">
        <f t="shared" si="37"/>
        <v xml:space="preserve">		public virtual DateTime? Createdate { get; set; }
</v>
      </c>
      <c r="N21" t="str">
        <f t="shared" si="38"/>
        <v xml:space="preserve">		[Required]
		public virtual DateTime? Createdate { get; set; }
</v>
      </c>
      <c r="O21" t="str">
        <f t="shared" si="39"/>
        <v xml:space="preserve">		public virtual DateTime? Createdate { get; set; }
</v>
      </c>
      <c r="P21" t="str">
        <f t="shared" si="40"/>
        <v xml:space="preserve">							Createdate = o.Createdate,</v>
      </c>
      <c r="T21" s="63" t="str">
        <f t="shared" si="41"/>
        <v xml:space="preserve">								("Createdate"),</v>
      </c>
      <c r="V21" s="64" t="str">
        <f t="shared" si="42"/>
        <v xml:space="preserve">								_ =&gt; _.Createdate,</v>
      </c>
      <c r="W21" s="63" t="str">
        <f t="shared" si="43"/>
        <v xml:space="preserve">				.WhereIf(input.Createdate.HasValue, t =&gt; t.Createdate == input.Createdate.Value)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V27"/>
  <sheetViews>
    <sheetView tabSelected="1" workbookViewId="0">
      <selection activeCell="F32" sqref="F32"/>
    </sheetView>
  </sheetViews>
  <sheetFormatPr baseColWidth="10" defaultColWidth="8.83203125" defaultRowHeight="15" x14ac:dyDescent="0.2"/>
  <cols>
    <col min="1" max="1" width="17.6640625" customWidth="1"/>
    <col min="2" max="2" width="15.5" customWidth="1"/>
    <col min="3" max="3" width="16.83203125" customWidth="1"/>
    <col min="4" max="7" width="15.1640625" customWidth="1"/>
    <col min="8" max="8" width="24.5" customWidth="1"/>
    <col min="9" max="9" width="26.1640625" customWidth="1"/>
    <col min="10" max="10" width="22.33203125" customWidth="1"/>
    <col min="11" max="11" width="25.83203125" customWidth="1"/>
    <col min="12" max="12" width="23.6640625" customWidth="1"/>
    <col min="13" max="13" width="23.5" customWidth="1"/>
    <col min="14" max="15" width="20.5" customWidth="1"/>
    <col min="16" max="16" width="25.83203125" customWidth="1"/>
    <col min="17" max="18" width="25.5" customWidth="1"/>
    <col min="19" max="19" width="24" customWidth="1"/>
    <col min="20" max="20" width="19.1640625" customWidth="1"/>
    <col min="21" max="21" width="19.83203125" customWidth="1"/>
    <col min="22" max="22" width="13.6640625" customWidth="1"/>
  </cols>
  <sheetData>
    <row r="1" spans="1:22" ht="32" x14ac:dyDescent="0.2">
      <c r="A1" s="35" t="s">
        <v>212</v>
      </c>
      <c r="B1" s="36" t="s">
        <v>249</v>
      </c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</row>
    <row r="2" spans="1:22" ht="16" x14ac:dyDescent="0.2">
      <c r="A2" s="35" t="s">
        <v>237</v>
      </c>
      <c r="B2" s="36" t="str">
        <f>A.Backend!B4</f>
        <v>Assembly</v>
      </c>
      <c r="C2" s="29"/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29"/>
      <c r="R2" s="29"/>
    </row>
    <row r="3" spans="1:22" ht="16" x14ac:dyDescent="0.2">
      <c r="A3" s="35" t="s">
        <v>237</v>
      </c>
      <c r="B3" s="36" t="str">
        <f>LOWER(B2)</f>
        <v>assembly</v>
      </c>
      <c r="C3" s="29"/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</row>
    <row r="4" spans="1:22" x14ac:dyDescent="0.2">
      <c r="A4" s="35" t="s">
        <v>214</v>
      </c>
      <c r="B4" s="37" t="str">
        <f>A.Backend!Q3</f>
        <v>Andon</v>
      </c>
      <c r="C4" s="29"/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O4" s="29"/>
      <c r="P4" s="29"/>
      <c r="Q4" s="29"/>
      <c r="R4" s="29"/>
    </row>
    <row r="5" spans="1:22" x14ac:dyDescent="0.2">
      <c r="A5" s="35" t="s">
        <v>214</v>
      </c>
      <c r="B5" s="37" t="str">
        <f>LOWER(B4)</f>
        <v>andon</v>
      </c>
      <c r="C5" s="29"/>
      <c r="D5" s="29"/>
      <c r="E5" s="29"/>
      <c r="F5" s="29"/>
      <c r="G5" s="29"/>
      <c r="H5" s="29"/>
      <c r="I5" s="29"/>
      <c r="J5" s="29"/>
      <c r="K5" s="29"/>
      <c r="L5" s="29"/>
      <c r="M5" s="29"/>
      <c r="N5" s="29"/>
      <c r="O5" s="29"/>
      <c r="P5" s="29"/>
      <c r="Q5" s="29"/>
      <c r="R5" s="29"/>
    </row>
    <row r="6" spans="1:22" x14ac:dyDescent="0.2">
      <c r="A6" s="35" t="s">
        <v>224</v>
      </c>
      <c r="B6" s="38" t="str">
        <f>A.Backend!B3</f>
        <v>AsyAdoAssemblyData</v>
      </c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</row>
    <row r="7" spans="1:22" x14ac:dyDescent="0.2">
      <c r="A7" s="35" t="s">
        <v>215</v>
      </c>
      <c r="B7" s="37" t="str">
        <f>A.Backend!B5</f>
        <v>AssemblyData</v>
      </c>
      <c r="C7" s="29"/>
      <c r="D7" s="29"/>
      <c r="E7" s="29"/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</row>
    <row r="8" spans="1:22" x14ac:dyDescent="0.2">
      <c r="A8" s="35" t="s">
        <v>213</v>
      </c>
      <c r="B8" s="37" t="str">
        <f>LOWER(B7)</f>
        <v>assemblydata</v>
      </c>
      <c r="C8" s="29"/>
      <c r="D8" s="29"/>
      <c r="E8" s="29"/>
      <c r="F8" s="29"/>
      <c r="G8" s="29"/>
      <c r="H8" s="29"/>
      <c r="I8" s="29"/>
      <c r="J8" s="29"/>
      <c r="K8" s="29"/>
      <c r="L8" s="29"/>
      <c r="M8" s="29"/>
      <c r="N8" s="29"/>
      <c r="O8" s="29"/>
      <c r="P8" s="29"/>
      <c r="Q8" s="29"/>
      <c r="R8" s="29"/>
    </row>
    <row r="9" spans="1:22" ht="18.75" customHeight="1" x14ac:dyDescent="0.2">
      <c r="A9" s="47" t="s">
        <v>216</v>
      </c>
      <c r="B9" s="48"/>
      <c r="C9" s="47"/>
      <c r="D9" s="47"/>
      <c r="E9" s="47"/>
      <c r="F9" s="47"/>
      <c r="G9" s="47"/>
      <c r="H9" s="39" t="s">
        <v>271</v>
      </c>
      <c r="I9" s="40" t="s">
        <v>272</v>
      </c>
      <c r="J9" s="39" t="s">
        <v>219</v>
      </c>
      <c r="K9" s="41" t="s">
        <v>258</v>
      </c>
      <c r="L9" s="40" t="s">
        <v>262</v>
      </c>
      <c r="M9" s="39" t="s">
        <v>251</v>
      </c>
      <c r="N9" s="39" t="s">
        <v>220</v>
      </c>
      <c r="O9" s="39" t="s">
        <v>221</v>
      </c>
      <c r="P9" s="40" t="s">
        <v>223</v>
      </c>
      <c r="Q9" s="39" t="s">
        <v>252</v>
      </c>
      <c r="R9" s="39" t="s">
        <v>233</v>
      </c>
      <c r="S9" s="29"/>
      <c r="T9" s="29"/>
      <c r="U9" s="29"/>
      <c r="V9" s="29"/>
    </row>
    <row r="10" spans="1:22" ht="18.75" customHeight="1" x14ac:dyDescent="0.2">
      <c r="A10" s="49" t="s">
        <v>217</v>
      </c>
      <c r="B10" s="50"/>
      <c r="C10" s="51"/>
      <c r="D10" s="51"/>
      <c r="E10" s="51"/>
      <c r="F10" s="51"/>
      <c r="G10" s="51"/>
      <c r="H10" s="42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AsyAdoAssemblyDataDto, AsyAdoAssemblyDataServiceProxy } from '@shared/service-proxies/service-proxies';
import { finalize } from 'rxjs/internal/operators/finalize';
import { CreateOrEditAssemblyDataModalComponent } from './create-or-edit-assemblydata-modal.component';
import { DatePipe } from '@angular/common';
import { FileDownloadService } from '@shared/utils/file-download.service';
import ceil from 'lodash-es/ceil';
import { Paginator } from 'primeng/paginator';
@Component({
    templateUrl: './assemblydata.component.html',
    styleUrls: ['./assemblydata.component.less'],
})
export class AssemblyDataComponent extends AppComponentBase implements OnInit {
    @ViewChild('createOrEditModalAssemblyData', { static: true }) createOrEditModalAssemblyData:| CreateOrEditAssemblyDataModalComponent|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AsyAdoAssemblyDataDto = new AsyAdoAssemblyDataDto();
    saveSelectedRow: AsyAdoAssemblyDataDto = new AsyAdoAssemblyDataDto();
    datas: AsyAdoAssemblyDataDto = new AsyAdoAssemblyDataDto();
    isLoading: boolean = false;
    dataParams: GridParams | undefined;
    rowData: any[] = [];
    gridApi!: GridApi;
    rowSelection = 'multiple';
    filter: string = '';
	pipe = new DatePipe('en-US');
	frameworkComponents: FrameworkComponent;
    workingdate : any ;
	noindate : number = 0 ;
	line : string = '' ; 
	process : string = '' ; 
	model : string = '' ; 
body : string = '' ; 
	seqno : string = '' ; 
	grade : string = '' ; 
	lotno : string = '' ; 
	noinlot : number = 0 ;
lotnoindex : number = 0 ;
	color : string = '' ; 
	createdate : any 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AsyAdoAssemblyDataServiceProxy,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this.l('Workingdate'),headerTooltip: this.l('Workingdate'),field: 'workingdate',valueGetter: (params) =&gt; this.pipe.transform(params.data?.workingdate, 'dd/MM/yyyy'),flex: 1},
			{headerName: this.l('Noindate'),headerTooltip: this.l('Noindate'),field: 'noindate',flex: 1},
			{headerName: this.l('Line'),headerTooltip: this.l('Line'),field: 'line',flex: 1},
			{headerName: this.l('Process'),headerTooltip: this.l('Process'),field: 'process',flex: 1},
			{headerName: this.l('Model'),headerTooltip: this.l('Model'),field: 'model',flex: 1},
			{headerName: this.l('Body'),headerTooltip: this.l('Body'),field: 'body',flex: 1},
			{headerName: this.l('Seqno'),headerTooltip: this.l('Seqno'),field: 'seqno',flex: 1},
			{headerName: this.l('Grade'),headerTooltip: this.l('Grade'),field: 'grade',flex: 1},
			{headerName: this.l('Lotno'),headerTooltip: this.l('Lotno'),field: 'lotno',flex: 1},
			{headerName: this.l('Noinlot'),headerTooltip: this.l('Noinlot'),field: 'noinlot',flex: 1},
			{headerName: this.l('Lotnoindex'),headerTooltip: this.l('Lotnoindex'),field: 'lotnoindex',flex: 1},
			{headerName: this.l('Color'),headerTooltip: this.l('Color'),field: 'color',flex: 1},
			{headerName: this.l('Createdate'),headerTooltip: this.l('Createdate'),field: 'createdate',valueGetter: (params) =&gt; this.pipe.transform(params.data?.createdate, 'dd/MM/yyyy'),flex: 1},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this.workingdate,
			this.noindate,
			this.line,
			this.process,
			this.model,
			this.body,
			this.seqno,
			this.grade,
			this.lotno,
			this.noinlot,
			this.lotnoindex,
			this.color,
			this.createdate,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this.workingdate = '',
		this.noindate = 0,
		this.line = '',
		this.process = '',
		this.model = '',
this.body = '',
		this.seqno = '',
		this.grade = '',
		this.lotno = '',
		this.noinlot = 0,
this.lotnoindex = 0,
		this.color = '',
		this.createdate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this.workingdate,
			this.noindate,
			this.line,
			this.process,
			this.model,
			this.body,
			this.seqno,
			this.grade,
			this.lotno,
			this.noinlot,
			this.lotnoindex,
			this.color,
			this.createdate,
			'',
            this.paginationParams.skipCount,
            this.paginationParams.pageSize
        );
    }
    onChangeRowSelection(params: { api: { getSelectedRows: () =&gt; AsyAdoAssemblyDataDto[] } }) {
        this.saveSelectedRow = params.api.getSelectedRows()[0] ?? new AsyAdoAssemblyDataDto();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AsyAdoAssemblyDataDto):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this._service.getAssemblyDataToExcel(
			this.workingdate,
			this.noindate,
			this.line,
			this.process,
			this.model,
			this.body,
			this.seqno,
			this.grade,
			this.lotno,
			this.noinlot,
			this.lotnoindex,
			this.color,
			this.createdate,
            )
            .subscribe((result) =&gt; {
                this._fileDownloadService.downloadTempFile(result);
        });
    }
}</v>
      </c>
      <c r="I10" s="42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Painting Andon Scan Info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type='text' [placeholder]="l('Workingdate')" [(ngModel)]='workingdate' 
									name='workingdate'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[(ngModel)]='line' name='line'
									class='form-control' [placeholder]="l('Line')"
									type='text' (keyup.enter)='searchDatas()'&gt;
								&lt;/div&gt;
								&lt;div class='input-search'&gt;
									&lt;input [(ngModel)]='process' name='process'
									class='form-control' [placeholder]="l('Process')"
									type='text' (keyup.enter)='searchDatas()'&gt;
								&lt;/div&gt;
								&lt;div class='input-search'&gt;
									&lt;input [(ngModel)]='model' name='model'
									class='form-control' [placeholder]="l('Model')"
									type='text' (keyup.enter)='searchDatas()'&gt;
								&lt;/div&gt;
								&lt;div class='input-search'&gt;
									&lt;input [(ngModel)]='body' name='body'
									class='form-control' [placeholder]="l('Body')"
									type='text' (keyup.enter)='searchDatas()'&gt;
								&lt;/div&gt;
								&lt;div class='input-search'&gt;
									&lt;input [(ngModel)]='seqno' name='seqno'
									class='form-control' [placeholder]="l('Seqno')"
									type='text' (keyup.enter)='searchDatas()'&gt;
								&lt;/div&gt;
								&lt;div class='input-search'&gt;
									&lt;input [(ngModel)]='grade' name='grade'
									class='form-control' [placeholder]="l('Grade')"
									type='text' (keyup.enter)='searchDatas()'&gt;
								&lt;/div&gt;
								&lt;div class='input-search'&gt;
									&lt;input [(ngModel)]='lotno' name='lotno'
									class='form-control' [placeholder]="l('Lotno')"
									type='text' (keyup.enter)='searchDatas()'&gt;
								&lt;/div&gt;
								&lt;div class='input-search'&gt;
									&lt;input [(ngModel)]='color' name='color'
									class='form-control' [placeholder]="l('Color')"
									type='text' (keyup.enter)='searchDatas()'&gt;
								&lt;/div&gt;
								&lt;div class='input-search'&gt;
									&lt;input type='text' [placeholder]="l('Createdate')" [(ngModel)]='createdate' 
									name='createdate' (keydown)='searchDatas()' class='form-control' 
									bsDatepicker #d='bsDatepicker' placement='bottom left'&gt;
									&lt;i class='fa fa-calendar-alt' (click)='d.toggle()'&gt;&lt;/i&gt;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(click)="createOrEditModalAssemblyData.show()"&gt;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(click)="createOrEditModalAssemblyData.show(selectedRow)"&gt;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&lt;create-or-edit-assemblydata-modal
    #createOrEditModalAssemblyData
    (modalSave)="callBackDataGrid(dataParams)"
    (modalClose)="onChangeRowSelection(dataParams)"
&gt;
&lt;/create-or-edit-assemblydata-modal&gt;</v>
      </c>
      <c r="J10" s="42" t="str">
        <f>J9</f>
        <v>.input-search{
    width: 250px;
    border-radius: 10px;
    margin-left: 10px;
}
.btn-search{
    width: 50px;
    margin-left: 10px;
}</v>
      </c>
      <c r="K10" s="42" t="str">
        <f ca="1">SUBSTITUTE(SUBSTITUTE(SUBSTITUTE(SUBSTITUTE(K9,"MstWptCalendar",$B$6),"Calendar",$B$7),"calendar",$B$8),"&lt;PROPERTIES&gt;",K13)</f>
        <v>&lt;div bsModal #createOrEditModalAssemblyData="bs-modal"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AssemblyData')}}&lt;/h3&gt;
                    &lt;h3 *ngIf="!rowdata.id"&gt;{{('Create New AssemblyData')}}&lt;/h3&gt;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title'&gt;Workingdate&lt;/label&gt;
						&lt;input type='text' class='col-md-10 form-control input-text' name='workingdate' 
						#datepicker='bsDatepicker' [(ngModel)]='rowdata.workingdate'  bsDatepicker &gt;
					&lt;/div&gt;
					&lt;div class='col-md-12 form-group row'&gt;
						&lt;label class='col-md-2 form-control title'&gt;Noindate&lt;/label&gt;
						&lt;input type='number' class='col-md-10 form-control input-text' name='Noindate' [(ngModel)]='rowdata.noindate'&gt;
					&lt;/div&gt;
					&lt;div class='col-md-12 form-group row'&gt;
						&lt;label class='col-md-2 form-control title'&gt;Line&lt;/label&gt;
						&lt;input type='text' class='col-md-10 form-control input-text' name='Line' [(ngModel)]='rowdata.line'&gt;
					&lt;/div&gt;
					&lt;div class='col-md-12 form-group row'&gt;
						&lt;label class='col-md-2 form-control title'&gt;Process&lt;/label&gt;
						&lt;input type='text' class='col-md-10 form-control input-text' name='Process' [(ngModel)]='rowdata.process'&gt;
					&lt;/div&gt;
					&lt;div class='col-md-12 form-group row'&gt;
						&lt;label class='col-md-2 form-control title'&gt;Model&lt;/label&gt;
						&lt;input type='text' class='col-md-10 form-control input-text' name='Model' [(ngModel)]='rowdata.model'&gt;
					&lt;/div&gt;
					&lt;div class='col-md-12 form-group row'&gt;
						&lt;label class='col-md-2 form-control title'&gt;Body&lt;/label&gt;
						&lt;input type='text' class='col-md-10 form-control input-text' name='Body' [(ngModel)]='rowdata.body'&gt;
					&lt;/div&gt;
					&lt;div class='col-md-12 form-group row'&gt;
						&lt;label class='col-md-2 form-control title'&gt;Seqno&lt;/label&gt;
						&lt;input type='text' class='col-md-10 form-control input-text' name='Seqno' [(ngModel)]='rowdata.seqno'&gt;
					&lt;/div&gt;
					&lt;div class='col-md-12 form-group row'&gt;
						&lt;label class='col-md-2 form-control title'&gt;Grade&lt;/label&gt;
						&lt;input type='text' class='col-md-10 form-control input-text' name='Grade' [(ngModel)]='rowdata.grade'&gt;
					&lt;/div&gt;
					&lt;div class='col-md-12 form-group row'&gt;
						&lt;label class='col-md-2 form-control title'&gt;Lotno&lt;/label&gt;
						&lt;input type='text' class='col-md-10 form-control input-text' name='Lotno' [(ngModel)]='rowdata.lotno'&gt;
					&lt;/div&gt;
					&lt;div class='col-md-12 form-group row'&gt;
						&lt;label class='col-md-2 form-control title'&gt;Noinlot&lt;/label&gt;
						&lt;input type='number' class='col-md-10 form-control input-text' name='Noinlot' [(ngModel)]='rowdata.noinlot'&gt;
					&lt;/div&gt;
					&lt;div class='col-md-12 form-group row'&gt;
						&lt;label class='col-md-2 form-control title'&gt;Lotnoindex&lt;/label&gt;
						&lt;input type='number' class='col-md-10 form-control input-text' name='Lotnoindex' [(ngModel)]='rowdata.lotnoindex'&gt;
					&lt;/div&gt;
					&lt;div class='col-md-12 form-group row'&gt;
						&lt;label class='col-md-2 form-control title'&gt;Color&lt;/label&gt;
						&lt;input type='text' class='col-md-10 form-control input-text' name='Color' [(ngModel)]='rowdata.color'&gt;
					&lt;/div&gt;
					&lt;div class='col-md-12 form-group row'&gt;
						&lt;label class='col-md-2 form-control title'&gt;Createdate&lt;/label&gt;
						&lt;input type='text' class='col-md-10 form-control input-text' name='createdate' 
						#datepicker='bsDatepicker' [(ngModel)]='rowdata.createdate'  bsDatepicker 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2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CreateOrEditAsyAdoAssemblyDataDto, AsyAdoAssemblyDataServiceProxy } from '@shared/service-proxies/service-proxies';
import { BsDatepickerDirective } from 'ngx-bootstrap/datepicker';
@Component({
    selector: 'create-or-edit-assemblydata-modal',
    templateUrl: './create-or-edit-assemblydata-modal.component.html',
    styleUrls: ['./create-or-edit-assemblydata-modal.component.less']
    })
export class CreateOrEditAssemblyDataModalComponent extends AppComponentBase {
    @ViewChild('createOrEditModalAssemblyData',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CreateOrEditAsyAdoAssemblyDataDto = new CreateOrEditAsyAdoAssemblyDataDto();
    active: boolean = false;
    saving: boolean = false;
    _: boolean;
    constructor(
        injector: Injector,
        private _mstwptAssemblyDataService: AsyAdoAssemblyDataServiceProxy,
    ) 
    {
        super(injector);
    }
    show(rowdata?: CreateOrEditAsyAdoAssemblyDataDto): void {
        if (!rowdata) this.rowdata = new CreateOrEditAsyAdoAssemblyDataDto();
        else this.rowdata = rowdata;
		const dateValue =  this.rowdata.workingdate ? new Date(this.rowdata.workingdate?.toString()) : new Date();
		this.datepicker?.bsValueChange.emit(dateValue);
		const dateValue =  this.rowdata.createdate ? new Date(this.rowdata.createdate?.toString()) : new Date();
		this.datepicker?.bsValueChange.emit(dateValue);
        this._ = (this.rowdata. == "N")? false: true;
        this.active = true;
        this.modal.show();
    } 
    changeActive(event){
        this._ = event.target.checked;
    }
    save(): void {
    this.saving = true; 
    this.rowdata. = (this._ == true) ? 'Y' : 'N'
    this._mstwptAssemblyDataService.createOrEdit(this.rowdata)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2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2" t="str">
        <f>SUBSTITUTE(SUBSTITUTE(SUBSTITUTE(N9,"MstWptCalendar",$B$6),"Calendar",$B$7),"calendar",$B$8)</f>
        <v>import {NgModule} from '@angular/core';
import {AppSharedModule} from '@app/shared/app-shared.module';
import { AssemblyDataRoutingModule } from './assemblydata-routing.module';
import { AssemblyDataComponent } from './assemblydata.component';
import { CreateOrEditAssemblyDataModalComponent } from './create-or-edit-assemblydata-modal.component';
@NgModule({
    declarations: [
       AssemblyDataComponent, 
        CreateOrEditAssemblyDataModalComponent
    ],
    imports: [
        AppSharedModule, AssemblyDataRoutingModule]
})
export class AssemblyDataModule {}</v>
      </c>
      <c r="O10" s="42" t="str">
        <f>SUBSTITUTE(SUBSTITUTE(SUBSTITUTE(O9,"MstWptCalendar",$B$6),"Calendar",$B$7),"calendar",$B$8)</f>
        <v>import {NgModule} from '@angular/core';
import {RouterModule, Routes} from '@angular/router';
import { AssemblyDataComponent } from './assemblydata.component';
const routes: Routes = [{
    path: '',
    component: AssemblyDataComponent,
    pathMatch: 'full'
}];
@NgModule({
    imports: [RouterModule.forChild(routes)],
    exports: [RouterModule],
})
export class AssemblyDataRoutingModule {}</v>
      </c>
      <c r="P10" s="42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AppMenuItem("AssemblyData", "Pages.Assembly.Andon.AssemblyData", "flaticon-book",   "/app/main/assembly/andon/assemblydata"),</v>
      </c>
      <c r="Q10" s="42" t="str">
        <f>SUBSTITUTE(SUBSTITUTE(SUBSTITUTE(SUBSTITUTE(SUBSTITUTE(SUBSTITUTE(SUBSTITUTE(Q9,"MstWptCalendar",$B$6),"Calendar",$B$7),"calendar",$B$8),"WorkingPattern",$B$4),"workingpattern",$B$5),"Master",$B$2),"master",$B$3)</f>
        <v>{
    path: 'assembly/andon/assemblydata',
    loadChildren: () =&gt; import('./assembly/andon/assemblydata/assemblydata.module').then(m =&gt; m.AssemblyDataModule),
    data: { permission: 'Pages.Assembly.Andon.AssemblyData' }
},</v>
      </c>
      <c r="R10" s="44" t="str">
        <f>SUBSTITUTE(R9,"MstWptCalendar",$B$6)</f>
        <v>ApiServiceProxies.AsyAdoAssemblyDataServiceProxy,</v>
      </c>
      <c r="S10" s="29"/>
      <c r="T10" s="29"/>
      <c r="U10" s="29"/>
      <c r="V10" s="29"/>
    </row>
    <row r="11" spans="1:22" x14ac:dyDescent="0.2">
      <c r="A11" s="52">
        <v>1</v>
      </c>
      <c r="B11" s="31">
        <v>1</v>
      </c>
      <c r="C11" s="29"/>
      <c r="D11" s="29"/>
      <c r="E11" s="29"/>
      <c r="F11" s="29"/>
      <c r="G11" s="29"/>
      <c r="H11" s="29" t="s">
        <v>250</v>
      </c>
      <c r="I11" s="29" t="s">
        <v>263</v>
      </c>
      <c r="J11" s="29"/>
      <c r="K11" s="29" t="s">
        <v>261</v>
      </c>
      <c r="L11" s="29" t="s">
        <v>264</v>
      </c>
      <c r="M11" s="32"/>
      <c r="N11" s="29"/>
      <c r="O11" s="29"/>
      <c r="P11" s="29"/>
      <c r="Q11" s="29"/>
      <c r="R11" s="29"/>
      <c r="S11" s="29" t="s">
        <v>255</v>
      </c>
      <c r="T11" s="29" t="s">
        <v>256</v>
      </c>
      <c r="U11" s="29" t="s">
        <v>265</v>
      </c>
      <c r="V11" s="65" t="s">
        <v>267</v>
      </c>
    </row>
    <row r="12" spans="1:22" x14ac:dyDescent="0.2">
      <c r="A12" s="52">
        <v>2</v>
      </c>
      <c r="B12" s="31"/>
      <c r="C12" s="29"/>
      <c r="D12" s="29"/>
      <c r="E12" s="29"/>
      <c r="F12" s="29"/>
      <c r="G12" s="29"/>
      <c r="H12" s="29" t="str">
        <f>"H"&amp;COUNTA($A:$A)</f>
        <v>H27</v>
      </c>
      <c r="I12" s="29" t="str">
        <f>"I"&amp;COUNTA($A:$A)</f>
        <v>I27</v>
      </c>
      <c r="J12" s="29"/>
      <c r="K12" s="29" t="str">
        <f>"K"&amp;COUNTA($A:$A)</f>
        <v>K27</v>
      </c>
      <c r="L12" s="29" t="str">
        <f>"L"&amp;COUNTA($A:$A)</f>
        <v>L27</v>
      </c>
      <c r="M12" s="29"/>
      <c r="N12" s="29"/>
      <c r="O12" s="29"/>
      <c r="P12" s="29"/>
      <c r="Q12" s="29"/>
      <c r="R12" s="29"/>
      <c r="S12" s="29" t="str">
        <f>"S"&amp;COUNTA($A:$A)</f>
        <v>S27</v>
      </c>
      <c r="T12" s="29" t="str">
        <f>"T"&amp;COUNTA($A:$A)</f>
        <v>T27</v>
      </c>
      <c r="U12" s="29" t="str">
        <f>"U"&amp;COUNTA($A:$A)</f>
        <v>U27</v>
      </c>
      <c r="V12" s="29" t="str">
        <f>"V"&amp;COUNTA($A:$A)</f>
        <v>V27</v>
      </c>
    </row>
    <row r="13" spans="1:22" ht="17.25" customHeight="1" x14ac:dyDescent="0.2">
      <c r="A13" s="52">
        <v>3</v>
      </c>
      <c r="B13" s="29"/>
      <c r="C13" s="29"/>
      <c r="D13" s="29"/>
      <c r="E13" s="29"/>
      <c r="F13" s="29"/>
      <c r="G13" s="29"/>
      <c r="H13" s="32" t="str">
        <f ca="1">TEXTJOIN2("
",TRUE,INDIRECT(H11):INDIRECT(H12))</f>
        <v xml:space="preserve">			{headerName: this.l('Workingdate'),headerTooltip: this.l('Workingdate'),field: 'workingdate',valueGetter: (params) =&gt; this.pipe.transform(params.data?.workingdate, 'dd/MM/yyyy'),flex: 1},
			{headerName: this.l('Noindate'),headerTooltip: this.l('Noindate'),field: 'noindate',flex: 1},
			{headerName: this.l('Line'),headerTooltip: this.l('Line'),field: 'line',flex: 1},
			{headerName: this.l('Process'),headerTooltip: this.l('Process'),field: 'process',flex: 1},
			{headerName: this.l('Model'),headerTooltip: this.l('Model'),field: 'model',flex: 1},
			{headerName: this.l('Body'),headerTooltip: this.l('Body'),field: 'body',flex: 1},
			{headerName: this.l('Seqno'),headerTooltip: this.l('Seqno'),field: 'seqno',flex: 1},
			{headerName: this.l('Grade'),headerTooltip: this.l('Grade'),field: 'grade',flex: 1},
			{headerName: this.l('Lotno'),headerTooltip: this.l('Lotno'),field: 'lotno',flex: 1},
			{headerName: this.l('Noinlot'),headerTooltip: this.l('Noinlot'),field: 'noinlot',flex: 1},
			{headerName: this.l('Lotnoindex'),headerTooltip: this.l('Lotnoindex'),field: 'lotnoindex',flex: 1},
			{headerName: this.l('Color'),headerTooltip: this.l('Color'),field: 'color',flex: 1},
			{headerName: this.l('Createdate'),headerTooltip: this.l('Createdate'),field: 'createdate',valueGetter: (params) =&gt; this.pipe.transform(params.data?.createdate, 'dd/MM/yyyy'),flex: 1},</v>
      </c>
      <c r="I13" s="32" t="str">
        <f ca="1">TEXTJOIN2("
",TRUE,INDIRECT(I11):INDIRECT(I12))</f>
        <v xml:space="preserve">								&lt;div class='input-search'&gt;
									&lt;input type='text' [placeholder]="l('Workingdate')" [(ngModel)]='workingdate' 
									name='workingdate'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[(ngModel)]='line' name='line'
									class='form-control' [placeholder]="l('Line')"
									type='text' (keyup.enter)='searchDatas()'&gt;
								&lt;/div&gt;
								&lt;div class='input-search'&gt;
									&lt;input [(ngModel)]='process' name='process'
									class='form-control' [placeholder]="l('Process')"
									type='text' (keyup.enter)='searchDatas()'&gt;
								&lt;/div&gt;
								&lt;div class='input-search'&gt;
									&lt;input [(ngModel)]='model' name='model'
									class='form-control' [placeholder]="l('Model')"
									type='text' (keyup.enter)='searchDatas()'&gt;
								&lt;/div&gt;
								&lt;div class='input-search'&gt;
									&lt;input [(ngModel)]='body' name='body'
									class='form-control' [placeholder]="l('Body')"
									type='text' (keyup.enter)='searchDatas()'&gt;
								&lt;/div&gt;
								&lt;div class='input-search'&gt;
									&lt;input [(ngModel)]='seqno' name='seqno'
									class='form-control' [placeholder]="l('Seqno')"
									type='text' (keyup.enter)='searchDatas()'&gt;
								&lt;/div&gt;
								&lt;div class='input-search'&gt;
									&lt;input [(ngModel)]='grade' name='grade'
									class='form-control' [placeholder]="l('Grade')"
									type='text' (keyup.enter)='searchDatas()'&gt;
								&lt;/div&gt;
								&lt;div class='input-search'&gt;
									&lt;input [(ngModel)]='lotno' name='lotno'
									class='form-control' [placeholder]="l('Lotno')"
									type='text' (keyup.enter)='searchDatas()'&gt;
								&lt;/div&gt;
								&lt;div class='input-search'&gt;
									&lt;input [(ngModel)]='color' name='color'
									class='form-control' [placeholder]="l('Color')"
									type='text' (keyup.enter)='searchDatas()'&gt;
								&lt;/div&gt;
								&lt;div class='input-search'&gt;
									&lt;input type='text' [placeholder]="l('Createdate')" [(ngModel)]='createdate' 
									name='createdate' (keydown)='searchDatas()' class='form-control' 
									bsDatepicker #d='bsDatepicker' placement='bottom left'&gt;
									&lt;i class='fa fa-calendar-alt' (click)='d.toggle()'&gt;&lt;/i&gt;
								&lt;/div&gt;</v>
      </c>
      <c r="J13" s="29"/>
      <c r="K13" s="32" t="str">
        <f ca="1">TEXTJOIN2("
",TRUE,INDIRECT(K11):INDIRECT(K12))</f>
        <v xml:space="preserve">					&lt;div class='col-md-12 form-group row'&gt;
						&lt;label class='col-md-2 form-control title'&gt;Workingdate&lt;/label&gt;
						&lt;input type='text' class='col-md-10 form-control input-text' name='workingdate' 
						#datepicker='bsDatepicker' [(ngModel)]='rowdata.workingdate'  bsDatepicker &gt;
					&lt;/div&gt;
					&lt;div class='col-md-12 form-group row'&gt;
						&lt;label class='col-md-2 form-control title'&gt;Noindate&lt;/label&gt;
						&lt;input type='number' class='col-md-10 form-control input-text' name='Noindate' [(ngModel)]='rowdata.noindate'&gt;
					&lt;/div&gt;
					&lt;div class='col-md-12 form-group row'&gt;
						&lt;label class='col-md-2 form-control title'&gt;Line&lt;/label&gt;
						&lt;input type='text' class='col-md-10 form-control input-text' name='Line' [(ngModel)]='rowdata.line'&gt;
					&lt;/div&gt;
					&lt;div class='col-md-12 form-group row'&gt;
						&lt;label class='col-md-2 form-control title'&gt;Process&lt;/label&gt;
						&lt;input type='text' class='col-md-10 form-control input-text' name='Process' [(ngModel)]='rowdata.process'&gt;
					&lt;/div&gt;
					&lt;div class='col-md-12 form-group row'&gt;
						&lt;label class='col-md-2 form-control title'&gt;Model&lt;/label&gt;
						&lt;input type='text' class='col-md-10 form-control input-text' name='Model' [(ngModel)]='rowdata.model'&gt;
					&lt;/div&gt;
					&lt;div class='col-md-12 form-group row'&gt;
						&lt;label class='col-md-2 form-control title'&gt;Body&lt;/label&gt;
						&lt;input type='text' class='col-md-10 form-control input-text' name='Body' [(ngModel)]='rowdata.body'&gt;
					&lt;/div&gt;
					&lt;div class='col-md-12 form-group row'&gt;
						&lt;label class='col-md-2 form-control title'&gt;Seqno&lt;/label&gt;
						&lt;input type='text' class='col-md-10 form-control input-text' name='Seqno' [(ngModel)]='rowdata.seqno'&gt;
					&lt;/div&gt;
					&lt;div class='col-md-12 form-group row'&gt;
						&lt;label class='col-md-2 form-control title'&gt;Grade&lt;/label&gt;
						&lt;input type='text' class='col-md-10 form-control input-text' name='Grade' [(ngModel)]='rowdata.grade'&gt;
					&lt;/div&gt;
					&lt;div class='col-md-12 form-group row'&gt;
						&lt;label class='col-md-2 form-control title'&gt;Lotno&lt;/label&gt;
						&lt;input type='text' class='col-md-10 form-control input-text' name='Lotno' [(ngModel)]='rowdata.lotno'&gt;
					&lt;/div&gt;
					&lt;div class='col-md-12 form-group row'&gt;
						&lt;label class='col-md-2 form-control title'&gt;Noinlot&lt;/label&gt;
						&lt;input type='number' class='col-md-10 form-control input-text' name='Noinlot' [(ngModel)]='rowdata.noinlot'&gt;
					&lt;/div&gt;
					&lt;div class='col-md-12 form-group row'&gt;
						&lt;label class='col-md-2 form-control title'&gt;Lotnoindex&lt;/label&gt;
						&lt;input type='number' class='col-md-10 form-control input-text' name='Lotnoindex' [(ngModel)]='rowdata.lotnoindex'&gt;
					&lt;/div&gt;
					&lt;div class='col-md-12 form-group row'&gt;
						&lt;label class='col-md-2 form-control title'&gt;Color&lt;/label&gt;
						&lt;input type='text' class='col-md-10 form-control input-text' name='Color' [(ngModel)]='rowdata.color'&gt;
					&lt;/div&gt;
					&lt;div class='col-md-12 form-group row'&gt;
						&lt;label class='col-md-2 form-control title'&gt;Createdate&lt;/label&gt;
						&lt;input type='text' class='col-md-10 form-control input-text' name='createdate' 
						#datepicker='bsDatepicker' [(ngModel)]='rowdata.createdate'  bsDatepicker &gt;
					&lt;/div&gt;</v>
      </c>
      <c r="L13" s="54" t="str">
        <f ca="1">TEXTJOIN2("
",TRUE,INDIRECT(L11):INDIRECT(L12))</f>
        <v xml:space="preserve">		const dateValue =  this.rowdata.workingdate ? new Date(this.rowdata.workingdate?.toString()) : new Date();
		this.datepicker?.bsValueChange.emit(dateValue);
		const dateValue =  this.rowdata.createdate ? new Date(this.rowdata.createdate?.toString()) : new Date();
		this.datepicker?.bsValueChange.emit(dateValue);</v>
      </c>
      <c r="M13" s="29"/>
      <c r="N13" s="29"/>
      <c r="O13" s="29"/>
      <c r="P13" s="29"/>
      <c r="Q13" s="29"/>
      <c r="R13" s="29"/>
      <c r="S13" s="62" t="str">
        <f ca="1">TEXTJOIN2("
",TRUE,INDIRECT(S11):INDIRECT(S12))</f>
        <v>workingdate : any ;
	noindate : number = 0 ;
	line : string = '' ; 
	process : string = '' ; 
	model : string = '' ; 
body : string = '' ; 
	seqno : string = '' ; 
	grade : string = '' ; 
	lotno : string = '' ; 
	noinlot : number = 0 ;
lotnoindex : number = 0 ;
	color : string = '' ; 
	createdate : any ;</v>
      </c>
      <c r="T13" s="62" t="str">
        <f ca="1">TEXTJOIN2("
",TRUE,INDIRECT(T11):INDIRECT(T12))</f>
        <v xml:space="preserve">			this.workingdate,
			this.noindate,
			this.line,
			this.process,
			this.model,
			this.body,
			this.seqno,
			this.grade,
			this.lotno,
			this.noinlot,
			this.lotnoindex,
			this.color,
			this.createdate,</v>
      </c>
      <c r="U13" s="62" t="str">
        <f ca="1">TEXTJOIN2("
",TRUE,INDIRECT(U11):INDIRECT(U12))</f>
        <v>this.workingdate = '',
		this.noindate = 0,
		this.line = '',
		this.process = '',
		this.model = '',
this.body = '',
		this.seqno = '',
		this.grade = '',
		this.lotno = '',
		this.noinlot = 0,
this.lotnoindex = 0,
		this.color = '',
		this.createdate = '',</v>
      </c>
      <c r="V13" s="29" t="str">
        <f ca="1">TEXTJOIN2("
",TRUE,INDIRECT(V11):INDIRECT(V12))</f>
        <v/>
      </c>
    </row>
    <row r="14" spans="1:22" x14ac:dyDescent="0.2">
      <c r="A14" s="35" t="s">
        <v>218</v>
      </c>
      <c r="B14" s="29"/>
      <c r="C14" s="29"/>
      <c r="D14" s="29"/>
      <c r="E14" s="29"/>
      <c r="F14" s="29"/>
      <c r="G14" s="29"/>
      <c r="H14" s="33" t="str">
        <f>B8&amp;".component.ts"</f>
        <v>assemblydata.component.ts</v>
      </c>
      <c r="I14" s="34" t="str">
        <f>B8&amp;".component.html"</f>
        <v>assemblydata.component.html</v>
      </c>
      <c r="J14" s="33" t="str">
        <f>B8&amp;".component.less"</f>
        <v>assemblydata.component.less</v>
      </c>
      <c r="K14" s="34" t="str">
        <f>"create-or-edit-"&amp;B8&amp;"-modal.component.html"</f>
        <v>create-or-edit-assemblydata-modal.component.html</v>
      </c>
      <c r="L14" s="34" t="str">
        <f>"create-or-edit-"&amp;B8&amp;"-modal.component.ts"</f>
        <v>create-or-edit-assemblydata-modal.component.ts</v>
      </c>
      <c r="M14" s="34" t="str">
        <f>"create-or-edit-"&amp;B8&amp;"-modal.component.less"</f>
        <v>create-or-edit-assemblydata-modal.component.less</v>
      </c>
      <c r="N14" s="34" t="str">
        <f>B8&amp;".module.ts"</f>
        <v>assemblydata.module.ts</v>
      </c>
      <c r="O14" s="34" t="str">
        <f>B8&amp;"-routing.module.ts"</f>
        <v>assemblydata-routing.module.ts</v>
      </c>
      <c r="P14" s="34" t="s">
        <v>222</v>
      </c>
      <c r="Q14" s="34" t="s">
        <v>225</v>
      </c>
      <c r="R14" s="35" t="s">
        <v>232</v>
      </c>
      <c r="S14" s="34" t="s">
        <v>253</v>
      </c>
      <c r="T14" s="34" t="s">
        <v>254</v>
      </c>
      <c r="U14" s="34" t="s">
        <v>257</v>
      </c>
      <c r="V14" s="34" t="s">
        <v>266</v>
      </c>
    </row>
    <row r="15" spans="1:22" ht="18" customHeight="1" x14ac:dyDescent="0.2">
      <c r="A15" s="38" t="str">
        <f>A.Backend!A9</f>
        <v>WorkingDate</v>
      </c>
      <c r="B15" s="29" t="str">
        <f>SUBSTITUTE(PROPER(A15),"_","")</f>
        <v>Workingdate</v>
      </c>
      <c r="C15" s="29" t="str">
        <f>SUBSTITUTE(PROPER(A15),"_"," ")</f>
        <v>Workingdate</v>
      </c>
      <c r="D15" s="29" t="str">
        <f>LOWER(LEFT(B15,1))&amp;RIGHT(B15,LEN(B15) - 1)</f>
        <v>workingdate</v>
      </c>
      <c r="E15" s="29" t="str">
        <f>A.Backend!H9</f>
        <v>DateTime</v>
      </c>
      <c r="F15" s="29" t="str">
        <f>A.Backend!G9</f>
        <v/>
      </c>
      <c r="G15" s="29" t="str">
        <f>IF(E15="string"," : string = '' ; ",IF(OR(E15="DateTime",E15="TimeSpan")," : any ;",IF(E15="int"," : number = 0 ;","")))</f>
        <v xml:space="preserve"> : any ;</v>
      </c>
      <c r="H15" s="32" t="str">
        <f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this.l('Workingdate'),headerTooltip: this.l('Workingdate'),field: 'workingdate',valueGetter: (params) =&gt; this.pipe.transform(params.data?.workingdate, 'dd/MM/yyyy'),flex: 1},</v>
      </c>
      <c r="I15" s="32" t="str">
        <f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IF(E15="string",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 xml:space="preserve">								&lt;div class='input-search'&gt;
									&lt;input type='text' [placeholder]="l('Workingdate')" [(ngModel)]='workingdate' 
									name='workingdate' (keydown)='searchDatas()' class='form-control' 
									bsDatepicker #d='bsDatepicker' placement='bottom left'&gt;
									&lt;i class='fa fa-calendar-alt' (click)='d.toggle()'&gt;&lt;/i&gt;
								&lt;/div&gt;</v>
      </c>
      <c r="J15" s="29"/>
      <c r="K15" s="32" t="str">
        <f>IF(OR(E15="DateTime",E15="TimeSpan"),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IF(E15="int",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title'&gt;Workingdate&lt;/label&gt;
						&lt;input type='text' class='col-md-10 form-control input-text' name='workingdate' 
						#datepicker='bsDatepicker' [(ngModel)]='rowdata.workingdate'  bsDatepicker &gt;
					&lt;/div&gt;</v>
      </c>
      <c r="L15" s="54" t="str">
        <f>IF(E15="DateTime",
REPT(CHAR(9),2)&amp;"const dateValue =  this.rowdata."&amp;D15&amp;" ? new Date(this.rowdata."&amp;D15&amp;"?.toString()) : new Date();
"&amp;REPT(CHAR(9),2)&amp;"this.datepicker?.bsValueChange.emit(dateValue);","")</f>
        <v xml:space="preserve">		const dateValue =  this.rowdata.workingdate ? new Date(this.rowdata.workingdate?.toString()) : new Date();
		this.datepicker?.bsValueChange.emit(dateValue);</v>
      </c>
      <c r="M15" s="29"/>
      <c r="N15" s="29"/>
      <c r="O15" s="29"/>
      <c r="P15" s="29"/>
      <c r="Q15" s="29"/>
      <c r="R15" s="29"/>
      <c r="S15" s="29" t="str">
        <f>D15&amp;G15</f>
        <v>workingdate : any ;</v>
      </c>
      <c r="T15" s="29" t="str">
        <f>REPT(CHAR(9),3)&amp;"this."&amp;D15&amp;","</f>
        <v xml:space="preserve">			this.workingdate,</v>
      </c>
      <c r="U15" s="29" t="str">
        <f>IF(E15="int","this."&amp;D15&amp;" = 0,","this."&amp;D15&amp;" = '',")</f>
        <v>this.workingdate = '',</v>
      </c>
      <c r="V15" s="29" t="str">
        <f>IF(AND(E15="string",F15="1"),D15,"")</f>
        <v/>
      </c>
    </row>
    <row r="16" spans="1:22" ht="15" customHeight="1" x14ac:dyDescent="0.2">
      <c r="A16" s="38" t="str">
        <f>A.Backend!A10</f>
        <v>NoInDate</v>
      </c>
      <c r="B16" s="29" t="str">
        <f t="shared" ref="B16:B17" si="0">SUBSTITUTE(PROPER(A16),"_","")</f>
        <v>Noindate</v>
      </c>
      <c r="C16" s="29" t="str">
        <f t="shared" ref="C16:C17" si="1">SUBSTITUTE(PROPER(A16),"_"," ")</f>
        <v>Noindate</v>
      </c>
      <c r="D16" s="29" t="str">
        <f t="shared" ref="D16:D17" si="2">LOWER(LEFT(B16,1))&amp;RIGHT(B16,LEN(B16) - 1)</f>
        <v>noindate</v>
      </c>
      <c r="E16" s="29" t="str">
        <f>A.Backend!H10</f>
        <v>int</v>
      </c>
      <c r="F16" s="29" t="str">
        <f>A.Backend!G10</f>
        <v/>
      </c>
      <c r="G16" s="29" t="str">
        <f t="shared" ref="G16:G20" si="3">IF(E16="string"," : string = '' ; ",IF(OR(E16="DateTime",E16="TimeSpan")," : any ;",IF(E16="int"," : number = 0 ;","")))</f>
        <v xml:space="preserve"> : number = 0 ;</v>
      </c>
      <c r="H16" s="32" t="str">
        <f t="shared" ref="H16:H20" si="4">IF(E16="DateTime",
REPT(CHAR(9),3)&amp;"{headerName: this.l('"&amp;C16&amp;"'),headerTooltip: this.l('"&amp;C16&amp;"'),field: '"&amp;D16&amp;"',valueGetter: (params) =&gt; this.pipe.transform(params.data?."&amp;D16&amp;", 'dd/MM/yyyy'),flex: 1},",
IF(AND(E16="string",F16="1"),
REPT(CHAR(9),3)&amp;"{headerName: this.l('"&amp;C16&amp;"'),headerTooltip: this.l('"&amp;C16&amp;"'),field:  '"&amp;D16&amp;"', cellClass: ['text-center'], width: 120, cellRenderer: 'agCellButtonComponent',
buttonDefTwo: { text: params =&gt; (params.data?.'"&amp;D16&amp;"' == 'Y') ? 'Active' : 'Inactive',iconName: 'fa fa-circle',className: params =&gt; (params.data?.'"&amp;D16&amp;"' == 'Y') ? 'btnActive' : 'btnInActive',},}",
REPT(CHAR(9),3)&amp;"{headerName: this.l('"&amp;C16&amp;"'),headerTooltip: this.l('"&amp;C16&amp;"'),field: '"&amp;D16&amp;"',flex: 1},"))</f>
        <v xml:space="preserve">			{headerName: this.l('Noindate'),headerTooltip: this.l('Noindate'),field: 'noindate',flex: 1},</v>
      </c>
      <c r="I16" s="32" t="str">
        <f t="shared" ref="I16:I20" si="5">IF(E16="DateTime",
REPT(CHAR(9),8)&amp;"&lt;div class='input-search'&gt;
"&amp;REPT(CHAR(9),9)&amp;"&lt;input type='text' [placeholder]=""l('"&amp;C16&amp;"')"" [(ngModel)]='"&amp;D16&amp;"' 
"&amp;REPT(CHAR(9),9)&amp;"name='"&amp;D16&amp;"'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IF(E16="string",
REPT(CHAR(9),8)&amp;"&lt;div class='input-search'&gt;
"&amp;REPT(CHAR(9),9)&amp;"&lt;input [(ngModel)]='"&amp;D16&amp;"' name='"&amp;D16&amp;"'
"&amp;REPT(CHAR(9),9)&amp;"class='form-control' [placeholder]=""l('"&amp;C16&amp;"')""
"&amp;REPT(CHAR(9),9)&amp;"type='text' (keyup.enter)='searchDatas()'&gt;
"&amp;REPT(CHAR(9),8)&amp;"&lt;/div&gt;",""))</f>
        <v/>
      </c>
      <c r="J16" s="29"/>
      <c r="K16" s="32" t="str">
        <f t="shared" ref="K16:K20" si="6">IF(OR(E16="DateTime",E16="TimeSpan"),
REPT(CHAR(9),5)&amp;"&lt;div class='col-md-12 form-group row'&gt;
"&amp;REPT(CHAR(9),6)&amp;"&lt;label class='col-md-2 form-control title'&gt;"&amp;C16&amp;"&lt;/label&gt;
"&amp;REPT(CHAR(9),6)&amp;"&lt;input type='text' class='col-md-10 form-control input-text' name='"&amp;D16&amp;"' 
"&amp;REPT(CHAR(9),6)&amp;"#datepicker='bsDatepicker' [(ngModel)]='rowdata."&amp;D16&amp;"'  bsDatepicker &gt;
"&amp;REPT(CHAR(9),5)&amp;"&lt;/div&gt;",
IF(AND(E16="string",F16="1"),
REPT(CHAR(9),5)&amp;"&lt;div class='col-md-12 form-group row'&gt;
"&amp;REPT(CHAR(9),6)&amp;"&lt;label class='col-md-2 form-control title'&gt;"&amp;C16&amp;"&lt;/label&gt;
"&amp;REPT(CHAR(9),6)&amp;"&lt;new-checkbox [(ngModel)]='_"&amp;D16&amp;"' name='"&amp;D16&amp;"' className='col-md-10' &gt; &lt;/new-checkbox&gt;
"&amp;REPT(CHAR(9),5)&amp;"&lt;/div&gt;",
IF(E16="string",
REPT(CHAR(9),5)&amp;"&lt;div class='col-md-12 form-group row'&gt;
"&amp;REPT(CHAR(9),6)&amp;"&lt;label class='col-md-2 form-control title'&gt;"&amp;C16&amp;"&lt;/label&gt;
"&amp;REPT(CHAR(9),6)&amp;"&lt;input type='text' class='col-md-10 form-control input-text' name='"&amp;B16&amp;"' [(ngModel)]='rowdata."&amp;D16&amp;"'&gt;
"&amp;REPT(CHAR(9),5)&amp;"&lt;/div&gt;",
IF(E16="int",
REPT(CHAR(9),5)&amp;"&lt;div class='col-md-12 form-group row'&gt;
"&amp;REPT(CHAR(9),6)&amp;"&lt;label class='col-md-2 form-control title'&gt;"&amp;C16&amp;"&lt;/label&gt;
"&amp;REPT(CHAR(9),6)&amp;"&lt;input type='number' class='col-md-10 form-control input-text' name='"&amp;B16&amp;"' [(ngModel)]='rowdata."&amp;D16&amp;"'&gt;
"&amp;REPT(CHAR(9),5)&amp;"&lt;/div&gt;",""))))</f>
        <v xml:space="preserve">					&lt;div class='col-md-12 form-group row'&gt;
						&lt;label class='col-md-2 form-control title'&gt;Noindate&lt;/label&gt;
						&lt;input type='number' class='col-md-10 form-control input-text' name='Noindate' [(ngModel)]='rowdata.noindate'&gt;
					&lt;/div&gt;</v>
      </c>
      <c r="L16" s="54" t="str">
        <f t="shared" ref="L16:L20" si="7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29"/>
      <c r="N16" s="29"/>
      <c r="O16" s="29"/>
      <c r="P16" s="29"/>
      <c r="Q16" s="29"/>
      <c r="R16" s="29"/>
      <c r="S16" s="29" t="str">
        <f>REPT(CHAR(9),1)&amp;D16&amp;G16</f>
        <v xml:space="preserve">	noindate : number = 0 ;</v>
      </c>
      <c r="T16" s="29" t="str">
        <f>REPT(CHAR(9),3)&amp;"this."&amp;D16&amp;","</f>
        <v xml:space="preserve">			this.noindate,</v>
      </c>
      <c r="U16" s="29" t="str">
        <f>IF(E16="int",REPT(CHAR(9),2)&amp;"this."&amp;D16&amp;" = 0,",REPT(CHAR(9),2)&amp;"this."&amp;D16&amp;" = '',")</f>
        <v xml:space="preserve">		this.noindate = 0,</v>
      </c>
      <c r="V16" s="29" t="str">
        <f t="shared" ref="V16:V20" si="8">IF(AND(E16="string",F16="1"),D16,"")</f>
        <v/>
      </c>
    </row>
    <row r="17" spans="1:22" ht="18" customHeight="1" x14ac:dyDescent="0.2">
      <c r="A17" s="38" t="str">
        <f>A.Backend!A11</f>
        <v>Line</v>
      </c>
      <c r="B17" s="29" t="str">
        <f t="shared" si="0"/>
        <v>Line</v>
      </c>
      <c r="C17" s="29" t="str">
        <f t="shared" si="1"/>
        <v>Line</v>
      </c>
      <c r="D17" s="29" t="str">
        <f t="shared" si="2"/>
        <v>line</v>
      </c>
      <c r="E17" s="29" t="str">
        <f>A.Backend!H11</f>
        <v>string</v>
      </c>
      <c r="F17" s="29" t="str">
        <f>A.Backend!G11</f>
        <v>2</v>
      </c>
      <c r="G17" s="29" t="str">
        <f t="shared" si="3"/>
        <v xml:space="preserve"> : string = '' ; </v>
      </c>
      <c r="H17" s="32" t="str">
        <f t="shared" si="4"/>
        <v xml:space="preserve">			{headerName: this.l('Line'),headerTooltip: this.l('Line'),field: 'line',flex: 1},</v>
      </c>
      <c r="I17" s="32" t="str">
        <f t="shared" si="5"/>
        <v xml:space="preserve">								&lt;div class='input-search'&gt;
									&lt;input [(ngModel)]='line' name='line'
									class='form-control' [placeholder]="l('Line')"
									type='text' (keyup.enter)='searchDatas()'&gt;
								&lt;/div&gt;</v>
      </c>
      <c r="J17" s="29"/>
      <c r="K17" s="32" t="str">
        <f t="shared" si="6"/>
        <v xml:space="preserve">					&lt;div class='col-md-12 form-group row'&gt;
						&lt;label class='col-md-2 form-control title'&gt;Line&lt;/label&gt;
						&lt;input type='text' class='col-md-10 form-control input-text' name='Line' [(ngModel)]='rowdata.line'&gt;
					&lt;/div&gt;</v>
      </c>
      <c r="L17" s="54" t="str">
        <f t="shared" si="7"/>
        <v/>
      </c>
      <c r="M17" s="29"/>
      <c r="N17" s="29"/>
      <c r="O17" s="29"/>
      <c r="P17" s="29"/>
      <c r="Q17" s="29"/>
      <c r="R17" s="29"/>
      <c r="S17" s="29" t="str">
        <f t="shared" ref="S17:S20" si="9">REPT(CHAR(9),1)&amp;D17&amp;G17</f>
        <v xml:space="preserve">	line : string = '' ; </v>
      </c>
      <c r="T17" s="29" t="str">
        <f t="shared" ref="T17:T20" si="10">REPT(CHAR(9),3)&amp;"this."&amp;D17&amp;","</f>
        <v xml:space="preserve">			this.line,</v>
      </c>
      <c r="U17" s="29" t="str">
        <f t="shared" ref="U17:U20" si="11">IF(E17="int",REPT(CHAR(9),2)&amp;"this."&amp;D17&amp;" = 0,",REPT(CHAR(9),2)&amp;"this."&amp;D17&amp;" = '',")</f>
        <v xml:space="preserve">		this.line = '',</v>
      </c>
      <c r="V17" s="29" t="str">
        <f t="shared" si="8"/>
        <v/>
      </c>
    </row>
    <row r="18" spans="1:22" ht="18" customHeight="1" x14ac:dyDescent="0.2">
      <c r="A18" s="38" t="str">
        <f>A.Backend!A12</f>
        <v>Process</v>
      </c>
      <c r="B18" s="29" t="str">
        <f>SUBSTITUTE(PROPER(A18),"_","")</f>
        <v>Process</v>
      </c>
      <c r="C18" s="29" t="str">
        <f>SUBSTITUTE(PROPER(A18),"_"," ")</f>
        <v>Process</v>
      </c>
      <c r="D18" s="29" t="str">
        <f>LOWER(LEFT(B18,1))&amp;RIGHT(B18,LEN(B18) - 1)</f>
        <v>process</v>
      </c>
      <c r="E18" s="29" t="str">
        <f>A.Backend!H12</f>
        <v>string</v>
      </c>
      <c r="F18" s="29" t="str">
        <f>A.Backend!G12</f>
        <v>5</v>
      </c>
      <c r="G18" s="29" t="str">
        <f t="shared" si="3"/>
        <v xml:space="preserve"> : string = '' ; </v>
      </c>
      <c r="H18" s="32" t="str">
        <f t="shared" si="4"/>
        <v xml:space="preserve">			{headerName: this.l('Process'),headerTooltip: this.l('Process'),field: 'process',flex: 1},</v>
      </c>
      <c r="I18" s="32" t="str">
        <f t="shared" si="5"/>
        <v xml:space="preserve">								&lt;div class='input-search'&gt;
									&lt;input [(ngModel)]='process' name='process'
									class='form-control' [placeholder]="l('Process')"
									type='text' (keyup.enter)='searchDatas()'&gt;
								&lt;/div&gt;</v>
      </c>
      <c r="J18" s="29"/>
      <c r="K18" s="32" t="str">
        <f t="shared" si="6"/>
        <v xml:space="preserve">					&lt;div class='col-md-12 form-group row'&gt;
						&lt;label class='col-md-2 form-control title'&gt;Process&lt;/label&gt;
						&lt;input type='text' class='col-md-10 form-control input-text' name='Process' [(ngModel)]='rowdata.process'&gt;
					&lt;/div&gt;</v>
      </c>
      <c r="L18" s="54" t="str">
        <f t="shared" si="7"/>
        <v/>
      </c>
      <c r="M18" s="29"/>
      <c r="N18" s="29"/>
      <c r="O18" s="29"/>
      <c r="P18" s="29"/>
      <c r="Q18" s="29"/>
      <c r="R18" s="29"/>
      <c r="S18" s="29" t="str">
        <f t="shared" si="9"/>
        <v xml:space="preserve">	process : string = '' ; </v>
      </c>
      <c r="T18" s="29" t="str">
        <f t="shared" si="10"/>
        <v xml:space="preserve">			this.process,</v>
      </c>
      <c r="U18" s="29" t="str">
        <f t="shared" si="11"/>
        <v xml:space="preserve">		this.process = '',</v>
      </c>
      <c r="V18" s="29" t="str">
        <f t="shared" si="8"/>
        <v/>
      </c>
    </row>
    <row r="19" spans="1:22" ht="15" customHeight="1" x14ac:dyDescent="0.2">
      <c r="A19" s="38" t="str">
        <f>A.Backend!A13</f>
        <v>Model</v>
      </c>
      <c r="B19" s="29" t="str">
        <f t="shared" ref="B19:B20" si="12">SUBSTITUTE(PROPER(A19),"_","")</f>
        <v>Model</v>
      </c>
      <c r="C19" s="29" t="str">
        <f t="shared" ref="C19:C20" si="13">SUBSTITUTE(PROPER(A19),"_"," ")</f>
        <v>Model</v>
      </c>
      <c r="D19" s="29" t="str">
        <f t="shared" ref="D19:D20" si="14">LOWER(LEFT(B19,1))&amp;RIGHT(B19,LEN(B19) - 1)</f>
        <v>model</v>
      </c>
      <c r="E19" s="29" t="str">
        <f>A.Backend!H13</f>
        <v>string</v>
      </c>
      <c r="F19" s="29" t="str">
        <f>A.Backend!G13</f>
        <v>2</v>
      </c>
      <c r="G19" s="29" t="str">
        <f t="shared" si="3"/>
        <v xml:space="preserve"> : string = '' ; </v>
      </c>
      <c r="H19" s="32" t="str">
        <f t="shared" si="4"/>
        <v xml:space="preserve">			{headerName: this.l('Model'),headerTooltip: this.l('Model'),field: 'model',flex: 1},</v>
      </c>
      <c r="I19" s="32" t="str">
        <f t="shared" si="5"/>
        <v xml:space="preserve">								&lt;div class='input-search'&gt;
									&lt;input [(ngModel)]='model' name='model'
									class='form-control' [placeholder]="l('Model')"
									type='text' (keyup.enter)='searchDatas()'&gt;
								&lt;/div&gt;</v>
      </c>
      <c r="J19" s="29"/>
      <c r="K19" s="32" t="str">
        <f t="shared" si="6"/>
        <v xml:space="preserve">					&lt;div class='col-md-12 form-group row'&gt;
						&lt;label class='col-md-2 form-control title'&gt;Model&lt;/label&gt;
						&lt;input type='text' class='col-md-10 form-control input-text' name='Model' [(ngModel)]='rowdata.model'&gt;
					&lt;/div&gt;</v>
      </c>
      <c r="L19" s="54" t="str">
        <f t="shared" si="7"/>
        <v/>
      </c>
      <c r="M19" s="29"/>
      <c r="N19" s="29"/>
      <c r="O19" s="29"/>
      <c r="P19" s="29"/>
      <c r="Q19" s="29"/>
      <c r="R19" s="29"/>
      <c r="S19" s="29" t="str">
        <f t="shared" si="9"/>
        <v xml:space="preserve">	model : string = '' ; </v>
      </c>
      <c r="T19" s="29" t="str">
        <f t="shared" si="10"/>
        <v xml:space="preserve">			this.model,</v>
      </c>
      <c r="U19" s="29" t="str">
        <f t="shared" si="11"/>
        <v xml:space="preserve">		this.model = '',</v>
      </c>
      <c r="V19" s="29" t="str">
        <f t="shared" si="8"/>
        <v/>
      </c>
    </row>
    <row r="20" spans="1:22" ht="18" customHeight="1" x14ac:dyDescent="0.2">
      <c r="A20" s="38" t="str">
        <f>A.Backend!A14</f>
        <v>Body</v>
      </c>
      <c r="B20" s="29" t="str">
        <f>SUBSTITUTE(PROPER(A20),"_","")</f>
        <v>Body</v>
      </c>
      <c r="C20" s="29" t="str">
        <f>SUBSTITUTE(PROPER(A20),"_"," ")</f>
        <v>Body</v>
      </c>
      <c r="D20" s="29" t="str">
        <f>LOWER(LEFT(B20,1))&amp;RIGHT(B20,LEN(B20) - 1)</f>
        <v>body</v>
      </c>
      <c r="E20" s="29" t="str">
        <f>A.Backend!H14</f>
        <v>string</v>
      </c>
      <c r="F20" s="29" t="str">
        <f>A.Backend!G14</f>
        <v>5</v>
      </c>
      <c r="G20" s="29" t="str">
        <f>IF(E20="string"," : string = '' ; ",IF(OR(E20="DateTime",E20="TimeSpan")," : any ;",IF(E20="int"," : number = 0 ;","")))</f>
        <v xml:space="preserve"> : string = '' ; </v>
      </c>
      <c r="H20" s="32" t="str">
        <f>IF(E20="DateTime",
REPT(CHAR(9),3)&amp;"{headerName: this.l('"&amp;C20&amp;"'),headerTooltip: this.l('"&amp;C20&amp;"'),field: '"&amp;D20&amp;"',valueGetter: (params) =&gt; this.pipe.transform(params.data?."&amp;D20&amp;", 'dd/MM/yyyy'),flex: 1},",
IF(AND(E20="string",F20="1"),
REPT(CHAR(9),3)&amp;"{headerName: this.l('"&amp;C20&amp;"'),headerTooltip: this.l('"&amp;C20&amp;"'),field:  '"&amp;D20&amp;"', cellClass: ['text-center'], width: 120, cellRenderer: 'agCellButtonComponent',
buttonDefTwo: { text: params =&gt; (params.data?.'"&amp;D20&amp;"' == 'Y') ? 'Active' : 'Inactive',iconName: 'fa fa-circle',className: params =&gt; (params.data?.'"&amp;D20&amp;"' == 'Y') ? 'btnActive' : 'btnInActive',},}",
REPT(CHAR(9),3)&amp;"{headerName: this.l('"&amp;C20&amp;"'),headerTooltip: this.l('"&amp;C20&amp;"'),field: '"&amp;D20&amp;"',flex: 1},"))</f>
        <v xml:space="preserve">			{headerName: this.l('Body'),headerTooltip: this.l('Body'),field: 'body',flex: 1},</v>
      </c>
      <c r="I20" s="32" t="str">
        <f>IF(E20="DateTime",
REPT(CHAR(9),8)&amp;"&lt;div class='input-search'&gt;
"&amp;REPT(CHAR(9),9)&amp;"&lt;input type='text' [placeholder]=""l('"&amp;C20&amp;"')"" [(ngModel)]='"&amp;D20&amp;"' 
"&amp;REPT(CHAR(9),9)&amp;"name='"&amp;D20&amp;"'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IF(E20="string",
REPT(CHAR(9),8)&amp;"&lt;div class='input-search'&gt;
"&amp;REPT(CHAR(9),9)&amp;"&lt;input [(ngModel)]='"&amp;D20&amp;"' name='"&amp;D20&amp;"'
"&amp;REPT(CHAR(9),9)&amp;"class='form-control' [placeholder]=""l('"&amp;C20&amp;"')""
"&amp;REPT(CHAR(9),9)&amp;"type='text' (keyup.enter)='searchDatas()'&gt;
"&amp;REPT(CHAR(9),8)&amp;"&lt;/div&gt;",""))</f>
        <v xml:space="preserve">								&lt;div class='input-search'&gt;
									&lt;input [(ngModel)]='body' name='body'
									class='form-control' [placeholder]="l('Body')"
									type='text' (keyup.enter)='searchDatas()'&gt;
								&lt;/div&gt;</v>
      </c>
      <c r="J20" s="29"/>
      <c r="K20" s="32" t="str">
        <f>IF(OR(E20="DateTime",E20="TimeSpan"),
REPT(CHAR(9),5)&amp;"&lt;div class='col-md-12 form-group row'&gt;
"&amp;REPT(CHAR(9),6)&amp;"&lt;label class='col-md-2 form-control title'&gt;"&amp;C20&amp;"&lt;/label&gt;
"&amp;REPT(CHAR(9),6)&amp;"&lt;input type='text' class='col-md-10 form-control input-text' name='"&amp;D20&amp;"' 
"&amp;REPT(CHAR(9),6)&amp;"#datepicker='bsDatepicker' [(ngModel)]='rowdata."&amp;D20&amp;"'  bsDatepicker &gt;
"&amp;REPT(CHAR(9),5)&amp;"&lt;/div&gt;",
IF(AND(E20="string",F20="1"),
REPT(CHAR(9),5)&amp;"&lt;div class='col-md-12 form-group row'&gt;
"&amp;REPT(CHAR(9),6)&amp;"&lt;label class='col-md-2 form-control title'&gt;"&amp;C20&amp;"&lt;/label&gt;
"&amp;REPT(CHAR(9),6)&amp;"&lt;new-checkbox [(ngModel)]='_"&amp;D20&amp;"' name='"&amp;D20&amp;"' className='col-md-10' &gt; &lt;/new-checkbox&gt;
"&amp;REPT(CHAR(9),5)&amp;"&lt;/div&gt;",
IF(E20="string",
REPT(CHAR(9),5)&amp;"&lt;div class='col-md-12 form-group row'&gt;
"&amp;REPT(CHAR(9),6)&amp;"&lt;label class='col-md-2 form-control title'&gt;"&amp;C20&amp;"&lt;/label&gt;
"&amp;REPT(CHAR(9),6)&amp;"&lt;input type='text' class='col-md-10 form-control input-text' name='"&amp;B20&amp;"' [(ngModel)]='rowdata."&amp;D20&amp;"'&gt;
"&amp;REPT(CHAR(9),5)&amp;"&lt;/div&gt;",
IF(E20="int",
REPT(CHAR(9),5)&amp;"&lt;div class='col-md-12 form-group row'&gt;
"&amp;REPT(CHAR(9),6)&amp;"&lt;label class='col-md-2 form-control title'&gt;"&amp;C20&amp;"&lt;/label&gt;
"&amp;REPT(CHAR(9),6)&amp;"&lt;input type='number' class='col-md-10 form-control input-text' name='"&amp;B20&amp;"' [(ngModel)]='rowdata."&amp;D20&amp;"'&gt;
"&amp;REPT(CHAR(9),5)&amp;"&lt;/div&gt;",""))))</f>
        <v xml:space="preserve">					&lt;div class='col-md-12 form-group row'&gt;
						&lt;label class='col-md-2 form-control title'&gt;Body&lt;/label&gt;
						&lt;input type='text' class='col-md-10 form-control input-text' name='Body' [(ngModel)]='rowdata.body'&gt;
					&lt;/div&gt;</v>
      </c>
      <c r="L20" s="54" t="str">
        <f>IF(E20="DateTime",
REPT(CHAR(9),2)&amp;"const dateValue =  this.rowdata."&amp;D20&amp;" ? new Date(this.rowdata."&amp;D20&amp;"?.toString()) : new Date();
"&amp;REPT(CHAR(9),2)&amp;"this.datepicker?.bsValueChange.emit(dateValue);","")</f>
        <v/>
      </c>
      <c r="M20" s="29"/>
      <c r="N20" s="29"/>
      <c r="O20" s="29"/>
      <c r="P20" s="29"/>
      <c r="Q20" s="29"/>
      <c r="R20" s="29"/>
      <c r="S20" s="29" t="str">
        <f>D20&amp;G20</f>
        <v xml:space="preserve">body : string = '' ; </v>
      </c>
      <c r="T20" s="29" t="str">
        <f>REPT(CHAR(9),3)&amp;"this."&amp;D20&amp;","</f>
        <v xml:space="preserve">			this.body,</v>
      </c>
      <c r="U20" s="29" t="str">
        <f>IF(E20="int","this."&amp;D20&amp;" = 0,","this."&amp;D20&amp;" = '',")</f>
        <v>this.body = '',</v>
      </c>
      <c r="V20" s="29" t="str">
        <f>IF(AND(E20="string",F20="1"),D20,"")</f>
        <v/>
      </c>
    </row>
    <row r="21" spans="1:22" ht="15" customHeight="1" x14ac:dyDescent="0.2">
      <c r="A21" s="38" t="str">
        <f>A.Backend!A15</f>
        <v>SeqNo</v>
      </c>
      <c r="B21" s="29" t="str">
        <f t="shared" ref="B21:B22" si="15">SUBSTITUTE(PROPER(A21),"_","")</f>
        <v>Seqno</v>
      </c>
      <c r="C21" s="29" t="str">
        <f t="shared" ref="C21:C22" si="16">SUBSTITUTE(PROPER(A21),"_"," ")</f>
        <v>Seqno</v>
      </c>
      <c r="D21" s="29" t="str">
        <f t="shared" ref="D21:D22" si="17">LOWER(LEFT(B21,1))&amp;RIGHT(B21,LEN(B21) - 1)</f>
        <v>seqno</v>
      </c>
      <c r="E21" s="29" t="str">
        <f>A.Backend!H15</f>
        <v>string</v>
      </c>
      <c r="F21" s="29" t="str">
        <f>A.Backend!G15</f>
        <v>10</v>
      </c>
      <c r="G21" s="29" t="str">
        <f t="shared" ref="G21:G24" si="18">IF(E21="string"," : string = '' ; ",IF(OR(E21="DateTime",E21="TimeSpan")," : any ;",IF(E21="int"," : number = 0 ;","")))</f>
        <v xml:space="preserve"> : string = '' ; </v>
      </c>
      <c r="H21" s="32" t="str">
        <f t="shared" ref="H21:H24" si="19">IF(E21="DateTime",
REPT(CHAR(9),3)&amp;"{headerName: this.l('"&amp;C21&amp;"'),headerTooltip: this.l('"&amp;C21&amp;"'),field: '"&amp;D21&amp;"',valueGetter: (params) =&gt; this.pipe.transform(params.data?."&amp;D21&amp;", 'dd/MM/yyyy'),flex: 1},",
IF(AND(E21="string",F21="1"),
REPT(CHAR(9),3)&amp;"{headerName: this.l('"&amp;C21&amp;"'),headerTooltip: this.l('"&amp;C21&amp;"'),field:  '"&amp;D21&amp;"', cellClass: ['text-center'], width: 120, cellRenderer: 'agCellButtonComponent',
buttonDefTwo: { text: params =&gt; (params.data?.'"&amp;D21&amp;"' == 'Y') ? 'Active' : 'Inactive',iconName: 'fa fa-circle',className: params =&gt; (params.data?.'"&amp;D21&amp;"' == 'Y') ? 'btnActive' : 'btnInActive',},}",
REPT(CHAR(9),3)&amp;"{headerName: this.l('"&amp;C21&amp;"'),headerTooltip: this.l('"&amp;C21&amp;"'),field: '"&amp;D21&amp;"',flex: 1},"))</f>
        <v xml:space="preserve">			{headerName: this.l('Seqno'),headerTooltip: this.l('Seqno'),field: 'seqno',flex: 1},</v>
      </c>
      <c r="I21" s="32" t="str">
        <f t="shared" ref="I21:I24" si="20">IF(E21="DateTime",
REPT(CHAR(9),8)&amp;"&lt;div class='input-search'&gt;
"&amp;REPT(CHAR(9),9)&amp;"&lt;input type='text' [placeholder]=""l('"&amp;C21&amp;"')"" [(ngModel)]='"&amp;D21&amp;"' 
"&amp;REPT(CHAR(9),9)&amp;"name='"&amp;D21&amp;"'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IF(E21="string",
REPT(CHAR(9),8)&amp;"&lt;div class='input-search'&gt;
"&amp;REPT(CHAR(9),9)&amp;"&lt;input [(ngModel)]='"&amp;D21&amp;"' name='"&amp;D21&amp;"'
"&amp;REPT(CHAR(9),9)&amp;"class='form-control' [placeholder]=""l('"&amp;C21&amp;"')""
"&amp;REPT(CHAR(9),9)&amp;"type='text' (keyup.enter)='searchDatas()'&gt;
"&amp;REPT(CHAR(9),8)&amp;"&lt;/div&gt;",""))</f>
        <v xml:space="preserve">								&lt;div class='input-search'&gt;
									&lt;input [(ngModel)]='seqno' name='seqno'
									class='form-control' [placeholder]="l('Seqno')"
									type='text' (keyup.enter)='searchDatas()'&gt;
								&lt;/div&gt;</v>
      </c>
      <c r="J21" s="29"/>
      <c r="K21" s="32" t="str">
        <f t="shared" ref="K21:K24" si="21">IF(OR(E21="DateTime",E21="TimeSpan"),
REPT(CHAR(9),5)&amp;"&lt;div class='col-md-12 form-group row'&gt;
"&amp;REPT(CHAR(9),6)&amp;"&lt;label class='col-md-2 form-control title'&gt;"&amp;C21&amp;"&lt;/label&gt;
"&amp;REPT(CHAR(9),6)&amp;"&lt;input type='text' class='col-md-10 form-control input-text' name='"&amp;D21&amp;"' 
"&amp;REPT(CHAR(9),6)&amp;"#datepicker='bsDatepicker' [(ngModel)]='rowdata."&amp;D21&amp;"'  bsDatepicker &gt;
"&amp;REPT(CHAR(9),5)&amp;"&lt;/div&gt;",
IF(AND(E21="string",F21="1"),
REPT(CHAR(9),5)&amp;"&lt;div class='col-md-12 form-group row'&gt;
"&amp;REPT(CHAR(9),6)&amp;"&lt;label class='col-md-2 form-control title'&gt;"&amp;C21&amp;"&lt;/label&gt;
"&amp;REPT(CHAR(9),6)&amp;"&lt;new-checkbox [(ngModel)]='_"&amp;D21&amp;"' name='"&amp;D21&amp;"' className='col-md-10' &gt; &lt;/new-checkbox&gt;
"&amp;REPT(CHAR(9),5)&amp;"&lt;/div&gt;",
IF(E21="string",
REPT(CHAR(9),5)&amp;"&lt;div class='col-md-12 form-group row'&gt;
"&amp;REPT(CHAR(9),6)&amp;"&lt;label class='col-md-2 form-control title'&gt;"&amp;C21&amp;"&lt;/label&gt;
"&amp;REPT(CHAR(9),6)&amp;"&lt;input type='text' class='col-md-10 form-control input-text' name='"&amp;B21&amp;"' [(ngModel)]='rowdata."&amp;D21&amp;"'&gt;
"&amp;REPT(CHAR(9),5)&amp;"&lt;/div&gt;",
IF(E21="int",
REPT(CHAR(9),5)&amp;"&lt;div class='col-md-12 form-group row'&gt;
"&amp;REPT(CHAR(9),6)&amp;"&lt;label class='col-md-2 form-control title'&gt;"&amp;C21&amp;"&lt;/label&gt;
"&amp;REPT(CHAR(9),6)&amp;"&lt;input type='number' class='col-md-10 form-control input-text' name='"&amp;B21&amp;"' [(ngModel)]='rowdata."&amp;D21&amp;"'&gt;
"&amp;REPT(CHAR(9),5)&amp;"&lt;/div&gt;",""))))</f>
        <v xml:space="preserve">					&lt;div class='col-md-12 form-group row'&gt;
						&lt;label class='col-md-2 form-control title'&gt;Seqno&lt;/label&gt;
						&lt;input type='text' class='col-md-10 form-control input-text' name='Seqno' [(ngModel)]='rowdata.seqno'&gt;
					&lt;/div&gt;</v>
      </c>
      <c r="L21" s="54" t="str">
        <f t="shared" ref="L21:L24" si="22">IF(E21="DateTime",
REPT(CHAR(9),2)&amp;"const dateValue =  this.rowdata."&amp;D21&amp;" ? new Date(this.rowdata."&amp;D21&amp;"?.toString()) : new Date();
"&amp;REPT(CHAR(9),2)&amp;"this.datepicker?.bsValueChange.emit(dateValue);","")</f>
        <v/>
      </c>
      <c r="M21" s="29"/>
      <c r="N21" s="29"/>
      <c r="O21" s="29"/>
      <c r="P21" s="29"/>
      <c r="Q21" s="29"/>
      <c r="R21" s="29"/>
      <c r="S21" s="29" t="str">
        <f>REPT(CHAR(9),1)&amp;D21&amp;G21</f>
        <v xml:space="preserve">	seqno : string = '' ; </v>
      </c>
      <c r="T21" s="29" t="str">
        <f>REPT(CHAR(9),3)&amp;"this."&amp;D21&amp;","</f>
        <v xml:space="preserve">			this.seqno,</v>
      </c>
      <c r="U21" s="29" t="str">
        <f>IF(E21="int",REPT(CHAR(9),2)&amp;"this."&amp;D21&amp;" = 0,",REPT(CHAR(9),2)&amp;"this."&amp;D21&amp;" = '',")</f>
        <v xml:space="preserve">		this.seqno = '',</v>
      </c>
      <c r="V21" s="29" t="str">
        <f t="shared" ref="V21:V24" si="23">IF(AND(E21="string",F21="1"),D21,"")</f>
        <v/>
      </c>
    </row>
    <row r="22" spans="1:22" ht="18" customHeight="1" x14ac:dyDescent="0.2">
      <c r="A22" s="38" t="str">
        <f>A.Backend!A16</f>
        <v>Grade</v>
      </c>
      <c r="B22" s="29" t="str">
        <f t="shared" si="15"/>
        <v>Grade</v>
      </c>
      <c r="C22" s="29" t="str">
        <f t="shared" si="16"/>
        <v>Grade</v>
      </c>
      <c r="D22" s="29" t="str">
        <f t="shared" si="17"/>
        <v>grade</v>
      </c>
      <c r="E22" s="29" t="str">
        <f>A.Backend!H16</f>
        <v>string</v>
      </c>
      <c r="F22" s="29" t="str">
        <f>A.Backend!G16</f>
        <v>2</v>
      </c>
      <c r="G22" s="29" t="str">
        <f t="shared" si="18"/>
        <v xml:space="preserve"> : string = '' ; </v>
      </c>
      <c r="H22" s="32" t="str">
        <f t="shared" si="19"/>
        <v xml:space="preserve">			{headerName: this.l('Grade'),headerTooltip: this.l('Grade'),field: 'grade',flex: 1},</v>
      </c>
      <c r="I22" s="32" t="str">
        <f t="shared" si="20"/>
        <v xml:space="preserve">								&lt;div class='input-search'&gt;
									&lt;input [(ngModel)]='grade' name='grade'
									class='form-control' [placeholder]="l('Grade')"
									type='text' (keyup.enter)='searchDatas()'&gt;
								&lt;/div&gt;</v>
      </c>
      <c r="J22" s="29"/>
      <c r="K22" s="32" t="str">
        <f t="shared" si="21"/>
        <v xml:space="preserve">					&lt;div class='col-md-12 form-group row'&gt;
						&lt;label class='col-md-2 form-control title'&gt;Grade&lt;/label&gt;
						&lt;input type='text' class='col-md-10 form-control input-text' name='Grade' [(ngModel)]='rowdata.grade'&gt;
					&lt;/div&gt;</v>
      </c>
      <c r="L22" s="54" t="str">
        <f t="shared" si="22"/>
        <v/>
      </c>
      <c r="M22" s="29"/>
      <c r="N22" s="29"/>
      <c r="O22" s="29"/>
      <c r="P22" s="29"/>
      <c r="Q22" s="29"/>
      <c r="R22" s="29"/>
      <c r="S22" s="29" t="str">
        <f t="shared" ref="S22:S25" si="24">REPT(CHAR(9),1)&amp;D22&amp;G22</f>
        <v xml:space="preserve">	grade : string = '' ; </v>
      </c>
      <c r="T22" s="29" t="str">
        <f t="shared" ref="T22:T25" si="25">REPT(CHAR(9),3)&amp;"this."&amp;D22&amp;","</f>
        <v xml:space="preserve">			this.grade,</v>
      </c>
      <c r="U22" s="29" t="str">
        <f t="shared" ref="U22:U25" si="26">IF(E22="int",REPT(CHAR(9),2)&amp;"this."&amp;D22&amp;" = 0,",REPT(CHAR(9),2)&amp;"this."&amp;D22&amp;" = '',")</f>
        <v xml:space="preserve">		this.grade = '',</v>
      </c>
      <c r="V22" s="29" t="str">
        <f t="shared" si="23"/>
        <v/>
      </c>
    </row>
    <row r="23" spans="1:22" ht="18" customHeight="1" x14ac:dyDescent="0.2">
      <c r="A23" s="38" t="str">
        <f>A.Backend!A17</f>
        <v>LotNo</v>
      </c>
      <c r="B23" s="29" t="str">
        <f t="shared" ref="B23" si="27">SUBSTITUTE(PROPER(A23),"_","")</f>
        <v>Lotno</v>
      </c>
      <c r="C23" s="29" t="str">
        <f t="shared" ref="C23" si="28">SUBSTITUTE(PROPER(A23),"_"," ")</f>
        <v>Lotno</v>
      </c>
      <c r="D23" s="29" t="str">
        <f t="shared" ref="D23" si="29">LOWER(LEFT(B23,1))&amp;RIGHT(B23,LEN(B23) - 1)</f>
        <v>lotno</v>
      </c>
      <c r="E23" s="29" t="str">
        <f>A.Backend!H17</f>
        <v>string</v>
      </c>
      <c r="F23" s="29" t="str">
        <f>A.Backend!G17</f>
        <v>10</v>
      </c>
      <c r="G23" s="29" t="str">
        <f t="shared" ref="G23" si="30">IF(E23="string"," : string = '' ; ",IF(OR(E23="DateTime",E23="TimeSpan")," : any ;",IF(E23="int"," : number = 0 ;","")))</f>
        <v xml:space="preserve"> : string = '' ; </v>
      </c>
      <c r="H23" s="32" t="str">
        <f t="shared" ref="H23" si="31">IF(E23="DateTime",
REPT(CHAR(9),3)&amp;"{headerName: this.l('"&amp;C23&amp;"'),headerTooltip: this.l('"&amp;C23&amp;"'),field: '"&amp;D23&amp;"',valueGetter: (params) =&gt; this.pipe.transform(params.data?."&amp;D23&amp;", 'dd/MM/yyyy'),flex: 1},",
IF(AND(E23="string",F23="1"),
REPT(CHAR(9),3)&amp;"{headerName: this.l('"&amp;C23&amp;"'),headerTooltip: this.l('"&amp;C23&amp;"'),field:  '"&amp;D23&amp;"', cellClass: ['text-center'], width: 120, cellRenderer: 'agCellButtonComponent',
buttonDefTwo: { text: params =&gt; (params.data?.'"&amp;D23&amp;"' == 'Y') ? 'Active' : 'Inactive',iconName: 'fa fa-circle',className: params =&gt; (params.data?.'"&amp;D23&amp;"' == 'Y') ? 'btnActive' : 'btnInActive',},}",
REPT(CHAR(9),3)&amp;"{headerName: this.l('"&amp;C23&amp;"'),headerTooltip: this.l('"&amp;C23&amp;"'),field: '"&amp;D23&amp;"',flex: 1},"))</f>
        <v xml:space="preserve">			{headerName: this.l('Lotno'),headerTooltip: this.l('Lotno'),field: 'lotno',flex: 1},</v>
      </c>
      <c r="I23" s="32" t="str">
        <f t="shared" ref="I23" si="32">IF(E23="DateTime",
REPT(CHAR(9),8)&amp;"&lt;div class='input-search'&gt;
"&amp;REPT(CHAR(9),9)&amp;"&lt;input type='text' [placeholder]=""l('"&amp;C23&amp;"')"" [(ngModel)]='"&amp;D23&amp;"' 
"&amp;REPT(CHAR(9),9)&amp;"name='"&amp;D23&amp;"'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IF(E23="string",
REPT(CHAR(9),8)&amp;"&lt;div class='input-search'&gt;
"&amp;REPT(CHAR(9),9)&amp;"&lt;input [(ngModel)]='"&amp;D23&amp;"' name='"&amp;D23&amp;"'
"&amp;REPT(CHAR(9),9)&amp;"class='form-control' [placeholder]=""l('"&amp;C23&amp;"')""
"&amp;REPT(CHAR(9),9)&amp;"type='text' (keyup.enter)='searchDatas()'&gt;
"&amp;REPT(CHAR(9),8)&amp;"&lt;/div&gt;",""))</f>
        <v xml:space="preserve">								&lt;div class='input-search'&gt;
									&lt;input [(ngModel)]='lotno' name='lotno'
									class='form-control' [placeholder]="l('Lotno')"
									type='text' (keyup.enter)='searchDatas()'&gt;
								&lt;/div&gt;</v>
      </c>
      <c r="J23" s="29"/>
      <c r="K23" s="32" t="str">
        <f t="shared" ref="K23" si="33">IF(OR(E23="DateTime",E23="TimeSpan"),
REPT(CHAR(9),5)&amp;"&lt;div class='col-md-12 form-group row'&gt;
"&amp;REPT(CHAR(9),6)&amp;"&lt;label class='col-md-2 form-control title'&gt;"&amp;C23&amp;"&lt;/label&gt;
"&amp;REPT(CHAR(9),6)&amp;"&lt;input type='text' class='col-md-10 form-control input-text' name='"&amp;D23&amp;"' 
"&amp;REPT(CHAR(9),6)&amp;"#datepicker='bsDatepicker' [(ngModel)]='rowdata."&amp;D23&amp;"'  bsDatepicker &gt;
"&amp;REPT(CHAR(9),5)&amp;"&lt;/div&gt;",
IF(AND(E23="string",F23="1"),
REPT(CHAR(9),5)&amp;"&lt;div class='col-md-12 form-group row'&gt;
"&amp;REPT(CHAR(9),6)&amp;"&lt;label class='col-md-2 form-control title'&gt;"&amp;C23&amp;"&lt;/label&gt;
"&amp;REPT(CHAR(9),6)&amp;"&lt;new-checkbox [(ngModel)]='_"&amp;D23&amp;"' name='"&amp;D23&amp;"' className='col-md-10' &gt; &lt;/new-checkbox&gt;
"&amp;REPT(CHAR(9),5)&amp;"&lt;/div&gt;",
IF(E23="string",
REPT(CHAR(9),5)&amp;"&lt;div class='col-md-12 form-group row'&gt;
"&amp;REPT(CHAR(9),6)&amp;"&lt;label class='col-md-2 form-control title'&gt;"&amp;C23&amp;"&lt;/label&gt;
"&amp;REPT(CHAR(9),6)&amp;"&lt;input type='text' class='col-md-10 form-control input-text' name='"&amp;B23&amp;"' [(ngModel)]='rowdata."&amp;D23&amp;"'&gt;
"&amp;REPT(CHAR(9),5)&amp;"&lt;/div&gt;",
IF(E23="int",
REPT(CHAR(9),5)&amp;"&lt;div class='col-md-12 form-group row'&gt;
"&amp;REPT(CHAR(9),6)&amp;"&lt;label class='col-md-2 form-control title'&gt;"&amp;C23&amp;"&lt;/label&gt;
"&amp;REPT(CHAR(9),6)&amp;"&lt;input type='number' class='col-md-10 form-control input-text' name='"&amp;B23&amp;"' [(ngModel)]='rowdata."&amp;D23&amp;"'&gt;
"&amp;REPT(CHAR(9),5)&amp;"&lt;/div&gt;",""))))</f>
        <v xml:space="preserve">					&lt;div class='col-md-12 form-group row'&gt;
						&lt;label class='col-md-2 form-control title'&gt;Lotno&lt;/label&gt;
						&lt;input type='text' class='col-md-10 form-control input-text' name='Lotno' [(ngModel)]='rowdata.lotno'&gt;
					&lt;/div&gt;</v>
      </c>
      <c r="L23" s="54" t="str">
        <f t="shared" ref="L23" si="34">IF(E23="DateTime",
REPT(CHAR(9),2)&amp;"const dateValue =  this.rowdata."&amp;D23&amp;" ? new Date(this.rowdata."&amp;D23&amp;"?.toString()) : new Date();
"&amp;REPT(CHAR(9),2)&amp;"this.datepicker?.bsValueChange.emit(dateValue);","")</f>
        <v/>
      </c>
      <c r="M23" s="29"/>
      <c r="N23" s="29"/>
      <c r="O23" s="29"/>
      <c r="P23" s="29"/>
      <c r="Q23" s="29"/>
      <c r="R23" s="29"/>
      <c r="S23" s="29" t="str">
        <f t="shared" ref="S23" si="35">REPT(CHAR(9),1)&amp;D23&amp;G23</f>
        <v xml:space="preserve">	lotno : string = '' ; </v>
      </c>
      <c r="T23" s="29" t="str">
        <f t="shared" ref="T23" si="36">REPT(CHAR(9),3)&amp;"this."&amp;D23&amp;","</f>
        <v xml:space="preserve">			this.lotno,</v>
      </c>
      <c r="U23" s="29" t="str">
        <f t="shared" ref="U23" si="37">IF(E23="int",REPT(CHAR(9),2)&amp;"this."&amp;D23&amp;" = 0,",REPT(CHAR(9),2)&amp;"this."&amp;D23&amp;" = '',")</f>
        <v xml:space="preserve">		this.lotno = '',</v>
      </c>
      <c r="V23" s="29" t="str">
        <f t="shared" ref="V23" si="38">IF(AND(E23="string",F23="1"),D23,"")</f>
        <v/>
      </c>
    </row>
    <row r="24" spans="1:22" ht="15" customHeight="1" x14ac:dyDescent="0.2">
      <c r="A24" s="38" t="str">
        <f>A.Backend!A18</f>
        <v>NoInLot</v>
      </c>
      <c r="B24" s="29" t="str">
        <f t="shared" ref="B24:B25" si="39">SUBSTITUTE(PROPER(A24),"_","")</f>
        <v>Noinlot</v>
      </c>
      <c r="C24" s="29" t="str">
        <f t="shared" ref="C24:C25" si="40">SUBSTITUTE(PROPER(A24),"_"," ")</f>
        <v>Noinlot</v>
      </c>
      <c r="D24" s="29" t="str">
        <f t="shared" ref="D24:D25" si="41">LOWER(LEFT(B24,1))&amp;RIGHT(B24,LEN(B24) - 1)</f>
        <v>noinlot</v>
      </c>
      <c r="E24" s="29" t="str">
        <f>A.Backend!H18</f>
        <v>int</v>
      </c>
      <c r="F24" s="29" t="str">
        <f>A.Backend!G18</f>
        <v/>
      </c>
      <c r="G24" s="29" t="str">
        <f t="shared" si="18"/>
        <v xml:space="preserve"> : number = 0 ;</v>
      </c>
      <c r="H24" s="32" t="str">
        <f t="shared" si="19"/>
        <v xml:space="preserve">			{headerName: this.l('Noinlot'),headerTooltip: this.l('Noinlot'),field: 'noinlot',flex: 1},</v>
      </c>
      <c r="I24" s="32" t="str">
        <f t="shared" si="20"/>
        <v/>
      </c>
      <c r="J24" s="29"/>
      <c r="K24" s="32" t="str">
        <f t="shared" si="21"/>
        <v xml:space="preserve">					&lt;div class='col-md-12 form-group row'&gt;
						&lt;label class='col-md-2 form-control title'&gt;Noinlot&lt;/label&gt;
						&lt;input type='number' class='col-md-10 form-control input-text' name='Noinlot' [(ngModel)]='rowdata.noinlot'&gt;
					&lt;/div&gt;</v>
      </c>
      <c r="L24" s="54" t="str">
        <f t="shared" si="22"/>
        <v/>
      </c>
      <c r="M24" s="29"/>
      <c r="N24" s="29"/>
      <c r="O24" s="29"/>
      <c r="P24" s="29"/>
      <c r="Q24" s="29"/>
      <c r="R24" s="29"/>
      <c r="S24" s="29" t="str">
        <f t="shared" si="24"/>
        <v xml:space="preserve">	noinlot : number = 0 ;</v>
      </c>
      <c r="T24" s="29" t="str">
        <f t="shared" si="25"/>
        <v xml:space="preserve">			this.noinlot,</v>
      </c>
      <c r="U24" s="29" t="str">
        <f t="shared" si="26"/>
        <v xml:space="preserve">		this.noinlot = 0,</v>
      </c>
      <c r="V24" s="29" t="str">
        <f t="shared" si="23"/>
        <v/>
      </c>
    </row>
    <row r="25" spans="1:22" ht="18" customHeight="1" x14ac:dyDescent="0.2">
      <c r="A25" s="38" t="str">
        <f>A.Backend!A19</f>
        <v>LotNoIndex</v>
      </c>
      <c r="B25" s="29" t="str">
        <f>SUBSTITUTE(PROPER(A25),"_","")</f>
        <v>Lotnoindex</v>
      </c>
      <c r="C25" s="29" t="str">
        <f>SUBSTITUTE(PROPER(A25),"_"," ")</f>
        <v>Lotnoindex</v>
      </c>
      <c r="D25" s="29" t="str">
        <f>LOWER(LEFT(B25,1))&amp;RIGHT(B25,LEN(B25) - 1)</f>
        <v>lotnoindex</v>
      </c>
      <c r="E25" s="29" t="str">
        <f>A.Backend!H19</f>
        <v>int</v>
      </c>
      <c r="F25" s="29" t="str">
        <f>A.Backend!G19</f>
        <v/>
      </c>
      <c r="G25" s="29" t="str">
        <f>IF(E25="string"," : string = '' ; ",IF(OR(E25="DateTime",E25="TimeSpan")," : any ;",IF(E25="int"," : number = 0 ;","")))</f>
        <v xml:space="preserve"> : number = 0 ;</v>
      </c>
      <c r="H25" s="32" t="str">
        <f>IF(E25="DateTime",
REPT(CHAR(9),3)&amp;"{headerName: this.l('"&amp;C25&amp;"'),headerTooltip: this.l('"&amp;C25&amp;"'),field: '"&amp;D25&amp;"',valueGetter: (params) =&gt; this.pipe.transform(params.data?."&amp;D25&amp;", 'dd/MM/yyyy'),flex: 1},",
IF(AND(E25="string",F25="1"),
REPT(CHAR(9),3)&amp;"{headerName: this.l('"&amp;C25&amp;"'),headerTooltip: this.l('"&amp;C25&amp;"'),field:  '"&amp;D25&amp;"', cellClass: ['text-center'], width: 120, cellRenderer: 'agCellButtonComponent',
buttonDefTwo: { text: params =&gt; (params.data?.'"&amp;D25&amp;"' == 'Y') ? 'Active' : 'Inactive',iconName: 'fa fa-circle',className: params =&gt; (params.data?.'"&amp;D25&amp;"' == 'Y') ? 'btnActive' : 'btnInActive',},}",
REPT(CHAR(9),3)&amp;"{headerName: this.l('"&amp;C25&amp;"'),headerTooltip: this.l('"&amp;C25&amp;"'),field: '"&amp;D25&amp;"',flex: 1},"))</f>
        <v xml:space="preserve">			{headerName: this.l('Lotnoindex'),headerTooltip: this.l('Lotnoindex'),field: 'lotnoindex',flex: 1},</v>
      </c>
      <c r="I25" s="32" t="str">
        <f>IF(E25="DateTime",
REPT(CHAR(9),8)&amp;"&lt;div class='input-search'&gt;
"&amp;REPT(CHAR(9),9)&amp;"&lt;input type='text' [placeholder]=""l('"&amp;C25&amp;"')"" [(ngModel)]='"&amp;D25&amp;"' 
"&amp;REPT(CHAR(9),9)&amp;"name='"&amp;D25&amp;"'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IF(E25="string",
REPT(CHAR(9),8)&amp;"&lt;div class='input-search'&gt;
"&amp;REPT(CHAR(9),9)&amp;"&lt;input [(ngModel)]='"&amp;D25&amp;"' name='"&amp;D25&amp;"'
"&amp;REPT(CHAR(9),9)&amp;"class='form-control' [placeholder]=""l('"&amp;C25&amp;"')""
"&amp;REPT(CHAR(9),9)&amp;"type='text' (keyup.enter)='searchDatas()'&gt;
"&amp;REPT(CHAR(9),8)&amp;"&lt;/div&gt;",""))</f>
        <v/>
      </c>
      <c r="J25" s="29"/>
      <c r="K25" s="32" t="str">
        <f>IF(OR(E25="DateTime",E25="TimeSpan"),
REPT(CHAR(9),5)&amp;"&lt;div class='col-md-12 form-group row'&gt;
"&amp;REPT(CHAR(9),6)&amp;"&lt;label class='col-md-2 form-control title'&gt;"&amp;C25&amp;"&lt;/label&gt;
"&amp;REPT(CHAR(9),6)&amp;"&lt;input type='text' class='col-md-10 form-control input-text' name='"&amp;D25&amp;"' 
"&amp;REPT(CHAR(9),6)&amp;"#datepicker='bsDatepicker' [(ngModel)]='rowdata."&amp;D25&amp;"'  bsDatepicker &gt;
"&amp;REPT(CHAR(9),5)&amp;"&lt;/div&gt;",
IF(AND(E25="string",F25="1"),
REPT(CHAR(9),5)&amp;"&lt;div class='col-md-12 form-group row'&gt;
"&amp;REPT(CHAR(9),6)&amp;"&lt;label class='col-md-2 form-control title'&gt;"&amp;C25&amp;"&lt;/label&gt;
"&amp;REPT(CHAR(9),6)&amp;"&lt;new-checkbox [(ngModel)]='_"&amp;D25&amp;"' name='"&amp;D25&amp;"' className='col-md-10' &gt; &lt;/new-checkbox&gt;
"&amp;REPT(CHAR(9),5)&amp;"&lt;/div&gt;",
IF(E25="string",
REPT(CHAR(9),5)&amp;"&lt;div class='col-md-12 form-group row'&gt;
"&amp;REPT(CHAR(9),6)&amp;"&lt;label class='col-md-2 form-control title'&gt;"&amp;C25&amp;"&lt;/label&gt;
"&amp;REPT(CHAR(9),6)&amp;"&lt;input type='text' class='col-md-10 form-control input-text' name='"&amp;B25&amp;"' [(ngModel)]='rowdata."&amp;D25&amp;"'&gt;
"&amp;REPT(CHAR(9),5)&amp;"&lt;/div&gt;",
IF(E25="int",
REPT(CHAR(9),5)&amp;"&lt;div class='col-md-12 form-group row'&gt;
"&amp;REPT(CHAR(9),6)&amp;"&lt;label class='col-md-2 form-control title'&gt;"&amp;C25&amp;"&lt;/label&gt;
"&amp;REPT(CHAR(9),6)&amp;"&lt;input type='number' class='col-md-10 form-control input-text' name='"&amp;B25&amp;"' [(ngModel)]='rowdata."&amp;D25&amp;"'&gt;
"&amp;REPT(CHAR(9),5)&amp;"&lt;/div&gt;",""))))</f>
        <v xml:space="preserve">					&lt;div class='col-md-12 form-group row'&gt;
						&lt;label class='col-md-2 form-control title'&gt;Lotnoindex&lt;/label&gt;
						&lt;input type='number' class='col-md-10 form-control input-text' name='Lotnoindex' [(ngModel)]='rowdata.lotnoindex'&gt;
					&lt;/div&gt;</v>
      </c>
      <c r="L25" s="54" t="str">
        <f>IF(E25="DateTime",
REPT(CHAR(9),2)&amp;"const dateValue =  this.rowdata."&amp;D25&amp;" ? new Date(this.rowdata."&amp;D25&amp;"?.toString()) : new Date();
"&amp;REPT(CHAR(9),2)&amp;"this.datepicker?.bsValueChange.emit(dateValue);","")</f>
        <v/>
      </c>
      <c r="M25" s="29"/>
      <c r="N25" s="29"/>
      <c r="O25" s="29"/>
      <c r="P25" s="29"/>
      <c r="Q25" s="29"/>
      <c r="R25" s="29"/>
      <c r="S25" s="29" t="str">
        <f>D25&amp;G25</f>
        <v>lotnoindex : number = 0 ;</v>
      </c>
      <c r="T25" s="29" t="str">
        <f>REPT(CHAR(9),3)&amp;"this."&amp;D25&amp;","</f>
        <v xml:space="preserve">			this.lotnoindex,</v>
      </c>
      <c r="U25" s="29" t="str">
        <f>IF(E25="int","this."&amp;D25&amp;" = 0,","this."&amp;D25&amp;" = '',")</f>
        <v>this.lotnoindex = 0,</v>
      </c>
      <c r="V25" s="29" t="str">
        <f>IF(AND(E25="string",F25="1"),D25,"")</f>
        <v/>
      </c>
    </row>
    <row r="26" spans="1:22" ht="18" customHeight="1" x14ac:dyDescent="0.2">
      <c r="A26" s="38" t="str">
        <f>A.Backend!A20</f>
        <v>Color</v>
      </c>
      <c r="B26" s="29" t="str">
        <f t="shared" ref="B26:B27" si="42">SUBSTITUTE(PROPER(A26),"_","")</f>
        <v>Color</v>
      </c>
      <c r="C26" s="29" t="str">
        <f t="shared" ref="C26:C27" si="43">SUBSTITUTE(PROPER(A26),"_"," ")</f>
        <v>Color</v>
      </c>
      <c r="D26" s="29" t="str">
        <f t="shared" ref="D26:D27" si="44">LOWER(LEFT(B26,1))&amp;RIGHT(B26,LEN(B26) - 1)</f>
        <v>color</v>
      </c>
      <c r="E26" s="29" t="str">
        <f>A.Backend!H20</f>
        <v>string</v>
      </c>
      <c r="F26" s="29" t="str">
        <f>A.Backend!G20</f>
        <v>5</v>
      </c>
      <c r="G26" s="29" t="str">
        <f t="shared" ref="G26:G27" si="45">IF(E26="string"," : string = '' ; ",IF(OR(E26="DateTime",E26="TimeSpan")," : any ;",IF(E26="int"," : number = 0 ;","")))</f>
        <v xml:space="preserve"> : string = '' ; </v>
      </c>
      <c r="H26" s="32" t="str">
        <f t="shared" ref="H26:H27" si="46">IF(E26="DateTime",
REPT(CHAR(9),3)&amp;"{headerName: this.l('"&amp;C26&amp;"'),headerTooltip: this.l('"&amp;C26&amp;"'),field: '"&amp;D26&amp;"',valueGetter: (params) =&gt; this.pipe.transform(params.data?."&amp;D26&amp;", 'dd/MM/yyyy'),flex: 1},",
IF(AND(E26="string",F26="1"),
REPT(CHAR(9),3)&amp;"{headerName: this.l('"&amp;C26&amp;"'),headerTooltip: this.l('"&amp;C26&amp;"'),field:  '"&amp;D26&amp;"', cellClass: ['text-center'], width: 120, cellRenderer: 'agCellButtonComponent',
buttonDefTwo: { text: params =&gt; (params.data?.'"&amp;D26&amp;"' == 'Y') ? 'Active' : 'Inactive',iconName: 'fa fa-circle',className: params =&gt; (params.data?.'"&amp;D26&amp;"' == 'Y') ? 'btnActive' : 'btnInActive',},}",
REPT(CHAR(9),3)&amp;"{headerName: this.l('"&amp;C26&amp;"'),headerTooltip: this.l('"&amp;C26&amp;"'),field: '"&amp;D26&amp;"',flex: 1},"))</f>
        <v xml:space="preserve">			{headerName: this.l('Color'),headerTooltip: this.l('Color'),field: 'color',flex: 1},</v>
      </c>
      <c r="I26" s="32" t="str">
        <f t="shared" ref="I26:I27" si="47">IF(E26="DateTime",
REPT(CHAR(9),8)&amp;"&lt;div class='input-search'&gt;
"&amp;REPT(CHAR(9),9)&amp;"&lt;input type='text' [placeholder]=""l('"&amp;C26&amp;"')"" [(ngModel)]='"&amp;D26&amp;"' 
"&amp;REPT(CHAR(9),9)&amp;"name='"&amp;D26&amp;"'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IF(E26="string",
REPT(CHAR(9),8)&amp;"&lt;div class='input-search'&gt;
"&amp;REPT(CHAR(9),9)&amp;"&lt;input [(ngModel)]='"&amp;D26&amp;"' name='"&amp;D26&amp;"'
"&amp;REPT(CHAR(9),9)&amp;"class='form-control' [placeholder]=""l('"&amp;C26&amp;"')""
"&amp;REPT(CHAR(9),9)&amp;"type='text' (keyup.enter)='searchDatas()'&gt;
"&amp;REPT(CHAR(9),8)&amp;"&lt;/div&gt;",""))</f>
        <v xml:space="preserve">								&lt;div class='input-search'&gt;
									&lt;input [(ngModel)]='color' name='color'
									class='form-control' [placeholder]="l('Color')"
									type='text' (keyup.enter)='searchDatas()'&gt;
								&lt;/div&gt;</v>
      </c>
      <c r="J26" s="29"/>
      <c r="K26" s="32" t="str">
        <f t="shared" ref="K26:K27" si="48">IF(OR(E26="DateTime",E26="TimeSpan"),
REPT(CHAR(9),5)&amp;"&lt;div class='col-md-12 form-group row'&gt;
"&amp;REPT(CHAR(9),6)&amp;"&lt;label class='col-md-2 form-control title'&gt;"&amp;C26&amp;"&lt;/label&gt;
"&amp;REPT(CHAR(9),6)&amp;"&lt;input type='text' class='col-md-10 form-control input-text' name='"&amp;D26&amp;"' 
"&amp;REPT(CHAR(9),6)&amp;"#datepicker='bsDatepicker' [(ngModel)]='rowdata."&amp;D26&amp;"'  bsDatepicker &gt;
"&amp;REPT(CHAR(9),5)&amp;"&lt;/div&gt;",
IF(AND(E26="string",F26="1"),
REPT(CHAR(9),5)&amp;"&lt;div class='col-md-12 form-group row'&gt;
"&amp;REPT(CHAR(9),6)&amp;"&lt;label class='col-md-2 form-control title'&gt;"&amp;C26&amp;"&lt;/label&gt;
"&amp;REPT(CHAR(9),6)&amp;"&lt;new-checkbox [(ngModel)]='_"&amp;D26&amp;"' name='"&amp;D26&amp;"' className='col-md-10' &gt; &lt;/new-checkbox&gt;
"&amp;REPT(CHAR(9),5)&amp;"&lt;/div&gt;",
IF(E26="string",
REPT(CHAR(9),5)&amp;"&lt;div class='col-md-12 form-group row'&gt;
"&amp;REPT(CHAR(9),6)&amp;"&lt;label class='col-md-2 form-control title'&gt;"&amp;C26&amp;"&lt;/label&gt;
"&amp;REPT(CHAR(9),6)&amp;"&lt;input type='text' class='col-md-10 form-control input-text' name='"&amp;B26&amp;"' [(ngModel)]='rowdata."&amp;D26&amp;"'&gt;
"&amp;REPT(CHAR(9),5)&amp;"&lt;/div&gt;",
IF(E26="int",
REPT(CHAR(9),5)&amp;"&lt;div class='col-md-12 form-group row'&gt;
"&amp;REPT(CHAR(9),6)&amp;"&lt;label class='col-md-2 form-control title'&gt;"&amp;C26&amp;"&lt;/label&gt;
"&amp;REPT(CHAR(9),6)&amp;"&lt;input type='number' class='col-md-10 form-control input-text' name='"&amp;B26&amp;"' [(ngModel)]='rowdata."&amp;D26&amp;"'&gt;
"&amp;REPT(CHAR(9),5)&amp;"&lt;/div&gt;",""))))</f>
        <v xml:space="preserve">					&lt;div class='col-md-12 form-group row'&gt;
						&lt;label class='col-md-2 form-control title'&gt;Color&lt;/label&gt;
						&lt;input type='text' class='col-md-10 form-control input-text' name='Color' [(ngModel)]='rowdata.color'&gt;
					&lt;/div&gt;</v>
      </c>
      <c r="L26" s="54" t="str">
        <f t="shared" ref="L26:L27" si="49">IF(E26="DateTime",
REPT(CHAR(9),2)&amp;"const dateValue =  this.rowdata."&amp;D26&amp;" ? new Date(this.rowdata."&amp;D26&amp;"?.toString()) : new Date();
"&amp;REPT(CHAR(9),2)&amp;"this.datepicker?.bsValueChange.emit(dateValue);","")</f>
        <v/>
      </c>
      <c r="M26" s="29"/>
      <c r="N26" s="29"/>
      <c r="O26" s="29"/>
      <c r="P26" s="29"/>
      <c r="Q26" s="29"/>
      <c r="R26" s="29"/>
      <c r="S26" s="29" t="str">
        <f t="shared" ref="S26:S27" si="50">REPT(CHAR(9),1)&amp;D26&amp;G26</f>
        <v xml:space="preserve">	color : string = '' ; </v>
      </c>
      <c r="T26" s="29" t="str">
        <f t="shared" ref="T26:T27" si="51">REPT(CHAR(9),3)&amp;"this."&amp;D26&amp;","</f>
        <v xml:space="preserve">			this.color,</v>
      </c>
      <c r="U26" s="29" t="str">
        <f t="shared" ref="U26:U27" si="52">IF(E26="int",REPT(CHAR(9),2)&amp;"this."&amp;D26&amp;" = 0,",REPT(CHAR(9),2)&amp;"this."&amp;D26&amp;" = '',")</f>
        <v xml:space="preserve">		this.color = '',</v>
      </c>
      <c r="V26" s="29" t="str">
        <f t="shared" ref="V26:V27" si="53">IF(AND(E26="string",F26="1"),D26,"")</f>
        <v/>
      </c>
    </row>
    <row r="27" spans="1:22" ht="18" customHeight="1" x14ac:dyDescent="0.2">
      <c r="A27" s="38" t="str">
        <f>A.Backend!A21</f>
        <v>CreateDate</v>
      </c>
      <c r="B27" s="29" t="str">
        <f t="shared" si="42"/>
        <v>Createdate</v>
      </c>
      <c r="C27" s="29" t="str">
        <f t="shared" si="43"/>
        <v>Createdate</v>
      </c>
      <c r="D27" s="29" t="str">
        <f t="shared" si="44"/>
        <v>createdate</v>
      </c>
      <c r="E27" s="29" t="str">
        <f>A.Backend!H21</f>
        <v>DateTime</v>
      </c>
      <c r="F27" s="29" t="str">
        <f>A.Backend!G21</f>
        <v>7</v>
      </c>
      <c r="G27" s="29" t="str">
        <f t="shared" si="45"/>
        <v xml:space="preserve"> : any ;</v>
      </c>
      <c r="H27" s="32" t="str">
        <f t="shared" si="46"/>
        <v xml:space="preserve">			{headerName: this.l('Createdate'),headerTooltip: this.l('Createdate'),field: 'createdate',valueGetter: (params) =&gt; this.pipe.transform(params.data?.createdate, 'dd/MM/yyyy'),flex: 1},</v>
      </c>
      <c r="I27" s="32" t="str">
        <f t="shared" si="47"/>
        <v xml:space="preserve">								&lt;div class='input-search'&gt;
									&lt;input type='text' [placeholder]="l('Createdate')" [(ngModel)]='createdate' 
									name='createdate' (keydown)='searchDatas()' class='form-control' 
									bsDatepicker #d='bsDatepicker' placement='bottom left'&gt;
									&lt;i class='fa fa-calendar-alt' (click)='d.toggle()'&gt;&lt;/i&gt;
								&lt;/div&gt;</v>
      </c>
      <c r="J27" s="29"/>
      <c r="K27" s="32" t="str">
        <f t="shared" si="48"/>
        <v xml:space="preserve">					&lt;div class='col-md-12 form-group row'&gt;
						&lt;label class='col-md-2 form-control title'&gt;Createdate&lt;/label&gt;
						&lt;input type='text' class='col-md-10 form-control input-text' name='createdate' 
						#datepicker='bsDatepicker' [(ngModel)]='rowdata.createdate'  bsDatepicker &gt;
					&lt;/div&gt;</v>
      </c>
      <c r="L27" s="54" t="str">
        <f t="shared" si="49"/>
        <v xml:space="preserve">		const dateValue =  this.rowdata.createdate ? new Date(this.rowdata.createdate?.toString()) : new Date();
		this.datepicker?.bsValueChange.emit(dateValue);</v>
      </c>
      <c r="M27" s="29"/>
      <c r="N27" s="29"/>
      <c r="O27" s="29"/>
      <c r="P27" s="29"/>
      <c r="Q27" s="29"/>
      <c r="R27" s="29"/>
      <c r="S27" s="29" t="str">
        <f t="shared" si="50"/>
        <v xml:space="preserve">	createdate : any ;</v>
      </c>
      <c r="T27" s="29" t="str">
        <f t="shared" si="51"/>
        <v xml:space="preserve">			this.createdate,</v>
      </c>
      <c r="U27" s="29" t="str">
        <f t="shared" si="52"/>
        <v xml:space="preserve">		this.createdate = '',</v>
      </c>
      <c r="V27" s="29" t="str">
        <f t="shared" si="53"/>
        <v/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B20"/>
  <sheetViews>
    <sheetView topLeftCell="A4" workbookViewId="0">
      <selection activeCell="E18" sqref="E18"/>
    </sheetView>
  </sheetViews>
  <sheetFormatPr baseColWidth="10" defaultColWidth="8.83203125" defaultRowHeight="15" x14ac:dyDescent="0.2"/>
  <cols>
    <col min="1" max="1" width="22.5" bestFit="1" customWidth="1"/>
    <col min="2" max="2" width="29.83203125" bestFit="1" customWidth="1"/>
  </cols>
  <sheetData>
    <row r="1" spans="1:2" x14ac:dyDescent="0.2">
      <c r="A1" s="1" t="s">
        <v>16</v>
      </c>
      <c r="B1" s="1" t="s">
        <v>17</v>
      </c>
    </row>
    <row r="2" spans="1:2" x14ac:dyDescent="0.2">
      <c r="A2" t="s">
        <v>19</v>
      </c>
      <c r="B2" t="s">
        <v>33</v>
      </c>
    </row>
    <row r="3" spans="1:2" x14ac:dyDescent="0.2">
      <c r="A3" t="s">
        <v>18</v>
      </c>
      <c r="B3" t="s">
        <v>33</v>
      </c>
    </row>
    <row r="4" spans="1:2" x14ac:dyDescent="0.2">
      <c r="A4" t="s">
        <v>20</v>
      </c>
      <c r="B4" t="s">
        <v>21</v>
      </c>
    </row>
    <row r="5" spans="1:2" x14ac:dyDescent="0.2">
      <c r="A5" t="s">
        <v>22</v>
      </c>
      <c r="B5" t="s">
        <v>36</v>
      </c>
    </row>
    <row r="6" spans="1:2" x14ac:dyDescent="0.2">
      <c r="A6" t="s">
        <v>23</v>
      </c>
      <c r="B6" t="s">
        <v>34</v>
      </c>
    </row>
    <row r="7" spans="1:2" x14ac:dyDescent="0.2">
      <c r="A7" t="s">
        <v>24</v>
      </c>
      <c r="B7" t="s">
        <v>4</v>
      </c>
    </row>
    <row r="8" spans="1:2" x14ac:dyDescent="0.2">
      <c r="A8" t="s">
        <v>4</v>
      </c>
      <c r="B8" t="s">
        <v>4</v>
      </c>
    </row>
    <row r="9" spans="1:2" x14ac:dyDescent="0.2">
      <c r="A9" t="s">
        <v>0</v>
      </c>
      <c r="B9" t="s">
        <v>48</v>
      </c>
    </row>
    <row r="10" spans="1:2" x14ac:dyDescent="0.2">
      <c r="A10" t="s">
        <v>25</v>
      </c>
      <c r="B10" t="s">
        <v>28</v>
      </c>
    </row>
    <row r="11" spans="1:2" x14ac:dyDescent="0.2">
      <c r="A11" t="s">
        <v>26</v>
      </c>
      <c r="B11" t="s">
        <v>28</v>
      </c>
    </row>
    <row r="12" spans="1:2" x14ac:dyDescent="0.2">
      <c r="A12" t="s">
        <v>27</v>
      </c>
      <c r="B12" t="s">
        <v>28</v>
      </c>
    </row>
    <row r="13" spans="1:2" x14ac:dyDescent="0.2">
      <c r="A13" t="s">
        <v>28</v>
      </c>
      <c r="B13" t="s">
        <v>28</v>
      </c>
    </row>
    <row r="14" spans="1:2" x14ac:dyDescent="0.2">
      <c r="A14" t="s">
        <v>29</v>
      </c>
      <c r="B14" t="s">
        <v>28</v>
      </c>
    </row>
    <row r="15" spans="1:2" x14ac:dyDescent="0.2">
      <c r="A15" t="s">
        <v>30</v>
      </c>
      <c r="B15" t="s">
        <v>28</v>
      </c>
    </row>
    <row r="16" spans="1:2" x14ac:dyDescent="0.2">
      <c r="A16" t="s">
        <v>31</v>
      </c>
      <c r="B16" t="s">
        <v>32</v>
      </c>
    </row>
    <row r="17" spans="1:2" x14ac:dyDescent="0.2">
      <c r="A17" t="s">
        <v>3</v>
      </c>
      <c r="B17" t="s">
        <v>32</v>
      </c>
    </row>
    <row r="18" spans="1:2" x14ac:dyDescent="0.2">
      <c r="A18" t="s">
        <v>35</v>
      </c>
      <c r="B18" t="s">
        <v>32</v>
      </c>
    </row>
    <row r="19" spans="1:2" x14ac:dyDescent="0.2">
      <c r="A19" t="s">
        <v>2</v>
      </c>
      <c r="B19" t="s">
        <v>32</v>
      </c>
    </row>
    <row r="20" spans="1:2" x14ac:dyDescent="0.2">
      <c r="A20" t="s">
        <v>269</v>
      </c>
      <c r="B20" t="s">
        <v>270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3"/>
  <dimension ref="A2:C103"/>
  <sheetViews>
    <sheetView topLeftCell="A76" workbookViewId="0">
      <selection activeCell="E95" sqref="E95"/>
    </sheetView>
  </sheetViews>
  <sheetFormatPr baseColWidth="10" defaultColWidth="8.83203125" defaultRowHeight="16" x14ac:dyDescent="0.2"/>
  <cols>
    <col min="1" max="1" width="14.33203125" customWidth="1"/>
    <col min="2" max="2" width="71.6640625" style="20" customWidth="1"/>
  </cols>
  <sheetData>
    <row r="2" spans="1:2" x14ac:dyDescent="0.2">
      <c r="A2" s="22" t="s">
        <v>193</v>
      </c>
      <c r="B2" s="23" t="s">
        <v>190</v>
      </c>
    </row>
    <row r="3" spans="1:2" x14ac:dyDescent="0.2">
      <c r="B3" s="20" t="s">
        <v>115</v>
      </c>
    </row>
    <row r="4" spans="1:2" x14ac:dyDescent="0.2">
      <c r="B4" s="20" t="s">
        <v>116</v>
      </c>
    </row>
    <row r="5" spans="1:2" x14ac:dyDescent="0.2">
      <c r="B5" s="20" t="s">
        <v>117</v>
      </c>
    </row>
    <row r="6" spans="1:2" x14ac:dyDescent="0.2">
      <c r="B6" s="20" t="s">
        <v>118</v>
      </c>
    </row>
    <row r="7" spans="1:2" x14ac:dyDescent="0.2">
      <c r="B7" s="20" t="s">
        <v>119</v>
      </c>
    </row>
    <row r="8" spans="1:2" x14ac:dyDescent="0.2">
      <c r="B8" s="20" t="s">
        <v>120</v>
      </c>
    </row>
    <row r="9" spans="1:2" x14ac:dyDescent="0.2">
      <c r="B9" s="20" t="s">
        <v>121</v>
      </c>
    </row>
    <row r="10" spans="1:2" x14ac:dyDescent="0.2">
      <c r="B10" s="20" t="s">
        <v>122</v>
      </c>
    </row>
    <row r="11" spans="1:2" x14ac:dyDescent="0.2">
      <c r="B11" s="20" t="s">
        <v>123</v>
      </c>
    </row>
    <row r="12" spans="1:2" x14ac:dyDescent="0.2">
      <c r="B12" s="20" t="s">
        <v>124</v>
      </c>
    </row>
    <row r="13" spans="1:2" x14ac:dyDescent="0.2">
      <c r="B13" s="20" t="s">
        <v>125</v>
      </c>
    </row>
    <row r="14" spans="1:2" x14ac:dyDescent="0.2">
      <c r="B14" s="20" t="s">
        <v>126</v>
      </c>
    </row>
    <row r="15" spans="1:2" x14ac:dyDescent="0.2">
      <c r="B15" s="20" t="s">
        <v>127</v>
      </c>
    </row>
    <row r="16" spans="1:2" x14ac:dyDescent="0.2">
      <c r="B16" s="20" t="s">
        <v>128</v>
      </c>
    </row>
    <row r="17" spans="1:3" x14ac:dyDescent="0.2">
      <c r="B17" s="20" t="s">
        <v>129</v>
      </c>
    </row>
    <row r="18" spans="1:3" x14ac:dyDescent="0.2">
      <c r="B18" s="20" t="s">
        <v>130</v>
      </c>
      <c r="C18" t="s">
        <v>192</v>
      </c>
    </row>
    <row r="19" spans="1:3" x14ac:dyDescent="0.2">
      <c r="B19" s="20" t="s">
        <v>131</v>
      </c>
    </row>
    <row r="20" spans="1:3" x14ac:dyDescent="0.2">
      <c r="B20" s="20" t="s">
        <v>132</v>
      </c>
    </row>
    <row r="21" spans="1:3" x14ac:dyDescent="0.2">
      <c r="B21" s="20" t="s">
        <v>133</v>
      </c>
    </row>
    <row r="22" spans="1:3" x14ac:dyDescent="0.2">
      <c r="B22" s="20" t="s">
        <v>134</v>
      </c>
      <c r="C22" t="s">
        <v>197</v>
      </c>
    </row>
    <row r="23" spans="1:3" x14ac:dyDescent="0.2">
      <c r="B23" s="20" t="s">
        <v>135</v>
      </c>
    </row>
    <row r="24" spans="1:3" x14ac:dyDescent="0.2">
      <c r="B24" s="20" t="s">
        <v>136</v>
      </c>
    </row>
    <row r="25" spans="1:3" x14ac:dyDescent="0.2">
      <c r="B25" s="20" t="s">
        <v>137</v>
      </c>
    </row>
    <row r="26" spans="1:3" x14ac:dyDescent="0.2">
      <c r="A26" s="22" t="s">
        <v>194</v>
      </c>
      <c r="B26" s="23" t="s">
        <v>191</v>
      </c>
    </row>
    <row r="27" spans="1:3" x14ac:dyDescent="0.2">
      <c r="B27" s="20" t="s">
        <v>138</v>
      </c>
    </row>
    <row r="28" spans="1:3" x14ac:dyDescent="0.2">
      <c r="B28" s="21" t="s">
        <v>139</v>
      </c>
    </row>
    <row r="29" spans="1:3" x14ac:dyDescent="0.2">
      <c r="B29" s="20" t="s">
        <v>140</v>
      </c>
    </row>
    <row r="30" spans="1:3" x14ac:dyDescent="0.2">
      <c r="B30" s="20" t="s">
        <v>141</v>
      </c>
    </row>
    <row r="31" spans="1:3" x14ac:dyDescent="0.2">
      <c r="B31" s="20" t="s">
        <v>142</v>
      </c>
    </row>
    <row r="32" spans="1:3" x14ac:dyDescent="0.2">
      <c r="B32" s="20" t="s">
        <v>143</v>
      </c>
    </row>
    <row r="33" spans="2:2" x14ac:dyDescent="0.2">
      <c r="B33" s="20" t="s">
        <v>144</v>
      </c>
    </row>
    <row r="34" spans="2:2" x14ac:dyDescent="0.2">
      <c r="B34" s="20" t="s">
        <v>145</v>
      </c>
    </row>
    <row r="35" spans="2:2" x14ac:dyDescent="0.2">
      <c r="B35" s="20" t="s">
        <v>146</v>
      </c>
    </row>
    <row r="36" spans="2:2" x14ac:dyDescent="0.2">
      <c r="B36" s="20" t="s">
        <v>147</v>
      </c>
    </row>
    <row r="37" spans="2:2" x14ac:dyDescent="0.2">
      <c r="B37" s="20" t="s">
        <v>148</v>
      </c>
    </row>
    <row r="38" spans="2:2" x14ac:dyDescent="0.2">
      <c r="B38" s="20" t="s">
        <v>149</v>
      </c>
    </row>
    <row r="39" spans="2:2" x14ac:dyDescent="0.2">
      <c r="B39" s="20" t="s">
        <v>150</v>
      </c>
    </row>
    <row r="40" spans="2:2" x14ac:dyDescent="0.2">
      <c r="B40" s="20" t="s">
        <v>151</v>
      </c>
    </row>
    <row r="41" spans="2:2" x14ac:dyDescent="0.2">
      <c r="B41" s="20" t="s">
        <v>152</v>
      </c>
    </row>
    <row r="42" spans="2:2" x14ac:dyDescent="0.2">
      <c r="B42" s="20" t="s">
        <v>153</v>
      </c>
    </row>
    <row r="43" spans="2:2" x14ac:dyDescent="0.2">
      <c r="B43" s="21" t="s">
        <v>154</v>
      </c>
    </row>
    <row r="44" spans="2:2" x14ac:dyDescent="0.2">
      <c r="B44" s="20" t="s">
        <v>140</v>
      </c>
    </row>
    <row r="45" spans="2:2" x14ac:dyDescent="0.2">
      <c r="B45" s="20" t="s">
        <v>155</v>
      </c>
    </row>
    <row r="46" spans="2:2" x14ac:dyDescent="0.2">
      <c r="B46" s="20" t="s">
        <v>156</v>
      </c>
    </row>
    <row r="47" spans="2:2" x14ac:dyDescent="0.2">
      <c r="B47" s="20" t="s">
        <v>157</v>
      </c>
    </row>
    <row r="48" spans="2:2" x14ac:dyDescent="0.2">
      <c r="B48" s="20" t="s">
        <v>158</v>
      </c>
    </row>
    <row r="49" spans="2:2" x14ac:dyDescent="0.2">
      <c r="B49" s="20" t="s">
        <v>141</v>
      </c>
    </row>
    <row r="50" spans="2:2" x14ac:dyDescent="0.2">
      <c r="B50" s="20" t="s">
        <v>142</v>
      </c>
    </row>
    <row r="51" spans="2:2" x14ac:dyDescent="0.2">
      <c r="B51" s="20" t="s">
        <v>143</v>
      </c>
    </row>
    <row r="52" spans="2:2" x14ac:dyDescent="0.2">
      <c r="B52" s="20" t="s">
        <v>144</v>
      </c>
    </row>
    <row r="53" spans="2:2" x14ac:dyDescent="0.2">
      <c r="B53" s="20" t="s">
        <v>145</v>
      </c>
    </row>
    <row r="54" spans="2:2" x14ac:dyDescent="0.2">
      <c r="B54" s="20" t="s">
        <v>146</v>
      </c>
    </row>
    <row r="55" spans="2:2" x14ac:dyDescent="0.2">
      <c r="B55" s="20" t="s">
        <v>147</v>
      </c>
    </row>
    <row r="56" spans="2:2" x14ac:dyDescent="0.2">
      <c r="B56" s="20" t="s">
        <v>159</v>
      </c>
    </row>
    <row r="57" spans="2:2" x14ac:dyDescent="0.2">
      <c r="B57" s="20" t="s">
        <v>160</v>
      </c>
    </row>
    <row r="58" spans="2:2" x14ac:dyDescent="0.2">
      <c r="B58" s="20" t="s">
        <v>148</v>
      </c>
    </row>
    <row r="59" spans="2:2" x14ac:dyDescent="0.2">
      <c r="B59" s="20" t="s">
        <v>149</v>
      </c>
    </row>
    <row r="60" spans="2:2" x14ac:dyDescent="0.2">
      <c r="B60" s="20" t="s">
        <v>161</v>
      </c>
    </row>
    <row r="61" spans="2:2" x14ac:dyDescent="0.2">
      <c r="B61" s="20" t="s">
        <v>162</v>
      </c>
    </row>
    <row r="62" spans="2:2" x14ac:dyDescent="0.2">
      <c r="B62" s="20" t="s">
        <v>163</v>
      </c>
    </row>
    <row r="63" spans="2:2" x14ac:dyDescent="0.2">
      <c r="B63" s="20" t="s">
        <v>158</v>
      </c>
    </row>
    <row r="64" spans="2:2" x14ac:dyDescent="0.2">
      <c r="B64" s="20" t="s">
        <v>150</v>
      </c>
    </row>
    <row r="65" spans="2:2" x14ac:dyDescent="0.2">
      <c r="B65" s="20" t="s">
        <v>151</v>
      </c>
    </row>
    <row r="66" spans="2:2" x14ac:dyDescent="0.2">
      <c r="B66" s="20" t="s">
        <v>164</v>
      </c>
    </row>
    <row r="67" spans="2:2" x14ac:dyDescent="0.2">
      <c r="B67" s="20" t="s">
        <v>158</v>
      </c>
    </row>
    <row r="68" spans="2:2" x14ac:dyDescent="0.2">
      <c r="B68" s="20" t="s">
        <v>152</v>
      </c>
    </row>
    <row r="69" spans="2:2" x14ac:dyDescent="0.2">
      <c r="B69" s="20" t="s">
        <v>165</v>
      </c>
    </row>
    <row r="70" spans="2:2" x14ac:dyDescent="0.2">
      <c r="B70" s="21" t="s">
        <v>166</v>
      </c>
    </row>
    <row r="71" spans="2:2" x14ac:dyDescent="0.2">
      <c r="B71" s="20" t="s">
        <v>140</v>
      </c>
    </row>
    <row r="72" spans="2:2" x14ac:dyDescent="0.2">
      <c r="B72" s="20" t="s">
        <v>141</v>
      </c>
    </row>
    <row r="73" spans="2:2" x14ac:dyDescent="0.2">
      <c r="B73" s="20" t="s">
        <v>142</v>
      </c>
    </row>
    <row r="74" spans="2:2" x14ac:dyDescent="0.2">
      <c r="B74" s="20" t="s">
        <v>143</v>
      </c>
    </row>
    <row r="75" spans="2:2" x14ac:dyDescent="0.2">
      <c r="B75" s="20" t="s">
        <v>147</v>
      </c>
    </row>
    <row r="76" spans="2:2" x14ac:dyDescent="0.2">
      <c r="B76" s="20" t="s">
        <v>149</v>
      </c>
    </row>
    <row r="77" spans="2:2" x14ac:dyDescent="0.2">
      <c r="B77" s="20" t="s">
        <v>150</v>
      </c>
    </row>
    <row r="78" spans="2:2" x14ac:dyDescent="0.2">
      <c r="B78" s="20" t="s">
        <v>151</v>
      </c>
    </row>
    <row r="79" spans="2:2" x14ac:dyDescent="0.2">
      <c r="B79" s="20" t="s">
        <v>152</v>
      </c>
    </row>
    <row r="80" spans="2:2" x14ac:dyDescent="0.2">
      <c r="B80" s="20" t="s">
        <v>165</v>
      </c>
    </row>
    <row r="81" spans="1:2" x14ac:dyDescent="0.2">
      <c r="B81" s="21" t="s">
        <v>167</v>
      </c>
    </row>
    <row r="82" spans="1:2" x14ac:dyDescent="0.2">
      <c r="B82" s="21" t="s">
        <v>168</v>
      </c>
    </row>
    <row r="83" spans="1:2" x14ac:dyDescent="0.2">
      <c r="B83" s="21" t="s">
        <v>169</v>
      </c>
    </row>
    <row r="84" spans="1:2" x14ac:dyDescent="0.2">
      <c r="B84" s="21" t="s">
        <v>170</v>
      </c>
    </row>
    <row r="85" spans="1:2" x14ac:dyDescent="0.2">
      <c r="B85" s="21" t="s">
        <v>171</v>
      </c>
    </row>
    <row r="86" spans="1:2" x14ac:dyDescent="0.2">
      <c r="B86" s="21" t="s">
        <v>172</v>
      </c>
    </row>
    <row r="87" spans="1:2" x14ac:dyDescent="0.2">
      <c r="B87" s="21" t="s">
        <v>173</v>
      </c>
    </row>
    <row r="88" spans="1:2" x14ac:dyDescent="0.2">
      <c r="A88" s="22" t="s">
        <v>195</v>
      </c>
      <c r="B88" s="24" t="s">
        <v>174</v>
      </c>
    </row>
    <row r="89" spans="1:2" x14ac:dyDescent="0.2">
      <c r="B89" s="20" t="s">
        <v>175</v>
      </c>
    </row>
    <row r="90" spans="1:2" x14ac:dyDescent="0.2">
      <c r="B90" s="20" t="s">
        <v>176</v>
      </c>
    </row>
    <row r="91" spans="1:2" x14ac:dyDescent="0.2">
      <c r="B91" s="20" t="s">
        <v>177</v>
      </c>
    </row>
    <row r="92" spans="1:2" x14ac:dyDescent="0.2">
      <c r="B92" s="20" t="s">
        <v>178</v>
      </c>
    </row>
    <row r="93" spans="1:2" x14ac:dyDescent="0.2">
      <c r="B93" s="20" t="s">
        <v>179</v>
      </c>
    </row>
    <row r="94" spans="1:2" x14ac:dyDescent="0.2">
      <c r="B94" s="20" t="s">
        <v>180</v>
      </c>
    </row>
    <row r="95" spans="1:2" x14ac:dyDescent="0.2">
      <c r="B95" s="20" t="s">
        <v>181</v>
      </c>
    </row>
    <row r="96" spans="1:2" x14ac:dyDescent="0.2">
      <c r="B96" s="20" t="s">
        <v>182</v>
      </c>
    </row>
    <row r="97" spans="2:2" x14ac:dyDescent="0.2">
      <c r="B97" s="20" t="s">
        <v>183</v>
      </c>
    </row>
    <row r="98" spans="2:2" x14ac:dyDescent="0.2">
      <c r="B98" s="20" t="s">
        <v>184</v>
      </c>
    </row>
    <row r="99" spans="2:2" x14ac:dyDescent="0.2">
      <c r="B99" s="20" t="s">
        <v>185</v>
      </c>
    </row>
    <row r="100" spans="2:2" x14ac:dyDescent="0.2">
      <c r="B100" s="20" t="s">
        <v>186</v>
      </c>
    </row>
    <row r="101" spans="2:2" x14ac:dyDescent="0.2">
      <c r="B101" s="20" t="s">
        <v>187</v>
      </c>
    </row>
    <row r="102" spans="2:2" x14ac:dyDescent="0.2">
      <c r="B102" s="20" t="s">
        <v>188</v>
      </c>
    </row>
    <row r="103" spans="2:2" x14ac:dyDescent="0.2">
      <c r="B103" s="20" t="s">
        <v>189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Microsoft Office User</cp:lastModifiedBy>
  <dcterms:created xsi:type="dcterms:W3CDTF">2022-04-01T07:31:40Z</dcterms:created>
  <dcterms:modified xsi:type="dcterms:W3CDTF">2022-10-26T10:23:12Z</dcterms:modified>
</cp:coreProperties>
</file>
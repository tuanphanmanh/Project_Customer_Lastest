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assembly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C19" i="5" l="1"/>
  <c r="B19" i="5"/>
  <c r="D19" i="5" s="1"/>
  <c r="C18" i="5"/>
  <c r="C17" i="5"/>
  <c r="C16" i="5"/>
  <c r="B16" i="5"/>
  <c r="D16" i="5" s="1"/>
  <c r="C20" i="5"/>
  <c r="B20" i="5"/>
  <c r="D20" i="5" s="1"/>
  <c r="G14" i="1"/>
  <c r="E14" i="1"/>
  <c r="H14" i="1" s="1"/>
  <c r="D14" i="1"/>
  <c r="V14" i="1" s="1"/>
  <c r="G13" i="1"/>
  <c r="E13" i="1"/>
  <c r="H13" i="1" s="1"/>
  <c r="D13" i="1"/>
  <c r="V13" i="1" s="1"/>
  <c r="G12" i="1"/>
  <c r="E12" i="1"/>
  <c r="H12" i="1" s="1"/>
  <c r="D12" i="1"/>
  <c r="V12" i="1" s="1"/>
  <c r="G11" i="1"/>
  <c r="E11" i="1"/>
  <c r="H11" i="1" s="1"/>
  <c r="D11" i="1"/>
  <c r="T11" i="1" s="1"/>
  <c r="G10" i="1"/>
  <c r="E10" i="1"/>
  <c r="H10" i="1" s="1"/>
  <c r="D10" i="1"/>
  <c r="V10" i="1" s="1"/>
  <c r="M10" i="1" l="1"/>
  <c r="I16" i="5"/>
  <c r="V17" i="5"/>
  <c r="K19" i="5"/>
  <c r="I19" i="5"/>
  <c r="G19" i="5"/>
  <c r="S19" i="5" s="1"/>
  <c r="U19" i="5"/>
  <c r="V19" i="5"/>
  <c r="L19" i="5"/>
  <c r="M14" i="1"/>
  <c r="H19" i="5"/>
  <c r="T10" i="1"/>
  <c r="T16" i="5"/>
  <c r="T19" i="5"/>
  <c r="I17" i="5"/>
  <c r="B18" i="5"/>
  <c r="D18" i="5" s="1"/>
  <c r="H18" i="5" s="1"/>
  <c r="B17" i="5"/>
  <c r="D17" i="5" s="1"/>
  <c r="H17" i="5" s="1"/>
  <c r="G18" i="5"/>
  <c r="L18" i="5"/>
  <c r="V18" i="5"/>
  <c r="G17" i="5"/>
  <c r="L17" i="5"/>
  <c r="T20" i="5"/>
  <c r="P10" i="1"/>
  <c r="T12" i="1"/>
  <c r="M12" i="1"/>
  <c r="T14" i="1"/>
  <c r="P12" i="1"/>
  <c r="P14" i="1"/>
  <c r="W13" i="1"/>
  <c r="O13" i="1"/>
  <c r="I13" i="1"/>
  <c r="M13" i="1"/>
  <c r="W11" i="1"/>
  <c r="O11" i="1"/>
  <c r="I11" i="1"/>
  <c r="M11" i="1"/>
  <c r="I10" i="1"/>
  <c r="P11" i="1"/>
  <c r="I12" i="1"/>
  <c r="N12" i="1"/>
  <c r="P13" i="1"/>
  <c r="I14" i="1"/>
  <c r="N14" i="1"/>
  <c r="V11" i="1"/>
  <c r="O10" i="1"/>
  <c r="W10" i="1"/>
  <c r="J12" i="1"/>
  <c r="O12" i="1"/>
  <c r="W12" i="1"/>
  <c r="T13" i="1"/>
  <c r="J14" i="1"/>
  <c r="O14" i="1"/>
  <c r="W14" i="1"/>
  <c r="U17" i="5" l="1"/>
  <c r="K17" i="5"/>
  <c r="U18" i="5"/>
  <c r="I18" i="5"/>
  <c r="K18" i="5"/>
  <c r="K16" i="5"/>
  <c r="H20" i="5"/>
  <c r="U20" i="5"/>
  <c r="G20" i="5"/>
  <c r="S20" i="5" s="1"/>
  <c r="I20" i="5"/>
  <c r="L20" i="5"/>
  <c r="V20" i="5"/>
  <c r="K20" i="5"/>
  <c r="H16" i="5"/>
  <c r="G16" i="5"/>
  <c r="S16" i="5" s="1"/>
  <c r="V16" i="5"/>
  <c r="U16" i="5"/>
  <c r="L16" i="5"/>
  <c r="S17" i="5"/>
  <c r="T17" i="5"/>
  <c r="S18" i="5"/>
  <c r="T18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16" i="1"/>
  <c r="N3" i="1" l="1"/>
  <c r="M3" i="1"/>
  <c r="O3" i="1"/>
  <c r="C15" i="5" l="1"/>
  <c r="B15" i="5"/>
  <c r="D15" i="5" s="1"/>
  <c r="L12" i="5" l="1"/>
  <c r="I12" i="5"/>
  <c r="S12" i="5"/>
  <c r="T12" i="5"/>
  <c r="K12" i="5"/>
  <c r="U12" i="5"/>
  <c r="V12" i="5"/>
  <c r="H12" i="5"/>
  <c r="T15" i="5"/>
  <c r="R3" i="1" l="1"/>
  <c r="D1" i="1"/>
  <c r="F6" i="1"/>
  <c r="T13" i="5"/>
  <c r="G9" i="1" l="1"/>
  <c r="F15" i="5" s="1"/>
  <c r="E9" i="1"/>
  <c r="H9" i="1" s="1"/>
  <c r="P9" i="1"/>
  <c r="T16" i="1"/>
  <c r="O9" i="1" l="1"/>
  <c r="M9" i="1"/>
  <c r="E15" i="5"/>
  <c r="W9" i="1"/>
  <c r="T7" i="1"/>
  <c r="I9" i="1"/>
  <c r="W16" i="1"/>
  <c r="H15" i="5" l="1"/>
  <c r="L15" i="5"/>
  <c r="K15" i="5"/>
  <c r="I15" i="5"/>
  <c r="G15" i="5"/>
  <c r="S15" i="5" s="1"/>
  <c r="V15" i="5"/>
  <c r="U15" i="5"/>
  <c r="G6" i="1"/>
  <c r="U13" i="5"/>
  <c r="L13" i="5"/>
  <c r="I13" i="5"/>
  <c r="K13" i="5"/>
  <c r="H13" i="5"/>
  <c r="S13" i="5"/>
  <c r="V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1" i="1" l="1"/>
  <c r="L10" i="1"/>
  <c r="L13" i="1"/>
  <c r="N11" i="1"/>
  <c r="J13" i="1"/>
  <c r="J11" i="1"/>
  <c r="N13" i="1"/>
  <c r="N10" i="1"/>
  <c r="J10" i="1"/>
  <c r="N9" i="1"/>
  <c r="L12" i="1"/>
  <c r="L14" i="1"/>
  <c r="L9" i="1"/>
  <c r="J9" i="1"/>
  <c r="C7" i="1"/>
  <c r="I16" i="1"/>
  <c r="P16" i="1"/>
  <c r="J16" i="1"/>
  <c r="O16" i="1"/>
  <c r="N16" i="1"/>
  <c r="Q7" i="1" l="1"/>
  <c r="M38" i="3" s="1"/>
  <c r="L7" i="1"/>
  <c r="G38" i="3" s="1"/>
  <c r="K38" i="3"/>
  <c r="J38" i="3"/>
  <c r="K16" i="1"/>
  <c r="M1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<sst xmlns="http://schemas.openxmlformats.org/spreadsheetml/2006/main" count="354" uniqueCount="285">
  <si>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</si>
  <si>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</si>
  <si>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</si>
  <si>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</si>
  <si>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</si>
  <si>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</si>
  <si>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</si>
  <si>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</si>
  <si>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</si>
  <si>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</si>
  <si>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</si>
  <si>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</si>
  <si>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</si>
  <si>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</si>
  <si>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</si>
  <si>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</si>
  <si>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</si>
  <si>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</si>
  <si>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</si>
  <si>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</si>
  <si>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</si>
  <si>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</si>
  <si>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</si>
  <si>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</si>
  <si>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</si>
  <si>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</si>
  <si>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</si>
  <si>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</si>
  <si>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</si>
  <si>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</si>
  <si>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</si>
  <si>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</si>
  <si>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</si>
  <si>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</si>
  <si>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</si>
  <si>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</si>
  <si>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</si>
  <si>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</si>
  <si>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</si>
  <si>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</si>
  <si>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</si>
  <si>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</si>
  <si>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</si>
  <si>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</si>
  <si>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</si>
  <si>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</si>
  <si>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</si>
  <si>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</si>
  <si>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</si>
  <si>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</si>
  <si>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</si>
  <si>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</si>
  <si>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</si>
  <si>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</si>
  <si>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</si>
  <si>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</si>
  <si>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</si>
  <si>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</si>
  <si>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</si>
  <si>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</si>
  <si>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</si>
  <si>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</si>
  <si>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</si>
  <si>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</si>
  <si>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</si>
  <si>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</si>
  <si>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</si>
  <si>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</si>
  <si>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</si>
  <si>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</si>
  <si>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</si>
  <si>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</si>
  <si>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</si>
  <si>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</si>
  <si>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</si>
  <si>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</si>
  <si>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</si>
  <si>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</si>
  <si>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</si>
  <si>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</si>
  <si>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</si>
  <si>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</si>
  <si>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</si>
  <si>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</si>
  <si>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</si>
  <si>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</si>
  <si>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</si>
  <si>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</si>
  <si>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</si>
  <si>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</si>
  <si>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</si>
  <si>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</si>
  <si>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</si>
  <si>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</si>
  <si>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</si>
  <si>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</si>
  <si>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</si>
  <si>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</si>
  <si>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</si>
  <si>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</si>
  <si>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</si>
  <si>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</si>
  <si>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</si>
  <si>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</si>
  <si>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</si>
  <si>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</si>
  <si>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</si>
  <si>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</si>
  <si>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</si>
  <si>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</si>
  <si>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</si>
  <si>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</si>
  <si>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</si>
  <si>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</si>
  <si>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</si>
  <si>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</si>
  <si>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</si>
  <si>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</si>
  <si>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</si>
  <si>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</si>
  <si>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</si>
  <si>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</si>
  <si>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</si>
  <si>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</si>
  <si>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</si>
  <si>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</si>
  <si>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</si>
  <si>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</si>
  <si>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</si>
  <si>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</si>
  <si>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</si>
  <si>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</si>
  <si>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</si>
  <si>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</si>
  <si>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</si>
  <si>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</si>
  <si>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</si>
  <si>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</si>
  <si>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</si>
  <si>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</si>
  <si>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</si>
  <si>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</si>
  <si>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</si>
  <si>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</si>
  <si>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</si>
  <si>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</si>
  <si>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</si>
  <si>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</si>
  <si>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</si>
  <si>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</si>
  <si>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</si>
  <si>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</si>
  <si>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</si>
  <si>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</si>
  <si>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</si>
  <si>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</si>
  <si>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</si>
  <si>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</si>
  <si>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</si>
  <si>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</si>
  <si>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</si>
  <si>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</si>
  <si>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</si>
  <si>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</si>
  <si>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</si>
  <si>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</si>
  <si>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</si>
  <si>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</si>
  <si>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</si>
  <si>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</si>
  <si>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</si>
  <si>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</si>
  <si>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</si>
  <si>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</si>
  <si>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</si>
  <si>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</si>
  <si>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</si>
  <si>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</si>
  <si>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</si>
  <si>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</si>
  <si>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</si>
  <si>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</si>
  <si>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</si>
  <si>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</si>
  <si>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</si>
  <si>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</si>
  <si>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</si>
  <si>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</si>
  <si>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</si>
  <si>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</si>
  <si>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</si>
  <si>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</si>
  <si>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</si>
  <si>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</si>
  <si>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</si>
  <si>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</si>
  <si>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</si>
  <si>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</si>
  <si>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</si>
  <si>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</si>
  <si>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</si>
  <si>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</si>
  <si>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</si>
  <si>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</si>
  <si>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</si>
  <si>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</si>
  <si>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</si>
  <si>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</si>
  <si>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</si>
  <si>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</si>
  <si>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</si>
  <si>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</si>
  <si>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</si>
  <si>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</si>
  <si>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</si>
  <si>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</si>
  <si>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</si>
  <si>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</si>
  <si>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</si>
  <si>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</si>
  <si>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</si>
  <si>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</si>
  <si>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</si>
  <si>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</si>
  <si>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</si>
  <si>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</si>
  <si>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</si>
  <si>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</si>
  <si>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</si>
  <si>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</si>
  <si>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</si>
  <si>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</si>
  <si>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</si>
  <si>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</si>
  <si>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</si>
  <si>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</si>
  <si>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</si>
  <si>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</si>
  <si>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</si>
  <si>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</si>
  <si>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</si>
  <si>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</si>
  <si>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</si>
  <si>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</si>
  <si>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</si>
  <si>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</si>
  <si>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</si>
  <si>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</si>
  <si>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</si>
  <si>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</si>
  <si>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</si>
  <si>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</si>
  <si>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</si>
  <si>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</si>
  <si>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</si>
  <si>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</si>
  <si>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</si>
  <si>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</si>
  <si>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</si>
  <si>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</si>
  <si>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</si>
  <si>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</si>
  <si>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</si>
  <si>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</si>
  <si>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</si>
  <si>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</si>
  <si>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</si>
  <si>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</si>
  <si>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</si>
  <si>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</si>
  <si>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</si>
  <si>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varchar(50)</t>
  </si>
  <si>
    <t>IS_START</t>
  </si>
  <si>
    <t>Assy.Andon</t>
  </si>
  <si>
    <t>Assy</t>
  </si>
  <si>
    <t>APlanShiftBase</t>
  </si>
  <si>
    <t>WORKING_DATE</t>
  </si>
  <si>
    <t>PROD_LINE</t>
  </si>
  <si>
    <t>SHIFT1</t>
  </si>
  <si>
    <t>SHIFT2</t>
  </si>
  <si>
    <t>SHIFT3</t>
  </si>
  <si>
    <t>IS_ACTIVE</t>
  </si>
  <si>
    <t>varchar(1)</t>
  </si>
  <si>
    <t>Assembly Andon A Plan Shift</t>
  </si>
  <si>
    <t>AsyAdoAPlanShift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</si>
</sst>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19" workbookViewId="0">
      <selection activeCell="F26" sqref="F2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vovina.Assy.Andon
{
	[Table("AsyAdoAPlanShift")]
	[Index(nameof(ProdLine), Name="IX_AsyAdoAPlanShift_ProdLine")]
	[Index(nameof(Shift1), Name="IX_AsyAdoAPlanShift_Shift1")]
	[Index(nameof(Shift3), Name="IX_AsyAdoAPlanShift_Shift3")]
	public class AsyAdoAPlanShift: FullAuditedEntity&lt;long&gt;, IEntity&lt;long&gt;	
	{
		public const int MaxProdLineLength = 50;
		public const int MaxIsActiveLength = 1;
		[Column(TypeName="date")]
		public virtual DateTime WorkingDate { get; set; }
		[StringLength(MaxProdLineLength)]
		public virtual string ProdLine { get; set; }
		public virtual int Shift1 { get; set; }
		public virtual int Shift2 { get; set; }
		public virtual int Shift3 { get; set; }
		[StringLength(MaxIsActiveLength)]
		public virtual string IsActive { get; set; }
	}
}
</v>
      </c>
      <c r="D38" s="51" t="str">
        <f>A.Backend!O7</f>
        <v xml:space="preserve">		public const string Pages_Assy_Andon_APlanShiftBase = "Pages.Assy.Andon.APlanShiftBase";
		public const string Pages_Assy_Andon_APlanShiftBase_CreateEdit = "Pages.Assy.Andon.APlanShiftBase.CreateEdit";
		public const string Pages_Assy_Andon_APlanShiftBase_Delete = "Pages.Assy.Andon.APlanShiftBase.Delete";
</v>
      </c>
      <c r="E38" s="51" t="str">
        <f>A.Backend!N7</f>
        <v xml:space="preserve">		var perAsyAdoAPlanShift = PARENTS.CreateChildPermission(AppPermissions.Pages_Assy_Andon_APlanShiftBase, L( "AssyAndonAPlanShiftBase"));
		perAsyAdoAPlanShift.CreateChildPermission(AppPermissions.Pages_Assy_Andon_APlanShiftBase_CreateEdit, L( "AssyAndonAPlanShiftBaseCreateEdit"));
		perAsyAdoAPlanShift.CreateChildPermission(AppPermissions.Pages_Assy_Andon_APlanShiftBase_Delete, L( "AssyAndonAPlanShiftBaseDelete"));</v>
      </c>
      <c r="F38" s="51" t="str">
        <f>A.Backend!K7</f>
        <v>public virtual DbSet&lt;AsyAdoAPlanShift&gt; AsyAdoAPlanShifts { get; set; }</v>
      </c>
      <c r="G38" s="51" t="str">
        <f ca="1">A.Backend!L7</f>
        <v xml:space="preserve">namespace vovina.Assy.Andon
{
	public class AsyAdoAPlanShiftConsts	
	{
		public const int MaxProdLineLength = 50;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vovina.Assy.Andon.Dto
{
	public class AsyAdoAPlanShiftDto : EntityDto&lt;long?&gt;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	public class CreateOrEditAsyAdoAPlanShiftDto : EntityDto&lt;long?&gt;	
	{
		public virtual DateTime? WorkingDate { get; set; }
		[StringLength(AsyAdoAPlanShiftConsts.MaxProdLineLength)]
		public virtual string ProdLine { get; set; }
		public virtual int Shift1 { get; set; }
		public virtual int Shift2 { get; set; }
		public virtual int Shift3 { get; set; }
		[StringLength(AsyAdoAPlanShiftConsts.MaxIsActiveLength)]
		public virtual string IsActive { get; set; }
	}
	public class GetAsyAdoAPlanShiftInput : PagedAndSortedResultRequestDto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vovina.Assy.Andon.Dto
{
	public class AsyAdoAPlanShiftExportInput{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vovina.Assy.Andon.Dto;
namespace vovina.Assy.Andon
{
	public interface IAsyAdoAPlanShiftAppService : IApplicationService
	{
		Task&lt;PagedResultDto&lt;AsyAdoAPlanShiftDto&gt;&gt; GetAll(GetAsyAdoAPlanShiftInput input);
		Task CreateOrEdit(CreateOrEditAsyAdoAPlanShiftDto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IAsyAdoAPlanShiftExcelExporter : IApplicationService
	{
		FileDto ExportToFile(List&lt;AsyAdoAPlanShiftDto&gt; asyadoaplanshift);
	}
}
</v>
      </c>
      <c r="L38" s="51" t="str">
        <f ca="1">A.Backend!T7</f>
        <v>using System.Collections.Generic;
using vovina.DataExporting.Excel.NPOI;
using vovina.Dto;
using vovina.Assy.Andon.Exporting;
using vovina.Assy.Andon.Dto;
using vovina.Storage;
using vovina.Assy.Andon.Dto;
namespace vovina.Assy.Andon.Exporting
{
    public class AsyAdoAPlanShiftExcelExporter : NpoiExcelExporterBase, IAsyAdoAPlanShiftExcelExporter
    {
        public AsyAdoAPlanShiftExcelExporter(ITempFileCacheManager tempFileCacheManager) : base(tempFileCacheManager) { }
        public FileDto ExportToFile(List&lt;AsyAdoAPlanShiftDto&gt; aplanshiftbase)
        {
            return CreateExcelPackage(
				"AssyAndonAPlanShiftBase.xlsx",
				excelPackage =&gt;
				 {
					var sheet = excelPackage.CreateSheet("APlanShiftBase");
					AddHeader(
								sheet,
								("WorkingDate"),
								("ProdLine"),
								("Shift1"),
								("Shift2"),
								("Shift3"),
								("IsActive"),
							   );
					AddObjects(
						 sheet, 1, aplanshiftbase,                                       
								_ =&gt; _.WorkingDate,
								_ =&gt; _.ProdLine,
								_ =&gt; _.Shift1,
								_ =&gt; _.Shift2,
								_ =&gt; _.Shift3,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vovina.Assy.Andon.Dto;
using vovina.Assy.Andon.Exporting;
namespace vovina.Assy.Andon
{
    [AbpAuthorize(AppPermissions.Pages_Assy_Andon_APlanShiftBase)]
    public class AsyAdoAPlanShiftAppService : vovinaAppServiceBase, IAsyAdoAPlanShiftAppService
    {
        private readonly IDapperRepository&lt;AsyAdoAPlanShift, long&gt; _dapperRepo;
        private readonly IRepository&lt;AsyAdoAPlanShift, long&gt; _repo;
        private readonly IAsyAdoAPlanShiftExcelExporter _calendarListExcelExporter;
        public AsyAdoAPlanShiftAppService(IRepository&lt;AsyAdoAPlanShift,long&gt; repo, 
                                         IDapperRepository&lt;AsyAdoAPlanShift,long&gt; dapperRepo,
                                        IAsyAdoAPlanShiftExcelExporter calendarListExcelExporter
            )
        {
            _repo = repo;
            _dapperRepo = dapperRepo;
            _calendarListExcelExporter = calendarListExcelExporter;
        }
        [AbpAuthorize(AppPermissions.Pages_Assy_Andon_APlanShiftBase_CreateEdit)]
        public async Task CreateOrEdit(CreateOrEditAsyAdoAPlanShiftDto input)
        {
            if (input.Id == null) await Create(input);
            else await Update(input);
        }
        //CREATE
        private async Task Create(CreateOrEditAsyAdoAPlanShiftDto input)
        {          
            var mainObj = ObjectMapper.Map&lt;AsyAdoAPlanShift&gt;(input);
            await CurrentUnitOfWork.GetDbContext&lt;vovinaDbContext&gt;().AddAsync(mainObj);
        }
        // EDIT
        private async Task Update(CreateOrEditAsyAdoAPlanShiftDto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[AbpAuthorize(AppPermissions.Pages_Assy_Andon_APlanShiftBase_Delete)]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Task&lt;PagedResultDto&lt;AsyAdoAPlanShiftDto&gt;&gt; GetAll(GetAsyAdoAPlanShiftInput input)
        {
            var filtered = _repo.GetAll()
				.WhereIf(input.WorkingDate.HasValue, t =&gt; t.WorkingDate == input.WorkingDate.Value)
				.WhereIf(!string.IsNullOrWhiteSpace(input.ProdLine), e =&gt; e.ProdLine.Contains(input.ProdLine))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AsyAdoAPlanShiftDto
                        {
							Id = o.Id,
							WorkingDate = o.WorkingDate,
							ProdLine = o.ProdLine,
							Shift1 = o.Shift1,
							Shift2 = o.Shift2,
							Shift3 = o.Shift3,
							IsActive = o.IsActive,
                        };
            var totalCount = await filtered.CountAsync();
			var paged = system.PageBy(input);
            return new PagedResultDto&lt;AsyAdoAPlanShiftDto&gt;(
                totalCount,
                 await paged.ToListAsync()
            );
        }
        public async Task&lt;FileDto&gt; GetAPlanShiftBaseToExcel(AsyAdoAPlanShiftExportInput input)
        {
            var query = from o in _repo.GetAll()
                        select new AsyAdoAPlanShiftDto
                        {
							Id = o.Id,
							WorkingDate = o.WorkingDate,
							ProdLine = o.ProdLine,
							Shift1 = o.Shift1,
							Shift2 = o.Shift2,
							Shift3 = o.Shift3,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_dapperRepo.ExecuteAsync(AsyAdoAPlanShiftConsts.SP_MST_WPT_CALENDAR_GENERATE);
       // }
    }
}</v>
      </c>
      <c r="N38" s="62" t="str">
        <f>A.Backend!U7</f>
        <v xml:space="preserve">  configuration.CreateMap&lt;AsyAdoAPlanShiftDto, AsyAdoAPlanShift&gt;();
  configuration.CreateMap&lt;AsyAdoAPlanShift, AsyAdoAPlanShiftDto&gt;();
  configuration.CreateMap&lt;CreateOrEditAsyAdoAPlanShiftDto, AsyAdoAPlanShift&gt;();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aplanshiftbase</v>
      </c>
      <c r="C43" s="72" t="str">
        <f>"create folder " &amp;B43</f>
        <v>create folder aplanshiftbase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aplanshiftbase.component.ts</v>
      </c>
      <c r="D44" s="31" t="str">
        <f>B.Frontend!I14</f>
        <v>aplanshiftbase.component.html</v>
      </c>
      <c r="E44" s="31" t="str">
        <f>B.Frontend!J14</f>
        <v>aplanshiftbase.component.less</v>
      </c>
      <c r="F44" s="31" t="str">
        <f>B.Frontend!K14</f>
        <v>create-or-edit-aplanshiftbase-modal.component.html</v>
      </c>
      <c r="G44" s="31" t="str">
        <f>B.Frontend!L14</f>
        <v>create-or-edit-aplanshiftbase-modal.component.ts</v>
      </c>
      <c r="H44" s="31" t="str">
        <f>B.Frontend!M14</f>
        <v>create-or-edit-aplanshiftbase-modal.component.less</v>
      </c>
      <c r="I44" s="31" t="str">
        <f>B.Frontend!N14</f>
        <v>aplanshiftbase.module.ts</v>
      </c>
      <c r="J44" s="31" t="str">
        <f>B.Frontend!O14</f>
        <v>aplanshiftbase-routing.module.ts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AsyAdoAPlanShiftDto, AsyAdoAPlanShiftServiceProxy } from '@shared/service-proxies/service-proxies';
import { finalize } from 'rxjs/internal/operators/finalize';
import { CreateOrEditAPlanShiftBaseModalComponent } from './create-or-edit-aplanshiftbase-modal.component';
import { DatePipe } from '@angular/common';
import { FileDownloadService } from '@shared/utils/file-download.service';
import ceil from 'lodash-es/ceil';
import { Paginator } from 'primeng/paginator';
@Component({
    templateUrl: './aplanshiftbase.component.html',
    styleUrls: ['./aplanshiftbase.component.less'],
})
export class APlanShiftBaseComponent extends AppComponentBase implements OnInit {
    @ViewChild('createOrEditModalAPlanShiftBase', { static: true }) createOrEditModalAPlanShiftBase:| CreateOrEditAPlanShiftBaseModalComponent|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AsyAdoAPlanShiftDto = new AsyAdoAPlanShiftDto();
    saveSelectedRow: AsyAdoAPlanShiftDto = new AsyAdoAPlanShiftDto();
    datas: AsyAdoAPlanShiftDto = new AsyAdoAPlanShiftDto();
    isLoading: boolean = false;
    dataParams: GridParams | undefined;
    rowData: any[] = [];
    gridApi!: GridApi;
    rowSelection = 'multiple';
    filter: string = '';
	pipe = new DatePipe('en-US');
	frameworkComponents: FrameworkComponent;
    workingDate : any ;
	prodLine : string = '' ; 
	shift1 : number = 0 ;
	shift2 : number = 0 ;
	shift3 : number = 0 ;
	isStart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AsyAdoAPlanShiftServiceProxy,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'workingDate',valueGetter: (params) =&gt; this.pipe.transform(params.data?.workingDate, 'dd/MM/yyyy'),flex: 1},
			{headerName: this.l('Prod Line'),headerTooltip: this.l('Prod Line'),field: 'prodLine',flex: 1},
			{headerName: this.l('Shift1'),headerTooltip: this.l('Shift1'),field: 'shift1',flex: 1},
			{headerName: this.l('Shift2'),headerTooltip: this.l('Shift2'),field: 'shift2',flex: 1},
			{headerName: this.l('Shift3'),headerTooltip: this.l('Shift3'),field: 'shift3',flex: 1},
			{headerName: this.l('Is Start'),headerTooltip: this.l('Is Start'),field:  'isStart', cellClass: ['text-center'], width: 120, cellRenderer: 'agCellButtonComponent',
buttonDefTwo: { text: params =&gt; (params.data?.'isStart' == 'Y') ? 'Active' : 'Inactive',iconName: 'fa fa-circle',className: params =&gt; (params.data?.'isStart'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this.prodLine,
			this.shift1,
			this.shift2,
			this.shift3,
			this.isStart,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this.workingDate = '',
		this.prodLine = '',
		this.shift1 = 0,
		this.shift2 = 0,
		this.shift3 = 0,
		this.isStart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this.prodLine,
			this.shift1,
			this.shift2,
			this.shift3,
			this.isStart,
			'',
            this.paginationParams.skipCount,
            this.paginationParams.pageSize
        );
    }
    onChangeRowSelection(params: { api: { getSelectedRows: () =&gt; AsyAdoAPlanShiftDto[] } }) {
        this.saveSelectedRow = params.api.getSelectedRows()[0] ?? new AsyAdoAPlanShiftDto();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AsyAdoAPlanShiftDto):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this._service.getAPlanShiftBaseToExcel(
			this.workingDate,
			this.prodLine,
			this.shift1,
			this.shift2,
			this.shift3,
			this.isStart,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Assembly Andon A Plan Shift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[(ngModel)]='isStart' name='isStart'
									class='form-control' [placeholder]="l('Is Start')"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(click)="createOrEditModalAPlanShiftBase.show()"&gt;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(click)="createOrEditModalAPlanShiftBase.show(selectedRow)"&gt;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&lt;create-or-edit-aplanshiftbase-modal
    #createOrEditModalAPlanShiftBase
    (modalSave)="callBackDataGrid(dataParams)"
    (modalClose)="onChangeRowSelection(dataParams)"
&gt;
&lt;/create-or-edit-aplanshiftbase-modal&gt;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#createOrEditModalAPlanShiftBase="bs-modal"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APlanShiftBase')}}&lt;/h3&gt;
                    &lt;h3 *ngIf="!rowdata.id"&gt;{{('Create New APlanShiftBase')}}&lt;/h3&gt;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title'&gt;Shift1&lt;/label&gt;
						&lt;input type='number' class='col-md-10 form-control input-text' name='Shift1' [(ngModel)]='rowdata.shift1'&gt;
					&lt;/div&gt;
					&lt;div class='col-md-12 form-group row'&gt;
						&lt;label class='col-md-2 form-control title'&gt;Shift2&lt;/label&gt;
						&lt;input type='number' class='col-md-10 form-control input-text' name='Shift2' [(ngModel)]='rowdata.shift2'&gt;
					&lt;/div&gt;
					&lt;div class='col-md-12 form-group row'&gt;
						&lt;label class='col-md-2 form-control title'&gt;Shift3&lt;/label&gt;
						&lt;input type='number' class='col-md-10 form-control input-text' name='Shift3' [(ngModel)]='rowdata.shift3'&gt;
					&lt;/div&gt;
					&lt;div class='col-md-12 form-group row'&gt;
						&lt;label class='col-md-2 form-control title'&gt;Is Start&lt;/label&gt;
						&lt;new-checkbox [(ngModel)]='_isStart' name='isStart'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CreateOrEditAsyAdoAPlanShiftDto, AsyAdoAPlanShiftServiceProxy } from '@shared/service-proxies/service-proxies';
import { BsDatepickerDirective } from 'ngx-bootstrap/datepicker';
@Component({
    selector: 'create-or-edit-aplanshiftbase-modal',
    templateUrl: './create-or-edit-aplanshiftbase-modal.component.html',
    styleUrls: ['./create-or-edit-aplanshiftbase-modal.component.less']
    })
export class CreateOrEditAPlanShiftBaseModalComponent extends AppComponentBase {
    @ViewChild('createOrEditModalAPlanShiftBase',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CreateOrEditAsyAdoAPlanShiftDto = new CreateOrEditAsyAdoAPlanShiftDto();
    active: boolean = false;
    saving: boolean = false;
    _isStart: boolean;
    constructor(
        injector: Injector,
        private _mstwptAPlanShiftBaseService: AsyAdoAPlanShiftServiceProxy,
    ) 
    {
        super(injector);
    }
    show(rowdata?: CreateOrEditAsyAdoAPlanShiftDto): void {
        if (!rowdata) this.rowdata = new CreateOrEditAsyAdoAPlanShiftDto();
        else this.rowdata = rowdata;
		const dateValue =  this.rowdata.workingDate ? new Date(this.rowdata.workingDate?.toString()) : new Date();
		this.datepicker?.bsValueChange.emit(dateValue);
        this._isStart = (this.rowdata.isStart == "N")? false: true;
        this.active = true;
        this.modal.show();
    } 
    changeActive(event){
        this._isStart = event.target.checked;
    }
    save(): void {
    this.saving = true; 
    this.rowdata.isStart = (this._isStart == true) ? 'Y' : 'N'
    this._mstwptAPlanShiftBaseService.createOrEdit(this.rowdata)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APlanShiftBaseRoutingModule } from './aplanshiftbase-routing.module';
import { APlanShiftBaseComponent } from './aplanshiftbase.component';
import { CreateOrEditAPlanShiftBaseModalComponent } from './create-or-edit-aplanshiftbase-modal.component';
@NgModule({
    declarations: [
       APlanShiftBaseComponent, 
        CreateOrEditAPlanShiftBaseModalComponent
    ],
    imports: [
        AppSharedModule, APlanShiftBaseRoutingModule]
})
export class APlanShiftBaseModule {}</v>
      </c>
      <c r="J45" s="49" t="str">
        <f>B.Frontend!O10</f>
        <v>import {NgModule} from '@angular/core';
import {RouterModule, Routes} from '@angular/router';
import { APlanShiftBaseComponent } from './aplanshiftbase.component';
const routes: Routes = [{
    path: '',
    component: APlanShiftBaseComponent,
    pathMatch: 'full'
}];
@NgModule({
    imports: [RouterModule.forChild(routes)],
    exports: [RouterModule],
})
export class APlanShiftBaseRoutingModule {}</v>
      </c>
      <c r="K45" s="49" t="str">
        <f>B.Frontend!P10</f>
        <v xml:space="preserve"> new AppMenuItem("APlanShiftBase", "Pages.Assy.Andon.APlanShiftBase", "flaticon-book",   "/app/main/assy/andon/aplanshiftbase"),</v>
      </c>
      <c r="L45" s="50" t="str">
        <f>B.Frontend!Q10</f>
        <v>{
    path: 'assy/andon/aplanshiftbase',
    loadChildren: () =&gt; import('./assy/andon/aplanshiftbase/aplanshiftbase.module').then(m =&gt; m.APlanShiftBaseModule),
    data: { permission: 'Pages.Assy.Andon.APlanShiftBase' }
},</v>
      </c>
      <c r="M45" s="48" t="str">
        <f>B.Frontend!R10</f>
        <v>ApiServiceProxies.AsyAdoAPlanShiftServiceProxy,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K7" sqref="K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vovina.Assy.Andon.Dto;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284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AsyAdoAPlanShiftExportInput{
</v>
      </c>
      <c r="S3" s="11" t="str">
        <f>"namespace "&amp;$B$6&amp;".Exporting
"&amp;$C$3</f>
        <v xml:space="preserve">namespace vovina.Assy.Andon.Exporting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274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275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vovina.Assy.Andon</v>
      </c>
      <c r="C6" s="11" t="str">
        <f>"namespace "&amp;$B$6&amp;"
"&amp;$C$3</f>
        <v xml:space="preserve">namespace vovina.Assy.Andon
{
</v>
      </c>
      <c r="D6" s="11" t="str">
        <f>REPT(CHAR(9),1)&amp;"public class "&amp;B3&amp;G3&amp;REPT(CHAR(9),1)&amp;"
"&amp;REPT(CHAR(9),1)&amp;C3</f>
        <v xml:space="preserve">	public class AsyAdoAPlanShift: FullAuditedEntity&lt;long&gt;, IEntity&lt;long&gt;	
	{
</v>
      </c>
      <c r="E6" s="11" t="str">
        <f>REPT(CHAR(9),1)&amp;"public class "&amp;B3&amp;"Consts"&amp;REPT(CHAR(9),1)&amp;"
"&amp;REPT(CHAR(9),1)&amp;C3</f>
        <v xml:space="preserve">	public class AsyAdoAPlanShiftConsts	
	{
</v>
      </c>
      <c r="F6" s="11" t="str">
        <f>REPT(CHAR(9),1)&amp;"public class "&amp;B3&amp;"Dto"&amp;K3&amp;REPT(CHAR(9),1)&amp;"
"&amp;REPT(CHAR(9),1)&amp;C3</f>
        <v xml:space="preserve">	public class AsyAdoAPlanShiftDto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CreateOrEditAsyAdoAPlanShiftDto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GetAsyAdoAPlanShiftInput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AsyAdoAPlanShift</v>
      </c>
      <c r="C7" s="11" t="str">
        <f>REPT(CHAR(9),1)&amp;"[Table("""&amp;B7&amp;""")]"&amp;"
"</f>
        <v xml:space="preserve">	[Table("AsyAdoAPlanShift")]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vovina.Assy.Andon
{
	[Table("AsyAdoAPlanShift")]
	[Index(nameof(ProdLine), Name="IX_AsyAdoAPlanShift_ProdLine")]
	[Index(nameof(Shift1), Name="IX_AsyAdoAPlanShift_Shift1")]
	[Index(nameof(Shift3), Name="IX_AsyAdoAPlanShift_Shift3")]
	public class AsyAdoAPlanShift: FullAuditedEntity&lt;long&gt;, IEntity&lt;long&gt;	
	{
		public const int MaxProdLineLength = 50;
		public const int MaxIsActiveLength = 1;
		[Column(TypeName="date")]
		public virtual DateTime WorkingDate { get; set; }
		[StringLength(MaxProdLineLength)]
		public virtual string ProdLine { get; set; }
		public virtual int Shift1 { get; set; }
		public virtual int Shift2 { get; set; }
		public virtual int Shift3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DbSet&lt;AsyAdoAPlanShift&gt; AsyAdoAPlanShifts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vovina.Assy.Andon
{
	public class AsyAdoAPlanShiftConsts	
	{
		public const int MaxProdLineLength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vovina.Assy.Andon.Dto
{
	public class AsyAdoAPlanShiftDto : EntityDto&lt;long?&gt;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	public class CreateOrEditAsyAdoAPlanShiftDto : EntityDto&lt;long?&gt;	
	{
		public virtual DateTime? WorkingDate { get; set; }
		[StringLength(AsyAdoAPlanShiftConsts.MaxProdLineLength)]
		public virtual string ProdLine { get; set; }
		public virtual int Shift1 { get; set; }
		public virtual int Shift2 { get; set; }
		public virtual int Shift3 { get; set; }
		[StringLength(AsyAdoAPlanShiftConsts.MaxIsActiveLength)]
		public virtual string IsActive { get; set; }
	}
	public class GetAsyAdoAPlanShiftInput : PagedAndSortedResultRequestDto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perAsyAdoAPlanShift = PARENTS.CreateChildPermission(AppPermissions.Pages_Assy_Andon_APlanShiftBase, L( "AssyAndonAPlanShiftBase"));
		perAsyAdoAPlanShift.CreateChildPermission(AppPermissions.Pages_Assy_Andon_APlanShiftBase_CreateEdit, L( "AssyAndonAPlanShiftBaseCreateEdit"));
		perAsyAdoAPlanShift.CreateChildPermission(AppPermissions.Pages_Assy_Andon_APlanShiftBase_Delete, L( "AssyAndonAPlanShiftBaseDelete"));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Pages_Assy_Andon_APlanShiftBase = "Pages.Assy.Andon.APlanShiftBase";
		public const string Pages_Assy_Andon_APlanShiftBase_CreateEdit = "Pages.Assy.Andon.APlanShiftBase.CreateEdit";
		public const string Pages_Assy_Andon_APlanShiftBase_Delete = "Pages.Assy.Andon.APlanShiftBase.Delete";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
{
	public interface IAsyAdoAPlanShiftAppService : IApplicationService
	{
		Task&lt;PagedResultDto&lt;AsyAdoAPlanShiftDto&gt;&gt; GetAll(GetAsyAdoAPlanShiftInput input);
		Task CreateOrEdit(CreateOrEditAsyAdoAPlanShiftDto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vovina.Assy.Andon.Dto;
using vovina.Assy.Andon.Exporting;
namespace vovina.Assy.Andon
{
    [AbpAuthorize(AppPermissions.Pages_Assy_Andon_APlanShiftBase)]
    public class AsyAdoAPlanShiftAppService : vovinaAppServiceBase, IAsyAdoAPlanShiftAppService
    {
        private readonly IDapperRepository&lt;AsyAdoAPlanShift, long&gt; _dapperRepo;
        private readonly IRepository&lt;AsyAdoAPlanShift, long&gt; _repo;
        private readonly IAsyAdoAPlanShiftExcelExporter _calendarListExcelExporter;
        public AsyAdoAPlanShiftAppService(IRepository&lt;AsyAdoAPlanShift,long&gt; repo, 
                                         IDapperRepository&lt;AsyAdoAPlanShift,long&gt; dapperRepo,
                                        IAsyAdoAPlanShiftExcelExporter calendarListExcelExporter
            )
        {
            _repo = repo;
            _dapperRepo = dapperRepo;
            _calendarListExcelExporter = calendarListExcelExporter;
        }
        [AbpAuthorize(AppPermissions.Pages_Assy_Andon_APlanShiftBase_CreateEdit)]
        public async Task CreateOrEdit(CreateOrEditAsyAdoAPlanShiftDto input)
        {
            if (input.Id == null) await Create(input);
            else await Update(input);
        }
        //CREATE
        private async Task Create(CreateOrEditAsyAdoAPlanShiftDto input)
        {          
            var mainObj = ObjectMapper.Map&lt;AsyAdoAPlanShift&gt;(input);
            await CurrentUnitOfWork.GetDbContext&lt;vovinaDbContext&gt;().AddAsync(mainObj);
        }
        // EDIT
        private async Task Update(CreateOrEditAsyAdoAPlanShiftDto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[AbpAuthorize(AppPermissions.Pages_Assy_Andon_APlanShiftBase_Delete)]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Task&lt;PagedResultDto&lt;AsyAdoAPlanShiftDto&gt;&gt; GetAll(GetAsyAdoAPlanShiftInput input)
        {
            var filtered = _repo.GetAll()
				.WhereIf(input.WorkingDate.HasValue, t =&gt; t.WorkingDate == input.WorkingDate.Value)
				.WhereIf(!string.IsNullOrWhiteSpace(input.ProdLine), e =&gt; e.ProdLine.Contains(input.ProdLine))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AsyAdoAPlanShiftDto
                        {
							Id = o.Id,
							WorkingDate = o.WorkingDate,
							ProdLine = o.ProdLine,
							Shift1 = o.Shift1,
							Shift2 = o.Shift2,
							Shift3 = o.Shift3,
							IsActive = o.IsActive,
                        };
            var totalCount = await filtered.CountAsync();
			var paged = system.PageBy(input);
            return new PagedResultDto&lt;AsyAdoAPlanShiftDto&gt;(
                totalCount,
                 await paged.ToListAsync()
            );
        }
        public async Task&lt;FileDto&gt; GetAPlanShiftBaseToExcel(AsyAdoAPlanShiftExportInput input)
        {
            var query = from o in _repo.GetAll()
                        select new AsyAdoAPlanShiftDto
                        {
							Id = o.Id,
							WorkingDate = o.WorkingDate,
							ProdLine = o.ProdLine,
							Shift1 = o.Shift1,
							Shift2 = o.Shift2,
							Shift3 = o.Shift3,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_dapperRepo.ExecuteAsync(AsyAdoAPlanShiftConsts.SP_MST_WPT_CALENDAR_GENERATE);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vovina.Assy.Andon.Dto
{
	public class AsyAdoAPlanShiftExportInput{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IAsyAdoAPlanShiftExcelExporter : IApplicationService
	{
		FileDto ExportToFile(List&lt;AsyAdoAPlanShiftDto&gt; asyadoaplanshift);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vovina.Assy.Andon.Exporting;
using vovina.Assy.Andon.Dto;
using vovina.Storage;
using vovina.Assy.Andon.Dto;
namespace vovina.Assy.Andon.Exporting
{
    public class AsyAdoAPlanShiftExcelExporter : NpoiExcelExporterBase, IAsyAdoAPlanShiftExcelExporter
    {
        public AsyAdoAPlanShiftExcelExporter(ITempFileCacheManager tempFileCacheManager) : base(tempFileCacheManager) { }
        public FileDto ExportToFile(List&lt;AsyAdoAPlanShiftDto&gt; aplanshiftbase)
        {
            return CreateExcelPackage(
				"AssyAndonAPlanShiftBase.xlsx",
				excelPackage =&gt;
				 {
					var sheet = excelPackage.CreateSheet("APlanShiftBase");
					AddHeader(
								sheet,
								("WorkingDate"),
								("ProdLine"),
								("Shift1"),
								("Shift2"),
								("Shift3"),
								("IsActive"),
							   );
					AddObjects(
						 sheet, 1, aplanshiftbase,                                       
								_ =&gt; _.WorkingDate,
								_ =&gt; _.ProdLine,
								_ =&gt; _.Shift1,
								_ =&gt; _.Shift2,
								_ =&gt; _.Shift3,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configuration.CreateMap&lt;AsyAdoAPlanShiftDto, AsyAdoAPlanShift&gt;();
  configuration.CreateMap&lt;AsyAdoAPlanShift, AsyAdoAPlanShiftDto&gt;();
  configuration.CreateMap&lt;CreateOrEditAsyAdoAPlanShiftDto, AsyAdoAPlanShift&gt;();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276</v>
      </c>
      <c r="B9" t="s">
        <v>2</v>
      </c>
      <c r="C9" t="s">
        <v>1</v>
      </c>
      <c r="D9" t="str">
        <f>SUBSTITUTE(PROPER(A9),"_","")</f>
        <v>WorkingDate</v>
      </c>
      <c r="E9" t="str">
        <f t="shared" ref="E9" si="0">IFERROR(LEFT(B9, FIND("(",B9)-1),B9)</f>
        <v>date</v>
      </c>
      <c r="F9" s="7" t="s">
        <v>2</v>
      </c>
      <c r="G9" t="str">
        <f t="shared" ref="G9" si="1">IFERROR(MID(B9,FIND("(",B9) +1, FIND(")",B9) - FIND("(",B9) - 1),"")</f>
        <v/>
      </c>
      <c r="H9" t="str">
        <f>+VLOOKUP(E9,'Data Type Mapping'!A:B,2,)</f>
        <v>DateTime</v>
      </c>
      <c r="I9" t="str">
        <f t="shared" ref="I9" si="2">IF(H9="string",REPT(CHAR(9),2)&amp;"public const int Max"&amp;D9&amp;"Length = "&amp;G9&amp;";"&amp;$E$3,"" )</f>
        <v/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[Column(TypeName="date")]
		public virtual DateTime WorkingDate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DateTime? WorkingDate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DateTime? WorkingDate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DateTime? WorkingDate { get; set; }
</v>
      </c>
      <c r="P9" t="str">
        <f t="shared" ref="P9" si="4">REPT(CHAR(9),7)&amp;D9&amp;" = o." &amp;D9 &amp;","</f>
        <v xml:space="preserve">							WorkingDate = o.WorkingDate,</v>
      </c>
      <c r="T9" s="69" t="str">
        <f>REPT(CHAR(9),8)&amp;"("""&amp;D9&amp;"""),"</f>
        <v xml:space="preserve">								("WorkingDate"),</v>
      </c>
      <c r="V9" s="70" t="str">
        <f>REPT(CHAR(9),8)&amp;"_ =&gt; _."&amp;D9&amp;","</f>
        <v xml:space="preserve">								_ =&gt; _.WorkingDate,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.WhereIf(input.WorkingDate.HasValue, t =&gt; t.WorkingDate == input.WorkingDate.Value)</v>
      </c>
    </row>
    <row r="10" spans="1:23" customFormat="1" ht="21" customHeight="1" x14ac:dyDescent="0.25">
      <c r="A10" t="s">
        <v>277</v>
      </c>
      <c r="B10" t="s">
        <v>271</v>
      </c>
      <c r="C10" t="s">
        <v>1</v>
      </c>
      <c r="D10" t="str">
        <f t="shared" ref="D10:D11" si="5">SUBSTITUTE(PROPER(A10),"_","")</f>
        <v>ProdLine</v>
      </c>
      <c r="E10" t="str">
        <f t="shared" ref="E10:E14" si="6">IFERROR(LEFT(B10, FIND("(",B10)-1),B10)</f>
        <v>varchar</v>
      </c>
      <c r="F10" s="7"/>
      <c r="G10" t="str">
        <f t="shared" ref="G10:G14" si="7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4" si="8">IF(H10="string",REPT(CHAR(9),2)&amp;"public const int Max"&amp;D10&amp;"Length = "&amp;G10&amp;";"&amp;$E$3,"" )</f>
        <v xml:space="preserve">		public const int MaxProdLineLength = 50;
</v>
      </c>
      <c r="J10" t="str">
        <f t="shared" ref="J10:J14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[StringLength(MaxProdLineLength)]
		public virtual string ProdLine { get; set; }
</v>
      </c>
      <c r="K10" s="7" t="s">
        <v>206</v>
      </c>
      <c r="L10" t="str">
        <f t="shared" ref="L10:L11" si="10">IF(K10="","",REPT(CHAR(9),1)&amp;"[Index(nameof("&amp;IF(D10="","",""&amp;D10)&amp;")"&amp;", Name="&amp;"""IX_"&amp;$B$7&amp;"_"&amp;D10&amp;""")]")</f>
        <v xml:space="preserve">	[Index(nameof(ProdLine), Name="IX_AsyAdoAPlanShift_ProdLine")]</v>
      </c>
      <c r="M10" t="str">
        <f t="shared" ref="M10:M14" si="11">REPT(CHAR(9),2)&amp;"public virtual "&amp;IF(OR(H10="DateTime",H10="TimeSpan"),H10&amp;"?",H10)&amp;IF(C10="?","? "," ")&amp;D10&amp;" { get; set; }" &amp; "
"</f>
        <v xml:space="preserve">		public virtual string ProdLine { get; set; }
</v>
      </c>
      <c r="N10" t="str">
        <f t="shared" ref="N10:N14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[StringLength(AsyAdoAPlanShiftConsts.MaxProdLineLength)]
		public virtual string ProdLine { get; set; }
</v>
      </c>
      <c r="O10" t="str">
        <f t="shared" ref="O10:O14" si="13">IF(OR(H10="string",H10="DateTime",H10="int"),REPT(CHAR(9),2)&amp;"public virtual "&amp;IF(OR(H10="DateTime",H10="TimeSpan"),H10&amp;"?",H10)&amp;IF(C10="?","? "," ")&amp;D10&amp;" { get; set; }"&amp;$E$3,"")</f>
        <v xml:space="preserve">		public virtual string ProdLine { get; set; }
</v>
      </c>
      <c r="P10" t="str">
        <f t="shared" ref="P10:P14" si="14">REPT(CHAR(9),7)&amp;D10&amp;" = o." &amp;D10 &amp;","</f>
        <v xml:space="preserve">							ProdLine = o.ProdLine,</v>
      </c>
      <c r="T10" s="69" t="str">
        <f t="shared" ref="T10:T14" si="15">REPT(CHAR(9),8)&amp;"("""&amp;D10&amp;"""),"</f>
        <v xml:space="preserve">								("ProdLine"),</v>
      </c>
      <c r="V10" s="70" t="str">
        <f t="shared" ref="V10:V14" si="16">REPT(CHAR(9),8)&amp;"_ =&gt; _."&amp;D10&amp;","</f>
        <v xml:space="preserve">								_ =&gt; _.ProdLine,</v>
      </c>
      <c r="W10" s="69" t="str">
        <f t="shared" ref="W10:W14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.WhereIf(!string.IsNullOrWhiteSpace(input.ProdLine), e =&gt; e.ProdLine.Contains(input.ProdLine))</v>
      </c>
    </row>
    <row r="11" spans="1:23" customFormat="1" ht="18.75" customHeight="1" x14ac:dyDescent="0.25">
      <c r="A11" t="s">
        <v>278</v>
      </c>
      <c r="B11" t="s">
        <v>4</v>
      </c>
      <c r="C11" t="s">
        <v>1</v>
      </c>
      <c r="D11" t="str">
        <f t="shared" si="5"/>
        <v>Shift1</v>
      </c>
      <c r="E11" t="str">
        <f t="shared" si="6"/>
        <v>int</v>
      </c>
      <c r="F11" s="7"/>
      <c r="G11" t="str">
        <f t="shared" si="7"/>
        <v/>
      </c>
      <c r="H11" t="str">
        <f>+VLOOKUP(E11,'Data Type Mapping'!A:B,2,)</f>
        <v>int</v>
      </c>
      <c r="I11" t="str">
        <f t="shared" si="8"/>
        <v/>
      </c>
      <c r="J11" t="str">
        <f t="shared" si="9"/>
        <v xml:space="preserve">		public virtual int Shift1 { get; set; }
</v>
      </c>
      <c r="K11" s="7" t="s">
        <v>206</v>
      </c>
      <c r="L11" t="str">
        <f t="shared" si="10"/>
        <v xml:space="preserve">	[Index(nameof(Shift1), Name="IX_AsyAdoAPlanShift_Shift1")]</v>
      </c>
      <c r="M11" t="str">
        <f t="shared" si="11"/>
        <v xml:space="preserve">		public virtual int Shift1 { get; set; }
</v>
      </c>
      <c r="N11" t="str">
        <f t="shared" si="12"/>
        <v xml:space="preserve">		public virtual int Shift1 { get; set; }
</v>
      </c>
      <c r="O11" t="str">
        <f t="shared" si="13"/>
        <v xml:space="preserve">		public virtual int Shift1 { get; set; }
</v>
      </c>
      <c r="P11" t="str">
        <f t="shared" si="14"/>
        <v xml:space="preserve">							Shift1 = o.Shift1,</v>
      </c>
      <c r="T11" s="69" t="str">
        <f t="shared" si="15"/>
        <v xml:space="preserve">								("Shift1"),</v>
      </c>
      <c r="V11" s="70" t="str">
        <f t="shared" si="16"/>
        <v xml:space="preserve">								_ =&gt; _.Shift1,</v>
      </c>
      <c r="W11" s="69" t="str">
        <f t="shared" si="17"/>
        <v/>
      </c>
    </row>
    <row r="12" spans="1:23" customFormat="1" ht="22.5" customHeight="1" x14ac:dyDescent="0.25">
      <c r="A12" t="s">
        <v>279</v>
      </c>
      <c r="B12" t="s">
        <v>4</v>
      </c>
      <c r="C12" t="s">
        <v>1</v>
      </c>
      <c r="D12" t="str">
        <f>SUBSTITUTE(PROPER(A12),"_","")</f>
        <v>Shift2</v>
      </c>
      <c r="E12" t="str">
        <f t="shared" si="6"/>
        <v>int</v>
      </c>
      <c r="F12" s="7"/>
      <c r="G12" t="str">
        <f t="shared" si="7"/>
        <v/>
      </c>
      <c r="H12" t="str">
        <f>+VLOOKUP(E12,'Data Type Mapping'!A:B,2,)</f>
        <v>int</v>
      </c>
      <c r="I12" t="str">
        <f t="shared" si="8"/>
        <v/>
      </c>
      <c r="J12" t="str">
        <f t="shared" si="9"/>
        <v xml:space="preserve">		public virtual int Shift2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11"/>
        <v xml:space="preserve">		public virtual int Shift2 { get; set; }
</v>
      </c>
      <c r="N12" t="str">
        <f t="shared" si="12"/>
        <v xml:space="preserve">		public virtual int Shift2 { get; set; }
</v>
      </c>
      <c r="O12" t="str">
        <f t="shared" si="13"/>
        <v xml:space="preserve">		public virtual int Shift2 { get; set; }
</v>
      </c>
      <c r="P12" t="str">
        <f t="shared" si="14"/>
        <v xml:space="preserve">							Shift2 = o.Shift2,</v>
      </c>
      <c r="T12" s="69" t="str">
        <f t="shared" si="15"/>
        <v xml:space="preserve">								("Shift2"),</v>
      </c>
      <c r="V12" s="70" t="str">
        <f t="shared" si="16"/>
        <v xml:space="preserve">								_ =&gt; _.Shift2,</v>
      </c>
      <c r="W12" s="69" t="str">
        <f t="shared" si="17"/>
        <v/>
      </c>
    </row>
    <row r="13" spans="1:23" customFormat="1" ht="21" customHeight="1" x14ac:dyDescent="0.25">
      <c r="A13" t="s">
        <v>280</v>
      </c>
      <c r="B13" t="s">
        <v>4</v>
      </c>
      <c r="C13" t="s">
        <v>1</v>
      </c>
      <c r="D13" t="str">
        <f t="shared" ref="D13" si="18">SUBSTITUTE(PROPER(A13),"_","")</f>
        <v>Shift3</v>
      </c>
      <c r="E13" t="str">
        <f t="shared" si="6"/>
        <v>int</v>
      </c>
      <c r="F13" s="7"/>
      <c r="G13" t="str">
        <f t="shared" si="7"/>
        <v/>
      </c>
      <c r="H13" t="str">
        <f>+VLOOKUP(E13,'Data Type Mapping'!A:B,2,)</f>
        <v>int</v>
      </c>
      <c r="I13" t="str">
        <f t="shared" si="8"/>
        <v/>
      </c>
      <c r="J13" t="str">
        <f t="shared" si="9"/>
        <v xml:space="preserve">		public virtual int Shift3 { get; set; }
</v>
      </c>
      <c r="K13" s="7" t="s">
        <v>206</v>
      </c>
      <c r="L13" t="str">
        <f t="shared" ref="L13" si="19">IF(K13="","",REPT(CHAR(9),1)&amp;"[Index(nameof("&amp;IF(D13="","",""&amp;D13)&amp;")"&amp;", Name="&amp;"""IX_"&amp;$B$7&amp;"_"&amp;D13&amp;""")]")</f>
        <v xml:space="preserve">	[Index(nameof(Shift3), Name="IX_AsyAdoAPlanShift_Shift3")]</v>
      </c>
      <c r="M13" t="str">
        <f t="shared" si="11"/>
        <v xml:space="preserve">		public virtual int Shift3 { get; set; }
</v>
      </c>
      <c r="N13" t="str">
        <f t="shared" si="12"/>
        <v xml:space="preserve">		public virtual int Shift3 { get; set; }
</v>
      </c>
      <c r="O13" t="str">
        <f t="shared" si="13"/>
        <v xml:space="preserve">		public virtual int Shift3 { get; set; }
</v>
      </c>
      <c r="P13" t="str">
        <f t="shared" si="14"/>
        <v xml:space="preserve">							Shift3 = o.Shift3,</v>
      </c>
      <c r="T13" s="69" t="str">
        <f t="shared" si="15"/>
        <v xml:space="preserve">								("Shift3"),</v>
      </c>
      <c r="V13" s="70" t="str">
        <f t="shared" si="16"/>
        <v xml:space="preserve">								_ =&gt; _.Shift3,</v>
      </c>
      <c r="W13" s="69" t="str">
        <f t="shared" si="17"/>
        <v/>
      </c>
    </row>
    <row r="14" spans="1:23" customFormat="1" ht="22.5" customHeight="1" x14ac:dyDescent="0.25">
      <c r="A14" t="s">
        <v>281</v>
      </c>
      <c r="B14" t="s">
        <v>282</v>
      </c>
      <c r="C14" t="s">
        <v>1</v>
      </c>
      <c r="D14" t="str">
        <f>SUBSTITUTE(PROPER(A14),"_","")</f>
        <v>IsActive</v>
      </c>
      <c r="E14" t="str">
        <f t="shared" si="6"/>
        <v>varchar</v>
      </c>
      <c r="F14" s="7"/>
      <c r="G14" t="str">
        <f t="shared" si="7"/>
        <v>1</v>
      </c>
      <c r="H14" t="str">
        <f>+VLOOKUP(E14,'Data Type Mapping'!A:B,2,)</f>
        <v>string</v>
      </c>
      <c r="I14" t="str">
        <f t="shared" si="8"/>
        <v xml:space="preserve">		public const int MaxIsActiveLength = 1;
</v>
      </c>
      <c r="J14" t="str">
        <f t="shared" si="9"/>
        <v xml:space="preserve">		[StringLength(MaxIsActiveLength)]
		public virtual string IsActive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 t="shared" si="11"/>
        <v xml:space="preserve">		public virtual string IsActive { get; set; }
</v>
      </c>
      <c r="N14" t="str">
        <f t="shared" si="12"/>
        <v xml:space="preserve">		[StringLength(AsyAdoAPlanShiftConsts.MaxIsActiveLength)]
		public virtual string IsActive { get; set; }
</v>
      </c>
      <c r="O14" t="str">
        <f t="shared" si="13"/>
        <v xml:space="preserve">		public virtual string IsActive { get; set; }
</v>
      </c>
      <c r="P14" t="str">
        <f t="shared" si="14"/>
        <v xml:space="preserve">							IsActive = o.IsActive,</v>
      </c>
      <c r="T14" s="69" t="str">
        <f t="shared" si="15"/>
        <v xml:space="preserve">								("IsActive"),</v>
      </c>
      <c r="V14" s="70" t="str">
        <f t="shared" si="16"/>
        <v xml:space="preserve">								_ =&gt; _.IsActive,</v>
      </c>
      <c r="W14" s="69" t="str">
        <f t="shared" si="17"/>
        <v xml:space="preserve">				.WhereIf(!string.IsNullOrWhiteSpace(input.IsActive), e =&gt; e.IsActive.Contains(input.IsActive))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MaxProdLineLength = 50;
		public const int MaxIsActiveLength = 1;
</v>
      </c>
      <c r="J16" s="33" t="str">
        <f ca="1">TEXTJOIN2("
", TRUE,INDIRECT( $F$1):INDIRECT( $F$3))</f>
        <v xml:space="preserve">		[Column(TypeName="date")]
		public virtual DateTime WorkingDate { get; set; }
		[StringLength(MaxProdLineLength)]
		public virtual string ProdLine { get; set; }
		public virtual int Shift1 { get; set; }
		public virtual int Shift2 { get; set; }
		public virtual int Shift3 { get; set; }
		[StringLength(MaxIsActiveLength)]
		public virtual string IsActive { get; set; }
</v>
      </c>
      <c r="K16" s="35" t="str">
        <f ca="1">TEXTJOIN2("
", TRUE,INDIRECT( $J$1):INDIRECT( $J$3))</f>
        <v xml:space="preserve">	[Index(nameof(ProdLine), Name="IX_AsyAdoAPlanShift_ProdLine")]
	[Index(nameof(Shift1), Name="IX_AsyAdoAPlanShift_Shift1")]
	[Index(nameof(Shift3), Name="IX_AsyAdoAPlanShift_Shift3")]
</v>
      </c>
      <c r="L16" s="13" t="s">
        <v>60</v>
      </c>
      <c r="M16" s="36" t="str">
        <f ca="1">TEXTJOIN2("
",TRUE,INDIRECT( $L$1):INDIRECT($L$3))</f>
        <v xml:space="preserve">		public virtual DateTime? WorkingDate { get; set; }
		public virtual string ProdLine { get; set; }
		public virtual int Shift1 { get; set; }
		public virtual int Shift2 { get; set; }
		public virtual int Shift3 { get; set; }
		public virtual string IsActive { get; set; }
</v>
      </c>
      <c r="N16" s="33" t="str">
        <f ca="1">TEXTJOIN2("
",TRUE,INDIRECT( $M$1):INDIRECT($M$3))</f>
        <v xml:space="preserve">		public virtual DateTime? WorkingDate { get; set; }
		[StringLength(AsyAdoAPlanShiftConsts.MaxProdLineLength)]
		public virtual string ProdLine { get; set; }
		public virtual int Shift1 { get; set; }
		public virtual int Shift2 { get; set; }
		public virtual int Shift3 { get; set; }
		[StringLength(AsyAdoAPlanShiftConsts.MaxIsActiveLength)]
		public virtual string IsActive { get; set; }
</v>
      </c>
      <c r="O16" s="33" t="str">
        <f ca="1">TEXTJOIN2("
",TRUE,INDIRECT( $N$1):INDIRECT($N$3))</f>
        <v xml:space="preserve">		public virtual DateTime? WorkingDate { get; set; }
		public virtual string ProdLine { get; set; }
		public virtual int Shift1 { get; set; }
		public virtual int Shift2 { get; set; }
		public virtual int Shift3 { get; set; }
		public virtual string IsActive { get; set; }
</v>
      </c>
      <c r="P16" s="9" t="str">
        <f ca="1">TEXTJOIN2("
",TRUE,INDIRECT( $O$1):INDIRECT($O$3))</f>
        <v xml:space="preserve">							WorkingDate = o.WorkingDate,
							ProdLine = o.ProdLine,
							Shift1 = o.Shift1,
							Shift2 = o.Shift2,
							Shift3 = o.Shift3,
							IsActive = o.IsActive,</v>
      </c>
      <c r="T16" s="9" t="str">
        <f ca="1">TEXTJOIN2("
",TRUE,INDIRECT( $T$2):INDIRECT($T$3))</f>
        <v xml:space="preserve">								("WorkingDate"),
								("ProdLine"),
								("Shift1"),
								("Shift2"),
								("Shift3"),
								("IsActive"),</v>
      </c>
      <c r="V16" s="9" t="str">
        <f ca="1">TEXTJOIN2("
",TRUE,INDIRECT( $V$2):INDIRECT($V$3))</f>
        <v xml:space="preserve">								_ =&gt; _.WorkingDate,
								_ =&gt; _.ProdLine,
								_ =&gt; _.Shift1,
								_ =&gt; _.Shift2,
								_ =&gt; _.Shift3,
								_ =&gt; _.IsActive,</v>
      </c>
      <c r="W16" s="9" t="str">
        <f ca="1">TEXTJOIN2("
",TRUE,INDIRECT( $W$2):INDIRECT($W$3))</f>
        <v xml:space="preserve">				.WhereIf(input.WorkingDate.HasValue, t =&gt; t.WorkingDate == input.WorkingDate.Value)
				.WhereIf(!string.IsNullOrWhiteSpace(input.ProdLine), e =&gt; e.ProdLine.Contains(input.ProdLine))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B8" sqref="B8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283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Assy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assy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AsyAdoAPlanShift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APlanShiftBase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aplanshiftbase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AsyAdoAPlanShiftDto, AsyAdoAPlanShiftServiceProxy } from '@shared/service-proxies/service-proxies';
import { finalize } from 'rxjs/internal/operators/finalize';
import { CreateOrEditAPlanShiftBaseModalComponent } from './create-or-edit-aplanshiftbase-modal.component';
import { DatePipe } from '@angular/common';
import { FileDownloadService } from '@shared/utils/file-download.service';
import ceil from 'lodash-es/ceil';
import { Paginator } from 'primeng/paginator';
@Component({
    templateUrl: './aplanshiftbase.component.html',
    styleUrls: ['./aplanshiftbase.component.less'],
})
export class APlanShiftBaseComponent extends AppComponentBase implements OnInit {
    @ViewChild('createOrEditModalAPlanShiftBase', { static: true }) createOrEditModalAPlanShiftBase:| CreateOrEditAPlanShiftBaseModalComponent|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AsyAdoAPlanShiftDto = new AsyAdoAPlanShiftDto();
    saveSelectedRow: AsyAdoAPlanShiftDto = new AsyAdoAPlanShiftDto();
    datas: AsyAdoAPlanShiftDto = new AsyAdoAPlanShiftDto();
    isLoading: boolean = false;
    dataParams: GridParams | undefined;
    rowData: any[] = [];
    gridApi!: GridApi;
    rowSelection = 'multiple';
    filter: string = '';
	pipe = new DatePipe('en-US');
	frameworkComponents: FrameworkComponent;
    workingDate : any ;
	prodLine : string = '' ; 
	shift1 : number = 0 ;
	shift2 : number = 0 ;
	shift3 : number = 0 ;
	isStart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AsyAdoAPlanShiftServiceProxy,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'workingDate',valueGetter: (params) =&gt; this.pipe.transform(params.data?.workingDate, 'dd/MM/yyyy'),flex: 1},
			{headerName: this.l('Prod Line'),headerTooltip: this.l('Prod Line'),field: 'prodLine',flex: 1},
			{headerName: this.l('Shift1'),headerTooltip: this.l('Shift1'),field: 'shift1',flex: 1},
			{headerName: this.l('Shift2'),headerTooltip: this.l('Shift2'),field: 'shift2',flex: 1},
			{headerName: this.l('Shift3'),headerTooltip: this.l('Shift3'),field: 'shift3',flex: 1},
			{headerName: this.l('Is Start'),headerTooltip: this.l('Is Start'),field:  'isStart', cellClass: ['text-center'], width: 120, cellRenderer: 'agCellButtonComponent',
buttonDefTwo: { text: params =&gt; (params.data?.'isStart' == 'Y') ? 'Active' : 'Inactive',iconName: 'fa fa-circle',className: params =&gt; (params.data?.'isStart'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this.prodLine,
			this.shift1,
			this.shift2,
			this.shift3,
			this.isStart,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this.workingDate = '',
		this.prodLine = '',
		this.shift1 = 0,
		this.shift2 = 0,
		this.shift3 = 0,
		this.isStart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this.prodLine,
			this.shift1,
			this.shift2,
			this.shift3,
			this.isStart,
			'',
            this.paginationParams.skipCount,
            this.paginationParams.pageSize
        );
    }
    onChangeRowSelection(params: { api: { getSelectedRows: () =&gt; AsyAdoAPlanShiftDto[] } }) {
        this.saveSelectedRow = params.api.getSelectedRows()[0] ?? new AsyAdoAPlanShiftDto();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AsyAdoAPlanShiftDto):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this._service.getAPlanShiftBaseToExcel(
			this.workingDate,
			this.prodLine,
			this.shift1,
			this.shift2,
			this.shift3,
			this.isStart,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Assembly Andon A Plan Shift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[(ngModel)]='isStart' name='isStart'
									class='form-control' [placeholder]="l('Is Start')"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(click)="createOrEditModalAPlanShiftBase.show()"&gt;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(click)="createOrEditModalAPlanShiftBase.show(selectedRow)"&gt;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&lt;create-or-edit-aplanshiftbase-modal
    #createOrEditModalAPlanShiftBase
    (modalSave)="callBackDataGrid(dataParams)"
    (modalClose)="onChangeRowSelection(dataParams)"
&gt;
&lt;/create-or-edit-aplanshiftbase-modal&gt;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#createOrEditModalAPlanShiftBase="bs-modal"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APlanShiftBase')}}&lt;/h3&gt;
                    &lt;h3 *ngIf="!rowdata.id"&gt;{{('Create New APlanShiftBase')}}&lt;/h3&gt;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title'&gt;Shift1&lt;/label&gt;
						&lt;input type='number' class='col-md-10 form-control input-text' name='Shift1' [(ngModel)]='rowdata.shift1'&gt;
					&lt;/div&gt;
					&lt;div class='col-md-12 form-group row'&gt;
						&lt;label class='col-md-2 form-control title'&gt;Shift2&lt;/label&gt;
						&lt;input type='number' class='col-md-10 form-control input-text' name='Shift2' [(ngModel)]='rowdata.shift2'&gt;
					&lt;/div&gt;
					&lt;div class='col-md-12 form-group row'&gt;
						&lt;label class='col-md-2 form-control title'&gt;Shift3&lt;/label&gt;
						&lt;input type='number' class='col-md-10 form-control input-text' name='Shift3' [(ngModel)]='rowdata.shift3'&gt;
					&lt;/div&gt;
					&lt;div class='col-md-12 form-group row'&gt;
						&lt;label class='col-md-2 form-control title'&gt;Is Start&lt;/label&gt;
						&lt;new-checkbox [(ngModel)]='_isStart' name='isStart'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CreateOrEditAsyAdoAPlanShiftDto, AsyAdoAPlanShiftServiceProxy } from '@shared/service-proxies/service-proxies';
import { BsDatepickerDirective } from 'ngx-bootstrap/datepicker';
@Component({
    selector: 'create-or-edit-aplanshiftbase-modal',
    templateUrl: './create-or-edit-aplanshiftbase-modal.component.html',
    styleUrls: ['./create-or-edit-aplanshiftbase-modal.component.less']
    })
export class CreateOrEditAPlanShiftBaseModalComponent extends AppComponentBase {
    @ViewChild('createOrEditModalAPlanShiftBase',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CreateOrEditAsyAdoAPlanShiftDto = new CreateOrEditAsyAdoAPlanShiftDto();
    active: boolean = false;
    saving: boolean = false;
    _isStart: boolean;
    constructor(
        injector: Injector,
        private _mstwptAPlanShiftBaseService: AsyAdoAPlanShiftServiceProxy,
    ) 
    {
        super(injector);
    }
    show(rowdata?: CreateOrEditAsyAdoAPlanShiftDto): void {
        if (!rowdata) this.rowdata = new CreateOrEditAsyAdoAPlanShiftDto();
        else this.rowdata = rowdata;
		const dateValue =  this.rowdata.workingDate ? new Date(this.rowdata.workingDate?.toString()) : new Date();
		this.datepicker?.bsValueChange.emit(dateValue);
        this._isStart = (this.rowdata.isStart == "N")? false: true;
        this.active = true;
        this.modal.show();
    } 
    changeActive(event){
        this._isStart = event.target.checked;
    }
    save(): void {
    this.saving = true; 
    this.rowdata.isStart = (this._isStart == true) ? 'Y' : 'N'
    this._mstwptAPlanShiftBaseService.createOrEdit(this.rowdata)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APlanShiftBaseRoutingModule } from './aplanshiftbase-routing.module';
import { APlanShiftBaseComponent } from './aplanshiftbase.component';
import { CreateOrEditAPlanShiftBaseModalComponent } from './create-or-edit-aplanshiftbase-modal.component';
@NgModule({
    declarations: [
       APlanShiftBaseComponent, 
        CreateOrEditAPlanShiftBaseModalComponent
    ],
    imports: [
        AppSharedModule, APlanShiftBaseRoutingModule]
})
export class APlanShiftBaseModule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APlanShiftBaseComponent } from './aplanshiftbase.component';
const routes: Routes = [{
    path: '',
    component: APlanShiftBaseComponent,
    pathMatch: 'full'
}];
@NgModule({
    imports: [RouterModule.forChild(routes)],
    exports: [RouterModule],
})
export class APlanShiftBaseRoutingModule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AppMenuItem("APlanShiftBase", "Pages.Assy.Andon.APlanShiftBase", "flaticon-book",   "/app/main/assy/andon/aplanshiftbase"),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'assy/andon/aplanshiftbase',
    loadChildren: () =&gt; import('./assy/andon/aplanshiftbase/aplanshiftbase.module').then(m =&gt; m.APlanShiftBaseModule),
    data: { permission: 'Pages.Assy.Andon.APlanShiftBase' }
},</v>
      </c>
      <c r="R10" s="50" t="str">
        <f>SUBSTITUTE(R9,"MstWptCalendar",$B$6)</f>
        <v>ApiServiceProxies.AsyAdoAPlanShiftServiceProxy,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this.l('Working Date'),headerTooltip: this.l('Working Date'),field: 'workingDate',valueGetter: (params) =&gt; this.pipe.transform(params.data?.workingDate, 'dd/MM/yyyy'),flex: 1},
			{headerName: this.l('Prod Line'),headerTooltip: this.l('Prod Line'),field: 'prodLine',flex: 1},
			{headerName: this.l('Shift1'),headerTooltip: this.l('Shift1'),field: 'shift1',flex: 1},
			{headerName: this.l('Shift2'),headerTooltip: this.l('Shift2'),field: 'shift2',flex: 1},
			{headerName: this.l('Shift3'),headerTooltip: this.l('Shift3'),field: 'shift3',flex: 1},
			{headerName: this.l('Is Start'),headerTooltip: this.l('Is Start'),field:  'isStart', cellClass: ['text-center'], width: 120, cellRenderer: 'agCellButtonComponent',
buttonDefTwo: { text: params =&gt; (params.data?.'isStart' == 'Y') ? 'Active' : 'Inactive',iconName: 'fa fa-circle',className: params =&gt; (params.data?.'isStart' == 'Y') ? 'btnActive' : 'btnInActive',},}</v>
      </c>
      <c r="I13" s="38" t="str">
        <f ca="1">TEXTJOIN2("
",TRUE,INDIRECT(I11):INDIRECT(I12))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[(ngModel)]='isStart' name='isStart'
									class='form-control' [placeholder]="l('Is Start')"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title'&gt;Shift1&lt;/label&gt;
						&lt;input type='number' class='col-md-10 form-control input-text' name='Shift1' [(ngModel)]='rowdata.shift1'&gt;
					&lt;/div&gt;
					&lt;div class='col-md-12 form-group row'&gt;
						&lt;label class='col-md-2 form-control title'&gt;Shift2&lt;/label&gt;
						&lt;input type='number' class='col-md-10 form-control input-text' name='Shift2' [(ngModel)]='rowdata.shift2'&gt;
					&lt;/div&gt;
					&lt;div class='col-md-12 form-group row'&gt;
						&lt;label class='col-md-2 form-control title'&gt;Shift3&lt;/label&gt;
						&lt;input type='number' class='col-md-10 form-control input-text' name='Shift3' [(ngModel)]='rowdata.shift3'&gt;
					&lt;/div&gt;
					&lt;div class='col-md-12 form-group row'&gt;
						&lt;label class='col-md-2 form-control title'&gt;Is Start&lt;/label&gt;
						&lt;new-checkbox [(ngModel)]='_isStart' name='isStart'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workingDate : any ;
	prodLine : string = '' ; 
	shift1 : number = 0 ;
	shift2 : number = 0 ;
	shift3 : number = 0 ;
	isStart : string = '' ; </v>
      </c>
      <c r="T13" s="68" t="str">
        <f ca="1">TEXTJOIN2("
",TRUE,INDIRECT(T11):INDIRECT(T12))</f>
        <v xml:space="preserve">			this.workingDate,
			this.prodLine,
			this.shift1,
			this.shift2,
			this.shift3,
			this.isStart,</v>
      </c>
      <c r="U13" s="68" t="str">
        <f ca="1">TEXTJOIN2("
",TRUE,INDIRECT(U11):INDIRECT(U12))</f>
        <v>this.workingDate = '',
		this.prodLine = '',
		this.shift1 = 0,
		this.shift2 = 0,
		this.shift3 = 0,
		this.isStart = '',</v>
      </c>
      <c r="V13" s="31" t="str">
        <f ca="1">TEXTJOIN2("
",TRUE,INDIRECT(V11):INDIRECT(V12))</f>
        <v>isStart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aplanshiftbase.component.ts</v>
      </c>
      <c r="I14" s="40" t="str">
        <f>B8&amp;".component.html"</f>
        <v>aplanshiftbase.component.html</v>
      </c>
      <c r="J14" s="39" t="str">
        <f>B8&amp;".component.less"</f>
        <v>aplanshiftbase.component.less</v>
      </c>
      <c r="K14" s="40" t="str">
        <f>"create-or-edit-"&amp;B8&amp;"-modal.component.html"</f>
        <v>create-or-edit-aplanshiftbase-modal.component.html</v>
      </c>
      <c r="L14" s="40" t="str">
        <f>"create-or-edit-"&amp;B8&amp;"-modal.component.ts"</f>
        <v>create-or-edit-aplanshiftbase-modal.component.ts</v>
      </c>
      <c r="M14" s="40" t="str">
        <f>"create-or-edit-"&amp;B8&amp;"-modal.component.less"</f>
        <v>create-or-edit-aplanshiftbase-modal.component.less</v>
      </c>
      <c r="N14" s="40" t="str">
        <f>B8&amp;".module.ts"</f>
        <v>aplanshiftbase.module.ts</v>
      </c>
      <c r="O14" s="40" t="str">
        <f>B8&amp;"-routing.module.ts"</f>
        <v>aplanshiftbase-routing.module.ts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276</v>
      </c>
      <c r="B15" s="31" t="str">
        <f>SUBSTITUTE(PROPER(A15),"_","")</f>
        <v>WorkingDate</v>
      </c>
      <c r="C15" s="31" t="str">
        <f>SUBSTITUTE(PROPER(A15),"_"," ")</f>
        <v>Working Date</v>
      </c>
      <c r="D15" s="31" t="str">
        <f>LOWER(LEFT(B15,1))&amp;RIGHT(B15,LEN(B15) - 1)</f>
        <v>workingDate</v>
      </c>
      <c r="E15" s="31" t="str">
        <f>A.Backend!H9</f>
        <v>DateTime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any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5" s="31"/>
      <c r="N15" s="31"/>
      <c r="O15" s="31"/>
      <c r="P15" s="31"/>
      <c r="Q15" s="31"/>
      <c r="R15" s="31"/>
      <c r="S15" s="31" t="str">
        <f>D15&amp;G15</f>
        <v>workingDate : any ;</v>
      </c>
      <c r="T15" s="31" t="str">
        <f>REPT(CHAR(9),3)&amp;"this."&amp;D15&amp;","</f>
        <v xml:space="preserve">			this.workingDate,</v>
      </c>
      <c r="U15" s="31" t="str">
        <f>IF(E15="int","this."&amp;D15&amp;" = 0,","this."&amp;D15&amp;" = '',")</f>
        <v>this.workingDate = '',</v>
      </c>
      <c r="V15" s="31" t="str">
        <f>IF(AND(E15="string",F15="1"),D15,"")</f>
        <v/>
      </c>
    </row>
    <row r="16" spans="1:22" ht="15" customHeight="1" x14ac:dyDescent="0.25">
      <c r="A16" s="44" t="s">
        <v>277</v>
      </c>
      <c r="B16" s="31" t="str">
        <f t="shared" ref="B16:B17" si="0">SUBSTITUTE(PROPER(A16),"_","")</f>
        <v>ProdLine</v>
      </c>
      <c r="C16" s="31" t="str">
        <f t="shared" ref="C16:C17" si="1">SUBSTITUTE(PROPER(A16),"_"," ")</f>
        <v>Prod Line</v>
      </c>
      <c r="D16" s="31" t="str">
        <f t="shared" ref="D16:D17" si="2">LOWER(LEFT(B16,1))&amp;RIGHT(B16,LEN(B16) - 1)</f>
        <v>prodLine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this.l('Prod Line'),headerTooltip: this.l('Prod Line'),field: 'prodLine',flex: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prodLine : string = '' ; </v>
      </c>
      <c r="T16" s="31" t="str">
        <f>REPT(CHAR(9),3)&amp;"this."&amp;D16&amp;","</f>
        <v xml:space="preserve">			this.prodLine,</v>
      </c>
      <c r="U16" s="31" t="str">
        <f>IF(E16="int",REPT(CHAR(9),2)&amp;"this."&amp;D16&amp;" = 0,",REPT(CHAR(9),2)&amp;"this."&amp;D16&amp;" = '',")</f>
        <v xml:space="preserve">		this.prodLine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278</v>
      </c>
      <c r="B17" s="31" t="str">
        <f t="shared" si="0"/>
        <v>Shift1</v>
      </c>
      <c r="C17" s="31" t="str">
        <f t="shared" si="1"/>
        <v>Shift1</v>
      </c>
      <c r="D17" s="31" t="str">
        <f t="shared" si="2"/>
        <v>shift1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this.l('Shift1'),headerTooltip: this.l('Shift1'),field: 'shift1',flex: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title'&gt;Shift1&lt;/label&gt;
						&lt;input type='number' class='col-md-10 form-control input-text' name='Shift1' [(ngModel)]='rowdata.shift1'&gt;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shift1 : number = 0 ;</v>
      </c>
      <c r="T17" s="31" t="str">
        <f t="shared" ref="T17:T19" si="10">REPT(CHAR(9),3)&amp;"this."&amp;D17&amp;","</f>
        <v xml:space="preserve">			this.shift1,</v>
      </c>
      <c r="U17" s="31" t="str">
        <f t="shared" ref="U17:U19" si="11">IF(E17="int",REPT(CHAR(9),2)&amp;"this."&amp;D17&amp;" = 0,",REPT(CHAR(9),2)&amp;"this."&amp;D17&amp;" = '',")</f>
        <v xml:space="preserve">		this.shift1 = 0,</v>
      </c>
      <c r="V17" s="31" t="str">
        <f t="shared" si="8"/>
        <v/>
      </c>
    </row>
    <row r="18" spans="1:22" ht="18" customHeight="1" x14ac:dyDescent="0.25">
      <c r="A18" s="44" t="s">
        <v>279</v>
      </c>
      <c r="B18" s="31" t="str">
        <f>SUBSTITUTE(PROPER(A18),"_","")</f>
        <v>Shift2</v>
      </c>
      <c r="C18" s="31" t="str">
        <f>SUBSTITUTE(PROPER(A18),"_"," ")</f>
        <v>Shift2</v>
      </c>
      <c r="D18" s="31" t="str">
        <f>LOWER(LEFT(B18,1))&amp;RIGHT(B18,LEN(B18) - 1)</f>
        <v>shift2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this.l('Shift2'),headerTooltip: this.l('Shift2'),field: 'shift2',flex: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title'&gt;Shift2&lt;/label&gt;
						&lt;input type='number' class='col-md-10 form-control input-text' name='Shift2' [(ngModel)]='rowdata.shift2'&gt;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shift2 : number = 0 ;</v>
      </c>
      <c r="T18" s="31" t="str">
        <f t="shared" si="10"/>
        <v xml:space="preserve">			this.shift2,</v>
      </c>
      <c r="U18" s="31" t="str">
        <f t="shared" si="11"/>
        <v xml:space="preserve">		this.shift2 = 0,</v>
      </c>
      <c r="V18" s="31" t="str">
        <f t="shared" si="8"/>
        <v/>
      </c>
    </row>
    <row r="19" spans="1:22" ht="15" customHeight="1" x14ac:dyDescent="0.25">
      <c r="A19" s="44" t="s">
        <v>280</v>
      </c>
      <c r="B19" s="31" t="str">
        <f t="shared" ref="B19" si="12">SUBSTITUTE(PROPER(A19),"_","")</f>
        <v>Shift3</v>
      </c>
      <c r="C19" s="31" t="str">
        <f t="shared" ref="C19" si="13">SUBSTITUTE(PROPER(A19),"_"," ")</f>
        <v>Shift3</v>
      </c>
      <c r="D19" s="31" t="str">
        <f t="shared" ref="D19" si="14">LOWER(LEFT(B19,1))&amp;RIGHT(B19,LEN(B19) - 1)</f>
        <v>shift3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this.l('Shift3'),headerTooltip: this.l('Shift3'),field: 'shift3',flex: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title'&gt;Shift3&lt;/label&gt;
						&lt;input type='number' class='col-md-10 form-control input-text' name='Shift3' [(ngModel)]='rowdata.shift3'&gt;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shift3 : number = 0 ;</v>
      </c>
      <c r="T19" s="31" t="str">
        <f t="shared" si="10"/>
        <v xml:space="preserve">			this.shift3,</v>
      </c>
      <c r="U19" s="31" t="str">
        <f t="shared" si="11"/>
        <v xml:space="preserve">		this.shift3 = 0,</v>
      </c>
      <c r="V19" s="31" t="str">
        <f t="shared" si="8"/>
        <v/>
      </c>
    </row>
    <row r="20" spans="1:22" ht="15" customHeight="1" x14ac:dyDescent="0.25">
      <c r="A20" s="44" t="s">
        <v>272</v>
      </c>
      <c r="B20" s="31" t="str">
        <f t="shared" ref="B20" si="15">SUBSTITUTE(PROPER(A20),"_","")</f>
        <v>IsStart</v>
      </c>
      <c r="C20" s="31" t="str">
        <f t="shared" ref="C20" si="16">SUBSTITUTE(PROPER(A20),"_"," ")</f>
        <v>Is Start</v>
      </c>
      <c r="D20" s="31" t="str">
        <f t="shared" ref="D20" si="17">LOWER(LEFT(B20,1))&amp;RIGHT(B20,LEN(B20) - 1)</f>
        <v>isStart</v>
      </c>
      <c r="E20" s="31" t="str">
        <f>A.Backend!H14</f>
        <v>string</v>
      </c>
      <c r="F20" s="31" t="str">
        <f>A.Backend!G14</f>
        <v>1</v>
      </c>
      <c r="G20" s="31" t="str">
        <f t="shared" ref="G20" si="18">IF(E20="string"," : string = '' ; ",IF(OR(E20="DateTime",E20="TimeSpan")," : any ;",IF(E20="int"," : number = 0 ;","")))</f>
        <v xml:space="preserve"> : string = '' ; </v>
      </c>
      <c r="H20" s="38" t="str">
        <f t="shared" ref="H20" si="19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Start'),headerTooltip: this.l('Is Start'),field:  'isStart', cellClass: ['text-center'], width: 120, cellRenderer: 'agCellButtonComponent',
buttonDefTwo: { text: params =&gt; (params.data?.'isStart' == 'Y') ? 'Active' : 'Inactive',iconName: 'fa fa-circle',className: params =&gt; (params.data?.'isStart' == 'Y') ? 'btnActive' : 'btnInActive',},}</v>
      </c>
      <c r="I20" s="38" t="str">
        <f t="shared" ref="I20" si="20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[(ngModel)]='isStart' name='isStart'
									class='form-control' [placeholder]="l('Is Start')"
									type='text' (keyup.enter)='searchDatas()'&gt;
								&lt;/div&gt;</v>
      </c>
      <c r="J20" s="31"/>
      <c r="K20" s="38" t="str">
        <f t="shared" ref="K20" si="21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Start&lt;/label&gt;
						&lt;new-checkbox [(ngModel)]='_isStart' name='isStart' className='col-md-10' &gt; &lt;/new-checkbox&gt;
					&lt;/div&gt;</v>
      </c>
      <c r="L20" s="60" t="str">
        <f t="shared" ref="L20" si="2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isStart : string = '' ; </v>
      </c>
      <c r="T20" s="31" t="str">
        <f>REPT(CHAR(9),3)&amp;"this."&amp;D20&amp;","</f>
        <v xml:space="preserve">			this.isStart,</v>
      </c>
      <c r="U20" s="31" t="str">
        <f>IF(E20="int",REPT(CHAR(9),2)&amp;"this."&amp;D20&amp;" = 0,",REPT(CHAR(9),2)&amp;"this."&amp;D20&amp;" = '',")</f>
        <v xml:space="preserve">		this.isStart = '',</v>
      </c>
      <c r="V20" s="31" t="str">
        <f t="shared" ref="V20" si="23">IF(AND(E20="string",F20="1"),D20,"")</f>
        <v>isStart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2022-09-09T09:54:08Z</dcterms:modified>
</cp:coreProperties>
</file>
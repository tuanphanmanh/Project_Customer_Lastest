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IP\Production\prod\docs\design\assembly\"/>
    </mc:Choice>
  </mc:AlternateContent>
  <xr:revisionPtr revIDLastSave="0" documentId="13_ncr:1_{744A5C83-75F1-41EB-A1F3-9471364DCC69}" xr6:coauthVersionLast="47" xr6:coauthVersionMax="47" xr10:uidLastSave="{00000000-0000-0000-0000-000000000000}"/>
  <bookViews>
    <workbookView xWindow="-108" yWindow="-108" windowWidth="30936" windowHeight="16896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V49" i="5" s="1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V56" i="5" s="1"/>
  <c r="E57" i="5"/>
  <c r="F57" i="5"/>
  <c r="E58" i="5"/>
  <c r="F58" i="5"/>
  <c r="E59" i="5"/>
  <c r="F59" i="5"/>
  <c r="E60" i="5"/>
  <c r="F60" i="5"/>
  <c r="E61" i="5"/>
  <c r="F61" i="5"/>
  <c r="V61" i="5" s="1"/>
  <c r="E62" i="5"/>
  <c r="F62" i="5"/>
  <c r="G62" i="5"/>
  <c r="C62" i="5"/>
  <c r="B62" i="5"/>
  <c r="D62" i="5" s="1"/>
  <c r="C61" i="5"/>
  <c r="B61" i="5"/>
  <c r="D61" i="5" s="1"/>
  <c r="V60" i="5"/>
  <c r="C60" i="5"/>
  <c r="B60" i="5"/>
  <c r="D60" i="5" s="1"/>
  <c r="V59" i="5"/>
  <c r="C59" i="5"/>
  <c r="B59" i="5"/>
  <c r="D59" i="5" s="1"/>
  <c r="T59" i="5" s="1"/>
  <c r="G58" i="5"/>
  <c r="C58" i="5"/>
  <c r="B58" i="5"/>
  <c r="D58" i="5" s="1"/>
  <c r="G57" i="5"/>
  <c r="C57" i="5"/>
  <c r="B57" i="5"/>
  <c r="D57" i="5" s="1"/>
  <c r="T57" i="5" s="1"/>
  <c r="C56" i="5"/>
  <c r="B56" i="5"/>
  <c r="D56" i="5" s="1"/>
  <c r="L55" i="5"/>
  <c r="G55" i="5"/>
  <c r="V55" i="5"/>
  <c r="C55" i="5"/>
  <c r="B55" i="5"/>
  <c r="L54" i="5"/>
  <c r="C54" i="5"/>
  <c r="B54" i="5"/>
  <c r="D54" i="5" s="1"/>
  <c r="U54" i="5" s="1"/>
  <c r="V53" i="5"/>
  <c r="L53" i="5"/>
  <c r="C53" i="5"/>
  <c r="B53" i="5"/>
  <c r="D53" i="5" s="1"/>
  <c r="U53" i="5" s="1"/>
  <c r="G52" i="5"/>
  <c r="D52" i="5"/>
  <c r="U52" i="5" s="1"/>
  <c r="C52" i="5"/>
  <c r="B52" i="5"/>
  <c r="G51" i="5"/>
  <c r="C51" i="5"/>
  <c r="B51" i="5"/>
  <c r="D51" i="5" s="1"/>
  <c r="G50" i="5"/>
  <c r="L50" i="5"/>
  <c r="C50" i="5"/>
  <c r="B50" i="5"/>
  <c r="D50" i="5" s="1"/>
  <c r="C49" i="5"/>
  <c r="B49" i="5"/>
  <c r="V48" i="5"/>
  <c r="D48" i="5"/>
  <c r="U48" i="5" s="1"/>
  <c r="C48" i="5"/>
  <c r="B48" i="5"/>
  <c r="L47" i="5"/>
  <c r="C47" i="5"/>
  <c r="B47" i="5"/>
  <c r="D47" i="5" s="1"/>
  <c r="G46" i="5"/>
  <c r="C46" i="5"/>
  <c r="B46" i="5"/>
  <c r="D46" i="5" s="1"/>
  <c r="U46" i="5" s="1"/>
  <c r="G45" i="5"/>
  <c r="C45" i="5"/>
  <c r="B45" i="5"/>
  <c r="D45" i="5" s="1"/>
  <c r="T45" i="5" s="1"/>
  <c r="L56" i="1"/>
  <c r="G56" i="1"/>
  <c r="E56" i="1"/>
  <c r="H56" i="1" s="1"/>
  <c r="W56" i="1" s="1"/>
  <c r="D56" i="1"/>
  <c r="V56" i="1" s="1"/>
  <c r="L55" i="1"/>
  <c r="G55" i="1"/>
  <c r="E55" i="1"/>
  <c r="H55" i="1" s="1"/>
  <c r="D55" i="1"/>
  <c r="V55" i="1" s="1"/>
  <c r="L54" i="1"/>
  <c r="G54" i="1"/>
  <c r="E54" i="1"/>
  <c r="H54" i="1" s="1"/>
  <c r="D54" i="1"/>
  <c r="V54" i="1" s="1"/>
  <c r="L53" i="1"/>
  <c r="G53" i="1"/>
  <c r="E53" i="1"/>
  <c r="H53" i="1" s="1"/>
  <c r="D53" i="1"/>
  <c r="V53" i="1" s="1"/>
  <c r="L52" i="1"/>
  <c r="G52" i="1"/>
  <c r="E52" i="1"/>
  <c r="H52" i="1" s="1"/>
  <c r="D52" i="1"/>
  <c r="V52" i="1" s="1"/>
  <c r="L51" i="1"/>
  <c r="G51" i="1"/>
  <c r="E51" i="1"/>
  <c r="H51" i="1" s="1"/>
  <c r="D51" i="1"/>
  <c r="T51" i="1" s="1"/>
  <c r="L50" i="1"/>
  <c r="G50" i="1"/>
  <c r="E50" i="1"/>
  <c r="H50" i="1" s="1"/>
  <c r="W50" i="1" s="1"/>
  <c r="D50" i="1"/>
  <c r="V50" i="1" s="1"/>
  <c r="T49" i="1"/>
  <c r="P49" i="1"/>
  <c r="L49" i="1"/>
  <c r="G49" i="1"/>
  <c r="E49" i="1"/>
  <c r="H49" i="1" s="1"/>
  <c r="D49" i="1"/>
  <c r="V49" i="1" s="1"/>
  <c r="L48" i="1"/>
  <c r="G48" i="1"/>
  <c r="E48" i="1"/>
  <c r="H48" i="1" s="1"/>
  <c r="D48" i="1"/>
  <c r="V48" i="1" s="1"/>
  <c r="L47" i="1"/>
  <c r="G47" i="1"/>
  <c r="E47" i="1"/>
  <c r="H47" i="1" s="1"/>
  <c r="D47" i="1"/>
  <c r="V47" i="1" s="1"/>
  <c r="T46" i="1"/>
  <c r="P46" i="1"/>
  <c r="L46" i="1"/>
  <c r="G46" i="1"/>
  <c r="E46" i="1"/>
  <c r="H46" i="1" s="1"/>
  <c r="D46" i="1"/>
  <c r="V46" i="1" s="1"/>
  <c r="L45" i="1"/>
  <c r="G45" i="1"/>
  <c r="E45" i="1"/>
  <c r="H45" i="1" s="1"/>
  <c r="D45" i="1"/>
  <c r="T45" i="1" s="1"/>
  <c r="T44" i="1"/>
  <c r="G44" i="1"/>
  <c r="E44" i="1"/>
  <c r="H44" i="1" s="1"/>
  <c r="W44" i="1" s="1"/>
  <c r="D44" i="1"/>
  <c r="V44" i="1" s="1"/>
  <c r="T43" i="1"/>
  <c r="P43" i="1"/>
  <c r="G43" i="1"/>
  <c r="E43" i="1"/>
  <c r="H43" i="1" s="1"/>
  <c r="D43" i="1"/>
  <c r="V43" i="1" s="1"/>
  <c r="H42" i="1"/>
  <c r="I42" i="1" s="1"/>
  <c r="G42" i="1"/>
  <c r="E42" i="1"/>
  <c r="D42" i="1"/>
  <c r="V42" i="1" s="1"/>
  <c r="L41" i="1"/>
  <c r="G41" i="1"/>
  <c r="E41" i="1"/>
  <c r="H41" i="1" s="1"/>
  <c r="D41" i="1"/>
  <c r="V41" i="1" s="1"/>
  <c r="T40" i="1"/>
  <c r="P40" i="1"/>
  <c r="L40" i="1"/>
  <c r="G40" i="1"/>
  <c r="E40" i="1"/>
  <c r="H40" i="1" s="1"/>
  <c r="D40" i="1"/>
  <c r="V40" i="1" s="1"/>
  <c r="L39" i="1"/>
  <c r="G39" i="1"/>
  <c r="E39" i="1"/>
  <c r="H39" i="1" s="1"/>
  <c r="W39" i="1" s="1"/>
  <c r="D39" i="1"/>
  <c r="V39" i="1" s="1"/>
  <c r="B39" i="5"/>
  <c r="D39" i="5" s="1"/>
  <c r="C39" i="5"/>
  <c r="C38" i="5"/>
  <c r="B38" i="5"/>
  <c r="D38" i="5" s="1"/>
  <c r="B37" i="5"/>
  <c r="D37" i="5" s="1"/>
  <c r="C37" i="5"/>
  <c r="C36" i="5"/>
  <c r="B35" i="5"/>
  <c r="D35" i="5" s="1"/>
  <c r="C35" i="5"/>
  <c r="C34" i="5"/>
  <c r="B34" i="5"/>
  <c r="D34" i="5" s="1"/>
  <c r="B33" i="5"/>
  <c r="D33" i="5" s="1"/>
  <c r="C33" i="5"/>
  <c r="C32" i="5"/>
  <c r="B31" i="5"/>
  <c r="D31" i="5" s="1"/>
  <c r="C31" i="5"/>
  <c r="C30" i="5"/>
  <c r="B30" i="5"/>
  <c r="D30" i="5" s="1"/>
  <c r="C29" i="5"/>
  <c r="B29" i="5"/>
  <c r="D29" i="5" s="1"/>
  <c r="C28" i="5"/>
  <c r="C27" i="5"/>
  <c r="B26" i="5"/>
  <c r="D26" i="5" s="1"/>
  <c r="C25" i="5"/>
  <c r="C24" i="5"/>
  <c r="C23" i="5"/>
  <c r="B23" i="5"/>
  <c r="D23" i="5" s="1"/>
  <c r="C22" i="5"/>
  <c r="B22" i="5"/>
  <c r="D22" i="5" s="1"/>
  <c r="B21" i="5"/>
  <c r="D21" i="5" s="1"/>
  <c r="C21" i="5"/>
  <c r="C20" i="5"/>
  <c r="C19" i="5"/>
  <c r="C18" i="5"/>
  <c r="B18" i="5"/>
  <c r="D18" i="5" s="1"/>
  <c r="B17" i="5"/>
  <c r="D17" i="5" s="1"/>
  <c r="C17" i="5"/>
  <c r="C16" i="5"/>
  <c r="C44" i="5"/>
  <c r="B43" i="5"/>
  <c r="D43" i="5" s="1"/>
  <c r="C42" i="5"/>
  <c r="B41" i="5"/>
  <c r="D41" i="5" s="1"/>
  <c r="C40" i="5"/>
  <c r="L25" i="1"/>
  <c r="G25" i="1"/>
  <c r="E25" i="1"/>
  <c r="H25" i="1" s="1"/>
  <c r="D25" i="1"/>
  <c r="V25" i="1" s="1"/>
  <c r="G24" i="1"/>
  <c r="E24" i="1"/>
  <c r="H24" i="1" s="1"/>
  <c r="D24" i="1"/>
  <c r="T24" i="1" s="1"/>
  <c r="L23" i="1"/>
  <c r="G23" i="1"/>
  <c r="E23" i="1"/>
  <c r="H23" i="1" s="1"/>
  <c r="W23" i="1" s="1"/>
  <c r="D23" i="1"/>
  <c r="V23" i="1" s="1"/>
  <c r="L22" i="1"/>
  <c r="G22" i="1"/>
  <c r="E22" i="1"/>
  <c r="H22" i="1" s="1"/>
  <c r="D22" i="1"/>
  <c r="T22" i="1" s="1"/>
  <c r="L21" i="1"/>
  <c r="G21" i="1"/>
  <c r="E21" i="1"/>
  <c r="H21" i="1" s="1"/>
  <c r="W21" i="1" s="1"/>
  <c r="D21" i="1"/>
  <c r="V21" i="1" s="1"/>
  <c r="G20" i="1"/>
  <c r="E20" i="1"/>
  <c r="H20" i="1" s="1"/>
  <c r="D20" i="1"/>
  <c r="T20" i="1" s="1"/>
  <c r="L19" i="1"/>
  <c r="G19" i="1"/>
  <c r="E19" i="1"/>
  <c r="H19" i="1" s="1"/>
  <c r="D19" i="1"/>
  <c r="V19" i="1" s="1"/>
  <c r="L18" i="1"/>
  <c r="G18" i="1"/>
  <c r="E18" i="1"/>
  <c r="H18" i="1" s="1"/>
  <c r="D18" i="1"/>
  <c r="T18" i="1" s="1"/>
  <c r="L17" i="1"/>
  <c r="G17" i="1"/>
  <c r="E17" i="1"/>
  <c r="H17" i="1" s="1"/>
  <c r="D17" i="1"/>
  <c r="V17" i="1" s="1"/>
  <c r="G16" i="1"/>
  <c r="E16" i="1"/>
  <c r="H16" i="1" s="1"/>
  <c r="D16" i="1"/>
  <c r="T16" i="1" s="1"/>
  <c r="G15" i="1"/>
  <c r="E15" i="1"/>
  <c r="H15" i="1" s="1"/>
  <c r="D15" i="1"/>
  <c r="V15" i="1" s="1"/>
  <c r="L14" i="1"/>
  <c r="G14" i="1"/>
  <c r="E14" i="1"/>
  <c r="H14" i="1" s="1"/>
  <c r="D14" i="1"/>
  <c r="T14" i="1" s="1"/>
  <c r="G13" i="1"/>
  <c r="E13" i="1"/>
  <c r="H13" i="1" s="1"/>
  <c r="D13" i="1"/>
  <c r="V13" i="1" s="1"/>
  <c r="G12" i="1"/>
  <c r="E12" i="1"/>
  <c r="H12" i="1" s="1"/>
  <c r="D12" i="1"/>
  <c r="T12" i="1" s="1"/>
  <c r="G11" i="1"/>
  <c r="E11" i="1"/>
  <c r="H11" i="1" s="1"/>
  <c r="D11" i="1"/>
  <c r="V11" i="1" s="1"/>
  <c r="G10" i="1"/>
  <c r="E10" i="1"/>
  <c r="H10" i="1" s="1"/>
  <c r="D10" i="1"/>
  <c r="T10" i="1" s="1"/>
  <c r="L33" i="1"/>
  <c r="G33" i="1"/>
  <c r="E33" i="1"/>
  <c r="H33" i="1" s="1"/>
  <c r="D33" i="1"/>
  <c r="V33" i="1" s="1"/>
  <c r="G32" i="1"/>
  <c r="E32" i="1"/>
  <c r="H32" i="1" s="1"/>
  <c r="D32" i="1"/>
  <c r="T32" i="1" s="1"/>
  <c r="L31" i="1"/>
  <c r="G31" i="1"/>
  <c r="E31" i="1"/>
  <c r="H31" i="1" s="1"/>
  <c r="D31" i="1"/>
  <c r="V31" i="1" s="1"/>
  <c r="L30" i="1"/>
  <c r="G30" i="1"/>
  <c r="E30" i="1"/>
  <c r="H30" i="1" s="1"/>
  <c r="D30" i="1"/>
  <c r="T30" i="1" s="1"/>
  <c r="L29" i="1"/>
  <c r="G29" i="1"/>
  <c r="E29" i="1"/>
  <c r="H29" i="1" s="1"/>
  <c r="D29" i="1"/>
  <c r="V29" i="1" s="1"/>
  <c r="G28" i="1"/>
  <c r="E28" i="1"/>
  <c r="H28" i="1" s="1"/>
  <c r="D28" i="1"/>
  <c r="T28" i="1" s="1"/>
  <c r="L27" i="1"/>
  <c r="G27" i="1"/>
  <c r="E27" i="1"/>
  <c r="H27" i="1" s="1"/>
  <c r="D27" i="1"/>
  <c r="V27" i="1" s="1"/>
  <c r="L26" i="1"/>
  <c r="G26" i="1"/>
  <c r="E26" i="1"/>
  <c r="H26" i="1" s="1"/>
  <c r="D26" i="1"/>
  <c r="T26" i="1" s="1"/>
  <c r="L37" i="1"/>
  <c r="G37" i="1"/>
  <c r="E37" i="1"/>
  <c r="H37" i="1" s="1"/>
  <c r="D37" i="1"/>
  <c r="V37" i="1" s="1"/>
  <c r="G36" i="1"/>
  <c r="E36" i="1"/>
  <c r="H36" i="1" s="1"/>
  <c r="D36" i="1"/>
  <c r="T36" i="1" s="1"/>
  <c r="L35" i="1"/>
  <c r="G35" i="1"/>
  <c r="E35" i="1"/>
  <c r="H35" i="1" s="1"/>
  <c r="G41" i="5" s="1"/>
  <c r="D35" i="1"/>
  <c r="V35" i="1" s="1"/>
  <c r="G34" i="1"/>
  <c r="E34" i="1"/>
  <c r="H34" i="1" s="1"/>
  <c r="D34" i="1"/>
  <c r="T34" i="1" s="1"/>
  <c r="V45" i="5" l="1"/>
  <c r="G49" i="5"/>
  <c r="V47" i="5"/>
  <c r="L49" i="5"/>
  <c r="H52" i="5"/>
  <c r="H54" i="5"/>
  <c r="V54" i="5"/>
  <c r="G56" i="5"/>
  <c r="G61" i="5"/>
  <c r="S61" i="5" s="1"/>
  <c r="L48" i="5"/>
  <c r="L56" i="5"/>
  <c r="U47" i="5"/>
  <c r="K57" i="5"/>
  <c r="U60" i="5"/>
  <c r="T58" i="5"/>
  <c r="H58" i="5"/>
  <c r="T51" i="5"/>
  <c r="K51" i="5"/>
  <c r="H51" i="5"/>
  <c r="K48" i="5"/>
  <c r="I57" i="5"/>
  <c r="K54" i="5"/>
  <c r="H48" i="5"/>
  <c r="H57" i="5"/>
  <c r="H46" i="5"/>
  <c r="K60" i="5"/>
  <c r="H60" i="5"/>
  <c r="I51" i="5"/>
  <c r="K47" i="5"/>
  <c r="K50" i="5"/>
  <c r="I50" i="5"/>
  <c r="H50" i="5"/>
  <c r="T50" i="5"/>
  <c r="S50" i="5"/>
  <c r="T61" i="5"/>
  <c r="L61" i="5"/>
  <c r="K61" i="5"/>
  <c r="I61" i="5"/>
  <c r="H61" i="5"/>
  <c r="U61" i="5"/>
  <c r="K56" i="5"/>
  <c r="I56" i="5"/>
  <c r="H56" i="5"/>
  <c r="S56" i="5"/>
  <c r="T56" i="5"/>
  <c r="L62" i="5"/>
  <c r="K62" i="5"/>
  <c r="I62" i="5"/>
  <c r="H62" i="5"/>
  <c r="S62" i="5"/>
  <c r="T62" i="5"/>
  <c r="I46" i="5"/>
  <c r="G47" i="5"/>
  <c r="L51" i="5"/>
  <c r="I52" i="5"/>
  <c r="G53" i="5"/>
  <c r="S53" i="5" s="1"/>
  <c r="L57" i="5"/>
  <c r="I58" i="5"/>
  <c r="G59" i="5"/>
  <c r="S59" i="5" s="1"/>
  <c r="K46" i="5"/>
  <c r="H47" i="5"/>
  <c r="D49" i="5"/>
  <c r="K49" i="5" s="1"/>
  <c r="U50" i="5"/>
  <c r="S51" i="5"/>
  <c r="K52" i="5"/>
  <c r="H53" i="5"/>
  <c r="D55" i="5"/>
  <c r="U56" i="5"/>
  <c r="S57" i="5"/>
  <c r="K58" i="5"/>
  <c r="H59" i="5"/>
  <c r="U62" i="5"/>
  <c r="L46" i="5"/>
  <c r="I47" i="5"/>
  <c r="G48" i="5"/>
  <c r="V50" i="5"/>
  <c r="L52" i="5"/>
  <c r="I53" i="5"/>
  <c r="G54" i="5"/>
  <c r="S54" i="5" s="1"/>
  <c r="L58" i="5"/>
  <c r="I59" i="5"/>
  <c r="G60" i="5"/>
  <c r="S60" i="5" s="1"/>
  <c r="V62" i="5"/>
  <c r="S46" i="5"/>
  <c r="U51" i="5"/>
  <c r="S52" i="5"/>
  <c r="K53" i="5"/>
  <c r="U57" i="5"/>
  <c r="S58" i="5"/>
  <c r="K59" i="5"/>
  <c r="T46" i="5"/>
  <c r="I48" i="5"/>
  <c r="V51" i="5"/>
  <c r="T52" i="5"/>
  <c r="I54" i="5"/>
  <c r="V57" i="5"/>
  <c r="L59" i="5"/>
  <c r="I60" i="5"/>
  <c r="S47" i="5"/>
  <c r="U58" i="5"/>
  <c r="V46" i="5"/>
  <c r="T47" i="5"/>
  <c r="V52" i="5"/>
  <c r="T53" i="5"/>
  <c r="V58" i="5"/>
  <c r="L60" i="5"/>
  <c r="S48" i="5"/>
  <c r="U59" i="5"/>
  <c r="T48" i="5"/>
  <c r="T54" i="5"/>
  <c r="T60" i="5"/>
  <c r="H45" i="5"/>
  <c r="I45" i="5"/>
  <c r="K45" i="5"/>
  <c r="L45" i="5"/>
  <c r="S45" i="5"/>
  <c r="U45" i="5"/>
  <c r="I54" i="1"/>
  <c r="M54" i="1"/>
  <c r="J54" i="1"/>
  <c r="W49" i="1"/>
  <c r="J49" i="1"/>
  <c r="I49" i="1"/>
  <c r="I41" i="1"/>
  <c r="O41" i="1"/>
  <c r="N41" i="1"/>
  <c r="M41" i="1"/>
  <c r="J41" i="1"/>
  <c r="W55" i="1"/>
  <c r="J55" i="1"/>
  <c r="I55" i="1"/>
  <c r="I47" i="1"/>
  <c r="O47" i="1"/>
  <c r="N47" i="1"/>
  <c r="M47" i="1"/>
  <c r="J47" i="1"/>
  <c r="W43" i="1"/>
  <c r="J43" i="1"/>
  <c r="I43" i="1"/>
  <c r="I53" i="1"/>
  <c r="J53" i="1"/>
  <c r="M53" i="1"/>
  <c r="O53" i="1"/>
  <c r="N53" i="1"/>
  <c r="I48" i="1"/>
  <c r="M48" i="1"/>
  <c r="J48" i="1"/>
  <c r="M42" i="1"/>
  <c r="J42" i="1"/>
  <c r="W19" i="1"/>
  <c r="P52" i="1"/>
  <c r="T52" i="1"/>
  <c r="W17" i="1"/>
  <c r="T50" i="1"/>
  <c r="P54" i="1"/>
  <c r="O45" i="1"/>
  <c r="N45" i="1"/>
  <c r="M45" i="1"/>
  <c r="J45" i="1"/>
  <c r="I45" i="1"/>
  <c r="W45" i="1"/>
  <c r="O52" i="1"/>
  <c r="N52" i="1"/>
  <c r="M52" i="1"/>
  <c r="J52" i="1"/>
  <c r="I52" i="1"/>
  <c r="W52" i="1"/>
  <c r="O40" i="1"/>
  <c r="N40" i="1"/>
  <c r="M40" i="1"/>
  <c r="J40" i="1"/>
  <c r="I40" i="1"/>
  <c r="W40" i="1"/>
  <c r="O46" i="1"/>
  <c r="N46" i="1"/>
  <c r="M46" i="1"/>
  <c r="J46" i="1"/>
  <c r="I46" i="1"/>
  <c r="W46" i="1"/>
  <c r="O51" i="1"/>
  <c r="N51" i="1"/>
  <c r="M51" i="1"/>
  <c r="J51" i="1"/>
  <c r="I51" i="1"/>
  <c r="W51" i="1"/>
  <c r="P41" i="1"/>
  <c r="N42" i="1"/>
  <c r="I44" i="1"/>
  <c r="P47" i="1"/>
  <c r="N48" i="1"/>
  <c r="I50" i="1"/>
  <c r="P53" i="1"/>
  <c r="N54" i="1"/>
  <c r="I56" i="1"/>
  <c r="V45" i="1"/>
  <c r="T17" i="1"/>
  <c r="T41" i="1"/>
  <c r="O42" i="1"/>
  <c r="M43" i="1"/>
  <c r="J44" i="1"/>
  <c r="T47" i="1"/>
  <c r="O48" i="1"/>
  <c r="M49" i="1"/>
  <c r="J50" i="1"/>
  <c r="T53" i="1"/>
  <c r="O54" i="1"/>
  <c r="M55" i="1"/>
  <c r="J56" i="1"/>
  <c r="P42" i="1"/>
  <c r="N43" i="1"/>
  <c r="P48" i="1"/>
  <c r="N49" i="1"/>
  <c r="N55" i="1"/>
  <c r="W41" i="1"/>
  <c r="T42" i="1"/>
  <c r="O43" i="1"/>
  <c r="M44" i="1"/>
  <c r="W47" i="1"/>
  <c r="T48" i="1"/>
  <c r="O49" i="1"/>
  <c r="M50" i="1"/>
  <c r="W53" i="1"/>
  <c r="T54" i="1"/>
  <c r="O55" i="1"/>
  <c r="M56" i="1"/>
  <c r="N44" i="1"/>
  <c r="N50" i="1"/>
  <c r="P55" i="1"/>
  <c r="N56" i="1"/>
  <c r="V51" i="1"/>
  <c r="W42" i="1"/>
  <c r="O44" i="1"/>
  <c r="W48" i="1"/>
  <c r="O50" i="1"/>
  <c r="W54" i="1"/>
  <c r="T55" i="1"/>
  <c r="O56" i="1"/>
  <c r="P44" i="1"/>
  <c r="P50" i="1"/>
  <c r="P56" i="1"/>
  <c r="T56" i="1"/>
  <c r="P45" i="1"/>
  <c r="P51" i="1"/>
  <c r="W13" i="1"/>
  <c r="I39" i="1"/>
  <c r="J39" i="1"/>
  <c r="V39" i="5"/>
  <c r="W31" i="1"/>
  <c r="M39" i="1"/>
  <c r="N39" i="1"/>
  <c r="O39" i="1"/>
  <c r="T31" i="1"/>
  <c r="W11" i="1"/>
  <c r="P39" i="1"/>
  <c r="T39" i="1"/>
  <c r="V18" i="5"/>
  <c r="G26" i="5"/>
  <c r="S26" i="5" s="1"/>
  <c r="L26" i="5"/>
  <c r="V26" i="5"/>
  <c r="L38" i="5"/>
  <c r="G38" i="5"/>
  <c r="S38" i="5" s="1"/>
  <c r="V38" i="5"/>
  <c r="L22" i="5"/>
  <c r="G22" i="5"/>
  <c r="S22" i="5" s="1"/>
  <c r="V34" i="5"/>
  <c r="G34" i="5"/>
  <c r="S34" i="5" s="1"/>
  <c r="L30" i="5"/>
  <c r="G30" i="5"/>
  <c r="S30" i="5" s="1"/>
  <c r="W15" i="1"/>
  <c r="L27" i="5"/>
  <c r="W33" i="1"/>
  <c r="W25" i="1"/>
  <c r="K37" i="5"/>
  <c r="U31" i="5"/>
  <c r="V25" i="5"/>
  <c r="G19" i="5"/>
  <c r="M36" i="1"/>
  <c r="G42" i="5"/>
  <c r="T13" i="1"/>
  <c r="P19" i="1"/>
  <c r="G29" i="5"/>
  <c r="S29" i="5" s="1"/>
  <c r="V23" i="5"/>
  <c r="V17" i="5"/>
  <c r="U18" i="5"/>
  <c r="U30" i="5"/>
  <c r="V30" i="5"/>
  <c r="V35" i="5"/>
  <c r="H35" i="5"/>
  <c r="H39" i="5"/>
  <c r="T29" i="5"/>
  <c r="K33" i="5"/>
  <c r="H33" i="5"/>
  <c r="T30" i="5"/>
  <c r="T33" i="5"/>
  <c r="U33" i="5"/>
  <c r="U38" i="5"/>
  <c r="T37" i="5"/>
  <c r="T38" i="5"/>
  <c r="L34" i="5"/>
  <c r="T34" i="5"/>
  <c r="I33" i="5"/>
  <c r="U34" i="5"/>
  <c r="K35" i="5"/>
  <c r="V22" i="5"/>
  <c r="B27" i="5"/>
  <c r="D27" i="5" s="1"/>
  <c r="B28" i="5"/>
  <c r="D28" i="5" s="1"/>
  <c r="H28" i="5" s="1"/>
  <c r="H30" i="5"/>
  <c r="T31" i="5"/>
  <c r="B32" i="5"/>
  <c r="D32" i="5" s="1"/>
  <c r="U32" i="5" s="1"/>
  <c r="G33" i="5"/>
  <c r="S33" i="5" s="1"/>
  <c r="L33" i="5"/>
  <c r="V33" i="5"/>
  <c r="H34" i="5"/>
  <c r="I35" i="5"/>
  <c r="T35" i="5"/>
  <c r="B36" i="5"/>
  <c r="D36" i="5" s="1"/>
  <c r="I36" i="5" s="1"/>
  <c r="H38" i="5"/>
  <c r="I39" i="5"/>
  <c r="T39" i="5"/>
  <c r="B40" i="5"/>
  <c r="D40" i="5" s="1"/>
  <c r="U40" i="5" s="1"/>
  <c r="B19" i="5"/>
  <c r="D19" i="5" s="1"/>
  <c r="B25" i="5"/>
  <c r="D25" i="5" s="1"/>
  <c r="T25" i="5" s="1"/>
  <c r="C26" i="5"/>
  <c r="I26" i="5" s="1"/>
  <c r="G28" i="5"/>
  <c r="V28" i="5"/>
  <c r="I30" i="5"/>
  <c r="G32" i="5"/>
  <c r="L32" i="5"/>
  <c r="I34" i="5"/>
  <c r="U35" i="5"/>
  <c r="G36" i="5"/>
  <c r="L36" i="5"/>
  <c r="V36" i="5"/>
  <c r="I38" i="5"/>
  <c r="K39" i="5"/>
  <c r="U39" i="5"/>
  <c r="V41" i="5"/>
  <c r="G18" i="5"/>
  <c r="S18" i="5" s="1"/>
  <c r="K30" i="5"/>
  <c r="K34" i="5"/>
  <c r="G35" i="5"/>
  <c r="S35" i="5" s="1"/>
  <c r="L35" i="5"/>
  <c r="K38" i="5"/>
  <c r="G39" i="5"/>
  <c r="S39" i="5" s="1"/>
  <c r="L39" i="5"/>
  <c r="I21" i="5"/>
  <c r="U22" i="5"/>
  <c r="T26" i="5"/>
  <c r="H21" i="5"/>
  <c r="T17" i="5"/>
  <c r="T21" i="5"/>
  <c r="U21" i="5"/>
  <c r="T18" i="5"/>
  <c r="L18" i="5"/>
  <c r="T22" i="5"/>
  <c r="U26" i="5"/>
  <c r="K21" i="5"/>
  <c r="V40" i="5"/>
  <c r="C41" i="5"/>
  <c r="K41" i="5" s="1"/>
  <c r="B44" i="5"/>
  <c r="D44" i="5" s="1"/>
  <c r="B16" i="5"/>
  <c r="D16" i="5" s="1"/>
  <c r="U16" i="5" s="1"/>
  <c r="H18" i="5"/>
  <c r="B20" i="5"/>
  <c r="D20" i="5" s="1"/>
  <c r="I20" i="5" s="1"/>
  <c r="G21" i="5"/>
  <c r="S21" i="5" s="1"/>
  <c r="L21" i="5"/>
  <c r="V21" i="5"/>
  <c r="H22" i="5"/>
  <c r="T23" i="5"/>
  <c r="B24" i="5"/>
  <c r="D24" i="5" s="1"/>
  <c r="I24" i="5" s="1"/>
  <c r="G40" i="5"/>
  <c r="G16" i="5"/>
  <c r="V16" i="5"/>
  <c r="I18" i="5"/>
  <c r="G20" i="5"/>
  <c r="V20" i="5"/>
  <c r="I22" i="5"/>
  <c r="G24" i="5"/>
  <c r="L24" i="5"/>
  <c r="V24" i="5"/>
  <c r="L40" i="5"/>
  <c r="K18" i="5"/>
  <c r="K22" i="5"/>
  <c r="T43" i="5"/>
  <c r="U41" i="5"/>
  <c r="L41" i="5"/>
  <c r="S41" i="5"/>
  <c r="T41" i="5"/>
  <c r="B42" i="5"/>
  <c r="D42" i="5" s="1"/>
  <c r="C43" i="5"/>
  <c r="K43" i="5" s="1"/>
  <c r="G43" i="5"/>
  <c r="S43" i="5" s="1"/>
  <c r="L43" i="5"/>
  <c r="V43" i="5"/>
  <c r="U43" i="5"/>
  <c r="P13" i="1"/>
  <c r="P27" i="1"/>
  <c r="M34" i="1"/>
  <c r="W27" i="1"/>
  <c r="T27" i="1"/>
  <c r="P31" i="1"/>
  <c r="P17" i="1"/>
  <c r="T19" i="1"/>
  <c r="P23" i="1"/>
  <c r="T23" i="1"/>
  <c r="P29" i="1"/>
  <c r="P11" i="1"/>
  <c r="P21" i="1"/>
  <c r="P37" i="1"/>
  <c r="W29" i="1"/>
  <c r="T29" i="1"/>
  <c r="P33" i="1"/>
  <c r="T11" i="1"/>
  <c r="P15" i="1"/>
  <c r="T21" i="1"/>
  <c r="P25" i="1"/>
  <c r="P35" i="1"/>
  <c r="T33" i="1"/>
  <c r="T15" i="1"/>
  <c r="T25" i="1"/>
  <c r="M12" i="1"/>
  <c r="W12" i="1"/>
  <c r="O12" i="1"/>
  <c r="I12" i="1"/>
  <c r="M22" i="1"/>
  <c r="J22" i="1"/>
  <c r="W22" i="1"/>
  <c r="O22" i="1"/>
  <c r="N22" i="1"/>
  <c r="I22" i="1"/>
  <c r="M10" i="1"/>
  <c r="W10" i="1"/>
  <c r="O10" i="1"/>
  <c r="I10" i="1"/>
  <c r="M16" i="1"/>
  <c r="W16" i="1"/>
  <c r="O16" i="1"/>
  <c r="J16" i="1"/>
  <c r="N16" i="1"/>
  <c r="I16" i="1"/>
  <c r="M14" i="1"/>
  <c r="W14" i="1"/>
  <c r="O14" i="1"/>
  <c r="J14" i="1"/>
  <c r="N14" i="1"/>
  <c r="I14" i="1"/>
  <c r="M20" i="1"/>
  <c r="W20" i="1"/>
  <c r="O20" i="1"/>
  <c r="J20" i="1"/>
  <c r="N20" i="1"/>
  <c r="I20" i="1"/>
  <c r="M18" i="1"/>
  <c r="W18" i="1"/>
  <c r="O18" i="1"/>
  <c r="J18" i="1"/>
  <c r="N18" i="1"/>
  <c r="I18" i="1"/>
  <c r="M24" i="1"/>
  <c r="W24" i="1"/>
  <c r="O24" i="1"/>
  <c r="J24" i="1"/>
  <c r="N24" i="1"/>
  <c r="I24" i="1"/>
  <c r="V10" i="1"/>
  <c r="V12" i="1"/>
  <c r="V14" i="1"/>
  <c r="V16" i="1"/>
  <c r="V18" i="1"/>
  <c r="V20" i="1"/>
  <c r="V22" i="1"/>
  <c r="V24" i="1"/>
  <c r="M13" i="1"/>
  <c r="M17" i="1"/>
  <c r="M21" i="1"/>
  <c r="P10" i="1"/>
  <c r="I11" i="1"/>
  <c r="P12" i="1"/>
  <c r="I13" i="1"/>
  <c r="N13" i="1"/>
  <c r="P14" i="1"/>
  <c r="I15" i="1"/>
  <c r="N15" i="1"/>
  <c r="P16" i="1"/>
  <c r="I17" i="1"/>
  <c r="N17" i="1"/>
  <c r="P18" i="1"/>
  <c r="I19" i="1"/>
  <c r="N19" i="1"/>
  <c r="P20" i="1"/>
  <c r="I21" i="1"/>
  <c r="N21" i="1"/>
  <c r="P22" i="1"/>
  <c r="I23" i="1"/>
  <c r="N23" i="1"/>
  <c r="P24" i="1"/>
  <c r="I25" i="1"/>
  <c r="N25" i="1"/>
  <c r="M11" i="1"/>
  <c r="M15" i="1"/>
  <c r="M19" i="1"/>
  <c r="M23" i="1"/>
  <c r="M25" i="1"/>
  <c r="I34" i="1"/>
  <c r="O11" i="1"/>
  <c r="J13" i="1"/>
  <c r="O13" i="1"/>
  <c r="J15" i="1"/>
  <c r="O15" i="1"/>
  <c r="J17" i="1"/>
  <c r="O17" i="1"/>
  <c r="J19" i="1"/>
  <c r="O19" i="1"/>
  <c r="J21" i="1"/>
  <c r="O21" i="1"/>
  <c r="J23" i="1"/>
  <c r="O23" i="1"/>
  <c r="J25" i="1"/>
  <c r="O25" i="1"/>
  <c r="M30" i="1"/>
  <c r="N30" i="1"/>
  <c r="I30" i="1"/>
  <c r="W30" i="1"/>
  <c r="O30" i="1"/>
  <c r="J30" i="1"/>
  <c r="M28" i="1"/>
  <c r="W28" i="1"/>
  <c r="O28" i="1"/>
  <c r="J28" i="1"/>
  <c r="N28" i="1"/>
  <c r="I28" i="1"/>
  <c r="M26" i="1"/>
  <c r="N26" i="1"/>
  <c r="I26" i="1"/>
  <c r="W26" i="1"/>
  <c r="O26" i="1"/>
  <c r="J26" i="1"/>
  <c r="M32" i="1"/>
  <c r="N32" i="1"/>
  <c r="I32" i="1"/>
  <c r="W32" i="1"/>
  <c r="O32" i="1"/>
  <c r="J32" i="1"/>
  <c r="V28" i="1"/>
  <c r="M27" i="1"/>
  <c r="M29" i="1"/>
  <c r="M31" i="1"/>
  <c r="M33" i="1"/>
  <c r="P30" i="1"/>
  <c r="P32" i="1"/>
  <c r="I33" i="1"/>
  <c r="N33" i="1"/>
  <c r="V26" i="1"/>
  <c r="V30" i="1"/>
  <c r="V32" i="1"/>
  <c r="P26" i="1"/>
  <c r="I27" i="1"/>
  <c r="N27" i="1"/>
  <c r="P28" i="1"/>
  <c r="I29" i="1"/>
  <c r="N29" i="1"/>
  <c r="I31" i="1"/>
  <c r="N31" i="1"/>
  <c r="J27" i="1"/>
  <c r="O27" i="1"/>
  <c r="J29" i="1"/>
  <c r="O29" i="1"/>
  <c r="J31" i="1"/>
  <c r="O31" i="1"/>
  <c r="J33" i="1"/>
  <c r="O33" i="1"/>
  <c r="W37" i="1"/>
  <c r="O37" i="1"/>
  <c r="J37" i="1"/>
  <c r="N37" i="1"/>
  <c r="I37" i="1"/>
  <c r="M37" i="1"/>
  <c r="W35" i="1"/>
  <c r="O35" i="1"/>
  <c r="J35" i="1"/>
  <c r="N35" i="1"/>
  <c r="I35" i="1"/>
  <c r="M35" i="1"/>
  <c r="I36" i="1"/>
  <c r="N36" i="1"/>
  <c r="V36" i="1"/>
  <c r="J34" i="1"/>
  <c r="O34" i="1"/>
  <c r="W34" i="1"/>
  <c r="T35" i="1"/>
  <c r="J36" i="1"/>
  <c r="O36" i="1"/>
  <c r="W36" i="1"/>
  <c r="T37" i="1"/>
  <c r="N34" i="1"/>
  <c r="V34" i="1"/>
  <c r="P34" i="1"/>
  <c r="P36" i="1"/>
  <c r="I28" i="5" l="1"/>
  <c r="H23" i="5"/>
  <c r="G27" i="5"/>
  <c r="K23" i="5"/>
  <c r="L28" i="5"/>
  <c r="K24" i="5"/>
  <c r="V37" i="5"/>
  <c r="I37" i="5"/>
  <c r="G37" i="5"/>
  <c r="S37" i="5" s="1"/>
  <c r="T55" i="5"/>
  <c r="S55" i="5"/>
  <c r="I55" i="5"/>
  <c r="H55" i="5"/>
  <c r="U55" i="5"/>
  <c r="H29" i="5"/>
  <c r="I23" i="5"/>
  <c r="T49" i="5"/>
  <c r="S49" i="5"/>
  <c r="I49" i="5"/>
  <c r="H49" i="5"/>
  <c r="U49" i="5"/>
  <c r="K55" i="5"/>
  <c r="K36" i="5"/>
  <c r="V27" i="5"/>
  <c r="U27" i="5"/>
  <c r="I29" i="5"/>
  <c r="K29" i="5"/>
  <c r="H17" i="5"/>
  <c r="U29" i="5"/>
  <c r="I17" i="5"/>
  <c r="L17" i="5"/>
  <c r="L37" i="5"/>
  <c r="I31" i="5"/>
  <c r="V29" i="5"/>
  <c r="L31" i="5"/>
  <c r="H37" i="5"/>
  <c r="H31" i="5"/>
  <c r="L42" i="5"/>
  <c r="L29" i="5"/>
  <c r="U37" i="5"/>
  <c r="V19" i="5"/>
  <c r="I42" i="5"/>
  <c r="L19" i="5"/>
  <c r="S19" i="5"/>
  <c r="G25" i="5"/>
  <c r="S25" i="5" s="1"/>
  <c r="G17" i="5"/>
  <c r="S17" i="5" s="1"/>
  <c r="K17" i="5"/>
  <c r="G31" i="5"/>
  <c r="S31" i="5" s="1"/>
  <c r="L25" i="5"/>
  <c r="K31" i="5"/>
  <c r="K19" i="5"/>
  <c r="L23" i="5"/>
  <c r="G23" i="5"/>
  <c r="S23" i="5" s="1"/>
  <c r="I27" i="5"/>
  <c r="V42" i="5"/>
  <c r="H27" i="5"/>
  <c r="K26" i="5"/>
  <c r="U17" i="5"/>
  <c r="V31" i="5"/>
  <c r="H26" i="5"/>
  <c r="U23" i="5"/>
  <c r="L16" i="5"/>
  <c r="H24" i="5"/>
  <c r="V32" i="5"/>
  <c r="H41" i="5"/>
  <c r="K32" i="5"/>
  <c r="T19" i="5"/>
  <c r="H19" i="5"/>
  <c r="K27" i="5"/>
  <c r="I16" i="5"/>
  <c r="K16" i="5"/>
  <c r="K28" i="5"/>
  <c r="K42" i="5"/>
  <c r="U19" i="5"/>
  <c r="T27" i="5"/>
  <c r="K20" i="5"/>
  <c r="S27" i="5"/>
  <c r="I32" i="5"/>
  <c r="I19" i="5"/>
  <c r="I40" i="5"/>
  <c r="S40" i="5"/>
  <c r="T44" i="5"/>
  <c r="S36" i="5"/>
  <c r="T36" i="5"/>
  <c r="I41" i="5"/>
  <c r="T40" i="5"/>
  <c r="U25" i="5"/>
  <c r="H25" i="5"/>
  <c r="S32" i="5"/>
  <c r="T32" i="5"/>
  <c r="H32" i="5"/>
  <c r="S28" i="5"/>
  <c r="T28" i="5"/>
  <c r="H40" i="5"/>
  <c r="K40" i="5"/>
  <c r="L20" i="5"/>
  <c r="U24" i="5"/>
  <c r="U20" i="5"/>
  <c r="K25" i="5"/>
  <c r="I25" i="5"/>
  <c r="U36" i="5"/>
  <c r="U28" i="5"/>
  <c r="H36" i="5"/>
  <c r="H43" i="5"/>
  <c r="I43" i="5"/>
  <c r="H20" i="5"/>
  <c r="S24" i="5"/>
  <c r="T24" i="5"/>
  <c r="S20" i="5"/>
  <c r="T20" i="5"/>
  <c r="S16" i="5"/>
  <c r="T16" i="5"/>
  <c r="H16" i="5"/>
  <c r="S42" i="5"/>
  <c r="T42" i="5"/>
  <c r="H42" i="5"/>
  <c r="U42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41" i="3" s="1"/>
  <c r="K7" i="1"/>
  <c r="H6" i="1"/>
  <c r="R10" i="5" l="1"/>
  <c r="M48" i="3" s="1"/>
  <c r="N41" i="3" l="1"/>
  <c r="B8" i="5"/>
  <c r="B5" i="5"/>
  <c r="D9" i="1"/>
  <c r="V9" i="1" l="1"/>
  <c r="T9" i="1"/>
  <c r="P10" i="5"/>
  <c r="K48" i="3" s="1"/>
  <c r="Q10" i="5"/>
  <c r="L48" i="3" s="1"/>
  <c r="B46" i="3"/>
  <c r="C46" i="3" s="1"/>
  <c r="M14" i="5"/>
  <c r="H47" i="3" s="1"/>
  <c r="L14" i="5"/>
  <c r="G47" i="3" s="1"/>
  <c r="K14" i="5"/>
  <c r="F47" i="3" s="1"/>
  <c r="L47" i="3"/>
  <c r="K47" i="3"/>
  <c r="O14" i="5"/>
  <c r="J47" i="3" s="1"/>
  <c r="N14" i="5"/>
  <c r="I47" i="3" s="1"/>
  <c r="J14" i="5"/>
  <c r="E47" i="3" s="1"/>
  <c r="I14" i="5"/>
  <c r="D47" i="3" s="1"/>
  <c r="H14" i="5"/>
  <c r="C47" i="3" s="1"/>
  <c r="O10" i="5"/>
  <c r="J48" i="3" s="1"/>
  <c r="N10" i="5"/>
  <c r="I48" i="3" s="1"/>
  <c r="M10" i="5"/>
  <c r="H48" i="3" s="1"/>
  <c r="J10" i="5"/>
  <c r="E48" i="3" s="1"/>
  <c r="N3" i="1" l="1"/>
  <c r="M3" i="1"/>
  <c r="O3" i="1"/>
  <c r="D38" i="1"/>
  <c r="V38" i="1" l="1"/>
  <c r="T38" i="1"/>
  <c r="C15" i="5"/>
  <c r="B15" i="5"/>
  <c r="D15" i="5" s="1"/>
  <c r="V58" i="1"/>
  <c r="U12" i="5" l="1"/>
  <c r="K12" i="5"/>
  <c r="T12" i="5"/>
  <c r="H12" i="5"/>
  <c r="I12" i="5"/>
  <c r="V12" i="5"/>
  <c r="L12" i="5"/>
  <c r="S12" i="5"/>
  <c r="T15" i="5"/>
  <c r="R3" i="1" l="1"/>
  <c r="D1" i="1"/>
  <c r="F6" i="1"/>
  <c r="T13" i="5"/>
  <c r="G9" i="1" l="1"/>
  <c r="F15" i="5" s="1"/>
  <c r="G38" i="1"/>
  <c r="E9" i="1"/>
  <c r="H9" i="1" s="1"/>
  <c r="E38" i="1"/>
  <c r="H38" i="1" s="1"/>
  <c r="P9" i="1"/>
  <c r="P38" i="1"/>
  <c r="T58" i="1"/>
  <c r="L44" i="5" l="1"/>
  <c r="I44" i="5"/>
  <c r="G44" i="5"/>
  <c r="S44" i="5" s="1"/>
  <c r="V44" i="5"/>
  <c r="K44" i="5"/>
  <c r="H44" i="5"/>
  <c r="U44" i="5"/>
  <c r="N38" i="1"/>
  <c r="O38" i="1"/>
  <c r="M38" i="1"/>
  <c r="O9" i="1"/>
  <c r="M9" i="1"/>
  <c r="N9" i="1"/>
  <c r="E15" i="5"/>
  <c r="W9" i="1"/>
  <c r="W38" i="1"/>
  <c r="T7" i="1"/>
  <c r="I38" i="1"/>
  <c r="I9" i="1"/>
  <c r="W58" i="1"/>
  <c r="K15" i="5" l="1"/>
  <c r="L15" i="5"/>
  <c r="I15" i="5"/>
  <c r="H15" i="5"/>
  <c r="G15" i="5"/>
  <c r="S15" i="5" s="1"/>
  <c r="V15" i="5"/>
  <c r="U15" i="5"/>
  <c r="G6" i="1"/>
  <c r="H13" i="5"/>
  <c r="S13" i="5"/>
  <c r="U13" i="5"/>
  <c r="L13" i="5"/>
  <c r="V13" i="5"/>
  <c r="I13" i="5"/>
  <c r="K13" i="5"/>
  <c r="K10" i="5" l="1"/>
  <c r="F48" i="3" s="1"/>
  <c r="I10" i="5"/>
  <c r="D48" i="3" s="1"/>
  <c r="H10" i="5"/>
  <c r="C48" i="3" s="1"/>
  <c r="L10" i="5"/>
  <c r="G48" i="3" s="1"/>
  <c r="L41" i="3"/>
  <c r="D41" i="3"/>
  <c r="D6" i="1"/>
  <c r="B6" i="1" l="1"/>
  <c r="L3" i="1"/>
  <c r="J3" i="1"/>
  <c r="H3" i="1"/>
  <c r="C6" i="1" l="1"/>
  <c r="P7" i="1" s="1"/>
  <c r="S3" i="1"/>
  <c r="S7" i="1" s="1"/>
  <c r="E6" i="1"/>
  <c r="F41" i="3"/>
  <c r="I3" i="1" l="1"/>
  <c r="B7" i="1"/>
  <c r="L42" i="1" l="1"/>
  <c r="L44" i="1"/>
  <c r="L43" i="1"/>
  <c r="L11" i="1"/>
  <c r="L10" i="1"/>
  <c r="L15" i="1"/>
  <c r="L13" i="1"/>
  <c r="L34" i="1"/>
  <c r="J12" i="1"/>
  <c r="J10" i="1"/>
  <c r="N12" i="1"/>
  <c r="N10" i="1"/>
  <c r="N11" i="1"/>
  <c r="J11" i="1"/>
  <c r="L24" i="1"/>
  <c r="L28" i="1"/>
  <c r="L32" i="1"/>
  <c r="L20" i="1"/>
  <c r="L16" i="1"/>
  <c r="L36" i="1"/>
  <c r="L12" i="1"/>
  <c r="L9" i="1"/>
  <c r="L38" i="1"/>
  <c r="J9" i="1"/>
  <c r="J38" i="1"/>
  <c r="C7" i="1"/>
  <c r="P58" i="1"/>
  <c r="O58" i="1"/>
  <c r="N58" i="1"/>
  <c r="J58" i="1"/>
  <c r="I58" i="1"/>
  <c r="Q7" i="1" l="1"/>
  <c r="M41" i="3" s="1"/>
  <c r="L7" i="1"/>
  <c r="G41" i="3" s="1"/>
  <c r="K41" i="3"/>
  <c r="J41" i="3"/>
  <c r="M58" i="1"/>
  <c r="K58" i="1"/>
  <c r="R7" i="1" l="1"/>
  <c r="I41" i="3" s="1"/>
  <c r="M7" i="1"/>
  <c r="H41" i="3" s="1"/>
  <c r="J7" i="1"/>
  <c r="C4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4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0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0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0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0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0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0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</authors>
  <commentList>
    <comment ref="A49" authorId="0" shapeId="0" xr:uid="{DB4E04D0-C2F3-4939-9313-14FC0C93B69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Có thể không cần trường này - for future use</t>
        </r>
      </text>
    </comment>
  </commentList>
</comments>
</file>

<file path=xl/sharedStrings.xml><?xml version="1.0" encoding="utf-8"?>
<sst xmlns="http://schemas.openxmlformats.org/spreadsheetml/2006/main" count="546" uniqueCount="338">
  <si>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</si>
  <si>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</si>
  <si>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</si>
  <si>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</si>
  <si>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</si>
  <si>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</si>
  <si>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</si>
  <si>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</si>
  <si>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</si>
  <si>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</si>
  <si>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</si>
  <si>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</si>
  <si>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</si>
  <si>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</si>
  <si>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</si>
  <si>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</si>
  <si>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</si>
  <si>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</si>
  <si>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</si>
  <si>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</si>
  <si>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</si>
  <si>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</si>
  <si>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</si>
  <si>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</si>
  <si>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</si>
  <si>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</si>
  <si>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</si>
  <si>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</si>
  <si>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</si>
  <si>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</si>
  <si>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</si>
  <si>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</si>
  <si>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</si>
  <si>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</si>
  <si>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</si>
  <si>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</si>
  <si>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</si>
  <si>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</si>
  <si>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</si>
  <si>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</si>
  <si>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</si>
  <si>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</si>
  <si>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</si>
  <si>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</si>
  <si>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</si>
  <si>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</si>
  <si>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</si>
  <si>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</si>
  <si>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</si>
  <si>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</si>
  <si>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</si>
  <si>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</si>
  <si>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</si>
  <si>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</si>
  <si>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</si>
  <si>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</si>
  <si>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</si>
  <si>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</si>
  <si>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</si>
  <si>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</si>
  <si>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</si>
  <si>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</si>
  <si>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</si>
  <si>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</si>
  <si>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</si>
  <si>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</si>
  <si>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</si>
  <si>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</si>
  <si>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</si>
  <si>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</si>
  <si>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</si>
  <si>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</si>
  <si>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</si>
  <si>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</si>
  <si>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</si>
  <si>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</si>
  <si>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</si>
  <si>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</si>
  <si>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</si>
  <si>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</si>
  <si>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</si>
  <si>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</si>
  <si>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</si>
  <si>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</si>
  <si>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</si>
  <si>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</si>
  <si>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</si>
  <si>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</si>
  <si>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</si>
  <si>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</si>
  <si>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</si>
  <si>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</si>
  <si>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</si>
  <si>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</si>
  <si>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</si>
  <si>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</si>
  <si>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</si>
  <si>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</si>
  <si>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</si>
  <si>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</si>
  <si>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</si>
  <si>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</si>
  <si>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</si>
  <si>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</si>
  <si>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</si>
  <si>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</si>
  <si>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</si>
  <si>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</si>
  <si>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</si>
  <si>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</si>
  <si>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</si>
  <si>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</si>
  <si>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</si>
  <si>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</si>
  <si>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</si>
  <si>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</si>
  <si>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</si>
  <si>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</si>
  <si>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</si>
  <si>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</si>
  <si>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</si>
  <si>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</si>
  <si>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</si>
  <si>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</si>
  <si>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</si>
  <si>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</si>
  <si>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</si>
  <si>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</si>
  <si>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</si>
  <si>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</si>
  <si>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</si>
  <si>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</si>
  <si>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</si>
  <si>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</si>
  <si>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</si>
  <si>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</si>
  <si>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</si>
  <si>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</si>
  <si>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</si>
  <si>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</si>
  <si>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</si>
  <si>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</si>
  <si>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</si>
  <si>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</si>
  <si>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</si>
  <si>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</si>
  <si>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</si>
  <si>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</si>
  <si>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</si>
  <si>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</si>
  <si>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</si>
  <si>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</si>
  <si>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</si>
  <si>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</si>
  <si>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</si>
  <si>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</si>
  <si>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</si>
  <si>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</si>
  <si>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</si>
  <si>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</si>
  <si>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</si>
  <si>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</si>
  <si>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</si>
  <si>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</si>
  <si>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</si>
  <si>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</si>
  <si>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</si>
  <si>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</si>
  <si>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</si>
  <si>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</si>
  <si>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</si>
  <si>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</si>
  <si>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</si>
  <si>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</si>
  <si>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</si>
  <si>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</si>
  <si>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</si>
  <si>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</si>
  <si>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</si>
  <si>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</si>
  <si>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</si>
  <si>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</si>
  <si>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</si>
  <si>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</si>
  <si>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</si>
  <si>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</si>
  <si>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</si>
  <si>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</si>
  <si>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</si>
  <si>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</si>
  <si>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</si>
  <si>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</si>
  <si>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</si>
  <si>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</si>
  <si>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</si>
  <si>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</si>
  <si>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</si>
  <si>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</si>
  <si>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</si>
  <si>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</si>
  <si>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</si>
  <si>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</si>
  <si>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</si>
  <si>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</si>
  <si>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</si>
  <si>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</si>
  <si>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</si>
  <si>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</si>
  <si>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</si>
  <si>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</si>
  <si>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</si>
  <si>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</si>
  <si>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</si>
  <si>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</si>
  <si>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</si>
  <si>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</si>
  <si>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</si>
  <si>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</si>
  <si>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</si>
  <si>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</si>
  <si>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</si>
  <si>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</si>
  <si>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</si>
  <si>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</si>
  <si>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</si>
  <si>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</si>
  <si>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</si>
  <si>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</si>
  <si>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</si>
  <si>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</si>
  <si>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</si>
  <si>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</si>
  <si>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</si>
  <si>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</si>
  <si>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</si>
  <si>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</si>
  <si>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</si>
  <si>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</si>
  <si>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</si>
  <si>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</si>
  <si>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</si>
  <si>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</si>
  <si>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</si>
  <si>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</si>
  <si>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</si>
  <si>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</si>
  <si>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</si>
  <si>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</si>
  <si>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</si>
  <si>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datetime2(7)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</si>
  <si>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</si>
  <si>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</si>
  <si>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</si>
  <si>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</si>
  <si>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</si>
  <si>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</si>
  <si>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</si>
  <si>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</si>
  <si>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</si>
  <si>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</si>
  <si>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</si>
  <si>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</si>
  <si>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</si>
  <si>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</si>
  <si>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</si>
  <si>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</si>
  <si>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</si>
  <si>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</si>
  <si>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</si>
  <si>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</si>
  <si>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</si>
  <si>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</si>
  <si>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</si>
  <si>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Asy</t>
  </si>
  <si>
    <t>Assy</t>
  </si>
  <si>
    <t>NO</t>
  </si>
  <si>
    <t>BODY_NO</t>
  </si>
  <si>
    <t>nvarchar(10)</t>
  </si>
  <si>
    <t>LOT_NO</t>
  </si>
  <si>
    <t>nvarchar(20)</t>
  </si>
  <si>
    <t>NO_IN_LOT</t>
  </si>
  <si>
    <t>SEQUENCE_NO</t>
  </si>
  <si>
    <t>nvarchar(25)</t>
  </si>
  <si>
    <t>nvarchar(255)</t>
  </si>
  <si>
    <t>VIN</t>
  </si>
  <si>
    <t>ENG</t>
  </si>
  <si>
    <t>TRS</t>
  </si>
  <si>
    <t>ECU</t>
  </si>
  <si>
    <t>W_IN_DATE_ACTUAL</t>
  </si>
  <si>
    <t>T_IN_PLAN_DATETIME</t>
  </si>
  <si>
    <t>PAINT_IN_TIME</t>
  </si>
  <si>
    <t>A_IN_DATE_ACTUAL</t>
  </si>
  <si>
    <t>INS_OUT_DATE_ACTUAL</t>
  </si>
  <si>
    <t>INS_LINE_OUT_VP4_DATE_ACTUAL</t>
  </si>
  <si>
    <t>DRIVER_AIR_BAG</t>
  </si>
  <si>
    <t>PASSENGER_AIR_BAG</t>
  </si>
  <si>
    <t>SIDE_AIR_BAD_LH</t>
  </si>
  <si>
    <t>SIDE_AIR_BAD_RH</t>
  </si>
  <si>
    <t>KNEE_AIR_BAD_LH</t>
  </si>
  <si>
    <t>CURTAIN_SIDE_AIR_BAD_LH</t>
  </si>
  <si>
    <t>CURTAIN_SIDE_AIR_BAD_RH</t>
  </si>
  <si>
    <t>TOTAL_DELAY</t>
  </si>
  <si>
    <t>SHIPPING_TIME</t>
  </si>
  <si>
    <t>VEHICLE_ID</t>
  </si>
  <si>
    <t>varchar(10)</t>
  </si>
  <si>
    <t>TEST_NO</t>
  </si>
  <si>
    <t>IS_PRINTED_QRCODE</t>
  </si>
  <si>
    <t>varchar(1)</t>
  </si>
  <si>
    <t>PRINTED_QRCODE_DATE</t>
  </si>
  <si>
    <t>UPDATED_DATE</t>
  </si>
  <si>
    <t>IS_PROJECT</t>
  </si>
  <si>
    <t>KEY_NO</t>
  </si>
  <si>
    <t>AsyAdoVehicleDetails</t>
  </si>
  <si>
    <t>VehicleDetails</t>
  </si>
  <si>
    <t>Assembly Andon Vehicle Details</t>
  </si>
  <si>
    <t>Assy.Andon</t>
  </si>
  <si>
    <t>CFC</t>
  </si>
  <si>
    <t>varchar(4)</t>
  </si>
  <si>
    <t>VIN_NO</t>
  </si>
  <si>
    <t>varchar(18)</t>
  </si>
  <si>
    <t>ENGINE_ID</t>
  </si>
  <si>
    <t>varchar(12)</t>
  </si>
  <si>
    <t>TRANS_ID</t>
  </si>
  <si>
    <t>SALES_SFX</t>
  </si>
  <si>
    <t>varchar(2)</t>
  </si>
  <si>
    <t>COLOR_TYPE</t>
  </si>
  <si>
    <t>INDENT_LINE</t>
  </si>
  <si>
    <t>varchar(3)</t>
  </si>
  <si>
    <t>SS_NO</t>
  </si>
  <si>
    <t>ED_NUMBER</t>
  </si>
  <si>
    <t>varchar(5)</t>
  </si>
  <si>
    <t>GOSHI_CAR</t>
  </si>
  <si>
    <t>LINEOFF_DATETIME</t>
  </si>
  <si>
    <t>LINEOFF_DATE</t>
  </si>
  <si>
    <t>LINEOFF_TIME</t>
  </si>
  <si>
    <t>PDI_DATETIME</t>
  </si>
  <si>
    <t>PDI_DATE</t>
  </si>
  <si>
    <t>PDI_TIME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</si>
</sst>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IP\Production\prod\docs\design\assembly\AsyAdoAInPlan.xlsm" TargetMode="External"/><Relationship Id="rId1" Type="http://schemas.openxmlformats.org/officeDocument/2006/relationships/externalLinkPath" Target="AsyAdoAInPl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/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"/>
  <sheetViews>
    <sheetView topLeftCell="A21" workbookViewId="0">
      <selection activeCell="C48" sqref="C48"/>
    </sheetView>
  </sheetViews>
  <sheetFormatPr defaultRowHeight="14.4" x14ac:dyDescent="0.3"/>
  <cols>
    <col min="1" max="1" width="3.5546875" customWidth="1"/>
    <col min="2" max="2" width="18.5546875" customWidth="1"/>
    <col min="3" max="5" width="26.109375" customWidth="1"/>
    <col min="6" max="6" width="29.44140625" customWidth="1"/>
    <col min="7" max="10" width="26.109375" customWidth="1"/>
    <col min="11" max="11" width="26.44140625" customWidth="1"/>
    <col min="12" max="12" width="27.6640625" customWidth="1"/>
    <col min="13" max="13" width="25.5546875" customWidth="1"/>
    <col min="14" max="18" width="18.5546875" customWidth="1"/>
  </cols>
  <sheetData>
    <row r="1" spans="1:6" ht="23.4" x14ac:dyDescent="0.45">
      <c r="A1" s="14" t="s">
        <v>74</v>
      </c>
    </row>
    <row r="2" spans="1:6" ht="15.6" x14ac:dyDescent="0.3">
      <c r="A2" s="1"/>
      <c r="B2" s="25" t="s">
        <v>197</v>
      </c>
    </row>
    <row r="3" spans="1:6" x14ac:dyDescent="0.3">
      <c r="A3" s="1"/>
      <c r="B3" s="1" t="s">
        <v>77</v>
      </c>
    </row>
    <row r="4" spans="1:6" x14ac:dyDescent="0.3">
      <c r="A4" s="1"/>
      <c r="B4" t="s">
        <v>76</v>
      </c>
    </row>
    <row r="5" spans="1:6" x14ac:dyDescent="0.3">
      <c r="A5" s="1"/>
      <c r="B5" t="s">
        <v>79</v>
      </c>
    </row>
    <row r="6" spans="1:6" x14ac:dyDescent="0.3">
      <c r="A6" s="1"/>
      <c r="B6" t="s">
        <v>88</v>
      </c>
    </row>
    <row r="7" spans="1:6" x14ac:dyDescent="0.3">
      <c r="A7" s="1"/>
      <c r="C7" s="2" t="s">
        <v>98</v>
      </c>
      <c r="D7" s="2"/>
      <c r="E7" s="2"/>
      <c r="F7" s="2" t="s">
        <v>106</v>
      </c>
    </row>
    <row r="8" spans="1:6" x14ac:dyDescent="0.3">
      <c r="A8" s="1"/>
      <c r="C8" t="s">
        <v>90</v>
      </c>
      <c r="F8" s="1" t="s">
        <v>235</v>
      </c>
    </row>
    <row r="9" spans="1:6" x14ac:dyDescent="0.3">
      <c r="A9" s="1"/>
      <c r="C9" t="s">
        <v>89</v>
      </c>
      <c r="F9" s="1" t="s">
        <v>99</v>
      </c>
    </row>
    <row r="10" spans="1:6" x14ac:dyDescent="0.3">
      <c r="A10" s="1"/>
      <c r="D10" t="s">
        <v>274</v>
      </c>
      <c r="F10" s="1" t="s">
        <v>101</v>
      </c>
    </row>
    <row r="11" spans="1:6" x14ac:dyDescent="0.3">
      <c r="A11" s="1"/>
      <c r="D11" t="s">
        <v>90</v>
      </c>
      <c r="F11" s="1" t="s">
        <v>235</v>
      </c>
    </row>
    <row r="12" spans="1:6" x14ac:dyDescent="0.3">
      <c r="A12" s="1"/>
      <c r="D12" t="s">
        <v>91</v>
      </c>
      <c r="F12" s="1" t="s">
        <v>100</v>
      </c>
    </row>
    <row r="13" spans="1:6" x14ac:dyDescent="0.3">
      <c r="A13" s="1"/>
      <c r="D13" t="s">
        <v>92</v>
      </c>
      <c r="F13" s="1" t="s">
        <v>101</v>
      </c>
    </row>
    <row r="14" spans="1:6" x14ac:dyDescent="0.3">
      <c r="A14" s="1"/>
      <c r="D14" t="s">
        <v>93</v>
      </c>
      <c r="F14" s="1" t="s">
        <v>102</v>
      </c>
    </row>
    <row r="15" spans="1:6" x14ac:dyDescent="0.3">
      <c r="A15" s="1"/>
      <c r="D15" t="s">
        <v>94</v>
      </c>
      <c r="F15" s="1" t="s">
        <v>103</v>
      </c>
    </row>
    <row r="16" spans="1:6" x14ac:dyDescent="0.3">
      <c r="A16" s="1"/>
      <c r="D16" t="s">
        <v>95</v>
      </c>
      <c r="F16" s="1" t="s">
        <v>104</v>
      </c>
    </row>
    <row r="17" spans="1:6" x14ac:dyDescent="0.3">
      <c r="A17" s="1"/>
      <c r="C17" t="s">
        <v>274</v>
      </c>
      <c r="F17" s="1" t="s">
        <v>273</v>
      </c>
    </row>
    <row r="18" spans="1:6" x14ac:dyDescent="0.3">
      <c r="A18" s="1"/>
      <c r="D18" t="s">
        <v>96</v>
      </c>
      <c r="F18" s="1" t="s">
        <v>115</v>
      </c>
    </row>
    <row r="19" spans="1:6" x14ac:dyDescent="0.3">
      <c r="A19" s="1"/>
      <c r="C19" t="s">
        <v>92</v>
      </c>
      <c r="F19" s="1" t="s">
        <v>101</v>
      </c>
    </row>
    <row r="20" spans="1:6" x14ac:dyDescent="0.3">
      <c r="A20" s="1"/>
      <c r="D20" t="s">
        <v>96</v>
      </c>
      <c r="F20" s="1" t="s">
        <v>115</v>
      </c>
    </row>
    <row r="21" spans="1:6" x14ac:dyDescent="0.3">
      <c r="A21" s="1"/>
      <c r="D21" t="s">
        <v>97</v>
      </c>
      <c r="F21" s="1" t="s">
        <v>105</v>
      </c>
    </row>
    <row r="22" spans="1:6" x14ac:dyDescent="0.3">
      <c r="A22" s="1"/>
      <c r="C22" t="s">
        <v>93</v>
      </c>
      <c r="F22" s="1" t="s">
        <v>102</v>
      </c>
    </row>
    <row r="23" spans="1:6" x14ac:dyDescent="0.3">
      <c r="A23" s="1"/>
      <c r="C23" t="s">
        <v>94</v>
      </c>
      <c r="F23" s="1" t="s">
        <v>103</v>
      </c>
    </row>
    <row r="24" spans="1:6" x14ac:dyDescent="0.3">
      <c r="A24" s="1"/>
    </row>
    <row r="25" spans="1:6" x14ac:dyDescent="0.3">
      <c r="A25" s="1"/>
      <c r="B25" t="s">
        <v>87</v>
      </c>
    </row>
    <row r="26" spans="1:6" x14ac:dyDescent="0.3">
      <c r="A26" s="1"/>
      <c r="B26" t="s">
        <v>84</v>
      </c>
    </row>
    <row r="27" spans="1:6" x14ac:dyDescent="0.3">
      <c r="A27" s="1"/>
      <c r="C27" s="17" t="s">
        <v>81</v>
      </c>
    </row>
    <row r="28" spans="1:6" x14ac:dyDescent="0.3">
      <c r="A28" s="1"/>
      <c r="C28" s="16" t="s">
        <v>82</v>
      </c>
    </row>
    <row r="29" spans="1:6" x14ac:dyDescent="0.3">
      <c r="A29" s="1"/>
      <c r="C29" s="16" t="s">
        <v>83</v>
      </c>
    </row>
    <row r="30" spans="1:6" x14ac:dyDescent="0.3">
      <c r="A30" s="1"/>
      <c r="B30" t="s">
        <v>107</v>
      </c>
      <c r="C30" s="16"/>
    </row>
    <row r="31" spans="1:6" x14ac:dyDescent="0.3">
      <c r="A31" s="1"/>
      <c r="C31" s="16" t="s">
        <v>108</v>
      </c>
    </row>
    <row r="32" spans="1:6" x14ac:dyDescent="0.3">
      <c r="A32" s="1"/>
      <c r="C32" s="16" t="s">
        <v>109</v>
      </c>
    </row>
    <row r="33" spans="1:14" x14ac:dyDescent="0.3">
      <c r="A33" s="1"/>
      <c r="C33" s="16" t="s">
        <v>110</v>
      </c>
    </row>
    <row r="34" spans="1:14" x14ac:dyDescent="0.3">
      <c r="A34" s="1"/>
      <c r="C34" s="16" t="s">
        <v>112</v>
      </c>
    </row>
    <row r="35" spans="1:14" x14ac:dyDescent="0.3">
      <c r="A35" s="1"/>
      <c r="C35" s="16" t="s">
        <v>114</v>
      </c>
    </row>
    <row r="36" spans="1:14" x14ac:dyDescent="0.3">
      <c r="A36" s="1"/>
      <c r="C36" s="16" t="s">
        <v>113</v>
      </c>
    </row>
    <row r="37" spans="1:14" x14ac:dyDescent="0.3">
      <c r="A37" s="1"/>
      <c r="C37" s="16" t="s">
        <v>111</v>
      </c>
    </row>
    <row r="38" spans="1:14" ht="21" customHeight="1" x14ac:dyDescent="0.3">
      <c r="B38" s="19" t="s">
        <v>78</v>
      </c>
    </row>
    <row r="39" spans="1:14" ht="21" customHeight="1" x14ac:dyDescent="0.3">
      <c r="B39" s="59" t="s">
        <v>232</v>
      </c>
    </row>
    <row r="40" spans="1:14" ht="15" thickBot="1" x14ac:dyDescent="0.35">
      <c r="C40" s="1" t="s">
        <v>72</v>
      </c>
      <c r="D40" s="1" t="s">
        <v>208</v>
      </c>
      <c r="E40" s="1" t="s">
        <v>209</v>
      </c>
      <c r="F40" s="1" t="s">
        <v>199</v>
      </c>
      <c r="G40" s="1" t="s">
        <v>200</v>
      </c>
      <c r="H40" s="1" t="s">
        <v>201</v>
      </c>
      <c r="I40" s="1" t="s">
        <v>202</v>
      </c>
      <c r="J40" s="1" t="s">
        <v>206</v>
      </c>
      <c r="K40" s="1" t="s">
        <v>210</v>
      </c>
      <c r="L40" s="1" t="s">
        <v>211</v>
      </c>
      <c r="M40" s="1" t="s">
        <v>212</v>
      </c>
      <c r="N40" s="1" t="s">
        <v>228</v>
      </c>
    </row>
    <row r="41" spans="1:14" s="15" customFormat="1" ht="21.75" customHeight="1" thickBot="1" x14ac:dyDescent="0.35">
      <c r="B41" s="49" t="s">
        <v>227</v>
      </c>
      <c r="C41" s="48" t="e">
        <f ca="1">A.Backend!J7</f>
        <v>#NAME?</v>
      </c>
      <c r="D41" s="48" t="str">
        <f>A.Backend!O7</f>
        <v xml:space="preserve">		public const string Pages_Assy_Andon_VehicleDetails = "Pages.Assy.Andon.VehicleDetails";
		public const string Pages_Assy_Andon_VehicleDetails_CreateEdit = "Pages.Assy.Andon.VehicleDetails.CreateEdit";
		public const string Pages_Assy_Andon_VehicleDetails_Delete = "Pages.Assy.Andon.VehicleDetails.Delete";
</v>
      </c>
      <c r="E41" s="48" t="str">
        <f>A.Backend!N7</f>
        <v xml:space="preserve">		var perAsyAdoVehicleDetails = PARENTS.CreateChildPermission(AppPermissions.Pages_Assy_Andon_VehicleDetails, L( "AssyAndonVehicleDetails"));
		perAsyAdoVehicleDetails.CreateChildPermission(AppPermissions.Pages_Assy_Andon_VehicleDetails_CreateEdit, L( "AssyAndonVehicleDetailsCreateEdit"));
		perAsyAdoVehicleDetails.CreateChildPermission(AppPermissions.Pages_Assy_Andon_VehicleDetails_Delete, L( "AssyAndonVehicleDetailsDelete"));</v>
      </c>
      <c r="F41" s="48" t="str">
        <f>A.Backend!K7</f>
        <v>public virtual DbSet&lt;AsyAdoVehicleDetails&gt; AsyAdoVehicleDetailss { get; set; }</v>
      </c>
      <c r="G41" s="48" t="e">
        <f ca="1">A.Backend!L7</f>
        <v>#NAME?</v>
      </c>
      <c r="H41" s="48" t="e">
        <f ca="1">A.Backend!M7</f>
        <v>#NAME?</v>
      </c>
      <c r="I41" s="48" t="e">
        <f ca="1">A.Backend!R7</f>
        <v>#NAME?</v>
      </c>
      <c r="J41" s="48" t="str">
        <f>A.Backend!P7</f>
        <v xml:space="preserve">using Abp.Application.Services;
using Abp.Application.Services.Dto;
using System.Collections.Generic;using vovina.Dto;
using System.Threading.Tasks;
using vovina.Assy.Andon.Dto;
namespace vovina.Assy.Andon
{
	public interface IAsyAdoVehicleDetailsAppService : IApplicationService
	{
		Task&lt;PagedResultDto&lt;AsyAdoVehicleDetailsDto&gt;&gt; GetAll(GetAsyAdoVehicleDetailsInput input);
		Task CreateOrEdit(CreateOrEditAsyAdoVehicleDetailsDto input);
		Task Delete(EntityDto input);
	}
}
</v>
      </c>
      <c r="K41" s="48" t="str">
        <f>A.Backend!S7</f>
        <v xml:space="preserve">using Abp.Application.Services;
using Abp.Application.Services.Dto;
using System.Collections.Generic;using vovina.Dto;
using System.Threading.Tasks;
using vovina.Assy.Andon.Dto;
namespace vovina.Assy.Andon.Exporting
{
	public interface IAsyAdoVehicleDetailsExcelExporter : IApplicationService
	{
		FileDto ExportToFile(List&lt;AsyAdoVehicleDetailsDto&gt; asyadovehicledetails);
	}
}
</v>
      </c>
      <c r="L41" s="48" t="e">
        <f ca="1">A.Backend!T7</f>
        <v>#NAME?</v>
      </c>
      <c r="M41" s="55" t="e">
        <f ca="1">A.Backend!Q7</f>
        <v>#NAME?</v>
      </c>
      <c r="N41" s="58" t="str">
        <f>A.Backend!U7</f>
        <v xml:space="preserve">  configuration.CreateMap&lt;AsyAdoVehicleDetailsDto, AsyAdoVehicleDetails&gt;();
  configuration.CreateMap&lt;AsyAdoVehicleDetails, AsyAdoVehicleDetailsDto&gt;();
  configuration.CreateMap&lt;CreateOrEditAsyAdoVehicleDetailsDto, AsyAdoVehicleDetails&gt;();</v>
      </c>
    </row>
    <row r="42" spans="1:14" s="15" customFormat="1" ht="21.75" customHeight="1" x14ac:dyDescent="0.3">
      <c r="C42" s="61"/>
      <c r="H42" s="62"/>
      <c r="I42" s="62"/>
      <c r="M42" s="62"/>
    </row>
    <row r="43" spans="1:14" s="15" customFormat="1" ht="21.75" customHeight="1" x14ac:dyDescent="0.3"/>
    <row r="44" spans="1:14" s="15" customFormat="1" ht="21.75" customHeight="1" x14ac:dyDescent="0.3"/>
    <row r="45" spans="1:14" x14ac:dyDescent="0.3">
      <c r="B45" s="1" t="s">
        <v>73</v>
      </c>
    </row>
    <row r="46" spans="1:14" ht="21" x14ac:dyDescent="0.4">
      <c r="B46" t="str">
        <f>B.Frontend!B8</f>
        <v>vehicledetails</v>
      </c>
      <c r="C46" s="66" t="str">
        <f>"create folder " &amp;B46</f>
        <v>create folder vehicledetails</v>
      </c>
      <c r="D46" s="66"/>
      <c r="E46" s="66"/>
      <c r="F46" s="66"/>
      <c r="G46" s="66"/>
      <c r="H46" s="66"/>
      <c r="I46" s="66"/>
      <c r="J46" s="66"/>
      <c r="K46" s="67" t="s">
        <v>229</v>
      </c>
      <c r="L46" s="67"/>
      <c r="M46" s="28"/>
    </row>
    <row r="47" spans="1:14" s="26" customFormat="1" ht="18" customHeight="1" x14ac:dyDescent="0.3">
      <c r="B47" s="56" t="s">
        <v>230</v>
      </c>
      <c r="C47" s="28" t="str">
        <f>B.Frontend!H14</f>
        <v>vehicledetails.component.ts</v>
      </c>
      <c r="D47" s="28" t="str">
        <f>B.Frontend!I14</f>
        <v>vehicledetails.component.html</v>
      </c>
      <c r="E47" s="28" t="str">
        <f>B.Frontend!J14</f>
        <v>vehicledetails.component.less</v>
      </c>
      <c r="F47" s="28" t="str">
        <f>B.Frontend!K14</f>
        <v>create-or-edit-vehicledetails-modal.component.html</v>
      </c>
      <c r="G47" s="28" t="str">
        <f>B.Frontend!L14</f>
        <v>create-or-edit-vehicledetails-modal.component.ts</v>
      </c>
      <c r="H47" s="28" t="str">
        <f>B.Frontend!M14</f>
        <v>create-or-edit-vehicledetails-modal.component.less</v>
      </c>
      <c r="I47" s="28" t="str">
        <f>B.Frontend!N14</f>
        <v>vehicledetails.module.ts</v>
      </c>
      <c r="J47" s="28" t="str">
        <f>B.Frontend!O14</f>
        <v>vehicledetails-routing.module.ts</v>
      </c>
      <c r="K47" s="28" t="str">
        <f>B.Frontend!P14</f>
        <v>app.navigation.service.ts</v>
      </c>
      <c r="L47" s="28" t="str">
        <f>B.Frontend!Q14</f>
        <v>main.routing.module.ts</v>
      </c>
      <c r="M47" s="56" t="s">
        <v>233</v>
      </c>
    </row>
    <row r="48" spans="1:14" ht="21.75" customHeight="1" x14ac:dyDescent="0.3">
      <c r="B48" s="57" t="s">
        <v>227</v>
      </c>
      <c r="C48" s="46" t="e">
        <f ca="1">B.Frontend!H10</f>
        <v>#NAME?</v>
      </c>
      <c r="D48" s="46" t="e">
        <f ca="1">B.Frontend!I10</f>
        <v>#NAME?</v>
      </c>
      <c r="E48" s="46" t="str">
        <f>B.Frontend!J10</f>
        <v>.input-search{
    width: 250px;
    border-radius: 10px;
    margin-left: 10px;
}
.btn-search{
    width: 50px;
    margin-left: 10px;
}</v>
      </c>
      <c r="F48" s="46" t="e">
        <f ca="1">B.Frontend!K10</f>
        <v>#NAME?</v>
      </c>
      <c r="G48" s="46" t="e">
        <f ca="1">B.Frontend!L10</f>
        <v>#NAME?</v>
      </c>
      <c r="H48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8" s="46" t="str">
        <f>B.Frontend!N10</f>
        <v>import {NgModule} from '@angular/core';
import {AppSharedModule} from '@app/shared/app-shared.module';
import { VehicleDetailsRoutingModule } from './vehicledetails-routing.module';
import { VehicleDetailsComponent } from './vehicledetails.component';
import { CreateOrEditVehicleDetailsModalComponent } from './create-or-edit-vehicledetails-modal.component';
@NgModule({
    declarations: [
       VehicleDetailsComponent, 
        CreateOrEditVehicleDetailsModalComponent
    ],
    imports: [
        AppSharedModule, VehicleDetailsRoutingModule]
})
export class VehicleDetailsModule {}</v>
      </c>
      <c r="J48" s="46" t="str">
        <f>B.Frontend!O10</f>
        <v>import {NgModule} from '@angular/core';
import {RouterModule, Routes} from '@angular/router';
import { VehicleDetailsComponent } from './vehicledetails.component';
const routes: Routes = [{
    path: '',
    component: VehicleDetailsComponent,
    pathMatch: 'full'
}];
@NgModule({
    imports: [RouterModule.forChild(routes)],
    exports: [RouterModule],
})
export class VehicleDetailsRoutingModule {}</v>
      </c>
      <c r="K48" s="46" t="str">
        <f>B.Frontend!P10</f>
        <v xml:space="preserve"> new AppMenuItem("VehicleDetails", "Pages.Assy.Andon.VehicleDetails", "flaticon-book",   "/app/main/assy/andon/vehicledetails"),</v>
      </c>
      <c r="L48" s="47" t="str">
        <f>B.Frontend!Q10</f>
        <v>{
    path: 'assy/andon/vehicledetails',
    loadChildren: () =&gt; import('./assy/andon/vehicledetails/vehicledetails.module').then(m =&gt; m.VehicleDetailsModule),
    data: { permission: 'Pages.Assy.Andon.VehicleDetails' }
},</v>
      </c>
      <c r="M48" s="45" t="str">
        <f>B.Frontend!R10</f>
        <v>ApiServiceProxies.AsyAdoVehicleDetailsServiceProxy,</v>
      </c>
    </row>
    <row r="50" spans="2:2" x14ac:dyDescent="0.3">
      <c r="B50" s="1" t="s">
        <v>75</v>
      </c>
    </row>
  </sheetData>
  <mergeCells count="2">
    <mergeCell ref="C46:J46"/>
    <mergeCell ref="K46:L46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58"/>
  <sheetViews>
    <sheetView tabSelected="1" topLeftCell="A31" workbookViewId="0">
      <pane xSplit="1" topLeftCell="B1" activePane="topRight" state="frozen"/>
      <selection pane="topRight" activeCell="B50" sqref="B50"/>
    </sheetView>
  </sheetViews>
  <sheetFormatPr defaultColWidth="9.109375" defaultRowHeight="14.4" x14ac:dyDescent="0.3"/>
  <cols>
    <col min="1" max="1" width="27.664062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88671875" style="7" customWidth="1"/>
    <col min="7" max="7" width="17.33203125" style="7" bestFit="1" customWidth="1"/>
    <col min="8" max="8" width="15" style="7" customWidth="1"/>
    <col min="9" max="9" width="16" style="7" customWidth="1"/>
    <col min="10" max="10" width="15.88671875" style="7" customWidth="1"/>
    <col min="11" max="11" width="16" style="7" customWidth="1"/>
    <col min="12" max="12" width="16.6640625" style="7" customWidth="1"/>
    <col min="13" max="13" width="17.44140625" style="7" customWidth="1"/>
    <col min="14" max="14" width="16.109375" style="7" customWidth="1"/>
    <col min="15" max="15" width="14.6640625" style="7" customWidth="1"/>
    <col min="16" max="16" width="16" style="7" customWidth="1"/>
    <col min="17" max="17" width="15.6640625" style="7" customWidth="1"/>
    <col min="18" max="18" width="19.5546875" style="7" customWidth="1"/>
    <col min="19" max="19" width="20.5546875" style="7" customWidth="1"/>
    <col min="20" max="20" width="17" style="7" customWidth="1"/>
    <col min="21" max="21" width="14" style="7" customWidth="1"/>
    <col min="22" max="22" width="15.109375" style="7" customWidth="1"/>
    <col min="23" max="23" width="27.88671875" style="8" customWidth="1"/>
    <col min="24" max="16384" width="9.109375" style="7"/>
  </cols>
  <sheetData>
    <row r="1" spans="1:23" s="10" customFormat="1" ht="14.25" customHeight="1" x14ac:dyDescent="0.3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vovina.Assy.Andon.Dto;</v>
      </c>
      <c r="E1" s="9" t="s">
        <v>268</v>
      </c>
      <c r="F1" s="10" t="s">
        <v>240</v>
      </c>
      <c r="H1" s="10" t="s">
        <v>241</v>
      </c>
      <c r="J1" s="10" t="s">
        <v>242</v>
      </c>
      <c r="L1" s="10" t="s">
        <v>243</v>
      </c>
      <c r="M1" s="10" t="s">
        <v>244</v>
      </c>
      <c r="N1" s="10" t="s">
        <v>245</v>
      </c>
      <c r="O1" s="10" t="s">
        <v>246</v>
      </c>
      <c r="T1" s="9" t="s">
        <v>260</v>
      </c>
      <c r="U1" s="9" t="s">
        <v>231</v>
      </c>
      <c r="W1" s="9"/>
    </row>
    <row r="2" spans="1:23" s="10" customFormat="1" x14ac:dyDescent="0.3">
      <c r="A2" s="1" t="s">
        <v>12</v>
      </c>
      <c r="B2" s="27" t="s">
        <v>315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86</v>
      </c>
      <c r="T2" s="10" t="s">
        <v>247</v>
      </c>
      <c r="V2" s="10" t="s">
        <v>248</v>
      </c>
      <c r="W2" s="9" t="s">
        <v>259</v>
      </c>
    </row>
    <row r="3" spans="1:23" s="10" customFormat="1" ht="33" customHeight="1" x14ac:dyDescent="0.3">
      <c r="A3" s="1" t="s">
        <v>5</v>
      </c>
      <c r="B3" s="27" t="s">
        <v>312</v>
      </c>
      <c r="C3" s="9" t="s">
        <v>43</v>
      </c>
      <c r="D3" s="9" t="s">
        <v>44</v>
      </c>
      <c r="E3" s="9" t="s">
        <v>39</v>
      </c>
      <c r="F3" s="10" t="str">
        <f>"J"&amp;COUNTA($A:$A)</f>
        <v>J56</v>
      </c>
      <c r="G3" s="4" t="s">
        <v>57</v>
      </c>
      <c r="H3" s="9" t="str">
        <f>"I"&amp;COUNTA($A:$A)</f>
        <v>I56</v>
      </c>
      <c r="I3" s="9" t="str">
        <f>REPT(CHAR(9),2)&amp;"[Required]"&amp;"
"</f>
        <v xml:space="preserve">		[Required]
</v>
      </c>
      <c r="J3" s="10" t="str">
        <f>"L"&amp;COUNTA($A:$A)</f>
        <v>L56</v>
      </c>
      <c r="K3" s="5" t="s">
        <v>56</v>
      </c>
      <c r="L3" s="10" t="str">
        <f>"M"&amp;COUNTA($A:$A)</f>
        <v>M56</v>
      </c>
      <c r="M3" s="10" t="str">
        <f>"N"&amp;COUNTA($A:$A)</f>
        <v>N56</v>
      </c>
      <c r="N3" s="10" t="str">
        <f>"O"&amp;COUNTA($A:$A)</f>
        <v>O56</v>
      </c>
      <c r="O3" s="10" t="str">
        <f>"P"&amp;COUNTA($A:$A)</f>
        <v>P56</v>
      </c>
      <c r="Q3" s="10" t="str">
        <f>RIGHT(B2,(LEN(B2)-FIND(".",B2,1)))</f>
        <v>Andon</v>
      </c>
      <c r="R3" s="29" t="str">
        <f>REPT(CHAR(9),1)&amp;"public class "&amp;B3&amp;"ExportInput"&amp;C3</f>
        <v xml:space="preserve">	public class AsyAdoVehicleDetailsExportInput{
</v>
      </c>
      <c r="S3" s="10" t="str">
        <f>"namespace "&amp;$B$6&amp;".Exporting
"&amp;$C$3</f>
        <v xml:space="preserve">namespace vovina.Assy.Andon.Exporting
{
</v>
      </c>
      <c r="T3" s="10" t="str">
        <f>"T"&amp;COUNTA($A:$A)</f>
        <v>T56</v>
      </c>
      <c r="V3" s="10" t="str">
        <f>"V"&amp;COUNTA($A:$A)</f>
        <v>V56</v>
      </c>
      <c r="W3" s="9" t="str">
        <f>"W"&amp;COUNTA($A:$A)</f>
        <v>W56</v>
      </c>
    </row>
    <row r="4" spans="1:23" s="10" customFormat="1" ht="33" customHeight="1" x14ac:dyDescent="0.3">
      <c r="A4" s="1" t="s">
        <v>238</v>
      </c>
      <c r="B4" s="60" t="s">
        <v>274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">
      <c r="A5" s="1" t="s">
        <v>239</v>
      </c>
      <c r="B5" s="60" t="s">
        <v>313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16.5" customHeight="1" x14ac:dyDescent="0.3">
      <c r="A6" s="1" t="s">
        <v>6</v>
      </c>
      <c r="B6" s="9" t="str">
        <f>"vovina."&amp;B2</f>
        <v>vovina.Assy.Andon</v>
      </c>
      <c r="C6" s="10" t="str">
        <f>"namespace "&amp;$B$6&amp;"
"&amp;$C$3</f>
        <v xml:space="preserve">namespace vovina.Assy.Andon
{
</v>
      </c>
      <c r="D6" s="10" t="str">
        <f>REPT(CHAR(9),1)&amp;"public class "&amp;B3&amp;G3&amp;REPT(CHAR(9),1)&amp;"
"&amp;REPT(CHAR(9),1)&amp;C3</f>
        <v xml:space="preserve">	public class AsyAdoVehicleDetails: FullAuditedEntity&lt;long&gt;, IEntity&lt;long&gt;	
	{
</v>
      </c>
      <c r="E6" s="10" t="str">
        <f>REPT(CHAR(9),1)&amp;"public class "&amp;B3&amp;"Consts"&amp;REPT(CHAR(9),1)&amp;"
"&amp;REPT(CHAR(9),1)&amp;C3</f>
        <v xml:space="preserve">	public class AsyAdoVehicleDetailsConsts	
	{
</v>
      </c>
      <c r="F6" s="10" t="str">
        <f>REPT(CHAR(9),1)&amp;"public class "&amp;B3&amp;"Dto"&amp;K3&amp;REPT(CHAR(9),1)&amp;"
"&amp;REPT(CHAR(9),1)&amp;C3</f>
        <v xml:space="preserve">	public class AsyAdoVehicleDetailsDto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CreateOrEditAsyAdoVehicleDetailsDto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GetAsyAdoVehicleDetailsInput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237</v>
      </c>
      <c r="O6" s="1" t="s">
        <v>236</v>
      </c>
      <c r="P6" s="1" t="s">
        <v>69</v>
      </c>
      <c r="Q6" s="1" t="s">
        <v>70</v>
      </c>
      <c r="R6" s="1" t="s">
        <v>203</v>
      </c>
      <c r="S6" s="1" t="s">
        <v>205</v>
      </c>
      <c r="T6" s="1" t="s">
        <v>204</v>
      </c>
      <c r="U6" s="1" t="s">
        <v>228</v>
      </c>
      <c r="W6" s="26"/>
    </row>
    <row r="7" spans="1:23" customFormat="1" ht="15.75" customHeight="1" x14ac:dyDescent="0.3">
      <c r="A7" s="1" t="s">
        <v>13</v>
      </c>
      <c r="B7" s="9" t="str">
        <f>B3</f>
        <v>AsyAdoVehicleDetails</v>
      </c>
      <c r="C7" s="10" t="str">
        <f>REPT(CHAR(9),1)&amp;"[Table("""&amp;B7&amp;""")]"&amp;"
"</f>
        <v xml:space="preserve">	[Table("AsyAdoVehicleDetails")]
</v>
      </c>
      <c r="D7" s="10"/>
      <c r="E7" s="10"/>
      <c r="F7" s="10"/>
      <c r="G7" s="10"/>
      <c r="H7" s="10"/>
      <c r="I7" s="10"/>
      <c r="J7" t="e">
        <f ca="1">SUBSTITUTE(SUBSTITUTE((B1&amp;C6&amp;C7&amp;K58&amp;D6&amp;I58&amp;E3&amp;J58&amp;""&amp;REPT(CHAR(9),1)&amp;D3&amp;D3),"WorkingPattern",$Q$3),"Master",$B$4)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DbSet&lt;AsyAdoVehicleDetails&gt; AsyAdoVehicleDetailss { get; set; }</v>
      </c>
      <c r="L7" t="e">
        <f ca="1">SUBSTITUTE(SUBSTITUTE((C6&amp;E6&amp;I58&amp;"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"&amp;B6&amp;".Dto"&amp;E3&amp;C3&amp;F6&amp;M58&amp;E3&amp;REPT(CHAR(9),1)&amp;D3&amp;G6&amp;N58&amp;REPT(CHAR(9),1)&amp;D3&amp;H6&amp;O58&amp;"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perAsyAdoVehicleDetails = PARENTS.CreateChildPermission(AppPermissions.Pages_Assy_Andon_VehicleDetails, L( "AssyAndonVehicleDetails"));
		perAsyAdoVehicleDetails.CreateChildPermission(AppPermissions.Pages_Assy_Andon_VehicleDetails_CreateEdit, L( "AssyAndonVehicleDetailsCreateEdit"));
		perAsyAdoVehicleDetails.CreateChildPermission(AppPermissions.Pages_Assy_Andon_VehicleDetails_Delete, L( "AssyAndonVehicleDetailsDelete"));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Pages_Assy_Andon_VehicleDetails = "Pages.Assy.Andon.VehicleDetails";
		public const string Pages_Assy_Andon_VehicleDetails_CreateEdit = "Pages.Assy.Andon.VehicleDetails.CreateEdit";
		public const string Pages_Assy_Andon_VehicleDetails_Delete = "Pages.Assy.Andon.VehicleDetails.Delete";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vovina.Assy.Andon.Dto;
namespace vovina.Assy.Andon
{
	public interface IAsyAdoVehicleDetailsAppService : IApplicationService
	{
		Task&lt;PagedResultDto&lt;AsyAdoVehicleDetailsDto&gt;&gt; GetAll(GetAsyAdoVehicleDetailsInput input);
		Task CreateOrEdit(CreateOrEditAsyAdoVehicleDetailsDto input);
		Task Delete(EntityDto input);
	}
}
</v>
      </c>
      <c r="Q7" t="e">
        <f ca="1">SUBSTITUTE(SUBSTITUTE(SUBSTITUTE(SUBSTITUTE(SUBSTITUTE(SUBSTITUTE(E1,"MstWptCalendar",$B$3),"&lt;PROPERTIES&gt;",P58),"Calendar",$B$5),"WorkingPattern",$Q$3),"Master",$B$4),"&lt;PARAMS_SEARCH&gt;",$W$58)</f>
        <v>#NAME?</v>
      </c>
      <c r="R7" t="e">
        <f ca="1">SUBSTITUTE(SUBSTITUTE((C1&amp;"namespace "&amp;B6&amp;".Dto"&amp;E3&amp;C3&amp;R3&amp;M58&amp;E3&amp;REPT(CHAR(9),1)&amp;D3&amp;D3),"WorkingPattern",$Q$3),"Master",$B$4)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vovina.Assy.Andon.Dto;
namespace vovina.Assy.Andon.Exporting
{
	public interface IAsyAdoVehicleDetailsExcelExporter : IApplicationService
	{
		FileDto ExportToFile(List&lt;AsyAdoVehicleDetailsDto&gt; asyadovehicledetails);
	}
}
</v>
      </c>
      <c r="T7" s="26" t="e">
        <f ca="1">SUBSTITUTE(SUBSTITUTE(SUBSTITUTE(SUBSTITUTE(SUBSTITUTE(SUBSTITUTE(SUBSTITUTE(T1,"MstWptCalendar",$B$3),"&lt;PROPERTIES1&gt;",V58),"&lt;PROPERTIES&gt;",T58),"Calendar",$B$5),"calendar",LOWER(B5)),"WorkingPattern",$Q$3),"Master",$B$4)</f>
        <v>#NAME?</v>
      </c>
      <c r="U7" s="26" t="str">
        <f>SUBSTITUTE(SUBSTITUTE(U1,"MstWptCalendar",$B$3),"Master",$B$4)</f>
        <v xml:space="preserve">  configuration.CreateMap&lt;AsyAdoVehicleDetailsDto, AsyAdoVehicleDetails&gt;();
  configuration.CreateMap&lt;AsyAdoVehicleDetails, AsyAdoVehicleDetailsDto&gt;();
  configuration.CreateMap&lt;CreateOrEditAsyAdoVehicleDetailsDto, AsyAdoVehicleDetails&gt;();</v>
      </c>
      <c r="V7" s="26"/>
      <c r="W7" s="26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85</v>
      </c>
      <c r="W8" s="3"/>
    </row>
    <row r="9" spans="1:23" customFormat="1" ht="22.5" customHeight="1" x14ac:dyDescent="0.3">
      <c r="A9" t="s">
        <v>275</v>
      </c>
      <c r="B9" t="s">
        <v>0</v>
      </c>
      <c r="C9" t="s">
        <v>1</v>
      </c>
      <c r="D9" t="str">
        <f>SUBSTITUTE(PROPER(A9),"_","")</f>
        <v>No</v>
      </c>
      <c r="E9" t="str">
        <f t="shared" ref="E9:E38" si="0">IFERROR(LEFT(B9, FIND("(",B9)-1),B9)</f>
        <v>bigint</v>
      </c>
      <c r="F9" s="6"/>
      <c r="G9" t="str">
        <f t="shared" ref="G9:G38" si="1">IFERROR(MID(B9,FIND("(",B9) +1, FIND(")",B9) - FIND("(",B9) - 1),"")</f>
        <v/>
      </c>
      <c r="H9" t="str">
        <f>+VLOOKUP(E9,'Data Type Mapping'!A:B,2,)</f>
        <v>long</v>
      </c>
      <c r="I9" t="str">
        <f t="shared" ref="I9:I38" si="2">IF(H9="string",REPT(CHAR(9),2)&amp;"public const int Max"&amp;D9&amp;"Length = "&amp;G9&amp;";"&amp;$E$3,"" )</f>
        <v/>
      </c>
      <c r="J9" t="str">
        <f t="shared" ref="J9:J38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 No { get; set; }
</v>
      </c>
      <c r="K9" s="6" t="s">
        <v>207</v>
      </c>
      <c r="L9" t="str">
        <f>IF(K9="","",REPT(CHAR(9),1)&amp;"[Index(nameof("&amp;IF(D9="","",""&amp;D9)&amp;")"&amp;", Name="&amp;"""IX_"&amp;$B$7&amp;"_"&amp;D9&amp;""")]")</f>
        <v xml:space="preserve">	[Index(nameof(No), Name="IX_AsyAdoVehicleDetails_No")]</v>
      </c>
      <c r="M9" t="str">
        <f>REPT(CHAR(9),2)&amp;"public virtual "&amp;IF(OR(H9="DateTime",H9="TimeSpan"),H9&amp;"?",H9)&amp;IF(C9="?","? "," ")&amp;D9&amp;" { get; set; }" &amp; "
"</f>
        <v xml:space="preserve">		public virtual long 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 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38" si="4">REPT(CHAR(9),7)&amp;D9&amp;" = o." &amp;D9 &amp;","</f>
        <v xml:space="preserve">							No = o.No,</v>
      </c>
      <c r="T9" s="64" t="str">
        <f>REPT(CHAR(9),8)&amp;"("""&amp;D9&amp;"""),"</f>
        <v xml:space="preserve">								("No"),</v>
      </c>
      <c r="V9" s="65" t="str">
        <f>REPT(CHAR(9),8)&amp;"_ =&gt; _."&amp;D9&amp;","</f>
        <v xml:space="preserve">								_ =&gt; _.No,</v>
      </c>
      <c r="W9" s="64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3">
      <c r="A10" t="s">
        <v>276</v>
      </c>
      <c r="B10" t="s">
        <v>277</v>
      </c>
      <c r="C10" t="s">
        <v>80</v>
      </c>
      <c r="D10" t="str">
        <f t="shared" ref="D10:D11" si="5">SUBSTITUTE(PROPER(A10),"_","")</f>
        <v>BodyNo</v>
      </c>
      <c r="E10" t="str">
        <f t="shared" ref="E10:E25" si="6">IFERROR(LEFT(B10, FIND("(",B10)-1),B10)</f>
        <v>nvarchar</v>
      </c>
      <c r="F10" s="6"/>
      <c r="G10" t="str">
        <f t="shared" ref="G10:G25" si="7">IFERROR(MID(B10,FIND("(",B10) +1, FIND(")",B10) - FIND("(",B10) - 1),"")</f>
        <v>10</v>
      </c>
      <c r="H10" t="str">
        <f>+VLOOKUP(E10,'Data Type Mapping'!A:B,2,)</f>
        <v>string</v>
      </c>
      <c r="I10" t="str">
        <f t="shared" ref="I10:I25" si="8">IF(H10="string",REPT(CHAR(9),2)&amp;"public const int Max"&amp;D10&amp;"Length = "&amp;G10&amp;";"&amp;$E$3,"" )</f>
        <v xml:space="preserve">		public const int MaxBodyNoLength = 10;
</v>
      </c>
      <c r="J10" t="str">
        <f t="shared" ref="J10:J25" si="9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[Required]
		[StringLength(MaxBodyNoLength)]
		public virtual string BodyNo { get; set; }
</v>
      </c>
      <c r="K10" s="6" t="s">
        <v>207</v>
      </c>
      <c r="L10" t="str">
        <f t="shared" ref="L10:L11" si="10">IF(K10="","",REPT(CHAR(9),1)&amp;"[Index(nameof("&amp;IF(D10="","",""&amp;D10)&amp;")"&amp;", Name="&amp;"""IX_"&amp;$B$7&amp;"_"&amp;D10&amp;""")]")</f>
        <v xml:space="preserve">	[Index(nameof(BodyNo), Name="IX_AsyAdoVehicleDetails_BodyNo")]</v>
      </c>
      <c r="M10" t="str">
        <f t="shared" ref="M10:M25" si="11">REPT(CHAR(9),2)&amp;"public virtual "&amp;IF(OR(H10="DateTime",H10="TimeSpan"),H10&amp;"?",H10)&amp;IF(C10="?","? "," ")&amp;D10&amp;" { get; set; }" &amp; "
"</f>
        <v xml:space="preserve">		public virtual string BodyNo { get; set; }
</v>
      </c>
      <c r="N10" t="str">
        <f t="shared" ref="N10:N25" si="12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[Required]
		[StringLength(AsyAdoVehicleDetailsConsts.MaxBodyNoLength)]
		public virtual string BodyNo { get; set; }
</v>
      </c>
      <c r="O10" t="str">
        <f t="shared" ref="O10:O25" si="13">IF(OR(H10="string",H10="DateTime",H10="int"),REPT(CHAR(9),2)&amp;"public virtual "&amp;IF(OR(H10="DateTime",H10="TimeSpan"),H10&amp;"?",H10)&amp;IF(C10="?","? "," ")&amp;D10&amp;" { get; set; }"&amp;$E$3,"")</f>
        <v xml:space="preserve">		public virtual string BodyNo { get; set; }
</v>
      </c>
      <c r="P10" t="str">
        <f t="shared" ref="P10:P25" si="14">REPT(CHAR(9),7)&amp;D10&amp;" = o." &amp;D10 &amp;","</f>
        <v xml:space="preserve">							BodyNo = o.BodyNo,</v>
      </c>
      <c r="T10" s="64" t="str">
        <f t="shared" ref="T10:T25" si="15">REPT(CHAR(9),8)&amp;"("""&amp;D10&amp;"""),"</f>
        <v xml:space="preserve">								("BodyNo"),</v>
      </c>
      <c r="V10" s="65" t="str">
        <f t="shared" ref="V10:V25" si="16">REPT(CHAR(9),8)&amp;"_ =&gt; _."&amp;D10&amp;","</f>
        <v xml:space="preserve">								_ =&gt; _.BodyNo,</v>
      </c>
      <c r="W10" s="64" t="str">
        <f t="shared" ref="W10:W25" si="17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.WhereIf(!string.IsNullOrWhiteSpace(input.BodyNo), e =&gt; e.BodyNo.Contains(input.BodyNo))</v>
      </c>
    </row>
    <row r="11" spans="1:23" customFormat="1" ht="18.75" customHeight="1" x14ac:dyDescent="0.3">
      <c r="A11" t="s">
        <v>278</v>
      </c>
      <c r="B11" t="s">
        <v>279</v>
      </c>
      <c r="C11" t="s">
        <v>80</v>
      </c>
      <c r="D11" t="str">
        <f t="shared" si="5"/>
        <v>LotNo</v>
      </c>
      <c r="E11" t="str">
        <f t="shared" si="6"/>
        <v>nvarchar</v>
      </c>
      <c r="F11" s="6"/>
      <c r="G11" t="str">
        <f t="shared" si="7"/>
        <v>20</v>
      </c>
      <c r="H11" t="str">
        <f>+VLOOKUP(E11,'Data Type Mapping'!A:B,2,)</f>
        <v>string</v>
      </c>
      <c r="I11" t="str">
        <f t="shared" si="8"/>
        <v xml:space="preserve">		public const int MaxLotNoLength = 20;
</v>
      </c>
      <c r="J11" t="str">
        <f t="shared" si="9"/>
        <v xml:space="preserve">		[Required]
		[StringLength(MaxLotNoLength)]
		public virtual string LotNo { get; set; }
</v>
      </c>
      <c r="K11" s="6" t="s">
        <v>207</v>
      </c>
      <c r="L11" t="str">
        <f t="shared" si="10"/>
        <v xml:space="preserve">	[Index(nameof(LotNo), Name="IX_AsyAdoVehicleDetails_LotNo")]</v>
      </c>
      <c r="M11" t="str">
        <f t="shared" si="11"/>
        <v xml:space="preserve">		public virtual string LotNo { get; set; }
</v>
      </c>
      <c r="N11" t="str">
        <f t="shared" si="12"/>
        <v xml:space="preserve">		[Required]
		[StringLength(AsyAdoVehicleDetailsConsts.MaxLotNoLength)]
		public virtual string LotNo { get; set; }
</v>
      </c>
      <c r="O11" t="str">
        <f t="shared" si="13"/>
        <v xml:space="preserve">		public virtual string LotNo { get; set; }
</v>
      </c>
      <c r="P11" t="str">
        <f t="shared" si="14"/>
        <v xml:space="preserve">							LotNo = o.LotNo,</v>
      </c>
      <c r="T11" s="64" t="str">
        <f t="shared" si="15"/>
        <v xml:space="preserve">								("LotNo"),</v>
      </c>
      <c r="V11" s="65" t="str">
        <f t="shared" si="16"/>
        <v xml:space="preserve">								_ =&gt; _.LotNo,</v>
      </c>
      <c r="W11" s="64" t="str">
        <f t="shared" si="17"/>
        <v xml:space="preserve">				.WhereIf(!string.IsNullOrWhiteSpace(input.LotNo), e =&gt; e.LotNo.Contains(input.LotNo))</v>
      </c>
    </row>
    <row r="12" spans="1:23" customFormat="1" ht="22.5" customHeight="1" x14ac:dyDescent="0.3">
      <c r="A12" t="s">
        <v>280</v>
      </c>
      <c r="B12" t="s">
        <v>4</v>
      </c>
      <c r="C12" t="s">
        <v>80</v>
      </c>
      <c r="D12" t="str">
        <f>SUBSTITUTE(PROPER(A12),"_","")</f>
        <v>NoInLot</v>
      </c>
      <c r="E12" t="str">
        <f t="shared" si="6"/>
        <v>int</v>
      </c>
      <c r="F12" s="6"/>
      <c r="G12" t="str">
        <f t="shared" si="7"/>
        <v/>
      </c>
      <c r="H12" t="str">
        <f>+VLOOKUP(E12,'Data Type Mapping'!A:B,2,)</f>
        <v>int</v>
      </c>
      <c r="I12" t="str">
        <f t="shared" si="8"/>
        <v/>
      </c>
      <c r="J12" t="str">
        <f t="shared" si="9"/>
        <v xml:space="preserve">		[Required]
		public virtual int NoInLot { get; set; }
</v>
      </c>
      <c r="K12" s="6"/>
      <c r="L12" t="str">
        <f>IF(K12="","",REPT(CHAR(9),1)&amp;"[Index(nameof("&amp;IF(D12="","",""&amp;D12)&amp;")"&amp;", Name="&amp;"""IX_"&amp;$B$7&amp;"_"&amp;D12&amp;""")]")</f>
        <v/>
      </c>
      <c r="M12" t="str">
        <f t="shared" si="11"/>
        <v xml:space="preserve">		public virtual int NoInLot { get; set; }
</v>
      </c>
      <c r="N12" t="str">
        <f t="shared" si="12"/>
        <v xml:space="preserve">		[Required]
		public virtual int NoInLot { get; set; }
</v>
      </c>
      <c r="O12" t="str">
        <f t="shared" si="13"/>
        <v xml:space="preserve">		public virtual int NoInLot { get; set; }
</v>
      </c>
      <c r="P12" t="str">
        <f t="shared" si="14"/>
        <v xml:space="preserve">							NoInLot = o.NoInLot,</v>
      </c>
      <c r="T12" s="64" t="str">
        <f t="shared" si="15"/>
        <v xml:space="preserve">								("NoInLot"),</v>
      </c>
      <c r="V12" s="65" t="str">
        <f t="shared" si="16"/>
        <v xml:space="preserve">								_ =&gt; _.NoInLot,</v>
      </c>
      <c r="W12" s="64" t="str">
        <f t="shared" si="17"/>
        <v/>
      </c>
    </row>
    <row r="13" spans="1:23" customFormat="1" ht="21" customHeight="1" x14ac:dyDescent="0.3">
      <c r="A13" t="s">
        <v>281</v>
      </c>
      <c r="B13" t="s">
        <v>282</v>
      </c>
      <c r="C13" t="s">
        <v>1</v>
      </c>
      <c r="D13" t="str">
        <f t="shared" ref="D13:D15" si="18">SUBSTITUTE(PROPER(A13),"_","")</f>
        <v>SequenceNo</v>
      </c>
      <c r="E13" t="str">
        <f t="shared" si="6"/>
        <v>nvarchar</v>
      </c>
      <c r="F13" s="6"/>
      <c r="G13" t="str">
        <f t="shared" si="7"/>
        <v>25</v>
      </c>
      <c r="H13" t="str">
        <f>+VLOOKUP(E13,'Data Type Mapping'!A:B,2,)</f>
        <v>string</v>
      </c>
      <c r="I13" t="str">
        <f t="shared" si="8"/>
        <v xml:space="preserve">		public const int MaxSequenceNoLength = 25;
</v>
      </c>
      <c r="J13" t="str">
        <f t="shared" si="9"/>
        <v xml:space="preserve">		[StringLength(MaxSequenceNoLength)]
		public virtual string SequenceNo { get; set; }
</v>
      </c>
      <c r="K13" s="6" t="s">
        <v>207</v>
      </c>
      <c r="L13" t="str">
        <f t="shared" ref="L13:L15" si="19">IF(K13="","",REPT(CHAR(9),1)&amp;"[Index(nameof("&amp;IF(D13="","",""&amp;D13)&amp;")"&amp;", Name="&amp;"""IX_"&amp;$B$7&amp;"_"&amp;D13&amp;""")]")</f>
        <v xml:space="preserve">	[Index(nameof(SequenceNo), Name="IX_AsyAdoVehicleDetails_SequenceNo")]</v>
      </c>
      <c r="M13" t="str">
        <f t="shared" si="11"/>
        <v xml:space="preserve">		public virtual string SequenceNo { get; set; }
</v>
      </c>
      <c r="N13" t="str">
        <f t="shared" si="12"/>
        <v xml:space="preserve">		[StringLength(AsyAdoVehicleDetailsConsts.MaxSequenceNoLength)]
		public virtual string SequenceNo { get; set; }
</v>
      </c>
      <c r="O13" t="str">
        <f t="shared" si="13"/>
        <v xml:space="preserve">		public virtual string SequenceNo { get; set; }
</v>
      </c>
      <c r="P13" t="str">
        <f t="shared" si="14"/>
        <v xml:space="preserve">							SequenceNo = o.SequenceNo,</v>
      </c>
      <c r="T13" s="64" t="str">
        <f t="shared" si="15"/>
        <v xml:space="preserve">								("SequenceNo"),</v>
      </c>
      <c r="V13" s="65" t="str">
        <f t="shared" si="16"/>
        <v xml:space="preserve">								_ =&gt; _.SequenceNo,</v>
      </c>
      <c r="W13" s="64" t="str">
        <f t="shared" si="17"/>
        <v xml:space="preserve">				.WhereIf(!string.IsNullOrWhiteSpace(input.SequenceNo), e =&gt; e.SequenceNo.Contains(input.SequenceNo))</v>
      </c>
    </row>
    <row r="14" spans="1:23" customFormat="1" ht="21" customHeight="1" x14ac:dyDescent="0.3">
      <c r="A14" t="s">
        <v>311</v>
      </c>
      <c r="B14" t="s">
        <v>283</v>
      </c>
      <c r="C14" t="s">
        <v>1</v>
      </c>
      <c r="D14" t="str">
        <f t="shared" si="18"/>
        <v>KeyNo</v>
      </c>
      <c r="E14" t="str">
        <f t="shared" si="6"/>
        <v>nvarchar</v>
      </c>
      <c r="F14" s="6"/>
      <c r="G14" t="str">
        <f t="shared" si="7"/>
        <v>255</v>
      </c>
      <c r="H14" t="str">
        <f>+VLOOKUP(E14,'Data Type Mapping'!A:B,2,)</f>
        <v>string</v>
      </c>
      <c r="I14" t="str">
        <f t="shared" si="8"/>
        <v xml:space="preserve">		public const int MaxKeyNoLength = 255;
</v>
      </c>
      <c r="J14" t="str">
        <f t="shared" si="9"/>
        <v xml:space="preserve">		[StringLength(MaxKeyNoLength)]
		public virtual string KeyNo { get; set; }
</v>
      </c>
      <c r="K14" s="6"/>
      <c r="L14" t="str">
        <f t="shared" si="19"/>
        <v/>
      </c>
      <c r="M14" t="str">
        <f t="shared" si="11"/>
        <v xml:space="preserve">		public virtual string KeyNo { get; set; }
</v>
      </c>
      <c r="N14" t="str">
        <f t="shared" si="12"/>
        <v xml:space="preserve">		[StringLength(AsyAdoVehicleDetailsConsts.MaxKeyNoLength)]
		public virtual string KeyNo { get; set; }
</v>
      </c>
      <c r="O14" t="str">
        <f t="shared" si="13"/>
        <v xml:space="preserve">		public virtual string KeyNo { get; set; }
</v>
      </c>
      <c r="P14" t="str">
        <f t="shared" si="14"/>
        <v xml:space="preserve">							KeyNo = o.KeyNo,</v>
      </c>
      <c r="T14" s="64" t="str">
        <f t="shared" si="15"/>
        <v xml:space="preserve">								("KeyNo"),</v>
      </c>
      <c r="V14" s="65" t="str">
        <f t="shared" si="16"/>
        <v xml:space="preserve">								_ =&gt; _.KeyNo,</v>
      </c>
      <c r="W14" s="64" t="str">
        <f t="shared" si="17"/>
        <v xml:space="preserve">				.WhereIf(!string.IsNullOrWhiteSpace(input.KeyNo), e =&gt; e.KeyNo.Contains(input.KeyNo))</v>
      </c>
    </row>
    <row r="15" spans="1:23" customFormat="1" ht="18.75" customHeight="1" x14ac:dyDescent="0.3">
      <c r="A15" t="s">
        <v>284</v>
      </c>
      <c r="B15" t="s">
        <v>282</v>
      </c>
      <c r="C15" t="s">
        <v>1</v>
      </c>
      <c r="D15" t="str">
        <f t="shared" si="18"/>
        <v>Vin</v>
      </c>
      <c r="E15" t="str">
        <f t="shared" si="6"/>
        <v>nvarchar</v>
      </c>
      <c r="F15" s="6"/>
      <c r="G15" t="str">
        <f t="shared" si="7"/>
        <v>25</v>
      </c>
      <c r="H15" t="str">
        <f>+VLOOKUP(E15,'Data Type Mapping'!A:B,2,)</f>
        <v>string</v>
      </c>
      <c r="I15" t="str">
        <f t="shared" si="8"/>
        <v xml:space="preserve">		public const int MaxVinLength = 25;
</v>
      </c>
      <c r="J15" t="str">
        <f t="shared" si="9"/>
        <v xml:space="preserve">		[StringLength(MaxVinLength)]
		public virtual string Vin { get; set; }
</v>
      </c>
      <c r="K15" s="6" t="s">
        <v>207</v>
      </c>
      <c r="L15" t="str">
        <f t="shared" si="19"/>
        <v xml:space="preserve">	[Index(nameof(Vin), Name="IX_AsyAdoVehicleDetails_Vin")]</v>
      </c>
      <c r="M15" t="str">
        <f t="shared" si="11"/>
        <v xml:space="preserve">		public virtual string Vin { get; set; }
</v>
      </c>
      <c r="N15" t="str">
        <f t="shared" si="12"/>
        <v xml:space="preserve">		[StringLength(AsyAdoVehicleDetailsConsts.MaxVinLength)]
		public virtual string Vin { get; set; }
</v>
      </c>
      <c r="O15" t="str">
        <f t="shared" si="13"/>
        <v xml:space="preserve">		public virtual string Vin { get; set; }
</v>
      </c>
      <c r="P15" t="str">
        <f t="shared" si="14"/>
        <v xml:space="preserve">							Vin = o.Vin,</v>
      </c>
      <c r="T15" s="64" t="str">
        <f t="shared" si="15"/>
        <v xml:space="preserve">								("Vin"),</v>
      </c>
      <c r="V15" s="65" t="str">
        <f t="shared" si="16"/>
        <v xml:space="preserve">								_ =&gt; _.Vin,</v>
      </c>
      <c r="W15" s="64" t="str">
        <f t="shared" si="17"/>
        <v xml:space="preserve">				.WhereIf(!string.IsNullOrWhiteSpace(input.Vin), e =&gt; e.Vin.Contains(input.Vin))</v>
      </c>
    </row>
    <row r="16" spans="1:23" customFormat="1" ht="22.5" customHeight="1" x14ac:dyDescent="0.3">
      <c r="A16" t="s">
        <v>285</v>
      </c>
      <c r="B16" t="s">
        <v>283</v>
      </c>
      <c r="C16" t="s">
        <v>1</v>
      </c>
      <c r="D16" t="str">
        <f>SUBSTITUTE(PROPER(A16),"_","")</f>
        <v>Eng</v>
      </c>
      <c r="E16" t="str">
        <f t="shared" si="6"/>
        <v>nvarchar</v>
      </c>
      <c r="F16" s="6"/>
      <c r="G16" t="str">
        <f t="shared" si="7"/>
        <v>255</v>
      </c>
      <c r="H16" t="str">
        <f>+VLOOKUP(E16,'Data Type Mapping'!A:B,2,)</f>
        <v>string</v>
      </c>
      <c r="I16" t="str">
        <f t="shared" si="8"/>
        <v xml:space="preserve">		public const int MaxEngLength = 255;
</v>
      </c>
      <c r="J16" t="str">
        <f t="shared" si="9"/>
        <v xml:space="preserve">		[StringLength(MaxEngLength)]
		public virtual string Eng { get; set; }
</v>
      </c>
      <c r="K16" s="6"/>
      <c r="L16" t="str">
        <f>IF(K16="","",REPT(CHAR(9),1)&amp;"[Index(nameof("&amp;IF(D16="","",""&amp;D16)&amp;")"&amp;", Name="&amp;"""IX_"&amp;$B$7&amp;"_"&amp;D16&amp;""")]")</f>
        <v/>
      </c>
      <c r="M16" t="str">
        <f t="shared" si="11"/>
        <v xml:space="preserve">		public virtual string Eng { get; set; }
</v>
      </c>
      <c r="N16" t="str">
        <f t="shared" si="12"/>
        <v xml:space="preserve">		[StringLength(AsyAdoVehicleDetailsConsts.MaxEngLength)]
		public virtual string Eng { get; set; }
</v>
      </c>
      <c r="O16" t="str">
        <f t="shared" si="13"/>
        <v xml:space="preserve">		public virtual string Eng { get; set; }
</v>
      </c>
      <c r="P16" t="str">
        <f t="shared" si="14"/>
        <v xml:space="preserve">							Eng = o.Eng,</v>
      </c>
      <c r="T16" s="64" t="str">
        <f t="shared" si="15"/>
        <v xml:space="preserve">								("Eng"),</v>
      </c>
      <c r="V16" s="65" t="str">
        <f t="shared" si="16"/>
        <v xml:space="preserve">								_ =&gt; _.Eng,</v>
      </c>
      <c r="W16" s="64" t="str">
        <f t="shared" si="17"/>
        <v xml:space="preserve">				.WhereIf(!string.IsNullOrWhiteSpace(input.Eng), e =&gt; e.Eng.Contains(input.Eng))</v>
      </c>
    </row>
    <row r="17" spans="1:23" customFormat="1" ht="21" customHeight="1" x14ac:dyDescent="0.3">
      <c r="A17" t="s">
        <v>286</v>
      </c>
      <c r="B17" t="s">
        <v>283</v>
      </c>
      <c r="C17" t="s">
        <v>1</v>
      </c>
      <c r="D17" t="str">
        <f t="shared" ref="D17:D19" si="20">SUBSTITUTE(PROPER(A17),"_","")</f>
        <v>Trs</v>
      </c>
      <c r="E17" t="str">
        <f t="shared" si="6"/>
        <v>nvarchar</v>
      </c>
      <c r="F17" s="6"/>
      <c r="G17" t="str">
        <f t="shared" si="7"/>
        <v>255</v>
      </c>
      <c r="H17" t="str">
        <f>+VLOOKUP(E17,'Data Type Mapping'!A:B,2,)</f>
        <v>string</v>
      </c>
      <c r="I17" t="str">
        <f t="shared" si="8"/>
        <v xml:space="preserve">		public const int MaxTrsLength = 255;
</v>
      </c>
      <c r="J17" t="str">
        <f t="shared" si="9"/>
        <v xml:space="preserve">		[StringLength(MaxTrsLength)]
		public virtual string Trs { get; set; }
</v>
      </c>
      <c r="K17" s="6"/>
      <c r="L17" t="str">
        <f t="shared" ref="L17:L19" si="21">IF(K17="","",REPT(CHAR(9),1)&amp;"[Index(nameof("&amp;IF(D17="","",""&amp;D17)&amp;")"&amp;", Name="&amp;"""IX_"&amp;$B$7&amp;"_"&amp;D17&amp;""")]")</f>
        <v/>
      </c>
      <c r="M17" t="str">
        <f t="shared" si="11"/>
        <v xml:space="preserve">		public virtual string Trs { get; set; }
</v>
      </c>
      <c r="N17" t="str">
        <f t="shared" si="12"/>
        <v xml:space="preserve">		[StringLength(AsyAdoVehicleDetailsConsts.MaxTrsLength)]
		public virtual string Trs { get; set; }
</v>
      </c>
      <c r="O17" t="str">
        <f t="shared" si="13"/>
        <v xml:space="preserve">		public virtual string Trs { get; set; }
</v>
      </c>
      <c r="P17" t="str">
        <f t="shared" si="14"/>
        <v xml:space="preserve">							Trs = o.Trs,</v>
      </c>
      <c r="T17" s="64" t="str">
        <f t="shared" si="15"/>
        <v xml:space="preserve">								("Trs"),</v>
      </c>
      <c r="V17" s="65" t="str">
        <f t="shared" si="16"/>
        <v xml:space="preserve">								_ =&gt; _.Trs,</v>
      </c>
      <c r="W17" s="64" t="str">
        <f t="shared" si="17"/>
        <v xml:space="preserve">				.WhereIf(!string.IsNullOrWhiteSpace(input.Trs), e =&gt; e.Trs.Contains(input.Trs))</v>
      </c>
    </row>
    <row r="18" spans="1:23" customFormat="1" ht="21" customHeight="1" x14ac:dyDescent="0.3">
      <c r="A18" t="s">
        <v>287</v>
      </c>
      <c r="B18" t="s">
        <v>279</v>
      </c>
      <c r="C18" t="s">
        <v>1</v>
      </c>
      <c r="D18" t="str">
        <f t="shared" si="20"/>
        <v>Ecu</v>
      </c>
      <c r="E18" t="str">
        <f t="shared" si="6"/>
        <v>nvarchar</v>
      </c>
      <c r="F18" s="6"/>
      <c r="G18" t="str">
        <f t="shared" si="7"/>
        <v>20</v>
      </c>
      <c r="H18" t="str">
        <f>+VLOOKUP(E18,'Data Type Mapping'!A:B,2,)</f>
        <v>string</v>
      </c>
      <c r="I18" t="str">
        <f t="shared" si="8"/>
        <v xml:space="preserve">		public const int MaxEcuLength = 20;
</v>
      </c>
      <c r="J18" t="str">
        <f t="shared" si="9"/>
        <v xml:space="preserve">		[StringLength(MaxEcuLength)]
		public virtual string Ecu { get; set; }
</v>
      </c>
      <c r="K18" s="6"/>
      <c r="L18" t="str">
        <f t="shared" si="21"/>
        <v/>
      </c>
      <c r="M18" t="str">
        <f t="shared" si="11"/>
        <v xml:space="preserve">		public virtual string Ecu { get; set; }
</v>
      </c>
      <c r="N18" t="str">
        <f t="shared" si="12"/>
        <v xml:space="preserve">		[StringLength(AsyAdoVehicleDetailsConsts.MaxEcuLength)]
		public virtual string Ecu { get; set; }
</v>
      </c>
      <c r="O18" t="str">
        <f t="shared" si="13"/>
        <v xml:space="preserve">		public virtual string Ecu { get; set; }
</v>
      </c>
      <c r="P18" t="str">
        <f t="shared" si="14"/>
        <v xml:space="preserve">							Ecu = o.Ecu,</v>
      </c>
      <c r="T18" s="64" t="str">
        <f t="shared" si="15"/>
        <v xml:space="preserve">								("Ecu"),</v>
      </c>
      <c r="V18" s="65" t="str">
        <f t="shared" si="16"/>
        <v xml:space="preserve">								_ =&gt; _.Ecu,</v>
      </c>
      <c r="W18" s="64" t="str">
        <f t="shared" si="17"/>
        <v xml:space="preserve">				.WhereIf(!string.IsNullOrWhiteSpace(input.Ecu), e =&gt; e.Ecu.Contains(input.Ecu))</v>
      </c>
    </row>
    <row r="19" spans="1:23" customFormat="1" ht="18.75" customHeight="1" x14ac:dyDescent="0.3">
      <c r="A19" t="s">
        <v>288</v>
      </c>
      <c r="B19" t="s">
        <v>249</v>
      </c>
      <c r="C19" t="s">
        <v>1</v>
      </c>
      <c r="D19" t="str">
        <f t="shared" si="20"/>
        <v>WInDateActual</v>
      </c>
      <c r="E19" t="str">
        <f t="shared" si="6"/>
        <v>datetime2</v>
      </c>
      <c r="F19" s="6" t="s">
        <v>249</v>
      </c>
      <c r="G19" t="str">
        <f t="shared" si="7"/>
        <v>7</v>
      </c>
      <c r="H19" t="str">
        <f>+VLOOKUP(E19,'Data Type Mapping'!A:B,2,)</f>
        <v>DateTime</v>
      </c>
      <c r="I19" t="str">
        <f t="shared" si="8"/>
        <v/>
      </c>
      <c r="J19" t="str">
        <f t="shared" si="9"/>
        <v xml:space="preserve">		[Column(TypeName="datetime2(7)")]
		public virtual DateTime WInDateActual { get; set; }
</v>
      </c>
      <c r="K19" s="6"/>
      <c r="L19" t="str">
        <f t="shared" si="21"/>
        <v/>
      </c>
      <c r="M19" t="str">
        <f t="shared" si="11"/>
        <v xml:space="preserve">		public virtual DateTime? WInDateActual { get; set; }
</v>
      </c>
      <c r="N19" t="str">
        <f t="shared" si="12"/>
        <v xml:space="preserve">		public virtual DateTime? WInDateActual { get; set; }
</v>
      </c>
      <c r="O19" t="str">
        <f t="shared" si="13"/>
        <v xml:space="preserve">		public virtual DateTime? WInDateActual { get; set; }
</v>
      </c>
      <c r="P19" t="str">
        <f t="shared" si="14"/>
        <v xml:space="preserve">							WInDateActual = o.WInDateActual,</v>
      </c>
      <c r="T19" s="64" t="str">
        <f t="shared" si="15"/>
        <v xml:space="preserve">								("WInDateActual"),</v>
      </c>
      <c r="V19" s="65" t="str">
        <f t="shared" si="16"/>
        <v xml:space="preserve">								_ =&gt; _.WInDateActual,</v>
      </c>
      <c r="W19" s="64" t="str">
        <f t="shared" si="17"/>
        <v xml:space="preserve">				.WhereIf(input.WInDateActual.HasValue, t =&gt; t.WInDateActual == input.WInDateActual.Value)</v>
      </c>
    </row>
    <row r="20" spans="1:23" customFormat="1" ht="22.5" customHeight="1" x14ac:dyDescent="0.3">
      <c r="A20" t="s">
        <v>289</v>
      </c>
      <c r="B20" t="s">
        <v>249</v>
      </c>
      <c r="C20" t="s">
        <v>1</v>
      </c>
      <c r="D20" t="str">
        <f>SUBSTITUTE(PROPER(A20),"_","")</f>
        <v>TInPlanDatetime</v>
      </c>
      <c r="E20" t="str">
        <f t="shared" si="6"/>
        <v>datetime2</v>
      </c>
      <c r="F20" s="6" t="s">
        <v>249</v>
      </c>
      <c r="G20" t="str">
        <f t="shared" si="7"/>
        <v>7</v>
      </c>
      <c r="H20" t="str">
        <f>+VLOOKUP(E20,'Data Type Mapping'!A:B,2,)</f>
        <v>DateTime</v>
      </c>
      <c r="I20" t="str">
        <f t="shared" si="8"/>
        <v/>
      </c>
      <c r="J20" t="str">
        <f t="shared" si="9"/>
        <v xml:space="preserve">		[Column(TypeName="datetime2(7)")]
		public virtual DateTime TInPlanDatetime { get; set; }
</v>
      </c>
      <c r="K20" s="6"/>
      <c r="L20" t="str">
        <f>IF(K20="","",REPT(CHAR(9),1)&amp;"[Index(nameof("&amp;IF(D20="","",""&amp;D20)&amp;")"&amp;", Name="&amp;"""IX_"&amp;$B$7&amp;"_"&amp;D20&amp;""")]")</f>
        <v/>
      </c>
      <c r="M20" t="str">
        <f t="shared" si="11"/>
        <v xml:space="preserve">		public virtual DateTime? TInPlanDatetime { get; set; }
</v>
      </c>
      <c r="N20" t="str">
        <f t="shared" si="12"/>
        <v xml:space="preserve">		public virtual DateTime? TInPlanDatetime { get; set; }
</v>
      </c>
      <c r="O20" t="str">
        <f t="shared" si="13"/>
        <v xml:space="preserve">		public virtual DateTime? TInPlanDatetime { get; set; }
</v>
      </c>
      <c r="P20" t="str">
        <f t="shared" si="14"/>
        <v xml:space="preserve">							TInPlanDatetime = o.TInPlanDatetime,</v>
      </c>
      <c r="T20" s="64" t="str">
        <f t="shared" si="15"/>
        <v xml:space="preserve">								("TInPlanDatetime"),</v>
      </c>
      <c r="V20" s="65" t="str">
        <f t="shared" si="16"/>
        <v xml:space="preserve">								_ =&gt; _.TInPlanDatetime,</v>
      </c>
      <c r="W20" s="64" t="str">
        <f t="shared" si="17"/>
        <v xml:space="preserve">				.WhereIf(input.TInPlanDatetime.HasValue, t =&gt; t.TInPlanDatetime == input.TInPlanDatetime.Value)</v>
      </c>
    </row>
    <row r="21" spans="1:23" customFormat="1" ht="21" customHeight="1" x14ac:dyDescent="0.3">
      <c r="A21" t="s">
        <v>290</v>
      </c>
      <c r="B21" t="s">
        <v>277</v>
      </c>
      <c r="C21" t="s">
        <v>1</v>
      </c>
      <c r="D21" t="str">
        <f t="shared" ref="D21:D23" si="22">SUBSTITUTE(PROPER(A21),"_","")</f>
        <v>PaintInTime</v>
      </c>
      <c r="E21" t="str">
        <f t="shared" si="6"/>
        <v>nvarchar</v>
      </c>
      <c r="F21" s="6"/>
      <c r="G21" t="str">
        <f t="shared" si="7"/>
        <v>10</v>
      </c>
      <c r="H21" t="str">
        <f>+VLOOKUP(E21,'Data Type Mapping'!A:B,2,)</f>
        <v>string</v>
      </c>
      <c r="I21" t="str">
        <f t="shared" si="8"/>
        <v xml:space="preserve">		public const int MaxPaintInTimeLength = 10;
</v>
      </c>
      <c r="J21" t="str">
        <f t="shared" si="9"/>
        <v xml:space="preserve">		[StringLength(MaxPaintInTimeLength)]
		public virtual string PaintInTime { get; set; }
</v>
      </c>
      <c r="K21" s="6"/>
      <c r="L21" t="str">
        <f t="shared" ref="L21:L23" si="23">IF(K21="","",REPT(CHAR(9),1)&amp;"[Index(nameof("&amp;IF(D21="","",""&amp;D21)&amp;")"&amp;", Name="&amp;"""IX_"&amp;$B$7&amp;"_"&amp;D21&amp;""")]")</f>
        <v/>
      </c>
      <c r="M21" t="str">
        <f t="shared" si="11"/>
        <v xml:space="preserve">		public virtual string PaintInTime { get; set; }
</v>
      </c>
      <c r="N21" t="str">
        <f t="shared" si="12"/>
        <v xml:space="preserve">		[StringLength(AsyAdoVehicleDetailsConsts.MaxPaintInTimeLength)]
		public virtual string PaintInTime { get; set; }
</v>
      </c>
      <c r="O21" t="str">
        <f t="shared" si="13"/>
        <v xml:space="preserve">		public virtual string PaintInTime { get; set; }
</v>
      </c>
      <c r="P21" t="str">
        <f t="shared" si="14"/>
        <v xml:space="preserve">							PaintInTime = o.PaintInTime,</v>
      </c>
      <c r="T21" s="64" t="str">
        <f t="shared" si="15"/>
        <v xml:space="preserve">								("PaintInTime"),</v>
      </c>
      <c r="V21" s="65" t="str">
        <f t="shared" si="16"/>
        <v xml:space="preserve">								_ =&gt; _.PaintInTime,</v>
      </c>
      <c r="W21" s="64" t="str">
        <f t="shared" si="17"/>
        <v xml:space="preserve">				.WhereIf(!string.IsNullOrWhiteSpace(input.PaintInTime), e =&gt; e.PaintInTime.Contains(input.PaintInTime))</v>
      </c>
    </row>
    <row r="22" spans="1:23" customFormat="1" ht="21" customHeight="1" x14ac:dyDescent="0.3">
      <c r="A22" t="s">
        <v>291</v>
      </c>
      <c r="B22" t="s">
        <v>249</v>
      </c>
      <c r="C22" t="s">
        <v>1</v>
      </c>
      <c r="D22" t="str">
        <f t="shared" si="22"/>
        <v>AInDateActual</v>
      </c>
      <c r="E22" t="str">
        <f t="shared" si="6"/>
        <v>datetime2</v>
      </c>
      <c r="F22" s="6" t="s">
        <v>249</v>
      </c>
      <c r="G22" t="str">
        <f t="shared" si="7"/>
        <v>7</v>
      </c>
      <c r="H22" t="str">
        <f>+VLOOKUP(E22,'Data Type Mapping'!A:B,2,)</f>
        <v>DateTime</v>
      </c>
      <c r="I22" t="str">
        <f t="shared" si="8"/>
        <v/>
      </c>
      <c r="J22" t="str">
        <f t="shared" si="9"/>
        <v xml:space="preserve">		[Column(TypeName="datetime2(7)")]
		public virtual DateTime AInDateActual { get; set; }
</v>
      </c>
      <c r="K22" s="6"/>
      <c r="L22" t="str">
        <f t="shared" si="23"/>
        <v/>
      </c>
      <c r="M22" t="str">
        <f t="shared" si="11"/>
        <v xml:space="preserve">		public virtual DateTime? AInDateActual { get; set; }
</v>
      </c>
      <c r="N22" t="str">
        <f t="shared" si="12"/>
        <v xml:space="preserve">		public virtual DateTime? AInDateActual { get; set; }
</v>
      </c>
      <c r="O22" t="str">
        <f t="shared" si="13"/>
        <v xml:space="preserve">		public virtual DateTime? AInDateActual { get; set; }
</v>
      </c>
      <c r="P22" t="str">
        <f t="shared" si="14"/>
        <v xml:space="preserve">							AInDateActual = o.AInDateActual,</v>
      </c>
      <c r="T22" s="64" t="str">
        <f t="shared" si="15"/>
        <v xml:space="preserve">								("AInDateActual"),</v>
      </c>
      <c r="V22" s="65" t="str">
        <f t="shared" si="16"/>
        <v xml:space="preserve">								_ =&gt; _.AInDateActual,</v>
      </c>
      <c r="W22" s="64" t="str">
        <f t="shared" si="17"/>
        <v xml:space="preserve">				.WhereIf(input.AInDateActual.HasValue, t =&gt; t.AInDateActual == input.AInDateActual.Value)</v>
      </c>
    </row>
    <row r="23" spans="1:23" customFormat="1" ht="18.75" customHeight="1" x14ac:dyDescent="0.3">
      <c r="A23" t="s">
        <v>292</v>
      </c>
      <c r="B23" t="s">
        <v>249</v>
      </c>
      <c r="C23" t="s">
        <v>1</v>
      </c>
      <c r="D23" t="str">
        <f t="shared" si="22"/>
        <v>InsOutDateActual</v>
      </c>
      <c r="E23" t="str">
        <f t="shared" si="6"/>
        <v>datetime2</v>
      </c>
      <c r="F23" s="6" t="s">
        <v>249</v>
      </c>
      <c r="G23" t="str">
        <f t="shared" si="7"/>
        <v>7</v>
      </c>
      <c r="H23" t="str">
        <f>+VLOOKUP(E23,'Data Type Mapping'!A:B,2,)</f>
        <v>DateTime</v>
      </c>
      <c r="I23" t="str">
        <f t="shared" si="8"/>
        <v/>
      </c>
      <c r="J23" t="str">
        <f t="shared" si="9"/>
        <v xml:space="preserve">		[Column(TypeName="datetime2(7)")]
		public virtual DateTime InsOutDateActual { get; set; }
</v>
      </c>
      <c r="K23" s="6"/>
      <c r="L23" t="str">
        <f t="shared" si="23"/>
        <v/>
      </c>
      <c r="M23" t="str">
        <f t="shared" si="11"/>
        <v xml:space="preserve">		public virtual DateTime? InsOutDateActual { get; set; }
</v>
      </c>
      <c r="N23" t="str">
        <f t="shared" si="12"/>
        <v xml:space="preserve">		public virtual DateTime? InsOutDateActual { get; set; }
</v>
      </c>
      <c r="O23" t="str">
        <f t="shared" si="13"/>
        <v xml:space="preserve">		public virtual DateTime? InsOutDateActual { get; set; }
</v>
      </c>
      <c r="P23" t="str">
        <f t="shared" si="14"/>
        <v xml:space="preserve">							InsOutDateActual = o.InsOutDateActual,</v>
      </c>
      <c r="T23" s="64" t="str">
        <f t="shared" si="15"/>
        <v xml:space="preserve">								("InsOutDateActual"),</v>
      </c>
      <c r="V23" s="65" t="str">
        <f t="shared" si="16"/>
        <v xml:space="preserve">								_ =&gt; _.InsOutDateActual,</v>
      </c>
      <c r="W23" s="64" t="str">
        <f t="shared" si="17"/>
        <v xml:space="preserve">				.WhereIf(input.InsOutDateActual.HasValue, t =&gt; t.InsOutDateActual == input.InsOutDateActual.Value)</v>
      </c>
    </row>
    <row r="24" spans="1:23" customFormat="1" ht="22.5" customHeight="1" x14ac:dyDescent="0.3">
      <c r="A24" t="s">
        <v>293</v>
      </c>
      <c r="B24" t="s">
        <v>249</v>
      </c>
      <c r="C24" t="s">
        <v>1</v>
      </c>
      <c r="D24" t="str">
        <f>SUBSTITUTE(PROPER(A24),"_","")</f>
        <v>InsLineOutVp4DateActual</v>
      </c>
      <c r="E24" t="str">
        <f t="shared" si="6"/>
        <v>datetime2</v>
      </c>
      <c r="F24" s="6" t="s">
        <v>249</v>
      </c>
      <c r="G24" t="str">
        <f t="shared" si="7"/>
        <v>7</v>
      </c>
      <c r="H24" t="str">
        <f>+VLOOKUP(E24,'Data Type Mapping'!A:B,2,)</f>
        <v>DateTime</v>
      </c>
      <c r="I24" t="str">
        <f t="shared" si="8"/>
        <v/>
      </c>
      <c r="J24" t="str">
        <f t="shared" si="9"/>
        <v xml:space="preserve">		[Column(TypeName="datetime2(7)")]
		public virtual DateTime InsLineOutVp4DateActual { get; set; }
</v>
      </c>
      <c r="K24" s="6"/>
      <c r="L24" t="str">
        <f>IF(K24="","",REPT(CHAR(9),1)&amp;"[Index(nameof("&amp;IF(D24="","",""&amp;D24)&amp;")"&amp;", Name="&amp;"""IX_"&amp;$B$7&amp;"_"&amp;D24&amp;""")]")</f>
        <v/>
      </c>
      <c r="M24" t="str">
        <f t="shared" si="11"/>
        <v xml:space="preserve">		public virtual DateTime? InsLineOutVp4DateActual { get; set; }
</v>
      </c>
      <c r="N24" t="str">
        <f t="shared" si="12"/>
        <v xml:space="preserve">		public virtual DateTime? InsLineOutVp4DateActual { get; set; }
</v>
      </c>
      <c r="O24" t="str">
        <f t="shared" si="13"/>
        <v xml:space="preserve">		public virtual DateTime? InsLineOutVp4DateActual { get; set; }
</v>
      </c>
      <c r="P24" t="str">
        <f t="shared" si="14"/>
        <v xml:space="preserve">							InsLineOutVp4DateActual = o.InsLineOutVp4DateActual,</v>
      </c>
      <c r="T24" s="64" t="str">
        <f t="shared" si="15"/>
        <v xml:space="preserve">								("InsLineOutVp4DateActual"),</v>
      </c>
      <c r="V24" s="65" t="str">
        <f t="shared" si="16"/>
        <v xml:space="preserve">								_ =&gt; _.InsLineOutVp4DateActual,</v>
      </c>
      <c r="W24" s="64" t="str">
        <f t="shared" si="17"/>
        <v xml:space="preserve">				.WhereIf(input.InsLineOutVp4DateActual.HasValue, t =&gt; t.InsLineOutVp4DateActual == input.InsLineOutVp4DateActual.Value)</v>
      </c>
    </row>
    <row r="25" spans="1:23" customFormat="1" ht="21" customHeight="1" x14ac:dyDescent="0.3">
      <c r="A25" t="s">
        <v>294</v>
      </c>
      <c r="B25" t="s">
        <v>279</v>
      </c>
      <c r="C25" t="s">
        <v>1</v>
      </c>
      <c r="D25" t="str">
        <f t="shared" ref="D25" si="24">SUBSTITUTE(PROPER(A25),"_","")</f>
        <v>DriverAirBag</v>
      </c>
      <c r="E25" t="str">
        <f t="shared" si="6"/>
        <v>nvarchar</v>
      </c>
      <c r="F25" s="6"/>
      <c r="G25" t="str">
        <f t="shared" si="7"/>
        <v>20</v>
      </c>
      <c r="H25" t="str">
        <f>+VLOOKUP(E25,'Data Type Mapping'!A:B,2,)</f>
        <v>string</v>
      </c>
      <c r="I25" t="str">
        <f t="shared" si="8"/>
        <v xml:space="preserve">		public const int MaxDriverAirBagLength = 20;
</v>
      </c>
      <c r="J25" t="str">
        <f t="shared" si="9"/>
        <v xml:space="preserve">		[StringLength(MaxDriverAirBagLength)]
		public virtual string DriverAirBag { get; set; }
</v>
      </c>
      <c r="K25" s="6"/>
      <c r="L25" t="str">
        <f t="shared" ref="L25" si="25">IF(K25="","",REPT(CHAR(9),1)&amp;"[Index(nameof("&amp;IF(D25="","",""&amp;D25)&amp;")"&amp;", Name="&amp;"""IX_"&amp;$B$7&amp;"_"&amp;D25&amp;""")]")</f>
        <v/>
      </c>
      <c r="M25" t="str">
        <f t="shared" si="11"/>
        <v xml:space="preserve">		public virtual string DriverAirBag { get; set; }
</v>
      </c>
      <c r="N25" t="str">
        <f t="shared" si="12"/>
        <v xml:space="preserve">		[StringLength(AsyAdoVehicleDetailsConsts.MaxDriverAirBagLength)]
		public virtual string DriverAirBag { get; set; }
</v>
      </c>
      <c r="O25" t="str">
        <f t="shared" si="13"/>
        <v xml:space="preserve">		public virtual string DriverAirBag { get; set; }
</v>
      </c>
      <c r="P25" t="str">
        <f t="shared" si="14"/>
        <v xml:space="preserve">							DriverAirBag = o.DriverAirBag,</v>
      </c>
      <c r="T25" s="64" t="str">
        <f t="shared" si="15"/>
        <v xml:space="preserve">								("DriverAirBag"),</v>
      </c>
      <c r="V25" s="65" t="str">
        <f t="shared" si="16"/>
        <v xml:space="preserve">								_ =&gt; _.DriverAirBag,</v>
      </c>
      <c r="W25" s="64" t="str">
        <f t="shared" si="17"/>
        <v xml:space="preserve">				.WhereIf(!string.IsNullOrWhiteSpace(input.DriverAirBag), e =&gt; e.DriverAirBag.Contains(input.DriverAirBag))</v>
      </c>
    </row>
    <row r="26" spans="1:23" customFormat="1" ht="21" customHeight="1" x14ac:dyDescent="0.3">
      <c r="A26" t="s">
        <v>295</v>
      </c>
      <c r="B26" t="s">
        <v>279</v>
      </c>
      <c r="C26" t="s">
        <v>1</v>
      </c>
      <c r="D26" t="str">
        <f t="shared" ref="D26:D27" si="26">SUBSTITUTE(PROPER(A26),"_","")</f>
        <v>PassengerAirBag</v>
      </c>
      <c r="E26" t="str">
        <f t="shared" si="0"/>
        <v>nvarchar</v>
      </c>
      <c r="F26" s="6"/>
      <c r="G26" t="str">
        <f t="shared" si="1"/>
        <v>20</v>
      </c>
      <c r="H26" t="str">
        <f>+VLOOKUP(E26,'Data Type Mapping'!A:B,2,)</f>
        <v>string</v>
      </c>
      <c r="I26" t="str">
        <f t="shared" si="2"/>
        <v xml:space="preserve">		public const int MaxPassengerAirBagLength = 20;
</v>
      </c>
      <c r="J26" t="str">
        <f t="shared" si="3"/>
        <v xml:space="preserve">		[StringLength(MaxPassengerAirBagLength)]
		public virtual string PassengerAirBag { get; set; }
</v>
      </c>
      <c r="K26" s="6"/>
      <c r="L26" t="str">
        <f t="shared" ref="L26:L27" si="27">IF(K26="","",REPT(CHAR(9),1)&amp;"[Index(nameof("&amp;IF(D26="","",""&amp;D26)&amp;")"&amp;", Name="&amp;"""IX_"&amp;$B$7&amp;"_"&amp;D26&amp;""")]")</f>
        <v/>
      </c>
      <c r="M26" t="str">
        <f t="shared" ref="M26:M33" si="28">REPT(CHAR(9),2)&amp;"public virtual "&amp;IF(OR(H26="DateTime",H26="TimeSpan"),H26&amp;"?",H26)&amp;IF(C26="?","? "," ")&amp;D26&amp;" { get; set; }" &amp; "
"</f>
        <v xml:space="preserve">		public virtual string PassengerAirBag { get; set; }
</v>
      </c>
      <c r="N26" t="str">
        <f t="shared" ref="N26:N33" si="29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[StringLength(AsyAdoVehicleDetailsConsts.MaxPassengerAirBagLength)]
		public virtual string PassengerAirBag { get; set; }
</v>
      </c>
      <c r="O26" t="str">
        <f t="shared" ref="O26:O33" si="30">IF(OR(H26="string",H26="DateTime",H26="int"),REPT(CHAR(9),2)&amp;"public virtual "&amp;IF(OR(H26="DateTime",H26="TimeSpan"),H26&amp;"?",H26)&amp;IF(C26="?","? "," ")&amp;D26&amp;" { get; set; }"&amp;$E$3,"")</f>
        <v xml:space="preserve">		public virtual string PassengerAirBag { get; set; }
</v>
      </c>
      <c r="P26" t="str">
        <f t="shared" si="4"/>
        <v xml:space="preserve">							PassengerAirBag = o.PassengerAirBag,</v>
      </c>
      <c r="T26" s="64" t="str">
        <f t="shared" ref="T26:T33" si="31">REPT(CHAR(9),8)&amp;"("""&amp;D26&amp;"""),"</f>
        <v xml:space="preserve">								("PassengerAirBag"),</v>
      </c>
      <c r="V26" s="65" t="str">
        <f t="shared" ref="V26:V33" si="32">REPT(CHAR(9),8)&amp;"_ =&gt; _."&amp;D26&amp;","</f>
        <v xml:space="preserve">								_ =&gt; _.PassengerAirBag,</v>
      </c>
      <c r="W26" s="64" t="str">
        <f t="shared" ref="W26:W33" si="33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 xml:space="preserve">				.WhereIf(!string.IsNullOrWhiteSpace(input.PassengerAirBag), e =&gt; e.PassengerAirBag.Contains(input.PassengerAirBag))</v>
      </c>
    </row>
    <row r="27" spans="1:23" customFormat="1" ht="18.75" customHeight="1" x14ac:dyDescent="0.3">
      <c r="A27" t="s">
        <v>296</v>
      </c>
      <c r="B27" t="s">
        <v>279</v>
      </c>
      <c r="C27" t="s">
        <v>1</v>
      </c>
      <c r="D27" t="str">
        <f t="shared" si="26"/>
        <v>SideAirBadLh</v>
      </c>
      <c r="E27" t="str">
        <f t="shared" si="0"/>
        <v>nvarchar</v>
      </c>
      <c r="F27" s="6"/>
      <c r="G27" t="str">
        <f t="shared" si="1"/>
        <v>20</v>
      </c>
      <c r="H27" t="str">
        <f>+VLOOKUP(E27,'Data Type Mapping'!A:B,2,)</f>
        <v>string</v>
      </c>
      <c r="I27" t="str">
        <f t="shared" si="2"/>
        <v xml:space="preserve">		public const int MaxSideAirBadLhLength = 20;
</v>
      </c>
      <c r="J27" t="str">
        <f t="shared" si="3"/>
        <v xml:space="preserve">		[StringLength(MaxSideAirBadLhLength)]
		public virtual string SideAirBadLh { get; set; }
</v>
      </c>
      <c r="K27" s="6"/>
      <c r="L27" t="str">
        <f t="shared" si="27"/>
        <v/>
      </c>
      <c r="M27" t="str">
        <f t="shared" si="28"/>
        <v xml:space="preserve">		public virtual string SideAirBadLh { get; set; }
</v>
      </c>
      <c r="N27" t="str">
        <f t="shared" si="29"/>
        <v xml:space="preserve">		[StringLength(AsyAdoVehicleDetailsConsts.MaxSideAirBadLhLength)]
		public virtual string SideAirBadLh { get; set; }
</v>
      </c>
      <c r="O27" t="str">
        <f t="shared" si="30"/>
        <v xml:space="preserve">		public virtual string SideAirBadLh { get; set; }
</v>
      </c>
      <c r="P27" t="str">
        <f t="shared" si="4"/>
        <v xml:space="preserve">							SideAirBadLh = o.SideAirBadLh,</v>
      </c>
      <c r="T27" s="64" t="str">
        <f t="shared" si="31"/>
        <v xml:space="preserve">								("SideAirBadLh"),</v>
      </c>
      <c r="V27" s="65" t="str">
        <f t="shared" si="32"/>
        <v xml:space="preserve">								_ =&gt; _.SideAirBadLh,</v>
      </c>
      <c r="W27" s="64" t="str">
        <f t="shared" si="33"/>
        <v xml:space="preserve">				.WhereIf(!string.IsNullOrWhiteSpace(input.SideAirBadLh), e =&gt; e.SideAirBadLh.Contains(input.SideAirBadLh))</v>
      </c>
    </row>
    <row r="28" spans="1:23" customFormat="1" ht="22.5" customHeight="1" x14ac:dyDescent="0.3">
      <c r="A28" t="s">
        <v>297</v>
      </c>
      <c r="B28" t="s">
        <v>279</v>
      </c>
      <c r="C28" t="s">
        <v>1</v>
      </c>
      <c r="D28" t="str">
        <f>SUBSTITUTE(PROPER(A28),"_","")</f>
        <v>SideAirBadRh</v>
      </c>
      <c r="E28" t="str">
        <f t="shared" si="0"/>
        <v>nvarchar</v>
      </c>
      <c r="F28" s="6"/>
      <c r="G28" t="str">
        <f t="shared" si="1"/>
        <v>20</v>
      </c>
      <c r="H28" t="str">
        <f>+VLOOKUP(E28,'Data Type Mapping'!A:B,2,)</f>
        <v>string</v>
      </c>
      <c r="I28" t="str">
        <f t="shared" si="2"/>
        <v xml:space="preserve">		public const int MaxSideAirBadRhLength = 20;
</v>
      </c>
      <c r="J28" t="str">
        <f t="shared" si="3"/>
        <v xml:space="preserve">		[StringLength(MaxSideAirBadRhLength)]
		public virtual string SideAirBadRh { get; set; }
</v>
      </c>
      <c r="K28" s="6"/>
      <c r="L28" t="str">
        <f>IF(K28="","",REPT(CHAR(9),1)&amp;"[Index(nameof("&amp;IF(D28="","",""&amp;D28)&amp;")"&amp;", Name="&amp;"""IX_"&amp;$B$7&amp;"_"&amp;D28&amp;""")]")</f>
        <v/>
      </c>
      <c r="M28" t="str">
        <f t="shared" si="28"/>
        <v xml:space="preserve">		public virtual string SideAirBadRh { get; set; }
</v>
      </c>
      <c r="N28" t="str">
        <f t="shared" si="29"/>
        <v xml:space="preserve">		[StringLength(AsyAdoVehicleDetailsConsts.MaxSideAirBadRhLength)]
		public virtual string SideAirBadRh { get; set; }
</v>
      </c>
      <c r="O28" t="str">
        <f t="shared" si="30"/>
        <v xml:space="preserve">		public virtual string SideAirBadRh { get; set; }
</v>
      </c>
      <c r="P28" t="str">
        <f t="shared" si="4"/>
        <v xml:space="preserve">							SideAirBadRh = o.SideAirBadRh,</v>
      </c>
      <c r="T28" s="64" t="str">
        <f t="shared" si="31"/>
        <v xml:space="preserve">								("SideAirBadRh"),</v>
      </c>
      <c r="V28" s="65" t="str">
        <f t="shared" si="32"/>
        <v xml:space="preserve">								_ =&gt; _.SideAirBadRh,</v>
      </c>
      <c r="W28" s="64" t="str">
        <f t="shared" si="33"/>
        <v xml:space="preserve">				.WhereIf(!string.IsNullOrWhiteSpace(input.SideAirBadRh), e =&gt; e.SideAirBadRh.Contains(input.SideAirBadRh))</v>
      </c>
    </row>
    <row r="29" spans="1:23" customFormat="1" ht="21" customHeight="1" x14ac:dyDescent="0.3">
      <c r="A29" t="s">
        <v>298</v>
      </c>
      <c r="B29" t="s">
        <v>279</v>
      </c>
      <c r="C29" t="s">
        <v>1</v>
      </c>
      <c r="D29" t="str">
        <f t="shared" ref="D29:D31" si="34">SUBSTITUTE(PROPER(A29),"_","")</f>
        <v>KneeAirBadLh</v>
      </c>
      <c r="E29" t="str">
        <f t="shared" si="0"/>
        <v>nvarchar</v>
      </c>
      <c r="F29" s="6"/>
      <c r="G29" t="str">
        <f t="shared" si="1"/>
        <v>20</v>
      </c>
      <c r="H29" t="str">
        <f>+VLOOKUP(E29,'Data Type Mapping'!A:B,2,)</f>
        <v>string</v>
      </c>
      <c r="I29" t="str">
        <f t="shared" si="2"/>
        <v xml:space="preserve">		public const int MaxKneeAirBadLhLength = 20;
</v>
      </c>
      <c r="J29" t="str">
        <f t="shared" si="3"/>
        <v xml:space="preserve">		[StringLength(MaxKneeAirBadLhLength)]
		public virtual string KneeAirBadLh { get; set; }
</v>
      </c>
      <c r="K29" s="6"/>
      <c r="L29" t="str">
        <f t="shared" ref="L29:L31" si="35">IF(K29="","",REPT(CHAR(9),1)&amp;"[Index(nameof("&amp;IF(D29="","",""&amp;D29)&amp;")"&amp;", Name="&amp;"""IX_"&amp;$B$7&amp;"_"&amp;D29&amp;""")]")</f>
        <v/>
      </c>
      <c r="M29" t="str">
        <f t="shared" si="28"/>
        <v xml:space="preserve">		public virtual string KneeAirBadLh { get; set; }
</v>
      </c>
      <c r="N29" t="str">
        <f t="shared" si="29"/>
        <v xml:space="preserve">		[StringLength(AsyAdoVehicleDetailsConsts.MaxKneeAirBadLhLength)]
		public virtual string KneeAirBadLh { get; set; }
</v>
      </c>
      <c r="O29" t="str">
        <f t="shared" si="30"/>
        <v xml:space="preserve">		public virtual string KneeAirBadLh { get; set; }
</v>
      </c>
      <c r="P29" t="str">
        <f t="shared" si="4"/>
        <v xml:space="preserve">							KneeAirBadLh = o.KneeAirBadLh,</v>
      </c>
      <c r="T29" s="64" t="str">
        <f t="shared" si="31"/>
        <v xml:space="preserve">								("KneeAirBadLh"),</v>
      </c>
      <c r="V29" s="65" t="str">
        <f t="shared" si="32"/>
        <v xml:space="preserve">								_ =&gt; _.KneeAirBadLh,</v>
      </c>
      <c r="W29" s="64" t="str">
        <f t="shared" si="33"/>
        <v xml:space="preserve">				.WhereIf(!string.IsNullOrWhiteSpace(input.KneeAirBadLh), e =&gt; e.KneeAirBadLh.Contains(input.KneeAirBadLh))</v>
      </c>
    </row>
    <row r="30" spans="1:23" customFormat="1" ht="21" customHeight="1" x14ac:dyDescent="0.3">
      <c r="A30" t="s">
        <v>299</v>
      </c>
      <c r="B30" t="s">
        <v>283</v>
      </c>
      <c r="C30" t="s">
        <v>1</v>
      </c>
      <c r="D30" t="str">
        <f t="shared" si="34"/>
        <v>CurtainSideAirBadLh</v>
      </c>
      <c r="E30" t="str">
        <f t="shared" ref="E30:E33" si="36">IFERROR(LEFT(B30, FIND("(",B30)-1),B30)</f>
        <v>nvarchar</v>
      </c>
      <c r="F30" s="6"/>
      <c r="G30" t="str">
        <f t="shared" ref="G30:G33" si="37">IFERROR(MID(B30,FIND("(",B30) +1, FIND(")",B30) - FIND("(",B30) - 1),"")</f>
        <v>255</v>
      </c>
      <c r="H30" t="str">
        <f>+VLOOKUP(E30,'Data Type Mapping'!A:B,2,)</f>
        <v>string</v>
      </c>
      <c r="I30" t="str">
        <f t="shared" ref="I30:I33" si="38">IF(H30="string",REPT(CHAR(9),2)&amp;"public const int Max"&amp;D30&amp;"Length = "&amp;G30&amp;";"&amp;$E$3,"" )</f>
        <v xml:space="preserve">		public const int MaxCurtainSideAirBadLhLength = 255;
</v>
      </c>
      <c r="J30" t="str">
        <f t="shared" ref="J30:J33" si="39">IF(F30="","",REPT(CHAR(9),2)&amp;"[Column(TypeName="""&amp;F30&amp;""")]"&amp;$E$3)&amp;IF(C30="Checked","",$I$3)&amp;IF(H30="string",REPT(CHAR(9),2)&amp;"[StringLength(Max"&amp;D30&amp;"Length"&amp;")]"&amp;$E$3,"")&amp;REPT(CHAR(9),2)&amp;"public virtual "&amp;H30&amp;IF(C30="?","? "," ")&amp;D30&amp;" { get; set; }" &amp; "
"</f>
        <v xml:space="preserve">		[StringLength(MaxCurtainSideAirBadLhLength)]
		public virtual string CurtainSideAirBadLh { get; set; }
</v>
      </c>
      <c r="K30" s="6"/>
      <c r="L30" t="str">
        <f t="shared" si="35"/>
        <v/>
      </c>
      <c r="M30" t="str">
        <f t="shared" si="28"/>
        <v xml:space="preserve">		public virtual string CurtainSideAirBadLh { get; set; }
</v>
      </c>
      <c r="N30" t="str">
        <f t="shared" si="29"/>
        <v xml:space="preserve">		[StringLength(AsyAdoVehicleDetailsConsts.MaxCurtainSideAirBadLhLength)]
		public virtual string CurtainSideAirBadLh { get; set; }
</v>
      </c>
      <c r="O30" t="str">
        <f t="shared" si="30"/>
        <v xml:space="preserve">		public virtual string CurtainSideAirBadLh { get; set; }
</v>
      </c>
      <c r="P30" t="str">
        <f t="shared" ref="P30:P33" si="40">REPT(CHAR(9),7)&amp;D30&amp;" = o." &amp;D30 &amp;","</f>
        <v xml:space="preserve">							CurtainSideAirBadLh = o.CurtainSideAirBadLh,</v>
      </c>
      <c r="T30" s="64" t="str">
        <f t="shared" si="31"/>
        <v xml:space="preserve">								("CurtainSideAirBadLh"),</v>
      </c>
      <c r="V30" s="65" t="str">
        <f t="shared" si="32"/>
        <v xml:space="preserve">								_ =&gt; _.CurtainSideAirBadLh,</v>
      </c>
      <c r="W30" s="64" t="str">
        <f t="shared" si="33"/>
        <v xml:space="preserve">				.WhereIf(!string.IsNullOrWhiteSpace(input.CurtainSideAirBadLh), e =&gt; e.CurtainSideAirBadLh.Contains(input.CurtainSideAirBadLh))</v>
      </c>
    </row>
    <row r="31" spans="1:23" customFormat="1" ht="18.75" customHeight="1" x14ac:dyDescent="0.3">
      <c r="A31" t="s">
        <v>300</v>
      </c>
      <c r="B31" t="s">
        <v>283</v>
      </c>
      <c r="C31" t="s">
        <v>1</v>
      </c>
      <c r="D31" t="str">
        <f t="shared" si="34"/>
        <v>CurtainSideAirBadRh</v>
      </c>
      <c r="E31" t="str">
        <f t="shared" si="36"/>
        <v>nvarchar</v>
      </c>
      <c r="F31" s="6"/>
      <c r="G31" t="str">
        <f t="shared" si="37"/>
        <v>255</v>
      </c>
      <c r="H31" t="str">
        <f>+VLOOKUP(E31,'Data Type Mapping'!A:B,2,)</f>
        <v>string</v>
      </c>
      <c r="I31" t="str">
        <f t="shared" si="38"/>
        <v xml:space="preserve">		public const int MaxCurtainSideAirBadRhLength = 255;
</v>
      </c>
      <c r="J31" t="str">
        <f t="shared" si="39"/>
        <v xml:space="preserve">		[StringLength(MaxCurtainSideAirBadRhLength)]
		public virtual string CurtainSideAirBadRh { get; set; }
</v>
      </c>
      <c r="K31" s="6"/>
      <c r="L31" t="str">
        <f t="shared" si="35"/>
        <v/>
      </c>
      <c r="M31" t="str">
        <f t="shared" si="28"/>
        <v xml:space="preserve">		public virtual string CurtainSideAirBadRh { get; set; }
</v>
      </c>
      <c r="N31" t="str">
        <f t="shared" si="29"/>
        <v xml:space="preserve">		[StringLength(AsyAdoVehicleDetailsConsts.MaxCurtainSideAirBadRhLength)]
		public virtual string CurtainSideAirBadRh { get; set; }
</v>
      </c>
      <c r="O31" t="str">
        <f t="shared" si="30"/>
        <v xml:space="preserve">		public virtual string CurtainSideAirBadRh { get; set; }
</v>
      </c>
      <c r="P31" t="str">
        <f t="shared" si="40"/>
        <v xml:space="preserve">							CurtainSideAirBadRh = o.CurtainSideAirBadRh,</v>
      </c>
      <c r="T31" s="64" t="str">
        <f t="shared" si="31"/>
        <v xml:space="preserve">								("CurtainSideAirBadRh"),</v>
      </c>
      <c r="V31" s="65" t="str">
        <f t="shared" si="32"/>
        <v xml:space="preserve">								_ =&gt; _.CurtainSideAirBadRh,</v>
      </c>
      <c r="W31" s="64" t="str">
        <f t="shared" si="33"/>
        <v xml:space="preserve">				.WhereIf(!string.IsNullOrWhiteSpace(input.CurtainSideAirBadRh), e =&gt; e.CurtainSideAirBadRh.Contains(input.CurtainSideAirBadRh))</v>
      </c>
    </row>
    <row r="32" spans="1:23" customFormat="1" ht="22.5" customHeight="1" x14ac:dyDescent="0.3">
      <c r="A32" t="s">
        <v>301</v>
      </c>
      <c r="B32" t="s">
        <v>277</v>
      </c>
      <c r="C32" t="s">
        <v>1</v>
      </c>
      <c r="D32" t="str">
        <f>SUBSTITUTE(PROPER(A32),"_","")</f>
        <v>TotalDelay</v>
      </c>
      <c r="E32" t="str">
        <f t="shared" si="36"/>
        <v>nvarchar</v>
      </c>
      <c r="F32" s="6"/>
      <c r="G32" t="str">
        <f t="shared" si="37"/>
        <v>10</v>
      </c>
      <c r="H32" t="str">
        <f>+VLOOKUP(E32,'Data Type Mapping'!A:B,2,)</f>
        <v>string</v>
      </c>
      <c r="I32" t="str">
        <f t="shared" si="38"/>
        <v xml:space="preserve">		public const int MaxTotalDelayLength = 10;
</v>
      </c>
      <c r="J32" t="str">
        <f t="shared" si="39"/>
        <v xml:space="preserve">		[StringLength(MaxTotalDelayLength)]
		public virtual string TotalDelay { get; set; }
</v>
      </c>
      <c r="K32" s="6"/>
      <c r="L32" t="str">
        <f>IF(K32="","",REPT(CHAR(9),1)&amp;"[Index(nameof("&amp;IF(D32="","",""&amp;D32)&amp;")"&amp;", Name="&amp;"""IX_"&amp;$B$7&amp;"_"&amp;D32&amp;""")]")</f>
        <v/>
      </c>
      <c r="M32" t="str">
        <f t="shared" si="28"/>
        <v xml:space="preserve">		public virtual string TotalDelay { get; set; }
</v>
      </c>
      <c r="N32" t="str">
        <f t="shared" si="29"/>
        <v xml:space="preserve">		[StringLength(AsyAdoVehicleDetailsConsts.MaxTotalDelayLength)]
		public virtual string TotalDelay { get; set; }
</v>
      </c>
      <c r="O32" t="str">
        <f t="shared" si="30"/>
        <v xml:space="preserve">		public virtual string TotalDelay { get; set; }
</v>
      </c>
      <c r="P32" t="str">
        <f t="shared" si="40"/>
        <v xml:space="preserve">							TotalDelay = o.TotalDelay,</v>
      </c>
      <c r="T32" s="64" t="str">
        <f t="shared" si="31"/>
        <v xml:space="preserve">								("TotalDelay"),</v>
      </c>
      <c r="V32" s="65" t="str">
        <f t="shared" si="32"/>
        <v xml:space="preserve">								_ =&gt; _.TotalDelay,</v>
      </c>
      <c r="W32" s="64" t="str">
        <f t="shared" si="33"/>
        <v xml:space="preserve">				.WhereIf(!string.IsNullOrWhiteSpace(input.TotalDelay), e =&gt; e.TotalDelay.Contains(input.TotalDelay))</v>
      </c>
    </row>
    <row r="33" spans="1:23" customFormat="1" ht="21" customHeight="1" x14ac:dyDescent="0.3">
      <c r="A33" t="s">
        <v>302</v>
      </c>
      <c r="B33" t="s">
        <v>249</v>
      </c>
      <c r="C33" t="s">
        <v>1</v>
      </c>
      <c r="D33" t="str">
        <f t="shared" ref="D33" si="41">SUBSTITUTE(PROPER(A33),"_","")</f>
        <v>ShippingTime</v>
      </c>
      <c r="E33" t="str">
        <f t="shared" si="36"/>
        <v>datetime2</v>
      </c>
      <c r="F33" s="6"/>
      <c r="G33" t="str">
        <f t="shared" si="37"/>
        <v>7</v>
      </c>
      <c r="H33" t="str">
        <f>+VLOOKUP(E33,'Data Type Mapping'!A:B,2,)</f>
        <v>DateTime</v>
      </c>
      <c r="I33" t="str">
        <f t="shared" si="38"/>
        <v/>
      </c>
      <c r="J33" t="str">
        <f t="shared" si="39"/>
        <v xml:space="preserve">		public virtual DateTime ShippingTime { get; set; }
</v>
      </c>
      <c r="K33" s="6"/>
      <c r="L33" t="str">
        <f t="shared" ref="L33" si="42">IF(K33="","",REPT(CHAR(9),1)&amp;"[Index(nameof("&amp;IF(D33="","",""&amp;D33)&amp;")"&amp;", Name="&amp;"""IX_"&amp;$B$7&amp;"_"&amp;D33&amp;""")]")</f>
        <v/>
      </c>
      <c r="M33" t="str">
        <f t="shared" si="28"/>
        <v xml:space="preserve">		public virtual DateTime? ShippingTime { get; set; }
</v>
      </c>
      <c r="N33" t="str">
        <f t="shared" si="29"/>
        <v xml:space="preserve">		public virtual DateTime? ShippingTime { get; set; }
</v>
      </c>
      <c r="O33" t="str">
        <f t="shared" si="30"/>
        <v xml:space="preserve">		public virtual DateTime? ShippingTime { get; set; }
</v>
      </c>
      <c r="P33" t="str">
        <f t="shared" si="40"/>
        <v xml:space="preserve">							ShippingTime = o.ShippingTime,</v>
      </c>
      <c r="T33" s="64" t="str">
        <f t="shared" si="31"/>
        <v xml:space="preserve">								("ShippingTime"),</v>
      </c>
      <c r="V33" s="65" t="str">
        <f t="shared" si="32"/>
        <v xml:space="preserve">								_ =&gt; _.ShippingTime,</v>
      </c>
      <c r="W33" s="64" t="str">
        <f t="shared" si="33"/>
        <v xml:space="preserve">				.WhereIf(input.ShippingTime.HasValue, t =&gt; t.ShippingTime == input.ShippingTime.Value)</v>
      </c>
    </row>
    <row r="34" spans="1:23" customFormat="1" ht="21" customHeight="1" x14ac:dyDescent="0.3">
      <c r="A34" t="s">
        <v>303</v>
      </c>
      <c r="B34" t="s">
        <v>304</v>
      </c>
      <c r="C34" t="s">
        <v>1</v>
      </c>
      <c r="D34" t="str">
        <f t="shared" ref="D34:D35" si="43">SUBSTITUTE(PROPER(A34),"_","")</f>
        <v>VehicleId</v>
      </c>
      <c r="E34" t="str">
        <f t="shared" ref="E34:E37" si="44">IFERROR(LEFT(B34, FIND("(",B34)-1),B34)</f>
        <v>varchar</v>
      </c>
      <c r="F34" s="6"/>
      <c r="G34" t="str">
        <f t="shared" ref="G34:G37" si="45">IFERROR(MID(B34,FIND("(",B34) +1, FIND(")",B34) - FIND("(",B34) - 1),"")</f>
        <v>10</v>
      </c>
      <c r="H34" t="str">
        <f>+VLOOKUP(E34,'Data Type Mapping'!A:B,2,)</f>
        <v>string</v>
      </c>
      <c r="I34" t="str">
        <f t="shared" ref="I34:I37" si="46">IF(H34="string",REPT(CHAR(9),2)&amp;"public const int Max"&amp;D34&amp;"Length = "&amp;G34&amp;";"&amp;$E$3,"" )</f>
        <v xml:space="preserve">		public const int MaxVehicleIdLength = 10;
</v>
      </c>
      <c r="J34" t="str">
        <f t="shared" ref="J34:J37" si="47">IF(F34="","",REPT(CHAR(9),2)&amp;"[Column(TypeName="""&amp;F34&amp;""")]"&amp;$E$3)&amp;IF(C34="Checked","",$I$3)&amp;IF(H34="string",REPT(CHAR(9),2)&amp;"[StringLength(Max"&amp;D34&amp;"Length"&amp;")]"&amp;$E$3,"")&amp;REPT(CHAR(9),2)&amp;"public virtual "&amp;H34&amp;IF(C34="?","? "," ")&amp;D34&amp;" { get; set; }" &amp; "
"</f>
        <v xml:space="preserve">		[StringLength(MaxVehicleIdLength)]
		public virtual string VehicleId { get; set; }
</v>
      </c>
      <c r="K34" s="6" t="s">
        <v>207</v>
      </c>
      <c r="L34" t="str">
        <f t="shared" ref="L34:L35" si="48">IF(K34="","",REPT(CHAR(9),1)&amp;"[Index(nameof("&amp;IF(D34="","",""&amp;D34)&amp;")"&amp;", Name="&amp;"""IX_"&amp;$B$7&amp;"_"&amp;D34&amp;""")]")</f>
        <v xml:space="preserve">	[Index(nameof(VehicleId), Name="IX_AsyAdoVehicleDetails_VehicleId")]</v>
      </c>
      <c r="M34" t="str">
        <f t="shared" ref="M34:M37" si="49">REPT(CHAR(9),2)&amp;"public virtual "&amp;IF(OR(H34="DateTime",H34="TimeSpan"),H34&amp;"?",H34)&amp;IF(C34="?","? "," ")&amp;D34&amp;" { get; set; }" &amp; "
"</f>
        <v xml:space="preserve">		public virtual string VehicleId { get; set; }
</v>
      </c>
      <c r="N34" t="str">
        <f t="shared" ref="N34:N37" si="50">IF(C34="Checked","",$I$3)&amp;IF(H34="string",REPT(CHAR(9),2)&amp;"[StringLength("&amp;$B$3&amp;"Consts.Max"&amp;D34&amp;"Length"&amp;")]"&amp;$E$3,"")&amp;REPT(CHAR(9),2)&amp;"public virtual "&amp;IF(OR(H34="DateTime",H34="TimeSpan"),H34&amp;"?",H34)&amp;IF(C34="?","? "," ")&amp;D34&amp;" { get; set; }" &amp; "
"</f>
        <v xml:space="preserve">		[StringLength(AsyAdoVehicleDetailsConsts.MaxVehicleIdLength)]
		public virtual string VehicleId { get; set; }
</v>
      </c>
      <c r="O34" t="str">
        <f t="shared" ref="O34:O37" si="51">IF(OR(H34="string",H34="DateTime",H34="int"),REPT(CHAR(9),2)&amp;"public virtual "&amp;IF(OR(H34="DateTime",H34="TimeSpan"),H34&amp;"?",H34)&amp;IF(C34="?","? "," ")&amp;D34&amp;" { get; set; }"&amp;$E$3,"")</f>
        <v xml:space="preserve">		public virtual string VehicleId { get; set; }
</v>
      </c>
      <c r="P34" t="str">
        <f t="shared" ref="P34:P37" si="52">REPT(CHAR(9),7)&amp;D34&amp;" = o." &amp;D34 &amp;","</f>
        <v xml:space="preserve">							VehicleId = o.VehicleId,</v>
      </c>
      <c r="T34" s="64" t="str">
        <f t="shared" ref="T34:T37" si="53">REPT(CHAR(9),8)&amp;"("""&amp;D34&amp;"""),"</f>
        <v xml:space="preserve">								("VehicleId"),</v>
      </c>
      <c r="V34" s="65" t="str">
        <f t="shared" ref="V34:V37" si="54">REPT(CHAR(9),8)&amp;"_ =&gt; _."&amp;D34&amp;","</f>
        <v xml:space="preserve">								_ =&gt; _.VehicleId,</v>
      </c>
      <c r="W34" s="64" t="str">
        <f t="shared" ref="W34:W37" si="55">IF(H34="string",REPT(CHAR(9),4)&amp;".WhereIf(!string.IsNullOrWhiteSpace(input."&amp;D34&amp;"), e =&gt; e."&amp;D34&amp;".Contains(input."&amp;D34&amp;"))",IF(H34="DateTime",REPT(CHAR(9),4)&amp;".WhereIf(input."&amp;D34&amp;".HasValue, t =&gt; t."&amp;D34&amp;" == input."&amp;D34&amp;".Value)",""))</f>
        <v xml:space="preserve">				.WhereIf(!string.IsNullOrWhiteSpace(input.VehicleId), e =&gt; e.VehicleId.Contains(input.VehicleId))</v>
      </c>
    </row>
    <row r="35" spans="1:23" customFormat="1" ht="18.75" customHeight="1" x14ac:dyDescent="0.3">
      <c r="A35" t="s">
        <v>305</v>
      </c>
      <c r="B35" t="s">
        <v>304</v>
      </c>
      <c r="C35" t="s">
        <v>1</v>
      </c>
      <c r="D35" t="str">
        <f t="shared" si="43"/>
        <v>TestNo</v>
      </c>
      <c r="E35" t="str">
        <f t="shared" si="44"/>
        <v>varchar</v>
      </c>
      <c r="F35" s="6"/>
      <c r="G35" t="str">
        <f t="shared" si="45"/>
        <v>10</v>
      </c>
      <c r="H35" t="str">
        <f>+VLOOKUP(E35,'Data Type Mapping'!A:B,2,)</f>
        <v>string</v>
      </c>
      <c r="I35" t="str">
        <f t="shared" si="46"/>
        <v xml:space="preserve">		public const int MaxTestNoLength = 10;
</v>
      </c>
      <c r="J35" t="str">
        <f t="shared" si="47"/>
        <v xml:space="preserve">		[StringLength(MaxTestNoLength)]
		public virtual string TestNo { get; set; }
</v>
      </c>
      <c r="K35" s="6"/>
      <c r="L35" t="str">
        <f t="shared" si="48"/>
        <v/>
      </c>
      <c r="M35" t="str">
        <f t="shared" si="49"/>
        <v xml:space="preserve">		public virtual string TestNo { get; set; }
</v>
      </c>
      <c r="N35" t="str">
        <f t="shared" si="50"/>
        <v xml:space="preserve">		[StringLength(AsyAdoVehicleDetailsConsts.MaxTestNoLength)]
		public virtual string TestNo { get; set; }
</v>
      </c>
      <c r="O35" t="str">
        <f t="shared" si="51"/>
        <v xml:space="preserve">		public virtual string TestNo { get; set; }
</v>
      </c>
      <c r="P35" t="str">
        <f t="shared" si="52"/>
        <v xml:space="preserve">							TestNo = o.TestNo,</v>
      </c>
      <c r="T35" s="64" t="str">
        <f t="shared" si="53"/>
        <v xml:space="preserve">								("TestNo"),</v>
      </c>
      <c r="V35" s="65" t="str">
        <f t="shared" si="54"/>
        <v xml:space="preserve">								_ =&gt; _.TestNo,</v>
      </c>
      <c r="W35" s="64" t="str">
        <f t="shared" si="55"/>
        <v xml:space="preserve">				.WhereIf(!string.IsNullOrWhiteSpace(input.TestNo), e =&gt; e.TestNo.Contains(input.TestNo))</v>
      </c>
    </row>
    <row r="36" spans="1:23" customFormat="1" ht="22.5" customHeight="1" x14ac:dyDescent="0.3">
      <c r="A36" t="s">
        <v>306</v>
      </c>
      <c r="B36" t="s">
        <v>307</v>
      </c>
      <c r="C36" t="s">
        <v>1</v>
      </c>
      <c r="D36" t="str">
        <f>SUBSTITUTE(PROPER(A36),"_","")</f>
        <v>IsPrintedQrcode</v>
      </c>
      <c r="E36" t="str">
        <f t="shared" si="44"/>
        <v>varchar</v>
      </c>
      <c r="F36" s="6"/>
      <c r="G36" t="str">
        <f t="shared" si="45"/>
        <v>1</v>
      </c>
      <c r="H36" t="str">
        <f>+VLOOKUP(E36,'Data Type Mapping'!A:B,2,)</f>
        <v>string</v>
      </c>
      <c r="I36" t="str">
        <f t="shared" si="46"/>
        <v xml:space="preserve">		public const int MaxIsPrintedQrcodeLength = 1;
</v>
      </c>
      <c r="J36" t="str">
        <f t="shared" si="47"/>
        <v xml:space="preserve">		[StringLength(MaxIsPrintedQrcodeLength)]
		public virtual string IsPrintedQrcode { get; set; }
</v>
      </c>
      <c r="K36" s="6"/>
      <c r="L36" t="str">
        <f>IF(K36="","",REPT(CHAR(9),1)&amp;"[Index(nameof("&amp;IF(D36="","",""&amp;D36)&amp;")"&amp;", Name="&amp;"""IX_"&amp;$B$7&amp;"_"&amp;D36&amp;""")]")</f>
        <v/>
      </c>
      <c r="M36" t="str">
        <f t="shared" si="49"/>
        <v xml:space="preserve">		public virtual string IsPrintedQrcode { get; set; }
</v>
      </c>
      <c r="N36" t="str">
        <f t="shared" si="50"/>
        <v xml:space="preserve">		[StringLength(AsyAdoVehicleDetailsConsts.MaxIsPrintedQrcodeLength)]
		public virtual string IsPrintedQrcode { get; set; }
</v>
      </c>
      <c r="O36" t="str">
        <f t="shared" si="51"/>
        <v xml:space="preserve">		public virtual string IsPrintedQrcode { get; set; }
</v>
      </c>
      <c r="P36" t="str">
        <f t="shared" si="52"/>
        <v xml:space="preserve">							IsPrintedQrcode = o.IsPrintedQrcode,</v>
      </c>
      <c r="T36" s="64" t="str">
        <f t="shared" si="53"/>
        <v xml:space="preserve">								("IsPrintedQrcode"),</v>
      </c>
      <c r="V36" s="65" t="str">
        <f t="shared" si="54"/>
        <v xml:space="preserve">								_ =&gt; _.IsPrintedQrcode,</v>
      </c>
      <c r="W36" s="64" t="str">
        <f t="shared" si="55"/>
        <v xml:space="preserve">				.WhereIf(!string.IsNullOrWhiteSpace(input.IsPrintedQrcode), e =&gt; e.IsPrintedQrcode.Contains(input.IsPrintedQrcode))</v>
      </c>
    </row>
    <row r="37" spans="1:23" customFormat="1" ht="21" customHeight="1" x14ac:dyDescent="0.3">
      <c r="A37" t="s">
        <v>308</v>
      </c>
      <c r="B37" t="s">
        <v>249</v>
      </c>
      <c r="C37" t="s">
        <v>1</v>
      </c>
      <c r="D37" t="str">
        <f t="shared" ref="D37" si="56">SUBSTITUTE(PROPER(A37),"_","")</f>
        <v>PrintedQrcodeDate</v>
      </c>
      <c r="E37" t="str">
        <f t="shared" si="44"/>
        <v>datetime2</v>
      </c>
      <c r="F37" s="6" t="s">
        <v>249</v>
      </c>
      <c r="G37" t="str">
        <f t="shared" si="45"/>
        <v>7</v>
      </c>
      <c r="H37" t="str">
        <f>+VLOOKUP(E37,'Data Type Mapping'!A:B,2,)</f>
        <v>DateTime</v>
      </c>
      <c r="I37" t="str">
        <f t="shared" si="46"/>
        <v/>
      </c>
      <c r="J37" t="str">
        <f t="shared" si="47"/>
        <v xml:space="preserve">		[Column(TypeName="datetime2(7)")]
		public virtual DateTime PrintedQrcodeDate { get; set; }
</v>
      </c>
      <c r="K37" s="6"/>
      <c r="L37" t="str">
        <f t="shared" ref="L37" si="57">IF(K37="","",REPT(CHAR(9),1)&amp;"[Index(nameof("&amp;IF(D37="","",""&amp;D37)&amp;")"&amp;", Name="&amp;"""IX_"&amp;$B$7&amp;"_"&amp;D37&amp;""")]")</f>
        <v/>
      </c>
      <c r="M37" t="str">
        <f t="shared" si="49"/>
        <v xml:space="preserve">		public virtual DateTime? PrintedQrcodeDate { get; set; }
</v>
      </c>
      <c r="N37" t="str">
        <f t="shared" si="50"/>
        <v xml:space="preserve">		public virtual DateTime? PrintedQrcodeDate { get; set; }
</v>
      </c>
      <c r="O37" t="str">
        <f t="shared" si="51"/>
        <v xml:space="preserve">		public virtual DateTime? PrintedQrcodeDate { get; set; }
</v>
      </c>
      <c r="P37" t="str">
        <f t="shared" si="52"/>
        <v xml:space="preserve">							PrintedQrcodeDate = o.PrintedQrcodeDate,</v>
      </c>
      <c r="T37" s="64" t="str">
        <f t="shared" si="53"/>
        <v xml:space="preserve">								("PrintedQrcodeDate"),</v>
      </c>
      <c r="V37" s="65" t="str">
        <f t="shared" si="54"/>
        <v xml:space="preserve">								_ =&gt; _.PrintedQrcodeDate,</v>
      </c>
      <c r="W37" s="64" t="str">
        <f t="shared" si="55"/>
        <v xml:space="preserve">				.WhereIf(input.PrintedQrcodeDate.HasValue, t =&gt; t.PrintedQrcodeDate == input.PrintedQrcodeDate.Value)</v>
      </c>
    </row>
    <row r="38" spans="1:23" customFormat="1" ht="21" customHeight="1" x14ac:dyDescent="0.3">
      <c r="A38" t="s">
        <v>309</v>
      </c>
      <c r="B38" t="s">
        <v>249</v>
      </c>
      <c r="C38" t="s">
        <v>1</v>
      </c>
      <c r="D38" t="str">
        <f t="shared" ref="D38" si="58">SUBSTITUTE(PROPER(A38),"_","")</f>
        <v>UpdatedDate</v>
      </c>
      <c r="E38" t="str">
        <f t="shared" si="0"/>
        <v>datetime2</v>
      </c>
      <c r="F38" s="6" t="s">
        <v>249</v>
      </c>
      <c r="G38" t="str">
        <f t="shared" si="1"/>
        <v>7</v>
      </c>
      <c r="H38" t="str">
        <f>+VLOOKUP(E38,'Data Type Mapping'!A:B,2,)</f>
        <v>DateTime</v>
      </c>
      <c r="I38" t="str">
        <f t="shared" si="2"/>
        <v/>
      </c>
      <c r="J38" t="str">
        <f t="shared" si="3"/>
        <v xml:space="preserve">		[Column(TypeName="datetime2(7)")]
		public virtual DateTime UpdatedDate { get; set; }
</v>
      </c>
      <c r="K38" s="6"/>
      <c r="L38" t="str">
        <f t="shared" ref="L38" si="59">IF(K38="","",REPT(CHAR(9),1)&amp;"[Index(nameof("&amp;IF(D38="","",""&amp;D38)&amp;")"&amp;", Name="&amp;"""IX_"&amp;$B$7&amp;"_"&amp;D38&amp;""")]")</f>
        <v/>
      </c>
      <c r="M38" t="str">
        <f t="shared" ref="M38" si="60">REPT(CHAR(9),2)&amp;"public virtual "&amp;IF(OR(H38="DateTime",H38="TimeSpan"),H38&amp;"?",H38)&amp;IF(C38="?","? "," ")&amp;D38&amp;" { get; set; }" &amp; "
"</f>
        <v xml:space="preserve">		public virtual DateTime? UpdatedDate { get; set; }
</v>
      </c>
      <c r="N38" t="str">
        <f t="shared" ref="N38" si="61">IF(C38="Checked","",$I$3)&amp;IF(H38="string",REPT(CHAR(9),2)&amp;"[StringLength("&amp;$B$3&amp;"Consts.Max"&amp;D38&amp;"Length"&amp;")]"&amp;$E$3,"")&amp;REPT(CHAR(9),2)&amp;"public virtual "&amp;IF(OR(H38="DateTime",H38="TimeSpan"),H38&amp;"?",H38)&amp;IF(C38="?","? "," ")&amp;D38&amp;" { get; set; }" &amp; "
"</f>
        <v xml:space="preserve">		public virtual DateTime? UpdatedDate { get; set; }
</v>
      </c>
      <c r="O38" t="str">
        <f t="shared" ref="O38" si="62">IF(OR(H38="string",H38="DateTime",H38="int"),REPT(CHAR(9),2)&amp;"public virtual "&amp;IF(OR(H38="DateTime",H38="TimeSpan"),H38&amp;"?",H38)&amp;IF(C38="?","? "," ")&amp;D38&amp;" { get; set; }"&amp;$E$3,"")</f>
        <v xml:space="preserve">		public virtual DateTime? UpdatedDate { get; set; }
</v>
      </c>
      <c r="P38" t="str">
        <f t="shared" si="4"/>
        <v xml:space="preserve">							UpdatedDate = o.UpdatedDate,</v>
      </c>
      <c r="T38" s="64" t="str">
        <f t="shared" ref="T38" si="63">REPT(CHAR(9),8)&amp;"("""&amp;D38&amp;"""),"</f>
        <v xml:space="preserve">								("UpdatedDate"),</v>
      </c>
      <c r="V38" s="65" t="str">
        <f t="shared" ref="V38" si="64">REPT(CHAR(9),8)&amp;"_ =&gt; _."&amp;D38&amp;","</f>
        <v xml:space="preserve">								_ =&gt; _.UpdatedDate,</v>
      </c>
      <c r="W38" s="64" t="str">
        <f t="shared" ref="W38" si="65">IF(H38="string",REPT(CHAR(9),4)&amp;".WhereIf(!string.IsNullOrWhiteSpace(input."&amp;D38&amp;"), e =&gt; e."&amp;D38&amp;".Contains(input."&amp;D38&amp;"))",IF(H38="DateTime",REPT(CHAR(9),4)&amp;".WhereIf(input."&amp;D38&amp;".HasValue, t =&gt; t."&amp;D38&amp;" == input."&amp;D38&amp;".Value)",""))</f>
        <v xml:space="preserve">				.WhereIf(input.UpdatedDate.HasValue, t =&gt; t.UpdatedDate == input.UpdatedDate.Value)</v>
      </c>
    </row>
    <row r="39" spans="1:23" customFormat="1" ht="18.75" customHeight="1" x14ac:dyDescent="0.3">
      <c r="A39" t="s">
        <v>310</v>
      </c>
      <c r="B39" t="s">
        <v>307</v>
      </c>
      <c r="C39" t="s">
        <v>1</v>
      </c>
      <c r="D39" t="str">
        <f t="shared" ref="D39" si="66">SUBSTITUTE(PROPER(A39),"_","")</f>
        <v>IsProject</v>
      </c>
      <c r="E39" t="str">
        <f t="shared" ref="E39:E49" si="67">IFERROR(LEFT(B39, FIND("(",B39)-1),B39)</f>
        <v>varchar</v>
      </c>
      <c r="F39" s="6"/>
      <c r="G39" t="str">
        <f t="shared" ref="G39:G49" si="68">IFERROR(MID(B39,FIND("(",B39) +1, FIND(")",B39) - FIND("(",B39) - 1),"")</f>
        <v>1</v>
      </c>
      <c r="H39" t="str">
        <f>+VLOOKUP(E39,'Data Type Mapping'!A:B,2,)</f>
        <v>string</v>
      </c>
      <c r="I39" t="str">
        <f t="shared" ref="I39:I49" si="69">IF(H39="string",REPT(CHAR(9),2)&amp;"public const int Max"&amp;D39&amp;"Length = "&amp;G39&amp;";"&amp;$E$3,"" )</f>
        <v xml:space="preserve">		public const int MaxIsProjectLength = 1;
</v>
      </c>
      <c r="J39" t="str">
        <f t="shared" ref="J39:J49" si="70">IF(F39="","",REPT(CHAR(9),2)&amp;"[Column(TypeName="""&amp;F39&amp;""")]"&amp;$E$3)&amp;IF(C39="Checked","",$I$3)&amp;IF(H39="string",REPT(CHAR(9),2)&amp;"[StringLength(Max"&amp;D39&amp;"Length"&amp;")]"&amp;$E$3,"")&amp;REPT(CHAR(9),2)&amp;"public virtual "&amp;H39&amp;IF(C39="?","? "," ")&amp;D39&amp;" { get; set; }" &amp; "
"</f>
        <v xml:space="preserve">		[StringLength(MaxIsProjectLength)]
		public virtual string IsProject { get; set; }
</v>
      </c>
      <c r="K39" s="6"/>
      <c r="L39" t="str">
        <f t="shared" ref="L39" si="71">IF(K39="","",REPT(CHAR(9),1)&amp;"[Index(nameof("&amp;IF(D39="","",""&amp;D39)&amp;")"&amp;", Name="&amp;"""IX_"&amp;$B$7&amp;"_"&amp;D39&amp;""")]")</f>
        <v/>
      </c>
      <c r="M39" t="str">
        <f t="shared" ref="M39:M49" si="72">REPT(CHAR(9),2)&amp;"public virtual "&amp;IF(OR(H39="DateTime",H39="TimeSpan"),H39&amp;"?",H39)&amp;IF(C39="?","? "," ")&amp;D39&amp;" { get; set; }" &amp; "
"</f>
        <v xml:space="preserve">		public virtual string IsProject { get; set; }
</v>
      </c>
      <c r="N39" t="str">
        <f t="shared" ref="N39:N49" si="73">IF(C39="Checked","",$I$3)&amp;IF(H39="string",REPT(CHAR(9),2)&amp;"[StringLength("&amp;$B$3&amp;"Consts.Max"&amp;D39&amp;"Length"&amp;")]"&amp;$E$3,"")&amp;REPT(CHAR(9),2)&amp;"public virtual "&amp;IF(OR(H39="DateTime",H39="TimeSpan"),H39&amp;"?",H39)&amp;IF(C39="?","? "," ")&amp;D39&amp;" { get; set; }" &amp; "
"</f>
        <v xml:space="preserve">		[StringLength(AsyAdoVehicleDetailsConsts.MaxIsProjectLength)]
		public virtual string IsProject { get; set; }
</v>
      </c>
      <c r="O39" t="str">
        <f t="shared" ref="O39:O49" si="74">IF(OR(H39="string",H39="DateTime",H39="int"),REPT(CHAR(9),2)&amp;"public virtual "&amp;IF(OR(H39="DateTime",H39="TimeSpan"),H39&amp;"?",H39)&amp;IF(C39="?","? "," ")&amp;D39&amp;" { get; set; }"&amp;$E$3,"")</f>
        <v xml:space="preserve">		public virtual string IsProject { get; set; }
</v>
      </c>
      <c r="P39" t="str">
        <f t="shared" ref="P39:P49" si="75">REPT(CHAR(9),7)&amp;D39&amp;" = o." &amp;D39 &amp;","</f>
        <v xml:space="preserve">							IsProject = o.IsProject,</v>
      </c>
      <c r="T39" s="64" t="str">
        <f t="shared" ref="T39:T49" si="76">REPT(CHAR(9),8)&amp;"("""&amp;D39&amp;"""),"</f>
        <v xml:space="preserve">								("IsProject"),</v>
      </c>
      <c r="V39" s="65" t="str">
        <f t="shared" ref="V39:V49" si="77">REPT(CHAR(9),8)&amp;"_ =&gt; _."&amp;D39&amp;","</f>
        <v xml:space="preserve">								_ =&gt; _.IsProject,</v>
      </c>
      <c r="W39" s="64" t="str">
        <f t="shared" ref="W39:W49" si="78">IF(H39="string",REPT(CHAR(9),4)&amp;".WhereIf(!string.IsNullOrWhiteSpace(input."&amp;D39&amp;"), e =&gt; e."&amp;D39&amp;".Contains(input."&amp;D39&amp;"))",IF(H39="DateTime",REPT(CHAR(9),4)&amp;".WhereIf(input."&amp;D39&amp;".HasValue, t =&gt; t."&amp;D39&amp;" == input."&amp;D39&amp;".Value)",""))</f>
        <v xml:space="preserve">				.WhereIf(!string.IsNullOrWhiteSpace(input.IsProject), e =&gt; e.IsProject.Contains(input.IsProject))</v>
      </c>
    </row>
    <row r="40" spans="1:23" customFormat="1" ht="22.5" customHeight="1" x14ac:dyDescent="0.3">
      <c r="A40" t="s">
        <v>303</v>
      </c>
      <c r="B40" t="s">
        <v>0</v>
      </c>
      <c r="C40" t="s">
        <v>1</v>
      </c>
      <c r="D40" t="str">
        <f>SUBSTITUTE(PROPER(A40),"_","")</f>
        <v>VehicleId</v>
      </c>
      <c r="E40" t="str">
        <f t="shared" si="67"/>
        <v>bigint</v>
      </c>
      <c r="F40" s="6"/>
      <c r="G40" t="str">
        <f t="shared" si="68"/>
        <v/>
      </c>
      <c r="H40" t="str">
        <f>+VLOOKUP(E40,'[1]Data Type Mapping'!A:B,2,)</f>
        <v>long</v>
      </c>
      <c r="I40" t="str">
        <f t="shared" si="69"/>
        <v/>
      </c>
      <c r="J40" t="str">
        <f t="shared" si="70"/>
        <v xml:space="preserve">		public virtual long VehicleId { get; set; }
</v>
      </c>
      <c r="K40" s="6"/>
      <c r="L40" t="str">
        <f>IF(K40="","",REPT(CHAR(9),1)&amp;"[Index(nameof("&amp;IF(D40="","",""&amp;D40)&amp;")"&amp;", Name="&amp;"""IX_"&amp;$B$7&amp;"_"&amp;D40&amp;""")]")</f>
        <v/>
      </c>
      <c r="M40" t="str">
        <f t="shared" si="72"/>
        <v xml:space="preserve">		public virtual long VehicleId { get; set; }
</v>
      </c>
      <c r="N40" t="str">
        <f t="shared" si="73"/>
        <v xml:space="preserve">		public virtual long VehicleId { get; set; }
</v>
      </c>
      <c r="O40" t="str">
        <f t="shared" si="74"/>
        <v/>
      </c>
      <c r="P40" t="str">
        <f t="shared" si="75"/>
        <v xml:space="preserve">							VehicleId = o.VehicleId,</v>
      </c>
      <c r="T40" s="64" t="str">
        <f t="shared" si="76"/>
        <v xml:space="preserve">								("VehicleId"),</v>
      </c>
      <c r="V40" s="65" t="str">
        <f t="shared" si="77"/>
        <v xml:space="preserve">								_ =&gt; _.VehicleId,</v>
      </c>
      <c r="W40" s="64" t="str">
        <f t="shared" si="78"/>
        <v/>
      </c>
    </row>
    <row r="41" spans="1:23" customFormat="1" ht="22.5" customHeight="1" x14ac:dyDescent="0.3">
      <c r="A41" t="s">
        <v>316</v>
      </c>
      <c r="B41" t="s">
        <v>317</v>
      </c>
      <c r="C41" t="s">
        <v>1</v>
      </c>
      <c r="D41" t="str">
        <f>SUBSTITUTE(PROPER(A41),"_","")</f>
        <v>Cfc</v>
      </c>
      <c r="E41" t="str">
        <f t="shared" si="67"/>
        <v>varchar</v>
      </c>
      <c r="F41" s="6"/>
      <c r="G41" t="str">
        <f t="shared" si="68"/>
        <v>4</v>
      </c>
      <c r="H41" t="str">
        <f>+VLOOKUP(E41,'[1]Data Type Mapping'!A:B,2,)</f>
        <v>string</v>
      </c>
      <c r="I41" t="str">
        <f t="shared" si="69"/>
        <v xml:space="preserve">		public const int MaxCfcLength = 4;
</v>
      </c>
      <c r="J41" t="str">
        <f t="shared" si="70"/>
        <v xml:space="preserve">		[StringLength(MaxCfcLength)]
		public virtual string Cfc { get; set; }
</v>
      </c>
      <c r="K41" s="6"/>
      <c r="L41" t="str">
        <f>IF(K41="","",REPT(CHAR(9),1)&amp;"[Index(nameof("&amp;IF(D41="","",""&amp;D41)&amp;")"&amp;", Name="&amp;"""IX_"&amp;$B$7&amp;"_"&amp;D41&amp;""")]")</f>
        <v/>
      </c>
      <c r="M41" t="str">
        <f t="shared" si="72"/>
        <v xml:space="preserve">		public virtual string Cfc { get; set; }
</v>
      </c>
      <c r="N41" t="str">
        <f t="shared" si="73"/>
        <v xml:space="preserve">		[StringLength(AsyAdoVehicleDetailsConsts.MaxCfcLength)]
		public virtual string Cfc { get; set; }
</v>
      </c>
      <c r="O41" t="str">
        <f t="shared" si="74"/>
        <v xml:space="preserve">		public virtual string Cfc { get; set; }
</v>
      </c>
      <c r="P41" t="str">
        <f t="shared" si="75"/>
        <v xml:space="preserve">							Cfc = o.Cfc,</v>
      </c>
      <c r="T41" s="64" t="str">
        <f t="shared" si="76"/>
        <v xml:space="preserve">								("Cfc"),</v>
      </c>
      <c r="V41" s="65" t="str">
        <f t="shared" si="77"/>
        <v xml:space="preserve">								_ =&gt; _.Cfc,</v>
      </c>
      <c r="W41" s="64" t="str">
        <f t="shared" si="78"/>
        <v xml:space="preserve">				.WhereIf(!string.IsNullOrWhiteSpace(input.Cfc), e =&gt; e.Cfc.Contains(input.Cfc))</v>
      </c>
    </row>
    <row r="42" spans="1:23" customFormat="1" ht="18.75" customHeight="1" x14ac:dyDescent="0.3">
      <c r="A42" t="s">
        <v>318</v>
      </c>
      <c r="B42" t="s">
        <v>319</v>
      </c>
      <c r="C42" t="s">
        <v>1</v>
      </c>
      <c r="D42" t="str">
        <f t="shared" ref="D42:D56" si="79">SUBSTITUTE(PROPER(A42),"_","")</f>
        <v>VinNo</v>
      </c>
      <c r="E42" t="str">
        <f t="shared" si="67"/>
        <v>varchar</v>
      </c>
      <c r="F42" s="6"/>
      <c r="G42" t="str">
        <f t="shared" si="68"/>
        <v>18</v>
      </c>
      <c r="H42" t="str">
        <f>+VLOOKUP(E42,'[1]Data Type Mapping'!A:B,2,)</f>
        <v>string</v>
      </c>
      <c r="I42" t="str">
        <f t="shared" si="69"/>
        <v xml:space="preserve">		public const int MaxVinNoLength = 18;
</v>
      </c>
      <c r="J42" t="str">
        <f t="shared" si="70"/>
        <v xml:space="preserve">		[StringLength(MaxVinNoLength)]
		public virtual string VinNo { get; set; }
</v>
      </c>
      <c r="K42" s="6" t="s">
        <v>207</v>
      </c>
      <c r="L42" t="str">
        <f t="shared" ref="L42:L56" si="80">IF(K42="","",REPT(CHAR(9),1)&amp;"[Index(nameof("&amp;IF(D42="","",""&amp;D42)&amp;")"&amp;", Name="&amp;"""IX_"&amp;$B$7&amp;"_"&amp;D42&amp;""")]")</f>
        <v xml:space="preserve">	[Index(nameof(VinNo), Name="IX_AsyAdoVehicleDetails_VinNo")]</v>
      </c>
      <c r="M42" t="str">
        <f t="shared" si="72"/>
        <v xml:space="preserve">		public virtual string VinNo { get; set; }
</v>
      </c>
      <c r="N42" t="str">
        <f t="shared" si="73"/>
        <v xml:space="preserve">		[StringLength(AsyAdoVehicleDetailsConsts.MaxVinNoLength)]
		public virtual string VinNo { get; set; }
</v>
      </c>
      <c r="O42" t="str">
        <f t="shared" si="74"/>
        <v xml:space="preserve">		public virtual string VinNo { get; set; }
</v>
      </c>
      <c r="P42" t="str">
        <f t="shared" si="75"/>
        <v xml:space="preserve">							VinNo = o.VinNo,</v>
      </c>
      <c r="T42" s="64" t="str">
        <f t="shared" si="76"/>
        <v xml:space="preserve">								("VinNo"),</v>
      </c>
      <c r="V42" s="65" t="str">
        <f t="shared" si="77"/>
        <v xml:space="preserve">								_ =&gt; _.VinNo,</v>
      </c>
      <c r="W42" s="64" t="str">
        <f t="shared" si="78"/>
        <v xml:space="preserve">				.WhereIf(!string.IsNullOrWhiteSpace(input.VinNo), e =&gt; e.VinNo.Contains(input.VinNo))</v>
      </c>
    </row>
    <row r="43" spans="1:23" customFormat="1" ht="18.75" customHeight="1" x14ac:dyDescent="0.3">
      <c r="A43" t="s">
        <v>320</v>
      </c>
      <c r="B43" t="s">
        <v>321</v>
      </c>
      <c r="C43" t="s">
        <v>1</v>
      </c>
      <c r="D43" t="str">
        <f t="shared" si="79"/>
        <v>EngineId</v>
      </c>
      <c r="E43" t="str">
        <f t="shared" si="67"/>
        <v>varchar</v>
      </c>
      <c r="F43" s="6"/>
      <c r="G43" t="str">
        <f t="shared" si="68"/>
        <v>12</v>
      </c>
      <c r="H43" t="str">
        <f>+VLOOKUP(E43,'[1]Data Type Mapping'!A:B,2,)</f>
        <v>string</v>
      </c>
      <c r="I43" t="str">
        <f t="shared" si="69"/>
        <v xml:space="preserve">		public const int MaxEngineIdLength = 12;
</v>
      </c>
      <c r="J43" t="str">
        <f t="shared" si="70"/>
        <v xml:space="preserve">		[StringLength(MaxEngineIdLength)]
		public virtual string EngineId { get; set; }
</v>
      </c>
      <c r="K43" s="6" t="s">
        <v>207</v>
      </c>
      <c r="L43" t="str">
        <f t="shared" si="80"/>
        <v xml:space="preserve">	[Index(nameof(EngineId), Name="IX_AsyAdoVehicleDetails_EngineId")]</v>
      </c>
      <c r="M43" t="str">
        <f t="shared" si="72"/>
        <v xml:space="preserve">		public virtual string EngineId { get; set; }
</v>
      </c>
      <c r="N43" t="str">
        <f t="shared" si="73"/>
        <v xml:space="preserve">		[StringLength(AsyAdoVehicleDetailsConsts.MaxEngineIdLength)]
		public virtual string EngineId { get; set; }
</v>
      </c>
      <c r="O43" t="str">
        <f t="shared" si="74"/>
        <v xml:space="preserve">		public virtual string EngineId { get; set; }
</v>
      </c>
      <c r="P43" t="str">
        <f t="shared" si="75"/>
        <v xml:space="preserve">							EngineId = o.EngineId,</v>
      </c>
      <c r="T43" s="64" t="str">
        <f t="shared" si="76"/>
        <v xml:space="preserve">								("EngineId"),</v>
      </c>
      <c r="V43" s="65" t="str">
        <f t="shared" si="77"/>
        <v xml:space="preserve">								_ =&gt; _.EngineId,</v>
      </c>
      <c r="W43" s="64" t="str">
        <f t="shared" si="78"/>
        <v xml:space="preserve">				.WhereIf(!string.IsNullOrWhiteSpace(input.EngineId), e =&gt; e.EngineId.Contains(input.EngineId))</v>
      </c>
    </row>
    <row r="44" spans="1:23" customFormat="1" ht="18.75" customHeight="1" x14ac:dyDescent="0.3">
      <c r="A44" t="s">
        <v>322</v>
      </c>
      <c r="B44" t="s">
        <v>319</v>
      </c>
      <c r="C44" t="s">
        <v>1</v>
      </c>
      <c r="D44" t="str">
        <f t="shared" si="79"/>
        <v>TransId</v>
      </c>
      <c r="E44" t="str">
        <f t="shared" si="67"/>
        <v>varchar</v>
      </c>
      <c r="F44" s="6"/>
      <c r="G44" t="str">
        <f t="shared" si="68"/>
        <v>18</v>
      </c>
      <c r="H44" t="str">
        <f>+VLOOKUP(E44,'[1]Data Type Mapping'!A:B,2,)</f>
        <v>string</v>
      </c>
      <c r="I44" t="str">
        <f t="shared" si="69"/>
        <v xml:space="preserve">		public const int MaxTransIdLength = 18;
</v>
      </c>
      <c r="J44" t="str">
        <f t="shared" si="70"/>
        <v xml:space="preserve">		[StringLength(MaxTransIdLength)]
		public virtual string TransId { get; set; }
</v>
      </c>
      <c r="K44" s="6" t="s">
        <v>207</v>
      </c>
      <c r="L44" t="str">
        <f t="shared" si="80"/>
        <v xml:space="preserve">	[Index(nameof(TransId), Name="IX_AsyAdoVehicleDetails_TransId")]</v>
      </c>
      <c r="M44" t="str">
        <f t="shared" si="72"/>
        <v xml:space="preserve">		public virtual string TransId { get; set; }
</v>
      </c>
      <c r="N44" t="str">
        <f t="shared" si="73"/>
        <v xml:space="preserve">		[StringLength(AsyAdoVehicleDetailsConsts.MaxTransIdLength)]
		public virtual string TransId { get; set; }
</v>
      </c>
      <c r="O44" t="str">
        <f t="shared" si="74"/>
        <v xml:space="preserve">		public virtual string TransId { get; set; }
</v>
      </c>
      <c r="P44" t="str">
        <f t="shared" si="75"/>
        <v xml:space="preserve">							TransId = o.TransId,</v>
      </c>
      <c r="T44" s="64" t="str">
        <f t="shared" si="76"/>
        <v xml:space="preserve">								("TransId"),</v>
      </c>
      <c r="V44" s="65" t="str">
        <f t="shared" si="77"/>
        <v xml:space="preserve">								_ =&gt; _.TransId,</v>
      </c>
      <c r="W44" s="64" t="str">
        <f t="shared" si="78"/>
        <v xml:space="preserve">				.WhereIf(!string.IsNullOrWhiteSpace(input.TransId), e =&gt; e.TransId.Contains(input.TransId))</v>
      </c>
    </row>
    <row r="45" spans="1:23" customFormat="1" ht="22.5" customHeight="1" x14ac:dyDescent="0.3">
      <c r="A45" t="s">
        <v>323</v>
      </c>
      <c r="B45" t="s">
        <v>324</v>
      </c>
      <c r="C45" t="s">
        <v>1</v>
      </c>
      <c r="D45" t="str">
        <f t="shared" si="79"/>
        <v>SalesSfx</v>
      </c>
      <c r="E45" t="str">
        <f t="shared" si="67"/>
        <v>varchar</v>
      </c>
      <c r="F45" s="6"/>
      <c r="G45" t="str">
        <f t="shared" si="68"/>
        <v>2</v>
      </c>
      <c r="H45" t="str">
        <f>+VLOOKUP(E45,'[1]Data Type Mapping'!A:B,2,)</f>
        <v>string</v>
      </c>
      <c r="I45" t="str">
        <f t="shared" si="69"/>
        <v xml:space="preserve">		public const int MaxSalesSfxLength = 2;
</v>
      </c>
      <c r="J45" t="str">
        <f t="shared" si="70"/>
        <v xml:space="preserve">		[StringLength(MaxSalesSfxLength)]
		public virtual string SalesSfx { get; set; }
</v>
      </c>
      <c r="K45" s="6"/>
      <c r="L45" t="str">
        <f t="shared" si="80"/>
        <v/>
      </c>
      <c r="M45" t="str">
        <f t="shared" si="72"/>
        <v xml:space="preserve">		public virtual string SalesSfx { get; set; }
</v>
      </c>
      <c r="N45" t="str">
        <f t="shared" si="73"/>
        <v xml:space="preserve">		[StringLength(AsyAdoVehicleDetailsConsts.MaxSalesSfxLength)]
		public virtual string SalesSfx { get; set; }
</v>
      </c>
      <c r="O45" t="str">
        <f t="shared" si="74"/>
        <v xml:space="preserve">		public virtual string SalesSfx { get; set; }
</v>
      </c>
      <c r="P45" t="str">
        <f t="shared" si="75"/>
        <v xml:space="preserve">							SalesSfx = o.SalesSfx,</v>
      </c>
      <c r="T45" s="64" t="str">
        <f t="shared" si="76"/>
        <v xml:space="preserve">								("SalesSfx"),</v>
      </c>
      <c r="V45" s="65" t="str">
        <f t="shared" si="77"/>
        <v xml:space="preserve">								_ =&gt; _.SalesSfx,</v>
      </c>
      <c r="W45" s="64" t="str">
        <f t="shared" si="78"/>
        <v xml:space="preserve">				.WhereIf(!string.IsNullOrWhiteSpace(input.SalesSfx), e =&gt; e.SalesSfx.Contains(input.SalesSfx))</v>
      </c>
    </row>
    <row r="46" spans="1:23" customFormat="1" ht="22.5" customHeight="1" x14ac:dyDescent="0.3">
      <c r="A46" t="s">
        <v>325</v>
      </c>
      <c r="B46" t="s">
        <v>317</v>
      </c>
      <c r="C46" t="s">
        <v>1</v>
      </c>
      <c r="D46" t="str">
        <f t="shared" si="79"/>
        <v>ColorType</v>
      </c>
      <c r="E46" t="str">
        <f t="shared" si="67"/>
        <v>varchar</v>
      </c>
      <c r="F46" s="6"/>
      <c r="G46" t="str">
        <f t="shared" si="68"/>
        <v>4</v>
      </c>
      <c r="H46" t="str">
        <f>+VLOOKUP(E46,'[1]Data Type Mapping'!A:B,2,)</f>
        <v>string</v>
      </c>
      <c r="I46" t="str">
        <f t="shared" si="69"/>
        <v xml:space="preserve">		public const int MaxColorTypeLength = 4;
</v>
      </c>
      <c r="J46" t="str">
        <f t="shared" si="70"/>
        <v xml:space="preserve">		[StringLength(MaxColorTypeLength)]
		public virtual string ColorType { get; set; }
</v>
      </c>
      <c r="K46" s="6"/>
      <c r="L46" t="str">
        <f t="shared" si="80"/>
        <v/>
      </c>
      <c r="M46" t="str">
        <f t="shared" si="72"/>
        <v xml:space="preserve">		public virtual string ColorType { get; set; }
</v>
      </c>
      <c r="N46" t="str">
        <f t="shared" si="73"/>
        <v xml:space="preserve">		[StringLength(AsyAdoVehicleDetailsConsts.MaxColorTypeLength)]
		public virtual string ColorType { get; set; }
</v>
      </c>
      <c r="O46" t="str">
        <f t="shared" si="74"/>
        <v xml:space="preserve">		public virtual string ColorType { get; set; }
</v>
      </c>
      <c r="P46" t="str">
        <f t="shared" si="75"/>
        <v xml:space="preserve">							ColorType = o.ColorType,</v>
      </c>
      <c r="T46" s="64" t="str">
        <f t="shared" si="76"/>
        <v xml:space="preserve">								("ColorType"),</v>
      </c>
      <c r="V46" s="65" t="str">
        <f t="shared" si="77"/>
        <v xml:space="preserve">								_ =&gt; _.ColorType,</v>
      </c>
      <c r="W46" s="64" t="str">
        <f t="shared" si="78"/>
        <v xml:space="preserve">				.WhereIf(!string.IsNullOrWhiteSpace(input.ColorType), e =&gt; e.ColorType.Contains(input.ColorType))</v>
      </c>
    </row>
    <row r="47" spans="1:23" customFormat="1" ht="22.5" customHeight="1" x14ac:dyDescent="0.3">
      <c r="A47" t="s">
        <v>326</v>
      </c>
      <c r="B47" t="s">
        <v>327</v>
      </c>
      <c r="C47" t="s">
        <v>1</v>
      </c>
      <c r="D47" t="str">
        <f t="shared" si="79"/>
        <v>IndentLine</v>
      </c>
      <c r="E47" t="str">
        <f t="shared" si="67"/>
        <v>varchar</v>
      </c>
      <c r="F47" s="6"/>
      <c r="G47" t="str">
        <f t="shared" si="68"/>
        <v>3</v>
      </c>
      <c r="H47" t="str">
        <f>+VLOOKUP(E47,'[1]Data Type Mapping'!A:B,2,)</f>
        <v>string</v>
      </c>
      <c r="I47" t="str">
        <f t="shared" si="69"/>
        <v xml:space="preserve">		public const int MaxIndentLineLength = 3;
</v>
      </c>
      <c r="J47" t="str">
        <f t="shared" si="70"/>
        <v xml:space="preserve">		[StringLength(MaxIndentLineLength)]
		public virtual string IndentLine { get; set; }
</v>
      </c>
      <c r="K47" s="6"/>
      <c r="L47" t="str">
        <f t="shared" si="80"/>
        <v/>
      </c>
      <c r="M47" t="str">
        <f t="shared" si="72"/>
        <v xml:space="preserve">		public virtual string IndentLine { get; set; }
</v>
      </c>
      <c r="N47" t="str">
        <f t="shared" si="73"/>
        <v xml:space="preserve">		[StringLength(AsyAdoVehicleDetailsConsts.MaxIndentLineLength)]
		public virtual string IndentLine { get; set; }
</v>
      </c>
      <c r="O47" t="str">
        <f t="shared" si="74"/>
        <v xml:space="preserve">		public virtual string IndentLine { get; set; }
</v>
      </c>
      <c r="P47" t="str">
        <f t="shared" si="75"/>
        <v xml:space="preserve">							IndentLine = o.IndentLine,</v>
      </c>
      <c r="T47" s="64" t="str">
        <f t="shared" si="76"/>
        <v xml:space="preserve">								("IndentLine"),</v>
      </c>
      <c r="V47" s="65" t="str">
        <f t="shared" si="77"/>
        <v xml:space="preserve">								_ =&gt; _.IndentLine,</v>
      </c>
      <c r="W47" s="64" t="str">
        <f t="shared" si="78"/>
        <v xml:space="preserve">				.WhereIf(!string.IsNullOrWhiteSpace(input.IndentLine), e =&gt; e.IndentLine.Contains(input.IndentLine))</v>
      </c>
    </row>
    <row r="48" spans="1:23" customFormat="1" ht="22.5" customHeight="1" x14ac:dyDescent="0.3">
      <c r="A48" t="s">
        <v>328</v>
      </c>
      <c r="B48" t="s">
        <v>324</v>
      </c>
      <c r="C48" t="s">
        <v>1</v>
      </c>
      <c r="D48" t="str">
        <f t="shared" si="79"/>
        <v>SsNo</v>
      </c>
      <c r="E48" t="str">
        <f t="shared" si="67"/>
        <v>varchar</v>
      </c>
      <c r="F48" s="6"/>
      <c r="G48" t="str">
        <f t="shared" si="68"/>
        <v>2</v>
      </c>
      <c r="H48" t="str">
        <f>+VLOOKUP(E48,'[1]Data Type Mapping'!A:B,2,)</f>
        <v>string</v>
      </c>
      <c r="I48" t="str">
        <f t="shared" si="69"/>
        <v xml:space="preserve">		public const int MaxSsNoLength = 2;
</v>
      </c>
      <c r="J48" t="str">
        <f t="shared" si="70"/>
        <v xml:space="preserve">		[StringLength(MaxSsNoLength)]
		public virtual string SsNo { get; set; }
</v>
      </c>
      <c r="K48" s="6"/>
      <c r="L48" t="str">
        <f t="shared" si="80"/>
        <v/>
      </c>
      <c r="M48" t="str">
        <f t="shared" si="72"/>
        <v xml:space="preserve">		public virtual string SsNo { get; set; }
</v>
      </c>
      <c r="N48" t="str">
        <f t="shared" si="73"/>
        <v xml:space="preserve">		[StringLength(AsyAdoVehicleDetailsConsts.MaxSsNoLength)]
		public virtual string SsNo { get; set; }
</v>
      </c>
      <c r="O48" t="str">
        <f t="shared" si="74"/>
        <v xml:space="preserve">		public virtual string SsNo { get; set; }
</v>
      </c>
      <c r="P48" t="str">
        <f t="shared" si="75"/>
        <v xml:space="preserve">							SsNo = o.SsNo,</v>
      </c>
      <c r="T48" s="64" t="str">
        <f t="shared" si="76"/>
        <v xml:space="preserve">								("SsNo"),</v>
      </c>
      <c r="V48" s="65" t="str">
        <f t="shared" si="77"/>
        <v xml:space="preserve">								_ =&gt; _.SsNo,</v>
      </c>
      <c r="W48" s="64" t="str">
        <f t="shared" si="78"/>
        <v xml:space="preserve">				.WhereIf(!string.IsNullOrWhiteSpace(input.SsNo), e =&gt; e.SsNo.Contains(input.SsNo))</v>
      </c>
    </row>
    <row r="49" spans="1:23" customFormat="1" ht="22.5" customHeight="1" x14ac:dyDescent="0.3">
      <c r="A49" t="s">
        <v>329</v>
      </c>
      <c r="B49" t="s">
        <v>330</v>
      </c>
      <c r="C49" t="s">
        <v>1</v>
      </c>
      <c r="D49" t="str">
        <f t="shared" si="79"/>
        <v>EdNumber</v>
      </c>
      <c r="E49" t="str">
        <f t="shared" si="67"/>
        <v>varchar</v>
      </c>
      <c r="F49" s="6"/>
      <c r="G49" t="str">
        <f t="shared" si="68"/>
        <v>5</v>
      </c>
      <c r="H49" t="str">
        <f>+VLOOKUP(E49,'[1]Data Type Mapping'!A:B,2,)</f>
        <v>string</v>
      </c>
      <c r="I49" t="str">
        <f t="shared" si="69"/>
        <v xml:space="preserve">		public const int MaxEdNumberLength = 5;
</v>
      </c>
      <c r="J49" t="str">
        <f t="shared" si="70"/>
        <v xml:space="preserve">		[StringLength(MaxEdNumberLength)]
		public virtual string EdNumber { get; set; }
</v>
      </c>
      <c r="K49" s="6"/>
      <c r="L49" t="str">
        <f t="shared" si="80"/>
        <v/>
      </c>
      <c r="M49" t="str">
        <f t="shared" si="72"/>
        <v xml:space="preserve">		public virtual string EdNumber { get; set; }
</v>
      </c>
      <c r="N49" t="str">
        <f t="shared" si="73"/>
        <v xml:space="preserve">		[StringLength(AsyAdoVehicleDetailsConsts.MaxEdNumberLength)]
		public virtual string EdNumber { get; set; }
</v>
      </c>
      <c r="O49" t="str">
        <f t="shared" si="74"/>
        <v xml:space="preserve">		public virtual string EdNumber { get; set; }
</v>
      </c>
      <c r="P49" t="str">
        <f t="shared" si="75"/>
        <v xml:space="preserve">							EdNumber = o.EdNumber,</v>
      </c>
      <c r="T49" s="64" t="str">
        <f t="shared" si="76"/>
        <v xml:space="preserve">								("EdNumber"),</v>
      </c>
      <c r="V49" s="65" t="str">
        <f t="shared" si="77"/>
        <v xml:space="preserve">								_ =&gt; _.EdNumber,</v>
      </c>
      <c r="W49" s="64" t="str">
        <f t="shared" si="78"/>
        <v xml:space="preserve">				.WhereIf(!string.IsNullOrWhiteSpace(input.EdNumber), e =&gt; e.EdNumber.Contains(input.EdNumber))</v>
      </c>
    </row>
    <row r="50" spans="1:23" customFormat="1" ht="22.5" customHeight="1" x14ac:dyDescent="0.3">
      <c r="A50" t="s">
        <v>331</v>
      </c>
      <c r="B50" t="s">
        <v>307</v>
      </c>
      <c r="C50" t="s">
        <v>1</v>
      </c>
      <c r="D50" t="str">
        <f t="shared" si="79"/>
        <v>GoshiCar</v>
      </c>
      <c r="E50" t="str">
        <f>IFERROR(LEFT(B50, FIND("(",B50)-1),B50)</f>
        <v>varchar</v>
      </c>
      <c r="F50" s="6"/>
      <c r="G50" t="str">
        <f>IFERROR(MID(B50,FIND("(",B50) +1, FIND(")",B50) - FIND("(",B50) - 1),"")</f>
        <v>1</v>
      </c>
      <c r="H50" t="str">
        <f>+VLOOKUP(E50,'[1]Data Type Mapping'!A:B,2,)</f>
        <v>string</v>
      </c>
      <c r="I50" t="str">
        <f>IF(H50="string",REPT(CHAR(9),2)&amp;"public const int Max"&amp;D50&amp;"Length = "&amp;G50&amp;";"&amp;$E$3,"" )</f>
        <v xml:space="preserve">		public const int MaxGoshiCarLength = 1;
</v>
      </c>
      <c r="J50" t="str">
        <f>IF(F50="","",REPT(CHAR(9),2)&amp;"[Column(TypeName="""&amp;F50&amp;""")]"&amp;$E$3)&amp;IF(C50="Checked","",$I$3)&amp;IF(H50="string",REPT(CHAR(9),2)&amp;"[StringLength(Max"&amp;D50&amp;"Length"&amp;")]"&amp;$E$3,"")&amp;REPT(CHAR(9),2)&amp;"public virtual "&amp;H50&amp;IF(C50="?","? "," ")&amp;D50&amp;" { get; set; }" &amp; "
"</f>
        <v xml:space="preserve">		[StringLength(MaxGoshiCarLength)]
		public virtual string GoshiCar { get; set; }
</v>
      </c>
      <c r="K50" s="6"/>
      <c r="L50" t="str">
        <f t="shared" si="80"/>
        <v/>
      </c>
      <c r="M50" t="str">
        <f>REPT(CHAR(9),2)&amp;"public virtual "&amp;IF(OR(H50="DateTime",H50="TimeSpan"),H50&amp;"?",H50)&amp;IF(C50="?","? "," ")&amp;D50&amp;" { get; set; }" &amp; "
"</f>
        <v xml:space="preserve">		public virtual string GoshiCar { get; set; }
</v>
      </c>
      <c r="N50" t="str">
        <f>IF(C50="Checked","",$I$3)&amp;IF(H50="string",REPT(CHAR(9),2)&amp;"[StringLength("&amp;$B$3&amp;"Consts.Max"&amp;D50&amp;"Length"&amp;")]"&amp;$E$3,"")&amp;REPT(CHAR(9),2)&amp;"public virtual "&amp;IF(OR(H50="DateTime",H50="TimeSpan"),H50&amp;"?",H50)&amp;IF(C50="?","? "," ")&amp;D50&amp;" { get; set; }" &amp; "
"</f>
        <v xml:space="preserve">		[StringLength(AsyAdoVehicleDetailsConsts.MaxGoshiCarLength)]
		public virtual string GoshiCar { get; set; }
</v>
      </c>
      <c r="O50" t="str">
        <f>IF(OR(H50="string",H50="DateTime",H50="int"),REPT(CHAR(9),2)&amp;"public virtual "&amp;IF(OR(H50="DateTime",H50="TimeSpan"),H50&amp;"?",H50)&amp;IF(C50="?","? "," ")&amp;D50&amp;" { get; set; }"&amp;$E$3,"")</f>
        <v xml:space="preserve">		public virtual string GoshiCar { get; set; }
</v>
      </c>
      <c r="P50" t="str">
        <f>REPT(CHAR(9),7)&amp;D50&amp;" = o." &amp;D50 &amp;","</f>
        <v xml:space="preserve">							GoshiCar = o.GoshiCar,</v>
      </c>
      <c r="T50" s="64" t="str">
        <f>REPT(CHAR(9),8)&amp;"("""&amp;D50&amp;"""),"</f>
        <v xml:space="preserve">								("GoshiCar"),</v>
      </c>
      <c r="V50" s="65" t="str">
        <f>REPT(CHAR(9),8)&amp;"_ =&gt; _."&amp;D50&amp;","</f>
        <v xml:space="preserve">								_ =&gt; _.GoshiCar,</v>
      </c>
      <c r="W50" s="64" t="str">
        <f>IF(H50="string",REPT(CHAR(9),4)&amp;".WhereIf(!string.IsNullOrWhiteSpace(input."&amp;D50&amp;"), e =&gt; e."&amp;D50&amp;".Contains(input."&amp;D50&amp;"))",IF(H50="DateTime",REPT(CHAR(9),4)&amp;".WhereIf(input."&amp;D50&amp;".HasValue, t =&gt; t."&amp;D50&amp;" == input."&amp;D50&amp;".Value)",""))</f>
        <v xml:space="preserve">				.WhereIf(!string.IsNullOrWhiteSpace(input.GoshiCar), e =&gt; e.GoshiCar.Contains(input.GoshiCar))</v>
      </c>
    </row>
    <row r="51" spans="1:23" customFormat="1" ht="18.75" customHeight="1" x14ac:dyDescent="0.3">
      <c r="A51" t="s">
        <v>332</v>
      </c>
      <c r="B51" t="s">
        <v>249</v>
      </c>
      <c r="C51" t="s">
        <v>1</v>
      </c>
      <c r="D51" t="str">
        <f t="shared" si="79"/>
        <v>LineoffDatetime</v>
      </c>
      <c r="E51" t="str">
        <f t="shared" ref="E51:E56" si="81">IFERROR(LEFT(B51, FIND("(",B51)-1),B51)</f>
        <v>datetime2</v>
      </c>
      <c r="F51" s="6" t="s">
        <v>249</v>
      </c>
      <c r="G51" t="str">
        <f t="shared" ref="G51:G56" si="82">IFERROR(MID(B51,FIND("(",B51) +1, FIND(")",B51) - FIND("(",B51) - 1),"")</f>
        <v>7</v>
      </c>
      <c r="H51" t="str">
        <f>+VLOOKUP(E51,'[1]Data Type Mapping'!A:B,2,)</f>
        <v>DateTime</v>
      </c>
      <c r="I51" t="str">
        <f t="shared" ref="I51:I56" si="83">IF(H51="string",REPT(CHAR(9),2)&amp;"public const int Max"&amp;D51&amp;"Length = "&amp;G51&amp;";"&amp;$E$3,"" )</f>
        <v/>
      </c>
      <c r="J51" t="str">
        <f t="shared" ref="J51:J56" si="84">IF(F51="","",REPT(CHAR(9),2)&amp;"[Column(TypeName="""&amp;F51&amp;""")]"&amp;$E$3)&amp;IF(C51="Checked","",$I$3)&amp;IF(H51="string",REPT(CHAR(9),2)&amp;"[StringLength(Max"&amp;D51&amp;"Length"&amp;")]"&amp;$E$3,"")&amp;REPT(CHAR(9),2)&amp;"public virtual "&amp;H51&amp;IF(C51="?","? "," ")&amp;D51&amp;" { get; set; }" &amp; "
"</f>
        <v xml:space="preserve">		[Column(TypeName="datetime2(7)")]
		public virtual DateTime LineoffDatetime { get; set; }
</v>
      </c>
      <c r="K51" s="6"/>
      <c r="L51" t="str">
        <f t="shared" si="80"/>
        <v/>
      </c>
      <c r="M51" t="str">
        <f t="shared" ref="M51:M56" si="85">REPT(CHAR(9),2)&amp;"public virtual "&amp;IF(OR(H51="DateTime",H51="TimeSpan"),H51&amp;"?",H51)&amp;IF(C51="?","? "," ")&amp;D51&amp;" { get; set; }" &amp; "
"</f>
        <v xml:space="preserve">		public virtual DateTime? LineoffDatetime { get; set; }
</v>
      </c>
      <c r="N51" t="str">
        <f t="shared" ref="N51:N56" si="86">IF(C51="Checked","",$I$3)&amp;IF(H51="string",REPT(CHAR(9),2)&amp;"[StringLength("&amp;$B$3&amp;"Consts.Max"&amp;D51&amp;"Length"&amp;")]"&amp;$E$3,"")&amp;REPT(CHAR(9),2)&amp;"public virtual "&amp;IF(OR(H51="DateTime",H51="TimeSpan"),H51&amp;"?",H51)&amp;IF(C51="?","? "," ")&amp;D51&amp;" { get; set; }" &amp; "
"</f>
        <v xml:space="preserve">		public virtual DateTime? LineoffDatetime { get; set; }
</v>
      </c>
      <c r="O51" t="str">
        <f t="shared" ref="O51:O56" si="87">IF(OR(H51="string",H51="DateTime",H51="int"),REPT(CHAR(9),2)&amp;"public virtual "&amp;IF(OR(H51="DateTime",H51="TimeSpan"),H51&amp;"?",H51)&amp;IF(C51="?","? "," ")&amp;D51&amp;" { get; set; }"&amp;$E$3,"")</f>
        <v xml:space="preserve">		public virtual DateTime? LineoffDatetime { get; set; }
</v>
      </c>
      <c r="P51" t="str">
        <f t="shared" ref="P51:P56" si="88">REPT(CHAR(9),7)&amp;D51&amp;" = o." &amp;D51 &amp;","</f>
        <v xml:space="preserve">							LineoffDatetime = o.LineoffDatetime,</v>
      </c>
      <c r="T51" s="64" t="str">
        <f t="shared" ref="T51:T56" si="89">REPT(CHAR(9),8)&amp;"("""&amp;D51&amp;"""),"</f>
        <v xml:space="preserve">								("LineoffDatetime"),</v>
      </c>
      <c r="V51" s="65" t="str">
        <f t="shared" ref="V51:V56" si="90">REPT(CHAR(9),8)&amp;"_ =&gt; _."&amp;D51&amp;","</f>
        <v xml:space="preserve">								_ =&gt; _.LineoffDatetime,</v>
      </c>
      <c r="W51" s="64" t="str">
        <f t="shared" ref="W51:W56" si="91">IF(H51="string",REPT(CHAR(9),4)&amp;".WhereIf(!string.IsNullOrWhiteSpace(input."&amp;D51&amp;"), e =&gt; e."&amp;D51&amp;".Contains(input."&amp;D51&amp;"))",IF(H51="DateTime",REPT(CHAR(9),4)&amp;".WhereIf(input."&amp;D51&amp;".HasValue, t =&gt; t."&amp;D51&amp;" == input."&amp;D51&amp;".Value)",""))</f>
        <v xml:space="preserve">				.WhereIf(input.LineoffDatetime.HasValue, t =&gt; t.LineoffDatetime == input.LineoffDatetime.Value)</v>
      </c>
    </row>
    <row r="52" spans="1:23" customFormat="1" ht="18.75" customHeight="1" x14ac:dyDescent="0.3">
      <c r="A52" t="s">
        <v>333</v>
      </c>
      <c r="B52" t="s">
        <v>2</v>
      </c>
      <c r="C52" t="s">
        <v>1</v>
      </c>
      <c r="D52" t="str">
        <f t="shared" si="79"/>
        <v>LineoffDate</v>
      </c>
      <c r="E52" t="str">
        <f t="shared" si="81"/>
        <v>date</v>
      </c>
      <c r="F52" s="6" t="s">
        <v>2</v>
      </c>
      <c r="G52" t="str">
        <f t="shared" si="82"/>
        <v/>
      </c>
      <c r="H52" t="str">
        <f>+VLOOKUP(E52,'[1]Data Type Mapping'!A:B,2,)</f>
        <v>DateTime</v>
      </c>
      <c r="I52" t="str">
        <f t="shared" si="83"/>
        <v/>
      </c>
      <c r="J52" t="str">
        <f t="shared" si="84"/>
        <v xml:space="preserve">		[Column(TypeName="date")]
		public virtual DateTime LineoffDate { get; set; }
</v>
      </c>
      <c r="K52" s="6"/>
      <c r="L52" t="str">
        <f t="shared" si="80"/>
        <v/>
      </c>
      <c r="M52" t="str">
        <f t="shared" si="85"/>
        <v xml:space="preserve">		public virtual DateTime? LineoffDate { get; set; }
</v>
      </c>
      <c r="N52" t="str">
        <f t="shared" si="86"/>
        <v xml:space="preserve">		public virtual DateTime? LineoffDate { get; set; }
</v>
      </c>
      <c r="O52" t="str">
        <f t="shared" si="87"/>
        <v xml:space="preserve">		public virtual DateTime? LineoffDate { get; set; }
</v>
      </c>
      <c r="P52" t="str">
        <f t="shared" si="88"/>
        <v xml:space="preserve">							LineoffDate = o.LineoffDate,</v>
      </c>
      <c r="T52" s="64" t="str">
        <f t="shared" si="89"/>
        <v xml:space="preserve">								("LineoffDate"),</v>
      </c>
      <c r="V52" s="65" t="str">
        <f t="shared" si="90"/>
        <v xml:space="preserve">								_ =&gt; _.LineoffDate,</v>
      </c>
      <c r="W52" s="64" t="str">
        <f t="shared" si="91"/>
        <v xml:space="preserve">				.WhereIf(input.LineoffDate.HasValue, t =&gt; t.LineoffDate == input.LineoffDate.Value)</v>
      </c>
    </row>
    <row r="53" spans="1:23" customFormat="1" ht="18.75" customHeight="1" x14ac:dyDescent="0.3">
      <c r="A53" t="s">
        <v>334</v>
      </c>
      <c r="B53" t="s">
        <v>249</v>
      </c>
      <c r="C53" t="s">
        <v>1</v>
      </c>
      <c r="D53" t="str">
        <f t="shared" si="79"/>
        <v>LineoffTime</v>
      </c>
      <c r="E53" t="str">
        <f t="shared" si="81"/>
        <v>datetime2</v>
      </c>
      <c r="F53" s="6" t="s">
        <v>249</v>
      </c>
      <c r="G53" t="str">
        <f t="shared" si="82"/>
        <v>7</v>
      </c>
      <c r="H53" t="str">
        <f>+VLOOKUP(E53,'[1]Data Type Mapping'!A:B,2,)</f>
        <v>DateTime</v>
      </c>
      <c r="I53" t="str">
        <f t="shared" si="83"/>
        <v/>
      </c>
      <c r="J53" t="str">
        <f t="shared" si="84"/>
        <v xml:space="preserve">		[Column(TypeName="datetime2(7)")]
		public virtual DateTime LineoffTime { get; set; }
</v>
      </c>
      <c r="K53" s="6"/>
      <c r="L53" t="str">
        <f t="shared" si="80"/>
        <v/>
      </c>
      <c r="M53" t="str">
        <f t="shared" si="85"/>
        <v xml:space="preserve">		public virtual DateTime? LineoffTime { get; set; }
</v>
      </c>
      <c r="N53" t="str">
        <f t="shared" si="86"/>
        <v xml:space="preserve">		public virtual DateTime? LineoffTime { get; set; }
</v>
      </c>
      <c r="O53" t="str">
        <f t="shared" si="87"/>
        <v xml:space="preserve">		public virtual DateTime? LineoffTime { get; set; }
</v>
      </c>
      <c r="P53" t="str">
        <f t="shared" si="88"/>
        <v xml:space="preserve">							LineoffTime = o.LineoffTime,</v>
      </c>
      <c r="T53" s="64" t="str">
        <f t="shared" si="89"/>
        <v xml:space="preserve">								("LineoffTime"),</v>
      </c>
      <c r="V53" s="65" t="str">
        <f t="shared" si="90"/>
        <v xml:space="preserve">								_ =&gt; _.LineoffTime,</v>
      </c>
      <c r="W53" s="64" t="str">
        <f t="shared" si="91"/>
        <v xml:space="preserve">				.WhereIf(input.LineoffTime.HasValue, t =&gt; t.LineoffTime == input.LineoffTime.Value)</v>
      </c>
    </row>
    <row r="54" spans="1:23" customFormat="1" ht="18.75" customHeight="1" x14ac:dyDescent="0.3">
      <c r="A54" t="s">
        <v>335</v>
      </c>
      <c r="B54" t="s">
        <v>249</v>
      </c>
      <c r="C54" t="s">
        <v>1</v>
      </c>
      <c r="D54" t="str">
        <f t="shared" si="79"/>
        <v>PdiDatetime</v>
      </c>
      <c r="E54" t="str">
        <f t="shared" si="81"/>
        <v>datetime2</v>
      </c>
      <c r="F54" s="6" t="s">
        <v>249</v>
      </c>
      <c r="G54" t="str">
        <f t="shared" si="82"/>
        <v>7</v>
      </c>
      <c r="H54" t="str">
        <f>+VLOOKUP(E54,'[1]Data Type Mapping'!A:B,2,)</f>
        <v>DateTime</v>
      </c>
      <c r="I54" t="str">
        <f t="shared" si="83"/>
        <v/>
      </c>
      <c r="J54" t="str">
        <f t="shared" si="84"/>
        <v xml:space="preserve">		[Column(TypeName="datetime2(7)")]
		public virtual DateTime PdiDatetime { get; set; }
</v>
      </c>
      <c r="K54" s="6"/>
      <c r="L54" t="str">
        <f t="shared" si="80"/>
        <v/>
      </c>
      <c r="M54" t="str">
        <f t="shared" si="85"/>
        <v xml:space="preserve">		public virtual DateTime? PdiDatetime { get; set; }
</v>
      </c>
      <c r="N54" t="str">
        <f t="shared" si="86"/>
        <v xml:space="preserve">		public virtual DateTime? PdiDatetime { get; set; }
</v>
      </c>
      <c r="O54" t="str">
        <f t="shared" si="87"/>
        <v xml:space="preserve">		public virtual DateTime? PdiDatetime { get; set; }
</v>
      </c>
      <c r="P54" t="str">
        <f t="shared" si="88"/>
        <v xml:space="preserve">							PdiDatetime = o.PdiDatetime,</v>
      </c>
      <c r="T54" s="64" t="str">
        <f t="shared" si="89"/>
        <v xml:space="preserve">								("PdiDatetime"),</v>
      </c>
      <c r="V54" s="65" t="str">
        <f t="shared" si="90"/>
        <v xml:space="preserve">								_ =&gt; _.PdiDatetime,</v>
      </c>
      <c r="W54" s="64" t="str">
        <f t="shared" si="91"/>
        <v xml:space="preserve">				.WhereIf(input.PdiDatetime.HasValue, t =&gt; t.PdiDatetime == input.PdiDatetime.Value)</v>
      </c>
    </row>
    <row r="55" spans="1:23" customFormat="1" ht="18.75" customHeight="1" x14ac:dyDescent="0.3">
      <c r="A55" t="s">
        <v>336</v>
      </c>
      <c r="B55" t="s">
        <v>2</v>
      </c>
      <c r="C55" t="s">
        <v>1</v>
      </c>
      <c r="D55" t="str">
        <f t="shared" si="79"/>
        <v>PdiDate</v>
      </c>
      <c r="E55" t="str">
        <f t="shared" si="81"/>
        <v>date</v>
      </c>
      <c r="F55" s="6" t="s">
        <v>2</v>
      </c>
      <c r="G55" t="str">
        <f t="shared" si="82"/>
        <v/>
      </c>
      <c r="H55" t="str">
        <f>+VLOOKUP(E55,'[1]Data Type Mapping'!A:B,2,)</f>
        <v>DateTime</v>
      </c>
      <c r="I55" t="str">
        <f t="shared" si="83"/>
        <v/>
      </c>
      <c r="J55" t="str">
        <f t="shared" si="84"/>
        <v xml:space="preserve">		[Column(TypeName="date")]
		public virtual DateTime PdiDate { get; set; }
</v>
      </c>
      <c r="K55" s="6"/>
      <c r="L55" t="str">
        <f t="shared" si="80"/>
        <v/>
      </c>
      <c r="M55" t="str">
        <f t="shared" si="85"/>
        <v xml:space="preserve">		public virtual DateTime? PdiDate { get; set; }
</v>
      </c>
      <c r="N55" t="str">
        <f t="shared" si="86"/>
        <v xml:space="preserve">		public virtual DateTime? PdiDate { get; set; }
</v>
      </c>
      <c r="O55" t="str">
        <f t="shared" si="87"/>
        <v xml:space="preserve">		public virtual DateTime? PdiDate { get; set; }
</v>
      </c>
      <c r="P55" t="str">
        <f t="shared" si="88"/>
        <v xml:space="preserve">							PdiDate = o.PdiDate,</v>
      </c>
      <c r="T55" s="64" t="str">
        <f t="shared" si="89"/>
        <v xml:space="preserve">								("PdiDate"),</v>
      </c>
      <c r="V55" s="65" t="str">
        <f t="shared" si="90"/>
        <v xml:space="preserve">								_ =&gt; _.PdiDate,</v>
      </c>
      <c r="W55" s="64" t="str">
        <f t="shared" si="91"/>
        <v xml:space="preserve">				.WhereIf(input.PdiDate.HasValue, t =&gt; t.PdiDate == input.PdiDate.Value)</v>
      </c>
    </row>
    <row r="56" spans="1:23" customFormat="1" ht="18.75" customHeight="1" x14ac:dyDescent="0.3">
      <c r="A56" t="s">
        <v>337</v>
      </c>
      <c r="B56" t="s">
        <v>249</v>
      </c>
      <c r="C56" t="s">
        <v>1</v>
      </c>
      <c r="D56" t="str">
        <f t="shared" si="79"/>
        <v>PdiTime</v>
      </c>
      <c r="E56" t="str">
        <f t="shared" si="81"/>
        <v>datetime2</v>
      </c>
      <c r="F56" s="6" t="s">
        <v>249</v>
      </c>
      <c r="G56" t="str">
        <f t="shared" si="82"/>
        <v>7</v>
      </c>
      <c r="H56" t="str">
        <f>+VLOOKUP(E56,'[1]Data Type Mapping'!A:B,2,)</f>
        <v>DateTime</v>
      </c>
      <c r="I56" t="str">
        <f t="shared" si="83"/>
        <v/>
      </c>
      <c r="J56" t="str">
        <f t="shared" si="84"/>
        <v xml:space="preserve">		[Column(TypeName="datetime2(7)")]
		public virtual DateTime PdiTime { get; set; }
</v>
      </c>
      <c r="K56" s="6"/>
      <c r="L56" t="str">
        <f t="shared" si="80"/>
        <v/>
      </c>
      <c r="M56" t="str">
        <f t="shared" si="85"/>
        <v xml:space="preserve">		public virtual DateTime? PdiTime { get; set; }
</v>
      </c>
      <c r="N56" t="str">
        <f t="shared" si="86"/>
        <v xml:space="preserve">		public virtual DateTime? PdiTime { get; set; }
</v>
      </c>
      <c r="O56" t="str">
        <f t="shared" si="87"/>
        <v xml:space="preserve">		public virtual DateTime? PdiTime { get; set; }
</v>
      </c>
      <c r="P56" t="str">
        <f t="shared" si="88"/>
        <v xml:space="preserve">							PdiTime = o.PdiTime,</v>
      </c>
      <c r="T56" s="64" t="str">
        <f t="shared" si="89"/>
        <v xml:space="preserve">								("PdiTime"),</v>
      </c>
      <c r="V56" s="65" t="str">
        <f t="shared" si="90"/>
        <v xml:space="preserve">								_ =&gt; _.PdiTime,</v>
      </c>
      <c r="W56" s="64" t="str">
        <f t="shared" si="91"/>
        <v xml:space="preserve">				.WhereIf(input.PdiTime.HasValue, t =&gt; t.PdiTime == input.PdiTime.Value)</v>
      </c>
    </row>
    <row r="58" spans="1:23" ht="45.75" customHeight="1" x14ac:dyDescent="0.3">
      <c r="H58" s="11"/>
      <c r="I58" s="31" t="e">
        <f ca="1">TEXTJOIN2("
", TRUE,INDIRECT( $H$1):INDIRECT( $H$3))</f>
        <v>#NAME?</v>
      </c>
      <c r="J58" s="30" t="e">
        <f ca="1">TEXTJOIN2("
", TRUE,INDIRECT( $F$1):INDIRECT( $F$3))</f>
        <v>#NAME?</v>
      </c>
      <c r="K58" s="32" t="e">
        <f ca="1">TEXTJOIN2("
", TRUE,INDIRECT( $J$1):INDIRECT( $J$3))</f>
        <v>#NAME?</v>
      </c>
      <c r="L58" s="12" t="s">
        <v>60</v>
      </c>
      <c r="M58" s="33" t="e">
        <f ca="1">TEXTJOIN2("
",TRUE,INDIRECT( $L$1):INDIRECT($L$3))</f>
        <v>#NAME?</v>
      </c>
      <c r="N58" s="30" t="e">
        <f ca="1">TEXTJOIN2("
",TRUE,INDIRECT( $M$1):INDIRECT($M$3))</f>
        <v>#NAME?</v>
      </c>
      <c r="O58" s="30" t="e">
        <f ca="1">TEXTJOIN2("
",TRUE,INDIRECT( $N$1):INDIRECT($N$3))</f>
        <v>#NAME?</v>
      </c>
      <c r="P58" s="8" t="e">
        <f ca="1">TEXTJOIN2("
",TRUE,INDIRECT( $O$1):INDIRECT($O$3))</f>
        <v>#NAME?</v>
      </c>
      <c r="T58" s="8" t="e">
        <f ca="1">TEXTJOIN2("
",TRUE,INDIRECT( $T$2):INDIRECT($T$3))</f>
        <v>#NAME?</v>
      </c>
      <c r="V58" s="8" t="e">
        <f ca="1">TEXTJOIN2("
",TRUE,INDIRECT( $V$2):INDIRECT($V$3))</f>
        <v>#NAME?</v>
      </c>
      <c r="W58" s="8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65"/>
  <sheetViews>
    <sheetView topLeftCell="A32" workbookViewId="0">
      <selection activeCell="B58" sqref="B58"/>
    </sheetView>
  </sheetViews>
  <sheetFormatPr defaultRowHeight="14.4" x14ac:dyDescent="0.3"/>
  <cols>
    <col min="1" max="1" width="17.6640625" customWidth="1"/>
    <col min="2" max="2" width="15.44140625" customWidth="1"/>
    <col min="3" max="3" width="16.88671875" customWidth="1"/>
    <col min="4" max="7" width="15.109375" customWidth="1"/>
    <col min="8" max="8" width="24.44140625" customWidth="1"/>
    <col min="9" max="9" width="26.109375" customWidth="1"/>
    <col min="10" max="10" width="22.33203125" customWidth="1"/>
    <col min="11" max="11" width="25.88671875" customWidth="1"/>
    <col min="12" max="12" width="23.6640625" customWidth="1"/>
    <col min="13" max="13" width="23.44140625" customWidth="1"/>
    <col min="14" max="14" width="20.44140625" customWidth="1"/>
    <col min="15" max="15" width="20.5546875" customWidth="1"/>
    <col min="16" max="16" width="25.88671875" customWidth="1"/>
    <col min="17" max="18" width="25.44140625" customWidth="1"/>
    <col min="19" max="19" width="24" customWidth="1"/>
    <col min="20" max="20" width="19.109375" customWidth="1"/>
    <col min="21" max="21" width="19.88671875" customWidth="1"/>
    <col min="22" max="22" width="13.6640625" customWidth="1"/>
  </cols>
  <sheetData>
    <row r="1" spans="1:22" ht="28.8" x14ac:dyDescent="0.3">
      <c r="A1" s="38" t="s">
        <v>213</v>
      </c>
      <c r="B1" s="39" t="s">
        <v>314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238</v>
      </c>
      <c r="B2" s="39" t="str">
        <f>A.Backend!B4</f>
        <v>Assy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238</v>
      </c>
      <c r="B3" s="39" t="str">
        <f>LOWER(B2)</f>
        <v>assy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215</v>
      </c>
      <c r="B4" s="40" t="str">
        <f>A.Backend!Q3</f>
        <v>Andon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215</v>
      </c>
      <c r="B5" s="40" t="str">
        <f>LOWER(B4)</f>
        <v>andon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225</v>
      </c>
      <c r="B6" s="41" t="str">
        <f>A.Backend!B3</f>
        <v>AsyAdoVehicleDetails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216</v>
      </c>
      <c r="B7" s="40" t="str">
        <f>A.Backend!B5</f>
        <v>VehicleDetails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214</v>
      </c>
      <c r="B8" s="40" t="str">
        <f>LOWER(B7)</f>
        <v>vehicledetails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217</v>
      </c>
      <c r="B9" s="51"/>
      <c r="C9" s="50"/>
      <c r="D9" s="50"/>
      <c r="E9" s="50"/>
      <c r="F9" s="50"/>
      <c r="G9" s="50"/>
      <c r="H9" s="42" t="s">
        <v>271</v>
      </c>
      <c r="I9" s="43" t="s">
        <v>272</v>
      </c>
      <c r="J9" s="42" t="s">
        <v>220</v>
      </c>
      <c r="K9" s="44" t="s">
        <v>258</v>
      </c>
      <c r="L9" s="43" t="s">
        <v>262</v>
      </c>
      <c r="M9" s="42" t="s">
        <v>251</v>
      </c>
      <c r="N9" s="42" t="s">
        <v>221</v>
      </c>
      <c r="O9" s="42" t="s">
        <v>222</v>
      </c>
      <c r="P9" s="43" t="s">
        <v>224</v>
      </c>
      <c r="Q9" s="42" t="s">
        <v>252</v>
      </c>
      <c r="R9" s="42" t="s">
        <v>234</v>
      </c>
      <c r="S9" s="28"/>
      <c r="T9" s="28"/>
      <c r="U9" s="28"/>
      <c r="V9" s="28"/>
    </row>
    <row r="10" spans="1:22" ht="18.75" customHeight="1" x14ac:dyDescent="0.3">
      <c r="A10" s="52" t="s">
        <v>218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5" t="e">
        <f ca="1">SUBSTITUTE(SUBSTITUTE(SUBSTITUTE(SUBSTITUTE(SUBSTITUTE(I9,"MstWptCalendar",$B$6),"Calendar",$B$7),"calendar",$B$8),"&lt;PROPERTIES&gt;",I13),"&lt;FULL_TITLE&gt;",B1)</f>
        <v>#NAME?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#NAME?</v>
      </c>
      <c r="L10" s="45" t="e">
        <f ca="1">SUBSTITUTE(SUBSTITUTE(SUBSTITUTE(SUBSTITUTE(SUBSTITUTE(L9,"MstWptCalendar",$B$6),"Calendar",$B$7),"calendar",$B$8),"&lt;VIEWDATETIME&gt;",$L$13),"isActive",$V$13)</f>
        <v>#NAME?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VehicleDetailsRoutingModule } from './vehicledetails-routing.module';
import { VehicleDetailsComponent } from './vehicledetails.component';
import { CreateOrEditVehicleDetailsModalComponent } from './create-or-edit-vehicledetails-modal.component';
@NgModule({
    declarations: [
       VehicleDetailsComponent, 
        CreateOrEditVehicleDetailsModalComponent
    ],
    imports: [
        AppSharedModule, VehicleDetailsRoutingModule]
})
export class VehicleDetailsModule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VehicleDetailsComponent } from './vehicledetails.component';
const routes: Routes = [{
    path: '',
    component: VehicleDetailsComponent,
    pathMatch: 'full'
}];
@NgModule({
    imports: [RouterModule.forChild(routes)],
    exports: [RouterModule],
})
export class VehicleDetailsRoutingModule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AppMenuItem("VehicleDetails", "Pages.Assy.Andon.VehicleDetails", "flaticon-book",   "/app/main/assy/andon/vehicledetails"),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'assy/andon/vehicledetails',
    loadChildren: () =&gt; import('./assy/andon/vehicledetails/vehicledetails.module').then(m =&gt; m.VehicleDetailsModule),
    data: { permission: 'Pages.Assy.Andon.VehicleDetails' }
},</v>
      </c>
      <c r="R10" s="47" t="str">
        <f>SUBSTITUTE(R9,"MstWptCalendar",$B$6)</f>
        <v>ApiServiceProxies.AsyAdoVehicleDetailsServiceProxy,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250</v>
      </c>
      <c r="I11" s="28" t="s">
        <v>263</v>
      </c>
      <c r="J11" s="28"/>
      <c r="K11" s="28" t="s">
        <v>261</v>
      </c>
      <c r="L11" s="28" t="s">
        <v>264</v>
      </c>
      <c r="M11" s="35"/>
      <c r="N11" s="28"/>
      <c r="O11" s="28"/>
      <c r="P11" s="28"/>
      <c r="Q11" s="28"/>
      <c r="R11" s="28"/>
      <c r="S11" s="28" t="s">
        <v>255</v>
      </c>
      <c r="T11" s="28" t="s">
        <v>256</v>
      </c>
      <c r="U11" s="28" t="s">
        <v>265</v>
      </c>
      <c r="V11" s="28" t="s">
        <v>267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H62</v>
      </c>
      <c r="I12" s="28" t="str">
        <f>"I"&amp;COUNTA($A:$A)</f>
        <v>I62</v>
      </c>
      <c r="J12" s="28"/>
      <c r="K12" s="28" t="str">
        <f>"K"&amp;COUNTA($A:$A)</f>
        <v>K62</v>
      </c>
      <c r="L12" s="28" t="str">
        <f>"L"&amp;COUNTA($A:$A)</f>
        <v>L62</v>
      </c>
      <c r="M12" s="28"/>
      <c r="N12" s="28"/>
      <c r="O12" s="28"/>
      <c r="P12" s="28"/>
      <c r="Q12" s="28"/>
      <c r="R12" s="28"/>
      <c r="S12" s="28" t="str">
        <f>"S"&amp;COUNTA($A:$A)</f>
        <v>S62</v>
      </c>
      <c r="T12" s="28" t="str">
        <f>"T"&amp;COUNTA($A:$A)</f>
        <v>T62</v>
      </c>
      <c r="U12" s="28" t="str">
        <f>"U"&amp;COUNTA($A:$A)</f>
        <v>U62</v>
      </c>
      <c r="V12" s="28" t="str">
        <f>"V"&amp;COUNTA($A:$A)</f>
        <v>V62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#NAME?</v>
      </c>
      <c r="I13" s="35" t="e">
        <f ca="1">TEXTJOIN2("
",TRUE,INDIRECT(I11):INDIRECT(I12))</f>
        <v>#NAME?</v>
      </c>
      <c r="J13" s="28"/>
      <c r="K13" s="35" t="e">
        <f ca="1">TEXTJOIN2("
",TRUE,INDIRECT(K11):INDIRECT(K12))</f>
        <v>#NAME?</v>
      </c>
      <c r="L13" s="56" t="e">
        <f ca="1">TEXTJOIN2("
",TRUE,INDIRECT(L11):INDIRECT(L12))</f>
        <v>#NAME?</v>
      </c>
      <c r="M13" s="28"/>
      <c r="N13" s="28"/>
      <c r="O13" s="28"/>
      <c r="P13" s="28"/>
      <c r="Q13" s="28"/>
      <c r="R13" s="28"/>
      <c r="S13" s="63" t="e">
        <f ca="1">TEXTJOIN2("
",TRUE,INDIRECT(S11):INDIRECT(S12))</f>
        <v>#NAME?</v>
      </c>
      <c r="T13" s="63" t="e">
        <f ca="1">TEXTJOIN2("
",TRUE,INDIRECT(T11):INDIRECT(T12))</f>
        <v>#NAME?</v>
      </c>
      <c r="U13" s="63" t="e">
        <f ca="1">TEXTJOIN2("
",TRUE,INDIRECT(U11):INDIRECT(U12))</f>
        <v>#NAME?</v>
      </c>
      <c r="V13" s="28" t="e">
        <f ca="1">TEXTJOIN2("
",TRUE,INDIRECT(V11):INDIRECT(V12))</f>
        <v>#NAME?</v>
      </c>
    </row>
    <row r="14" spans="1:22" x14ac:dyDescent="0.3">
      <c r="A14" s="38" t="s">
        <v>219</v>
      </c>
      <c r="B14" s="28"/>
      <c r="C14" s="28"/>
      <c r="D14" s="28"/>
      <c r="E14" s="28"/>
      <c r="F14" s="28"/>
      <c r="G14" s="28"/>
      <c r="H14" s="36" t="str">
        <f>B8&amp;".component.ts"</f>
        <v>vehicledetails.component.ts</v>
      </c>
      <c r="I14" s="37" t="str">
        <f>B8&amp;".component.html"</f>
        <v>vehicledetails.component.html</v>
      </c>
      <c r="J14" s="36" t="str">
        <f>B8&amp;".component.less"</f>
        <v>vehicledetails.component.less</v>
      </c>
      <c r="K14" s="37" t="str">
        <f>"create-or-edit-"&amp;B8&amp;"-modal.component.html"</f>
        <v>create-or-edit-vehicledetails-modal.component.html</v>
      </c>
      <c r="L14" s="37" t="str">
        <f>"create-or-edit-"&amp;B8&amp;"-modal.component.ts"</f>
        <v>create-or-edit-vehicledetails-modal.component.ts</v>
      </c>
      <c r="M14" s="37" t="str">
        <f>"create-or-edit-"&amp;B8&amp;"-modal.component.less"</f>
        <v>create-or-edit-vehicledetails-modal.component.less</v>
      </c>
      <c r="N14" s="37" t="str">
        <f>B8&amp;".module.ts"</f>
        <v>vehicledetails.module.ts</v>
      </c>
      <c r="O14" s="37" t="str">
        <f>B8&amp;"-routing.module.ts"</f>
        <v>vehicledetails-routing.module.ts</v>
      </c>
      <c r="P14" s="37" t="s">
        <v>223</v>
      </c>
      <c r="Q14" s="37" t="s">
        <v>226</v>
      </c>
      <c r="R14" s="38" t="s">
        <v>233</v>
      </c>
      <c r="S14" s="37" t="s">
        <v>253</v>
      </c>
      <c r="T14" s="37" t="s">
        <v>254</v>
      </c>
      <c r="U14" s="37" t="s">
        <v>257</v>
      </c>
      <c r="V14" s="37" t="s">
        <v>266</v>
      </c>
    </row>
    <row r="15" spans="1:22" ht="18" customHeight="1" x14ac:dyDescent="0.3">
      <c r="A15" s="41" t="s">
        <v>275</v>
      </c>
      <c r="B15" s="28" t="str">
        <f>SUBSTITUTE(PROPER(A15),"_","")</f>
        <v>No</v>
      </c>
      <c r="C15" s="28" t="str">
        <f>SUBSTITUTE(PROPER(A15),"_"," ")</f>
        <v>No</v>
      </c>
      <c r="D15" s="28" t="str">
        <f>LOWER(LEFT(B15,1))&amp;RIGHT(B15,LEN(B15) - 1)</f>
        <v>no</v>
      </c>
      <c r="E15" s="28" t="str">
        <f>A.Backend!H9</f>
        <v>long</v>
      </c>
      <c r="F15" s="28" t="str">
        <f>A.Backend!G9</f>
        <v/>
      </c>
      <c r="G15" s="28" t="str">
        <f>IF(E15="string"," : string = '' ; ",IF(OR(E15="DateTime",E15="TimeSpan")," : any ;",IF(E15="int"," : number = 0 ;","")))</f>
        <v/>
      </c>
      <c r="H15" s="35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this.l('No'),headerTooltip: this.l('No'),field: 'no',flex: 1},</v>
      </c>
      <c r="I15" s="35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56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D15&amp;G15</f>
        <v>no</v>
      </c>
      <c r="T15" s="28" t="str">
        <f>REPT(CHAR(9),3)&amp;"this."&amp;D15&amp;","</f>
        <v xml:space="preserve">			this.no,</v>
      </c>
      <c r="U15" s="28" t="str">
        <f>IF(E15="int","this."&amp;D15&amp;" = 0,","this."&amp;D15&amp;" = '',")</f>
        <v>this.no = '',</v>
      </c>
      <c r="V15" s="28" t="str">
        <f>IF(AND(E15="string",F15="1"),D15,"")</f>
        <v/>
      </c>
    </row>
    <row r="16" spans="1:22" ht="15" customHeight="1" x14ac:dyDescent="0.3">
      <c r="A16" s="41" t="s">
        <v>276</v>
      </c>
      <c r="B16" s="28" t="str">
        <f t="shared" ref="B16:B27" si="0">SUBSTITUTE(PROPER(A16),"_","")</f>
        <v>BodyNo</v>
      </c>
      <c r="C16" s="28" t="str">
        <f t="shared" ref="C16:C27" si="1">SUBSTITUTE(PROPER(A16),"_"," ")</f>
        <v>Body No</v>
      </c>
      <c r="D16" s="28" t="str">
        <f t="shared" ref="D16:D27" si="2">LOWER(LEFT(B16,1))&amp;RIGHT(B16,LEN(B16) - 1)</f>
        <v>bodyNo</v>
      </c>
      <c r="E16" s="28" t="str">
        <f>A.Backend!H10</f>
        <v>string</v>
      </c>
      <c r="F16" s="28" t="str">
        <f>A.Backend!G10</f>
        <v>10</v>
      </c>
      <c r="G16" s="28" t="str">
        <f t="shared" ref="G16:G27" si="3">IF(E16="string"," : string = '' ; ",IF(OR(E16="DateTime",E16="TimeSpan")," : any ;",IF(E16="int"," : number = 0 ;","")))</f>
        <v xml:space="preserve"> : string = '' ; </v>
      </c>
      <c r="H16" s="35" t="str">
        <f t="shared" ref="H16:H27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this.l('Body No'),headerTooltip: this.l('Body No'),field: 'bodyNo',flex: 1},</v>
      </c>
      <c r="I16" s="35" t="str">
        <f t="shared" ref="I16:I27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16" s="28"/>
      <c r="K16" s="35" t="str">
        <f t="shared" ref="K16:K27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16" s="56" t="str">
        <f t="shared" ref="L16:L27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>REPT(CHAR(9),1)&amp;D16&amp;G16</f>
        <v xml:space="preserve">	bodyNo : string = '' ; </v>
      </c>
      <c r="T16" s="28" t="str">
        <f>REPT(CHAR(9),3)&amp;"this."&amp;D16&amp;","</f>
        <v xml:space="preserve">			this.bodyNo,</v>
      </c>
      <c r="U16" s="28" t="str">
        <f>IF(E16="int",REPT(CHAR(9),2)&amp;"this."&amp;D16&amp;" = 0,",REPT(CHAR(9),2)&amp;"this."&amp;D16&amp;" = '',")</f>
        <v xml:space="preserve">		this.bodyNo = '',</v>
      </c>
      <c r="V16" s="28" t="str">
        <f t="shared" ref="V16:V27" si="8">IF(AND(E16="string",F16="1"),D16,"")</f>
        <v/>
      </c>
    </row>
    <row r="17" spans="1:22" ht="18" customHeight="1" x14ac:dyDescent="0.3">
      <c r="A17" s="41" t="s">
        <v>278</v>
      </c>
      <c r="B17" s="28" t="str">
        <f t="shared" si="0"/>
        <v>LotNo</v>
      </c>
      <c r="C17" s="28" t="str">
        <f t="shared" si="1"/>
        <v>Lot No</v>
      </c>
      <c r="D17" s="28" t="str">
        <f t="shared" si="2"/>
        <v>lotNo</v>
      </c>
      <c r="E17" s="28" t="str">
        <f>A.Backend!H11</f>
        <v>string</v>
      </c>
      <c r="F17" s="28" t="str">
        <f>A.Backend!G11</f>
        <v>20</v>
      </c>
      <c r="G17" s="28" t="str">
        <f t="shared" si="3"/>
        <v xml:space="preserve"> : string = '' ; </v>
      </c>
      <c r="H17" s="35" t="str">
        <f t="shared" si="4"/>
        <v xml:space="preserve">			{headerName: this.l('Lot No'),headerTooltip: this.l('Lot No'),field: 'lotNo',flex: 1},</v>
      </c>
      <c r="I17" s="35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7" s="56" t="str">
        <f t="shared" si="7"/>
        <v/>
      </c>
      <c r="M17" s="28"/>
      <c r="N17" s="28"/>
      <c r="O17" s="28"/>
      <c r="P17" s="28"/>
      <c r="Q17" s="28"/>
      <c r="R17" s="28"/>
      <c r="S17" s="28" t="str">
        <f t="shared" ref="S17" si="9">REPT(CHAR(9),1)&amp;D17&amp;G17</f>
        <v xml:space="preserve">	lotNo : string = '' ; </v>
      </c>
      <c r="T17" s="28" t="str">
        <f t="shared" ref="T17" si="10">REPT(CHAR(9),3)&amp;"this."&amp;D17&amp;","</f>
        <v xml:space="preserve">			this.lotNo,</v>
      </c>
      <c r="U17" s="28" t="str">
        <f t="shared" ref="U17" si="11">IF(E17="int",REPT(CHAR(9),2)&amp;"this."&amp;D17&amp;" = 0,",REPT(CHAR(9),2)&amp;"this."&amp;D17&amp;" = '',")</f>
        <v xml:space="preserve">		this.lotNo = '',</v>
      </c>
      <c r="V17" s="28" t="str">
        <f t="shared" si="8"/>
        <v/>
      </c>
    </row>
    <row r="18" spans="1:22" ht="15" customHeight="1" x14ac:dyDescent="0.3">
      <c r="A18" s="41" t="s">
        <v>280</v>
      </c>
      <c r="B18" s="28" t="str">
        <f t="shared" si="0"/>
        <v>NoInLot</v>
      </c>
      <c r="C18" s="28" t="str">
        <f t="shared" si="1"/>
        <v>No In Lot</v>
      </c>
      <c r="D18" s="28" t="str">
        <f t="shared" si="2"/>
        <v>noInLot</v>
      </c>
      <c r="E18" s="28" t="str">
        <f>A.Backend!H12</f>
        <v>int</v>
      </c>
      <c r="F18" s="28" t="str">
        <f>A.Backend!G12</f>
        <v/>
      </c>
      <c r="G18" s="28" t="str">
        <f t="shared" si="3"/>
        <v xml:space="preserve"> : number = 0 ;</v>
      </c>
      <c r="H18" s="35" t="str">
        <f t="shared" si="4"/>
        <v xml:space="preserve">			{headerName: this.l('No In Lot'),headerTooltip: this.l('No In Lot'),field: 'noInLot',flex: 1},</v>
      </c>
      <c r="I18" s="35" t="str">
        <f t="shared" si="5"/>
        <v/>
      </c>
      <c r="J18" s="28"/>
      <c r="K18" s="35" t="str">
        <f t="shared" si="6"/>
        <v xml:space="preserve">					&lt;div class='col-md-12 form-group row'&gt;
						&lt;label class='col-md-2 form-control title'&gt;No In Lot&lt;/label&gt;
						&lt;input type='number' class='col-md-10 form-control input-text' name='NoInLot' [(ngModel)]='rowdata.noInLot'&gt;
					&lt;/div&gt;</v>
      </c>
      <c r="L18" s="56" t="str">
        <f t="shared" si="7"/>
        <v/>
      </c>
      <c r="M18" s="28"/>
      <c r="N18" s="28"/>
      <c r="O18" s="28"/>
      <c r="P18" s="28"/>
      <c r="Q18" s="28"/>
      <c r="R18" s="28"/>
      <c r="S18" s="28" t="str">
        <f>REPT(CHAR(9),1)&amp;D18&amp;G18</f>
        <v xml:space="preserve">	noInLot : number = 0 ;</v>
      </c>
      <c r="T18" s="28" t="str">
        <f>REPT(CHAR(9),3)&amp;"this."&amp;D18&amp;","</f>
        <v xml:space="preserve">			this.noInLot,</v>
      </c>
      <c r="U18" s="28" t="str">
        <f>IF(E18="int",REPT(CHAR(9),2)&amp;"this."&amp;D18&amp;" = 0,",REPT(CHAR(9),2)&amp;"this."&amp;D18&amp;" = '',")</f>
        <v xml:space="preserve">		this.noInLot = 0,</v>
      </c>
      <c r="V18" s="28" t="str">
        <f t="shared" si="8"/>
        <v/>
      </c>
    </row>
    <row r="19" spans="1:22" ht="18" customHeight="1" x14ac:dyDescent="0.3">
      <c r="A19" s="41" t="s">
        <v>281</v>
      </c>
      <c r="B19" s="28" t="str">
        <f t="shared" si="0"/>
        <v>SequenceNo</v>
      </c>
      <c r="C19" s="28" t="str">
        <f t="shared" si="1"/>
        <v>Sequence No</v>
      </c>
      <c r="D19" s="28" t="str">
        <f t="shared" si="2"/>
        <v>sequenceNo</v>
      </c>
      <c r="E19" s="28" t="str">
        <f>A.Backend!H13</f>
        <v>string</v>
      </c>
      <c r="F19" s="28" t="str">
        <f>A.Backend!G13</f>
        <v>25</v>
      </c>
      <c r="G19" s="28" t="str">
        <f t="shared" si="3"/>
        <v xml:space="preserve"> : string = '' ; </v>
      </c>
      <c r="H19" s="35" t="str">
        <f t="shared" si="4"/>
        <v xml:space="preserve">			{headerName: this.l('Sequence No'),headerTooltip: this.l('Sequence No'),field: 'sequenceNo',flex: 1},</v>
      </c>
      <c r="I19" s="35" t="str">
        <f t="shared" si="5"/>
        <v xml:space="preserve">								&lt;div class='input-search'&gt;
									&lt;input [(ngModel)]='sequenceNo' name='sequenceNo'
									class='form-control' [placeholder]="l('Sequence No')"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title'&gt;Sequence No&lt;/label&gt;
						&lt;input type='text' class='col-md-10 form-control input-text' name='SequenceNo' [(ngModel)]='rowdata.sequenceNo'&gt;
					&lt;/div&gt;</v>
      </c>
      <c r="L19" s="56" t="str">
        <f t="shared" si="7"/>
        <v/>
      </c>
      <c r="M19" s="28"/>
      <c r="N19" s="28"/>
      <c r="O19" s="28"/>
      <c r="P19" s="28"/>
      <c r="Q19" s="28"/>
      <c r="R19" s="28"/>
      <c r="S19" s="28" t="str">
        <f t="shared" ref="S19" si="12">REPT(CHAR(9),1)&amp;D19&amp;G19</f>
        <v xml:space="preserve">	sequenceNo : string = '' ; </v>
      </c>
      <c r="T19" s="28" t="str">
        <f t="shared" ref="T19" si="13">REPT(CHAR(9),3)&amp;"this."&amp;D19&amp;","</f>
        <v xml:space="preserve">			this.sequenceNo,</v>
      </c>
      <c r="U19" s="28" t="str">
        <f t="shared" ref="U19" si="14">IF(E19="int",REPT(CHAR(9),2)&amp;"this."&amp;D19&amp;" = 0,",REPT(CHAR(9),2)&amp;"this."&amp;D19&amp;" = '',")</f>
        <v xml:space="preserve">		this.sequenceNo = '',</v>
      </c>
      <c r="V19" s="28" t="str">
        <f t="shared" si="8"/>
        <v/>
      </c>
    </row>
    <row r="20" spans="1:22" ht="15" customHeight="1" x14ac:dyDescent="0.3">
      <c r="A20" s="41" t="s">
        <v>311</v>
      </c>
      <c r="B20" s="28" t="str">
        <f t="shared" si="0"/>
        <v>KeyNo</v>
      </c>
      <c r="C20" s="28" t="str">
        <f t="shared" si="1"/>
        <v>Key No</v>
      </c>
      <c r="D20" s="28" t="str">
        <f t="shared" si="2"/>
        <v>keyNo</v>
      </c>
      <c r="E20" s="28" t="str">
        <f>A.Backend!H14</f>
        <v>string</v>
      </c>
      <c r="F20" s="28" t="str">
        <f>A.Backend!G14</f>
        <v>255</v>
      </c>
      <c r="G20" s="28" t="str">
        <f t="shared" si="3"/>
        <v xml:space="preserve"> : string = '' ; </v>
      </c>
      <c r="H20" s="35" t="str">
        <f t="shared" si="4"/>
        <v xml:space="preserve">			{headerName: this.l('Key No'),headerTooltip: this.l('Key No'),field: 'keyNo',flex: 1},</v>
      </c>
      <c r="I20" s="35" t="str">
        <f t="shared" si="5"/>
        <v xml:space="preserve">								&lt;div class='input-search'&gt;
									&lt;input [(ngModel)]='keyNo' name='keyNo'
									class='form-control' [placeholder]="l('Key No')"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title'&gt;Key No&lt;/label&gt;
						&lt;input type='text' class='col-md-10 form-control input-text' name='KeyNo' [(ngModel)]='rowdata.keyNo'&gt;
					&lt;/div&gt;</v>
      </c>
      <c r="L20" s="56" t="str">
        <f t="shared" si="7"/>
        <v/>
      </c>
      <c r="M20" s="28"/>
      <c r="N20" s="28"/>
      <c r="O20" s="28"/>
      <c r="P20" s="28"/>
      <c r="Q20" s="28"/>
      <c r="R20" s="28"/>
      <c r="S20" s="28" t="str">
        <f>REPT(CHAR(9),1)&amp;D20&amp;G20</f>
        <v xml:space="preserve">	keyNo : string = '' ; </v>
      </c>
      <c r="T20" s="28" t="str">
        <f>REPT(CHAR(9),3)&amp;"this."&amp;D20&amp;","</f>
        <v xml:space="preserve">			this.keyNo,</v>
      </c>
      <c r="U20" s="28" t="str">
        <f>IF(E20="int",REPT(CHAR(9),2)&amp;"this."&amp;D20&amp;" = 0,",REPT(CHAR(9),2)&amp;"this."&amp;D20&amp;" = '',")</f>
        <v xml:space="preserve">		this.keyNo = '',</v>
      </c>
      <c r="V20" s="28" t="str">
        <f t="shared" si="8"/>
        <v/>
      </c>
    </row>
    <row r="21" spans="1:22" ht="18" customHeight="1" x14ac:dyDescent="0.3">
      <c r="A21" s="41" t="s">
        <v>284</v>
      </c>
      <c r="B21" s="28" t="str">
        <f t="shared" si="0"/>
        <v>Vin</v>
      </c>
      <c r="C21" s="28" t="str">
        <f t="shared" si="1"/>
        <v>Vin</v>
      </c>
      <c r="D21" s="28" t="str">
        <f t="shared" si="2"/>
        <v>vin</v>
      </c>
      <c r="E21" s="28" t="str">
        <f>A.Backend!H15</f>
        <v>string</v>
      </c>
      <c r="F21" s="28" t="str">
        <f>A.Backend!G15</f>
        <v>25</v>
      </c>
      <c r="G21" s="28" t="str">
        <f t="shared" si="3"/>
        <v xml:space="preserve"> : string = '' ; </v>
      </c>
      <c r="H21" s="35" t="str">
        <f t="shared" si="4"/>
        <v xml:space="preserve">			{headerName: this.l('Vin'),headerTooltip: this.l('Vin'),field: 'vin',flex: 1},</v>
      </c>
      <c r="I21" s="35" t="str">
        <f t="shared" si="5"/>
        <v xml:space="preserve">								&lt;div class='input-search'&gt;
									&lt;input [(ngModel)]='vin' name='vin'
									class='form-control' [placeholder]="l('Vin')"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title'&gt;Vin&lt;/label&gt;
						&lt;input type='text' class='col-md-10 form-control input-text' name='Vin' [(ngModel)]='rowdata.vin'&gt;
					&lt;/div&gt;</v>
      </c>
      <c r="L21" s="56" t="str">
        <f t="shared" si="7"/>
        <v/>
      </c>
      <c r="M21" s="28"/>
      <c r="N21" s="28"/>
      <c r="O21" s="28"/>
      <c r="P21" s="28"/>
      <c r="Q21" s="28"/>
      <c r="R21" s="28"/>
      <c r="S21" s="28" t="str">
        <f t="shared" ref="S21" si="15">REPT(CHAR(9),1)&amp;D21&amp;G21</f>
        <v xml:space="preserve">	vin : string = '' ; </v>
      </c>
      <c r="T21" s="28" t="str">
        <f t="shared" ref="T21" si="16">REPT(CHAR(9),3)&amp;"this."&amp;D21&amp;","</f>
        <v xml:space="preserve">			this.vin,</v>
      </c>
      <c r="U21" s="28" t="str">
        <f t="shared" ref="U21" si="17">IF(E21="int",REPT(CHAR(9),2)&amp;"this."&amp;D21&amp;" = 0,",REPT(CHAR(9),2)&amp;"this."&amp;D21&amp;" = '',")</f>
        <v xml:space="preserve">		this.vin = '',</v>
      </c>
      <c r="V21" s="28" t="str">
        <f t="shared" si="8"/>
        <v/>
      </c>
    </row>
    <row r="22" spans="1:22" ht="15" customHeight="1" x14ac:dyDescent="0.3">
      <c r="A22" s="41" t="s">
        <v>285</v>
      </c>
      <c r="B22" s="28" t="str">
        <f t="shared" si="0"/>
        <v>Eng</v>
      </c>
      <c r="C22" s="28" t="str">
        <f t="shared" si="1"/>
        <v>Eng</v>
      </c>
      <c r="D22" s="28" t="str">
        <f t="shared" si="2"/>
        <v>eng</v>
      </c>
      <c r="E22" s="28" t="str">
        <f>A.Backend!H16</f>
        <v>string</v>
      </c>
      <c r="F22" s="28" t="str">
        <f>A.Backend!G16</f>
        <v>255</v>
      </c>
      <c r="G22" s="28" t="str">
        <f t="shared" si="3"/>
        <v xml:space="preserve"> : string = '' ; </v>
      </c>
      <c r="H22" s="35" t="str">
        <f t="shared" si="4"/>
        <v xml:space="preserve">			{headerName: this.l('Eng'),headerTooltip: this.l('Eng'),field: 'eng',flex: 1},</v>
      </c>
      <c r="I22" s="35" t="str">
        <f t="shared" si="5"/>
        <v xml:space="preserve">								&lt;div class='input-search'&gt;
									&lt;input [(ngModel)]='eng' name='eng'
									class='form-control' [placeholder]="l('Eng')"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title'&gt;Eng&lt;/label&gt;
						&lt;input type='text' class='col-md-10 form-control input-text' name='Eng' [(ngModel)]='rowdata.eng'&gt;
					&lt;/div&gt;</v>
      </c>
      <c r="L22" s="56" t="str">
        <f t="shared" si="7"/>
        <v/>
      </c>
      <c r="M22" s="28"/>
      <c r="N22" s="28"/>
      <c r="O22" s="28"/>
      <c r="P22" s="28"/>
      <c r="Q22" s="28"/>
      <c r="R22" s="28"/>
      <c r="S22" s="28" t="str">
        <f>REPT(CHAR(9),1)&amp;D22&amp;G22</f>
        <v xml:space="preserve">	eng : string = '' ; </v>
      </c>
      <c r="T22" s="28" t="str">
        <f>REPT(CHAR(9),3)&amp;"this."&amp;D22&amp;","</f>
        <v xml:space="preserve">			this.eng,</v>
      </c>
      <c r="U22" s="28" t="str">
        <f>IF(E22="int",REPT(CHAR(9),2)&amp;"this."&amp;D22&amp;" = 0,",REPT(CHAR(9),2)&amp;"this."&amp;D22&amp;" = '',")</f>
        <v xml:space="preserve">		this.eng = '',</v>
      </c>
      <c r="V22" s="28" t="str">
        <f t="shared" si="8"/>
        <v/>
      </c>
    </row>
    <row r="23" spans="1:22" ht="18" customHeight="1" x14ac:dyDescent="0.3">
      <c r="A23" s="41" t="s">
        <v>286</v>
      </c>
      <c r="B23" s="28" t="str">
        <f t="shared" si="0"/>
        <v>Trs</v>
      </c>
      <c r="C23" s="28" t="str">
        <f t="shared" si="1"/>
        <v>Trs</v>
      </c>
      <c r="D23" s="28" t="str">
        <f t="shared" si="2"/>
        <v>trs</v>
      </c>
      <c r="E23" s="28" t="str">
        <f>A.Backend!H17</f>
        <v>string</v>
      </c>
      <c r="F23" s="28" t="str">
        <f>A.Backend!G17</f>
        <v>255</v>
      </c>
      <c r="G23" s="28" t="str">
        <f t="shared" si="3"/>
        <v xml:space="preserve"> : string = '' ; </v>
      </c>
      <c r="H23" s="35" t="str">
        <f t="shared" si="4"/>
        <v xml:space="preserve">			{headerName: this.l('Trs'),headerTooltip: this.l('Trs'),field: 'trs',flex: 1},</v>
      </c>
      <c r="I23" s="35" t="str">
        <f t="shared" si="5"/>
        <v xml:space="preserve">								&lt;div class='input-search'&gt;
									&lt;input [(ngModel)]='trs' name='trs'
									class='form-control' [placeholder]="l('Trs')"
									type='text' (keyup.enter)='searchDatas()'&gt;
								&lt;/div&gt;</v>
      </c>
      <c r="J23" s="28"/>
      <c r="K23" s="35" t="str">
        <f t="shared" si="6"/>
        <v xml:space="preserve">					&lt;div class='col-md-12 form-group row'&gt;
						&lt;label class='col-md-2 form-control title'&gt;Trs&lt;/label&gt;
						&lt;input type='text' class='col-md-10 form-control input-text' name='Trs' [(ngModel)]='rowdata.trs'&gt;
					&lt;/div&gt;</v>
      </c>
      <c r="L23" s="56" t="str">
        <f t="shared" si="7"/>
        <v/>
      </c>
      <c r="M23" s="28"/>
      <c r="N23" s="28"/>
      <c r="O23" s="28"/>
      <c r="P23" s="28"/>
      <c r="Q23" s="28"/>
      <c r="R23" s="28"/>
      <c r="S23" s="28" t="str">
        <f t="shared" ref="S23" si="18">REPT(CHAR(9),1)&amp;D23&amp;G23</f>
        <v xml:space="preserve">	trs : string = '' ; </v>
      </c>
      <c r="T23" s="28" t="str">
        <f t="shared" ref="T23" si="19">REPT(CHAR(9),3)&amp;"this."&amp;D23&amp;","</f>
        <v xml:space="preserve">			this.trs,</v>
      </c>
      <c r="U23" s="28" t="str">
        <f t="shared" ref="U23" si="20">IF(E23="int",REPT(CHAR(9),2)&amp;"this."&amp;D23&amp;" = 0,",REPT(CHAR(9),2)&amp;"this."&amp;D23&amp;" = '',")</f>
        <v xml:space="preserve">		this.trs = '',</v>
      </c>
      <c r="V23" s="28" t="str">
        <f t="shared" si="8"/>
        <v/>
      </c>
    </row>
    <row r="24" spans="1:22" ht="15" customHeight="1" x14ac:dyDescent="0.3">
      <c r="A24" s="41" t="s">
        <v>287</v>
      </c>
      <c r="B24" s="28" t="str">
        <f t="shared" si="0"/>
        <v>Ecu</v>
      </c>
      <c r="C24" s="28" t="str">
        <f t="shared" si="1"/>
        <v>Ecu</v>
      </c>
      <c r="D24" s="28" t="str">
        <f t="shared" si="2"/>
        <v>ecu</v>
      </c>
      <c r="E24" s="28" t="str">
        <f>A.Backend!H18</f>
        <v>string</v>
      </c>
      <c r="F24" s="28" t="str">
        <f>A.Backend!G18</f>
        <v>20</v>
      </c>
      <c r="G24" s="28" t="str">
        <f t="shared" si="3"/>
        <v xml:space="preserve"> : string = '' ; </v>
      </c>
      <c r="H24" s="35" t="str">
        <f t="shared" si="4"/>
        <v xml:space="preserve">			{headerName: this.l('Ecu'),headerTooltip: this.l('Ecu'),field: 'ecu',flex: 1},</v>
      </c>
      <c r="I24" s="35" t="str">
        <f t="shared" si="5"/>
        <v xml:space="preserve">								&lt;div class='input-search'&gt;
									&lt;input [(ngModel)]='ecu' name='ecu'
									class='form-control' [placeholder]="l('Ecu')"
									type='text' (keyup.enter)='searchDatas()'&gt;
								&lt;/div&gt;</v>
      </c>
      <c r="J24" s="28"/>
      <c r="K24" s="35" t="str">
        <f t="shared" si="6"/>
        <v xml:space="preserve">					&lt;div class='col-md-12 form-group row'&gt;
						&lt;label class='col-md-2 form-control title'&gt;Ecu&lt;/label&gt;
						&lt;input type='text' class='col-md-10 form-control input-text' name='Ecu' [(ngModel)]='rowdata.ecu'&gt;
					&lt;/div&gt;</v>
      </c>
      <c r="L24" s="56" t="str">
        <f t="shared" si="7"/>
        <v/>
      </c>
      <c r="M24" s="28"/>
      <c r="N24" s="28"/>
      <c r="O24" s="28"/>
      <c r="P24" s="28"/>
      <c r="Q24" s="28"/>
      <c r="R24" s="28"/>
      <c r="S24" s="28" t="str">
        <f>REPT(CHAR(9),1)&amp;D24&amp;G24</f>
        <v xml:space="preserve">	ecu : string = '' ; </v>
      </c>
      <c r="T24" s="28" t="str">
        <f>REPT(CHAR(9),3)&amp;"this."&amp;D24&amp;","</f>
        <v xml:space="preserve">			this.ecu,</v>
      </c>
      <c r="U24" s="28" t="str">
        <f>IF(E24="int",REPT(CHAR(9),2)&amp;"this."&amp;D24&amp;" = 0,",REPT(CHAR(9),2)&amp;"this."&amp;D24&amp;" = '',")</f>
        <v xml:space="preserve">		this.ecu = '',</v>
      </c>
      <c r="V24" s="28" t="str">
        <f t="shared" si="8"/>
        <v/>
      </c>
    </row>
    <row r="25" spans="1:22" ht="18" customHeight="1" x14ac:dyDescent="0.3">
      <c r="A25" s="41" t="s">
        <v>288</v>
      </c>
      <c r="B25" s="28" t="str">
        <f t="shared" si="0"/>
        <v>WInDateActual</v>
      </c>
      <c r="C25" s="28" t="str">
        <f t="shared" si="1"/>
        <v>W In Date Actual</v>
      </c>
      <c r="D25" s="28" t="str">
        <f t="shared" si="2"/>
        <v>wInDateActual</v>
      </c>
      <c r="E25" s="28" t="str">
        <f>A.Backend!H19</f>
        <v>DateTime</v>
      </c>
      <c r="F25" s="28" t="str">
        <f>A.Backend!G19</f>
        <v>7</v>
      </c>
      <c r="G25" s="28" t="str">
        <f t="shared" si="3"/>
        <v xml:space="preserve"> : any ;</v>
      </c>
      <c r="H25" s="35" t="str">
        <f t="shared" si="4"/>
        <v xml:space="preserve">			{headerName: this.l('W In Date Actual'),headerTooltip: this.l('W In Date Actual'),field: 'wInDateActual',valueGetter: (params) =&gt; this.pipe.transform(params.data?.wInDateActual, 'dd/MM/yyyy'),flex: 1},</v>
      </c>
      <c r="I25" s="35" t="str">
        <f t="shared" si="5"/>
        <v xml:space="preserve">								&lt;div class='input-search'&gt;
									&lt;input type='text' [placeholder]="l('W In Date Actual')" [(ngModel)]='wInDateActual' 
									name='wInDateActual' (keydown)='searchDatas()' class='form-control' 
									bsDatepicker #d='bsDatepicker' placement='bottom left'&gt;
									&lt;i class='fa fa-calendar-alt' (click)='d.toggle()'&gt;&lt;/i&gt;
								&lt;/div&gt;</v>
      </c>
      <c r="J25" s="28"/>
      <c r="K25" s="35" t="str">
        <f t="shared" si="6"/>
        <v xml:space="preserve">					&lt;div class='col-md-12 form-group row'&gt;
						&lt;label class='col-md-2 form-control title'&gt;W In Date Actual&lt;/label&gt;
						&lt;input type='text' class='col-md-10 form-control input-text' name='wInDateActual' 
						#datepicker='bsDatepicker' [(ngModel)]='rowdata.wInDateActual'  bsDatepicker &gt;
					&lt;/div&gt;</v>
      </c>
      <c r="L25" s="56" t="str">
        <f t="shared" si="7"/>
        <v xml:space="preserve">		const dateValue =  this.rowdata.wInDateActual ? new Date(this.rowdata.wInDateActual?.toString()) : new Date();
		this.datepicker?.bsValueChange.emit(dateValue);</v>
      </c>
      <c r="M25" s="28"/>
      <c r="N25" s="28"/>
      <c r="O25" s="28"/>
      <c r="P25" s="28"/>
      <c r="Q25" s="28"/>
      <c r="R25" s="28"/>
      <c r="S25" s="28" t="str">
        <f t="shared" ref="S25" si="21">REPT(CHAR(9),1)&amp;D25&amp;G25</f>
        <v xml:space="preserve">	wInDateActual : any ;</v>
      </c>
      <c r="T25" s="28" t="str">
        <f t="shared" ref="T25" si="22">REPT(CHAR(9),3)&amp;"this."&amp;D25&amp;","</f>
        <v xml:space="preserve">			this.wInDateActual,</v>
      </c>
      <c r="U25" s="28" t="str">
        <f t="shared" ref="U25" si="23">IF(E25="int",REPT(CHAR(9),2)&amp;"this."&amp;D25&amp;" = 0,",REPT(CHAR(9),2)&amp;"this."&amp;D25&amp;" = '',")</f>
        <v xml:space="preserve">		this.wInDateActual = '',</v>
      </c>
      <c r="V25" s="28" t="str">
        <f t="shared" si="8"/>
        <v/>
      </c>
    </row>
    <row r="26" spans="1:22" ht="15" customHeight="1" x14ac:dyDescent="0.3">
      <c r="A26" s="41" t="s">
        <v>289</v>
      </c>
      <c r="B26" s="28" t="str">
        <f t="shared" si="0"/>
        <v>TInPlanDatetime</v>
      </c>
      <c r="C26" s="28" t="str">
        <f t="shared" si="1"/>
        <v>T In Plan Datetime</v>
      </c>
      <c r="D26" s="28" t="str">
        <f t="shared" si="2"/>
        <v>tInPlanDatetime</v>
      </c>
      <c r="E26" s="28" t="str">
        <f>A.Backend!H20</f>
        <v>DateTime</v>
      </c>
      <c r="F26" s="28" t="str">
        <f>A.Backend!G20</f>
        <v>7</v>
      </c>
      <c r="G26" s="28" t="str">
        <f t="shared" si="3"/>
        <v xml:space="preserve"> : any ;</v>
      </c>
      <c r="H26" s="35" t="str">
        <f t="shared" si="4"/>
        <v xml:space="preserve">			{headerName: this.l('T In Plan Datetime'),headerTooltip: this.l('T In Plan Datetime'),field: 'tInPlanDatetime',valueGetter: (params) =&gt; this.pipe.transform(params.data?.tInPlanDatetime, 'dd/MM/yyyy'),flex: 1},</v>
      </c>
      <c r="I26" s="35" t="str">
        <f t="shared" si="5"/>
        <v xml:space="preserve">								&lt;div class='input-search'&gt;
									&lt;input type='text' [placeholder]="l('T In Plan Datetime')" [(ngModel)]='tInPlanDatetime' 
									name='tInPlanDatetime' (keydown)='searchDatas()' class='form-control' 
									bsDatepicker #d='bsDatepicker' placement='bottom left'&gt;
									&lt;i class='fa fa-calendar-alt' (click)='d.toggle()'&gt;&lt;/i&gt;
								&lt;/div&gt;</v>
      </c>
      <c r="J26" s="28"/>
      <c r="K26" s="35" t="str">
        <f t="shared" si="6"/>
        <v xml:space="preserve">					&lt;div class='col-md-12 form-group row'&gt;
						&lt;label class='col-md-2 form-control title'&gt;T In Plan Datetime&lt;/label&gt;
						&lt;input type='text' class='col-md-10 form-control input-text' name='tInPlanDatetime' 
						#datepicker='bsDatepicker' [(ngModel)]='rowdata.tInPlanDatetime'  bsDatepicker &gt;
					&lt;/div&gt;</v>
      </c>
      <c r="L26" s="56" t="str">
        <f t="shared" si="7"/>
        <v xml:space="preserve">		const dateValue =  this.rowdata.tInPlanDatetime ? new Date(this.rowdata.tInPlanDatetime?.toString()) : new Date();
		this.datepicker?.bsValueChange.emit(dateValue);</v>
      </c>
      <c r="M26" s="28"/>
      <c r="N26" s="28"/>
      <c r="O26" s="28"/>
      <c r="P26" s="28"/>
      <c r="Q26" s="28"/>
      <c r="R26" s="28"/>
      <c r="S26" s="28" t="str">
        <f>REPT(CHAR(9),1)&amp;D26&amp;G26</f>
        <v xml:space="preserve">	tInPlanDatetime : any ;</v>
      </c>
      <c r="T26" s="28" t="str">
        <f>REPT(CHAR(9),3)&amp;"this."&amp;D26&amp;","</f>
        <v xml:space="preserve">			this.tInPlanDatetime,</v>
      </c>
      <c r="U26" s="28" t="str">
        <f>IF(E26="int",REPT(CHAR(9),2)&amp;"this."&amp;D26&amp;" = 0,",REPT(CHAR(9),2)&amp;"this."&amp;D26&amp;" = '',")</f>
        <v xml:space="preserve">		this.tInPlanDatetime = '',</v>
      </c>
      <c r="V26" s="28" t="str">
        <f t="shared" si="8"/>
        <v/>
      </c>
    </row>
    <row r="27" spans="1:22" ht="18" customHeight="1" x14ac:dyDescent="0.3">
      <c r="A27" s="41" t="s">
        <v>290</v>
      </c>
      <c r="B27" s="28" t="str">
        <f t="shared" si="0"/>
        <v>PaintInTime</v>
      </c>
      <c r="C27" s="28" t="str">
        <f t="shared" si="1"/>
        <v>Paint In Time</v>
      </c>
      <c r="D27" s="28" t="str">
        <f t="shared" si="2"/>
        <v>paintInTime</v>
      </c>
      <c r="E27" s="28" t="str">
        <f>A.Backend!H21</f>
        <v>string</v>
      </c>
      <c r="F27" s="28" t="str">
        <f>A.Backend!G21</f>
        <v>10</v>
      </c>
      <c r="G27" s="28" t="str">
        <f t="shared" si="3"/>
        <v xml:space="preserve"> : string = '' ; </v>
      </c>
      <c r="H27" s="35" t="str">
        <f t="shared" si="4"/>
        <v xml:space="preserve">			{headerName: this.l('Paint In Time'),headerTooltip: this.l('Paint In Time'),field: 'paintInTime',flex: 1},</v>
      </c>
      <c r="I27" s="35" t="str">
        <f t="shared" si="5"/>
        <v xml:space="preserve">								&lt;div class='input-search'&gt;
									&lt;input [(ngModel)]='paintInTime' name='paintInTime'
									class='form-control' [placeholder]="l('Paint In Time')"
									type='text' (keyup.enter)='searchDatas()'&gt;
								&lt;/div&gt;</v>
      </c>
      <c r="J27" s="28"/>
      <c r="K27" s="35" t="str">
        <f t="shared" si="6"/>
        <v xml:space="preserve">					&lt;div class='col-md-12 form-group row'&gt;
						&lt;label class='col-md-2 form-control title'&gt;Paint In Time&lt;/label&gt;
						&lt;input type='text' class='col-md-10 form-control input-text' name='PaintInTime' [(ngModel)]='rowdata.paintInTime'&gt;
					&lt;/div&gt;</v>
      </c>
      <c r="L27" s="56" t="str">
        <f t="shared" si="7"/>
        <v/>
      </c>
      <c r="M27" s="28"/>
      <c r="N27" s="28"/>
      <c r="O27" s="28"/>
      <c r="P27" s="28"/>
      <c r="Q27" s="28"/>
      <c r="R27" s="28"/>
      <c r="S27" s="28" t="str">
        <f t="shared" ref="S27" si="24">REPT(CHAR(9),1)&amp;D27&amp;G27</f>
        <v xml:space="preserve">	paintInTime : string = '' ; </v>
      </c>
      <c r="T27" s="28" t="str">
        <f t="shared" ref="T27" si="25">REPT(CHAR(9),3)&amp;"this."&amp;D27&amp;","</f>
        <v xml:space="preserve">			this.paintInTime,</v>
      </c>
      <c r="U27" s="28" t="str">
        <f t="shared" ref="U27" si="26">IF(E27="int",REPT(CHAR(9),2)&amp;"this."&amp;D27&amp;" = 0,",REPT(CHAR(9),2)&amp;"this."&amp;D27&amp;" = '',")</f>
        <v xml:space="preserve">		this.paintInTime = '',</v>
      </c>
      <c r="V27" s="28" t="str">
        <f t="shared" si="8"/>
        <v/>
      </c>
    </row>
    <row r="28" spans="1:22" ht="15" customHeight="1" x14ac:dyDescent="0.3">
      <c r="A28" s="41" t="s">
        <v>291</v>
      </c>
      <c r="B28" s="28" t="str">
        <f t="shared" ref="B28:B39" si="27">SUBSTITUTE(PROPER(A28),"_","")</f>
        <v>AInDateActual</v>
      </c>
      <c r="C28" s="28" t="str">
        <f t="shared" ref="C28:C39" si="28">SUBSTITUTE(PROPER(A28),"_"," ")</f>
        <v>A In Date Actual</v>
      </c>
      <c r="D28" s="28" t="str">
        <f t="shared" ref="D28:D39" si="29">LOWER(LEFT(B28,1))&amp;RIGHT(B28,LEN(B28) - 1)</f>
        <v>aInDateActual</v>
      </c>
      <c r="E28" s="28" t="str">
        <f>A.Backend!H22</f>
        <v>DateTime</v>
      </c>
      <c r="F28" s="28" t="str">
        <f>A.Backend!G22</f>
        <v>7</v>
      </c>
      <c r="G28" s="28" t="str">
        <f t="shared" ref="G28:G39" si="30">IF(E28="string"," : string = '' ; ",IF(OR(E28="DateTime",E28="TimeSpan")," : any ;",IF(E28="int"," : number = 0 ;","")))</f>
        <v xml:space="preserve"> : any ;</v>
      </c>
      <c r="H28" s="35" t="str">
        <f t="shared" ref="H28:H39" si="31"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this.l('A In Date Actual'),headerTooltip: this.l('A In Date Actual'),field: 'aInDateActual',valueGetter: (params) =&gt; this.pipe.transform(params.data?.aInDateActual, 'dd/MM/yyyy'),flex: 1},</v>
      </c>
      <c r="I28" s="35" t="str">
        <f t="shared" ref="I28:I39" si="32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IF(E28="string",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type='text' [placeholder]="l('A In Date Actual')" [(ngModel)]='aInDateActual' 
									name='aInDateActual' (keydown)='searchDatas()' class='form-control' 
									bsDatepicker #d='bsDatepicker' placement='bottom left'&gt;
									&lt;i class='fa fa-calendar-alt' (click)='d.toggle()'&gt;&lt;/i&gt;
								&lt;/div&gt;</v>
      </c>
      <c r="J28" s="28"/>
      <c r="K28" s="35" t="str">
        <f t="shared" ref="K28:K39" si="33">IF(OR(E28="DateTime",E28="TimeSpan"),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IF(E28="int",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 xml:space="preserve">					&lt;div class='col-md-12 form-group row'&gt;
						&lt;label class='col-md-2 form-control title'&gt;A In Date Actual&lt;/label&gt;
						&lt;input type='text' class='col-md-10 form-control input-text' name='aInDateActual' 
						#datepicker='bsDatepicker' [(ngModel)]='rowdata.aInDateActual'  bsDatepicker &gt;
					&lt;/div&gt;</v>
      </c>
      <c r="L28" s="56" t="str">
        <f t="shared" ref="L28:L39" si="34">IF(E28="DateTime",
REPT(CHAR(9),2)&amp;"const dateValue =  this.rowdata."&amp;D28&amp;" ? new Date(this.rowdata."&amp;D28&amp;"?.toString()) : new Date();
"&amp;REPT(CHAR(9),2)&amp;"this.datepicker?.bsValueChange.emit(dateValue);","")</f>
        <v xml:space="preserve">		const dateValue =  this.rowdata.aInDateActual ? new Date(this.rowdata.aInDateActual?.toString()) : new Date();
		this.datepicker?.bsValueChange.emit(dateValue);</v>
      </c>
      <c r="M28" s="28"/>
      <c r="N28" s="28"/>
      <c r="O28" s="28"/>
      <c r="P28" s="28"/>
      <c r="Q28" s="28"/>
      <c r="R28" s="28"/>
      <c r="S28" s="28" t="str">
        <f>REPT(CHAR(9),1)&amp;D28&amp;G28</f>
        <v xml:space="preserve">	aInDateActual : any ;</v>
      </c>
      <c r="T28" s="28" t="str">
        <f>REPT(CHAR(9),3)&amp;"this."&amp;D28&amp;","</f>
        <v xml:space="preserve">			this.aInDateActual,</v>
      </c>
      <c r="U28" s="28" t="str">
        <f>IF(E28="int",REPT(CHAR(9),2)&amp;"this."&amp;D28&amp;" = 0,",REPT(CHAR(9),2)&amp;"this."&amp;D28&amp;" = '',")</f>
        <v xml:space="preserve">		this.aInDateActual = '',</v>
      </c>
      <c r="V28" s="28" t="str">
        <f t="shared" ref="V28:V39" si="35">IF(AND(E28="string",F28="1"),D28,"")</f>
        <v/>
      </c>
    </row>
    <row r="29" spans="1:22" ht="18" customHeight="1" x14ac:dyDescent="0.3">
      <c r="A29" s="41" t="s">
        <v>292</v>
      </c>
      <c r="B29" s="28" t="str">
        <f t="shared" si="27"/>
        <v>InsOutDateActual</v>
      </c>
      <c r="C29" s="28" t="str">
        <f t="shared" si="28"/>
        <v>Ins Out Date Actual</v>
      </c>
      <c r="D29" s="28" t="str">
        <f t="shared" si="29"/>
        <v>insOutDateActual</v>
      </c>
      <c r="E29" s="28" t="str">
        <f>A.Backend!H23</f>
        <v>DateTime</v>
      </c>
      <c r="F29" s="28" t="str">
        <f>A.Backend!G23</f>
        <v>7</v>
      </c>
      <c r="G29" s="28" t="str">
        <f t="shared" si="30"/>
        <v xml:space="preserve"> : any ;</v>
      </c>
      <c r="H29" s="35" t="str">
        <f t="shared" si="31"/>
        <v xml:space="preserve">			{headerName: this.l('Ins Out Date Actual'),headerTooltip: this.l('Ins Out Date Actual'),field: 'insOutDateActual',valueGetter: (params) =&gt; this.pipe.transform(params.data?.insOutDateActual, 'dd/MM/yyyy'),flex: 1},</v>
      </c>
      <c r="I29" s="35" t="str">
        <f t="shared" si="32"/>
        <v xml:space="preserve">								&lt;div class='input-search'&gt;
									&lt;input type='text' [placeholder]="l('Ins Out Date Actual')" [(ngModel)]='insOutDateActual' 
									name='insOutDateActual' (keydown)='searchDatas()' class='form-control' 
									bsDatepicker #d='bsDatepicker' placement='bottom left'&gt;
									&lt;i class='fa fa-calendar-alt' (click)='d.toggle()'&gt;&lt;/i&gt;
								&lt;/div&gt;</v>
      </c>
      <c r="J29" s="28"/>
      <c r="K29" s="35" t="str">
        <f t="shared" si="33"/>
        <v xml:space="preserve">					&lt;div class='col-md-12 form-group row'&gt;
						&lt;label class='col-md-2 form-control title'&gt;Ins Out Date Actual&lt;/label&gt;
						&lt;input type='text' class='col-md-10 form-control input-text' name='insOutDateActual' 
						#datepicker='bsDatepicker' [(ngModel)]='rowdata.insOutDateActual'  bsDatepicker &gt;
					&lt;/div&gt;</v>
      </c>
      <c r="L29" s="56" t="str">
        <f t="shared" si="34"/>
        <v xml:space="preserve">		const dateValue =  this.rowdata.insOutDateActual ? new Date(this.rowdata.insOutDateActual?.toString()) : new Date();
		this.datepicker?.bsValueChange.emit(dateValue);</v>
      </c>
      <c r="M29" s="28"/>
      <c r="N29" s="28"/>
      <c r="O29" s="28"/>
      <c r="P29" s="28"/>
      <c r="Q29" s="28"/>
      <c r="R29" s="28"/>
      <c r="S29" s="28" t="str">
        <f t="shared" ref="S29" si="36">REPT(CHAR(9),1)&amp;D29&amp;G29</f>
        <v xml:space="preserve">	insOutDateActual : any ;</v>
      </c>
      <c r="T29" s="28" t="str">
        <f t="shared" ref="T29" si="37">REPT(CHAR(9),3)&amp;"this."&amp;D29&amp;","</f>
        <v xml:space="preserve">			this.insOutDateActual,</v>
      </c>
      <c r="U29" s="28" t="str">
        <f t="shared" ref="U29" si="38">IF(E29="int",REPT(CHAR(9),2)&amp;"this."&amp;D29&amp;" = 0,",REPT(CHAR(9),2)&amp;"this."&amp;D29&amp;" = '',")</f>
        <v xml:space="preserve">		this.insOutDateActual = '',</v>
      </c>
      <c r="V29" s="28" t="str">
        <f t="shared" si="35"/>
        <v/>
      </c>
    </row>
    <row r="30" spans="1:22" ht="15" customHeight="1" x14ac:dyDescent="0.3">
      <c r="A30" s="41" t="s">
        <v>293</v>
      </c>
      <c r="B30" s="28" t="str">
        <f t="shared" si="27"/>
        <v>InsLineOutVp4DateActual</v>
      </c>
      <c r="C30" s="28" t="str">
        <f t="shared" si="28"/>
        <v>Ins Line Out Vp4 Date Actual</v>
      </c>
      <c r="D30" s="28" t="str">
        <f t="shared" si="29"/>
        <v>insLineOutVp4DateActual</v>
      </c>
      <c r="E30" s="28" t="str">
        <f>A.Backend!H24</f>
        <v>DateTime</v>
      </c>
      <c r="F30" s="28" t="str">
        <f>A.Backend!G24</f>
        <v>7</v>
      </c>
      <c r="G30" s="28" t="str">
        <f t="shared" si="30"/>
        <v xml:space="preserve"> : any ;</v>
      </c>
      <c r="H30" s="35" t="str">
        <f t="shared" si="31"/>
        <v xml:space="preserve">			{headerName: this.l('Ins Line Out Vp4 Date Actual'),headerTooltip: this.l('Ins Line Out Vp4 Date Actual'),field: 'insLineOutVp4DateActual',valueGetter: (params) =&gt; this.pipe.transform(params.data?.insLineOutVp4DateActual, 'dd/MM/yyyy'),flex: 1},</v>
      </c>
      <c r="I30" s="35" t="str">
        <f t="shared" si="32"/>
        <v xml:space="preserve">								&lt;div class='input-search'&gt;
									&lt;input type='text' [placeholder]="l('Ins Line Out Vp4 Date Actual')" [(ngModel)]='insLineOutVp4DateActual' 
									name='insLineOutVp4DateActual' (keydown)='searchDatas()' class='form-control' 
									bsDatepicker #d='bsDatepicker' placement='bottom left'&gt;
									&lt;i class='fa fa-calendar-alt' (click)='d.toggle()'&gt;&lt;/i&gt;
								&lt;/div&gt;</v>
      </c>
      <c r="J30" s="28"/>
      <c r="K30" s="35" t="str">
        <f t="shared" si="33"/>
        <v xml:space="preserve">					&lt;div class='col-md-12 form-group row'&gt;
						&lt;label class='col-md-2 form-control title'&gt;Ins Line Out Vp4 Date Actual&lt;/label&gt;
						&lt;input type='text' class='col-md-10 form-control input-text' name='insLineOutVp4DateActual' 
						#datepicker='bsDatepicker' [(ngModel)]='rowdata.insLineOutVp4DateActual'  bsDatepicker &gt;
					&lt;/div&gt;</v>
      </c>
      <c r="L30" s="56" t="str">
        <f t="shared" si="34"/>
        <v xml:space="preserve">		const dateValue =  this.rowdata.insLineOutVp4DateActual ? new Date(this.rowdata.insLineOutVp4DateActual?.toString()) : new Date();
		this.datepicker?.bsValueChange.emit(dateValue);</v>
      </c>
      <c r="M30" s="28"/>
      <c r="N30" s="28"/>
      <c r="O30" s="28"/>
      <c r="P30" s="28"/>
      <c r="Q30" s="28"/>
      <c r="R30" s="28"/>
      <c r="S30" s="28" t="str">
        <f>REPT(CHAR(9),1)&amp;D30&amp;G30</f>
        <v xml:space="preserve">	insLineOutVp4DateActual : any ;</v>
      </c>
      <c r="T30" s="28" t="str">
        <f>REPT(CHAR(9),3)&amp;"this."&amp;D30&amp;","</f>
        <v xml:space="preserve">			this.insLineOutVp4DateActual,</v>
      </c>
      <c r="U30" s="28" t="str">
        <f>IF(E30="int",REPT(CHAR(9),2)&amp;"this."&amp;D30&amp;" = 0,",REPT(CHAR(9),2)&amp;"this."&amp;D30&amp;" = '',")</f>
        <v xml:space="preserve">		this.insLineOutVp4DateActual = '',</v>
      </c>
      <c r="V30" s="28" t="str">
        <f t="shared" si="35"/>
        <v/>
      </c>
    </row>
    <row r="31" spans="1:22" ht="18" customHeight="1" x14ac:dyDescent="0.3">
      <c r="A31" s="41" t="s">
        <v>294</v>
      </c>
      <c r="B31" s="28" t="str">
        <f t="shared" si="27"/>
        <v>DriverAirBag</v>
      </c>
      <c r="C31" s="28" t="str">
        <f t="shared" si="28"/>
        <v>Driver Air Bag</v>
      </c>
      <c r="D31" s="28" t="str">
        <f t="shared" si="29"/>
        <v>driverAirBag</v>
      </c>
      <c r="E31" s="28" t="str">
        <f>A.Backend!H25</f>
        <v>string</v>
      </c>
      <c r="F31" s="28" t="str">
        <f>A.Backend!G25</f>
        <v>20</v>
      </c>
      <c r="G31" s="28" t="str">
        <f t="shared" si="30"/>
        <v xml:space="preserve"> : string = '' ; </v>
      </c>
      <c r="H31" s="35" t="str">
        <f t="shared" si="31"/>
        <v xml:space="preserve">			{headerName: this.l('Driver Air Bag'),headerTooltip: this.l('Driver Air Bag'),field: 'driverAirBag',flex: 1},</v>
      </c>
      <c r="I31" s="35" t="str">
        <f t="shared" si="32"/>
        <v xml:space="preserve">								&lt;div class='input-search'&gt;
									&lt;input [(ngModel)]='driverAirBag' name='driverAirBag'
									class='form-control' [placeholder]="l('Driver Air Bag')"
									type='text' (keyup.enter)='searchDatas()'&gt;
								&lt;/div&gt;</v>
      </c>
      <c r="J31" s="28"/>
      <c r="K31" s="35" t="str">
        <f t="shared" si="33"/>
        <v xml:space="preserve">					&lt;div class='col-md-12 form-group row'&gt;
						&lt;label class='col-md-2 form-control title'&gt;Driver Air Bag&lt;/label&gt;
						&lt;input type='text' class='col-md-10 form-control input-text' name='DriverAirBag' [(ngModel)]='rowdata.driverAirBag'&gt;
					&lt;/div&gt;</v>
      </c>
      <c r="L31" s="56" t="str">
        <f t="shared" si="34"/>
        <v/>
      </c>
      <c r="M31" s="28"/>
      <c r="N31" s="28"/>
      <c r="O31" s="28"/>
      <c r="P31" s="28"/>
      <c r="Q31" s="28"/>
      <c r="R31" s="28"/>
      <c r="S31" s="28" t="str">
        <f t="shared" ref="S31" si="39">REPT(CHAR(9),1)&amp;D31&amp;G31</f>
        <v xml:space="preserve">	driverAirBag : string = '' ; </v>
      </c>
      <c r="T31" s="28" t="str">
        <f t="shared" ref="T31" si="40">REPT(CHAR(9),3)&amp;"this."&amp;D31&amp;","</f>
        <v xml:space="preserve">			this.driverAirBag,</v>
      </c>
      <c r="U31" s="28" t="str">
        <f t="shared" ref="U31" si="41">IF(E31="int",REPT(CHAR(9),2)&amp;"this."&amp;D31&amp;" = 0,",REPT(CHAR(9),2)&amp;"this."&amp;D31&amp;" = '',")</f>
        <v xml:space="preserve">		this.driverAirBag = '',</v>
      </c>
      <c r="V31" s="28" t="str">
        <f t="shared" si="35"/>
        <v/>
      </c>
    </row>
    <row r="32" spans="1:22" ht="15" customHeight="1" x14ac:dyDescent="0.3">
      <c r="A32" s="41" t="s">
        <v>295</v>
      </c>
      <c r="B32" s="28" t="str">
        <f t="shared" si="27"/>
        <v>PassengerAirBag</v>
      </c>
      <c r="C32" s="28" t="str">
        <f t="shared" si="28"/>
        <v>Passenger Air Bag</v>
      </c>
      <c r="D32" s="28" t="str">
        <f t="shared" si="29"/>
        <v>passengerAirBag</v>
      </c>
      <c r="E32" s="28" t="str">
        <f>A.Backend!H26</f>
        <v>string</v>
      </c>
      <c r="F32" s="28" t="str">
        <f>A.Backend!G26</f>
        <v>20</v>
      </c>
      <c r="G32" s="28" t="str">
        <f t="shared" si="30"/>
        <v xml:space="preserve"> : string = '' ; </v>
      </c>
      <c r="H32" s="35" t="str">
        <f t="shared" si="31"/>
        <v xml:space="preserve">			{headerName: this.l('Passenger Air Bag'),headerTooltip: this.l('Passenger Air Bag'),field: 'passengerAirBag',flex: 1},</v>
      </c>
      <c r="I32" s="35" t="str">
        <f t="shared" si="32"/>
        <v xml:space="preserve">								&lt;div class='input-search'&gt;
									&lt;input [(ngModel)]='passengerAirBag' name='passengerAirBag'
									class='form-control' [placeholder]="l('Passenger Air Bag')"
									type='text' (keyup.enter)='searchDatas()'&gt;
								&lt;/div&gt;</v>
      </c>
      <c r="J32" s="28"/>
      <c r="K32" s="35" t="str">
        <f t="shared" si="33"/>
        <v xml:space="preserve">					&lt;div class='col-md-12 form-group row'&gt;
						&lt;label class='col-md-2 form-control title'&gt;Passenger Air Bag&lt;/label&gt;
						&lt;input type='text' class='col-md-10 form-control input-text' name='PassengerAirBag' [(ngModel)]='rowdata.passengerAirBag'&gt;
					&lt;/div&gt;</v>
      </c>
      <c r="L32" s="56" t="str">
        <f t="shared" si="34"/>
        <v/>
      </c>
      <c r="M32" s="28"/>
      <c r="N32" s="28"/>
      <c r="O32" s="28"/>
      <c r="P32" s="28"/>
      <c r="Q32" s="28"/>
      <c r="R32" s="28"/>
      <c r="S32" s="28" t="str">
        <f>REPT(CHAR(9),1)&amp;D32&amp;G32</f>
        <v xml:space="preserve">	passengerAirBag : string = '' ; </v>
      </c>
      <c r="T32" s="28" t="str">
        <f>REPT(CHAR(9),3)&amp;"this."&amp;D32&amp;","</f>
        <v xml:space="preserve">			this.passengerAirBag,</v>
      </c>
      <c r="U32" s="28" t="str">
        <f>IF(E32="int",REPT(CHAR(9),2)&amp;"this."&amp;D32&amp;" = 0,",REPT(CHAR(9),2)&amp;"this."&amp;D32&amp;" = '',")</f>
        <v xml:space="preserve">		this.passengerAirBag = '',</v>
      </c>
      <c r="V32" s="28" t="str">
        <f t="shared" si="35"/>
        <v/>
      </c>
    </row>
    <row r="33" spans="1:22" ht="18" customHeight="1" x14ac:dyDescent="0.3">
      <c r="A33" s="41" t="s">
        <v>296</v>
      </c>
      <c r="B33" s="28" t="str">
        <f t="shared" si="27"/>
        <v>SideAirBadLh</v>
      </c>
      <c r="C33" s="28" t="str">
        <f t="shared" si="28"/>
        <v>Side Air Bad Lh</v>
      </c>
      <c r="D33" s="28" t="str">
        <f t="shared" si="29"/>
        <v>sideAirBadLh</v>
      </c>
      <c r="E33" s="28" t="str">
        <f>A.Backend!H27</f>
        <v>string</v>
      </c>
      <c r="F33" s="28" t="str">
        <f>A.Backend!G27</f>
        <v>20</v>
      </c>
      <c r="G33" s="28" t="str">
        <f t="shared" si="30"/>
        <v xml:space="preserve"> : string = '' ; </v>
      </c>
      <c r="H33" s="35" t="str">
        <f t="shared" si="31"/>
        <v xml:space="preserve">			{headerName: this.l('Side Air Bad Lh'),headerTooltip: this.l('Side Air Bad Lh'),field: 'sideAirBadLh',flex: 1},</v>
      </c>
      <c r="I33" s="35" t="str">
        <f t="shared" si="32"/>
        <v xml:space="preserve">								&lt;div class='input-search'&gt;
									&lt;input [(ngModel)]='sideAirBadLh' name='sideAirBadLh'
									class='form-control' [placeholder]="l('Side Air Bad Lh')"
									type='text' (keyup.enter)='searchDatas()'&gt;
								&lt;/div&gt;</v>
      </c>
      <c r="J33" s="28"/>
      <c r="K33" s="35" t="str">
        <f t="shared" si="33"/>
        <v xml:space="preserve">					&lt;div class='col-md-12 form-group row'&gt;
						&lt;label class='col-md-2 form-control title'&gt;Side Air Bad Lh&lt;/label&gt;
						&lt;input type='text' class='col-md-10 form-control input-text' name='SideAirBadLh' [(ngModel)]='rowdata.sideAirBadLh'&gt;
					&lt;/div&gt;</v>
      </c>
      <c r="L33" s="56" t="str">
        <f t="shared" si="34"/>
        <v/>
      </c>
      <c r="M33" s="28"/>
      <c r="N33" s="28"/>
      <c r="O33" s="28"/>
      <c r="P33" s="28"/>
      <c r="Q33" s="28"/>
      <c r="R33" s="28"/>
      <c r="S33" s="28" t="str">
        <f t="shared" ref="S33" si="42">REPT(CHAR(9),1)&amp;D33&amp;G33</f>
        <v xml:space="preserve">	sideAirBadLh : string = '' ; </v>
      </c>
      <c r="T33" s="28" t="str">
        <f t="shared" ref="T33" si="43">REPT(CHAR(9),3)&amp;"this."&amp;D33&amp;","</f>
        <v xml:space="preserve">			this.sideAirBadLh,</v>
      </c>
      <c r="U33" s="28" t="str">
        <f t="shared" ref="U33" si="44">IF(E33="int",REPT(CHAR(9),2)&amp;"this."&amp;D33&amp;" = 0,",REPT(CHAR(9),2)&amp;"this."&amp;D33&amp;" = '',")</f>
        <v xml:space="preserve">		this.sideAirBadLh = '',</v>
      </c>
      <c r="V33" s="28" t="str">
        <f t="shared" si="35"/>
        <v/>
      </c>
    </row>
    <row r="34" spans="1:22" ht="15" customHeight="1" x14ac:dyDescent="0.3">
      <c r="A34" s="41" t="s">
        <v>297</v>
      </c>
      <c r="B34" s="28" t="str">
        <f t="shared" si="27"/>
        <v>SideAirBadRh</v>
      </c>
      <c r="C34" s="28" t="str">
        <f t="shared" si="28"/>
        <v>Side Air Bad Rh</v>
      </c>
      <c r="D34" s="28" t="str">
        <f t="shared" si="29"/>
        <v>sideAirBadRh</v>
      </c>
      <c r="E34" s="28" t="str">
        <f>A.Backend!H28</f>
        <v>string</v>
      </c>
      <c r="F34" s="28" t="str">
        <f>A.Backend!G28</f>
        <v>20</v>
      </c>
      <c r="G34" s="28" t="str">
        <f t="shared" si="30"/>
        <v xml:space="preserve"> : string = '' ; </v>
      </c>
      <c r="H34" s="35" t="str">
        <f t="shared" si="31"/>
        <v xml:space="preserve">			{headerName: this.l('Side Air Bad Rh'),headerTooltip: this.l('Side Air Bad Rh'),field: 'sideAirBadRh',flex: 1},</v>
      </c>
      <c r="I34" s="35" t="str">
        <f t="shared" si="32"/>
        <v xml:space="preserve">								&lt;div class='input-search'&gt;
									&lt;input [(ngModel)]='sideAirBadRh' name='sideAirBadRh'
									class='form-control' [placeholder]="l('Side Air Bad Rh')"
									type='text' (keyup.enter)='searchDatas()'&gt;
								&lt;/div&gt;</v>
      </c>
      <c r="J34" s="28"/>
      <c r="K34" s="35" t="str">
        <f t="shared" si="33"/>
        <v xml:space="preserve">					&lt;div class='col-md-12 form-group row'&gt;
						&lt;label class='col-md-2 form-control title'&gt;Side Air Bad Rh&lt;/label&gt;
						&lt;input type='text' class='col-md-10 form-control input-text' name='SideAirBadRh' [(ngModel)]='rowdata.sideAirBadRh'&gt;
					&lt;/div&gt;</v>
      </c>
      <c r="L34" s="56" t="str">
        <f t="shared" si="34"/>
        <v/>
      </c>
      <c r="M34" s="28"/>
      <c r="N34" s="28"/>
      <c r="O34" s="28"/>
      <c r="P34" s="28"/>
      <c r="Q34" s="28"/>
      <c r="R34" s="28"/>
      <c r="S34" s="28" t="str">
        <f>REPT(CHAR(9),1)&amp;D34&amp;G34</f>
        <v xml:space="preserve">	sideAirBadRh : string = '' ; </v>
      </c>
      <c r="T34" s="28" t="str">
        <f>REPT(CHAR(9),3)&amp;"this."&amp;D34&amp;","</f>
        <v xml:space="preserve">			this.sideAirBadRh,</v>
      </c>
      <c r="U34" s="28" t="str">
        <f>IF(E34="int",REPT(CHAR(9),2)&amp;"this."&amp;D34&amp;" = 0,",REPT(CHAR(9),2)&amp;"this."&amp;D34&amp;" = '',")</f>
        <v xml:space="preserve">		this.sideAirBadRh = '',</v>
      </c>
      <c r="V34" s="28" t="str">
        <f t="shared" si="35"/>
        <v/>
      </c>
    </row>
    <row r="35" spans="1:22" ht="18" customHeight="1" x14ac:dyDescent="0.3">
      <c r="A35" s="41" t="s">
        <v>298</v>
      </c>
      <c r="B35" s="28" t="str">
        <f t="shared" si="27"/>
        <v>KneeAirBadLh</v>
      </c>
      <c r="C35" s="28" t="str">
        <f t="shared" si="28"/>
        <v>Knee Air Bad Lh</v>
      </c>
      <c r="D35" s="28" t="str">
        <f t="shared" si="29"/>
        <v>kneeAirBadLh</v>
      </c>
      <c r="E35" s="28" t="str">
        <f>A.Backend!H29</f>
        <v>string</v>
      </c>
      <c r="F35" s="28" t="str">
        <f>A.Backend!G29</f>
        <v>20</v>
      </c>
      <c r="G35" s="28" t="str">
        <f t="shared" si="30"/>
        <v xml:space="preserve"> : string = '' ; </v>
      </c>
      <c r="H35" s="35" t="str">
        <f t="shared" si="31"/>
        <v xml:space="preserve">			{headerName: this.l('Knee Air Bad Lh'),headerTooltip: this.l('Knee Air Bad Lh'),field: 'kneeAirBadLh',flex: 1},</v>
      </c>
      <c r="I35" s="35" t="str">
        <f t="shared" si="32"/>
        <v xml:space="preserve">								&lt;div class='input-search'&gt;
									&lt;input [(ngModel)]='kneeAirBadLh' name='kneeAirBadLh'
									class='form-control' [placeholder]="l('Knee Air Bad Lh')"
									type='text' (keyup.enter)='searchDatas()'&gt;
								&lt;/div&gt;</v>
      </c>
      <c r="J35" s="28"/>
      <c r="K35" s="35" t="str">
        <f t="shared" si="33"/>
        <v xml:space="preserve">					&lt;div class='col-md-12 form-group row'&gt;
						&lt;label class='col-md-2 form-control title'&gt;Knee Air Bad Lh&lt;/label&gt;
						&lt;input type='text' class='col-md-10 form-control input-text' name='KneeAirBadLh' [(ngModel)]='rowdata.kneeAirBadLh'&gt;
					&lt;/div&gt;</v>
      </c>
      <c r="L35" s="56" t="str">
        <f t="shared" si="34"/>
        <v/>
      </c>
      <c r="M35" s="28"/>
      <c r="N35" s="28"/>
      <c r="O35" s="28"/>
      <c r="P35" s="28"/>
      <c r="Q35" s="28"/>
      <c r="R35" s="28"/>
      <c r="S35" s="28" t="str">
        <f t="shared" ref="S35" si="45">REPT(CHAR(9),1)&amp;D35&amp;G35</f>
        <v xml:space="preserve">	kneeAirBadLh : string = '' ; </v>
      </c>
      <c r="T35" s="28" t="str">
        <f t="shared" ref="T35" si="46">REPT(CHAR(9),3)&amp;"this."&amp;D35&amp;","</f>
        <v xml:space="preserve">			this.kneeAirBadLh,</v>
      </c>
      <c r="U35" s="28" t="str">
        <f t="shared" ref="U35" si="47">IF(E35="int",REPT(CHAR(9),2)&amp;"this."&amp;D35&amp;" = 0,",REPT(CHAR(9),2)&amp;"this."&amp;D35&amp;" = '',")</f>
        <v xml:space="preserve">		this.kneeAirBadLh = '',</v>
      </c>
      <c r="V35" s="28" t="str">
        <f t="shared" si="35"/>
        <v/>
      </c>
    </row>
    <row r="36" spans="1:22" ht="15" customHeight="1" x14ac:dyDescent="0.3">
      <c r="A36" s="41" t="s">
        <v>299</v>
      </c>
      <c r="B36" s="28" t="str">
        <f t="shared" si="27"/>
        <v>CurtainSideAirBadLh</v>
      </c>
      <c r="C36" s="28" t="str">
        <f t="shared" si="28"/>
        <v>Curtain Side Air Bad Lh</v>
      </c>
      <c r="D36" s="28" t="str">
        <f t="shared" si="29"/>
        <v>curtainSideAirBadLh</v>
      </c>
      <c r="E36" s="28" t="str">
        <f>A.Backend!H30</f>
        <v>string</v>
      </c>
      <c r="F36" s="28" t="str">
        <f>A.Backend!G30</f>
        <v>255</v>
      </c>
      <c r="G36" s="28" t="str">
        <f t="shared" si="30"/>
        <v xml:space="preserve"> : string = '' ; </v>
      </c>
      <c r="H36" s="35" t="str">
        <f t="shared" si="31"/>
        <v xml:space="preserve">			{headerName: this.l('Curtain Side Air Bad Lh'),headerTooltip: this.l('Curtain Side Air Bad Lh'),field: 'curtainSideAirBadLh',flex: 1},</v>
      </c>
      <c r="I36" s="35" t="str">
        <f t="shared" si="32"/>
        <v xml:space="preserve">								&lt;div class='input-search'&gt;
									&lt;input [(ngModel)]='curtainSideAirBadLh' name='curtainSideAirBadLh'
									class='form-control' [placeholder]="l('Curtain Side Air Bad Lh')"
									type='text' (keyup.enter)='searchDatas()'&gt;
								&lt;/div&gt;</v>
      </c>
      <c r="J36" s="28"/>
      <c r="K36" s="35" t="str">
        <f t="shared" si="33"/>
        <v xml:space="preserve">					&lt;div class='col-md-12 form-group row'&gt;
						&lt;label class='col-md-2 form-control title'&gt;Curtain Side Air Bad Lh&lt;/label&gt;
						&lt;input type='text' class='col-md-10 form-control input-text' name='CurtainSideAirBadLh' [(ngModel)]='rowdata.curtainSideAirBadLh'&gt;
					&lt;/div&gt;</v>
      </c>
      <c r="L36" s="56" t="str">
        <f t="shared" si="34"/>
        <v/>
      </c>
      <c r="M36" s="28"/>
      <c r="N36" s="28"/>
      <c r="O36" s="28"/>
      <c r="P36" s="28"/>
      <c r="Q36" s="28"/>
      <c r="R36" s="28"/>
      <c r="S36" s="28" t="str">
        <f>REPT(CHAR(9),1)&amp;D36&amp;G36</f>
        <v xml:space="preserve">	curtainSideAirBadLh : string = '' ; </v>
      </c>
      <c r="T36" s="28" t="str">
        <f>REPT(CHAR(9),3)&amp;"this."&amp;D36&amp;","</f>
        <v xml:space="preserve">			this.curtainSideAirBadLh,</v>
      </c>
      <c r="U36" s="28" t="str">
        <f>IF(E36="int",REPT(CHAR(9),2)&amp;"this."&amp;D36&amp;" = 0,",REPT(CHAR(9),2)&amp;"this."&amp;D36&amp;" = '',")</f>
        <v xml:space="preserve">		this.curtainSideAirBadLh = '',</v>
      </c>
      <c r="V36" s="28" t="str">
        <f t="shared" si="35"/>
        <v/>
      </c>
    </row>
    <row r="37" spans="1:22" ht="18" customHeight="1" x14ac:dyDescent="0.3">
      <c r="A37" s="41" t="s">
        <v>300</v>
      </c>
      <c r="B37" s="28" t="str">
        <f t="shared" si="27"/>
        <v>CurtainSideAirBadRh</v>
      </c>
      <c r="C37" s="28" t="str">
        <f t="shared" si="28"/>
        <v>Curtain Side Air Bad Rh</v>
      </c>
      <c r="D37" s="28" t="str">
        <f t="shared" si="29"/>
        <v>curtainSideAirBadRh</v>
      </c>
      <c r="E37" s="28" t="str">
        <f>A.Backend!H31</f>
        <v>string</v>
      </c>
      <c r="F37" s="28" t="str">
        <f>A.Backend!G31</f>
        <v>255</v>
      </c>
      <c r="G37" s="28" t="str">
        <f t="shared" si="30"/>
        <v xml:space="preserve"> : string = '' ; </v>
      </c>
      <c r="H37" s="35" t="str">
        <f t="shared" si="31"/>
        <v xml:space="preserve">			{headerName: this.l('Curtain Side Air Bad Rh'),headerTooltip: this.l('Curtain Side Air Bad Rh'),field: 'curtainSideAirBadRh',flex: 1},</v>
      </c>
      <c r="I37" s="35" t="str">
        <f t="shared" si="32"/>
        <v xml:space="preserve">								&lt;div class='input-search'&gt;
									&lt;input [(ngModel)]='curtainSideAirBadRh' name='curtainSideAirBadRh'
									class='form-control' [placeholder]="l('Curtain Side Air Bad Rh')"
									type='text' (keyup.enter)='searchDatas()'&gt;
								&lt;/div&gt;</v>
      </c>
      <c r="J37" s="28"/>
      <c r="K37" s="35" t="str">
        <f t="shared" si="33"/>
        <v xml:space="preserve">					&lt;div class='col-md-12 form-group row'&gt;
						&lt;label class='col-md-2 form-control title'&gt;Curtain Side Air Bad Rh&lt;/label&gt;
						&lt;input type='text' class='col-md-10 form-control input-text' name='CurtainSideAirBadRh' [(ngModel)]='rowdata.curtainSideAirBadRh'&gt;
					&lt;/div&gt;</v>
      </c>
      <c r="L37" s="56" t="str">
        <f t="shared" si="34"/>
        <v/>
      </c>
      <c r="M37" s="28"/>
      <c r="N37" s="28"/>
      <c r="O37" s="28"/>
      <c r="P37" s="28"/>
      <c r="Q37" s="28"/>
      <c r="R37" s="28"/>
      <c r="S37" s="28" t="str">
        <f t="shared" ref="S37" si="48">REPT(CHAR(9),1)&amp;D37&amp;G37</f>
        <v xml:space="preserve">	curtainSideAirBadRh : string = '' ; </v>
      </c>
      <c r="T37" s="28" t="str">
        <f t="shared" ref="T37" si="49">REPT(CHAR(9),3)&amp;"this."&amp;D37&amp;","</f>
        <v xml:space="preserve">			this.curtainSideAirBadRh,</v>
      </c>
      <c r="U37" s="28" t="str">
        <f t="shared" ref="U37" si="50">IF(E37="int",REPT(CHAR(9),2)&amp;"this."&amp;D37&amp;" = 0,",REPT(CHAR(9),2)&amp;"this."&amp;D37&amp;" = '',")</f>
        <v xml:space="preserve">		this.curtainSideAirBadRh = '',</v>
      </c>
      <c r="V37" s="28" t="str">
        <f t="shared" si="35"/>
        <v/>
      </c>
    </row>
    <row r="38" spans="1:22" ht="15" customHeight="1" x14ac:dyDescent="0.3">
      <c r="A38" s="41" t="s">
        <v>301</v>
      </c>
      <c r="B38" s="28" t="str">
        <f t="shared" si="27"/>
        <v>TotalDelay</v>
      </c>
      <c r="C38" s="28" t="str">
        <f t="shared" si="28"/>
        <v>Total Delay</v>
      </c>
      <c r="D38" s="28" t="str">
        <f t="shared" si="29"/>
        <v>totalDelay</v>
      </c>
      <c r="E38" s="28" t="str">
        <f>A.Backend!H32</f>
        <v>string</v>
      </c>
      <c r="F38" s="28" t="str">
        <f>A.Backend!G32</f>
        <v>10</v>
      </c>
      <c r="G38" s="28" t="str">
        <f t="shared" si="30"/>
        <v xml:space="preserve"> : string = '' ; </v>
      </c>
      <c r="H38" s="35" t="str">
        <f t="shared" si="31"/>
        <v xml:space="preserve">			{headerName: this.l('Total Delay'),headerTooltip: this.l('Total Delay'),field: 'totalDelay',flex: 1},</v>
      </c>
      <c r="I38" s="35" t="str">
        <f t="shared" si="32"/>
        <v xml:space="preserve">								&lt;div class='input-search'&gt;
									&lt;input [(ngModel)]='totalDelay' name='totalDelay'
									class='form-control' [placeholder]="l('Total Delay')"
									type='text' (keyup.enter)='searchDatas()'&gt;
								&lt;/div&gt;</v>
      </c>
      <c r="J38" s="28"/>
      <c r="K38" s="35" t="str">
        <f t="shared" si="33"/>
        <v xml:space="preserve">					&lt;div class='col-md-12 form-group row'&gt;
						&lt;label class='col-md-2 form-control title'&gt;Total Delay&lt;/label&gt;
						&lt;input type='text' class='col-md-10 form-control input-text' name='TotalDelay' [(ngModel)]='rowdata.totalDelay'&gt;
					&lt;/div&gt;</v>
      </c>
      <c r="L38" s="56" t="str">
        <f t="shared" si="34"/>
        <v/>
      </c>
      <c r="M38" s="28"/>
      <c r="N38" s="28"/>
      <c r="O38" s="28"/>
      <c r="P38" s="28"/>
      <c r="Q38" s="28"/>
      <c r="R38" s="28"/>
      <c r="S38" s="28" t="str">
        <f>REPT(CHAR(9),1)&amp;D38&amp;G38</f>
        <v xml:space="preserve">	totalDelay : string = '' ; </v>
      </c>
      <c r="T38" s="28" t="str">
        <f>REPT(CHAR(9),3)&amp;"this."&amp;D38&amp;","</f>
        <v xml:space="preserve">			this.totalDelay,</v>
      </c>
      <c r="U38" s="28" t="str">
        <f>IF(E38="int",REPT(CHAR(9),2)&amp;"this."&amp;D38&amp;" = 0,",REPT(CHAR(9),2)&amp;"this."&amp;D38&amp;" = '',")</f>
        <v xml:space="preserve">		this.totalDelay = '',</v>
      </c>
      <c r="V38" s="28" t="str">
        <f t="shared" si="35"/>
        <v/>
      </c>
    </row>
    <row r="39" spans="1:22" ht="18" customHeight="1" x14ac:dyDescent="0.3">
      <c r="A39" s="41" t="s">
        <v>302</v>
      </c>
      <c r="B39" s="28" t="str">
        <f t="shared" si="27"/>
        <v>ShippingTime</v>
      </c>
      <c r="C39" s="28" t="str">
        <f t="shared" si="28"/>
        <v>Shipping Time</v>
      </c>
      <c r="D39" s="28" t="str">
        <f t="shared" si="29"/>
        <v>shippingTime</v>
      </c>
      <c r="E39" s="28" t="str">
        <f>A.Backend!H33</f>
        <v>DateTime</v>
      </c>
      <c r="F39" s="28" t="str">
        <f>A.Backend!G33</f>
        <v>7</v>
      </c>
      <c r="G39" s="28" t="str">
        <f t="shared" si="30"/>
        <v xml:space="preserve"> : any ;</v>
      </c>
      <c r="H39" s="35" t="str">
        <f t="shared" si="31"/>
        <v xml:space="preserve">			{headerName: this.l('Shipping Time'),headerTooltip: this.l('Shipping Time'),field: 'shippingTime',valueGetter: (params) =&gt; this.pipe.transform(params.data?.shippingTime, 'dd/MM/yyyy'),flex: 1},</v>
      </c>
      <c r="I39" s="35" t="str">
        <f t="shared" si="32"/>
        <v xml:space="preserve">								&lt;div class='input-search'&gt;
									&lt;input type='text' [placeholder]="l('Shipping Time')" [(ngModel)]='shippingTime' 
									name='shippingTime' (keydown)='searchDatas()' class='form-control' 
									bsDatepicker #d='bsDatepicker' placement='bottom left'&gt;
									&lt;i class='fa fa-calendar-alt' (click)='d.toggle()'&gt;&lt;/i&gt;
								&lt;/div&gt;</v>
      </c>
      <c r="J39" s="28"/>
      <c r="K39" s="35" t="str">
        <f t="shared" si="33"/>
        <v xml:space="preserve">					&lt;div class='col-md-12 form-group row'&gt;
						&lt;label class='col-md-2 form-control title'&gt;Shipping Time&lt;/label&gt;
						&lt;input type='text' class='col-md-10 form-control input-text' name='shippingTime' 
						#datepicker='bsDatepicker' [(ngModel)]='rowdata.shippingTime'  bsDatepicker &gt;
					&lt;/div&gt;</v>
      </c>
      <c r="L39" s="56" t="str">
        <f t="shared" si="34"/>
        <v xml:space="preserve">		const dateValue =  this.rowdata.shippingTime ? new Date(this.rowdata.shippingTime?.toString()) : new Date();
		this.datepicker?.bsValueChange.emit(dateValue);</v>
      </c>
      <c r="M39" s="28"/>
      <c r="N39" s="28"/>
      <c r="O39" s="28"/>
      <c r="P39" s="28"/>
      <c r="Q39" s="28"/>
      <c r="R39" s="28"/>
      <c r="S39" s="28" t="str">
        <f t="shared" ref="S39" si="51">REPT(CHAR(9),1)&amp;D39&amp;G39</f>
        <v xml:space="preserve">	shippingTime : any ;</v>
      </c>
      <c r="T39" s="28" t="str">
        <f t="shared" ref="T39" si="52">REPT(CHAR(9),3)&amp;"this."&amp;D39&amp;","</f>
        <v xml:space="preserve">			this.shippingTime,</v>
      </c>
      <c r="U39" s="28" t="str">
        <f t="shared" ref="U39" si="53">IF(E39="int",REPT(CHAR(9),2)&amp;"this."&amp;D39&amp;" = 0,",REPT(CHAR(9),2)&amp;"this."&amp;D39&amp;" = '',")</f>
        <v xml:space="preserve">		this.shippingTime = '',</v>
      </c>
      <c r="V39" s="28" t="str">
        <f t="shared" si="35"/>
        <v/>
      </c>
    </row>
    <row r="40" spans="1:22" ht="15" customHeight="1" x14ac:dyDescent="0.3">
      <c r="A40" s="41" t="s">
        <v>303</v>
      </c>
      <c r="B40" s="28" t="str">
        <f t="shared" ref="B40:B44" si="54">SUBSTITUTE(PROPER(A40),"_","")</f>
        <v>VehicleId</v>
      </c>
      <c r="C40" s="28" t="str">
        <f t="shared" ref="C40:C44" si="55">SUBSTITUTE(PROPER(A40),"_"," ")</f>
        <v>Vehicle Id</v>
      </c>
      <c r="D40" s="28" t="str">
        <f t="shared" ref="D40:D44" si="56">LOWER(LEFT(B40,1))&amp;RIGHT(B40,LEN(B40) - 1)</f>
        <v>vehicleId</v>
      </c>
      <c r="E40" s="28" t="str">
        <f>A.Backend!H34</f>
        <v>string</v>
      </c>
      <c r="F40" s="28" t="str">
        <f>A.Backend!G34</f>
        <v>10</v>
      </c>
      <c r="G40" s="28" t="str">
        <f t="shared" ref="G40:G44" si="57">IF(E40="string"," : string = '' ; ",IF(OR(E40="DateTime",E40="TimeSpan")," : any ;",IF(E40="int"," : number = 0 ;","")))</f>
        <v xml:space="preserve"> : string = '' ; </v>
      </c>
      <c r="H40" s="35" t="str">
        <f t="shared" ref="H40:H44" si="58">IF(E40="DateTime",
REPT(CHAR(9),3)&amp;"{headerName: this.l('"&amp;C40&amp;"'),headerTooltip: this.l('"&amp;C40&amp;"'),field: '"&amp;D40&amp;"',valueGetter: (params) =&gt; this.pipe.transform(params.data?."&amp;D40&amp;", 'dd/MM/yyyy'),flex: 1},",
IF(AND(E40="string",F40="1"),
REPT(CHAR(9),3)&amp;"{headerName: this.l('"&amp;C40&amp;"'),headerTooltip: this.l('"&amp;C40&amp;"'),field:  '"&amp;D40&amp;"', cellClass: ['text-center'], width: 120, cellRenderer: 'agCellButtonComponent',
buttonDefTwo: { text: params =&gt; (params.data?.'"&amp;D40&amp;"' == 'Y') ? 'Active' : 'Inactive',iconName: 'fa fa-circle',className: params =&gt; (params.data?.'"&amp;D40&amp;"' == 'Y') ? 'btnActive' : 'btnInActive',},}",
REPT(CHAR(9),3)&amp;"{headerName: this.l('"&amp;C40&amp;"'),headerTooltip: this.l('"&amp;C40&amp;"'),field: '"&amp;D40&amp;"',flex: 1},"))</f>
        <v xml:space="preserve">			{headerName: this.l('Vehicle Id'),headerTooltip: this.l('Vehicle Id'),field: 'vehicleId',flex: 1},</v>
      </c>
      <c r="I40" s="35" t="str">
        <f t="shared" ref="I40:I44" si="59">IF(E40="DateTime",
REPT(CHAR(9),8)&amp;"&lt;div class='input-search'&gt;
"&amp;REPT(CHAR(9),9)&amp;"&lt;input type='text' [placeholder]=""l('"&amp;C40&amp;"')"" [(ngModel)]='"&amp;D40&amp;"' 
"&amp;REPT(CHAR(9),9)&amp;"name='"&amp;D40&amp;"'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IF(E40="string",
REPT(CHAR(9),8)&amp;"&lt;div class='input-search'&gt;
"&amp;REPT(CHAR(9),9)&amp;"&lt;input [(ngModel)]='"&amp;D40&amp;"' name='"&amp;D40&amp;"'
"&amp;REPT(CHAR(9),9)&amp;"class='form-control' [placeholder]=""l('"&amp;C40&amp;"')""
"&amp;REPT(CHAR(9),9)&amp;"type='text' (keyup.enter)='searchDatas()'&gt;
"&amp;REPT(CHAR(9),8)&amp;"&lt;/div&gt;",""))</f>
        <v xml:space="preserve">								&lt;div class='input-search'&gt;
									&lt;input [(ngModel)]='vehicleId' name='vehicleId'
									class='form-control' [placeholder]="l('Vehicle Id')"
									type='text' (keyup.enter)='searchDatas()'&gt;
								&lt;/div&gt;</v>
      </c>
      <c r="J40" s="28"/>
      <c r="K40" s="35" t="str">
        <f t="shared" ref="K40:K44" si="60">IF(OR(E40="DateTime",E40="TimeSpan"),
REPT(CHAR(9),5)&amp;"&lt;div class='col-md-12 form-group row'&gt;
"&amp;REPT(CHAR(9),6)&amp;"&lt;label class='col-md-2 form-control title'&gt;"&amp;C40&amp;"&lt;/label&gt;
"&amp;REPT(CHAR(9),6)&amp;"&lt;input type='text' class='col-md-10 form-control input-text' name='"&amp;D40&amp;"' 
"&amp;REPT(CHAR(9),6)&amp;"#datepicker='bsDatepicker' [(ngModel)]='rowdata."&amp;D40&amp;"'  bsDatepicker &gt;
"&amp;REPT(CHAR(9),5)&amp;"&lt;/div&gt;",
IF(AND(E40="string",F40="1"),
REPT(CHAR(9),5)&amp;"&lt;div class='col-md-12 form-group row'&gt;
"&amp;REPT(CHAR(9),6)&amp;"&lt;label class='col-md-2 form-control title'&gt;"&amp;C40&amp;"&lt;/label&gt;
"&amp;REPT(CHAR(9),6)&amp;"&lt;new-checkbox [(ngModel)]='_"&amp;D40&amp;"' name='"&amp;D40&amp;"' className='col-md-10' &gt; &lt;/new-checkbox&gt;
"&amp;REPT(CHAR(9),5)&amp;"&lt;/div&gt;",
IF(E40="string",
REPT(CHAR(9),5)&amp;"&lt;div class='col-md-12 form-group row'&gt;
"&amp;REPT(CHAR(9),6)&amp;"&lt;label class='col-md-2 form-control title'&gt;"&amp;C40&amp;"&lt;/label&gt;
"&amp;REPT(CHAR(9),6)&amp;"&lt;input type='text' class='col-md-10 form-control input-text' name='"&amp;B40&amp;"' [(ngModel)]='rowdata."&amp;D40&amp;"'&gt;
"&amp;REPT(CHAR(9),5)&amp;"&lt;/div&gt;",
IF(E40="int",
REPT(CHAR(9),5)&amp;"&lt;div class='col-md-12 form-group row'&gt;
"&amp;REPT(CHAR(9),6)&amp;"&lt;label class='col-md-2 form-control title'&gt;"&amp;C40&amp;"&lt;/label&gt;
"&amp;REPT(CHAR(9),6)&amp;"&lt;input type='number' class='col-md-10 form-control input-text' name='"&amp;B40&amp;"' [(ngModel)]='rowdata."&amp;D40&amp;"'&gt;
"&amp;REPT(CHAR(9),5)&amp;"&lt;/div&gt;",""))))</f>
        <v xml:space="preserve">					&lt;div class='col-md-12 form-group row'&gt;
						&lt;label class='col-md-2 form-control title'&gt;Vehicle Id&lt;/label&gt;
						&lt;input type='text' class='col-md-10 form-control input-text' name='VehicleId' [(ngModel)]='rowdata.vehicleId'&gt;
					&lt;/div&gt;</v>
      </c>
      <c r="L40" s="56" t="str">
        <f t="shared" ref="L40:L44" si="61">IF(E40="DateTime",
REPT(CHAR(9),2)&amp;"const dateValue =  this.rowdata."&amp;D40&amp;" ? new Date(this.rowdata."&amp;D40&amp;"?.toString()) : new Date();
"&amp;REPT(CHAR(9),2)&amp;"this.datepicker?.bsValueChange.emit(dateValue);","")</f>
        <v/>
      </c>
      <c r="M40" s="28"/>
      <c r="N40" s="28"/>
      <c r="O40" s="28"/>
      <c r="P40" s="28"/>
      <c r="Q40" s="28"/>
      <c r="R40" s="28"/>
      <c r="S40" s="28" t="str">
        <f>REPT(CHAR(9),1)&amp;D40&amp;G40</f>
        <v xml:space="preserve">	vehicleId : string = '' ; </v>
      </c>
      <c r="T40" s="28" t="str">
        <f>REPT(CHAR(9),3)&amp;"this."&amp;D40&amp;","</f>
        <v xml:space="preserve">			this.vehicleId,</v>
      </c>
      <c r="U40" s="28" t="str">
        <f>IF(E40="int",REPT(CHAR(9),2)&amp;"this."&amp;D40&amp;" = 0,",REPT(CHAR(9),2)&amp;"this."&amp;D40&amp;" = '',")</f>
        <v xml:space="preserve">		this.vehicleId = '',</v>
      </c>
      <c r="V40" s="28" t="str">
        <f t="shared" ref="V40:V44" si="62">IF(AND(E40="string",F40="1"),D40,"")</f>
        <v/>
      </c>
    </row>
    <row r="41" spans="1:22" ht="18" customHeight="1" x14ac:dyDescent="0.3">
      <c r="A41" s="41" t="s">
        <v>305</v>
      </c>
      <c r="B41" s="28" t="str">
        <f t="shared" si="54"/>
        <v>TestNo</v>
      </c>
      <c r="C41" s="28" t="str">
        <f t="shared" si="55"/>
        <v>Test No</v>
      </c>
      <c r="D41" s="28" t="str">
        <f t="shared" si="56"/>
        <v>testNo</v>
      </c>
      <c r="E41" s="28" t="str">
        <f>A.Backend!H35</f>
        <v>string</v>
      </c>
      <c r="F41" s="28" t="str">
        <f>A.Backend!G35</f>
        <v>10</v>
      </c>
      <c r="G41" s="28" t="str">
        <f t="shared" si="57"/>
        <v xml:space="preserve"> : string = '' ; </v>
      </c>
      <c r="H41" s="35" t="str">
        <f t="shared" si="58"/>
        <v xml:space="preserve">			{headerName: this.l('Test No'),headerTooltip: this.l('Test No'),field: 'testNo',flex: 1},</v>
      </c>
      <c r="I41" s="35" t="str">
        <f t="shared" si="59"/>
        <v xml:space="preserve">								&lt;div class='input-search'&gt;
									&lt;input [(ngModel)]='testNo' name='testNo'
									class='form-control' [placeholder]="l('Test No')"
									type='text' (keyup.enter)='searchDatas()'&gt;
								&lt;/div&gt;</v>
      </c>
      <c r="J41" s="28"/>
      <c r="K41" s="35" t="str">
        <f t="shared" si="60"/>
        <v xml:space="preserve">					&lt;div class='col-md-12 form-group row'&gt;
						&lt;label class='col-md-2 form-control title'&gt;Test No&lt;/label&gt;
						&lt;input type='text' class='col-md-10 form-control input-text' name='TestNo' [(ngModel)]='rowdata.testNo'&gt;
					&lt;/div&gt;</v>
      </c>
      <c r="L41" s="56" t="str">
        <f t="shared" si="61"/>
        <v/>
      </c>
      <c r="M41" s="28"/>
      <c r="N41" s="28"/>
      <c r="O41" s="28"/>
      <c r="P41" s="28"/>
      <c r="Q41" s="28"/>
      <c r="R41" s="28"/>
      <c r="S41" s="28" t="str">
        <f t="shared" ref="S41" si="63">REPT(CHAR(9),1)&amp;D41&amp;G41</f>
        <v xml:space="preserve">	testNo : string = '' ; </v>
      </c>
      <c r="T41" s="28" t="str">
        <f t="shared" ref="T41" si="64">REPT(CHAR(9),3)&amp;"this."&amp;D41&amp;","</f>
        <v xml:space="preserve">			this.testNo,</v>
      </c>
      <c r="U41" s="28" t="str">
        <f t="shared" ref="U41" si="65">IF(E41="int",REPT(CHAR(9),2)&amp;"this."&amp;D41&amp;" = 0,",REPT(CHAR(9),2)&amp;"this."&amp;D41&amp;" = '',")</f>
        <v xml:space="preserve">		this.testNo = '',</v>
      </c>
      <c r="V41" s="28" t="str">
        <f t="shared" si="62"/>
        <v/>
      </c>
    </row>
    <row r="42" spans="1:22" ht="15" customHeight="1" x14ac:dyDescent="0.3">
      <c r="A42" s="41" t="s">
        <v>306</v>
      </c>
      <c r="B42" s="28" t="str">
        <f t="shared" si="54"/>
        <v>IsPrintedQrcode</v>
      </c>
      <c r="C42" s="28" t="str">
        <f t="shared" si="55"/>
        <v>Is Printed Qrcode</v>
      </c>
      <c r="D42" s="28" t="str">
        <f t="shared" si="56"/>
        <v>isPrintedQrcode</v>
      </c>
      <c r="E42" s="28" t="str">
        <f>A.Backend!H36</f>
        <v>string</v>
      </c>
      <c r="F42" s="28" t="str">
        <f>A.Backend!G36</f>
        <v>1</v>
      </c>
      <c r="G42" s="28" t="str">
        <f t="shared" si="57"/>
        <v xml:space="preserve"> : string = '' ; </v>
      </c>
      <c r="H42" s="35" t="str">
        <f t="shared" si="58"/>
        <v xml:space="preserve">			{headerName: this.l('Is Printed Qrcode'),headerTooltip: this.l('Is Printed Qrcode'),field:  'isPrintedQrcode', cellClass: ['text-center'], width: 120, cellRenderer: 'agCellButtonComponent',
buttonDefTwo: { text: params =&gt; (params.data?.'isPrintedQrcode' == 'Y') ? 'Active' : 'Inactive',iconName: 'fa fa-circle',className: params =&gt; (params.data?.'isPrintedQrcode' == 'Y') ? 'btnActive' : 'btnInActive',},}</v>
      </c>
      <c r="I42" s="35" t="str">
        <f t="shared" si="59"/>
        <v xml:space="preserve">								&lt;div class='input-search'&gt;
									&lt;input [(ngModel)]='isPrintedQrcode' name='isPrintedQrcode'
									class='form-control' [placeholder]="l('Is Printed Qrcode')"
									type='text' (keyup.enter)='searchDatas()'&gt;
								&lt;/div&gt;</v>
      </c>
      <c r="J42" s="28"/>
      <c r="K42" s="35" t="str">
        <f t="shared" si="60"/>
        <v xml:space="preserve">					&lt;div class='col-md-12 form-group row'&gt;
						&lt;label class='col-md-2 form-control title'&gt;Is Printed Qrcode&lt;/label&gt;
						&lt;new-checkbox [(ngModel)]='_isPrintedQrcode' name='isPrintedQrcode' className='col-md-10' &gt; &lt;/new-checkbox&gt;
					&lt;/div&gt;</v>
      </c>
      <c r="L42" s="56" t="str">
        <f t="shared" si="61"/>
        <v/>
      </c>
      <c r="M42" s="28"/>
      <c r="N42" s="28"/>
      <c r="O42" s="28"/>
      <c r="P42" s="28"/>
      <c r="Q42" s="28"/>
      <c r="R42" s="28"/>
      <c r="S42" s="28" t="str">
        <f>REPT(CHAR(9),1)&amp;D42&amp;G42</f>
        <v xml:space="preserve">	isPrintedQrcode : string = '' ; </v>
      </c>
      <c r="T42" s="28" t="str">
        <f>REPT(CHAR(9),3)&amp;"this."&amp;D42&amp;","</f>
        <v xml:space="preserve">			this.isPrintedQrcode,</v>
      </c>
      <c r="U42" s="28" t="str">
        <f>IF(E42="int",REPT(CHAR(9),2)&amp;"this."&amp;D42&amp;" = 0,",REPT(CHAR(9),2)&amp;"this."&amp;D42&amp;" = '',")</f>
        <v xml:space="preserve">		this.isPrintedQrcode = '',</v>
      </c>
      <c r="V42" s="28" t="str">
        <f t="shared" si="62"/>
        <v>isPrintedQrcode</v>
      </c>
    </row>
    <row r="43" spans="1:22" ht="18" customHeight="1" x14ac:dyDescent="0.3">
      <c r="A43" s="41" t="s">
        <v>308</v>
      </c>
      <c r="B43" s="28" t="str">
        <f t="shared" si="54"/>
        <v>PrintedQrcodeDate</v>
      </c>
      <c r="C43" s="28" t="str">
        <f t="shared" si="55"/>
        <v>Printed Qrcode Date</v>
      </c>
      <c r="D43" s="28" t="str">
        <f t="shared" si="56"/>
        <v>printedQrcodeDate</v>
      </c>
      <c r="E43" s="28" t="str">
        <f>A.Backend!H37</f>
        <v>DateTime</v>
      </c>
      <c r="F43" s="28" t="str">
        <f>A.Backend!G37</f>
        <v>7</v>
      </c>
      <c r="G43" s="28" t="str">
        <f t="shared" si="57"/>
        <v xml:space="preserve"> : any ;</v>
      </c>
      <c r="H43" s="35" t="str">
        <f t="shared" si="58"/>
        <v xml:space="preserve">			{headerName: this.l('Printed Qrcode Date'),headerTooltip: this.l('Printed Qrcode Date'),field: 'printedQrcodeDate',valueGetter: (params) =&gt; this.pipe.transform(params.data?.printedQrcodeDate, 'dd/MM/yyyy'),flex: 1},</v>
      </c>
      <c r="I43" s="35" t="str">
        <f t="shared" si="59"/>
        <v xml:space="preserve">								&lt;div class='input-search'&gt;
									&lt;input type='text' [placeholder]="l('Printed Qrcode Date')" [(ngModel)]='printedQrcodeDate' 
									name='printedQrcodeDate' (keydown)='searchDatas()' class='form-control' 
									bsDatepicker #d='bsDatepicker' placement='bottom left'&gt;
									&lt;i class='fa fa-calendar-alt' (click)='d.toggle()'&gt;&lt;/i&gt;
								&lt;/div&gt;</v>
      </c>
      <c r="J43" s="28"/>
      <c r="K43" s="35" t="str">
        <f t="shared" si="60"/>
        <v xml:space="preserve">					&lt;div class='col-md-12 form-group row'&gt;
						&lt;label class='col-md-2 form-control title'&gt;Printed Qrcode Date&lt;/label&gt;
						&lt;input type='text' class='col-md-10 form-control input-text' name='printedQrcodeDate' 
						#datepicker='bsDatepicker' [(ngModel)]='rowdata.printedQrcodeDate'  bsDatepicker &gt;
					&lt;/div&gt;</v>
      </c>
      <c r="L43" s="56" t="str">
        <f t="shared" si="61"/>
        <v xml:space="preserve">		const dateValue =  this.rowdata.printedQrcodeDate ? new Date(this.rowdata.printedQrcodeDate?.toString()) : new Date();
		this.datepicker?.bsValueChange.emit(dateValue);</v>
      </c>
      <c r="M43" s="28"/>
      <c r="N43" s="28"/>
      <c r="O43" s="28"/>
      <c r="P43" s="28"/>
      <c r="Q43" s="28"/>
      <c r="R43" s="28"/>
      <c r="S43" s="28" t="str">
        <f t="shared" ref="S43" si="66">REPT(CHAR(9),1)&amp;D43&amp;G43</f>
        <v xml:space="preserve">	printedQrcodeDate : any ;</v>
      </c>
      <c r="T43" s="28" t="str">
        <f t="shared" ref="T43" si="67">REPT(CHAR(9),3)&amp;"this."&amp;D43&amp;","</f>
        <v xml:space="preserve">			this.printedQrcodeDate,</v>
      </c>
      <c r="U43" s="28" t="str">
        <f t="shared" ref="U43" si="68">IF(E43="int",REPT(CHAR(9),2)&amp;"this."&amp;D43&amp;" = 0,",REPT(CHAR(9),2)&amp;"this."&amp;D43&amp;" = '',")</f>
        <v xml:space="preserve">		this.printedQrcodeDate = '',</v>
      </c>
      <c r="V43" s="28" t="str">
        <f t="shared" si="62"/>
        <v/>
      </c>
    </row>
    <row r="44" spans="1:22" ht="15" customHeight="1" x14ac:dyDescent="0.3">
      <c r="A44" s="41" t="s">
        <v>309</v>
      </c>
      <c r="B44" s="28" t="str">
        <f t="shared" si="54"/>
        <v>UpdatedDate</v>
      </c>
      <c r="C44" s="28" t="str">
        <f t="shared" si="55"/>
        <v>Updated Date</v>
      </c>
      <c r="D44" s="28" t="str">
        <f t="shared" si="56"/>
        <v>updatedDate</v>
      </c>
      <c r="E44" s="28" t="str">
        <f>A.Backend!H38</f>
        <v>DateTime</v>
      </c>
      <c r="F44" s="28" t="str">
        <f>A.Backend!G38</f>
        <v>7</v>
      </c>
      <c r="G44" s="28" t="str">
        <f t="shared" si="57"/>
        <v xml:space="preserve"> : any ;</v>
      </c>
      <c r="H44" s="35" t="str">
        <f t="shared" si="58"/>
        <v xml:space="preserve">			{headerName: this.l('Updated Date'),headerTooltip: this.l('Updated Date'),field: 'updatedDate',valueGetter: (params) =&gt; this.pipe.transform(params.data?.updatedDate, 'dd/MM/yyyy'),flex: 1},</v>
      </c>
      <c r="I44" s="35" t="str">
        <f t="shared" si="59"/>
        <v xml:space="preserve">								&lt;div class='input-search'&gt;
									&lt;input type='text' [placeholder]="l('Updated Date')" [(ngModel)]='updatedDate' 
									name='updatedDate' (keydown)='searchDatas()' class='form-control' 
									bsDatepicker #d='bsDatepicker' placement='bottom left'&gt;
									&lt;i class='fa fa-calendar-alt' (click)='d.toggle()'&gt;&lt;/i&gt;
								&lt;/div&gt;</v>
      </c>
      <c r="J44" s="28"/>
      <c r="K44" s="35" t="str">
        <f t="shared" si="60"/>
        <v xml:space="preserve">					&lt;div class='col-md-12 form-group row'&gt;
						&lt;label class='col-md-2 form-control title'&gt;Updated Date&lt;/label&gt;
						&lt;input type='text' class='col-md-10 form-control input-text' name='updatedDate' 
						#datepicker='bsDatepicker' [(ngModel)]='rowdata.updatedDate'  bsDatepicker &gt;
					&lt;/div&gt;</v>
      </c>
      <c r="L44" s="56" t="str">
        <f t="shared" si="61"/>
        <v xml:space="preserve">		const dateValue =  this.rowdata.updatedDate ? new Date(this.rowdata.updatedDate?.toString()) : new Date();
		this.datepicker?.bsValueChange.emit(dateValue);</v>
      </c>
      <c r="M44" s="28"/>
      <c r="N44" s="28"/>
      <c r="O44" s="28"/>
      <c r="P44" s="28"/>
      <c r="Q44" s="28"/>
      <c r="R44" s="28"/>
      <c r="S44" s="28" t="str">
        <f>REPT(CHAR(9),1)&amp;D44&amp;G44</f>
        <v xml:space="preserve">	updatedDate : any ;</v>
      </c>
      <c r="T44" s="28" t="str">
        <f>REPT(CHAR(9),3)&amp;"this."&amp;D44&amp;","</f>
        <v xml:space="preserve">			this.updatedDate,</v>
      </c>
      <c r="U44" s="28" t="str">
        <f>IF(E44="int",REPT(CHAR(9),2)&amp;"this."&amp;D44&amp;" = 0,",REPT(CHAR(9),2)&amp;"this."&amp;D44&amp;" = '',")</f>
        <v xml:space="preserve">		this.updatedDate = '',</v>
      </c>
      <c r="V44" s="28" t="str">
        <f t="shared" si="62"/>
        <v/>
      </c>
    </row>
    <row r="45" spans="1:22" ht="18" customHeight="1" x14ac:dyDescent="0.3">
      <c r="A45" s="41" t="s">
        <v>310</v>
      </c>
      <c r="B45" s="28" t="str">
        <f t="shared" ref="B45:B62" si="69">SUBSTITUTE(PROPER(A45),"_","")</f>
        <v>IsProject</v>
      </c>
      <c r="C45" s="28" t="str">
        <f t="shared" ref="C45:C62" si="70">SUBSTITUTE(PROPER(A45),"_"," ")</f>
        <v>Is Project</v>
      </c>
      <c r="D45" s="28" t="str">
        <f t="shared" ref="D45:D62" si="71">LOWER(LEFT(B45,1))&amp;RIGHT(B45,LEN(B45) - 1)</f>
        <v>isProject</v>
      </c>
      <c r="E45" s="28" t="str">
        <f>A.Backend!H39</f>
        <v>string</v>
      </c>
      <c r="F45" s="28" t="str">
        <f>A.Backend!G39</f>
        <v>1</v>
      </c>
      <c r="G45" s="28" t="str">
        <f t="shared" ref="G45:G62" si="72">IF(E45="string"," : string = '' ; ",IF(OR(E45="DateTime",E45="TimeSpan")," : any ;",IF(E45="int"," : number = 0 ;","")))</f>
        <v xml:space="preserve"> : string = '' ; </v>
      </c>
      <c r="H45" s="35" t="str">
        <f t="shared" ref="H45:H62" si="73">IF(E45="DateTime",
REPT(CHAR(9),3)&amp;"{headerName: this.l('"&amp;C45&amp;"'),headerTooltip: this.l('"&amp;C45&amp;"'),field: '"&amp;D45&amp;"',valueGetter: (params) =&gt; this.pipe.transform(params.data?."&amp;D45&amp;", 'dd/MM/yyyy'),flex: 1},",
IF(AND(E45="string",F45="1"),
REPT(CHAR(9),3)&amp;"{headerName: this.l('"&amp;C45&amp;"'),headerTooltip: this.l('"&amp;C45&amp;"'),field:  '"&amp;D45&amp;"', cellClass: ['text-center'], width: 120, cellRenderer: 'agCellButtonComponent',
buttonDefTwo: { text: params =&gt; (params.data?.'"&amp;D45&amp;"' == 'Y') ? 'Active' : 'Inactive',iconName: 'fa fa-circle',className: params =&gt; (params.data?.'"&amp;D45&amp;"' == 'Y') ? 'btnActive' : 'btnInActive',},}",
REPT(CHAR(9),3)&amp;"{headerName: this.l('"&amp;C45&amp;"'),headerTooltip: this.l('"&amp;C45&amp;"'),field: '"&amp;D45&amp;"',flex: 1},"))</f>
        <v xml:space="preserve">			{headerName: this.l('Is Project'),headerTooltip: this.l('Is Project'),field:  'isProject', cellClass: ['text-center'], width: 120, cellRenderer: 'agCellButtonComponent',
buttonDefTwo: { text: params =&gt; (params.data?.'isProject' == 'Y') ? 'Active' : 'Inactive',iconName: 'fa fa-circle',className: params =&gt; (params.data?.'isProject' == 'Y') ? 'btnActive' : 'btnInActive',},}</v>
      </c>
      <c r="I45" s="35" t="str">
        <f t="shared" ref="I45:I62" si="74">IF(E45="DateTime",
REPT(CHAR(9),8)&amp;"&lt;div class='input-search'&gt;
"&amp;REPT(CHAR(9),9)&amp;"&lt;input type='text' [placeholder]=""l('"&amp;C45&amp;"')"" [(ngModel)]='"&amp;D45&amp;"' 
"&amp;REPT(CHAR(9),9)&amp;"name='"&amp;D45&amp;"'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IF(E45="string",
REPT(CHAR(9),8)&amp;"&lt;div class='input-search'&gt;
"&amp;REPT(CHAR(9),9)&amp;"&lt;input [(ngModel)]='"&amp;D45&amp;"' name='"&amp;D45&amp;"'
"&amp;REPT(CHAR(9),9)&amp;"class='form-control' [placeholder]=""l('"&amp;C45&amp;"')""
"&amp;REPT(CHAR(9),9)&amp;"type='text' (keyup.enter)='searchDatas()'&gt;
"&amp;REPT(CHAR(9),8)&amp;"&lt;/div&gt;",""))</f>
        <v xml:space="preserve">								&lt;div class='input-search'&gt;
									&lt;input [(ngModel)]='isProject' name='isProject'
									class='form-control' [placeholder]="l('Is Project')"
									type='text' (keyup.enter)='searchDatas()'&gt;
								&lt;/div&gt;</v>
      </c>
      <c r="J45" s="28"/>
      <c r="K45" s="35" t="str">
        <f t="shared" ref="K45:K62" si="75">IF(OR(E45="DateTime",E45="TimeSpan"),
REPT(CHAR(9),5)&amp;"&lt;div class='col-md-12 form-group row'&gt;
"&amp;REPT(CHAR(9),6)&amp;"&lt;label class='col-md-2 form-control title'&gt;"&amp;C45&amp;"&lt;/label&gt;
"&amp;REPT(CHAR(9),6)&amp;"&lt;input type='text' class='col-md-10 form-control input-text' name='"&amp;D45&amp;"' 
"&amp;REPT(CHAR(9),6)&amp;"#datepicker='bsDatepicker' [(ngModel)]='rowdata."&amp;D45&amp;"'  bsDatepicker &gt;
"&amp;REPT(CHAR(9),5)&amp;"&lt;/div&gt;",
IF(AND(E45="string",F45="1"),
REPT(CHAR(9),5)&amp;"&lt;div class='col-md-12 form-group row'&gt;
"&amp;REPT(CHAR(9),6)&amp;"&lt;label class='col-md-2 form-control title'&gt;"&amp;C45&amp;"&lt;/label&gt;
"&amp;REPT(CHAR(9),6)&amp;"&lt;new-checkbox [(ngModel)]='_"&amp;D45&amp;"' name='"&amp;D45&amp;"' className='col-md-10' &gt; &lt;/new-checkbox&gt;
"&amp;REPT(CHAR(9),5)&amp;"&lt;/div&gt;",
IF(E45="string",
REPT(CHAR(9),5)&amp;"&lt;div class='col-md-12 form-group row'&gt;
"&amp;REPT(CHAR(9),6)&amp;"&lt;label class='col-md-2 form-control title'&gt;"&amp;C45&amp;"&lt;/label&gt;
"&amp;REPT(CHAR(9),6)&amp;"&lt;input type='text' class='col-md-10 form-control input-text' name='"&amp;B45&amp;"' [(ngModel)]='rowdata."&amp;D45&amp;"'&gt;
"&amp;REPT(CHAR(9),5)&amp;"&lt;/div&gt;",
IF(E45="int",
REPT(CHAR(9),5)&amp;"&lt;div class='col-md-12 form-group row'&gt;
"&amp;REPT(CHAR(9),6)&amp;"&lt;label class='col-md-2 form-control title'&gt;"&amp;C45&amp;"&lt;/label&gt;
"&amp;REPT(CHAR(9),6)&amp;"&lt;input type='number' class='col-md-10 form-control input-text' name='"&amp;B45&amp;"' [(ngModel)]='rowdata."&amp;D45&amp;"'&gt;
"&amp;REPT(CHAR(9),5)&amp;"&lt;/div&gt;",""))))</f>
        <v xml:space="preserve">					&lt;div class='col-md-12 form-group row'&gt;
						&lt;label class='col-md-2 form-control title'&gt;Is Project&lt;/label&gt;
						&lt;new-checkbox [(ngModel)]='_isProject' name='isProject' className='col-md-10' &gt; &lt;/new-checkbox&gt;
					&lt;/div&gt;</v>
      </c>
      <c r="L45" s="56" t="str">
        <f t="shared" ref="L45:L62" si="76">IF(E45="DateTime",
REPT(CHAR(9),2)&amp;"const dateValue =  this.rowdata."&amp;D45&amp;" ? new Date(this.rowdata."&amp;D45&amp;"?.toString()) : new Date();
"&amp;REPT(CHAR(9),2)&amp;"this.datepicker?.bsValueChange.emit(dateValue);","")</f>
        <v/>
      </c>
      <c r="M45" s="28"/>
      <c r="N45" s="28"/>
      <c r="O45" s="28"/>
      <c r="P45" s="28"/>
      <c r="Q45" s="28"/>
      <c r="R45" s="28"/>
      <c r="S45" s="28" t="str">
        <f t="shared" ref="S45:S46" si="77">REPT(CHAR(9),1)&amp;D45&amp;G45</f>
        <v xml:space="preserve">	isProject : string = '' ; </v>
      </c>
      <c r="T45" s="28" t="str">
        <f t="shared" ref="T45:T46" si="78">REPT(CHAR(9),3)&amp;"this."&amp;D45&amp;","</f>
        <v xml:space="preserve">			this.isProject,</v>
      </c>
      <c r="U45" s="28" t="str">
        <f t="shared" ref="U45:U46" si="79">IF(E45="int",REPT(CHAR(9),2)&amp;"this."&amp;D45&amp;" = 0,",REPT(CHAR(9),2)&amp;"this."&amp;D45&amp;" = '',")</f>
        <v xml:space="preserve">		this.isProject = '',</v>
      </c>
      <c r="V45" s="28" t="str">
        <f t="shared" ref="V45:V62" si="80">IF(AND(E45="string",F45="1"),D45,"")</f>
        <v>isProject</v>
      </c>
    </row>
    <row r="46" spans="1:22" ht="18" customHeight="1" x14ac:dyDescent="0.3">
      <c r="A46" s="41" t="s">
        <v>303</v>
      </c>
      <c r="B46" s="28" t="str">
        <f t="shared" si="69"/>
        <v>VehicleId</v>
      </c>
      <c r="C46" s="28" t="str">
        <f t="shared" si="70"/>
        <v>Vehicle Id</v>
      </c>
      <c r="D46" s="28" t="str">
        <f t="shared" si="71"/>
        <v>vehicleId</v>
      </c>
      <c r="E46" s="28" t="str">
        <f>A.Backend!H40</f>
        <v>long</v>
      </c>
      <c r="F46" s="28" t="str">
        <f>A.Backend!G40</f>
        <v/>
      </c>
      <c r="G46" s="28" t="str">
        <f t="shared" si="72"/>
        <v/>
      </c>
      <c r="H46" s="35" t="str">
        <f t="shared" si="73"/>
        <v xml:space="preserve">			{headerName: this.l('Vehicle Id'),headerTooltip: this.l('Vehicle Id'),field: 'vehicleId',flex: 1},</v>
      </c>
      <c r="I46" s="35" t="str">
        <f t="shared" si="74"/>
        <v/>
      </c>
      <c r="J46" s="28"/>
      <c r="K46" s="35" t="str">
        <f t="shared" si="75"/>
        <v/>
      </c>
      <c r="L46" s="56" t="str">
        <f t="shared" si="76"/>
        <v/>
      </c>
      <c r="M46" s="28"/>
      <c r="N46" s="28"/>
      <c r="O46" s="28"/>
      <c r="P46" s="28"/>
      <c r="Q46" s="28"/>
      <c r="R46" s="28"/>
      <c r="S46" s="28" t="str">
        <f t="shared" si="77"/>
        <v xml:space="preserve">	vehicleId</v>
      </c>
      <c r="T46" s="28" t="str">
        <f t="shared" si="78"/>
        <v xml:space="preserve">			this.vehicleId,</v>
      </c>
      <c r="U46" s="28" t="str">
        <f t="shared" si="79"/>
        <v xml:space="preserve">		this.vehicleId = '',</v>
      </c>
      <c r="V46" s="28" t="str">
        <f t="shared" si="80"/>
        <v/>
      </c>
    </row>
    <row r="47" spans="1:22" ht="15" customHeight="1" x14ac:dyDescent="0.3">
      <c r="A47" s="41" t="s">
        <v>316</v>
      </c>
      <c r="B47" s="28" t="str">
        <f t="shared" si="69"/>
        <v>Cfc</v>
      </c>
      <c r="C47" s="28" t="str">
        <f t="shared" si="70"/>
        <v>Cfc</v>
      </c>
      <c r="D47" s="28" t="str">
        <f t="shared" si="71"/>
        <v>cfc</v>
      </c>
      <c r="E47" s="28" t="str">
        <f>A.Backend!H41</f>
        <v>string</v>
      </c>
      <c r="F47" s="28" t="str">
        <f>A.Backend!G41</f>
        <v>4</v>
      </c>
      <c r="G47" s="28" t="str">
        <f t="shared" si="72"/>
        <v xml:space="preserve"> : string = '' ; </v>
      </c>
      <c r="H47" s="35" t="str">
        <f t="shared" si="73"/>
        <v xml:space="preserve">			{headerName: this.l('Cfc'),headerTooltip: this.l('Cfc'),field: 'cfc',flex: 1},</v>
      </c>
      <c r="I47" s="35" t="str">
        <f t="shared" si="74"/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47" s="28"/>
      <c r="K47" s="35" t="str">
        <f t="shared" si="75"/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47" s="56" t="str">
        <f t="shared" si="76"/>
        <v/>
      </c>
      <c r="M47" s="28"/>
      <c r="N47" s="28"/>
      <c r="O47" s="28"/>
      <c r="P47" s="28"/>
      <c r="Q47" s="28"/>
      <c r="R47" s="28"/>
      <c r="S47" s="28" t="str">
        <f>REPT(CHAR(9),1)&amp;D47&amp;G47</f>
        <v xml:space="preserve">	cfc : string = '' ; </v>
      </c>
      <c r="T47" s="28" t="str">
        <f>REPT(CHAR(9),3)&amp;"this."&amp;D47&amp;","</f>
        <v xml:space="preserve">			this.cfc,</v>
      </c>
      <c r="U47" s="28" t="str">
        <f>IF(E47="int",REPT(CHAR(9),2)&amp;"this."&amp;D47&amp;" = 0,",REPT(CHAR(9),2)&amp;"this."&amp;D47&amp;" = '',")</f>
        <v xml:space="preserve">		this.cfc = '',</v>
      </c>
      <c r="V47" s="28" t="str">
        <f t="shared" si="80"/>
        <v/>
      </c>
    </row>
    <row r="48" spans="1:22" ht="18" customHeight="1" x14ac:dyDescent="0.3">
      <c r="A48" s="41" t="s">
        <v>318</v>
      </c>
      <c r="B48" s="28" t="str">
        <f t="shared" si="69"/>
        <v>VinNo</v>
      </c>
      <c r="C48" s="28" t="str">
        <f t="shared" si="70"/>
        <v>Vin No</v>
      </c>
      <c r="D48" s="28" t="str">
        <f t="shared" si="71"/>
        <v>vinNo</v>
      </c>
      <c r="E48" s="28" t="str">
        <f>A.Backend!H42</f>
        <v>string</v>
      </c>
      <c r="F48" s="28" t="str">
        <f>A.Backend!G42</f>
        <v>18</v>
      </c>
      <c r="G48" s="28" t="str">
        <f t="shared" si="72"/>
        <v xml:space="preserve"> : string = '' ; </v>
      </c>
      <c r="H48" s="35" t="str">
        <f t="shared" si="73"/>
        <v xml:space="preserve">			{headerName: this.l('Vin No'),headerTooltip: this.l('Vin No'),field: 'vinNo',flex: 1},</v>
      </c>
      <c r="I48" s="35" t="str">
        <f t="shared" si="74"/>
        <v xml:space="preserve">								&lt;div class='input-search'&gt;
									&lt;input [(ngModel)]='vinNo' name='vinNo'
									class='form-control' [placeholder]="l('Vin No')"
									type='text' (keyup.enter)='searchDatas()'&gt;
								&lt;/div&gt;</v>
      </c>
      <c r="J48" s="28"/>
      <c r="K48" s="35" t="str">
        <f t="shared" si="75"/>
        <v xml:space="preserve">					&lt;div class='col-md-12 form-group row'&gt;
						&lt;label class='col-md-2 form-control title'&gt;Vin No&lt;/label&gt;
						&lt;input type='text' class='col-md-10 form-control input-text' name='VinNo' [(ngModel)]='rowdata.vinNo'&gt;
					&lt;/div&gt;</v>
      </c>
      <c r="L48" s="56" t="str">
        <f t="shared" si="76"/>
        <v/>
      </c>
      <c r="M48" s="28"/>
      <c r="N48" s="28"/>
      <c r="O48" s="28"/>
      <c r="P48" s="28"/>
      <c r="Q48" s="28"/>
      <c r="R48" s="28"/>
      <c r="S48" s="28" t="str">
        <f t="shared" ref="S48" si="81">REPT(CHAR(9),1)&amp;D48&amp;G48</f>
        <v xml:space="preserve">	vinNo : string = '' ; </v>
      </c>
      <c r="T48" s="28" t="str">
        <f t="shared" ref="T48" si="82">REPT(CHAR(9),3)&amp;"this."&amp;D48&amp;","</f>
        <v xml:space="preserve">			this.vinNo,</v>
      </c>
      <c r="U48" s="28" t="str">
        <f t="shared" ref="U48" si="83">IF(E48="int",REPT(CHAR(9),2)&amp;"this."&amp;D48&amp;" = 0,",REPT(CHAR(9),2)&amp;"this."&amp;D48&amp;" = '',")</f>
        <v xml:space="preserve">		this.vinNo = '',</v>
      </c>
      <c r="V48" s="28" t="str">
        <f t="shared" si="80"/>
        <v/>
      </c>
    </row>
    <row r="49" spans="1:22" ht="15" customHeight="1" x14ac:dyDescent="0.3">
      <c r="A49" s="41" t="s">
        <v>320</v>
      </c>
      <c r="B49" s="28" t="str">
        <f t="shared" si="69"/>
        <v>EngineId</v>
      </c>
      <c r="C49" s="28" t="str">
        <f t="shared" si="70"/>
        <v>Engine Id</v>
      </c>
      <c r="D49" s="28" t="str">
        <f t="shared" si="71"/>
        <v>engineId</v>
      </c>
      <c r="E49" s="28" t="str">
        <f>A.Backend!H43</f>
        <v>string</v>
      </c>
      <c r="F49" s="28" t="str">
        <f>A.Backend!G43</f>
        <v>12</v>
      </c>
      <c r="G49" s="28" t="str">
        <f t="shared" si="72"/>
        <v xml:space="preserve"> : string = '' ; </v>
      </c>
      <c r="H49" s="35" t="str">
        <f t="shared" si="73"/>
        <v xml:space="preserve">			{headerName: this.l('Engine Id'),headerTooltip: this.l('Engine Id'),field: 'engineId',flex: 1},</v>
      </c>
      <c r="I49" s="35" t="str">
        <f t="shared" si="74"/>
        <v xml:space="preserve">								&lt;div class='input-search'&gt;
									&lt;input [(ngModel)]='engineId' name='engineId'
									class='form-control' [placeholder]="l('Engine Id')"
									type='text' (keyup.enter)='searchDatas()'&gt;
								&lt;/div&gt;</v>
      </c>
      <c r="J49" s="28"/>
      <c r="K49" s="35" t="str">
        <f t="shared" si="75"/>
        <v xml:space="preserve">					&lt;div class='col-md-12 form-group row'&gt;
						&lt;label class='col-md-2 form-control title'&gt;Engine Id&lt;/label&gt;
						&lt;input type='text' class='col-md-10 form-control input-text' name='EngineId' [(ngModel)]='rowdata.engineId'&gt;
					&lt;/div&gt;</v>
      </c>
      <c r="L49" s="56" t="str">
        <f t="shared" si="76"/>
        <v/>
      </c>
      <c r="M49" s="28"/>
      <c r="N49" s="28"/>
      <c r="O49" s="28"/>
      <c r="P49" s="28"/>
      <c r="Q49" s="28"/>
      <c r="R49" s="28"/>
      <c r="S49" s="28" t="str">
        <f>REPT(CHAR(9),1)&amp;D49&amp;G49</f>
        <v xml:space="preserve">	engineId : string = '' ; </v>
      </c>
      <c r="T49" s="28" t="str">
        <f>REPT(CHAR(9),3)&amp;"this."&amp;D49&amp;","</f>
        <v xml:space="preserve">			this.engineId,</v>
      </c>
      <c r="U49" s="28" t="str">
        <f>IF(E49="int",REPT(CHAR(9),2)&amp;"this."&amp;D49&amp;" = 0,",REPT(CHAR(9),2)&amp;"this."&amp;D49&amp;" = '',")</f>
        <v xml:space="preserve">		this.engineId = '',</v>
      </c>
      <c r="V49" s="28" t="str">
        <f t="shared" si="80"/>
        <v/>
      </c>
    </row>
    <row r="50" spans="1:22" ht="18" customHeight="1" x14ac:dyDescent="0.3">
      <c r="A50" s="41" t="s">
        <v>322</v>
      </c>
      <c r="B50" s="28" t="str">
        <f t="shared" si="69"/>
        <v>TransId</v>
      </c>
      <c r="C50" s="28" t="str">
        <f t="shared" si="70"/>
        <v>Trans Id</v>
      </c>
      <c r="D50" s="28" t="str">
        <f t="shared" si="71"/>
        <v>transId</v>
      </c>
      <c r="E50" s="28" t="str">
        <f>A.Backend!H44</f>
        <v>string</v>
      </c>
      <c r="F50" s="28" t="str">
        <f>A.Backend!G44</f>
        <v>18</v>
      </c>
      <c r="G50" s="28" t="str">
        <f t="shared" si="72"/>
        <v xml:space="preserve"> : string = '' ; </v>
      </c>
      <c r="H50" s="35" t="str">
        <f t="shared" si="73"/>
        <v xml:space="preserve">			{headerName: this.l('Trans Id'),headerTooltip: this.l('Trans Id'),field: 'transId',flex: 1},</v>
      </c>
      <c r="I50" s="35" t="str">
        <f t="shared" si="74"/>
        <v xml:space="preserve">								&lt;div class='input-search'&gt;
									&lt;input [(ngModel)]='transId' name='transId'
									class='form-control' [placeholder]="l('Trans Id')"
									type='text' (keyup.enter)='searchDatas()'&gt;
								&lt;/div&gt;</v>
      </c>
      <c r="J50" s="28"/>
      <c r="K50" s="35" t="str">
        <f t="shared" si="75"/>
        <v xml:space="preserve">					&lt;div class='col-md-12 form-group row'&gt;
						&lt;label class='col-md-2 form-control title'&gt;Trans Id&lt;/label&gt;
						&lt;input type='text' class='col-md-10 form-control input-text' name='TransId' [(ngModel)]='rowdata.transId'&gt;
					&lt;/div&gt;</v>
      </c>
      <c r="L50" s="56" t="str">
        <f t="shared" si="76"/>
        <v/>
      </c>
      <c r="M50" s="28"/>
      <c r="N50" s="28"/>
      <c r="O50" s="28"/>
      <c r="P50" s="28"/>
      <c r="Q50" s="28"/>
      <c r="R50" s="28"/>
      <c r="S50" s="28" t="str">
        <f t="shared" ref="S50" si="84">REPT(CHAR(9),1)&amp;D50&amp;G50</f>
        <v xml:space="preserve">	transId : string = '' ; </v>
      </c>
      <c r="T50" s="28" t="str">
        <f t="shared" ref="T50" si="85">REPT(CHAR(9),3)&amp;"this."&amp;D50&amp;","</f>
        <v xml:space="preserve">			this.transId,</v>
      </c>
      <c r="U50" s="28" t="str">
        <f t="shared" ref="U50" si="86">IF(E50="int",REPT(CHAR(9),2)&amp;"this."&amp;D50&amp;" = 0,",REPT(CHAR(9),2)&amp;"this."&amp;D50&amp;" = '',")</f>
        <v xml:space="preserve">		this.transId = '',</v>
      </c>
      <c r="V50" s="28" t="str">
        <f t="shared" si="80"/>
        <v/>
      </c>
    </row>
    <row r="51" spans="1:22" ht="15" customHeight="1" x14ac:dyDescent="0.3">
      <c r="A51" s="41" t="s">
        <v>323</v>
      </c>
      <c r="B51" s="28" t="str">
        <f t="shared" si="69"/>
        <v>SalesSfx</v>
      </c>
      <c r="C51" s="28" t="str">
        <f t="shared" si="70"/>
        <v>Sales Sfx</v>
      </c>
      <c r="D51" s="28" t="str">
        <f t="shared" si="71"/>
        <v>salesSfx</v>
      </c>
      <c r="E51" s="28" t="str">
        <f>A.Backend!H45</f>
        <v>string</v>
      </c>
      <c r="F51" s="28" t="str">
        <f>A.Backend!G45</f>
        <v>2</v>
      </c>
      <c r="G51" s="28" t="str">
        <f t="shared" si="72"/>
        <v xml:space="preserve"> : string = '' ; </v>
      </c>
      <c r="H51" s="35" t="str">
        <f t="shared" si="73"/>
        <v xml:space="preserve">			{headerName: this.l('Sales Sfx'),headerTooltip: this.l('Sales Sfx'),field: 'salesSfx',flex: 1},</v>
      </c>
      <c r="I51" s="35" t="str">
        <f t="shared" si="74"/>
        <v xml:space="preserve">								&lt;div class='input-search'&gt;
									&lt;input [(ngModel)]='salesSfx' name='salesSfx'
									class='form-control' [placeholder]="l('Sales Sfx')"
									type='text' (keyup.enter)='searchDatas()'&gt;
								&lt;/div&gt;</v>
      </c>
      <c r="J51" s="28"/>
      <c r="K51" s="35" t="str">
        <f t="shared" si="75"/>
        <v xml:space="preserve">					&lt;div class='col-md-12 form-group row'&gt;
						&lt;label class='col-md-2 form-control title'&gt;Sales Sfx&lt;/label&gt;
						&lt;input type='text' class='col-md-10 form-control input-text' name='SalesSfx' [(ngModel)]='rowdata.salesSfx'&gt;
					&lt;/div&gt;</v>
      </c>
      <c r="L51" s="56" t="str">
        <f t="shared" si="76"/>
        <v/>
      </c>
      <c r="M51" s="28"/>
      <c r="N51" s="28"/>
      <c r="O51" s="28"/>
      <c r="P51" s="28"/>
      <c r="Q51" s="28"/>
      <c r="R51" s="28"/>
      <c r="S51" s="28" t="str">
        <f>REPT(CHAR(9),1)&amp;D51&amp;G51</f>
        <v xml:space="preserve">	salesSfx : string = '' ; </v>
      </c>
      <c r="T51" s="28" t="str">
        <f>REPT(CHAR(9),3)&amp;"this."&amp;D51&amp;","</f>
        <v xml:space="preserve">			this.salesSfx,</v>
      </c>
      <c r="U51" s="28" t="str">
        <f>IF(E51="int",REPT(CHAR(9),2)&amp;"this."&amp;D51&amp;" = 0,",REPT(CHAR(9),2)&amp;"this."&amp;D51&amp;" = '',")</f>
        <v xml:space="preserve">		this.salesSfx = '',</v>
      </c>
      <c r="V51" s="28" t="str">
        <f t="shared" si="80"/>
        <v/>
      </c>
    </row>
    <row r="52" spans="1:22" ht="18" customHeight="1" x14ac:dyDescent="0.3">
      <c r="A52" s="41" t="s">
        <v>325</v>
      </c>
      <c r="B52" s="28" t="str">
        <f t="shared" si="69"/>
        <v>ColorType</v>
      </c>
      <c r="C52" s="28" t="str">
        <f t="shared" si="70"/>
        <v>Color Type</v>
      </c>
      <c r="D52" s="28" t="str">
        <f t="shared" si="71"/>
        <v>colorType</v>
      </c>
      <c r="E52" s="28" t="str">
        <f>A.Backend!H46</f>
        <v>string</v>
      </c>
      <c r="F52" s="28" t="str">
        <f>A.Backend!G46</f>
        <v>4</v>
      </c>
      <c r="G52" s="28" t="str">
        <f t="shared" si="72"/>
        <v xml:space="preserve"> : string = '' ; </v>
      </c>
      <c r="H52" s="35" t="str">
        <f t="shared" si="73"/>
        <v xml:space="preserve">			{headerName: this.l('Color Type'),headerTooltip: this.l('Color Type'),field: 'colorType',flex: 1},</v>
      </c>
      <c r="I52" s="35" t="str">
        <f t="shared" si="74"/>
        <v xml:space="preserve">								&lt;div class='input-search'&gt;
									&lt;input [(ngModel)]='colorType' name='colorType'
									class='form-control' [placeholder]="l('Color Type')"
									type='text' (keyup.enter)='searchDatas()'&gt;
								&lt;/div&gt;</v>
      </c>
      <c r="J52" s="28"/>
      <c r="K52" s="35" t="str">
        <f t="shared" si="75"/>
        <v xml:space="preserve">					&lt;div class='col-md-12 form-group row'&gt;
						&lt;label class='col-md-2 form-control title'&gt;Color Type&lt;/label&gt;
						&lt;input type='text' class='col-md-10 form-control input-text' name='ColorType' [(ngModel)]='rowdata.colorType'&gt;
					&lt;/div&gt;</v>
      </c>
      <c r="L52" s="56" t="str">
        <f t="shared" si="76"/>
        <v/>
      </c>
      <c r="M52" s="28"/>
      <c r="N52" s="28"/>
      <c r="O52" s="28"/>
      <c r="P52" s="28"/>
      <c r="Q52" s="28"/>
      <c r="R52" s="28"/>
      <c r="S52" s="28" t="str">
        <f t="shared" ref="S52" si="87">REPT(CHAR(9),1)&amp;D52&amp;G52</f>
        <v xml:space="preserve">	colorType : string = '' ; </v>
      </c>
      <c r="T52" s="28" t="str">
        <f t="shared" ref="T52" si="88">REPT(CHAR(9),3)&amp;"this."&amp;D52&amp;","</f>
        <v xml:space="preserve">			this.colorType,</v>
      </c>
      <c r="U52" s="28" t="str">
        <f t="shared" ref="U52" si="89">IF(E52="int",REPT(CHAR(9),2)&amp;"this."&amp;D52&amp;" = 0,",REPT(CHAR(9),2)&amp;"this."&amp;D52&amp;" = '',")</f>
        <v xml:space="preserve">		this.colorType = '',</v>
      </c>
      <c r="V52" s="28" t="str">
        <f t="shared" si="80"/>
        <v/>
      </c>
    </row>
    <row r="53" spans="1:22" ht="15" customHeight="1" x14ac:dyDescent="0.3">
      <c r="A53" s="41" t="s">
        <v>326</v>
      </c>
      <c r="B53" s="28" t="str">
        <f t="shared" si="69"/>
        <v>IndentLine</v>
      </c>
      <c r="C53" s="28" t="str">
        <f t="shared" si="70"/>
        <v>Indent Line</v>
      </c>
      <c r="D53" s="28" t="str">
        <f t="shared" si="71"/>
        <v>indentLine</v>
      </c>
      <c r="E53" s="28" t="str">
        <f>A.Backend!H47</f>
        <v>string</v>
      </c>
      <c r="F53" s="28" t="str">
        <f>A.Backend!G47</f>
        <v>3</v>
      </c>
      <c r="G53" s="28" t="str">
        <f t="shared" si="72"/>
        <v xml:space="preserve"> : string = '' ; </v>
      </c>
      <c r="H53" s="35" t="str">
        <f t="shared" si="73"/>
        <v xml:space="preserve">			{headerName: this.l('Indent Line'),headerTooltip: this.l('Indent Line'),field: 'indentLine',flex: 1},</v>
      </c>
      <c r="I53" s="35" t="str">
        <f t="shared" si="74"/>
        <v xml:space="preserve">								&lt;div class='input-search'&gt;
									&lt;input [(ngModel)]='indentLine' name='indentLine'
									class='form-control' [placeholder]="l('Indent Line')"
									type='text' (keyup.enter)='searchDatas()'&gt;
								&lt;/div&gt;</v>
      </c>
      <c r="J53" s="28"/>
      <c r="K53" s="35" t="str">
        <f t="shared" si="75"/>
        <v xml:space="preserve">					&lt;div class='col-md-12 form-group row'&gt;
						&lt;label class='col-md-2 form-control title'&gt;Indent Line&lt;/label&gt;
						&lt;input type='text' class='col-md-10 form-control input-text' name='IndentLine' [(ngModel)]='rowdata.indentLine'&gt;
					&lt;/div&gt;</v>
      </c>
      <c r="L53" s="56" t="str">
        <f t="shared" si="76"/>
        <v/>
      </c>
      <c r="M53" s="28"/>
      <c r="N53" s="28"/>
      <c r="O53" s="28"/>
      <c r="P53" s="28"/>
      <c r="Q53" s="28"/>
      <c r="R53" s="28"/>
      <c r="S53" s="28" t="str">
        <f>REPT(CHAR(9),1)&amp;D53&amp;G53</f>
        <v xml:space="preserve">	indentLine : string = '' ; </v>
      </c>
      <c r="T53" s="28" t="str">
        <f>REPT(CHAR(9),3)&amp;"this."&amp;D53&amp;","</f>
        <v xml:space="preserve">			this.indentLine,</v>
      </c>
      <c r="U53" s="28" t="str">
        <f>IF(E53="int",REPT(CHAR(9),2)&amp;"this."&amp;D53&amp;" = 0,",REPT(CHAR(9),2)&amp;"this."&amp;D53&amp;" = '',")</f>
        <v xml:space="preserve">		this.indentLine = '',</v>
      </c>
      <c r="V53" s="28" t="str">
        <f t="shared" si="80"/>
        <v/>
      </c>
    </row>
    <row r="54" spans="1:22" ht="18" customHeight="1" x14ac:dyDescent="0.3">
      <c r="A54" s="41" t="s">
        <v>328</v>
      </c>
      <c r="B54" s="28" t="str">
        <f t="shared" si="69"/>
        <v>SsNo</v>
      </c>
      <c r="C54" s="28" t="str">
        <f t="shared" si="70"/>
        <v>Ss No</v>
      </c>
      <c r="D54" s="28" t="str">
        <f t="shared" si="71"/>
        <v>ssNo</v>
      </c>
      <c r="E54" s="28" t="str">
        <f>A.Backend!H48</f>
        <v>string</v>
      </c>
      <c r="F54" s="28" t="str">
        <f>A.Backend!G48</f>
        <v>2</v>
      </c>
      <c r="G54" s="28" t="str">
        <f t="shared" si="72"/>
        <v xml:space="preserve"> : string = '' ; </v>
      </c>
      <c r="H54" s="35" t="str">
        <f t="shared" si="73"/>
        <v xml:space="preserve">			{headerName: this.l('Ss No'),headerTooltip: this.l('Ss No'),field: 'ssNo',flex: 1},</v>
      </c>
      <c r="I54" s="35" t="str">
        <f t="shared" si="74"/>
        <v xml:space="preserve">								&lt;div class='input-search'&gt;
									&lt;input [(ngModel)]='ssNo' name='ssNo'
									class='form-control' [placeholder]="l('Ss No')"
									type='text' (keyup.enter)='searchDatas()'&gt;
								&lt;/div&gt;</v>
      </c>
      <c r="J54" s="28"/>
      <c r="K54" s="35" t="str">
        <f t="shared" si="75"/>
        <v xml:space="preserve">					&lt;div class='col-md-12 form-group row'&gt;
						&lt;label class='col-md-2 form-control title'&gt;Ss No&lt;/label&gt;
						&lt;input type='text' class='col-md-10 form-control input-text' name='SsNo' [(ngModel)]='rowdata.ssNo'&gt;
					&lt;/div&gt;</v>
      </c>
      <c r="L54" s="56" t="str">
        <f t="shared" si="76"/>
        <v/>
      </c>
      <c r="M54" s="28"/>
      <c r="N54" s="28"/>
      <c r="O54" s="28"/>
      <c r="P54" s="28"/>
      <c r="Q54" s="28"/>
      <c r="R54" s="28"/>
      <c r="S54" s="28" t="str">
        <f t="shared" ref="S54" si="90">REPT(CHAR(9),1)&amp;D54&amp;G54</f>
        <v xml:space="preserve">	ssNo : string = '' ; </v>
      </c>
      <c r="T54" s="28" t="str">
        <f t="shared" ref="T54" si="91">REPT(CHAR(9),3)&amp;"this."&amp;D54&amp;","</f>
        <v xml:space="preserve">			this.ssNo,</v>
      </c>
      <c r="U54" s="28" t="str">
        <f t="shared" ref="U54" si="92">IF(E54="int",REPT(CHAR(9),2)&amp;"this."&amp;D54&amp;" = 0,",REPT(CHAR(9),2)&amp;"this."&amp;D54&amp;" = '',")</f>
        <v xml:space="preserve">		this.ssNo = '',</v>
      </c>
      <c r="V54" s="28" t="str">
        <f t="shared" si="80"/>
        <v/>
      </c>
    </row>
    <row r="55" spans="1:22" ht="15" customHeight="1" x14ac:dyDescent="0.3">
      <c r="A55" s="41" t="s">
        <v>329</v>
      </c>
      <c r="B55" s="28" t="str">
        <f t="shared" si="69"/>
        <v>EdNumber</v>
      </c>
      <c r="C55" s="28" t="str">
        <f t="shared" si="70"/>
        <v>Ed Number</v>
      </c>
      <c r="D55" s="28" t="str">
        <f t="shared" si="71"/>
        <v>edNumber</v>
      </c>
      <c r="E55" s="28" t="str">
        <f>A.Backend!H49</f>
        <v>string</v>
      </c>
      <c r="F55" s="28" t="str">
        <f>A.Backend!G49</f>
        <v>5</v>
      </c>
      <c r="G55" s="28" t="str">
        <f t="shared" si="72"/>
        <v xml:space="preserve"> : string = '' ; </v>
      </c>
      <c r="H55" s="35" t="str">
        <f t="shared" si="73"/>
        <v xml:space="preserve">			{headerName: this.l('Ed Number'),headerTooltip: this.l('Ed Number'),field: 'edNumber',flex: 1},</v>
      </c>
      <c r="I55" s="35" t="str">
        <f t="shared" si="74"/>
        <v xml:space="preserve">								&lt;div class='input-search'&gt;
									&lt;input [(ngModel)]='edNumber' name='edNumber'
									class='form-control' [placeholder]="l('Ed Number')"
									type='text' (keyup.enter)='searchDatas()'&gt;
								&lt;/div&gt;</v>
      </c>
      <c r="J55" s="28"/>
      <c r="K55" s="35" t="str">
        <f t="shared" si="75"/>
        <v xml:space="preserve">					&lt;div class='col-md-12 form-group row'&gt;
						&lt;label class='col-md-2 form-control title'&gt;Ed Number&lt;/label&gt;
						&lt;input type='text' class='col-md-10 form-control input-text' name='EdNumber' [(ngModel)]='rowdata.edNumber'&gt;
					&lt;/div&gt;</v>
      </c>
      <c r="L55" s="56" t="str">
        <f t="shared" si="76"/>
        <v/>
      </c>
      <c r="M55" s="28"/>
      <c r="N55" s="28"/>
      <c r="O55" s="28"/>
      <c r="P55" s="28"/>
      <c r="Q55" s="28"/>
      <c r="R55" s="28"/>
      <c r="S55" s="28" t="str">
        <f>REPT(CHAR(9),1)&amp;D55&amp;G55</f>
        <v xml:space="preserve">	edNumber : string = '' ; </v>
      </c>
      <c r="T55" s="28" t="str">
        <f>REPT(CHAR(9),3)&amp;"this."&amp;D55&amp;","</f>
        <v xml:space="preserve">			this.edNumber,</v>
      </c>
      <c r="U55" s="28" t="str">
        <f>IF(E55="int",REPT(CHAR(9),2)&amp;"this."&amp;D55&amp;" = 0,",REPT(CHAR(9),2)&amp;"this."&amp;D55&amp;" = '',")</f>
        <v xml:space="preserve">		this.edNumber = '',</v>
      </c>
      <c r="V55" s="28" t="str">
        <f t="shared" si="80"/>
        <v/>
      </c>
    </row>
    <row r="56" spans="1:22" ht="18" customHeight="1" x14ac:dyDescent="0.3">
      <c r="A56" s="41" t="s">
        <v>331</v>
      </c>
      <c r="B56" s="28" t="str">
        <f t="shared" si="69"/>
        <v>GoshiCar</v>
      </c>
      <c r="C56" s="28" t="str">
        <f t="shared" si="70"/>
        <v>Goshi Car</v>
      </c>
      <c r="D56" s="28" t="str">
        <f t="shared" si="71"/>
        <v>goshiCar</v>
      </c>
      <c r="E56" s="28" t="str">
        <f>A.Backend!H50</f>
        <v>string</v>
      </c>
      <c r="F56" s="28" t="str">
        <f>A.Backend!G50</f>
        <v>1</v>
      </c>
      <c r="G56" s="28" t="str">
        <f t="shared" si="72"/>
        <v xml:space="preserve"> : string = '' ; </v>
      </c>
      <c r="H56" s="35" t="str">
        <f t="shared" si="73"/>
        <v xml:space="preserve">			{headerName: this.l('Goshi Car'),headerTooltip: this.l('Goshi 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</v>
      </c>
      <c r="I56" s="35" t="str">
        <f t="shared" si="74"/>
        <v xml:space="preserve">								&lt;div class='input-search'&gt;
									&lt;input [(ngModel)]='goshiCar' name='goshiCar'
									class='form-control' [placeholder]="l('Goshi Car')"
									type='text' (keyup.enter)='searchDatas()'&gt;
								&lt;/div&gt;</v>
      </c>
      <c r="J56" s="28"/>
      <c r="K56" s="35" t="str">
        <f t="shared" si="75"/>
        <v xml:space="preserve">					&lt;div class='col-md-12 form-group row'&gt;
						&lt;label class='col-md-2 form-control title'&gt;Goshi Car&lt;/label&gt;
						&lt;new-checkbox [(ngModel)]='_goshiCar' name='goshiCar' className='col-md-10' &gt; &lt;/new-checkbox&gt;
					&lt;/div&gt;</v>
      </c>
      <c r="L56" s="56" t="str">
        <f t="shared" si="76"/>
        <v/>
      </c>
      <c r="M56" s="28"/>
      <c r="N56" s="28"/>
      <c r="O56" s="28"/>
      <c r="P56" s="28"/>
      <c r="Q56" s="28"/>
      <c r="R56" s="28"/>
      <c r="S56" s="28" t="str">
        <f t="shared" ref="S56" si="93">REPT(CHAR(9),1)&amp;D56&amp;G56</f>
        <v xml:space="preserve">	goshiCar : string = '' ; </v>
      </c>
      <c r="T56" s="28" t="str">
        <f t="shared" ref="T56" si="94">REPT(CHAR(9),3)&amp;"this."&amp;D56&amp;","</f>
        <v xml:space="preserve">			this.goshiCar,</v>
      </c>
      <c r="U56" s="28" t="str">
        <f t="shared" ref="U56" si="95">IF(E56="int",REPT(CHAR(9),2)&amp;"this."&amp;D56&amp;" = 0,",REPT(CHAR(9),2)&amp;"this."&amp;D56&amp;" = '',")</f>
        <v xml:space="preserve">		this.goshiCar = '',</v>
      </c>
      <c r="V56" s="28" t="str">
        <f t="shared" si="80"/>
        <v>goshiCar</v>
      </c>
    </row>
    <row r="57" spans="1:22" ht="15" customHeight="1" x14ac:dyDescent="0.3">
      <c r="A57" s="41" t="s">
        <v>332</v>
      </c>
      <c r="B57" s="28" t="str">
        <f t="shared" si="69"/>
        <v>LineoffDatetime</v>
      </c>
      <c r="C57" s="28" t="str">
        <f t="shared" si="70"/>
        <v>Lineoff Datetime</v>
      </c>
      <c r="D57" s="28" t="str">
        <f t="shared" si="71"/>
        <v>lineoffDatetime</v>
      </c>
      <c r="E57" s="28" t="str">
        <f>A.Backend!H51</f>
        <v>DateTime</v>
      </c>
      <c r="F57" s="28" t="str">
        <f>A.Backend!G51</f>
        <v>7</v>
      </c>
      <c r="G57" s="28" t="str">
        <f t="shared" si="72"/>
        <v xml:space="preserve"> : any ;</v>
      </c>
      <c r="H57" s="35" t="str">
        <f t="shared" si="73"/>
        <v xml:space="preserve">			{headerName: this.l('Lineoff Datetime'),headerTooltip: this.l('Lineoff Datetime'),field: 'lineoffDatetime',valueGetter: (params) =&gt; this.pipe.transform(params.data?.lineoffDatetime, 'dd/MM/yyyy'),flex: 1},</v>
      </c>
      <c r="I57" s="35" t="str">
        <f t="shared" si="74"/>
        <v xml:space="preserve">								&lt;div class='input-search'&gt;
									&lt;input type='text' [placeholder]="l('Lineoff Datetime')" [(ngModel)]='lineoffDatetime' 
									name='lineoffDatetime' (keydown)='searchDatas()' class='form-control' 
									bsDatepicker #d='bsDatepicker' placement='bottom left'&gt;
									&lt;i class='fa fa-calendar-alt' (click)='d.toggle()'&gt;&lt;/i&gt;
								&lt;/div&gt;</v>
      </c>
      <c r="J57" s="28"/>
      <c r="K57" s="35" t="str">
        <f t="shared" si="75"/>
        <v xml:space="preserve">					&lt;div class='col-md-12 form-group row'&gt;
						&lt;label class='col-md-2 form-control title'&gt;Lineoff Datetime&lt;/label&gt;
						&lt;input type='text' class='col-md-10 form-control input-text' name='lineoffDatetime' 
						#datepicker='bsDatepicker' [(ngModel)]='rowdata.lineoffDatetime'  bsDatepicker &gt;
					&lt;/div&gt;</v>
      </c>
      <c r="L57" s="56" t="str">
        <f t="shared" si="76"/>
        <v xml:space="preserve">		const dateValue =  this.rowdata.lineoffDatetime ? new Date(this.rowdata.lineoffDatetime?.toString()) : new Date();
		this.datepicker?.bsValueChange.emit(dateValue);</v>
      </c>
      <c r="M57" s="28"/>
      <c r="N57" s="28"/>
      <c r="O57" s="28"/>
      <c r="P57" s="28"/>
      <c r="Q57" s="28"/>
      <c r="R57" s="28"/>
      <c r="S57" s="28" t="str">
        <f>REPT(CHAR(9),1)&amp;D57&amp;G57</f>
        <v xml:space="preserve">	lineoffDatetime : any ;</v>
      </c>
      <c r="T57" s="28" t="str">
        <f>REPT(CHAR(9),3)&amp;"this."&amp;D57&amp;","</f>
        <v xml:space="preserve">			this.lineoffDatetime,</v>
      </c>
      <c r="U57" s="28" t="str">
        <f>IF(E57="int",REPT(CHAR(9),2)&amp;"this."&amp;D57&amp;" = 0,",REPT(CHAR(9),2)&amp;"this."&amp;D57&amp;" = '',")</f>
        <v xml:space="preserve">		this.lineoffDatetime = '',</v>
      </c>
      <c r="V57" s="28" t="str">
        <f t="shared" si="80"/>
        <v/>
      </c>
    </row>
    <row r="58" spans="1:22" ht="18" customHeight="1" x14ac:dyDescent="0.3">
      <c r="A58" s="41" t="s">
        <v>333</v>
      </c>
      <c r="B58" s="28" t="str">
        <f t="shared" si="69"/>
        <v>LineoffDate</v>
      </c>
      <c r="C58" s="28" t="str">
        <f t="shared" si="70"/>
        <v>Lineoff Date</v>
      </c>
      <c r="D58" s="28" t="str">
        <f t="shared" si="71"/>
        <v>lineoffDate</v>
      </c>
      <c r="E58" s="28" t="str">
        <f>A.Backend!H52</f>
        <v>DateTime</v>
      </c>
      <c r="F58" s="28" t="str">
        <f>A.Backend!G52</f>
        <v/>
      </c>
      <c r="G58" s="28" t="str">
        <f t="shared" si="72"/>
        <v xml:space="preserve"> : any ;</v>
      </c>
      <c r="H58" s="35" t="str">
        <f t="shared" si="73"/>
        <v xml:space="preserve">			{headerName: this.l('Lineoff Date'),headerTooltip: this.l('Lineoff Date'),field: 'lineoffDate',valueGetter: (params) =&gt; this.pipe.transform(params.data?.lineoffDate, 'dd/MM/yyyy'),flex: 1},</v>
      </c>
      <c r="I58" s="35" t="str">
        <f t="shared" si="74"/>
        <v xml:space="preserve">								&lt;div class='input-search'&gt;
									&lt;input type='text' [placeholder]="l('Lineoff Date')" [(ngModel)]='lineoffDate' 
									name='lineoffDate' (keydown)='searchDatas()' class='form-control' 
									bsDatepicker #d='bsDatepicker' placement='bottom left'&gt;
									&lt;i class='fa fa-calendar-alt' (click)='d.toggle()'&gt;&lt;/i&gt;
								&lt;/div&gt;</v>
      </c>
      <c r="J58" s="28"/>
      <c r="K58" s="35" t="str">
        <f t="shared" si="75"/>
        <v xml:space="preserve">					&lt;div class='col-md-12 form-group row'&gt;
						&lt;label class='col-md-2 form-control title'&gt;Lineoff Date&lt;/label&gt;
						&lt;input type='text' class='col-md-10 form-control input-text' name='lineoffDate' 
						#datepicker='bsDatepicker' [(ngModel)]='rowdata.lineoffDate'  bsDatepicker &gt;
					&lt;/div&gt;</v>
      </c>
      <c r="L58" s="56" t="str">
        <f t="shared" si="76"/>
        <v xml:space="preserve">		const dateValue =  this.rowdata.lineoffDate ? new Date(this.rowdata.lineoffDate?.toString()) : new Date();
		this.datepicker?.bsValueChange.emit(dateValue);</v>
      </c>
      <c r="M58" s="28"/>
      <c r="N58" s="28"/>
      <c r="O58" s="28"/>
      <c r="P58" s="28"/>
      <c r="Q58" s="28"/>
      <c r="R58" s="28"/>
      <c r="S58" s="28" t="str">
        <f t="shared" ref="S58" si="96">REPT(CHAR(9),1)&amp;D58&amp;G58</f>
        <v xml:space="preserve">	lineoffDate : any ;</v>
      </c>
      <c r="T58" s="28" t="str">
        <f t="shared" ref="T58" si="97">REPT(CHAR(9),3)&amp;"this."&amp;D58&amp;","</f>
        <v xml:space="preserve">			this.lineoffDate,</v>
      </c>
      <c r="U58" s="28" t="str">
        <f t="shared" ref="U58" si="98">IF(E58="int",REPT(CHAR(9),2)&amp;"this."&amp;D58&amp;" = 0,",REPT(CHAR(9),2)&amp;"this."&amp;D58&amp;" = '',")</f>
        <v xml:space="preserve">		this.lineoffDate = '',</v>
      </c>
      <c r="V58" s="28" t="str">
        <f t="shared" si="80"/>
        <v/>
      </c>
    </row>
    <row r="59" spans="1:22" ht="15" customHeight="1" x14ac:dyDescent="0.3">
      <c r="A59" s="41" t="s">
        <v>334</v>
      </c>
      <c r="B59" s="28" t="str">
        <f t="shared" si="69"/>
        <v>LineoffTime</v>
      </c>
      <c r="C59" s="28" t="str">
        <f t="shared" si="70"/>
        <v>Lineoff Time</v>
      </c>
      <c r="D59" s="28" t="str">
        <f t="shared" si="71"/>
        <v>lineoffTime</v>
      </c>
      <c r="E59" s="28" t="str">
        <f>A.Backend!H53</f>
        <v>DateTime</v>
      </c>
      <c r="F59" s="28" t="str">
        <f>A.Backend!G53</f>
        <v>7</v>
      </c>
      <c r="G59" s="28" t="str">
        <f t="shared" si="72"/>
        <v xml:space="preserve"> : any ;</v>
      </c>
      <c r="H59" s="35" t="str">
        <f t="shared" si="73"/>
        <v xml:space="preserve">			{headerName: this.l('Lineoff Time'),headerTooltip: this.l('Lineoff Time'),field: 'lineoffTime',valueGetter: (params) =&gt; this.pipe.transform(params.data?.lineoffTime, 'dd/MM/yyyy'),flex: 1},</v>
      </c>
      <c r="I59" s="35" t="str">
        <f t="shared" si="74"/>
        <v xml:space="preserve">								&lt;div class='input-search'&gt;
									&lt;input type='text' [placeholder]="l('Lineoff Time')" [(ngModel)]='lineoffTime' 
									name='lineoffTime' (keydown)='searchDatas()' class='form-control' 
									bsDatepicker #d='bsDatepicker' placement='bottom left'&gt;
									&lt;i class='fa fa-calendar-alt' (click)='d.toggle()'&gt;&lt;/i&gt;
								&lt;/div&gt;</v>
      </c>
      <c r="J59" s="28"/>
      <c r="K59" s="35" t="str">
        <f t="shared" si="75"/>
        <v xml:space="preserve">					&lt;div class='col-md-12 form-group row'&gt;
						&lt;label class='col-md-2 form-control title'&gt;Lineoff Time&lt;/label&gt;
						&lt;input type='text' class='col-md-10 form-control input-text' name='lineoffTime' 
						#datepicker='bsDatepicker' [(ngModel)]='rowdata.lineoffTime'  bsDatepicker &gt;
					&lt;/div&gt;</v>
      </c>
      <c r="L59" s="56" t="str">
        <f t="shared" si="76"/>
        <v xml:space="preserve">		const dateValue =  this.rowdata.lineoffTime ? new Date(this.rowdata.lineoffTime?.toString()) : new Date();
		this.datepicker?.bsValueChange.emit(dateValue);</v>
      </c>
      <c r="M59" s="28"/>
      <c r="N59" s="28"/>
      <c r="O59" s="28"/>
      <c r="P59" s="28"/>
      <c r="Q59" s="28"/>
      <c r="R59" s="28"/>
      <c r="S59" s="28" t="str">
        <f>REPT(CHAR(9),1)&amp;D59&amp;G59</f>
        <v xml:space="preserve">	lineoffTime : any ;</v>
      </c>
      <c r="T59" s="28" t="str">
        <f>REPT(CHAR(9),3)&amp;"this."&amp;D59&amp;","</f>
        <v xml:space="preserve">			this.lineoffTime,</v>
      </c>
      <c r="U59" s="28" t="str">
        <f>IF(E59="int",REPT(CHAR(9),2)&amp;"this."&amp;D59&amp;" = 0,",REPT(CHAR(9),2)&amp;"this."&amp;D59&amp;" = '',")</f>
        <v xml:space="preserve">		this.lineoffTime = '',</v>
      </c>
      <c r="V59" s="28" t="str">
        <f t="shared" si="80"/>
        <v/>
      </c>
    </row>
    <row r="60" spans="1:22" ht="18" customHeight="1" x14ac:dyDescent="0.3">
      <c r="A60" s="41" t="s">
        <v>335</v>
      </c>
      <c r="B60" s="28" t="str">
        <f t="shared" si="69"/>
        <v>PdiDatetime</v>
      </c>
      <c r="C60" s="28" t="str">
        <f t="shared" si="70"/>
        <v>Pdi Datetime</v>
      </c>
      <c r="D60" s="28" t="str">
        <f t="shared" si="71"/>
        <v>pdiDatetime</v>
      </c>
      <c r="E60" s="28" t="str">
        <f>A.Backend!H54</f>
        <v>DateTime</v>
      </c>
      <c r="F60" s="28" t="str">
        <f>A.Backend!G54</f>
        <v>7</v>
      </c>
      <c r="G60" s="28" t="str">
        <f t="shared" si="72"/>
        <v xml:space="preserve"> : any ;</v>
      </c>
      <c r="H60" s="35" t="str">
        <f t="shared" si="73"/>
        <v xml:space="preserve">			{headerName: this.l('Pdi Datetime'),headerTooltip: this.l('Pdi Datetime'),field: 'pdiDatetime',valueGetter: (params) =&gt; this.pipe.transform(params.data?.pdiDatetime, 'dd/MM/yyyy'),flex: 1},</v>
      </c>
      <c r="I60" s="35" t="str">
        <f t="shared" si="74"/>
        <v xml:space="preserve">								&lt;div class='input-search'&gt;
									&lt;input type='text' [placeholder]="l('Pdi Datetime')" [(ngModel)]='pdiDatetime' 
									name='pdiDatetime' (keydown)='searchDatas()' class='form-control' 
									bsDatepicker #d='bsDatepicker' placement='bottom left'&gt;
									&lt;i class='fa fa-calendar-alt' (click)='d.toggle()'&gt;&lt;/i&gt;
								&lt;/div&gt;</v>
      </c>
      <c r="J60" s="28"/>
      <c r="K60" s="35" t="str">
        <f t="shared" si="75"/>
        <v xml:space="preserve">					&lt;div class='col-md-12 form-group row'&gt;
						&lt;label class='col-md-2 form-control title'&gt;Pdi Datetime&lt;/label&gt;
						&lt;input type='text' class='col-md-10 form-control input-text' name='pdiDatetime' 
						#datepicker='bsDatepicker' [(ngModel)]='rowdata.pdiDatetime'  bsDatepicker &gt;
					&lt;/div&gt;</v>
      </c>
      <c r="L60" s="56" t="str">
        <f t="shared" si="76"/>
        <v xml:space="preserve">		const dateValue =  this.rowdata.pdiDatetime ? new Date(this.rowdata.pdiDatetime?.toString()) : new Date();
		this.datepicker?.bsValueChange.emit(dateValue);</v>
      </c>
      <c r="M60" s="28"/>
      <c r="N60" s="28"/>
      <c r="O60" s="28"/>
      <c r="P60" s="28"/>
      <c r="Q60" s="28"/>
      <c r="R60" s="28"/>
      <c r="S60" s="28" t="str">
        <f t="shared" ref="S60" si="99">REPT(CHAR(9),1)&amp;D60&amp;G60</f>
        <v xml:space="preserve">	pdiDatetime : any ;</v>
      </c>
      <c r="T60" s="28" t="str">
        <f t="shared" ref="T60" si="100">REPT(CHAR(9),3)&amp;"this."&amp;D60&amp;","</f>
        <v xml:space="preserve">			this.pdiDatetime,</v>
      </c>
      <c r="U60" s="28" t="str">
        <f t="shared" ref="U60" si="101">IF(E60="int",REPT(CHAR(9),2)&amp;"this."&amp;D60&amp;" = 0,",REPT(CHAR(9),2)&amp;"this."&amp;D60&amp;" = '',")</f>
        <v xml:space="preserve">		this.pdiDatetime = '',</v>
      </c>
      <c r="V60" s="28" t="str">
        <f t="shared" si="80"/>
        <v/>
      </c>
    </row>
    <row r="61" spans="1:22" ht="15" customHeight="1" x14ac:dyDescent="0.3">
      <c r="A61" s="41" t="s">
        <v>336</v>
      </c>
      <c r="B61" s="28" t="str">
        <f t="shared" si="69"/>
        <v>PdiDate</v>
      </c>
      <c r="C61" s="28" t="str">
        <f t="shared" si="70"/>
        <v>Pdi Date</v>
      </c>
      <c r="D61" s="28" t="str">
        <f t="shared" si="71"/>
        <v>pdiDate</v>
      </c>
      <c r="E61" s="28" t="str">
        <f>A.Backend!H55</f>
        <v>DateTime</v>
      </c>
      <c r="F61" s="28" t="str">
        <f>A.Backend!G55</f>
        <v/>
      </c>
      <c r="G61" s="28" t="str">
        <f t="shared" si="72"/>
        <v xml:space="preserve"> : any ;</v>
      </c>
      <c r="H61" s="35" t="str">
        <f t="shared" si="73"/>
        <v xml:space="preserve">			{headerName: this.l('Pdi Date'),headerTooltip: this.l('Pdi Date'),field: 'pdiDate',valueGetter: (params) =&gt; this.pipe.transform(params.data?.pdiDate, 'dd/MM/yyyy'),flex: 1},</v>
      </c>
      <c r="I61" s="35" t="str">
        <f t="shared" si="74"/>
        <v xml:space="preserve">								&lt;div class='input-search'&gt;
									&lt;input type='text' [placeholder]="l('Pdi Date')" [(ngModel)]='pdiDate' 
									name='pdiDate' (keydown)='searchDatas()' class='form-control' 
									bsDatepicker #d='bsDatepicker' placement='bottom left'&gt;
									&lt;i class='fa fa-calendar-alt' (click)='d.toggle()'&gt;&lt;/i&gt;
								&lt;/div&gt;</v>
      </c>
      <c r="J61" s="28"/>
      <c r="K61" s="35" t="str">
        <f t="shared" si="75"/>
        <v xml:space="preserve">					&lt;div class='col-md-12 form-group row'&gt;
						&lt;label class='col-md-2 form-control title'&gt;Pdi Date&lt;/label&gt;
						&lt;input type='text' class='col-md-10 form-control input-text' name='pdiDate' 
						#datepicker='bsDatepicker' [(ngModel)]='rowdata.pdiDate'  bsDatepicker &gt;
					&lt;/div&gt;</v>
      </c>
      <c r="L61" s="56" t="str">
        <f t="shared" si="76"/>
        <v xml:space="preserve">		const dateValue =  this.rowdata.pdiDate ? new Date(this.rowdata.pdiDate?.toString()) : new Date();
		this.datepicker?.bsValueChange.emit(dateValue);</v>
      </c>
      <c r="M61" s="28"/>
      <c r="N61" s="28"/>
      <c r="O61" s="28"/>
      <c r="P61" s="28"/>
      <c r="Q61" s="28"/>
      <c r="R61" s="28"/>
      <c r="S61" s="28" t="str">
        <f>REPT(CHAR(9),1)&amp;D61&amp;G61</f>
        <v xml:space="preserve">	pdiDate : any ;</v>
      </c>
      <c r="T61" s="28" t="str">
        <f>REPT(CHAR(9),3)&amp;"this."&amp;D61&amp;","</f>
        <v xml:space="preserve">			this.pdiDate,</v>
      </c>
      <c r="U61" s="28" t="str">
        <f>IF(E61="int",REPT(CHAR(9),2)&amp;"this."&amp;D61&amp;" = 0,",REPT(CHAR(9),2)&amp;"this."&amp;D61&amp;" = '',")</f>
        <v xml:space="preserve">		this.pdiDate = '',</v>
      </c>
      <c r="V61" s="28" t="str">
        <f t="shared" si="80"/>
        <v/>
      </c>
    </row>
    <row r="62" spans="1:22" ht="18" customHeight="1" x14ac:dyDescent="0.3">
      <c r="A62" s="41" t="s">
        <v>337</v>
      </c>
      <c r="B62" s="28" t="str">
        <f t="shared" si="69"/>
        <v>PdiTime</v>
      </c>
      <c r="C62" s="28" t="str">
        <f t="shared" si="70"/>
        <v>Pdi Time</v>
      </c>
      <c r="D62" s="28" t="str">
        <f t="shared" si="71"/>
        <v>pdiTime</v>
      </c>
      <c r="E62" s="28" t="str">
        <f>A.Backend!H56</f>
        <v>DateTime</v>
      </c>
      <c r="F62" s="28" t="str">
        <f>A.Backend!G56</f>
        <v>7</v>
      </c>
      <c r="G62" s="28" t="str">
        <f t="shared" si="72"/>
        <v xml:space="preserve"> : any ;</v>
      </c>
      <c r="H62" s="35" t="str">
        <f t="shared" si="73"/>
        <v xml:space="preserve">			{headerName: this.l('Pdi Time'),headerTooltip: this.l('Pdi Time'),field: 'pdiTime',valueGetter: (params) =&gt; this.pipe.transform(params.data?.pdiTime, 'dd/MM/yyyy'),flex: 1},</v>
      </c>
      <c r="I62" s="35" t="str">
        <f t="shared" si="74"/>
        <v xml:space="preserve">								&lt;div class='input-search'&gt;
									&lt;input type='text' [placeholder]="l('Pdi Time')" [(ngModel)]='pdiTime' 
									name='pdiTime' (keydown)='searchDatas()' class='form-control' 
									bsDatepicker #d='bsDatepicker' placement='bottom left'&gt;
									&lt;i class='fa fa-calendar-alt' (click)='d.toggle()'&gt;&lt;/i&gt;
								&lt;/div&gt;</v>
      </c>
      <c r="J62" s="28"/>
      <c r="K62" s="35" t="str">
        <f t="shared" si="75"/>
        <v xml:space="preserve">					&lt;div class='col-md-12 form-group row'&gt;
						&lt;label class='col-md-2 form-control title'&gt;Pdi Time&lt;/label&gt;
						&lt;input type='text' class='col-md-10 form-control input-text' name='pdiTime' 
						#datepicker='bsDatepicker' [(ngModel)]='rowdata.pdiTime'  bsDatepicker &gt;
					&lt;/div&gt;</v>
      </c>
      <c r="L62" s="56" t="str">
        <f t="shared" si="76"/>
        <v xml:space="preserve">		const dateValue =  this.rowdata.pdiTime ? new Date(this.rowdata.pdiTime?.toString()) : new Date();
		this.datepicker?.bsValueChange.emit(dateValue);</v>
      </c>
      <c r="M62" s="28"/>
      <c r="N62" s="28"/>
      <c r="O62" s="28"/>
      <c r="P62" s="28"/>
      <c r="Q62" s="28"/>
      <c r="R62" s="28"/>
      <c r="S62" s="28" t="str">
        <f t="shared" ref="S62" si="102">REPT(CHAR(9),1)&amp;D62&amp;G62</f>
        <v xml:space="preserve">	pdiTime : any ;</v>
      </c>
      <c r="T62" s="28" t="str">
        <f t="shared" ref="T62" si="103">REPT(CHAR(9),3)&amp;"this."&amp;D62&amp;","</f>
        <v xml:space="preserve">			this.pdiTime,</v>
      </c>
      <c r="U62" s="28" t="str">
        <f t="shared" ref="U62" si="104">IF(E62="int",REPT(CHAR(9),2)&amp;"this."&amp;D62&amp;" = 0,",REPT(CHAR(9),2)&amp;"this."&amp;D62&amp;" = '',")</f>
        <v xml:space="preserve">		this.pdiTime = '',</v>
      </c>
      <c r="V62" s="28" t="str">
        <f t="shared" si="80"/>
        <v/>
      </c>
    </row>
    <row r="65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RowHeight="14.4" x14ac:dyDescent="0.3"/>
  <cols>
    <col min="1" max="1" width="22.5546875" bestFit="1" customWidth="1"/>
    <col min="2" max="2" width="29.886718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33</v>
      </c>
    </row>
    <row r="3" spans="1:2" x14ac:dyDescent="0.3">
      <c r="A3" t="s">
        <v>18</v>
      </c>
      <c r="B3" t="s">
        <v>33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36</v>
      </c>
    </row>
    <row r="6" spans="1:2" x14ac:dyDescent="0.3">
      <c r="A6" t="s">
        <v>23</v>
      </c>
      <c r="B6" t="s">
        <v>34</v>
      </c>
    </row>
    <row r="7" spans="1:2" x14ac:dyDescent="0.3">
      <c r="A7" t="s">
        <v>24</v>
      </c>
      <c r="B7" t="s">
        <v>4</v>
      </c>
    </row>
    <row r="8" spans="1:2" x14ac:dyDescent="0.3">
      <c r="A8" t="s">
        <v>4</v>
      </c>
      <c r="B8" t="s">
        <v>4</v>
      </c>
    </row>
    <row r="9" spans="1:2" x14ac:dyDescent="0.3">
      <c r="A9" t="s">
        <v>0</v>
      </c>
      <c r="B9" t="s">
        <v>48</v>
      </c>
    </row>
    <row r="10" spans="1:2" x14ac:dyDescent="0.3">
      <c r="A10" t="s">
        <v>25</v>
      </c>
      <c r="B10" t="s">
        <v>28</v>
      </c>
    </row>
    <row r="11" spans="1:2" x14ac:dyDescent="0.3">
      <c r="A11" t="s">
        <v>26</v>
      </c>
      <c r="B11" t="s">
        <v>28</v>
      </c>
    </row>
    <row r="12" spans="1:2" x14ac:dyDescent="0.3">
      <c r="A12" t="s">
        <v>27</v>
      </c>
      <c r="B12" t="s">
        <v>28</v>
      </c>
    </row>
    <row r="13" spans="1:2" x14ac:dyDescent="0.3">
      <c r="A13" t="s">
        <v>28</v>
      </c>
      <c r="B13" t="s">
        <v>28</v>
      </c>
    </row>
    <row r="14" spans="1:2" x14ac:dyDescent="0.3">
      <c r="A14" t="s">
        <v>29</v>
      </c>
      <c r="B14" t="s">
        <v>28</v>
      </c>
    </row>
    <row r="15" spans="1:2" x14ac:dyDescent="0.3">
      <c r="A15" t="s">
        <v>30</v>
      </c>
      <c r="B15" t="s">
        <v>28</v>
      </c>
    </row>
    <row r="16" spans="1:2" x14ac:dyDescent="0.3">
      <c r="A16" t="s">
        <v>31</v>
      </c>
      <c r="B16" t="s">
        <v>32</v>
      </c>
    </row>
    <row r="17" spans="1:2" x14ac:dyDescent="0.3">
      <c r="A17" t="s">
        <v>3</v>
      </c>
      <c r="B17" t="s">
        <v>32</v>
      </c>
    </row>
    <row r="18" spans="1:2" x14ac:dyDescent="0.3">
      <c r="A18" t="s">
        <v>35</v>
      </c>
      <c r="B18" t="s">
        <v>32</v>
      </c>
    </row>
    <row r="19" spans="1:2" x14ac:dyDescent="0.3">
      <c r="A19" t="s">
        <v>2</v>
      </c>
      <c r="B19" t="s">
        <v>32</v>
      </c>
    </row>
    <row r="20" spans="1:2" x14ac:dyDescent="0.3">
      <c r="A20" t="s">
        <v>269</v>
      </c>
      <c r="B20" t="s">
        <v>270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6" x14ac:dyDescent="0.3"/>
  <cols>
    <col min="1" max="1" width="14.33203125" customWidth="1"/>
    <col min="2" max="2" width="71.6640625" style="20" customWidth="1"/>
  </cols>
  <sheetData>
    <row r="2" spans="1:2" x14ac:dyDescent="0.3">
      <c r="A2" s="22" t="s">
        <v>194</v>
      </c>
      <c r="B2" s="23" t="s">
        <v>191</v>
      </c>
    </row>
    <row r="3" spans="1:2" x14ac:dyDescent="0.3">
      <c r="B3" s="20" t="s">
        <v>116</v>
      </c>
    </row>
    <row r="4" spans="1:2" x14ac:dyDescent="0.3">
      <c r="B4" s="20" t="s">
        <v>117</v>
      </c>
    </row>
    <row r="5" spans="1:2" x14ac:dyDescent="0.3">
      <c r="B5" s="20" t="s">
        <v>118</v>
      </c>
    </row>
    <row r="6" spans="1:2" x14ac:dyDescent="0.3">
      <c r="B6" s="20" t="s">
        <v>119</v>
      </c>
    </row>
    <row r="7" spans="1:2" x14ac:dyDescent="0.3">
      <c r="B7" s="20" t="s">
        <v>120</v>
      </c>
    </row>
    <row r="8" spans="1:2" x14ac:dyDescent="0.3">
      <c r="B8" s="20" t="s">
        <v>121</v>
      </c>
    </row>
    <row r="9" spans="1:2" x14ac:dyDescent="0.3">
      <c r="B9" s="20" t="s">
        <v>122</v>
      </c>
    </row>
    <row r="10" spans="1:2" x14ac:dyDescent="0.3">
      <c r="B10" s="20" t="s">
        <v>123</v>
      </c>
    </row>
    <row r="11" spans="1:2" x14ac:dyDescent="0.3">
      <c r="B11" s="20" t="s">
        <v>124</v>
      </c>
    </row>
    <row r="12" spans="1:2" x14ac:dyDescent="0.3">
      <c r="B12" s="20" t="s">
        <v>125</v>
      </c>
    </row>
    <row r="13" spans="1:2" x14ac:dyDescent="0.3">
      <c r="B13" s="20" t="s">
        <v>126</v>
      </c>
    </row>
    <row r="14" spans="1:2" x14ac:dyDescent="0.3">
      <c r="B14" s="20" t="s">
        <v>127</v>
      </c>
    </row>
    <row r="15" spans="1:2" x14ac:dyDescent="0.3">
      <c r="B15" s="20" t="s">
        <v>128</v>
      </c>
    </row>
    <row r="16" spans="1:2" x14ac:dyDescent="0.3">
      <c r="B16" s="20" t="s">
        <v>129</v>
      </c>
    </row>
    <row r="17" spans="1:3" x14ac:dyDescent="0.3">
      <c r="B17" s="20" t="s">
        <v>130</v>
      </c>
    </row>
    <row r="18" spans="1:3" x14ac:dyDescent="0.3">
      <c r="B18" s="20" t="s">
        <v>131</v>
      </c>
      <c r="C18" t="s">
        <v>193</v>
      </c>
    </row>
    <row r="19" spans="1:3" x14ac:dyDescent="0.3">
      <c r="B19" s="20" t="s">
        <v>132</v>
      </c>
    </row>
    <row r="20" spans="1:3" x14ac:dyDescent="0.3">
      <c r="B20" s="20" t="s">
        <v>133</v>
      </c>
    </row>
    <row r="21" spans="1:3" x14ac:dyDescent="0.3">
      <c r="B21" s="20" t="s">
        <v>134</v>
      </c>
    </row>
    <row r="22" spans="1:3" x14ac:dyDescent="0.3">
      <c r="B22" s="20" t="s">
        <v>135</v>
      </c>
      <c r="C22" t="s">
        <v>198</v>
      </c>
    </row>
    <row r="23" spans="1:3" x14ac:dyDescent="0.3">
      <c r="B23" s="20" t="s">
        <v>136</v>
      </c>
    </row>
    <row r="24" spans="1:3" x14ac:dyDescent="0.3">
      <c r="B24" s="20" t="s">
        <v>137</v>
      </c>
    </row>
    <row r="25" spans="1:3" x14ac:dyDescent="0.3">
      <c r="B25" s="20" t="s">
        <v>138</v>
      </c>
    </row>
    <row r="26" spans="1:3" x14ac:dyDescent="0.3">
      <c r="A26" s="22" t="s">
        <v>195</v>
      </c>
      <c r="B26" s="23" t="s">
        <v>192</v>
      </c>
    </row>
    <row r="27" spans="1:3" x14ac:dyDescent="0.3">
      <c r="B27" s="20" t="s">
        <v>139</v>
      </c>
    </row>
    <row r="28" spans="1:3" x14ac:dyDescent="0.3">
      <c r="B28" s="21" t="s">
        <v>140</v>
      </c>
    </row>
    <row r="29" spans="1:3" x14ac:dyDescent="0.3">
      <c r="B29" s="20" t="s">
        <v>141</v>
      </c>
    </row>
    <row r="30" spans="1:3" x14ac:dyDescent="0.3">
      <c r="B30" s="20" t="s">
        <v>142</v>
      </c>
    </row>
    <row r="31" spans="1:3" x14ac:dyDescent="0.3">
      <c r="B31" s="20" t="s">
        <v>143</v>
      </c>
    </row>
    <row r="32" spans="1:3" x14ac:dyDescent="0.3">
      <c r="B32" s="20" t="s">
        <v>144</v>
      </c>
    </row>
    <row r="33" spans="2:2" x14ac:dyDescent="0.3">
      <c r="B33" s="20" t="s">
        <v>145</v>
      </c>
    </row>
    <row r="34" spans="2:2" x14ac:dyDescent="0.3">
      <c r="B34" s="20" t="s">
        <v>146</v>
      </c>
    </row>
    <row r="35" spans="2:2" x14ac:dyDescent="0.3">
      <c r="B35" s="20" t="s">
        <v>147</v>
      </c>
    </row>
    <row r="36" spans="2:2" x14ac:dyDescent="0.3">
      <c r="B36" s="20" t="s">
        <v>148</v>
      </c>
    </row>
    <row r="37" spans="2:2" x14ac:dyDescent="0.3">
      <c r="B37" s="20" t="s">
        <v>149</v>
      </c>
    </row>
    <row r="38" spans="2:2" x14ac:dyDescent="0.3">
      <c r="B38" s="20" t="s">
        <v>150</v>
      </c>
    </row>
    <row r="39" spans="2:2" x14ac:dyDescent="0.3">
      <c r="B39" s="20" t="s">
        <v>151</v>
      </c>
    </row>
    <row r="40" spans="2:2" x14ac:dyDescent="0.3">
      <c r="B40" s="20" t="s">
        <v>152</v>
      </c>
    </row>
    <row r="41" spans="2:2" x14ac:dyDescent="0.3">
      <c r="B41" s="20" t="s">
        <v>153</v>
      </c>
    </row>
    <row r="42" spans="2:2" x14ac:dyDescent="0.3">
      <c r="B42" s="20" t="s">
        <v>154</v>
      </c>
    </row>
    <row r="43" spans="2:2" x14ac:dyDescent="0.3">
      <c r="B43" s="21" t="s">
        <v>155</v>
      </c>
    </row>
    <row r="44" spans="2:2" x14ac:dyDescent="0.3">
      <c r="B44" s="20" t="s">
        <v>141</v>
      </c>
    </row>
    <row r="45" spans="2:2" x14ac:dyDescent="0.3">
      <c r="B45" s="20" t="s">
        <v>156</v>
      </c>
    </row>
    <row r="46" spans="2:2" x14ac:dyDescent="0.3">
      <c r="B46" s="20" t="s">
        <v>157</v>
      </c>
    </row>
    <row r="47" spans="2:2" x14ac:dyDescent="0.3">
      <c r="B47" s="20" t="s">
        <v>158</v>
      </c>
    </row>
    <row r="48" spans="2:2" x14ac:dyDescent="0.3">
      <c r="B48" s="20" t="s">
        <v>159</v>
      </c>
    </row>
    <row r="49" spans="2:2" x14ac:dyDescent="0.3">
      <c r="B49" s="20" t="s">
        <v>142</v>
      </c>
    </row>
    <row r="50" spans="2:2" x14ac:dyDescent="0.3">
      <c r="B50" s="20" t="s">
        <v>143</v>
      </c>
    </row>
    <row r="51" spans="2:2" x14ac:dyDescent="0.3">
      <c r="B51" s="20" t="s">
        <v>144</v>
      </c>
    </row>
    <row r="52" spans="2:2" x14ac:dyDescent="0.3">
      <c r="B52" s="20" t="s">
        <v>145</v>
      </c>
    </row>
    <row r="53" spans="2:2" x14ac:dyDescent="0.3">
      <c r="B53" s="20" t="s">
        <v>146</v>
      </c>
    </row>
    <row r="54" spans="2:2" x14ac:dyDescent="0.3">
      <c r="B54" s="20" t="s">
        <v>147</v>
      </c>
    </row>
    <row r="55" spans="2:2" x14ac:dyDescent="0.3">
      <c r="B55" s="20" t="s">
        <v>148</v>
      </c>
    </row>
    <row r="56" spans="2:2" x14ac:dyDescent="0.3">
      <c r="B56" s="20" t="s">
        <v>160</v>
      </c>
    </row>
    <row r="57" spans="2:2" x14ac:dyDescent="0.3">
      <c r="B57" s="20" t="s">
        <v>161</v>
      </c>
    </row>
    <row r="58" spans="2:2" x14ac:dyDescent="0.3">
      <c r="B58" s="20" t="s">
        <v>149</v>
      </c>
    </row>
    <row r="59" spans="2:2" x14ac:dyDescent="0.3">
      <c r="B59" s="20" t="s">
        <v>150</v>
      </c>
    </row>
    <row r="60" spans="2:2" x14ac:dyDescent="0.3">
      <c r="B60" s="20" t="s">
        <v>162</v>
      </c>
    </row>
    <row r="61" spans="2:2" x14ac:dyDescent="0.3">
      <c r="B61" s="20" t="s">
        <v>163</v>
      </c>
    </row>
    <row r="62" spans="2:2" x14ac:dyDescent="0.3">
      <c r="B62" s="20" t="s">
        <v>164</v>
      </c>
    </row>
    <row r="63" spans="2:2" x14ac:dyDescent="0.3">
      <c r="B63" s="20" t="s">
        <v>159</v>
      </c>
    </row>
    <row r="64" spans="2:2" x14ac:dyDescent="0.3">
      <c r="B64" s="20" t="s">
        <v>151</v>
      </c>
    </row>
    <row r="65" spans="2:2" x14ac:dyDescent="0.3">
      <c r="B65" s="20" t="s">
        <v>152</v>
      </c>
    </row>
    <row r="66" spans="2:2" x14ac:dyDescent="0.3">
      <c r="B66" s="20" t="s">
        <v>165</v>
      </c>
    </row>
    <row r="67" spans="2:2" x14ac:dyDescent="0.3">
      <c r="B67" s="20" t="s">
        <v>159</v>
      </c>
    </row>
    <row r="68" spans="2:2" x14ac:dyDescent="0.3">
      <c r="B68" s="20" t="s">
        <v>153</v>
      </c>
    </row>
    <row r="69" spans="2:2" x14ac:dyDescent="0.3">
      <c r="B69" s="20" t="s">
        <v>166</v>
      </c>
    </row>
    <row r="70" spans="2:2" x14ac:dyDescent="0.3">
      <c r="B70" s="21" t="s">
        <v>167</v>
      </c>
    </row>
    <row r="71" spans="2:2" x14ac:dyDescent="0.3">
      <c r="B71" s="20" t="s">
        <v>141</v>
      </c>
    </row>
    <row r="72" spans="2:2" x14ac:dyDescent="0.3">
      <c r="B72" s="20" t="s">
        <v>142</v>
      </c>
    </row>
    <row r="73" spans="2:2" x14ac:dyDescent="0.3">
      <c r="B73" s="20" t="s">
        <v>143</v>
      </c>
    </row>
    <row r="74" spans="2:2" x14ac:dyDescent="0.3">
      <c r="B74" s="20" t="s">
        <v>144</v>
      </c>
    </row>
    <row r="75" spans="2:2" x14ac:dyDescent="0.3">
      <c r="B75" s="20" t="s">
        <v>148</v>
      </c>
    </row>
    <row r="76" spans="2:2" x14ac:dyDescent="0.3">
      <c r="B76" s="20" t="s">
        <v>150</v>
      </c>
    </row>
    <row r="77" spans="2:2" x14ac:dyDescent="0.3">
      <c r="B77" s="20" t="s">
        <v>151</v>
      </c>
    </row>
    <row r="78" spans="2:2" x14ac:dyDescent="0.3">
      <c r="B78" s="20" t="s">
        <v>152</v>
      </c>
    </row>
    <row r="79" spans="2:2" x14ac:dyDescent="0.3">
      <c r="B79" s="20" t="s">
        <v>153</v>
      </c>
    </row>
    <row r="80" spans="2:2" x14ac:dyDescent="0.3">
      <c r="B80" s="20" t="s">
        <v>166</v>
      </c>
    </row>
    <row r="81" spans="1:2" x14ac:dyDescent="0.3">
      <c r="B81" s="21" t="s">
        <v>168</v>
      </c>
    </row>
    <row r="82" spans="1:2" x14ac:dyDescent="0.3">
      <c r="B82" s="21" t="s">
        <v>169</v>
      </c>
    </row>
    <row r="83" spans="1:2" x14ac:dyDescent="0.3">
      <c r="B83" s="21" t="s">
        <v>170</v>
      </c>
    </row>
    <row r="84" spans="1:2" x14ac:dyDescent="0.3">
      <c r="B84" s="21" t="s">
        <v>171</v>
      </c>
    </row>
    <row r="85" spans="1:2" x14ac:dyDescent="0.3">
      <c r="B85" s="21" t="s">
        <v>172</v>
      </c>
    </row>
    <row r="86" spans="1:2" x14ac:dyDescent="0.3">
      <c r="B86" s="21" t="s">
        <v>173</v>
      </c>
    </row>
    <row r="87" spans="1:2" x14ac:dyDescent="0.3">
      <c r="B87" s="21" t="s">
        <v>174</v>
      </c>
    </row>
    <row r="88" spans="1:2" x14ac:dyDescent="0.3">
      <c r="A88" s="22" t="s">
        <v>196</v>
      </c>
      <c r="B88" s="24" t="s">
        <v>175</v>
      </c>
    </row>
    <row r="89" spans="1:2" x14ac:dyDescent="0.3">
      <c r="B89" s="20" t="s">
        <v>176</v>
      </c>
    </row>
    <row r="90" spans="1:2" x14ac:dyDescent="0.3">
      <c r="B90" s="20" t="s">
        <v>177</v>
      </c>
    </row>
    <row r="91" spans="1:2" x14ac:dyDescent="0.3">
      <c r="B91" s="20" t="s">
        <v>178</v>
      </c>
    </row>
    <row r="92" spans="1:2" x14ac:dyDescent="0.3">
      <c r="B92" s="20" t="s">
        <v>179</v>
      </c>
    </row>
    <row r="93" spans="1:2" x14ac:dyDescent="0.3">
      <c r="B93" s="20" t="s">
        <v>180</v>
      </c>
    </row>
    <row r="94" spans="1:2" x14ac:dyDescent="0.3">
      <c r="B94" s="20" t="s">
        <v>181</v>
      </c>
    </row>
    <row r="95" spans="1:2" x14ac:dyDescent="0.3">
      <c r="B95" s="20" t="s">
        <v>182</v>
      </c>
    </row>
    <row r="96" spans="1:2" x14ac:dyDescent="0.3">
      <c r="B96" s="20" t="s">
        <v>183</v>
      </c>
    </row>
    <row r="97" spans="2:2" x14ac:dyDescent="0.3">
      <c r="B97" s="20" t="s">
        <v>184</v>
      </c>
    </row>
    <row r="98" spans="2:2" x14ac:dyDescent="0.3">
      <c r="B98" s="20" t="s">
        <v>185</v>
      </c>
    </row>
    <row r="99" spans="2:2" x14ac:dyDescent="0.3">
      <c r="B99" s="20" t="s">
        <v>186</v>
      </c>
    </row>
    <row r="100" spans="2:2" x14ac:dyDescent="0.3">
      <c r="B100" s="20" t="s">
        <v>187</v>
      </c>
    </row>
    <row r="101" spans="2:2" x14ac:dyDescent="0.3">
      <c r="B101" s="20" t="s">
        <v>188</v>
      </c>
    </row>
    <row r="102" spans="2:2" x14ac:dyDescent="0.3">
      <c r="B102" s="20" t="s">
        <v>189</v>
      </c>
    </row>
    <row r="103" spans="2:2" x14ac:dyDescent="0.3">
      <c r="B103" s="20" t="s">
        <v>190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Thinh Bui Duc</cp:lastModifiedBy>
  <dcterms:created xsi:type="dcterms:W3CDTF">2022-04-01T07:31:40Z</dcterms:created>
  <dcterms:modified xsi:type="dcterms:W3CDTF">2023-05-26T02:39:14Z</dcterms:modified>
</cp:coreProperties>
</file>
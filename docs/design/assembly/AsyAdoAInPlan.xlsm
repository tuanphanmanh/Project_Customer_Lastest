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Source\docs\design\assembly\"/>
    </mc:Choice>
  </mc:AlternateContent>
  <bookViews>
    <workbookView xWindow="0" yWindow="0" windowWidth="28800" windowHeight="1180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I26" i="5" s="1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5" i="5"/>
  <c r="F35" i="5"/>
  <c r="E36" i="5"/>
  <c r="F36" i="5"/>
  <c r="E37" i="5"/>
  <c r="F37" i="5"/>
  <c r="E38" i="5"/>
  <c r="F38" i="5"/>
  <c r="E39" i="5"/>
  <c r="F39" i="5"/>
  <c r="E40" i="5"/>
  <c r="F40" i="5"/>
  <c r="E41" i="5"/>
  <c r="F41" i="5"/>
  <c r="E42" i="5"/>
  <c r="F42" i="5"/>
  <c r="E43" i="5"/>
  <c r="F43" i="5"/>
  <c r="E44" i="5"/>
  <c r="I44" i="5" s="1"/>
  <c r="F44" i="5"/>
  <c r="C44" i="5"/>
  <c r="B44" i="5"/>
  <c r="D44" i="5" s="1"/>
  <c r="V43" i="5"/>
  <c r="C43" i="5"/>
  <c r="B43" i="5"/>
  <c r="D43" i="5" s="1"/>
  <c r="C42" i="5"/>
  <c r="B42" i="5"/>
  <c r="D42" i="5" s="1"/>
  <c r="G41" i="5"/>
  <c r="V41" i="5"/>
  <c r="C41" i="5"/>
  <c r="B41" i="5"/>
  <c r="D41" i="5" s="1"/>
  <c r="L41" i="5" s="1"/>
  <c r="C40" i="5"/>
  <c r="B40" i="5"/>
  <c r="D40" i="5" s="1"/>
  <c r="U39" i="5"/>
  <c r="D39" i="5"/>
  <c r="C39" i="5"/>
  <c r="B39" i="5"/>
  <c r="C38" i="5"/>
  <c r="B38" i="5"/>
  <c r="D38" i="5" s="1"/>
  <c r="L37" i="5"/>
  <c r="G37" i="5"/>
  <c r="D37" i="5"/>
  <c r="V37" i="5" s="1"/>
  <c r="C37" i="5"/>
  <c r="B37" i="5"/>
  <c r="C36" i="5"/>
  <c r="B36" i="5"/>
  <c r="D36" i="5" s="1"/>
  <c r="C35" i="5"/>
  <c r="B35" i="5"/>
  <c r="D35" i="5" s="1"/>
  <c r="C34" i="5"/>
  <c r="B34" i="5"/>
  <c r="D34" i="5" s="1"/>
  <c r="U33" i="5"/>
  <c r="C33" i="5"/>
  <c r="B33" i="5"/>
  <c r="D33" i="5" s="1"/>
  <c r="C32" i="5"/>
  <c r="B32" i="5"/>
  <c r="D32" i="5" s="1"/>
  <c r="C31" i="5"/>
  <c r="B31" i="5"/>
  <c r="D31" i="5" s="1"/>
  <c r="C30" i="5"/>
  <c r="B30" i="5"/>
  <c r="D30" i="5" s="1"/>
  <c r="G29" i="5"/>
  <c r="V29" i="5"/>
  <c r="C29" i="5"/>
  <c r="B29" i="5"/>
  <c r="D29" i="5" s="1"/>
  <c r="C28" i="5"/>
  <c r="B28" i="5"/>
  <c r="D28" i="5" s="1"/>
  <c r="C27" i="5"/>
  <c r="B27" i="5"/>
  <c r="D27" i="5" s="1"/>
  <c r="C26" i="5"/>
  <c r="B26" i="5"/>
  <c r="D26" i="5" s="1"/>
  <c r="T26" i="5" s="1"/>
  <c r="V27" i="5" l="1"/>
  <c r="L29" i="5"/>
  <c r="K36" i="5"/>
  <c r="U37" i="5"/>
  <c r="G39" i="5"/>
  <c r="L43" i="5"/>
  <c r="G43" i="5"/>
  <c r="G27" i="5"/>
  <c r="S27" i="5" s="1"/>
  <c r="H37" i="5"/>
  <c r="L39" i="5"/>
  <c r="V39" i="5"/>
  <c r="K44" i="5"/>
  <c r="I42" i="5"/>
  <c r="U43" i="5"/>
  <c r="U41" i="5"/>
  <c r="I30" i="5"/>
  <c r="U31" i="5"/>
  <c r="I32" i="5"/>
  <c r="T36" i="5"/>
  <c r="U36" i="5"/>
  <c r="T38" i="5"/>
  <c r="U38" i="5"/>
  <c r="K38" i="5"/>
  <c r="I40" i="5"/>
  <c r="T44" i="5"/>
  <c r="U44" i="5"/>
  <c r="T40" i="5"/>
  <c r="U40" i="5"/>
  <c r="K40" i="5"/>
  <c r="I36" i="5"/>
  <c r="I38" i="5"/>
  <c r="T42" i="5"/>
  <c r="U42" i="5"/>
  <c r="K42" i="5"/>
  <c r="L27" i="5"/>
  <c r="G33" i="5"/>
  <c r="S33" i="5" s="1"/>
  <c r="G36" i="5"/>
  <c r="S36" i="5" s="1"/>
  <c r="L36" i="5"/>
  <c r="V36" i="5"/>
  <c r="I37" i="5"/>
  <c r="T37" i="5"/>
  <c r="G38" i="5"/>
  <c r="S38" i="5" s="1"/>
  <c r="L38" i="5"/>
  <c r="V38" i="5"/>
  <c r="I39" i="5"/>
  <c r="T39" i="5"/>
  <c r="G40" i="5"/>
  <c r="S40" i="5" s="1"/>
  <c r="L40" i="5"/>
  <c r="V40" i="5"/>
  <c r="I41" i="5"/>
  <c r="T41" i="5"/>
  <c r="G42" i="5"/>
  <c r="S42" i="5" s="1"/>
  <c r="L42" i="5"/>
  <c r="V42" i="5"/>
  <c r="I43" i="5"/>
  <c r="T43" i="5"/>
  <c r="G44" i="5"/>
  <c r="S44" i="5" s="1"/>
  <c r="L44" i="5"/>
  <c r="V44" i="5"/>
  <c r="V31" i="5"/>
  <c r="H39" i="5"/>
  <c r="S39" i="5"/>
  <c r="H41" i="5"/>
  <c r="S41" i="5"/>
  <c r="H43" i="5"/>
  <c r="S43" i="5"/>
  <c r="G31" i="5"/>
  <c r="S31" i="5" s="1"/>
  <c r="L33" i="5"/>
  <c r="V35" i="5"/>
  <c r="H36" i="5"/>
  <c r="K37" i="5"/>
  <c r="H38" i="5"/>
  <c r="K39" i="5"/>
  <c r="H40" i="5"/>
  <c r="K41" i="5"/>
  <c r="H42" i="5"/>
  <c r="K43" i="5"/>
  <c r="H44" i="5"/>
  <c r="S37" i="5"/>
  <c r="L31" i="5"/>
  <c r="V33" i="5"/>
  <c r="T35" i="5"/>
  <c r="I28" i="5"/>
  <c r="U29" i="5"/>
  <c r="T32" i="5"/>
  <c r="T33" i="5"/>
  <c r="T28" i="5"/>
  <c r="T27" i="5"/>
  <c r="T34" i="5"/>
  <c r="U27" i="5"/>
  <c r="T30" i="5"/>
  <c r="T31" i="5"/>
  <c r="I34" i="5"/>
  <c r="T29" i="5"/>
  <c r="S29" i="5"/>
  <c r="K26" i="5"/>
  <c r="U26" i="5"/>
  <c r="H27" i="5"/>
  <c r="K28" i="5"/>
  <c r="U28" i="5"/>
  <c r="H29" i="5"/>
  <c r="K30" i="5"/>
  <c r="U30" i="5"/>
  <c r="H31" i="5"/>
  <c r="K32" i="5"/>
  <c r="U32" i="5"/>
  <c r="H33" i="5"/>
  <c r="K34" i="5"/>
  <c r="U34" i="5"/>
  <c r="H35" i="5"/>
  <c r="G26" i="5"/>
  <c r="S26" i="5" s="1"/>
  <c r="L26" i="5"/>
  <c r="V26" i="5"/>
  <c r="I27" i="5"/>
  <c r="G28" i="5"/>
  <c r="S28" i="5" s="1"/>
  <c r="L28" i="5"/>
  <c r="V28" i="5"/>
  <c r="I29" i="5"/>
  <c r="G30" i="5"/>
  <c r="S30" i="5" s="1"/>
  <c r="L30" i="5"/>
  <c r="V30" i="5"/>
  <c r="I31" i="5"/>
  <c r="G32" i="5"/>
  <c r="S32" i="5" s="1"/>
  <c r="L32" i="5"/>
  <c r="V32" i="5"/>
  <c r="I33" i="5"/>
  <c r="G34" i="5"/>
  <c r="S34" i="5" s="1"/>
  <c r="L34" i="5"/>
  <c r="V34" i="5"/>
  <c r="I35" i="5"/>
  <c r="H26" i="5"/>
  <c r="K27" i="5"/>
  <c r="H28" i="5"/>
  <c r="K29" i="5"/>
  <c r="H30" i="5"/>
  <c r="K31" i="5"/>
  <c r="H32" i="5"/>
  <c r="K33" i="5"/>
  <c r="H34" i="5"/>
  <c r="K35" i="5"/>
  <c r="U35" i="5"/>
  <c r="G35" i="5"/>
  <c r="S35" i="5" s="1"/>
  <c r="L35" i="5"/>
  <c r="L38" i="1"/>
  <c r="G38" i="1"/>
  <c r="E38" i="1"/>
  <c r="H38" i="1" s="1"/>
  <c r="D38" i="1"/>
  <c r="T38" i="1" s="1"/>
  <c r="L37" i="1"/>
  <c r="G37" i="1"/>
  <c r="E37" i="1"/>
  <c r="H37" i="1" s="1"/>
  <c r="D37" i="1"/>
  <c r="V37" i="1" s="1"/>
  <c r="M38" i="1" l="1"/>
  <c r="W38" i="1"/>
  <c r="O38" i="1"/>
  <c r="J38" i="1"/>
  <c r="N38" i="1"/>
  <c r="I38" i="1"/>
  <c r="V38" i="1"/>
  <c r="P38" i="1"/>
  <c r="N37" i="1"/>
  <c r="I37" i="1"/>
  <c r="M37" i="1"/>
  <c r="W37" i="1"/>
  <c r="O37" i="1"/>
  <c r="J37" i="1"/>
  <c r="P37" i="1"/>
  <c r="T37" i="1"/>
  <c r="L36" i="1" l="1"/>
  <c r="G36" i="1"/>
  <c r="E36" i="1"/>
  <c r="H36" i="1" s="1"/>
  <c r="D36" i="1"/>
  <c r="T36" i="1" s="1"/>
  <c r="L35" i="1"/>
  <c r="G35" i="1"/>
  <c r="E35" i="1"/>
  <c r="H35" i="1" s="1"/>
  <c r="D35" i="1"/>
  <c r="V35" i="1" s="1"/>
  <c r="L34" i="1"/>
  <c r="G34" i="1"/>
  <c r="E34" i="1"/>
  <c r="H34" i="1" s="1"/>
  <c r="D34" i="1"/>
  <c r="V34" i="1" s="1"/>
  <c r="L33" i="1"/>
  <c r="G33" i="1"/>
  <c r="E33" i="1"/>
  <c r="H33" i="1" s="1"/>
  <c r="W33" i="1" s="1"/>
  <c r="D33" i="1"/>
  <c r="V33" i="1" s="1"/>
  <c r="L32" i="1"/>
  <c r="G32" i="1"/>
  <c r="E32" i="1"/>
  <c r="H32" i="1" s="1"/>
  <c r="I32" i="1" s="1"/>
  <c r="D32" i="1"/>
  <c r="T32" i="1" s="1"/>
  <c r="L30" i="1"/>
  <c r="G30" i="1"/>
  <c r="E30" i="1"/>
  <c r="H30" i="1" s="1"/>
  <c r="D30" i="1"/>
  <c r="V30" i="1" s="1"/>
  <c r="L29" i="1"/>
  <c r="G29" i="1"/>
  <c r="E29" i="1"/>
  <c r="H29" i="1" s="1"/>
  <c r="D29" i="1"/>
  <c r="V29" i="1" s="1"/>
  <c r="T33" i="1" l="1"/>
  <c r="P33" i="1"/>
  <c r="M36" i="1"/>
  <c r="I36" i="1"/>
  <c r="P35" i="1"/>
  <c r="W35" i="1"/>
  <c r="O35" i="1"/>
  <c r="J35" i="1"/>
  <c r="N35" i="1"/>
  <c r="I35" i="1"/>
  <c r="M35" i="1"/>
  <c r="N36" i="1"/>
  <c r="V36" i="1"/>
  <c r="T35" i="1"/>
  <c r="J36" i="1"/>
  <c r="O36" i="1"/>
  <c r="W36" i="1"/>
  <c r="P36" i="1"/>
  <c r="W34" i="1"/>
  <c r="O34" i="1"/>
  <c r="J34" i="1"/>
  <c r="N34" i="1"/>
  <c r="I34" i="1"/>
  <c r="M34" i="1"/>
  <c r="P34" i="1"/>
  <c r="T34" i="1"/>
  <c r="I33" i="1"/>
  <c r="N33" i="1"/>
  <c r="M33" i="1"/>
  <c r="J33" i="1"/>
  <c r="O33" i="1"/>
  <c r="M32" i="1"/>
  <c r="J32" i="1"/>
  <c r="O32" i="1"/>
  <c r="W32" i="1"/>
  <c r="N32" i="1"/>
  <c r="V32" i="1"/>
  <c r="P32" i="1"/>
  <c r="N30" i="1"/>
  <c r="I30" i="1"/>
  <c r="M30" i="1"/>
  <c r="W30" i="1"/>
  <c r="O30" i="1"/>
  <c r="J30" i="1"/>
  <c r="P30" i="1"/>
  <c r="T30" i="1"/>
  <c r="W29" i="1"/>
  <c r="O29" i="1"/>
  <c r="J29" i="1"/>
  <c r="N29" i="1"/>
  <c r="M29" i="1"/>
  <c r="I29" i="1"/>
  <c r="P29" i="1"/>
  <c r="T29" i="1"/>
  <c r="L28" i="1" l="1"/>
  <c r="G28" i="1"/>
  <c r="E28" i="1"/>
  <c r="H28" i="1" s="1"/>
  <c r="D28" i="1"/>
  <c r="V28" i="1" s="1"/>
  <c r="L27" i="1"/>
  <c r="G27" i="1"/>
  <c r="E27" i="1"/>
  <c r="H27" i="1" s="1"/>
  <c r="D27" i="1"/>
  <c r="V27" i="1" s="1"/>
  <c r="L21" i="1"/>
  <c r="G21" i="1"/>
  <c r="E21" i="1"/>
  <c r="H21" i="1" s="1"/>
  <c r="D21" i="1"/>
  <c r="V21" i="1" s="1"/>
  <c r="G25" i="1"/>
  <c r="E25" i="1"/>
  <c r="H25" i="1" s="1"/>
  <c r="D25" i="1"/>
  <c r="V25" i="1" s="1"/>
  <c r="G24" i="1"/>
  <c r="E24" i="1"/>
  <c r="H24" i="1" s="1"/>
  <c r="D24" i="1"/>
  <c r="T24" i="1" s="1"/>
  <c r="L22" i="1"/>
  <c r="G22" i="1"/>
  <c r="E22" i="1"/>
  <c r="H22" i="1" s="1"/>
  <c r="D22" i="1"/>
  <c r="V22" i="1" s="1"/>
  <c r="L26" i="1"/>
  <c r="G26" i="1"/>
  <c r="E26" i="1"/>
  <c r="H26" i="1" s="1"/>
  <c r="D26" i="1"/>
  <c r="V26" i="1" s="1"/>
  <c r="G23" i="1"/>
  <c r="E23" i="1"/>
  <c r="H23" i="1" s="1"/>
  <c r="D23" i="1"/>
  <c r="T23" i="1" s="1"/>
  <c r="L31" i="1"/>
  <c r="G31" i="1"/>
  <c r="E31" i="1"/>
  <c r="H31" i="1" s="1"/>
  <c r="D31" i="1"/>
  <c r="V31" i="1" s="1"/>
  <c r="L20" i="1"/>
  <c r="G20" i="1"/>
  <c r="E20" i="1"/>
  <c r="H20" i="1" s="1"/>
  <c r="W20" i="1" s="1"/>
  <c r="D20" i="1"/>
  <c r="V20" i="1" s="1"/>
  <c r="P25" i="1" l="1"/>
  <c r="M26" i="1"/>
  <c r="W28" i="1"/>
  <c r="O28" i="1"/>
  <c r="J28" i="1"/>
  <c r="N28" i="1"/>
  <c r="I28" i="1"/>
  <c r="M28" i="1"/>
  <c r="P28" i="1"/>
  <c r="T28" i="1"/>
  <c r="T25" i="1"/>
  <c r="W25" i="1"/>
  <c r="W27" i="1"/>
  <c r="O27" i="1"/>
  <c r="J27" i="1"/>
  <c r="N27" i="1"/>
  <c r="I27" i="1"/>
  <c r="M27" i="1"/>
  <c r="P27" i="1"/>
  <c r="T27" i="1"/>
  <c r="P26" i="1"/>
  <c r="T26" i="1"/>
  <c r="W21" i="1"/>
  <c r="O21" i="1"/>
  <c r="J21" i="1"/>
  <c r="N21" i="1"/>
  <c r="I21" i="1"/>
  <c r="M21" i="1"/>
  <c r="P21" i="1"/>
  <c r="T21" i="1"/>
  <c r="M25" i="1"/>
  <c r="I25" i="1"/>
  <c r="N25" i="1"/>
  <c r="J25" i="1"/>
  <c r="O25" i="1"/>
  <c r="W24" i="1"/>
  <c r="O24" i="1"/>
  <c r="J24" i="1"/>
  <c r="M24" i="1"/>
  <c r="N24" i="1"/>
  <c r="I24" i="1"/>
  <c r="V24" i="1"/>
  <c r="P24" i="1"/>
  <c r="W22" i="1"/>
  <c r="O22" i="1"/>
  <c r="J22" i="1"/>
  <c r="N22" i="1"/>
  <c r="I22" i="1"/>
  <c r="M22" i="1"/>
  <c r="W23" i="1"/>
  <c r="O23" i="1"/>
  <c r="J23" i="1"/>
  <c r="N23" i="1"/>
  <c r="M23" i="1"/>
  <c r="I23" i="1"/>
  <c r="V23" i="1"/>
  <c r="P23" i="1"/>
  <c r="I26" i="1"/>
  <c r="N26" i="1"/>
  <c r="P22" i="1"/>
  <c r="J26" i="1"/>
  <c r="O26" i="1"/>
  <c r="W26" i="1"/>
  <c r="T22" i="1"/>
  <c r="W31" i="1"/>
  <c r="O31" i="1"/>
  <c r="J31" i="1"/>
  <c r="N31" i="1"/>
  <c r="I31" i="1"/>
  <c r="M31" i="1"/>
  <c r="P31" i="1"/>
  <c r="T31" i="1"/>
  <c r="T20" i="1"/>
  <c r="P20" i="1"/>
  <c r="I20" i="1"/>
  <c r="N20" i="1"/>
  <c r="M20" i="1"/>
  <c r="J20" i="1"/>
  <c r="O20" i="1"/>
  <c r="C25" i="5" l="1"/>
  <c r="C24" i="5"/>
  <c r="B24" i="5"/>
  <c r="D24" i="5" s="1"/>
  <c r="C23" i="5"/>
  <c r="B23" i="5"/>
  <c r="D23" i="5" s="1"/>
  <c r="C22" i="5"/>
  <c r="C21" i="5"/>
  <c r="C20" i="5"/>
  <c r="B20" i="5"/>
  <c r="D20" i="5" s="1"/>
  <c r="C19" i="5"/>
  <c r="B19" i="5"/>
  <c r="D19" i="5" s="1"/>
  <c r="C18" i="5"/>
  <c r="C17" i="5"/>
  <c r="C16" i="5"/>
  <c r="B16" i="5"/>
  <c r="D16" i="5" s="1"/>
  <c r="G19" i="1"/>
  <c r="E19" i="1"/>
  <c r="H19" i="1" s="1"/>
  <c r="D19" i="1"/>
  <c r="V19" i="1" s="1"/>
  <c r="L18" i="1"/>
  <c r="G18" i="1"/>
  <c r="E18" i="1"/>
  <c r="H18" i="1" s="1"/>
  <c r="D18" i="1"/>
  <c r="V18" i="1" s="1"/>
  <c r="L17" i="1"/>
  <c r="G17" i="1"/>
  <c r="E17" i="1"/>
  <c r="H17" i="1" s="1"/>
  <c r="D17" i="1"/>
  <c r="V17" i="1" s="1"/>
  <c r="G16" i="1"/>
  <c r="E16" i="1"/>
  <c r="H16" i="1" s="1"/>
  <c r="D16" i="1"/>
  <c r="V16" i="1" s="1"/>
  <c r="L15" i="1"/>
  <c r="G15" i="1"/>
  <c r="E15" i="1"/>
  <c r="H15" i="1" s="1"/>
  <c r="D15" i="1"/>
  <c r="V15" i="1" s="1"/>
  <c r="G14" i="1"/>
  <c r="E14" i="1"/>
  <c r="H14" i="1" s="1"/>
  <c r="D14" i="1"/>
  <c r="V14" i="1" s="1"/>
  <c r="G13" i="1"/>
  <c r="E13" i="1"/>
  <c r="H13" i="1" s="1"/>
  <c r="D13" i="1"/>
  <c r="V13" i="1" s="1"/>
  <c r="G12" i="1"/>
  <c r="E12" i="1"/>
  <c r="H12" i="1" s="1"/>
  <c r="D12" i="1"/>
  <c r="V12" i="1" s="1"/>
  <c r="G11" i="1"/>
  <c r="E11" i="1"/>
  <c r="H11" i="1" s="1"/>
  <c r="D11" i="1"/>
  <c r="T11" i="1" s="1"/>
  <c r="G10" i="1"/>
  <c r="E10" i="1"/>
  <c r="H10" i="1" s="1"/>
  <c r="D10" i="1"/>
  <c r="V10" i="1" s="1"/>
  <c r="M10" i="1" l="1"/>
  <c r="I16" i="5"/>
  <c r="V17" i="5"/>
  <c r="U23" i="5"/>
  <c r="G23" i="5"/>
  <c r="S23" i="5" s="1"/>
  <c r="L23" i="5"/>
  <c r="V23" i="5"/>
  <c r="K23" i="5"/>
  <c r="I23" i="5"/>
  <c r="H23" i="5"/>
  <c r="M14" i="1"/>
  <c r="I20" i="5"/>
  <c r="K19" i="5"/>
  <c r="I19" i="5"/>
  <c r="G19" i="5"/>
  <c r="S19" i="5" s="1"/>
  <c r="U19" i="5"/>
  <c r="V19" i="5"/>
  <c r="L19" i="5"/>
  <c r="G24" i="5"/>
  <c r="S24" i="5" s="1"/>
  <c r="H24" i="5"/>
  <c r="U24" i="5"/>
  <c r="V24" i="5"/>
  <c r="L24" i="5"/>
  <c r="V25" i="5"/>
  <c r="M16" i="1"/>
  <c r="H19" i="5"/>
  <c r="T10" i="1"/>
  <c r="V21" i="5"/>
  <c r="T24" i="5"/>
  <c r="T16" i="5"/>
  <c r="T19" i="5"/>
  <c r="T20" i="5"/>
  <c r="T23" i="5"/>
  <c r="I17" i="5"/>
  <c r="B18" i="5"/>
  <c r="D18" i="5" s="1"/>
  <c r="H18" i="5" s="1"/>
  <c r="B22" i="5"/>
  <c r="D22" i="5" s="1"/>
  <c r="L22" i="5" s="1"/>
  <c r="B17" i="5"/>
  <c r="D17" i="5" s="1"/>
  <c r="H17" i="5" s="1"/>
  <c r="G18" i="5"/>
  <c r="L18" i="5"/>
  <c r="V18" i="5"/>
  <c r="B21" i="5"/>
  <c r="D21" i="5" s="1"/>
  <c r="H21" i="5" s="1"/>
  <c r="I24" i="5"/>
  <c r="B25" i="5"/>
  <c r="D25" i="5" s="1"/>
  <c r="I25" i="5" s="1"/>
  <c r="G17" i="5"/>
  <c r="L17" i="5"/>
  <c r="G21" i="5"/>
  <c r="K24" i="5"/>
  <c r="G25" i="5"/>
  <c r="L25" i="5"/>
  <c r="P18" i="1"/>
  <c r="P10" i="1"/>
  <c r="M18" i="1"/>
  <c r="T18" i="1"/>
  <c r="T12" i="1"/>
  <c r="M12" i="1"/>
  <c r="P16" i="1"/>
  <c r="P14" i="1"/>
  <c r="T16" i="1"/>
  <c r="P12" i="1"/>
  <c r="T14" i="1"/>
  <c r="W15" i="1"/>
  <c r="O15" i="1"/>
  <c r="J15" i="1"/>
  <c r="N15" i="1"/>
  <c r="I15" i="1"/>
  <c r="M15" i="1"/>
  <c r="W17" i="1"/>
  <c r="O17" i="1"/>
  <c r="J17" i="1"/>
  <c r="N17" i="1"/>
  <c r="I17" i="1"/>
  <c r="M17" i="1"/>
  <c r="W13" i="1"/>
  <c r="O13" i="1"/>
  <c r="I13" i="1"/>
  <c r="M13" i="1"/>
  <c r="W11" i="1"/>
  <c r="O11" i="1"/>
  <c r="I11" i="1"/>
  <c r="M11" i="1"/>
  <c r="W19" i="1"/>
  <c r="O19" i="1"/>
  <c r="J19" i="1"/>
  <c r="N19" i="1"/>
  <c r="I19" i="1"/>
  <c r="M19" i="1"/>
  <c r="I10" i="1"/>
  <c r="P11" i="1"/>
  <c r="I12" i="1"/>
  <c r="N12" i="1"/>
  <c r="P13" i="1"/>
  <c r="I14" i="1"/>
  <c r="N14" i="1"/>
  <c r="P15" i="1"/>
  <c r="I16" i="1"/>
  <c r="N16" i="1"/>
  <c r="P17" i="1"/>
  <c r="I18" i="1"/>
  <c r="N18" i="1"/>
  <c r="P19" i="1"/>
  <c r="V11" i="1"/>
  <c r="O10" i="1"/>
  <c r="W10" i="1"/>
  <c r="J12" i="1"/>
  <c r="O12" i="1"/>
  <c r="W12" i="1"/>
  <c r="T13" i="1"/>
  <c r="J14" i="1"/>
  <c r="O14" i="1"/>
  <c r="W14" i="1"/>
  <c r="T15" i="1"/>
  <c r="J16" i="1"/>
  <c r="O16" i="1"/>
  <c r="W16" i="1"/>
  <c r="T17" i="1"/>
  <c r="J18" i="1"/>
  <c r="O18" i="1"/>
  <c r="W18" i="1"/>
  <c r="T19" i="1"/>
  <c r="U25" i="5" l="1"/>
  <c r="L21" i="5"/>
  <c r="K25" i="5"/>
  <c r="U17" i="5"/>
  <c r="I21" i="5"/>
  <c r="H25" i="5"/>
  <c r="K17" i="5"/>
  <c r="U21" i="5"/>
  <c r="U18" i="5"/>
  <c r="I18" i="5"/>
  <c r="K21" i="5"/>
  <c r="K18" i="5"/>
  <c r="H22" i="5"/>
  <c r="H20" i="5"/>
  <c r="K16" i="5"/>
  <c r="K20" i="5"/>
  <c r="G22" i="5"/>
  <c r="S22" i="5" s="1"/>
  <c r="U22" i="5"/>
  <c r="I22" i="5"/>
  <c r="V22" i="5"/>
  <c r="K22" i="5"/>
  <c r="H16" i="5"/>
  <c r="G16" i="5"/>
  <c r="S16" i="5" s="1"/>
  <c r="V16" i="5"/>
  <c r="U16" i="5"/>
  <c r="L16" i="5"/>
  <c r="V20" i="5"/>
  <c r="L20" i="5"/>
  <c r="U20" i="5"/>
  <c r="G20" i="5"/>
  <c r="S20" i="5" s="1"/>
  <c r="S17" i="5"/>
  <c r="T17" i="5"/>
  <c r="S21" i="5"/>
  <c r="T21" i="5"/>
  <c r="T22" i="5"/>
  <c r="S18" i="5"/>
  <c r="T18" i="5"/>
  <c r="S25" i="5"/>
  <c r="T25" i="5"/>
  <c r="W3" i="1" l="1"/>
  <c r="V3" i="1"/>
  <c r="B2" i="5" l="1"/>
  <c r="B3" i="5" s="1"/>
  <c r="B6" i="5" l="1"/>
  <c r="U7" i="1" l="1"/>
  <c r="B7" i="5" l="1"/>
  <c r="Q3" i="1" l="1"/>
  <c r="O7" i="1" s="1"/>
  <c r="T3" i="1"/>
  <c r="F3" i="1"/>
  <c r="B4" i="5" l="1"/>
  <c r="N7" i="1"/>
  <c r="E38" i="3" s="1"/>
  <c r="K7" i="1"/>
  <c r="H6" i="1"/>
  <c r="R10" i="5" l="1"/>
  <c r="M45" i="3" s="1"/>
  <c r="N38" i="3" l="1"/>
  <c r="B8" i="5"/>
  <c r="B5" i="5"/>
  <c r="D9" i="1"/>
  <c r="V9" i="1" l="1"/>
  <c r="T9" i="1"/>
  <c r="P10" i="5"/>
  <c r="K45" i="3" s="1"/>
  <c r="Q10" i="5"/>
  <c r="L45" i="3" s="1"/>
  <c r="B43" i="3"/>
  <c r="C43" i="3" s="1"/>
  <c r="M14" i="5"/>
  <c r="H44" i="3" s="1"/>
  <c r="L14" i="5"/>
  <c r="G44" i="3" s="1"/>
  <c r="K14" i="5"/>
  <c r="F44" i="3" s="1"/>
  <c r="L44" i="3"/>
  <c r="K44" i="3"/>
  <c r="O14" i="5"/>
  <c r="J44" i="3" s="1"/>
  <c r="N14" i="5"/>
  <c r="I44" i="3" s="1"/>
  <c r="J14" i="5"/>
  <c r="E44" i="3" s="1"/>
  <c r="I14" i="5"/>
  <c r="D44" i="3" s="1"/>
  <c r="H14" i="5"/>
  <c r="C44" i="3" s="1"/>
  <c r="O10" i="5"/>
  <c r="J45" i="3" s="1"/>
  <c r="N10" i="5"/>
  <c r="I45" i="3" s="1"/>
  <c r="M10" i="5"/>
  <c r="H45" i="3" s="1"/>
  <c r="J10" i="5"/>
  <c r="E45" i="3" s="1"/>
  <c r="V40" i="1"/>
  <c r="N3" i="1" l="1"/>
  <c r="M3" i="1"/>
  <c r="O3" i="1"/>
  <c r="C15" i="5" l="1"/>
  <c r="B15" i="5"/>
  <c r="D15" i="5" s="1"/>
  <c r="L12" i="5" l="1"/>
  <c r="I12" i="5"/>
  <c r="S12" i="5"/>
  <c r="T12" i="5"/>
  <c r="K12" i="5"/>
  <c r="U12" i="5"/>
  <c r="V12" i="5"/>
  <c r="H12" i="5"/>
  <c r="T15" i="5"/>
  <c r="R3" i="1" l="1"/>
  <c r="D1" i="1"/>
  <c r="F6" i="1"/>
  <c r="T13" i="5"/>
  <c r="G9" i="1" l="1"/>
  <c r="F15" i="5" s="1"/>
  <c r="E9" i="1"/>
  <c r="H9" i="1" s="1"/>
  <c r="P9" i="1"/>
  <c r="T40" i="1"/>
  <c r="O9" i="1" l="1"/>
  <c r="M9" i="1"/>
  <c r="E15" i="5"/>
  <c r="W9" i="1"/>
  <c r="T7" i="1"/>
  <c r="I9" i="1"/>
  <c r="W40" i="1"/>
  <c r="H15" i="5" l="1"/>
  <c r="L15" i="5"/>
  <c r="K15" i="5"/>
  <c r="I15" i="5"/>
  <c r="G15" i="5"/>
  <c r="S15" i="5" s="1"/>
  <c r="V15" i="5"/>
  <c r="U15" i="5"/>
  <c r="G6" i="1"/>
  <c r="U13" i="5"/>
  <c r="I13" i="5"/>
  <c r="K13" i="5"/>
  <c r="S13" i="5"/>
  <c r="L13" i="5"/>
  <c r="H13" i="5"/>
  <c r="V13" i="5"/>
  <c r="K10" i="5" l="1"/>
  <c r="F45" i="3" s="1"/>
  <c r="I10" i="5"/>
  <c r="D45" i="3" s="1"/>
  <c r="H10" i="5"/>
  <c r="C45" i="3" s="1"/>
  <c r="L10" i="5"/>
  <c r="G45" i="3" s="1"/>
  <c r="L38" i="3"/>
  <c r="D38" i="3"/>
  <c r="D6" i="1"/>
  <c r="B6" i="1" l="1"/>
  <c r="L3" i="1"/>
  <c r="J3" i="1"/>
  <c r="H3" i="1"/>
  <c r="C6" i="1" l="1"/>
  <c r="P7" i="1" s="1"/>
  <c r="S3" i="1"/>
  <c r="S7" i="1" s="1"/>
  <c r="E6" i="1"/>
  <c r="F38" i="3"/>
  <c r="I3" i="1" l="1"/>
  <c r="B7" i="1"/>
  <c r="L25" i="1" l="1"/>
  <c r="L23" i="1"/>
  <c r="L24" i="1"/>
  <c r="L19" i="1"/>
  <c r="L11" i="1"/>
  <c r="L10" i="1"/>
  <c r="L14" i="1"/>
  <c r="L13" i="1"/>
  <c r="N11" i="1"/>
  <c r="J13" i="1"/>
  <c r="J11" i="1"/>
  <c r="N13" i="1"/>
  <c r="N10" i="1"/>
  <c r="J10" i="1"/>
  <c r="N9" i="1"/>
  <c r="L16" i="1"/>
  <c r="L12" i="1"/>
  <c r="L9" i="1"/>
  <c r="J9" i="1"/>
  <c r="C7" i="1"/>
  <c r="I40" i="1"/>
  <c r="P40" i="1"/>
  <c r="J40" i="1"/>
  <c r="O40" i="1"/>
  <c r="N40" i="1"/>
  <c r="Q7" i="1" l="1"/>
  <c r="M38" i="3" s="1"/>
  <c r="L7" i="1"/>
  <c r="G38" i="3" s="1"/>
  <c r="K38" i="3"/>
  <c r="J38" i="3"/>
  <c r="M40" i="1"/>
  <c r="K40" i="1"/>
  <c r="R7" i="1" l="1"/>
  <c r="I38" i="3" s="1"/>
  <c r="M7" i="1"/>
  <c r="H38" i="3" s="1"/>
  <c r="J7" i="1"/>
  <c r="C3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comments2.xml><?xml version="1.0" encoding="utf-8"?>
<comments xmlns="http://schemas.openxmlformats.org/spreadsheetml/2006/main">
  <authors>
    <author>S_member</author>
  </authors>
  <commentList>
    <comment ref="A30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Có thể không cần trường này - for future use</t>
        </r>
      </text>
    </comment>
  </commentList>
</comments>
</file>

<file path=xl/sharedStrings.xml><?xml version="1.0" encoding="utf-8"?>
<sst xmlns="http://schemas.openxmlformats.org/spreadsheetml/2006/main" count="463" uniqueCount="319">
  <si>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</si>
  <si>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</si>
  <si>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</si>
  <si>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</si>
  <si>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</si>
  <si>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</si>
  <si>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</si>
  <si>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</si>
  <si>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</si>
  <si>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</si>
  <si>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</si>
  <si>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</si>
  <si>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</si>
  <si>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</si>
  <si>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</si>
  <si>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</si>
  <si>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</si>
  <si>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</si>
  <si>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</si>
  <si>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</si>
  <si>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</si>
  <si>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</si>
  <si>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</si>
  <si>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</si>
  <si>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</si>
  <si>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</si>
  <si>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</si>
  <si>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</si>
  <si>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</si>
  <si>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</si>
  <si>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</si>
  <si>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</si>
  <si>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</si>
  <si>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</si>
  <si>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</si>
  <si>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</si>
  <si>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</si>
  <si>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</si>
  <si>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</si>
  <si>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</si>
  <si>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</si>
  <si>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</si>
  <si>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</si>
  <si>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</si>
  <si>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</si>
  <si>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</si>
  <si>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</si>
  <si>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</si>
  <si>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</si>
  <si>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</si>
  <si>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</si>
  <si>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</si>
  <si>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</si>
  <si>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</si>
  <si>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</si>
  <si>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</si>
  <si>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</si>
  <si>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</si>
  <si>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</si>
  <si>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</si>
  <si>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</si>
  <si>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</si>
  <si>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</si>
  <si>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</si>
  <si>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</si>
  <si>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</si>
  <si>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</si>
  <si>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</si>
  <si>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</si>
  <si>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</si>
  <si>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</si>
  <si>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</si>
  <si>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</si>
  <si>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</si>
  <si>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</si>
  <si>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</si>
  <si>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</si>
  <si>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</si>
  <si>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</si>
  <si>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</si>
  <si>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</si>
  <si>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</si>
  <si>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</si>
  <si>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</si>
  <si>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</si>
  <si>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</si>
  <si>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</si>
  <si>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</si>
  <si>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</si>
  <si>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</si>
  <si>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</si>
  <si>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</si>
  <si>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</si>
  <si>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</si>
  <si>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</si>
  <si>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</si>
  <si>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</si>
  <si>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</si>
  <si>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</si>
  <si>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</si>
  <si>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</si>
  <si>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</si>
  <si>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</si>
  <si>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</si>
  <si>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</si>
  <si>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</si>
  <si>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</si>
  <si>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</si>
  <si>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</si>
  <si>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</si>
  <si>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</si>
  <si>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</si>
  <si>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</si>
  <si>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</si>
  <si>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</si>
  <si>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</si>
  <si>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</si>
  <si>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</si>
  <si>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</si>
  <si>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</si>
  <si>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</si>
  <si>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</si>
  <si>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</si>
  <si>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</si>
  <si>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</si>
  <si>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</si>
  <si>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</si>
  <si>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</si>
  <si>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</si>
  <si>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</si>
  <si>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</si>
  <si>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</si>
  <si>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</si>
  <si>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</si>
  <si>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</si>
  <si>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</si>
  <si>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</si>
  <si>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</si>
  <si>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</si>
  <si>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</si>
  <si>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</si>
  <si>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</si>
  <si>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</si>
  <si>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</si>
  <si>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</si>
  <si>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</si>
  <si>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</si>
  <si>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</si>
  <si>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</si>
  <si>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</si>
  <si>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</si>
  <si>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</si>
  <si>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</si>
  <si>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</si>
  <si>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</si>
  <si>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</si>
  <si>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</si>
  <si>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</si>
  <si>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</si>
  <si>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</si>
  <si>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</si>
  <si>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</si>
  <si>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</si>
  <si>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</si>
  <si>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</si>
  <si>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</si>
  <si>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</si>
  <si>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</si>
  <si>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</si>
  <si>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</si>
  <si>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</si>
  <si>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</si>
  <si>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</si>
  <si>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</si>
  <si>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</si>
  <si>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</si>
  <si>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</si>
  <si>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</si>
  <si>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</si>
  <si>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</si>
  <si>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</si>
  <si>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</si>
  <si>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</si>
  <si>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</si>
  <si>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</si>
  <si>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</si>
  <si>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</si>
  <si>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</si>
  <si>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</si>
  <si>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</si>
  <si>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</si>
  <si>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</si>
  <si>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</si>
  <si>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</si>
  <si>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</si>
  <si>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</si>
  <si>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</si>
  <si>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</si>
  <si>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</si>
  <si>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</si>
  <si>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</si>
  <si>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</si>
  <si>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</si>
  <si>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</si>
  <si>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</si>
  <si>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</si>
  <si>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</si>
  <si>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</si>
  <si>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</si>
  <si>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</si>
  <si>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</si>
  <si>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</si>
  <si>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</si>
  <si>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</si>
  <si>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</si>
  <si>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</si>
  <si>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</si>
  <si>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</si>
  <si>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</si>
  <si>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</si>
  <si>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</si>
  <si>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</si>
  <si>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</si>
  <si>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</si>
  <si>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</si>
  <si>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</si>
  <si>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</si>
  <si>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</si>
  <si>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</si>
  <si>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</si>
  <si>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</si>
  <si>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</si>
  <si>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</si>
  <si>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</si>
  <si>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</si>
  <si>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</si>
  <si>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</si>
  <si>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</si>
  <si>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</si>
  <si>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</si>
  <si>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</si>
  <si>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</si>
  <si>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</si>
  <si>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</si>
  <si>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</si>
  <si>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</si>
  <si>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</si>
  <si>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</si>
  <si>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datetime2(7)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</si>
  <si>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</si>
  <si>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</si>
  <si>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</si>
  <si>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</si>
  <si>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</si>
  <si>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</si>
  <si>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</si>
  <si>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</si>
  <si>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</si>
  <si>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</si>
  <si>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</si>
  <si>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</si>
  <si>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</si>
  <si>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</si>
  <si>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</si>
  <si>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</si>
  <si>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</si>
  <si>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</si>
  <si>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</si>
  <si>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</si>
  <si>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</si>
  <si>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</si>
  <si>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</si>
  <si>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MODEL</t>
  </si>
  <si>
    <t>varchar(50)</t>
  </si>
  <si>
    <t>GRADE</t>
  </si>
  <si>
    <t>BODY_NO</t>
  </si>
  <si>
    <t>LOT_NO</t>
  </si>
  <si>
    <t>NO_IN_LOT</t>
  </si>
  <si>
    <t>COLOR</t>
  </si>
  <si>
    <t>nvarchar(20)</t>
  </si>
  <si>
    <t>Unchecked</t>
  </si>
  <si>
    <t>nvarchar(255)</t>
  </si>
  <si>
    <t>nvarchar(10)</t>
  </si>
  <si>
    <t>A_IN_DATE_ACTUAL</t>
  </si>
  <si>
    <t>A_OUT_DATE_ACTUAL</t>
  </si>
  <si>
    <t>A_IN_PLAN_DATETIME</t>
  </si>
  <si>
    <t>A_OUT_PLAN_DATETIME</t>
  </si>
  <si>
    <t>SEQUENCE_NO</t>
  </si>
  <si>
    <t>IS_START</t>
  </si>
  <si>
    <t>AInPlan</t>
  </si>
  <si>
    <t>Assy.Andon</t>
  </si>
  <si>
    <t>Assy</t>
  </si>
  <si>
    <t>Assembly Andon A In Plan</t>
  </si>
  <si>
    <t>AsyAdoAInPlan</t>
  </si>
  <si>
    <t>GOSHI_CAR</t>
  </si>
  <si>
    <t>VIN_NO</t>
  </si>
  <si>
    <t>varchar(1)</t>
  </si>
  <si>
    <t>varchar(18)</t>
  </si>
  <si>
    <t>ENGINE_ID</t>
  </si>
  <si>
    <t>varchar(12)</t>
  </si>
  <si>
    <t>TRANS_ID</t>
  </si>
  <si>
    <t>VEHICLE_ID</t>
  </si>
  <si>
    <t>SALES_SFX</t>
  </si>
  <si>
    <t>varchar(2)</t>
  </si>
  <si>
    <t>CFC</t>
  </si>
  <si>
    <t>varchar(4)</t>
  </si>
  <si>
    <t>COLOR_TYPE</t>
  </si>
  <si>
    <t>INDENT_LINE</t>
  </si>
  <si>
    <t>varchar(3)</t>
  </si>
  <si>
    <t>SS_NO</t>
  </si>
  <si>
    <t>ED_NUMBER</t>
  </si>
  <si>
    <t>varchar(5)</t>
  </si>
  <si>
    <t>LINEOFF_DATE</t>
  </si>
  <si>
    <t>LINEOFF_DATETIME</t>
  </si>
  <si>
    <t>LINEOFF_TIME</t>
  </si>
  <si>
    <t>PDI_DATETIME</t>
  </si>
  <si>
    <t>PDI_DATE</t>
  </si>
  <si>
    <t>PDI_TIME</t>
  </si>
  <si>
    <t>ASSEMBLY_ID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</si>
</sst>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47"/>
  <sheetViews>
    <sheetView workbookViewId="0">
      <selection activeCell="E27" sqref="E27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6" ht="23.25" x14ac:dyDescent="0.35">
      <c r="A1" s="15" t="s">
        <v>74</v>
      </c>
    </row>
    <row r="2" spans="1:6" ht="15.75" x14ac:dyDescent="0.25">
      <c r="A2" s="1"/>
      <c r="B2" s="27" t="s">
        <v>196</v>
      </c>
    </row>
    <row r="3" spans="1:6" x14ac:dyDescent="0.25">
      <c r="A3" s="1"/>
      <c r="B3" s="1" t="s">
        <v>77</v>
      </c>
    </row>
    <row r="4" spans="1:6" x14ac:dyDescent="0.25">
      <c r="A4" s="1"/>
      <c r="B4" s="17" t="s">
        <v>76</v>
      </c>
    </row>
    <row r="5" spans="1:6" x14ac:dyDescent="0.25">
      <c r="A5" s="1"/>
      <c r="B5" s="17" t="s">
        <v>79</v>
      </c>
    </row>
    <row r="6" spans="1:6" x14ac:dyDescent="0.25">
      <c r="A6" s="1"/>
      <c r="B6" s="17" t="s">
        <v>87</v>
      </c>
    </row>
    <row r="7" spans="1:6" x14ac:dyDescent="0.25">
      <c r="A7" s="1"/>
      <c r="B7" s="17"/>
      <c r="C7" s="2" t="s">
        <v>97</v>
      </c>
      <c r="D7" s="2"/>
      <c r="E7" s="2"/>
      <c r="F7" s="2" t="s">
        <v>105</v>
      </c>
    </row>
    <row r="8" spans="1:6" x14ac:dyDescent="0.25">
      <c r="A8" s="1"/>
      <c r="B8" s="17"/>
      <c r="C8" t="s">
        <v>89</v>
      </c>
      <c r="F8" s="1" t="s">
        <v>234</v>
      </c>
    </row>
    <row r="9" spans="1:6" x14ac:dyDescent="0.25">
      <c r="A9" s="1"/>
      <c r="B9" s="17"/>
      <c r="C9" t="s">
        <v>88</v>
      </c>
      <c r="F9" s="1" t="s">
        <v>98</v>
      </c>
    </row>
    <row r="10" spans="1:6" x14ac:dyDescent="0.25">
      <c r="A10" s="1"/>
      <c r="B10" s="17"/>
      <c r="D10" t="s">
        <v>89</v>
      </c>
      <c r="F10" s="1" t="s">
        <v>234</v>
      </c>
    </row>
    <row r="11" spans="1:6" x14ac:dyDescent="0.25">
      <c r="A11" s="1"/>
      <c r="B11" s="17"/>
      <c r="D11" t="s">
        <v>90</v>
      </c>
      <c r="F11" s="1" t="s">
        <v>99</v>
      </c>
    </row>
    <row r="12" spans="1:6" x14ac:dyDescent="0.25">
      <c r="A12" s="1"/>
      <c r="B12" s="17"/>
      <c r="D12" t="s">
        <v>91</v>
      </c>
      <c r="F12" s="1" t="s">
        <v>100</v>
      </c>
    </row>
    <row r="13" spans="1:6" x14ac:dyDescent="0.25">
      <c r="A13" s="1"/>
      <c r="B13" s="17"/>
      <c r="D13" t="s">
        <v>92</v>
      </c>
      <c r="F13" s="1" t="s">
        <v>101</v>
      </c>
    </row>
    <row r="14" spans="1:6" x14ac:dyDescent="0.25">
      <c r="A14" s="1"/>
      <c r="B14" s="17"/>
      <c r="D14" t="s">
        <v>93</v>
      </c>
      <c r="F14" s="1" t="s">
        <v>102</v>
      </c>
    </row>
    <row r="15" spans="1:6" x14ac:dyDescent="0.25">
      <c r="A15" s="1"/>
      <c r="B15" s="17"/>
      <c r="D15" t="s">
        <v>94</v>
      </c>
      <c r="F15" s="1" t="s">
        <v>103</v>
      </c>
    </row>
    <row r="16" spans="1:6" x14ac:dyDescent="0.25">
      <c r="A16" s="1"/>
      <c r="B16" s="17"/>
      <c r="C16" t="s">
        <v>91</v>
      </c>
      <c r="F16" s="1" t="s">
        <v>100</v>
      </c>
    </row>
    <row r="17" spans="1:6" x14ac:dyDescent="0.25">
      <c r="A17" s="1"/>
      <c r="B17" s="17"/>
      <c r="D17" t="s">
        <v>95</v>
      </c>
      <c r="F17" s="1" t="s">
        <v>114</v>
      </c>
    </row>
    <row r="18" spans="1:6" x14ac:dyDescent="0.25">
      <c r="A18" s="1"/>
      <c r="B18" s="17"/>
      <c r="D18" t="s">
        <v>96</v>
      </c>
      <c r="F18" s="1" t="s">
        <v>104</v>
      </c>
    </row>
    <row r="19" spans="1:6" x14ac:dyDescent="0.25">
      <c r="A19" s="1"/>
      <c r="B19" s="17"/>
      <c r="C19" t="s">
        <v>92</v>
      </c>
      <c r="F19" s="1" t="s">
        <v>101</v>
      </c>
    </row>
    <row r="20" spans="1:6" x14ac:dyDescent="0.25">
      <c r="A20" s="1"/>
      <c r="B20" s="17"/>
      <c r="C20" t="s">
        <v>93</v>
      </c>
      <c r="F20" s="1" t="s">
        <v>102</v>
      </c>
    </row>
    <row r="21" spans="1:6" x14ac:dyDescent="0.25">
      <c r="A21" s="1"/>
      <c r="B21" s="17"/>
    </row>
    <row r="22" spans="1:6" x14ac:dyDescent="0.25">
      <c r="A22" s="1"/>
      <c r="B22" s="17" t="s">
        <v>86</v>
      </c>
    </row>
    <row r="23" spans="1:6" x14ac:dyDescent="0.25">
      <c r="A23" s="1"/>
      <c r="B23" s="17" t="s">
        <v>83</v>
      </c>
    </row>
    <row r="24" spans="1:6" x14ac:dyDescent="0.25">
      <c r="A24" s="1"/>
      <c r="B24" s="17"/>
      <c r="C24" s="19" t="s">
        <v>80</v>
      </c>
    </row>
    <row r="25" spans="1:6" x14ac:dyDescent="0.25">
      <c r="A25" s="1"/>
      <c r="B25" s="17"/>
      <c r="C25" s="18" t="s">
        <v>81</v>
      </c>
    </row>
    <row r="26" spans="1:6" x14ac:dyDescent="0.25">
      <c r="A26" s="1"/>
      <c r="B26" s="17"/>
      <c r="C26" s="18" t="s">
        <v>82</v>
      </c>
    </row>
    <row r="27" spans="1:6" x14ac:dyDescent="0.25">
      <c r="A27" s="1"/>
      <c r="B27" s="17" t="s">
        <v>106</v>
      </c>
      <c r="C27" s="18"/>
    </row>
    <row r="28" spans="1:6" x14ac:dyDescent="0.25">
      <c r="A28" s="1"/>
      <c r="B28" s="17"/>
      <c r="C28" s="18" t="s">
        <v>107</v>
      </c>
    </row>
    <row r="29" spans="1:6" x14ac:dyDescent="0.25">
      <c r="A29" s="1"/>
      <c r="B29" s="17"/>
      <c r="C29" s="18" t="s">
        <v>108</v>
      </c>
    </row>
    <row r="30" spans="1:6" x14ac:dyDescent="0.25">
      <c r="A30" s="1"/>
      <c r="B30" s="17"/>
      <c r="C30" s="18" t="s">
        <v>109</v>
      </c>
    </row>
    <row r="31" spans="1:6" x14ac:dyDescent="0.25">
      <c r="A31" s="1"/>
      <c r="B31" s="17"/>
      <c r="C31" s="18" t="s">
        <v>111</v>
      </c>
    </row>
    <row r="32" spans="1:6" x14ac:dyDescent="0.25">
      <c r="A32" s="1"/>
      <c r="B32" s="17"/>
      <c r="C32" s="18" t="s">
        <v>113</v>
      </c>
    </row>
    <row r="33" spans="1:14" x14ac:dyDescent="0.25">
      <c r="A33" s="1"/>
      <c r="B33" s="17"/>
      <c r="C33" s="18" t="s">
        <v>112</v>
      </c>
    </row>
    <row r="34" spans="1:14" x14ac:dyDescent="0.25">
      <c r="A34" s="1"/>
      <c r="B34" s="17"/>
      <c r="C34" s="18" t="s">
        <v>110</v>
      </c>
    </row>
    <row r="35" spans="1:14" ht="21" customHeight="1" x14ac:dyDescent="0.25">
      <c r="B35" s="21" t="s">
        <v>78</v>
      </c>
    </row>
    <row r="36" spans="1:14" ht="21" customHeight="1" x14ac:dyDescent="0.25">
      <c r="B36" s="63" t="s">
        <v>231</v>
      </c>
    </row>
    <row r="37" spans="1:14" ht="15.75" thickBot="1" x14ac:dyDescent="0.3">
      <c r="C37" s="1" t="s">
        <v>72</v>
      </c>
      <c r="D37" s="1" t="s">
        <v>207</v>
      </c>
      <c r="E37" s="1" t="s">
        <v>208</v>
      </c>
      <c r="F37" s="1" t="s">
        <v>198</v>
      </c>
      <c r="G37" s="1" t="s">
        <v>199</v>
      </c>
      <c r="H37" s="1" t="s">
        <v>200</v>
      </c>
      <c r="I37" s="1" t="s">
        <v>201</v>
      </c>
      <c r="J37" s="1" t="s">
        <v>205</v>
      </c>
      <c r="K37" s="1" t="s">
        <v>209</v>
      </c>
      <c r="L37" s="1" t="s">
        <v>210</v>
      </c>
      <c r="M37" s="1" t="s">
        <v>211</v>
      </c>
      <c r="N37" s="1" t="s">
        <v>227</v>
      </c>
    </row>
    <row r="38" spans="1:14" s="16" customFormat="1" ht="21.75" customHeight="1" thickBot="1" x14ac:dyDescent="0.3">
      <c r="B38" s="52" t="s">
        <v>226</v>
      </c>
      <c r="C3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vovina.Assy.Andon
{
	[Table("AsyAdoAInPlan")]
	[Index(nameof(LotNo), Name="IX_AsyAdoAInPlan_LotNo")]
	[Index(nameof(NoInLot), Name="IX_AsyAdoAInPlan_NoInLot")]
	[Index(nameof(BodyNo), Name="IX_AsyAdoAInPlan_BodyNo")]
	[Index(nameof(SequenceNo), Name="IX_AsyAdoAInPlan_SequenceNo")]
	[Index(nameof(VinNo), Name="IX_AsyAdoAInPlan_VinNo")]
	[Index(nameof(EngineId), Name="IX_AsyAdoAInPlan_EngineId")]
	[Index(nameof(TransId), Name="IX_AsyAdoAInPlan_TransId")]
	public class AsyAdoAInPlan: FullAuditedEntity&lt;long&gt;, IEntity&lt;long&gt;	
	{
		public const int MaxModelLength = 20;
		public const int MaxLotNoLength = 20;
		public const int MaxGradeLength = 255;
		public const int MaxBodyNoLength = 10;
		public const int MaxColorLength = 10;
		public const int MaxSequenceNoLength = 50;
		public const int MaxCfcLength = 4;
		public const int MaxVinNoLength = 18;
		public const int MaxEngineIdLength = 12;
		public const int MaxTransIdLength = 18;
		public const int MaxSalesSfxLength = 2;
		public const int MaxColorTypeLength = 4;
		public const int MaxIndentLineLength = 3;
		public const int MaxSsNoLength = 2;
		public const int MaxEdNumberLength = 5;
		public const int MaxGoshiCarLength = 1;
		[Required]
		[StringLength(MaxModelLength)]
		public virtual string Model { get; set; }
		[Required]
		[StringLength(MaxLotNoLength)]
		public virtual string LotNo { get; set; }
		[Required]
		public virtual int NoInLot { get; set; }
		[StringLength(MaxGradeLength)]
		public virtual string Grade { get; set; }
		[Required]
		[StringLength(MaxBodyNoLength)]
		public virtual string BodyNo { get; set; }
		[StringLength(MaxColorLength)]
		public virtual string Color { get; set; }
		[Column(TypeName="datetime2(7)")]
		public virtual DateTime AInDateActual { get; set; }
		[Column(TypeName="datetime2(7)")]
		public virtual DateTime AOutDateActual { get; set; }
		[Column(TypeName="datetime2(7)")]
		public virtual DateTime AInPlanDatetime { get; set; }
		[Column(TypeName="datetime2(7)")]
		public virtual DateTime AOutPlanDatetime { get; set; }
		[StringLength(MaxSequenceNoLength)]
		public virtual string SequenceNo { get; set; }
		public virtual int IsStart { get; set; }
		public virtual long VehicleId { get; set; }
		[StringLength(MaxCfcLength)]
		public virtual string Cfc { get; set; }
		[StringLength(MaxVinNoLength)]
		public virtual string VinNo { get; set; }
		[StringLength(MaxEngineIdLength)]
		public virtual string EngineId { get; set; }
		[StringLength(MaxTransIdLength)]
		public virtual string TransId { get; set; }
		[StringLength(MaxSalesSfxLength)]
		public virtual string SalesSfx { get; set; }
		[StringLength(MaxColorTypeLength)]
		public virtual string ColorType { get; set; }
		[StringLength(MaxIndentLineLength)]
		public virtual string IndentLine { get; set; }
		[StringLength(MaxSsNoLength)]
		public virtual string SsNo { get; set; }
		[StringLength(MaxEdNumberLength)]
		public virtual string EdNumber { get; set; }
		[StringLength(MaxGoshiCarLength)]
		public virtual string GoshiCar { get; set; }
		[Column(TypeName="datetime2(7)")]
		public virtual DateTime LineoffDatetime { get; set; }
		[Column(TypeName="date")]
		public virtual DateTime LineoffDate { get; set; }
		[Column(TypeName="datetime2(7)")]
		public virtual DateTime LineoffTime { get; set; }
		[Column(TypeName="datetime2(7)")]
		public virtual DateTime PdiDatetime { get; set; }
		[Column(TypeName="date")]
		public virtual DateTime PdiDate { get; set; }
		[Column(TypeName="datetime2(7)")]
		public virtual DateTime PdiTime { get; set; }
		public virtual long AssemblyId { get; set; }
	}
}
</v>
      </c>
      <c r="D38" s="51" t="str">
        <f>A.Backend!O7</f>
        <v xml:space="preserve">		public const string Pages_Assy_Andon_AInPlan = "Pages.Assy.Andon.AInPlan";
		public const string Pages_Assy_Andon_AInPlan_CreateEdit = "Pages.Assy.Andon.AInPlan.CreateEdit";
		public const string Pages_Assy_Andon_AInPlan_Delete = "Pages.Assy.Andon.AInPlan.Delete";
</v>
      </c>
      <c r="E38" s="51" t="str">
        <f>A.Backend!N7</f>
        <v xml:space="preserve">		var perAsyAdoAInPlan = PARENTS.CreateChildPermission(AppPermissions.Pages_Assy_Andon_AInPlan, L( "AssyAndonAInPlan"));
		perAsyAdoAInPlan.CreateChildPermission(AppPermissions.Pages_Assy_Andon_AInPlan_CreateEdit, L( "AssyAndonAInPlanCreateEdit"));
		perAsyAdoAInPlan.CreateChildPermission(AppPermissions.Pages_Assy_Andon_AInPlan_Delete, L( "AssyAndonAInPlanDelete"));</v>
      </c>
      <c r="F38" s="51" t="str">
        <f>A.Backend!K7</f>
        <v>public virtual DbSet&lt;AsyAdoAInPlan&gt; AsyAdoAInPlans { get; set; }</v>
      </c>
      <c r="G38" s="51" t="str">
        <f ca="1">A.Backend!L7</f>
        <v xml:space="preserve">namespace vovina.Assy.Andon
{
	public class AsyAdoAInPlanConsts	
	{
		public const int MaxModelLength = 20;
		public const int MaxLotNoLength = 20;
		public const int MaxGradeLength = 255;
		public const int MaxBodyNoLength = 10;
		public const int MaxColorLength = 10;
		public const int MaxSequenceNoLength = 50;
		public const int MaxCfcLength = 4;
		public const int MaxVinNoLength = 18;
		public const int MaxEngineIdLength = 12;
		public const int MaxTransIdLength = 18;
		public const int MaxSalesSfxLength = 2;
		public const int MaxColorTypeLength = 4;
		public const int MaxIndentLineLength = 3;
		public const int MaxSsNoLength = 2;
		public const int MaxEdNumberLength = 5;
		public const int MaxGoshiCarLength = 1;
		// Define Store Name: Format SP_ + &lt;Store Name&gt; = &lt;Store Name&gt;
	}
}
</v>
      </c>
      <c r="H38" s="51" t="str">
        <f ca="1">A.Backend!M7</f>
        <v xml:space="preserve">using Abp.Application.Services.Dto;
using System;
using System.ComponentModel.DataAnnotations;
namespace vovina.Assy.Andon.Dto
{
	public class AsyAdoAInPlanDto : EntityDto&lt;long?&gt;	
	{
		public virtual string Model { get; set; }
		public virtual string LotNo { get; set; }
		public virtual int NoInLot { get; set; }
		public virtual string Grade { get; set; }
		public virtual string BodyNo { get; set; }
		public virtual string Color { get; set; }
		public virtual DateTime? AInDateActual { get; set; }
		public virtual DateTime? AOutDateActual { get; set; }
		public virtual DateTime? AInPlanDatetime { get; set; }
		public virtual DateTime? AOutPlanDatetime { get; set; }
		public virtual string SequenceNo { get; set; }
		public virtual int IsStart { get; set; }
		public virtual long VehicleId { get; set; }
		public virtual string Cfc { get; set; }
		public virtual string VinNo { get; set; }
		public virtual string EngineId { get; set; }
		public virtual string TransId { get; set; }
		public virtual string SalesSfx { get; set; }
		public virtual string ColorType { get; set; }
		public virtual string IndentLine { get; set; }
		public virtual string SsNo { get; set; }
		public virtual string EdNumber { get; set; }
		public virtual string GoshiCar { get; set; }
		public virtual DateTime? LineoffDatetime { get; set; }
		public virtual DateTime? LineoffDate { get; set; }
		public virtual DateTime? LineoffTime { get; set; }
		public virtual DateTime? PdiDatetime { get; set; }
		public virtual DateTime? PdiDate { get; set; }
		public virtual DateTime? PdiTime { get; set; }
		public virtual long AssemblyId { get; set; }
	}
	public class CreateOrEditAsyAdoAInPlanDto : EntityDto&lt;long?&gt;	
	{
		[Required]
		[StringLength(AsyAdoAInPlanConsts.MaxModelLength)]
		public virtual string Model { get; set; }
		[Required]
		[StringLength(AsyAdoAInPlanConsts.MaxLotNoLength)]
		public virtual string LotNo { get; set; }
		[Required]
		public virtual int NoInLot { get; set; }
		[StringLength(AsyAdoAInPlanConsts.MaxGradeLength)]
		public virtual string Grade { get; set; }
		[Required]
		[StringLength(AsyAdoAInPlanConsts.MaxBodyNoLength)]
		public virtual string BodyNo { get; set; }
		[StringLength(AsyAdoAInPlanConsts.MaxColorLength)]
		public virtual string Color { get; set; }
		public virtual DateTime? AInDateActual { get; set; }
		public virtual DateTime? AOutDateActual { get; set; }
		public virtual DateTime? AInPlanDatetime { get; set; }
		public virtual DateTime? AOutPlanDatetime { get; set; }
		[StringLength(AsyAdoAInPlanConsts.MaxSequenceNoLength)]
		public virtual string SequenceNo { get; set; }
		public virtual int IsStart { get; set; }
		public virtual long VehicleId { get; set; }
		[StringLength(AsyAdoAInPlanConsts.MaxCfcLength)]
		public virtual string Cfc { get; set; }
		[StringLength(AsyAdoAInPlanConsts.MaxVinNoLength)]
		public virtual string VinNo { get; set; }
		[StringLength(AsyAdoAInPlanConsts.MaxEngineIdLength)]
		public virtual string EngineId { get; set; }
		[StringLength(AsyAdoAInPlanConsts.MaxTransIdLength)]
		public virtual string TransId { get; set; }
		[StringLength(AsyAdoAInPlanConsts.MaxSalesSfxLength)]
		public virtual string SalesSfx { get; set; }
		[StringLength(AsyAdoAInPlanConsts.MaxColorTypeLength)]
		public virtual string ColorType { get; set; }
		[StringLength(AsyAdoAInPlanConsts.MaxIndentLineLength)]
		public virtual string IndentLine { get; set; }
		[StringLength(AsyAdoAInPlanConsts.MaxSsNoLength)]
		public virtual string SsNo { get; set; }
		[StringLength(AsyAdoAInPlanConsts.MaxEdNumberLength)]
		public virtual string EdNumber { get; set; }
		[StringLength(AsyAdoAInPlanConsts.MaxGoshiCarLength)]
		public virtual string GoshiCar { get; set; }
		public virtual DateTime? LineoffDatetime { get; set; }
		public virtual DateTime? LineoffDate { get; set; }
		public virtual DateTime? LineoffTime { get; set; }
		public virtual DateTime? PdiDatetime { get; set; }
		public virtual DateTime? PdiDate { get; set; }
		public virtual DateTime? PdiTime { get; set; }
		public virtual long AssemblyId { get; set; }
	}
	public class GetAsyAdoAInPlanInput : PagedAndSortedResultRequestDto	
	{
		public virtual string Model { get; set; }
		public virtual string LotNo { get; set; }
		public virtual int NoInLot { get; set; }
		public virtual string Grade { get; set; }
		public virtual string BodyNo { get; set; }
		public virtual string Color { get; set; }
		public virtual DateTime? AInDateActual { get; set; }
		public virtual DateTime? AOutDateActual { get; set; }
		public virtual DateTime? AInPlanDatetime { get; set; }
		public virtual DateTime? AOutPlanDatetime { get; set; }
		public virtual string SequenceNo { get; set; }
		public virtual int IsStart { get; set; }
		public virtual string Cfc { get; set; }
		public virtual string VinNo { get; set; }
		public virtual string EngineId { get; set; }
		public virtual string TransId { get; set; }
		public virtual string SalesSfx { get; set; }
		public virtual string ColorType { get; set; }
		public virtual string IndentLine { get; set; }
		public virtual string SsNo { get; set; }
		public virtual string EdNumber { get; set; }
		public virtual string GoshiCar { get; set; }
		public virtual DateTime? LineoffDatetime { get; set; }
		public virtual DateTime? LineoffDate { get; set; }
		public virtual DateTime? LineoffTime { get; set; }
		public virtual DateTime? PdiDatetime { get; set; }
		public virtual DateTime? PdiDate { get; set; }
		public virtual DateTime? PdiTime { get; set; }
	}
}
</v>
      </c>
      <c r="I38" s="51" t="str">
        <f ca="1">A.Backend!R7</f>
        <v xml:space="preserve">using Abp.Application.Services.Dto;
using System;
using System.ComponentModel.DataAnnotations;
namespace vovina.Assy.Andon.Dto
{
	public class AsyAdoAInPlanExportInput{
		public virtual string Model { get; set; }
		public virtual string LotNo { get; set; }
		public virtual int NoInLot { get; set; }
		public virtual string Grade { get; set; }
		public virtual string BodyNo { get; set; }
		public virtual string Color { get; set; }
		public virtual DateTime? AInDateActual { get; set; }
		public virtual DateTime? AOutDateActual { get; set; }
		public virtual DateTime? AInPlanDatetime { get; set; }
		public virtual DateTime? AOutPlanDatetime { get; set; }
		public virtual string SequenceNo { get; set; }
		public virtual int IsStart { get; set; }
		public virtual long VehicleId { get; set; }
		public virtual string Cfc { get; set; }
		public virtual string VinNo { get; set; }
		public virtual string EngineId { get; set; }
		public virtual string TransId { get; set; }
		public virtual string SalesSfx { get; set; }
		public virtual string ColorType { get; set; }
		public virtual string IndentLine { get; set; }
		public virtual string SsNo { get; set; }
		public virtual string EdNumber { get; set; }
		public virtual string GoshiCar { get; set; }
		public virtual DateTime? LineoffDatetime { get; set; }
		public virtual DateTime? LineoffDate { get; set; }
		public virtual DateTime? LineoffTime { get; set; }
		public virtual DateTime? PdiDatetime { get; set; }
		public virtual DateTime? PdiDate { get; set; }
		public virtual DateTime? PdiTime { get; set; }
		public virtual long AssemblyId { get; set; }
	}
}
</v>
      </c>
      <c r="J38" s="51" t="str">
        <f>A.Backend!P7</f>
        <v xml:space="preserve">using Abp.Application.Services;
using Abp.Application.Services.Dto;
using System.Collections.Generic;using vovina.Dto;
using System.Threading.Tasks;
using vovina.Assy.Andon.Dto;
namespace vovina.Assy.Andon
{
	public interface IAsyAdoAInPlanAppService : IApplicationService
	{
		Task&lt;PagedResultDto&lt;AsyAdoAInPlanDto&gt;&gt; GetAll(GetAsyAdoAInPlanInput input);
		Task CreateOrEdit(CreateOrEditAsyAdoAInPlanDto input);
		Task Delete(EntityDto input);
	}
}
</v>
      </c>
      <c r="K38" s="51" t="str">
        <f>A.Backend!S7</f>
        <v xml:space="preserve">using Abp.Application.Services;
using Abp.Application.Services.Dto;
using System.Collections.Generic;using vovina.Dto;
using System.Threading.Tasks;
using vovina.Assy.Andon.Dto;
namespace vovina.Assy.Andon.Exporting
{
	public interface IAsyAdoAInPlanExcelExporter : IApplicationService
	{
		FileDto ExportToFile(List&lt;AsyAdoAInPlanDto&gt; asyadoainplan);
	}
}
</v>
      </c>
      <c r="L38" s="51" t="str">
        <f ca="1">A.Backend!T7</f>
        <v>using System.Collections.Generic;
using vovina.DataExporting.Excel.NPOI;
using vovina.Dto;
using vovina.Assy.Andon.Exporting;
using vovina.Assy.Andon.Dto;
using vovina.Storage;
using vovina.Assy.Andon.Dto;
namespace vovina.Assy.Andon.Exporting
{
    public class AsyAdoAInPlanExcelExporter : NpoiExcelExporterBase, IAsyAdoAInPlanExcelExporter
    {
        public AsyAdoAInPlanExcelExporter(ITempFileCacheManager tempFileCacheManager) : base(tempFileCacheManager) { }
        public FileDto ExportToFile(List&lt;AsyAdoAInPlanDto&gt; ainplan)
        {
            return CreateExcelPackage(
				"AssyAndonAInPlan.xlsx",
				excelPackage =&gt;
				 {
					var sheet = excelPackage.CreateSheet("AInPlan");
					AddHeader(
								sheet,
								("Model"),
								("LotNo"),
								("NoInLot"),
								("Grade"),
								("BodyNo"),
								("Color"),
								("AInDateActual"),
								("AOutDateActual"),
								("AInPlanDatetime"),
								("AOutPlanDatetime"),
								("SequenceNo"),
								("IsStart"),
								("VehicleId"),
								("Cfc"),
								("VinNo"),
								("EngineId"),
								("TransId"),
								("SalesSfx"),
								("ColorType"),
								("IndentLine"),
								("SsNo"),
								("EdNumber"),
								("GoshiCar"),
								("LineoffDatetime"),
								("LineoffDate"),
								("LineoffTime"),
								("PdiDatetime"),
								("PdiDate"),
								("PdiTime"),
								("AssemblyId"),
							   );
					AddObjects(
						 sheet, 1, ainplan,                                       
								_ =&gt; _.Model,
								_ =&gt; _.LotNo,
								_ =&gt; _.NoInLot,
								_ =&gt; _.Grade,
								_ =&gt; _.BodyNo,
								_ =&gt; _.Color,
								_ =&gt; _.AInDateActual,
								_ =&gt; _.AOutDateActual,
								_ =&gt; _.AInPlanDatetime,
								_ =&gt; _.AOutPlanDatetime,
								_ =&gt; _.SequenceNo,
								_ =&gt; _.IsStart,
								_ =&gt; _.VehicleId,
								_ =&gt; _.Cfc,
								_ =&gt; _.VinNo,
								_ =&gt; _.EngineId,
								_ =&gt; _.TransId,
								_ =&gt; _.SalesSfx,
								_ =&gt; _.ColorType,
								_ =&gt; _.IndentLine,
								_ =&gt; _.SsNo,
								_ =&gt; _.EdNumber,
								_ =&gt; _.GoshiCar,
								_ =&gt; _.LineoffDatetime,
								_ =&gt; _.LineoffDate,
								_ =&gt; _.LineoffTime,
								_ =&gt; _.PdiDatetime,
								_ =&gt; _.PdiDate,
								_ =&gt; _.PdiTime,
								_ =&gt; _.AssemblyId,
								);
			for (var i = 0; i &lt; 8; i++)
				{
					sheet.AutoSizeColumn(i);
				}
			});
        }
    }
}</v>
      </c>
      <c r="M3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vovina.Assy.Andon.Dto;
using vovina.Assy.Andon.Exporting;
namespace vovina.Assy.Andon
{
    [AbpAuthorize(AppPermissions.Pages_Assy_Andon_AInPlan)]
    public class AsyAdoAInPlanAppService : vovinaAppServiceBase, IAsyAdoAInPlanAppService
    {
        private readonly IDapperRepository&lt;AsyAdoAInPlan, long&gt; _dapperRepo;
        private readonly IRepository&lt;AsyAdoAInPlan, long&gt; _repo;
        private readonly IAsyAdoAInPlanExcelExporter _calendarListExcelExporter;
        public AsyAdoAInPlanAppService(IRepository&lt;AsyAdoAInPlan,long&gt; repo, 
                                         IDapperRepository&lt;AsyAdoAInPlan,long&gt; dapperRepo,
                                        IAsyAdoAInPlanExcelExporter calendarListExcelExporter
            )
        {
            _repo = repo;
            _dapperRepo = dapperRepo;
            _calendarListExcelExporter = calendarListExcelExporter;
        }
        [AbpAuthorize(AppPermissions.Pages_Assy_Andon_AInPlan_CreateEdit)]
        public async Task CreateOrEdit(CreateOrEditAsyAdoAInPlanDto input)
        {
            if (input.Id == null) await Create(input);
            else await Update(input);
        }
        //CREATE
        private async Task Create(CreateOrEditAsyAdoAInPlanDto input)
        {          
            var mainObj = ObjectMapper.Map&lt;AsyAdoAInPlan&gt;(input);
            await CurrentUnitOfWork.GetDbContext&lt;vovinaDbContext&gt;().AddAsync(mainObj);
        }
        // EDIT
        private async Task Update(CreateOrEditAsyAdoAInPlanDto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[AbpAuthorize(AppPermissions.Pages_Assy_Andon_AInPlan_Delete)]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Task&lt;PagedResultDto&lt;AsyAdoAInPlanDto&gt;&gt; GetAll(GetAsyAdoAInPlanInput input)
        {
            var filtered = _repo.GetAll()
				.WhereIf(!string.IsNullOrWhiteSpace(input.Model), e =&gt; e.Model.Contains(input.Model))
				.WhereIf(!string.IsNullOrWhiteSpace(input.LotNo), e =&gt; e.LotNo.Contains(input.LotNo))
				.WhereIf(!string.IsNullOrWhiteSpace(input.Grade), e =&gt; e.Grade.Contains(input.Grade))
				.WhereIf(!string.IsNullOrWhiteSpace(input.BodyNo), e =&gt; e.BodyNo.Contains(input.BodyNo))
				.WhereIf(!string.IsNullOrWhiteSpace(input.Color), e =&gt; e.Color.Contains(input.Color))
				.WhereIf(input.AInDateActual.HasValue, t =&gt; t.AInDateActual == input.AInDateActual.Value)
				.WhereIf(input.AOutDateActual.HasValue, t =&gt; t.AOutDateActual == input.AOutDateActual.Value)
				.WhereIf(input.AInPlanDatetime.HasValue, t =&gt; t.AInPlanDatetime == input.AInPlanDatetime.Value)
				.WhereIf(input.AOutPlanDatetime.HasValue, t =&gt; t.AOutPlanDatetime == input.AOutPlanDatetime.Value)
				.WhereIf(!string.IsNullOrWhiteSpace(input.SequenceNo), e =&gt; e.SequenceNo.Contains(input.SequenceNo))
				.WhereIf(!string.IsNullOrWhiteSpace(input.Cfc), e =&gt; e.Cfc.Contains(input.Cfc))
				.WhereIf(!string.IsNullOrWhiteSpace(input.VinNo), e =&gt; e.VinNo.Contains(input.VinNo))
				.WhereIf(!string.IsNullOrWhiteSpace(input.EngineId), e =&gt; e.EngineId.Contains(input.EngineId))
				.WhereIf(!string.IsNullOrWhiteSpace(input.TransId), e =&gt; e.TransId.Contains(input.TransId))
				.WhereIf(!string.IsNullOrWhiteSpace(input.SalesSfx), e =&gt; e.SalesSfx.Contains(input.SalesSfx))
				.WhereIf(!string.IsNullOrWhiteSpace(input.ColorType), e =&gt; e.ColorType.Contains(input.ColorType))
				.WhereIf(!string.IsNullOrWhiteSpace(input.IndentLine), e =&gt; e.IndentLine.Contains(input.IndentLine))
				.WhereIf(!string.IsNullOrWhiteSpace(input.SsNo), e =&gt; e.SsNo.Contains(input.SsNo))
				.WhereIf(!string.IsNullOrWhiteSpace(input.EdNumber), e =&gt; e.EdNumber.Contains(input.EdNumber))
				.WhereIf(!string.IsNullOrWhiteSpace(input.GoshiCar), e =&gt; e.GoshiCar.Contains(input.GoshiCar))
				.WhereIf(input.LineoffDatetime.HasValue, t =&gt; t.LineoffDatetime == input.LineoffDatetime.Value)
				.WhereIf(input.LineoffDate.HasValue, t =&gt; t.LineoffDate == input.LineoffDate.Value)
				.WhereIf(input.LineoffTime.HasValue, t =&gt; t.LineoffTime == input.LineoffTime.Value)
				.WhereIf(input.PdiDatetime.HasValue, t =&gt; t.PdiDatetime == input.PdiDatetime.Value)
				.WhereIf(input.PdiDate.HasValue, t =&gt; t.PdiDate == input.PdiDate.Value)
				.WhereIf(input.PdiTime.HasValue, t =&gt; t.PdiTime == input.PdiTime.Value)
				;
            var pageAndFiltered = filtered.OrderBy(s =&gt; s.Id);
            var system = from o in pageAndFiltered
                         select new AsyAdoAInPlanDto
                        {
							Id = o.Id,
							Model = o.Model,
							LotNo = o.LotNo,
							NoInLot = o.NoInLot,
							Grade = o.Grade,
							BodyNo = o.BodyNo,
							Color = o.Color,
							AInDateActual = o.AInDateActual,
							AOutDateActual = o.AOutDateActual,
							AInPlanDatetime = o.AInPlanDatetime,
							AOutPlanDatetime = o.AOutPlanDatetime,
							SequenceNo = o.SequenceNo,
							IsStart = o.IsStart,
							VehicleId = o.VehicleId,
							Cfc = o.Cfc,
							VinNo = o.VinNo,
							EngineId = o.EngineId,
							TransId = o.TransId,
							SalesSfx = o.SalesSfx,
							ColorType = o.ColorType,
							IndentLine = o.IndentLine,
							SsNo = o.SsNo,
							EdNumber = o.EdNumber,
							GoshiCar = o.GoshiCar,
							LineoffDatetime = o.LineoffDatetime,
							LineoffDate = o.LineoffDate,
							LineoffTime = o.LineoffTime,
							PdiDatetime = o.PdiDatetime,
							PdiDate = o.PdiDate,
							PdiTime = o.PdiTime,
							AssemblyId = o.AssemblyId,
                        };
            var totalCount = await filtered.CountAsync();
			var paged = system.PageBy(input);
            return new PagedResultDto&lt;AsyAdoAInPlanDto&gt;(
                totalCount,
                 await paged.ToListAsync()
            );
        }
        public async Task&lt;FileDto&gt; GetAInPlanToExcel(AsyAdoAInPlanExportInput input)
        {
            var query = from o in _repo.GetAll()
                        select new AsyAdoAInPlanDto
                        {
							Id = o.Id,
							Model = o.Model,
							LotNo = o.LotNo,
							NoInLot = o.NoInLot,
							Grade = o.Grade,
							BodyNo = o.BodyNo,
							Color = o.Color,
							AInDateActual = o.AInDateActual,
							AOutDateActual = o.AOutDateActual,
							AInPlanDatetime = o.AInPlanDatetime,
							AOutPlanDatetime = o.AOutPlanDatetime,
							SequenceNo = o.SequenceNo,
							IsStart = o.IsStart,
							VehicleId = o.VehicleId,
							Cfc = o.Cfc,
							VinNo = o.VinNo,
							EngineId = o.EngineId,
							TransId = o.TransId,
							SalesSfx = o.SalesSfx,
							ColorType = o.ColorType,
							IndentLine = o.IndentLine,
							SsNo = o.SsNo,
							EdNumber = o.EdNumber,
							GoshiCar = o.GoshiCar,
							LineoffDatetime = o.LineoffDatetime,
							LineoffDate = o.LineoffDate,
							LineoffTime = o.LineoffTime,
							PdiDatetime = o.PdiDatetime,
							PdiDate = o.PdiDate,
							PdiTime = o.PdiTime,
							AssemblyId = o.AssemblyId,
                        };
            var exportToExcel = await query.ToListAsync();
            return _calendarListExcelExporter.ExportToFile(exportToExcel);
        }
       // public async Task GenerateAsync()
      //  {
        //    await _dapperRepo.ExecuteAsync(AsyAdoAInPlanConsts.SP_MST_WPT_CALENDAR_GENERATE);
       // }
    }
}</v>
      </c>
      <c r="N38" s="62" t="str">
        <f>A.Backend!U7</f>
        <v xml:space="preserve">  configuration.CreateMap&lt;AsyAdoAInPlanDto, AsyAdoAInPlan&gt;();
  configuration.CreateMap&lt;AsyAdoAInPlan, AsyAdoAInPlanDto&gt;();
  configuration.CreateMap&lt;CreateOrEditAsyAdoAInPlanDto, AsyAdoAInPlan&gt;();</v>
      </c>
    </row>
    <row r="39" spans="1:14" s="16" customFormat="1" ht="21.75" customHeight="1" x14ac:dyDescent="0.25">
      <c r="C39" s="65"/>
      <c r="D39" s="29"/>
      <c r="E39" s="29"/>
      <c r="F39" s="29"/>
      <c r="G39" s="29"/>
      <c r="H39" s="66"/>
      <c r="I39" s="67"/>
      <c r="J39" s="29"/>
      <c r="K39" s="29"/>
      <c r="M39" s="66"/>
    </row>
    <row r="40" spans="1:14" s="16" customFormat="1" ht="21.75" customHeight="1" x14ac:dyDescent="0.25">
      <c r="C40" s="29"/>
      <c r="D40" s="29"/>
      <c r="E40" s="29"/>
      <c r="F40" s="29"/>
      <c r="G40" s="29"/>
      <c r="H40" s="29"/>
      <c r="J40" s="29"/>
      <c r="K40" s="29"/>
      <c r="M40" s="29"/>
    </row>
    <row r="41" spans="1:14" s="16" customFormat="1" ht="21.75" customHeight="1" x14ac:dyDescent="0.25">
      <c r="C41" s="29"/>
      <c r="D41" s="29"/>
      <c r="E41" s="29"/>
      <c r="G41" s="29"/>
      <c r="H41" s="29"/>
    </row>
    <row r="42" spans="1:14" x14ac:dyDescent="0.25">
      <c r="B42" s="1" t="s">
        <v>73</v>
      </c>
    </row>
    <row r="43" spans="1:14" ht="21" x14ac:dyDescent="0.35">
      <c r="B43" t="str">
        <f>B.Frontend!B8</f>
        <v>ainplan</v>
      </c>
      <c r="C43" s="72" t="str">
        <f>"create folder " &amp;B43</f>
        <v>create folder ainplan</v>
      </c>
      <c r="D43" s="72"/>
      <c r="E43" s="72"/>
      <c r="F43" s="72"/>
      <c r="G43" s="72"/>
      <c r="H43" s="72"/>
      <c r="I43" s="72"/>
      <c r="J43" s="72"/>
      <c r="K43" s="73" t="s">
        <v>228</v>
      </c>
      <c r="L43" s="73"/>
      <c r="M43" s="31"/>
    </row>
    <row r="44" spans="1:14" s="28" customFormat="1" ht="18" customHeight="1" x14ac:dyDescent="0.25">
      <c r="B44" s="60" t="s">
        <v>229</v>
      </c>
      <c r="C44" s="31" t="str">
        <f>B.Frontend!H14</f>
        <v>ainplan.component.ts</v>
      </c>
      <c r="D44" s="31" t="str">
        <f>B.Frontend!I14</f>
        <v>ainplan.component.html</v>
      </c>
      <c r="E44" s="31" t="str">
        <f>B.Frontend!J14</f>
        <v>ainplan.component.less</v>
      </c>
      <c r="F44" s="31" t="str">
        <f>B.Frontend!K14</f>
        <v>create-or-edit-ainplan-modal.component.html</v>
      </c>
      <c r="G44" s="31" t="str">
        <f>B.Frontend!L14</f>
        <v>create-or-edit-ainplan-modal.component.ts</v>
      </c>
      <c r="H44" s="31" t="str">
        <f>B.Frontend!M14</f>
        <v>create-or-edit-ainplan-modal.component.less</v>
      </c>
      <c r="I44" s="31" t="str">
        <f>B.Frontend!N14</f>
        <v>ainplan.module.ts</v>
      </c>
      <c r="J44" s="31" t="str">
        <f>B.Frontend!O14</f>
        <v>ainplan-routing.module.ts</v>
      </c>
      <c r="K44" s="31" t="str">
        <f>B.Frontend!P14</f>
        <v>app.navigation.service.ts</v>
      </c>
      <c r="L44" s="31" t="str">
        <f>B.Frontend!Q14</f>
        <v>main.routing.module.ts</v>
      </c>
      <c r="M44" s="60" t="s">
        <v>232</v>
      </c>
    </row>
    <row r="45" spans="1:14" ht="21.75" customHeight="1" x14ac:dyDescent="0.25">
      <c r="B45" s="61" t="s">
        <v>226</v>
      </c>
      <c r="C4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AsyAdoAInPlanDto, AsyAdoAInPlanServiceProxy } from '@shared/service-proxies/service-proxies';
import { finalize } from 'rxjs/internal/operators/finalize';
import { CreateOrEditAInPlanModalComponent } from './create-or-edit-ainplan-modal.component';
import { DatePipe } from '@angular/common';
import { FileDownloadService } from '@shared/utils/file-download.service';
import ceil from 'lodash-es/ceil';
import { Paginator } from 'primeng/paginator';
@Component({
    templateUrl: './ainplan.component.html',
    styleUrls: ['./ainplan.component.less'],
})
export class AInPlanComponent extends AppComponentBase implements OnInit {
    @ViewChild('createOrEditModalAInPlan', { static: true }) createOrEditModalAInPlan:| CreateOrEditAInPlanModalComponent|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AsyAdoAInPlanDto = new AsyAdoAInPlanDto();
    saveSelectedRow: AsyAdoAInPlanDto = new AsyAdoAInPlanDto();
    datas: AsyAdoAInPlanDto = new AsyAdoAInPlanDto();
    isLoading: boolean = false;
    dataParams: GridParams | undefined;
    rowData: any[] = [];
    gridApi!: GridApi;
    rowSelection = 'multiple';
    filter: string = '';
	pipe = new DatePipe('en-US');
	frameworkComponents: FrameworkComponent;
    model : string = '' ; 
	lotNo : string = '' ; 
	noInLot : number = 0 ;
	grade : string = '' ; 
	bodyNo : string = '' ; 
	color : string = '' ; 
	aInDateActual : any ;
	aOutDateActual : any ;
	aInPlanDatetime : any ;
	aOutPlanDatetime : any ;
	sequenceNo : string = '' ; 
	isStart : number = 0 ;
	vehicleId
	cfc : string = '' ; 
	vinNo : string = '' ; 
	engineId : string = '' ; 
	transId : string = '' ; 
	salesSfx : string = '' ; 
	colorType : string = '' ; 
	indentLine : string = '' ; 
	ssNo : string = '' ; 
	edNumber : string = '' ; 
	goshiCar : string = '' ; 
	lineoffDatetime : any ;
	lineoffDate : any ;
	lineoffTime : any ;
	pdiDatetime : any ;
	pdiDate : any ;
	pdiTime : any ;
	assemblyId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AsyAdoAInPlanServiceProxy,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this.l('Model'),headerTooltip: this.l('Model'),field: 'model',flex: 1},
			{headerName: this.l('Lot No'),headerTooltip: this.l('Lot No'),field: 'lotNo',flex: 1},
			{headerName: this.l('No In Lot'),headerTooltip: this.l('No In Lot'),field: 'noInLot',flex: 1},
			{headerName: this.l('Grade'),headerTooltip: this.l('Grade'),field: 'grade',flex: 1},
			{headerName: this.l('Body No'),headerTooltip: this.l('Body No'),field: 'bodyNo',flex: 1},
			{headerName: this.l('Color'),headerTooltip: this.l('Color'),field: 'color',flex: 1},
			{headerName: this.l('A In Date Actual'),headerTooltip: this.l('A In Date Actual'),field: 'aInDateActual',valueGetter: (params) =&gt; this.pipe.transform(params.data?.aInDateActual, 'dd/MM/yyyy'),flex: 1},
			{headerName: this.l('A Out Date Actual'),headerTooltip: this.l('A Out Date Actual'),field: 'aOutDateActual',valueGetter: (params) =&gt; this.pipe.transform(params.data?.aOutDateActual, 'dd/MM/yyyy'),flex: 1},
			{headerName: this.l('A In Plan Datetime'),headerTooltip: this.l('A In Plan Datetime'),field: 'aInPlanDatetime',valueGetter: (params) =&gt; this.pipe.transform(params.data?.aInPlanDatetime, 'dd/MM/yyyy'),flex: 1},
			{headerName: this.l('A Out Plan Datetime'),headerTooltip: this.l('A Out Plan Datetime'),field: 'aOutPlanDatetime',valueGetter: (params) =&gt; this.pipe.transform(params.data?.aOutPlanDatetime, 'dd/MM/yyyy'),flex: 1},
			{headerName: this.l('Sequence No'),headerTooltip: this.l('Sequence No'),field: 'sequenceNo',flex: 1},
			{headerName: this.l('Is Start'),headerTooltip: this.l('Is Start'),field: 'isStart',flex: 1},
			{headerName: this.l('Vehicle Id'),headerTooltip: this.l('Vehicle Id'),field: 'vehicleId',flex: 1},
			{headerName: this.l('Cfc'),headerTooltip: this.l('Cfc'),field: 'cfc',flex: 1},
			{headerName: this.l('Vin No'),headerTooltip: this.l('Vin No'),field: 'vinNo',flex: 1},
			{headerName: this.l('Engine Id'),headerTooltip: this.l('Engine Id'),field: 'engineId',flex: 1},
			{headerName: this.l('Trans Id'),headerTooltip: this.l('Trans Id'),field: 'transId',flex: 1},
			{headerName: this.l('Sales Sfx'),headerTooltip: this.l('Sales Sfx'),field: 'salesSfx',flex: 1},
			{headerName: this.l('Color Type'),headerTooltip: this.l('Color Type'),field: 'colorType',flex: 1},
			{headerName: this.l('Indent Line'),headerTooltip: this.l('Indent Line'),field: 'indentLine',flex: 1},
			{headerName: this.l('Ss No'),headerTooltip: this.l('Ss No'),field: 'ssNo',flex: 1},
			{headerName: this.l('Ed Number'),headerTooltip: this.l('Ed Number'),field: 'edNumber',flex: 1},
			{headerName: this.l('Goshi Car'),headerTooltip: this.l('Goshi Car'),field:  'goshiCar', cellClass: ['text-center'], width: 120, cellRenderer: 'agCellButtonComponent',
buttonDefTwo: { text: params =&gt; (params.data?.'goshiCar' == 'Y') ? 'Active' : 'Inactive',iconName: 'fa fa-circle',className: params =&gt; (params.data?.'goshiCar' == 'Y') ? 'btnActive' : 'btnInActive',},}
			{headerName: this.l('Lineoff Datetime'),headerTooltip: this.l('Lineoff Datetime'),field: 'lineoffDatetime',valueGetter: (params) =&gt; this.pipe.transform(params.data?.lineoffDatetime, 'dd/MM/yyyy'),flex: 1},
			{headerName: this.l('Lineoff Date'),headerTooltip: this.l('Lineoff Date'),field: 'lineoffDate',valueGetter: (params) =&gt; this.pipe.transform(params.data?.lineoffDate, 'dd/MM/yyyy'),flex: 1},
			{headerName: this.l('Lineoff Time'),headerTooltip: this.l('Lineoff Time'),field: 'lineoffTime',valueGetter: (params) =&gt; this.pipe.transform(params.data?.lineoffTime, 'dd/MM/yyyy'),flex: 1},
			{headerName: this.l('Pdi Datetime'),headerTooltip: this.l('Pdi Datetime'),field: 'pdiDatetime',valueGetter: (params) =&gt; this.pipe.transform(params.data?.pdiDatetime, 'dd/MM/yyyy'),flex: 1},
			{headerName: this.l('Pdi Date'),headerTooltip: this.l('Pdi Date'),field: 'pdiDate',valueGetter: (params) =&gt; this.pipe.transform(params.data?.pdiDate, 'dd/MM/yyyy'),flex: 1},
			{headerName: this.l('Pdi Time'),headerTooltip: this.l('Pdi Time'),field: 'pdiTime',valueGetter: (params) =&gt; this.pipe.transform(params.data?.pdiTime, 'dd/MM/yyyy'),flex: 1},
			{headerName: this.l('Assembly Id'),headerTooltip: this.l('Assembly Id'),field: 'assemblyId',flex: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this.model,
			this.lotNo,
			this.noInLot,
			this.grade,
			this.bodyNo,
			this.color,
			this.aInDateActual,
			this.aOutDateActual,
			this.aInPlanDatetime,
			this.aOutPlanDatetime,
			this.sequenceNo,
			this.isStart,
			this.vehicleId,
			this.cfc,
			this.vinNo,
			this.engineId,
			this.transId,
			this.salesSfx,
			this.colorType,
			this.indentLine,
			this.ssNo,
			this.edNumber,
			this.goshiCar,
			this.lineoffDatetime,
			this.lineoffDate,
			this.lineoffTime,
			this.pdiDatetime,
			this.pdiDate,
			this.pdiTime,
			this.assemblyId,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this.model = '',
		this.lotNo = '',
		this.noInLot = 0,
		this.grade = '',
		this.bodyNo = '',
		this.color = '',
		this.aInDateActual = '',
		this.aOutDateActual = '',
		this.aInPlanDatetime = '',
		this.aOutPlanDatetime = '',
		this.sequenceNo = '',
		this.isStart = 0,
		this.vehicleId = '',
		this.cfc = '',
		this.vinNo = '',
		this.engineId = '',
		this.transId = '',
		this.salesSfx = '',
		this.colorType = '',
		this.indentLine = '',
		this.ssNo = '',
		this.edNumber = '',
		this.goshiCar = '',
		this.lineoffDatetime = '',
		this.lineoffDate = '',
		this.lineoffTime = '',
		this.pdiDatetime = '',
		this.pdiDate = '',
		this.pdiTime = '',
		this.assemblyId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this.model,
			this.lotNo,
			this.noInLot,
			this.grade,
			this.bodyNo,
			this.color,
			this.aInDateActual,
			this.aOutDateActual,
			this.aInPlanDatetime,
			this.aOutPlanDatetime,
			this.sequenceNo,
			this.isStart,
			this.vehicleId,
			this.cfc,
			this.vinNo,
			this.engineId,
			this.transId,
			this.salesSfx,
			this.colorType,
			this.indentLine,
			this.ssNo,
			this.edNumber,
			this.goshiCar,
			this.lineoffDatetime,
			this.lineoffDate,
			this.lineoffTime,
			this.pdiDatetime,
			this.pdiDate,
			this.pdiTime,
			this.assemblyId,
			'',
            this.paginationParams.skipCount,
            this.paginationParams.pageSize
        );
    }
    onChangeRowSelection(params: { api: { getSelectedRows: () =&gt; AsyAdoAInPlanDto[] } }) {
        this.saveSelectedRow = params.api.getSelectedRows()[0] ?? new AsyAdoAInPlanDto();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AsyAdoAInPlanDto):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this._service.getAInPlanToExcel(
			this.model,
			this.lotNo,
			this.noInLot,
			this.grade,
			this.bodyNo,
			this.color,
			this.aInDateActual,
			this.aOutDateActual,
			this.aInPlanDatetime,
			this.aOutPlanDatetime,
			this.sequenceNo,
			this.isStart,
			this.vehicleId,
			this.cfc,
			this.vinNo,
			this.engineId,
			this.transId,
			this.salesSfx,
			this.colorType,
			this.indentLine,
			this.ssNo,
			this.edNumber,
			this.goshiCar,
			this.lineoffDatetime,
			this.lineoffDate,
			this.lineoffTime,
			this.pdiDatetime,
			this.pdiDate,
			this.pdiTime,
			this.assemblyId,
            )
            .subscribe((result) =&gt; {
                this._fileDownloadService.downloadTempFile(result);
        });
    }
}</v>
      </c>
      <c r="D4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Assembly Andon A In Plan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type='text' [placeholder]="l('A In Date Actual')" [(ngModel)]='aInDateActual' 
									name='aInDateActual'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[placeholder]="l('A Out Date Actual')" [(ngModel)]='aOutDateActual' 
									name='aOutDateActual'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[placeholder]="l('A In Plan Datetime')" [(ngModel)]='aInPlanDatetime' 
									name='aInPlanDatetime'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[placeholder]="l('A Out Plan Datetime')" [(ngModel)]='aOutPlanDatetime' 
									name='aOutPlanDatetime'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[(ngModel)]='sequenceNo' name='sequenceNo'
									class='form-control' [placeholder]="l('Sequence No')"
									type='text' (keyup.enter)='searchDatas()'&gt;
								&lt;/div&gt;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[(ngModel)]='vinNo' name='vinNo'
									class='form-control' [placeholder]="l('Vin No')"
									type='text' (keyup.enter)='searchDatas()'&gt;
								&lt;/div&gt;
								&lt;div class='input-search'&gt;
									&lt;input [(ngModel)]='engineId' name='engineId'
									class='form-control' [placeholder]="l('Engine Id')"
									type='text' (keyup.enter)='searchDatas()'&gt;
								&lt;/div&gt;
								&lt;div class='input-search'&gt;
									&lt;input [(ngModel)]='transId' name='transId'
									class='form-control' [placeholder]="l('Trans Id')"
									type='text' (keyup.enter)='searchDatas()'&gt;
								&lt;/div&gt;
								&lt;div class='input-search'&gt;
									&lt;input [(ngModel)]='salesSfx' name='salesSfx'
									class='form-control' [placeholder]="l('Sales Sfx')"
									type='text' (keyup.enter)='searchDatas()'&gt;
								&lt;/div&gt;
								&lt;div class='input-search'&gt;
									&lt;input [(ngModel)]='colorType' name='colorType'
									class='form-control' [placeholder]="l('Color Type')"
									type='text' (keyup.enter)='searchDatas()'&gt;
								&lt;/div&gt;
								&lt;div class='input-search'&gt;
									&lt;input [(ngModel)]='indentLine' name='indentLine'
									class='form-control' [placeholder]="l('Indent Line')"
									type='text' (keyup.enter)='searchDatas()'&gt;
								&lt;/div&gt;
								&lt;div class='input-search'&gt;
									&lt;input [(ngModel)]='ssNo' name='ssNo'
									class='form-control' [placeholder]="l('Ss No')"
									type='text' (keyup.enter)='searchDatas()'&gt;
								&lt;/div&gt;
								&lt;div class='input-search'&gt;
									&lt;input [(ngModel)]='edNumber' name='edNumber'
									class='form-control' [placeholder]="l('Ed Number')"
									type='text' (keyup.enter)='searchDatas()'&gt;
								&lt;/div&gt;
								&lt;div class='input-search'&gt;
									&lt;input [(ngModel)]='goshiCar' name='goshiCar'
									class='form-control' [placeholder]="l('Goshi Car')"
									type='text' (keyup.enter)='searchDatas()'&gt;
								&lt;/div&gt;
								&lt;div class='input-search'&gt;
									&lt;input type='text' [placeholder]="l('Lineoff Datetime')" [(ngModel)]='lineoffDatetime' 
									name='lineoffDatetime'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[placeholder]="l('Lineoff Date')" [(ngModel)]='lineoffDate' 
									name='lineoffDate'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[placeholder]="l('Lineoff Time')" [(ngModel)]='lineoffTime' 
									name='lineoffTime'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[placeholder]="l('Pdi Datetime')" [(ngModel)]='pdiDatetime' 
									name='pdiDatetime'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[placeholder]="l('Pdi Date')" [(ngModel)]='pdiDate' 
									name='pdiDate'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[placeholder]="l('Pdi Time')" [(ngModel)]='pdiTime' 
									name='pdiTime' (keydown)='searchDatas()' class='form-control' 
									bsDatepicker #d='bsDatepicker' placement='bottom left'&gt;
									&lt;i class='fa fa-calendar-alt' (click)='d.toggle()'&gt;&lt;/i&gt;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(click)="createOrEditModalAInPlan.show()"&gt;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(click)="createOrEditModalAInPlan.show(selectedRow)"&gt;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&lt;create-or-edit-ainplan-modal
    #createOrEditModalAInPlan
    (modalSave)="callBackDataGrid(dataParams)"
    (modalClose)="onChangeRowSelection(dataParams)"
&gt;
&lt;/create-or-edit-ainplan-modal&gt;</v>
      </c>
      <c r="E45" s="49" t="str">
        <f>B.Frontend!J10</f>
        <v>.input-search{
    width: 250px;
    border-radius: 10px;
    margin-left: 10px;
}
.btn-search{
    width: 50px;
    margin-left: 10px;
}</v>
      </c>
      <c r="F45" s="49" t="str">
        <f ca="1">B.Frontend!K10</f>
        <v>&lt;div bsModal #createOrEditModalAInPlan="bs-modal"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AInPlan')}}&lt;/h3&gt;
                    &lt;h3 *ngIf="!rowdata.id"&gt;{{('Create New AInPlan')}}&lt;/h3&gt;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title'&gt;No In Lot&lt;/label&gt;
						&lt;input type='number' class='col-md-10 form-control input-text' name='NoInLot' [(ngModel)]='rowdata.noInLot'&gt;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title'&gt;A In Date Actual&lt;/label&gt;
						&lt;input type='text' class='col-md-10 form-control input-text' name='aInDateActual' 
						#datepicker='bsDatepicker' [(ngModel)]='rowdata.aInDateActual'  bsDatepicker &gt;
					&lt;/div&gt;
					&lt;div class='col-md-12 form-group row'&gt;
						&lt;label class='col-md-2 form-control title'&gt;A Out Date Actual&lt;/label&gt;
						&lt;input type='text' class='col-md-10 form-control input-text' name='aOutDateActual' 
						#datepicker='bsDatepicker' [(ngModel)]='rowdata.aOutDateActual'  bsDatepicker &gt;
					&lt;/div&gt;
					&lt;div class='col-md-12 form-group row'&gt;
						&lt;label class='col-md-2 form-control title'&gt;A In Plan Datetime&lt;/label&gt;
						&lt;input type='text' class='col-md-10 form-control input-text' name='aInPlanDatetime' 
						#datepicker='bsDatepicker' [(ngModel)]='rowdata.aInPlanDatetime'  bsDatepicker &gt;
					&lt;/div&gt;
					&lt;div class='col-md-12 form-group row'&gt;
						&lt;label class='col-md-2 form-control title'&gt;A Out Plan Datetime&lt;/label&gt;
						&lt;input type='text' class='col-md-10 form-control input-text' name='aOutPlanDatetime' 
						#datepicker='bsDatepicker' [(ngModel)]='rowdata.aOutPlanDatetime'  bsDatepicker &gt;
					&lt;/div&gt;
					&lt;div class='col-md-12 form-group row'&gt;
						&lt;label class='col-md-2 form-control title'&gt;Sequence No&lt;/label&gt;
						&lt;input type='text' class='col-md-10 form-control input-text' name='SequenceNo' [(ngModel)]='rowdata.sequenceNo'&gt;
					&lt;/div&gt;
					&lt;div class='col-md-12 form-group row'&gt;
						&lt;label class='col-md-2 form-control title'&gt;Is Start&lt;/label&gt;
						&lt;input type='number' class='col-md-10 form-control input-text' name='IsStart' [(ngModel)]='rowdata.isStart'&gt;
					&lt;/div&gt;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title'&gt;Vin No&lt;/label&gt;
						&lt;input type='text' class='col-md-10 form-control input-text' name='VinNo' [(ngModel)]='rowdata.vinNo'&gt;
					&lt;/div&gt;
					&lt;div class='col-md-12 form-group row'&gt;
						&lt;label class='col-md-2 form-control title'&gt;Engine Id&lt;/label&gt;
						&lt;input type='text' class='col-md-10 form-control input-text' name='EngineId' [(ngModel)]='rowdata.engineId'&gt;
					&lt;/div&gt;
					&lt;div class='col-md-12 form-group row'&gt;
						&lt;label class='col-md-2 form-control title'&gt;Trans Id&lt;/label&gt;
						&lt;input type='text' class='col-md-10 form-control input-text' name='TransId' [(ngModel)]='rowdata.transId'&gt;
					&lt;/div&gt;
					&lt;div class='col-md-12 form-group row'&gt;
						&lt;label class='col-md-2 form-control title'&gt;Sales Sfx&lt;/label&gt;
						&lt;input type='text' class='col-md-10 form-control input-text' name='SalesSfx' [(ngModel)]='rowdata.salesSfx'&gt;
					&lt;/div&gt;
					&lt;div class='col-md-12 form-group row'&gt;
						&lt;label class='col-md-2 form-control title'&gt;Color Type&lt;/label&gt;
						&lt;input type='text' class='col-md-10 form-control input-text' name='ColorType' [(ngModel)]='rowdata.colorType'&gt;
					&lt;/div&gt;
					&lt;div class='col-md-12 form-group row'&gt;
						&lt;label class='col-md-2 form-control title'&gt;Indent Line&lt;/label&gt;
						&lt;input type='text' class='col-md-10 form-control input-text' name='IndentLine' [(ngModel)]='rowdata.indentLine'&gt;
					&lt;/div&gt;
					&lt;div class='col-md-12 form-group row'&gt;
						&lt;label class='col-md-2 form-control title'&gt;Ss No&lt;/label&gt;
						&lt;input type='text' class='col-md-10 form-control input-text' name='SsNo' [(ngModel)]='rowdata.ssNo'&gt;
					&lt;/div&gt;
					&lt;div class='col-md-12 form-group row'&gt;
						&lt;label class='col-md-2 form-control title'&gt;Ed Number&lt;/label&gt;
						&lt;input type='text' class='col-md-10 form-control input-text' name='EdNumber' [(ngModel)]='rowdata.edNumber'&gt;
					&lt;/div&gt;
					&lt;div class='col-md-12 form-group row'&gt;
						&lt;label class='col-md-2 form-control title'&gt;Goshi Car&lt;/label&gt;
						&lt;new-checkbox [(ngModel)]='_goshiCar' name='goshiCar' className='col-md-10' &gt; &lt;/new-checkbox&gt;
					&lt;/div&gt;
					&lt;div class='col-md-12 form-group row'&gt;
						&lt;label class='col-md-2 form-control title'&gt;Lineoff Datetime&lt;/label&gt;
						&lt;input type='text' class='col-md-10 form-control input-text' name='lineoffDatetime' 
						#datepicker='bsDatepicker' [(ngModel)]='rowdata.lineoffDatetime'  bsDatepicker &gt;
					&lt;/div&gt;
					&lt;div class='col-md-12 form-group row'&gt;
						&lt;label class='col-md-2 form-control title'&gt;Lineoff Date&lt;/label&gt;
						&lt;input type='text' class='col-md-10 form-control input-text' name='lineoffDate' 
						#datepicker='bsDatepicker' [(ngModel)]='rowdata.lineoffDate'  bsDatepicker &gt;
					&lt;/div&gt;
					&lt;div class='col-md-12 form-group row'&gt;
						&lt;label class='col-md-2 form-control title'&gt;Lineoff Time&lt;/label&gt;
						&lt;input type='text' class='col-md-10 form-control input-text' name='lineoffTime' 
						#datepicker='bsDatepicker' [(ngModel)]='rowdata.lineoffTime'  bsDatepicker &gt;
					&lt;/div&gt;
					&lt;div class='col-md-12 form-group row'&gt;
						&lt;label class='col-md-2 form-control title'&gt;Pdi Datetime&lt;/label&gt;
						&lt;input type='text' class='col-md-10 form-control input-text' name='pdiDatetime' 
						#datepicker='bsDatepicker' [(ngModel)]='rowdata.pdiDatetime'  bsDatepicker &gt;
					&lt;/div&gt;
					&lt;div class='col-md-12 form-group row'&gt;
						&lt;label class='col-md-2 form-control title'&gt;Pdi Date&lt;/label&gt;
						&lt;input type='text' class='col-md-10 form-control input-text' name='pdiDate' 
						#datepicker='bsDatepicker' [(ngModel)]='rowdata.pdiDate'  bsDatepicker &gt;
					&lt;/div&gt;
					&lt;div class='col-md-12 form-group row'&gt;
						&lt;label class='col-md-2 form-control title'&gt;Pdi Time&lt;/label&gt;
						&lt;input type='text' class='col-md-10 form-control input-text' name='pdiTime' 
						#datepicker='bsDatepicker' [(ngModel)]='rowdata.pdiTime'  bsDatepicker 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4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CreateOrEditAsyAdoAInPlanDto, AsyAdoAInPlanServiceProxy } from '@shared/service-proxies/service-proxies';
import { BsDatepickerDirective } from 'ngx-bootstrap/datepicker';
@Component({
    selector: 'create-or-edit-ainplan-modal',
    templateUrl: './create-or-edit-ainplan-modal.component.html',
    styleUrls: ['./create-or-edit-ainplan-modal.component.less']
    })
export class CreateOrEditAInPlanModalComponent extends AppComponentBase {
    @ViewChild('createOrEditModalAInPlan',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CreateOrEditAsyAdoAInPlanDto = new CreateOrEditAsyAdoAInPlanDto();
    active: boolean = false;
    saving: boolean = false;
    _goshiCar
: boolean;
    constructor(
        injector: Injector,
        private _mstwptAInPlanService: AsyAdoAInPlanServiceProxy,
    ) 
    {
        super(injector);
    }
    show(rowdata?: CreateOrEditAsyAdoAInPlanDto): void {
        if (!rowdata) this.rowdata = new CreateOrEditAsyAdoAInPlanDto();
        else this.rowdata = rowdata;
		const dateValue =  this.rowdata.aInDateActual ? new Date(this.rowdata.aInDateActual?.toString()) : new Date();
		this.datepicker?.bsValueChange.emit(dateValue);
		const dateValue =  this.rowdata.aOutDateActual ? new Date(this.rowdata.aOutDateActual?.toString()) : new Date();
		this.datepicker?.bsValueChange.emit(dateValue);
		const dateValue =  this.rowdata.aInPlanDatetime ? new Date(this.rowdata.aInPlanDatetime?.toString()) : new Date();
		this.datepicker?.bsValueChange.emit(dateValue);
		const dateValue =  this.rowdata.aOutPlanDatetime ? new Date(this.rowdata.aOutPlanDatetime?.toString()) : new Date();
		this.datepicker?.bsValueChange.emit(dateValue);
		const dateValue =  this.rowdata.lineoffDatetime ? new Date(this.rowdata.lineoffDatetime?.toString()) : new Date();
		this.datepicker?.bsValueChange.emit(dateValue);
		const dateValue =  this.rowdata.lineoffDate ? new Date(this.rowdata.lineoffDate?.toString()) : new Date();
		this.datepicker?.bsValueChange.emit(dateValue);
		const dateValue =  this.rowdata.lineoffTime ? new Date(this.rowdata.lineoffTime?.toString()) : new Date();
		this.datepicker?.bsValueChange.emit(dateValue);
		const dateValue =  this.rowdata.pdiDatetime ? new Date(this.rowdata.pdiDatetime?.toString()) : new Date();
		this.datepicker?.bsValueChange.emit(dateValue);
		const dateValue =  this.rowdata.pdiDate ? new Date(this.rowdata.pdiDate?.toString()) : new Date();
		this.datepicker?.bsValueChange.emit(dateValue);
		const dateValue =  this.rowdata.pdiTime ? new Date(this.rowdata.pdiTime?.toString()) : new Date();
		this.datepicker?.bsValueChange.emit(dateValue);
        this._goshiCar
 = (this.rowdata.goshiCar
 == "N")? false: true;
        this.active = true;
        this.modal.show();
    } 
    changeActive(event){
        this._goshiCar
 = event.target.checked;
    }
    save(): void {
    this.saving = true; 
    this.rowdata.goshiCar
 = (this._goshiCar
 == true) ? 'Y' : 'N'
    this._mstwptAInPlanService.createOrEdit(this.rowdata)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4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45" s="49" t="str">
        <f>B.Frontend!N10</f>
        <v>import {NgModule} from '@angular/core';
import {AppSharedModule} from '@app/shared/app-shared.module';
import { AInPlanRoutingModule } from './ainplan-routing.module';
import { AInPlanComponent } from './ainplan.component';
import { CreateOrEditAInPlanModalComponent } from './create-or-edit-ainplan-modal.component';
@NgModule({
    declarations: [
       AInPlanComponent, 
        CreateOrEditAInPlanModalComponent
    ],
    imports: [
        AppSharedModule, AInPlanRoutingModule]
})
export class AInPlanModule {}</v>
      </c>
      <c r="J45" s="49" t="str">
        <f>B.Frontend!O10</f>
        <v>import {NgModule} from '@angular/core';
import {RouterModule, Routes} from '@angular/router';
import { AInPlanComponent } from './ainplan.component';
const routes: Routes = [{
    path: '',
    component: AInPlanComponent,
    pathMatch: 'full'
}];
@NgModule({
    imports: [RouterModule.forChild(routes)],
    exports: [RouterModule],
})
export class AInPlanRoutingModule {}</v>
      </c>
      <c r="K45" s="49" t="str">
        <f>B.Frontend!P10</f>
        <v xml:space="preserve"> new AppMenuItem("AInPlan", "Pages.Assy.Andon.AInPlan", "flaticon-book",   "/app/main/assy/andon/ainplan"),</v>
      </c>
      <c r="L45" s="50" t="str">
        <f>B.Frontend!Q10</f>
        <v>{
    path: 'assy/andon/ainplan',
    loadChildren: () =&gt; import('./assy/andon/ainplan/ainplan.module').then(m =&gt; m.AInPlanModule),
    data: { permission: 'Pages.Assy.Andon.AInPlan' }
},</v>
      </c>
      <c r="M45" s="48" t="str">
        <f>B.Frontend!R10</f>
        <v>ApiServiceProxies.AsyAdoAInPlanServiceProxy,</v>
      </c>
    </row>
    <row r="47" spans="1:14" x14ac:dyDescent="0.25">
      <c r="B47" s="1" t="s">
        <v>75</v>
      </c>
    </row>
  </sheetData>
  <mergeCells count="2">
    <mergeCell ref="C43:J43"/>
    <mergeCell ref="K43:L4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40"/>
  <sheetViews>
    <sheetView tabSelected="1" workbookViewId="0">
      <pane xSplit="1" topLeftCell="B1" activePane="topRight" state="frozen"/>
      <selection pane="topRight" activeCell="B23" sqref="B23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vovina.Assy.Andon.Dto;</v>
      </c>
      <c r="E1" s="10" t="s">
        <v>267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259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290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258</v>
      </c>
    </row>
    <row r="3" spans="1:23" s="11" customFormat="1" ht="33" customHeight="1" x14ac:dyDescent="0.25">
      <c r="A3" s="1" t="s">
        <v>5</v>
      </c>
      <c r="B3" s="30" t="s">
        <v>293</v>
      </c>
      <c r="C3" s="10" t="s">
        <v>43</v>
      </c>
      <c r="D3" s="10" t="s">
        <v>44</v>
      </c>
      <c r="E3" s="10" t="s">
        <v>39</v>
      </c>
      <c r="F3" s="11" t="str">
        <f>"J"&amp;COUNTA($A:$A)</f>
        <v>J38</v>
      </c>
      <c r="G3" s="4" t="s">
        <v>57</v>
      </c>
      <c r="H3" s="10" t="str">
        <f>"I"&amp;COUNTA($A:$A)</f>
        <v>I38</v>
      </c>
      <c r="I3" s="10" t="str">
        <f>REPT(CHAR(9),2)&amp;"[Required]"&amp;"
"</f>
        <v xml:space="preserve">		[Required]
</v>
      </c>
      <c r="J3" s="11" t="str">
        <f>"L"&amp;COUNTA($A:$A)</f>
        <v>L38</v>
      </c>
      <c r="K3" s="5" t="s">
        <v>56</v>
      </c>
      <c r="L3" s="11" t="str">
        <f>"M"&amp;COUNTA($A:$A)</f>
        <v>M38</v>
      </c>
      <c r="M3" s="11" t="str">
        <f>"N"&amp;COUNTA($A:$A)</f>
        <v>N38</v>
      </c>
      <c r="N3" s="11" t="str">
        <f>"O"&amp;COUNTA($A:$A)</f>
        <v>O38</v>
      </c>
      <c r="O3" s="11" t="str">
        <f>"P"&amp;COUNTA($A:$A)</f>
        <v>P38</v>
      </c>
      <c r="Q3" s="11" t="str">
        <f>RIGHT(B2,(LEN(B2)-FIND(".",B2,1)))</f>
        <v>Andon</v>
      </c>
      <c r="R3" s="32" t="str">
        <f>REPT(CHAR(9),1)&amp;"public class "&amp;B3&amp;"ExportInput"&amp;C3</f>
        <v xml:space="preserve">	public class AsyAdoAInPlanExportInput{
</v>
      </c>
      <c r="S3" s="11" t="str">
        <f>"namespace "&amp;$B$6&amp;".Exporting
"&amp;$C$3</f>
        <v xml:space="preserve">namespace vovina.Assy.Andon.Exporting
{
</v>
      </c>
      <c r="T3" s="11" t="str">
        <f>"T"&amp;COUNTA($A:$A)</f>
        <v>T38</v>
      </c>
      <c r="V3" s="11" t="str">
        <f>"V"&amp;COUNTA($A:$A)</f>
        <v>V38</v>
      </c>
      <c r="W3" s="10" t="str">
        <f>"W"&amp;COUNTA($A:$A)</f>
        <v>W38</v>
      </c>
    </row>
    <row r="4" spans="1:23" s="11" customFormat="1" ht="33" customHeight="1" x14ac:dyDescent="0.25">
      <c r="A4" s="1" t="s">
        <v>237</v>
      </c>
      <c r="B4" s="64" t="s">
        <v>291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289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vovina.Assy.Andon</v>
      </c>
      <c r="C6" s="11" t="str">
        <f>"namespace "&amp;$B$6&amp;"
"&amp;$C$3</f>
        <v xml:space="preserve">namespace vovina.Assy.Andon
{
</v>
      </c>
      <c r="D6" s="11" t="str">
        <f>REPT(CHAR(9),1)&amp;"public class "&amp;B3&amp;G3&amp;REPT(CHAR(9),1)&amp;"
"&amp;REPT(CHAR(9),1)&amp;C3</f>
        <v xml:space="preserve">	public class AsyAdoAInPlan: FullAuditedEntity&lt;long&gt;, IEntity&lt;long&gt;	
	{
</v>
      </c>
      <c r="E6" s="11" t="str">
        <f>REPT(CHAR(9),1)&amp;"public class "&amp;B3&amp;"Consts"&amp;REPT(CHAR(9),1)&amp;"
"&amp;REPT(CHAR(9),1)&amp;C3</f>
        <v xml:space="preserve">	public class AsyAdoAInPlanConsts	
	{
</v>
      </c>
      <c r="F6" s="11" t="str">
        <f>REPT(CHAR(9),1)&amp;"public class "&amp;B3&amp;"Dto"&amp;K3&amp;REPT(CHAR(9),1)&amp;"
"&amp;REPT(CHAR(9),1)&amp;C3</f>
        <v xml:space="preserve">	public class AsyAdoAInPlanDto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CreateOrEditAsyAdoAInPlanDto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GetAsyAdoAInPlanInput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AsyAdoAInPlan</v>
      </c>
      <c r="C7" s="11" t="str">
        <f>REPT(CHAR(9),1)&amp;"[Table("""&amp;B7&amp;""")]"&amp;"
"</f>
        <v xml:space="preserve">	[Table("AsyAdoAInPlan")]
</v>
      </c>
      <c r="D7" s="11"/>
      <c r="E7" s="11"/>
      <c r="F7" s="11"/>
      <c r="G7" s="11"/>
      <c r="H7" s="11"/>
      <c r="I7" s="11"/>
      <c r="J7" s="6" t="str">
        <f ca="1">SUBSTITUTE(SUBSTITUTE((B1&amp;C6&amp;C7&amp;K40&amp;D6&amp;I40&amp;E3&amp;J40&amp;""&amp;REPT(CHAR(9),1)&amp;D3&amp;D3),"WorkingPattern",$Q$3),"Master",$B$4)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vovina.Assy.Andon
{
	[Table("AsyAdoAInPlan")]
	[Index(nameof(LotNo), Name="IX_AsyAdoAInPlan_LotNo")]
	[Index(nameof(NoInLot), Name="IX_AsyAdoAInPlan_NoInLot")]
	[Index(nameof(BodyNo), Name="IX_AsyAdoAInPlan_BodyNo")]
	[Index(nameof(SequenceNo), Name="IX_AsyAdoAInPlan_SequenceNo")]
	[Index(nameof(VinNo), Name="IX_AsyAdoAInPlan_VinNo")]
	[Index(nameof(EngineId), Name="IX_AsyAdoAInPlan_EngineId")]
	[Index(nameof(TransId), Name="IX_AsyAdoAInPlan_TransId")]
	public class AsyAdoAInPlan: FullAuditedEntity&lt;long&gt;, IEntity&lt;long&gt;	
	{
		public const int MaxModelLength = 20;
		public const int MaxLotNoLength = 20;
		public const int MaxGradeLength = 255;
		public const int MaxBodyNoLength = 10;
		public const int MaxColorLength = 10;
		public const int MaxSequenceNoLength = 50;
		public const int MaxCfcLength = 4;
		public const int MaxVinNoLength = 18;
		public const int MaxEngineIdLength = 12;
		public const int MaxTransIdLength = 18;
		public const int MaxSalesSfxLength = 2;
		public const int MaxColorTypeLength = 4;
		public const int MaxIndentLineLength = 3;
		public const int MaxSsNoLength = 2;
		public const int MaxEdNumberLength = 5;
		public const int MaxGoshiCarLength = 1;
		[Required]
		[StringLength(MaxModelLength)]
		public virtual string Model { get; set; }
		[Required]
		[StringLength(MaxLotNoLength)]
		public virtual string LotNo { get; set; }
		[Required]
		public virtual int NoInLot { get; set; }
		[StringLength(MaxGradeLength)]
		public virtual string Grade { get; set; }
		[Required]
		[StringLength(MaxBodyNoLength)]
		public virtual string BodyNo { get; set; }
		[StringLength(MaxColorLength)]
		public virtual string Color { get; set; }
		[Column(TypeName="datetime2(7)")]
		public virtual DateTime AInDateActual { get; set; }
		[Column(TypeName="datetime2(7)")]
		public virtual DateTime AOutDateActual { get; set; }
		[Column(TypeName="datetime2(7)")]
		public virtual DateTime AInPlanDatetime { get; set; }
		[Column(TypeName="datetime2(7)")]
		public virtual DateTime AOutPlanDatetime { get; set; }
		[StringLength(MaxSequenceNoLength)]
		public virtual string SequenceNo { get; set; }
		public virtual int IsStart { get; set; }
		public virtual long VehicleId { get; set; }
		[StringLength(MaxCfcLength)]
		public virtual string Cfc { get; set; }
		[StringLength(MaxVinNoLength)]
		public virtual string VinNo { get; set; }
		[StringLength(MaxEngineIdLength)]
		public virtual string EngineId { get; set; }
		[StringLength(MaxTransIdLength)]
		public virtual string TransId { get; set; }
		[StringLength(MaxSalesSfxLength)]
		public virtual string SalesSfx { get; set; }
		[StringLength(MaxColorTypeLength)]
		public virtual string ColorType { get; set; }
		[StringLength(MaxIndentLineLength)]
		public virtual string IndentLine { get; set; }
		[StringLength(MaxSsNoLength)]
		public virtual string SsNo { get; set; }
		[StringLength(MaxEdNumberLength)]
		public virtual string EdNumber { get; set; }
		[StringLength(MaxGoshiCarLength)]
		public virtual string GoshiCar { get; set; }
		[Column(TypeName="datetime2(7)")]
		public virtual DateTime LineoffDatetime { get; set; }
		[Column(TypeName="date")]
		public virtual DateTime LineoffDate { get; set; }
		[Column(TypeName="datetime2(7)")]
		public virtual DateTime LineoffTime { get; set; }
		[Column(TypeName="datetime2(7)")]
		public virtual DateTime PdiDatetime { get; set; }
		[Column(TypeName="date")]
		public virtual DateTime PdiDate { get; set; }
		[Column(TypeName="datetime2(7)")]
		public virtual DateTime PdiTime { get; set; }
		public virtual long AssemblyId { get; set; }
	}
}
</v>
      </c>
      <c r="K7" t="str">
        <f>SUBSTITUTE(SUBSTITUTE(("public virtual DbSet&lt;"&amp;B3&amp;"&gt; "&amp;B3&amp;"s { get; set; }"),"WorkingPattern",$Q$3),"Master",$B$4)</f>
        <v>public virtual DbSet&lt;AsyAdoAInPlan&gt; AsyAdoAInPlans { get; set; }</v>
      </c>
      <c r="L7" t="str">
        <f ca="1">SUBSTITUTE(SUBSTITUTE((C6&amp;E6&amp;I40&amp;"
"&amp;REPT(CHAR(9),2)&amp;"// Define Store Name: Format SP_ + &lt;Store Name&gt; = &lt;Store Name&gt;
"&amp;E3&amp;REPT(CHAR(9),1)&amp;D3&amp;D3),"WorkingPattern",$Q$3),"Master",$B$4)</f>
        <v xml:space="preserve">namespace vovina.Assy.Andon
{
	public class AsyAdoAInPlanConsts	
	{
		public const int MaxModelLength = 20;
		public const int MaxLotNoLength = 20;
		public const int MaxGradeLength = 255;
		public const int MaxBodyNoLength = 10;
		public const int MaxColorLength = 10;
		public const int MaxSequenceNoLength = 50;
		public const int MaxCfcLength = 4;
		public const int MaxVinNoLength = 18;
		public const int MaxEngineIdLength = 12;
		public const int MaxTransIdLength = 18;
		public const int MaxSalesSfxLength = 2;
		public const int MaxColorTypeLength = 4;
		public const int MaxIndentLineLength = 3;
		public const int MaxSsNoLength = 2;
		public const int MaxEdNumberLength = 5;
		public const int MaxGoshiCarLength = 1;
		// Define Store Name: Format SP_ + &lt;Store Name&gt; = &lt;Store Name&gt;
	}
}
</v>
      </c>
      <c r="M7" t="str">
        <f ca="1">SUBSTITUTE(SUBSTITUTE((C1&amp;"namespace "&amp;B6&amp;".Dto"&amp;E3&amp;C3&amp;F6&amp;M40&amp;E3&amp;REPT(CHAR(9),1)&amp;D3&amp;G6&amp;N40&amp;REPT(CHAR(9),1)&amp;D3&amp;H6&amp;O40&amp;"
"&amp;REPT(CHAR(9),1)&amp;D3&amp;D3),"WorkingPattern",$Q$3),"Master",$B$4)</f>
        <v xml:space="preserve">using Abp.Application.Services.Dto;
using System;
using System.ComponentModel.DataAnnotations;
namespace vovina.Assy.Andon.Dto
{
	public class AsyAdoAInPlanDto : EntityDto&lt;long?&gt;	
	{
		public virtual string Model { get; set; }
		public virtual string LotNo { get; set; }
		public virtual int NoInLot { get; set; }
		public virtual string Grade { get; set; }
		public virtual string BodyNo { get; set; }
		public virtual string Color { get; set; }
		public virtual DateTime? AInDateActual { get; set; }
		public virtual DateTime? AOutDateActual { get; set; }
		public virtual DateTime? AInPlanDatetime { get; set; }
		public virtual DateTime? AOutPlanDatetime { get; set; }
		public virtual string SequenceNo { get; set; }
		public virtual int IsStart { get; set; }
		public virtual long VehicleId { get; set; }
		public virtual string Cfc { get; set; }
		public virtual string VinNo { get; set; }
		public virtual string EngineId { get; set; }
		public virtual string TransId { get; set; }
		public virtual string SalesSfx { get; set; }
		public virtual string ColorType { get; set; }
		public virtual string IndentLine { get; set; }
		public virtual string SsNo { get; set; }
		public virtual string EdNumber { get; set; }
		public virtual string GoshiCar { get; set; }
		public virtual DateTime? LineoffDatetime { get; set; }
		public virtual DateTime? LineoffDate { get; set; }
		public virtual DateTime? LineoffTime { get; set; }
		public virtual DateTime? PdiDatetime { get; set; }
		public virtual DateTime? PdiDate { get; set; }
		public virtual DateTime? PdiTime { get; set; }
		public virtual long AssemblyId { get; set; }
	}
	public class CreateOrEditAsyAdoAInPlanDto : EntityDto&lt;long?&gt;	
	{
		[Required]
		[StringLength(AsyAdoAInPlanConsts.MaxModelLength)]
		public virtual string Model { get; set; }
		[Required]
		[StringLength(AsyAdoAInPlanConsts.MaxLotNoLength)]
		public virtual string LotNo { get; set; }
		[Required]
		public virtual int NoInLot { get; set; }
		[StringLength(AsyAdoAInPlanConsts.MaxGradeLength)]
		public virtual string Grade { get; set; }
		[Required]
		[StringLength(AsyAdoAInPlanConsts.MaxBodyNoLength)]
		public virtual string BodyNo { get; set; }
		[StringLength(AsyAdoAInPlanConsts.MaxColorLength)]
		public virtual string Color { get; set; }
		public virtual DateTime? AInDateActual { get; set; }
		public virtual DateTime? AOutDateActual { get; set; }
		public virtual DateTime? AInPlanDatetime { get; set; }
		public virtual DateTime? AOutPlanDatetime { get; set; }
		[StringLength(AsyAdoAInPlanConsts.MaxSequenceNoLength)]
		public virtual string SequenceNo { get; set; }
		public virtual int IsStart { get; set; }
		public virtual long VehicleId { get; set; }
		[StringLength(AsyAdoAInPlanConsts.MaxCfcLength)]
		public virtual string Cfc { get; set; }
		[StringLength(AsyAdoAInPlanConsts.MaxVinNoLength)]
		public virtual string VinNo { get; set; }
		[StringLength(AsyAdoAInPlanConsts.MaxEngineIdLength)]
		public virtual string EngineId { get; set; }
		[StringLength(AsyAdoAInPlanConsts.MaxTransIdLength)]
		public virtual string TransId { get; set; }
		[StringLength(AsyAdoAInPlanConsts.MaxSalesSfxLength)]
		public virtual string SalesSfx { get; set; }
		[StringLength(AsyAdoAInPlanConsts.MaxColorTypeLength)]
		public virtual string ColorType { get; set; }
		[StringLength(AsyAdoAInPlanConsts.MaxIndentLineLength)]
		public virtual string IndentLine { get; set; }
		[StringLength(AsyAdoAInPlanConsts.MaxSsNoLength)]
		public virtual string SsNo { get; set; }
		[StringLength(AsyAdoAInPlanConsts.MaxEdNumberLength)]
		public virtual string EdNumber { get; set; }
		[StringLength(AsyAdoAInPlanConsts.MaxGoshiCarLength)]
		public virtual string GoshiCar { get; set; }
		public virtual DateTime? LineoffDatetime { get; set; }
		public virtual DateTime? LineoffDate { get; set; }
		public virtual DateTime? LineoffTime { get; set; }
		public virtual DateTime? PdiDatetime { get; set; }
		public virtual DateTime? PdiDate { get; set; }
		public virtual DateTime? PdiTime { get; set; }
		public virtual long AssemblyId { get; set; }
	}
	public class GetAsyAdoAInPlanInput : PagedAndSortedResultRequestDto	
	{
		public virtual string Model { get; set; }
		public virtual string LotNo { get; set; }
		public virtual int NoInLot { get; set; }
		public virtual string Grade { get; set; }
		public virtual string BodyNo { get; set; }
		public virtual string Color { get; set; }
		public virtual DateTime? AInDateActual { get; set; }
		public virtual DateTime? AOutDateActual { get; set; }
		public virtual DateTime? AInPlanDatetime { get; set; }
		public virtual DateTime? AOutPlanDatetime { get; set; }
		public virtual string SequenceNo { get; set; }
		public virtual int IsStart { get; set; }
		public virtual string Cfc { get; set; }
		public virtual string VinNo { get; set; }
		public virtual string EngineId { get; set; }
		public virtual string TransId { get; set; }
		public virtual string SalesSfx { get; set; }
		public virtual string ColorType { get; set; }
		public virtual string IndentLine { get; set; }
		public virtual string SsNo { get; set; }
		public virtual string EdNumber { get; set; }
		public virtual string GoshiCar { get; set; }
		public virtual DateTime? LineoffDatetime { get; set; }
		public virtual DateTime? LineoffDate { get; set; }
		public virtual DateTime? LineoffTime { get; set; }
		public virtual DateTime? PdiDatetime { get; set; }
		public virtual DateTime? PdiDate { get; set; }
		public virtual DateTime? PdiTime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perAsyAdoAInPlan = PARENTS.CreateChildPermission(AppPermissions.Pages_Assy_Andon_AInPlan, L( "AssyAndonAInPlan"));
		perAsyAdoAInPlan.CreateChildPermission(AppPermissions.Pages_Assy_Andon_AInPlan_CreateEdit, L( "AssyAndonAInPlanCreateEdit"));
		perAsyAdoAInPlan.CreateChildPermission(AppPermissions.Pages_Assy_Andon_AInPlan_Delete, L( "AssyAndonAInPlanDelete"));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Pages_Assy_Andon_AInPlan = "Pages.Assy.Andon.AInPlan";
		public const string Pages_Assy_Andon_AInPlan_CreateEdit = "Pages.Assy.Andon.AInPlan.CreateEdit";
		public const string Pages_Assy_Andon_AInPlan_Delete = "Pages.Assy.Andon.AInPlan.Delete";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vovina.Assy.Andon.Dto;
namespace vovina.Assy.Andon
{
	public interface IAsyAdoAInPlanAppService : IApplicationService
	{
		Task&lt;PagedResultDto&lt;AsyAdoAInPlanDto&gt;&gt; GetAll(GetAsyAdoAInPlanInput input);
		Task CreateOrEdit(CreateOrEditAsyAdoAInPlanDto input);
		Task Delete(EntityDto input);
	}
}
</v>
      </c>
      <c r="Q7" t="str">
        <f ca="1">SUBSTITUTE(SUBSTITUTE(SUBSTITUTE(SUBSTITUTE(SUBSTITUTE(SUBSTITUTE(E1,"MstWptCalendar",$B$3),"&lt;PROPERTIES&gt;",P40),"Calendar",$B$5),"WorkingPattern",$Q$3),"Master",$B$4),"&lt;PARAMS_SEARCH&gt;",$W$40)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vovina.Assy.Andon.Dto;
using vovina.Assy.Andon.Exporting;
namespace vovina.Assy.Andon
{
    [AbpAuthorize(AppPermissions.Pages_Assy_Andon_AInPlan)]
    public class AsyAdoAInPlanAppService : vovinaAppServiceBase, IAsyAdoAInPlanAppService
    {
        private readonly IDapperRepository&lt;AsyAdoAInPlan, long&gt; _dapperRepo;
        private readonly IRepository&lt;AsyAdoAInPlan, long&gt; _repo;
        private readonly IAsyAdoAInPlanExcelExporter _calendarListExcelExporter;
        public AsyAdoAInPlanAppService(IRepository&lt;AsyAdoAInPlan,long&gt; repo, 
                                         IDapperRepository&lt;AsyAdoAInPlan,long&gt; dapperRepo,
                                        IAsyAdoAInPlanExcelExporter calendarListExcelExporter
            )
        {
            _repo = repo;
            _dapperRepo = dapperRepo;
            _calendarListExcelExporter = calendarListExcelExporter;
        }
        [AbpAuthorize(AppPermissions.Pages_Assy_Andon_AInPlan_CreateEdit)]
        public async Task CreateOrEdit(CreateOrEditAsyAdoAInPlanDto input)
        {
            if (input.Id == null) await Create(input);
            else await Update(input);
        }
        //CREATE
        private async Task Create(CreateOrEditAsyAdoAInPlanDto input)
        {          
            var mainObj = ObjectMapper.Map&lt;AsyAdoAInPlan&gt;(input);
            await CurrentUnitOfWork.GetDbContext&lt;vovinaDbContext&gt;().AddAsync(mainObj);
        }
        // EDIT
        private async Task Update(CreateOrEditAsyAdoAInPlanDto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[AbpAuthorize(AppPermissions.Pages_Assy_Andon_AInPlan_Delete)]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Task&lt;PagedResultDto&lt;AsyAdoAInPlanDto&gt;&gt; GetAll(GetAsyAdoAInPlanInput input)
        {
            var filtered = _repo.GetAll()
				.WhereIf(!string.IsNullOrWhiteSpace(input.Model), e =&gt; e.Model.Contains(input.Model))
				.WhereIf(!string.IsNullOrWhiteSpace(input.LotNo), e =&gt; e.LotNo.Contains(input.LotNo))
				.WhereIf(!string.IsNullOrWhiteSpace(input.Grade), e =&gt; e.Grade.Contains(input.Grade))
				.WhereIf(!string.IsNullOrWhiteSpace(input.BodyNo), e =&gt; e.BodyNo.Contains(input.BodyNo))
				.WhereIf(!string.IsNullOrWhiteSpace(input.Color), e =&gt; e.Color.Contains(input.Color))
				.WhereIf(input.AInDateActual.HasValue, t =&gt; t.AInDateActual == input.AInDateActual.Value)
				.WhereIf(input.AOutDateActual.HasValue, t =&gt; t.AOutDateActual == input.AOutDateActual.Value)
				.WhereIf(input.AInPlanDatetime.HasValue, t =&gt; t.AInPlanDatetime == input.AInPlanDatetime.Value)
				.WhereIf(input.AOutPlanDatetime.HasValue, t =&gt; t.AOutPlanDatetime == input.AOutPlanDatetime.Value)
				.WhereIf(!string.IsNullOrWhiteSpace(input.SequenceNo), e =&gt; e.SequenceNo.Contains(input.SequenceNo))
				.WhereIf(!string.IsNullOrWhiteSpace(input.Cfc), e =&gt; e.Cfc.Contains(input.Cfc))
				.WhereIf(!string.IsNullOrWhiteSpace(input.VinNo), e =&gt; e.VinNo.Contains(input.VinNo))
				.WhereIf(!string.IsNullOrWhiteSpace(input.EngineId), e =&gt; e.EngineId.Contains(input.EngineId))
				.WhereIf(!string.IsNullOrWhiteSpace(input.TransId), e =&gt; e.TransId.Contains(input.TransId))
				.WhereIf(!string.IsNullOrWhiteSpace(input.SalesSfx), e =&gt; e.SalesSfx.Contains(input.SalesSfx))
				.WhereIf(!string.IsNullOrWhiteSpace(input.ColorType), e =&gt; e.ColorType.Contains(input.ColorType))
				.WhereIf(!string.IsNullOrWhiteSpace(input.IndentLine), e =&gt; e.IndentLine.Contains(input.IndentLine))
				.WhereIf(!string.IsNullOrWhiteSpace(input.SsNo), e =&gt; e.SsNo.Contains(input.SsNo))
				.WhereIf(!string.IsNullOrWhiteSpace(input.EdNumber), e =&gt; e.EdNumber.Contains(input.EdNumber))
				.WhereIf(!string.IsNullOrWhiteSpace(input.GoshiCar), e =&gt; e.GoshiCar.Contains(input.GoshiCar))
				.WhereIf(input.LineoffDatetime.HasValue, t =&gt; t.LineoffDatetime == input.LineoffDatetime.Value)
				.WhereIf(input.LineoffDate.HasValue, t =&gt; t.LineoffDate == input.LineoffDate.Value)
				.WhereIf(input.LineoffTime.HasValue, t =&gt; t.LineoffTime == input.LineoffTime.Value)
				.WhereIf(input.PdiDatetime.HasValue, t =&gt; t.PdiDatetime == input.PdiDatetime.Value)
				.WhereIf(input.PdiDate.HasValue, t =&gt; t.PdiDate == input.PdiDate.Value)
				.WhereIf(input.PdiTime.HasValue, t =&gt; t.PdiTime == input.PdiTime.Value)
				;
            var pageAndFiltered = filtered.OrderBy(s =&gt; s.Id);
            var system = from o in pageAndFiltered
                         select new AsyAdoAInPlanDto
                        {
							Id = o.Id,
							Model = o.Model,
							LotNo = o.LotNo,
							NoInLot = o.NoInLot,
							Grade = o.Grade,
							BodyNo = o.BodyNo,
							Color = o.Color,
							AInDateActual = o.AInDateActual,
							AOutDateActual = o.AOutDateActual,
							AInPlanDatetime = o.AInPlanDatetime,
							AOutPlanDatetime = o.AOutPlanDatetime,
							SequenceNo = o.SequenceNo,
							IsStart = o.IsStart,
							VehicleId = o.VehicleId,
							Cfc = o.Cfc,
							VinNo = o.VinNo,
							EngineId = o.EngineId,
							TransId = o.TransId,
							SalesSfx = o.SalesSfx,
							ColorType = o.ColorType,
							IndentLine = o.IndentLine,
							SsNo = o.SsNo,
							EdNumber = o.EdNumber,
							GoshiCar = o.GoshiCar,
							LineoffDatetime = o.LineoffDatetime,
							LineoffDate = o.LineoffDate,
							LineoffTime = o.LineoffTime,
							PdiDatetime = o.PdiDatetime,
							PdiDate = o.PdiDate,
							PdiTime = o.PdiTime,
							AssemblyId = o.AssemblyId,
                        };
            var totalCount = await filtered.CountAsync();
			var paged = system.PageBy(input);
            return new PagedResultDto&lt;AsyAdoAInPlanDto&gt;(
                totalCount,
                 await paged.ToListAsync()
            );
        }
        public async Task&lt;FileDto&gt; GetAInPlanToExcel(AsyAdoAInPlanExportInput input)
        {
            var query = from o in _repo.GetAll()
                        select new AsyAdoAInPlanDto
                        {
							Id = o.Id,
							Model = o.Model,
							LotNo = o.LotNo,
							NoInLot = o.NoInLot,
							Grade = o.Grade,
							BodyNo = o.BodyNo,
							Color = o.Color,
							AInDateActual = o.AInDateActual,
							AOutDateActual = o.AOutDateActual,
							AInPlanDatetime = o.AInPlanDatetime,
							AOutPlanDatetime = o.AOutPlanDatetime,
							SequenceNo = o.SequenceNo,
							IsStart = o.IsStart,
							VehicleId = o.VehicleId,
							Cfc = o.Cfc,
							VinNo = o.VinNo,
							EngineId = o.EngineId,
							TransId = o.TransId,
							SalesSfx = o.SalesSfx,
							ColorType = o.ColorType,
							IndentLine = o.IndentLine,
							SsNo = o.SsNo,
							EdNumber = o.EdNumber,
							GoshiCar = o.GoshiCar,
							LineoffDatetime = o.LineoffDatetime,
							LineoffDate = o.LineoffDate,
							LineoffTime = o.LineoffTime,
							PdiDatetime = o.PdiDatetime,
							PdiDate = o.PdiDate,
							PdiTime = o.PdiTime,
							AssemblyId = o.AssemblyId,
                        };
            var exportToExcel = await query.ToListAsync();
            return _calendarListExcelExporter.ExportToFile(exportToExcel);
        }
       // public async Task GenerateAsync()
      //  {
        //    await _dapperRepo.ExecuteAsync(AsyAdoAInPlanConsts.SP_MST_WPT_CALENDAR_GENERATE);
       // }
    }
}</v>
      </c>
      <c r="R7" t="str">
        <f ca="1">SUBSTITUTE(SUBSTITUTE((C1&amp;"namespace "&amp;B6&amp;".Dto"&amp;E3&amp;C3&amp;R3&amp;M40&amp;E3&amp;REPT(CHAR(9),1)&amp;D3&amp;D3),"WorkingPattern",$Q$3),"Master",$B$4)</f>
        <v xml:space="preserve">using Abp.Application.Services.Dto;
using System;
using System.ComponentModel.DataAnnotations;
namespace vovina.Assy.Andon.Dto
{
	public class AsyAdoAInPlanExportInput{
		public virtual string Model { get; set; }
		public virtual string LotNo { get; set; }
		public virtual int NoInLot { get; set; }
		public virtual string Grade { get; set; }
		public virtual string BodyNo { get; set; }
		public virtual string Color { get; set; }
		public virtual DateTime? AInDateActual { get; set; }
		public virtual DateTime? AOutDateActual { get; set; }
		public virtual DateTime? AInPlanDatetime { get; set; }
		public virtual DateTime? AOutPlanDatetime { get; set; }
		public virtual string SequenceNo { get; set; }
		public virtual int IsStart { get; set; }
		public virtual long VehicleId { get; set; }
		public virtual string Cfc { get; set; }
		public virtual string VinNo { get; set; }
		public virtual string EngineId { get; set; }
		public virtual string TransId { get; set; }
		public virtual string SalesSfx { get; set; }
		public virtual string ColorType { get; set; }
		public virtual string IndentLine { get; set; }
		public virtual string SsNo { get; set; }
		public virtual string EdNumber { get; set; }
		public virtual string GoshiCar { get; set; }
		public virtual DateTime? LineoffDatetime { get; set; }
		public virtual DateTime? LineoffDate { get; set; }
		public virtual DateTime? LineoffTime { get; set; }
		public virtual DateTime? PdiDatetime { get; set; }
		public virtual DateTime? PdiDate { get; set; }
		public virtual DateTime? PdiTime { get; set; }
		public virtual long AssemblyId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vovina.Assy.Andon.Dto;
namespace vovina.Assy.Andon.Exporting
{
	public interface IAsyAdoAInPlanExcelExporter : IApplicationService
	{
		FileDto ExportToFile(List&lt;AsyAdoAInPlanDto&gt; asyadoainplan);
	}
}
</v>
      </c>
      <c r="T7" s="28" t="str">
        <f ca="1">SUBSTITUTE(SUBSTITUTE(SUBSTITUTE(SUBSTITUTE(SUBSTITUTE(SUBSTITUTE(SUBSTITUTE(T1,"MstWptCalendar",$B$3),"&lt;PROPERTIES1&gt;",V40),"&lt;PROPERTIES&gt;",T40),"Calendar",$B$5),"calendar",LOWER(B5)),"WorkingPattern",$Q$3),"Master",$B$4)</f>
        <v>using System.Collections.Generic;
using vovina.DataExporting.Excel.NPOI;
using vovina.Dto;
using vovina.Assy.Andon.Exporting;
using vovina.Assy.Andon.Dto;
using vovina.Storage;
using vovina.Assy.Andon.Dto;
namespace vovina.Assy.Andon.Exporting
{
    public class AsyAdoAInPlanExcelExporter : NpoiExcelExporterBase, IAsyAdoAInPlanExcelExporter
    {
        public AsyAdoAInPlanExcelExporter(ITempFileCacheManager tempFileCacheManager) : base(tempFileCacheManager) { }
        public FileDto ExportToFile(List&lt;AsyAdoAInPlanDto&gt; ainplan)
        {
            return CreateExcelPackage(
				"AssyAndonAInPlan.xlsx",
				excelPackage =&gt;
				 {
					var sheet = excelPackage.CreateSheet("AInPlan");
					AddHeader(
								sheet,
								("Model"),
								("LotNo"),
								("NoInLot"),
								("Grade"),
								("BodyNo"),
								("Color"),
								("AInDateActual"),
								("AOutDateActual"),
								("AInPlanDatetime"),
								("AOutPlanDatetime"),
								("SequenceNo"),
								("IsStart"),
								("VehicleId"),
								("Cfc"),
								("VinNo"),
								("EngineId"),
								("TransId"),
								("SalesSfx"),
								("ColorType"),
								("IndentLine"),
								("SsNo"),
								("EdNumber"),
								("GoshiCar"),
								("LineoffDatetime"),
								("LineoffDate"),
								("LineoffTime"),
								("PdiDatetime"),
								("PdiDate"),
								("PdiTime"),
								("AssemblyId"),
							   );
					AddObjects(
						 sheet, 1, ainplan,                                       
								_ =&gt; _.Model,
								_ =&gt; _.LotNo,
								_ =&gt; _.NoInLot,
								_ =&gt; _.Grade,
								_ =&gt; _.BodyNo,
								_ =&gt; _.Color,
								_ =&gt; _.AInDateActual,
								_ =&gt; _.AOutDateActual,
								_ =&gt; _.AInPlanDatetime,
								_ =&gt; _.AOutPlanDatetime,
								_ =&gt; _.SequenceNo,
								_ =&gt; _.IsStart,
								_ =&gt; _.VehicleId,
								_ =&gt; _.Cfc,
								_ =&gt; _.VinNo,
								_ =&gt; _.EngineId,
								_ =&gt; _.TransId,
								_ =&gt; _.SalesSfx,
								_ =&gt; _.ColorType,
								_ =&gt; _.IndentLine,
								_ =&gt; _.SsNo,
								_ =&gt; _.EdNumber,
								_ =&gt; _.GoshiCar,
								_ =&gt; _.LineoffDatetime,
								_ =&gt; _.LineoffDate,
								_ =&gt; _.LineoffTime,
								_ =&gt; _.PdiDatetime,
								_ =&gt; _.PdiDate,
								_ =&gt; _.PdiTime,
								_ =&gt; _.AssemblyId,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configuration.CreateMap&lt;AsyAdoAInPlanDto, AsyAdoAInPlan&gt;();
  configuration.CreateMap&lt;AsyAdoAInPlan, AsyAdoAInPlanDto&gt;();
  configuration.CreateMap&lt;CreateOrEditAsyAdoAInPlanDto, AsyAdoAInPlan&gt;();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272</v>
      </c>
      <c r="B9" t="s">
        <v>279</v>
      </c>
      <c r="C9" t="s">
        <v>280</v>
      </c>
      <c r="D9" t="str">
        <f>SUBSTITUTE(PROPER(A9),"_","")</f>
        <v>Model</v>
      </c>
      <c r="E9" t="str">
        <f t="shared" ref="E9" si="0">IFERROR(LEFT(B9, FIND("(",B9)-1),B9)</f>
        <v>nvarchar</v>
      </c>
      <c r="F9" s="7"/>
      <c r="G9" t="str">
        <f t="shared" ref="G9" si="1">IFERROR(MID(B9,FIND("(",B9) +1, FIND(")",B9) - FIND("(",B9) - 1),"")</f>
        <v>20</v>
      </c>
      <c r="H9" t="str">
        <f>+VLOOKUP(E9,'Data Type Mapping'!A:B,2,)</f>
        <v>string</v>
      </c>
      <c r="I9" t="str">
        <f t="shared" ref="I9" si="2">IF(H9="string",REPT(CHAR(9),2)&amp;"public const int Max"&amp;D9&amp;"Length = "&amp;G9&amp;";"&amp;$E$3,"" )</f>
        <v xml:space="preserve">		public const int MaxModelLength = 20;
</v>
      </c>
      <c r="J9" t="str">
        <f t="shared" ref="J9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[Required]
		[StringLength(MaxModelLength)]
		public virtual string Model { get; set; }
</v>
      </c>
      <c r="K9" s="7"/>
      <c r="L9" t="str">
        <f>IF(K9="","",REPT(CHAR(9),1)&amp;"[Index(nameof("&amp;IF(D9="","",""&amp;D9)&amp;")"&amp;", Name="&amp;"""IX_"&amp;$B$7&amp;"_"&amp;D9&amp;""")]")</f>
        <v/>
      </c>
      <c r="M9" t="str">
        <f>REPT(CHAR(9),2)&amp;"public virtual "&amp;IF(OR(H9="DateTime",H9="TimeSpan"),H9&amp;"?",H9)&amp;IF(C9="?","? "," ")&amp;D9&amp;" { get; set; }" &amp; "
"</f>
        <v xml:space="preserve">		public virtual string Model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[Required]
		[StringLength(AsyAdoAInPlanConsts.MaxModelLength)]
		public virtual string Model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string Model { get; set; }
</v>
      </c>
      <c r="P9" t="str">
        <f t="shared" ref="P9" si="4">REPT(CHAR(9),7)&amp;D9&amp;" = o." &amp;D9 &amp;","</f>
        <v xml:space="preserve">							Model = o.Model,</v>
      </c>
      <c r="T9" s="69" t="str">
        <f>REPT(CHAR(9),8)&amp;"("""&amp;D9&amp;"""),"</f>
        <v xml:space="preserve">								("Model"),</v>
      </c>
      <c r="V9" s="70" t="str">
        <f>REPT(CHAR(9),8)&amp;"_ =&gt; _."&amp;D9&amp;","</f>
        <v xml:space="preserve">								_ =&gt; _.Model,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.WhereIf(!string.IsNullOrWhiteSpace(input.Model), e =&gt; e.Model.Contains(input.Model))</v>
      </c>
    </row>
    <row r="10" spans="1:23" customFormat="1" ht="21" customHeight="1" x14ac:dyDescent="0.25">
      <c r="A10" t="s">
        <v>276</v>
      </c>
      <c r="B10" t="s">
        <v>279</v>
      </c>
      <c r="C10" t="s">
        <v>280</v>
      </c>
      <c r="D10" t="str">
        <f t="shared" ref="D10:D11" si="5">SUBSTITUTE(PROPER(A10),"_","")</f>
        <v>LotNo</v>
      </c>
      <c r="E10" t="str">
        <f t="shared" ref="E10:E19" si="6">IFERROR(LEFT(B10, FIND("(",B10)-1),B10)</f>
        <v>nvarchar</v>
      </c>
      <c r="F10" s="7"/>
      <c r="G10" t="str">
        <f t="shared" ref="G10:G19" si="7">IFERROR(MID(B10,FIND("(",B10) +1, FIND(")",B10) - FIND("(",B10) - 1),"")</f>
        <v>20</v>
      </c>
      <c r="H10" t="str">
        <f>+VLOOKUP(E10,'Data Type Mapping'!A:B,2,)</f>
        <v>string</v>
      </c>
      <c r="I10" t="str">
        <f t="shared" ref="I10:I19" si="8">IF(H10="string",REPT(CHAR(9),2)&amp;"public const int Max"&amp;D10&amp;"Length = "&amp;G10&amp;";"&amp;$E$3,"" )</f>
        <v xml:space="preserve">		public const int MaxLotNoLength = 20;
</v>
      </c>
      <c r="J10" t="str">
        <f t="shared" ref="J10:J19" si="9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[Required]
		[StringLength(MaxLotNoLength)]
		public virtual string LotNo { get; set; }
</v>
      </c>
      <c r="K10" s="7" t="s">
        <v>206</v>
      </c>
      <c r="L10" t="str">
        <f t="shared" ref="L10:L11" si="10">IF(K10="","",REPT(CHAR(9),1)&amp;"[Index(nameof("&amp;IF(D10="","",""&amp;D10)&amp;")"&amp;", Name="&amp;"""IX_"&amp;$B$7&amp;"_"&amp;D10&amp;""")]")</f>
        <v xml:space="preserve">	[Index(nameof(LotNo), Name="IX_AsyAdoAInPlan_LotNo")]</v>
      </c>
      <c r="M10" t="str">
        <f t="shared" ref="M10:M19" si="11">REPT(CHAR(9),2)&amp;"public virtual "&amp;IF(OR(H10="DateTime",H10="TimeSpan"),H10&amp;"?",H10)&amp;IF(C10="?","? "," ")&amp;D10&amp;" { get; set; }" &amp; "
"</f>
        <v xml:space="preserve">		public virtual string LotNo { get; set; }
</v>
      </c>
      <c r="N10" t="str">
        <f t="shared" ref="N10:N19" si="12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[Required]
		[StringLength(AsyAdoAInPlanConsts.MaxLotNoLength)]
		public virtual string LotNo { get; set; }
</v>
      </c>
      <c r="O10" t="str">
        <f t="shared" ref="O10:O19" si="13">IF(OR(H10="string",H10="DateTime",H10="int"),REPT(CHAR(9),2)&amp;"public virtual "&amp;IF(OR(H10="DateTime",H10="TimeSpan"),H10&amp;"?",H10)&amp;IF(C10="?","? "," ")&amp;D10&amp;" { get; set; }"&amp;$E$3,"")</f>
        <v xml:space="preserve">		public virtual string LotNo { get; set; }
</v>
      </c>
      <c r="P10" t="str">
        <f t="shared" ref="P10:P19" si="14">REPT(CHAR(9),7)&amp;D10&amp;" = o." &amp;D10 &amp;","</f>
        <v xml:space="preserve">							LotNo = o.LotNo,</v>
      </c>
      <c r="T10" s="69" t="str">
        <f t="shared" ref="T10:T19" si="15">REPT(CHAR(9),8)&amp;"("""&amp;D10&amp;"""),"</f>
        <v xml:space="preserve">								("LotNo"),</v>
      </c>
      <c r="V10" s="70" t="str">
        <f t="shared" ref="V10:V19" si="16">REPT(CHAR(9),8)&amp;"_ =&gt; _."&amp;D10&amp;","</f>
        <v xml:space="preserve">								_ =&gt; _.LotNo,</v>
      </c>
      <c r="W10" s="69" t="str">
        <f t="shared" ref="W10:W19" si="17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.WhereIf(!string.IsNullOrWhiteSpace(input.LotNo), e =&gt; e.LotNo.Contains(input.LotNo))</v>
      </c>
    </row>
    <row r="11" spans="1:23" customFormat="1" ht="18.75" customHeight="1" x14ac:dyDescent="0.25">
      <c r="A11" t="s">
        <v>277</v>
      </c>
      <c r="B11" t="s">
        <v>4</v>
      </c>
      <c r="C11" t="s">
        <v>280</v>
      </c>
      <c r="D11" t="str">
        <f t="shared" si="5"/>
        <v>NoInLot</v>
      </c>
      <c r="E11" t="str">
        <f t="shared" si="6"/>
        <v>int</v>
      </c>
      <c r="F11" s="7"/>
      <c r="G11" t="str">
        <f t="shared" si="7"/>
        <v/>
      </c>
      <c r="H11" t="str">
        <f>+VLOOKUP(E11,'Data Type Mapping'!A:B,2,)</f>
        <v>int</v>
      </c>
      <c r="I11" t="str">
        <f t="shared" si="8"/>
        <v/>
      </c>
      <c r="J11" t="str">
        <f t="shared" si="9"/>
        <v xml:space="preserve">		[Required]
		public virtual int NoInLot { get; set; }
</v>
      </c>
      <c r="K11" s="7" t="s">
        <v>206</v>
      </c>
      <c r="L11" t="str">
        <f t="shared" si="10"/>
        <v xml:space="preserve">	[Index(nameof(NoInLot), Name="IX_AsyAdoAInPlan_NoInLot")]</v>
      </c>
      <c r="M11" t="str">
        <f t="shared" si="11"/>
        <v xml:space="preserve">		public virtual int NoInLot { get; set; }
</v>
      </c>
      <c r="N11" t="str">
        <f t="shared" si="12"/>
        <v xml:space="preserve">		[Required]
		public virtual int NoInLot { get; set; }
</v>
      </c>
      <c r="O11" t="str">
        <f t="shared" si="13"/>
        <v xml:space="preserve">		public virtual int NoInLot { get; set; }
</v>
      </c>
      <c r="P11" t="str">
        <f t="shared" si="14"/>
        <v xml:space="preserve">							NoInLot = o.NoInLot,</v>
      </c>
      <c r="T11" s="69" t="str">
        <f t="shared" si="15"/>
        <v xml:space="preserve">								("NoInLot"),</v>
      </c>
      <c r="V11" s="70" t="str">
        <f t="shared" si="16"/>
        <v xml:space="preserve">								_ =&gt; _.NoInLot,</v>
      </c>
      <c r="W11" s="69" t="str">
        <f t="shared" si="17"/>
        <v/>
      </c>
    </row>
    <row r="12" spans="1:23" customFormat="1" ht="22.5" customHeight="1" x14ac:dyDescent="0.25">
      <c r="A12" t="s">
        <v>274</v>
      </c>
      <c r="B12" t="s">
        <v>281</v>
      </c>
      <c r="C12" t="s">
        <v>1</v>
      </c>
      <c r="D12" t="str">
        <f>SUBSTITUTE(PROPER(A12),"_","")</f>
        <v>Grade</v>
      </c>
      <c r="E12" t="str">
        <f t="shared" si="6"/>
        <v>nvarchar</v>
      </c>
      <c r="F12" s="7"/>
      <c r="G12" t="str">
        <f t="shared" si="7"/>
        <v>255</v>
      </c>
      <c r="H12" t="str">
        <f>+VLOOKUP(E12,'Data Type Mapping'!A:B,2,)</f>
        <v>string</v>
      </c>
      <c r="I12" t="str">
        <f t="shared" si="8"/>
        <v xml:space="preserve">		public const int MaxGradeLength = 255;
</v>
      </c>
      <c r="J12" t="str">
        <f t="shared" si="9"/>
        <v xml:space="preserve">		[StringLength(MaxGradeLength)]
		public virtual string Grade { get; set; }
</v>
      </c>
      <c r="K12" s="7"/>
      <c r="L12" t="str">
        <f>IF(K12="","",REPT(CHAR(9),1)&amp;"[Index(nameof("&amp;IF(D12="","",""&amp;D12)&amp;")"&amp;", Name="&amp;"""IX_"&amp;$B$7&amp;"_"&amp;D12&amp;""")]")</f>
        <v/>
      </c>
      <c r="M12" t="str">
        <f t="shared" si="11"/>
        <v xml:space="preserve">		public virtual string Grade { get; set; }
</v>
      </c>
      <c r="N12" t="str">
        <f t="shared" si="12"/>
        <v xml:space="preserve">		[StringLength(AsyAdoAInPlanConsts.MaxGradeLength)]
		public virtual string Grade { get; set; }
</v>
      </c>
      <c r="O12" t="str">
        <f t="shared" si="13"/>
        <v xml:space="preserve">		public virtual string Grade { get; set; }
</v>
      </c>
      <c r="P12" t="str">
        <f t="shared" si="14"/>
        <v xml:space="preserve">							Grade = o.Grade,</v>
      </c>
      <c r="T12" s="69" t="str">
        <f t="shared" si="15"/>
        <v xml:space="preserve">								("Grade"),</v>
      </c>
      <c r="V12" s="70" t="str">
        <f t="shared" si="16"/>
        <v xml:space="preserve">								_ =&gt; _.Grade,</v>
      </c>
      <c r="W12" s="69" t="str">
        <f t="shared" si="17"/>
        <v xml:space="preserve">				.WhereIf(!string.IsNullOrWhiteSpace(input.Grade), e =&gt; e.Grade.Contains(input.Grade))</v>
      </c>
    </row>
    <row r="13" spans="1:23" customFormat="1" ht="21" customHeight="1" x14ac:dyDescent="0.25">
      <c r="A13" t="s">
        <v>275</v>
      </c>
      <c r="B13" t="s">
        <v>282</v>
      </c>
      <c r="C13" t="s">
        <v>280</v>
      </c>
      <c r="D13" t="str">
        <f t="shared" ref="D13:D15" si="18">SUBSTITUTE(PROPER(A13),"_","")</f>
        <v>BodyNo</v>
      </c>
      <c r="E13" t="str">
        <f t="shared" si="6"/>
        <v>nvarchar</v>
      </c>
      <c r="F13" s="7"/>
      <c r="G13" t="str">
        <f t="shared" si="7"/>
        <v>10</v>
      </c>
      <c r="H13" t="str">
        <f>+VLOOKUP(E13,'Data Type Mapping'!A:B,2,)</f>
        <v>string</v>
      </c>
      <c r="I13" t="str">
        <f t="shared" si="8"/>
        <v xml:space="preserve">		public const int MaxBodyNoLength = 10;
</v>
      </c>
      <c r="J13" t="str">
        <f t="shared" si="9"/>
        <v xml:space="preserve">		[Required]
		[StringLength(MaxBodyNoLength)]
		public virtual string BodyNo { get; set; }
</v>
      </c>
      <c r="K13" s="7" t="s">
        <v>206</v>
      </c>
      <c r="L13" t="str">
        <f t="shared" ref="L13:L15" si="19">IF(K13="","",REPT(CHAR(9),1)&amp;"[Index(nameof("&amp;IF(D13="","",""&amp;D13)&amp;")"&amp;", Name="&amp;"""IX_"&amp;$B$7&amp;"_"&amp;D13&amp;""")]")</f>
        <v xml:space="preserve">	[Index(nameof(BodyNo), Name="IX_AsyAdoAInPlan_BodyNo")]</v>
      </c>
      <c r="M13" t="str">
        <f t="shared" si="11"/>
        <v xml:space="preserve">		public virtual string BodyNo { get; set; }
</v>
      </c>
      <c r="N13" t="str">
        <f t="shared" si="12"/>
        <v xml:space="preserve">		[Required]
		[StringLength(AsyAdoAInPlanConsts.MaxBodyNoLength)]
		public virtual string BodyNo { get; set; }
</v>
      </c>
      <c r="O13" t="str">
        <f t="shared" si="13"/>
        <v xml:space="preserve">		public virtual string BodyNo { get; set; }
</v>
      </c>
      <c r="P13" t="str">
        <f t="shared" si="14"/>
        <v xml:space="preserve">							BodyNo = o.BodyNo,</v>
      </c>
      <c r="T13" s="69" t="str">
        <f t="shared" si="15"/>
        <v xml:space="preserve">								("BodyNo"),</v>
      </c>
      <c r="V13" s="70" t="str">
        <f t="shared" si="16"/>
        <v xml:space="preserve">								_ =&gt; _.BodyNo,</v>
      </c>
      <c r="W13" s="69" t="str">
        <f t="shared" si="17"/>
        <v xml:space="preserve">				.WhereIf(!string.IsNullOrWhiteSpace(input.BodyNo), e =&gt; e.BodyNo.Contains(input.BodyNo))</v>
      </c>
    </row>
    <row r="14" spans="1:23" customFormat="1" ht="21" customHeight="1" x14ac:dyDescent="0.25">
      <c r="A14" t="s">
        <v>278</v>
      </c>
      <c r="B14" t="s">
        <v>282</v>
      </c>
      <c r="C14" t="s">
        <v>1</v>
      </c>
      <c r="D14" t="str">
        <f t="shared" si="18"/>
        <v>Color</v>
      </c>
      <c r="E14" t="str">
        <f t="shared" si="6"/>
        <v>nvarchar</v>
      </c>
      <c r="F14" s="7"/>
      <c r="G14" t="str">
        <f t="shared" si="7"/>
        <v>10</v>
      </c>
      <c r="H14" t="str">
        <f>+VLOOKUP(E14,'Data Type Mapping'!A:B,2,)</f>
        <v>string</v>
      </c>
      <c r="I14" t="str">
        <f t="shared" si="8"/>
        <v xml:space="preserve">		public const int MaxColorLength = 10;
</v>
      </c>
      <c r="J14" t="str">
        <f t="shared" si="9"/>
        <v xml:space="preserve">		[StringLength(MaxColorLength)]
		public virtual string Color { get; set; }
</v>
      </c>
      <c r="K14" s="7"/>
      <c r="L14" t="str">
        <f t="shared" si="19"/>
        <v/>
      </c>
      <c r="M14" t="str">
        <f t="shared" si="11"/>
        <v xml:space="preserve">		public virtual string Color { get; set; }
</v>
      </c>
      <c r="N14" t="str">
        <f t="shared" si="12"/>
        <v xml:space="preserve">		[StringLength(AsyAdoAInPlanConsts.MaxColorLength)]
		public virtual string Color { get; set; }
</v>
      </c>
      <c r="O14" t="str">
        <f t="shared" si="13"/>
        <v xml:space="preserve">		public virtual string Color { get; set; }
</v>
      </c>
      <c r="P14" t="str">
        <f t="shared" si="14"/>
        <v xml:space="preserve">							Color = o.Color,</v>
      </c>
      <c r="T14" s="69" t="str">
        <f t="shared" si="15"/>
        <v xml:space="preserve">								("Color"),</v>
      </c>
      <c r="V14" s="70" t="str">
        <f t="shared" si="16"/>
        <v xml:space="preserve">								_ =&gt; _.Color,</v>
      </c>
      <c r="W14" s="69" t="str">
        <f t="shared" si="17"/>
        <v xml:space="preserve">				.WhereIf(!string.IsNullOrWhiteSpace(input.Color), e =&gt; e.Color.Contains(input.Color))</v>
      </c>
    </row>
    <row r="15" spans="1:23" customFormat="1" ht="18.75" customHeight="1" x14ac:dyDescent="0.25">
      <c r="A15" t="s">
        <v>283</v>
      </c>
      <c r="B15" t="s">
        <v>248</v>
      </c>
      <c r="C15" t="s">
        <v>1</v>
      </c>
      <c r="D15" t="str">
        <f t="shared" si="18"/>
        <v>AInDateActual</v>
      </c>
      <c r="E15" t="str">
        <f t="shared" si="6"/>
        <v>datetime2</v>
      </c>
      <c r="F15" s="7" t="s">
        <v>248</v>
      </c>
      <c r="G15" t="str">
        <f t="shared" si="7"/>
        <v>7</v>
      </c>
      <c r="H15" t="str">
        <f>+VLOOKUP(E15,'Data Type Mapping'!A:B,2,)</f>
        <v>DateTime</v>
      </c>
      <c r="I15" t="str">
        <f t="shared" si="8"/>
        <v/>
      </c>
      <c r="J15" t="str">
        <f t="shared" si="9"/>
        <v xml:space="preserve">		[Column(TypeName="datetime2(7)")]
		public virtual DateTime AInDateActual { get; set; }
</v>
      </c>
      <c r="K15" s="7"/>
      <c r="L15" t="str">
        <f t="shared" si="19"/>
        <v/>
      </c>
      <c r="M15" t="str">
        <f t="shared" si="11"/>
        <v xml:space="preserve">		public virtual DateTime? AInDateActual { get; set; }
</v>
      </c>
      <c r="N15" t="str">
        <f t="shared" si="12"/>
        <v xml:space="preserve">		public virtual DateTime? AInDateActual { get; set; }
</v>
      </c>
      <c r="O15" t="str">
        <f t="shared" si="13"/>
        <v xml:space="preserve">		public virtual DateTime? AInDateActual { get; set; }
</v>
      </c>
      <c r="P15" t="str">
        <f t="shared" si="14"/>
        <v xml:space="preserve">							AInDateActual = o.AInDateActual,</v>
      </c>
      <c r="T15" s="69" t="str">
        <f t="shared" si="15"/>
        <v xml:space="preserve">								("AInDateActual"),</v>
      </c>
      <c r="V15" s="70" t="str">
        <f t="shared" si="16"/>
        <v xml:space="preserve">								_ =&gt; _.AInDateActual,</v>
      </c>
      <c r="W15" s="69" t="str">
        <f t="shared" si="17"/>
        <v xml:space="preserve">				.WhereIf(input.AInDateActual.HasValue, t =&gt; t.AInDateActual == input.AInDateActual.Value)</v>
      </c>
    </row>
    <row r="16" spans="1:23" customFormat="1" ht="22.5" customHeight="1" x14ac:dyDescent="0.25">
      <c r="A16" t="s">
        <v>284</v>
      </c>
      <c r="B16" t="s">
        <v>248</v>
      </c>
      <c r="C16" t="s">
        <v>1</v>
      </c>
      <c r="D16" t="str">
        <f>SUBSTITUTE(PROPER(A16),"_","")</f>
        <v>AOutDateActual</v>
      </c>
      <c r="E16" t="str">
        <f t="shared" si="6"/>
        <v>datetime2</v>
      </c>
      <c r="F16" s="7" t="s">
        <v>248</v>
      </c>
      <c r="G16" t="str">
        <f t="shared" si="7"/>
        <v>7</v>
      </c>
      <c r="H16" t="str">
        <f>+VLOOKUP(E16,'Data Type Mapping'!A:B,2,)</f>
        <v>DateTime</v>
      </c>
      <c r="I16" t="str">
        <f t="shared" si="8"/>
        <v/>
      </c>
      <c r="J16" t="str">
        <f t="shared" si="9"/>
        <v xml:space="preserve">		[Column(TypeName="datetime2(7)")]
		public virtual DateTime AOutDateActual { get; set; }
</v>
      </c>
      <c r="K16" s="7"/>
      <c r="L16" t="str">
        <f>IF(K16="","",REPT(CHAR(9),1)&amp;"[Index(nameof("&amp;IF(D16="","",""&amp;D16)&amp;")"&amp;", Name="&amp;"""IX_"&amp;$B$7&amp;"_"&amp;D16&amp;""")]")</f>
        <v/>
      </c>
      <c r="M16" t="str">
        <f t="shared" si="11"/>
        <v xml:space="preserve">		public virtual DateTime? AOutDateActual { get; set; }
</v>
      </c>
      <c r="N16" t="str">
        <f t="shared" si="12"/>
        <v xml:space="preserve">		public virtual DateTime? AOutDateActual { get; set; }
</v>
      </c>
      <c r="O16" t="str">
        <f t="shared" si="13"/>
        <v xml:space="preserve">		public virtual DateTime? AOutDateActual { get; set; }
</v>
      </c>
      <c r="P16" t="str">
        <f t="shared" si="14"/>
        <v xml:space="preserve">							AOutDateActual = o.AOutDateActual,</v>
      </c>
      <c r="T16" s="69" t="str">
        <f t="shared" si="15"/>
        <v xml:space="preserve">								("AOutDateActual"),</v>
      </c>
      <c r="V16" s="70" t="str">
        <f t="shared" si="16"/>
        <v xml:space="preserve">								_ =&gt; _.AOutDateActual,</v>
      </c>
      <c r="W16" s="69" t="str">
        <f t="shared" si="17"/>
        <v xml:space="preserve">				.WhereIf(input.AOutDateActual.HasValue, t =&gt; t.AOutDateActual == input.AOutDateActual.Value)</v>
      </c>
    </row>
    <row r="17" spans="1:23" customFormat="1" ht="21" customHeight="1" x14ac:dyDescent="0.25">
      <c r="A17" t="s">
        <v>285</v>
      </c>
      <c r="B17" t="s">
        <v>248</v>
      </c>
      <c r="C17" t="s">
        <v>1</v>
      </c>
      <c r="D17" t="str">
        <f t="shared" ref="D17:D19" si="20">SUBSTITUTE(PROPER(A17),"_","")</f>
        <v>AInPlanDatetime</v>
      </c>
      <c r="E17" t="str">
        <f t="shared" si="6"/>
        <v>datetime2</v>
      </c>
      <c r="F17" s="7" t="s">
        <v>248</v>
      </c>
      <c r="G17" t="str">
        <f t="shared" si="7"/>
        <v>7</v>
      </c>
      <c r="H17" t="str">
        <f>+VLOOKUP(E17,'Data Type Mapping'!A:B,2,)</f>
        <v>DateTime</v>
      </c>
      <c r="I17" t="str">
        <f t="shared" si="8"/>
        <v/>
      </c>
      <c r="J17" t="str">
        <f t="shared" si="9"/>
        <v xml:space="preserve">		[Column(TypeName="datetime2(7)")]
		public virtual DateTime AInPlanDatetime { get; set; }
</v>
      </c>
      <c r="K17" s="7"/>
      <c r="L17" t="str">
        <f t="shared" ref="L17:L19" si="21">IF(K17="","",REPT(CHAR(9),1)&amp;"[Index(nameof("&amp;IF(D17="","",""&amp;D17)&amp;")"&amp;", Name="&amp;"""IX_"&amp;$B$7&amp;"_"&amp;D17&amp;""")]")</f>
        <v/>
      </c>
      <c r="M17" t="str">
        <f t="shared" si="11"/>
        <v xml:space="preserve">		public virtual DateTime? AInPlanDatetime { get; set; }
</v>
      </c>
      <c r="N17" t="str">
        <f t="shared" si="12"/>
        <v xml:space="preserve">		public virtual DateTime? AInPlanDatetime { get; set; }
</v>
      </c>
      <c r="O17" t="str">
        <f t="shared" si="13"/>
        <v xml:space="preserve">		public virtual DateTime? AInPlanDatetime { get; set; }
</v>
      </c>
      <c r="P17" t="str">
        <f t="shared" si="14"/>
        <v xml:space="preserve">							AInPlanDatetime = o.AInPlanDatetime,</v>
      </c>
      <c r="T17" s="69" t="str">
        <f t="shared" si="15"/>
        <v xml:space="preserve">								("AInPlanDatetime"),</v>
      </c>
      <c r="V17" s="70" t="str">
        <f t="shared" si="16"/>
        <v xml:space="preserve">								_ =&gt; _.AInPlanDatetime,</v>
      </c>
      <c r="W17" s="69" t="str">
        <f t="shared" si="17"/>
        <v xml:space="preserve">				.WhereIf(input.AInPlanDatetime.HasValue, t =&gt; t.AInPlanDatetime == input.AInPlanDatetime.Value)</v>
      </c>
    </row>
    <row r="18" spans="1:23" customFormat="1" ht="21" customHeight="1" x14ac:dyDescent="0.25">
      <c r="A18" t="s">
        <v>286</v>
      </c>
      <c r="B18" t="s">
        <v>248</v>
      </c>
      <c r="C18" t="s">
        <v>1</v>
      </c>
      <c r="D18" t="str">
        <f t="shared" si="20"/>
        <v>AOutPlanDatetime</v>
      </c>
      <c r="E18" t="str">
        <f t="shared" si="6"/>
        <v>datetime2</v>
      </c>
      <c r="F18" s="7" t="s">
        <v>248</v>
      </c>
      <c r="G18" t="str">
        <f t="shared" si="7"/>
        <v>7</v>
      </c>
      <c r="H18" t="str">
        <f>+VLOOKUP(E18,'Data Type Mapping'!A:B,2,)</f>
        <v>DateTime</v>
      </c>
      <c r="I18" t="str">
        <f t="shared" si="8"/>
        <v/>
      </c>
      <c r="J18" t="str">
        <f t="shared" si="9"/>
        <v xml:space="preserve">		[Column(TypeName="datetime2(7)")]
		public virtual DateTime AOutPlanDatetime { get; set; }
</v>
      </c>
      <c r="K18" s="7"/>
      <c r="L18" t="str">
        <f t="shared" si="21"/>
        <v/>
      </c>
      <c r="M18" t="str">
        <f t="shared" si="11"/>
        <v xml:space="preserve">		public virtual DateTime? AOutPlanDatetime { get; set; }
</v>
      </c>
      <c r="N18" t="str">
        <f t="shared" si="12"/>
        <v xml:space="preserve">		public virtual DateTime? AOutPlanDatetime { get; set; }
</v>
      </c>
      <c r="O18" t="str">
        <f t="shared" si="13"/>
        <v xml:space="preserve">		public virtual DateTime? AOutPlanDatetime { get; set; }
</v>
      </c>
      <c r="P18" t="str">
        <f t="shared" si="14"/>
        <v xml:space="preserve">							AOutPlanDatetime = o.AOutPlanDatetime,</v>
      </c>
      <c r="T18" s="69" t="str">
        <f t="shared" si="15"/>
        <v xml:space="preserve">								("AOutPlanDatetime"),</v>
      </c>
      <c r="V18" s="70" t="str">
        <f t="shared" si="16"/>
        <v xml:space="preserve">								_ =&gt; _.AOutPlanDatetime,</v>
      </c>
      <c r="W18" s="69" t="str">
        <f t="shared" si="17"/>
        <v xml:space="preserve">				.WhereIf(input.AOutPlanDatetime.HasValue, t =&gt; t.AOutPlanDatetime == input.AOutPlanDatetime.Value)</v>
      </c>
    </row>
    <row r="19" spans="1:23" customFormat="1" ht="18.75" customHeight="1" x14ac:dyDescent="0.25">
      <c r="A19" t="s">
        <v>287</v>
      </c>
      <c r="B19" t="s">
        <v>273</v>
      </c>
      <c r="C19" t="s">
        <v>1</v>
      </c>
      <c r="D19" t="str">
        <f t="shared" si="20"/>
        <v>SequenceNo</v>
      </c>
      <c r="E19" t="str">
        <f t="shared" si="6"/>
        <v>varchar</v>
      </c>
      <c r="F19" s="7"/>
      <c r="G19" t="str">
        <f t="shared" si="7"/>
        <v>50</v>
      </c>
      <c r="H19" t="str">
        <f>+VLOOKUP(E19,'Data Type Mapping'!A:B,2,)</f>
        <v>string</v>
      </c>
      <c r="I19" t="str">
        <f t="shared" si="8"/>
        <v xml:space="preserve">		public const int MaxSequenceNoLength = 50;
</v>
      </c>
      <c r="J19" t="str">
        <f t="shared" si="9"/>
        <v xml:space="preserve">		[StringLength(MaxSequenceNoLength)]
		public virtual string SequenceNo { get; set; }
</v>
      </c>
      <c r="K19" s="7" t="s">
        <v>206</v>
      </c>
      <c r="L19" t="str">
        <f t="shared" si="21"/>
        <v xml:space="preserve">	[Index(nameof(SequenceNo), Name="IX_AsyAdoAInPlan_SequenceNo")]</v>
      </c>
      <c r="M19" t="str">
        <f t="shared" si="11"/>
        <v xml:space="preserve">		public virtual string SequenceNo { get; set; }
</v>
      </c>
      <c r="N19" t="str">
        <f t="shared" si="12"/>
        <v xml:space="preserve">		[StringLength(AsyAdoAInPlanConsts.MaxSequenceNoLength)]
		public virtual string SequenceNo { get; set; }
</v>
      </c>
      <c r="O19" t="str">
        <f t="shared" si="13"/>
        <v xml:space="preserve">		public virtual string SequenceNo { get; set; }
</v>
      </c>
      <c r="P19" t="str">
        <f t="shared" si="14"/>
        <v xml:space="preserve">							SequenceNo = o.SequenceNo,</v>
      </c>
      <c r="T19" s="69" t="str">
        <f t="shared" si="15"/>
        <v xml:space="preserve">								("SequenceNo"),</v>
      </c>
      <c r="V19" s="70" t="str">
        <f t="shared" si="16"/>
        <v xml:space="preserve">								_ =&gt; _.SequenceNo,</v>
      </c>
      <c r="W19" s="69" t="str">
        <f t="shared" si="17"/>
        <v xml:space="preserve">				.WhereIf(!string.IsNullOrWhiteSpace(input.SequenceNo), e =&gt; e.SequenceNo.Contains(input.SequenceNo))</v>
      </c>
    </row>
    <row r="20" spans="1:23" customFormat="1" ht="22.5" customHeight="1" x14ac:dyDescent="0.25">
      <c r="A20" t="s">
        <v>288</v>
      </c>
      <c r="B20" t="s">
        <v>4</v>
      </c>
      <c r="C20" t="s">
        <v>1</v>
      </c>
      <c r="D20" t="str">
        <f>SUBSTITUTE(PROPER(A20),"_","")</f>
        <v>IsStart</v>
      </c>
      <c r="E20" t="str">
        <f t="shared" ref="E20:E21" si="22">IFERROR(LEFT(B20, FIND("(",B20)-1),B20)</f>
        <v>int</v>
      </c>
      <c r="F20" s="7"/>
      <c r="G20" t="str">
        <f t="shared" ref="G20:G21" si="23">IFERROR(MID(B20,FIND("(",B20) +1, FIND(")",B20) - FIND("(",B20) - 1),"")</f>
        <v/>
      </c>
      <c r="H20" t="str">
        <f>+VLOOKUP(E20,'Data Type Mapping'!A:B,2,)</f>
        <v>int</v>
      </c>
      <c r="I20" t="str">
        <f t="shared" ref="I20:I21" si="24">IF(H20="string",REPT(CHAR(9),2)&amp;"public const int Max"&amp;D20&amp;"Length = "&amp;G20&amp;";"&amp;$E$3,"" )</f>
        <v/>
      </c>
      <c r="J20" t="str">
        <f t="shared" ref="J20:J21" si="25">IF(F20="","",REPT(CHAR(9),2)&amp;"[Column(TypeName="""&amp;F20&amp;""")]"&amp;$E$3)&amp;IF(C20="Checked","",$I$3)&amp;IF(H20="string",REPT(CHAR(9),2)&amp;"[StringLength(Max"&amp;D20&amp;"Length"&amp;")]"&amp;$E$3,"")&amp;REPT(CHAR(9),2)&amp;"public virtual "&amp;H20&amp;IF(C20="?","? "," ")&amp;D20&amp;" { get; set; }" &amp; "
"</f>
        <v xml:space="preserve">		public virtual int IsStart { get; set; }
</v>
      </c>
      <c r="K20" s="7"/>
      <c r="L20" t="str">
        <f>IF(K20="","",REPT(CHAR(9),1)&amp;"[Index(nameof("&amp;IF(D20="","",""&amp;D20)&amp;")"&amp;", Name="&amp;"""IX_"&amp;$B$7&amp;"_"&amp;D20&amp;""")]")</f>
        <v/>
      </c>
      <c r="M20" t="str">
        <f t="shared" ref="M20:M21" si="26">REPT(CHAR(9),2)&amp;"public virtual "&amp;IF(OR(H20="DateTime",H20="TimeSpan"),H20&amp;"?",H20)&amp;IF(C20="?","? "," ")&amp;D20&amp;" { get; set; }" &amp; "
"</f>
        <v xml:space="preserve">		public virtual int IsStart { get; set; }
</v>
      </c>
      <c r="N20" t="str">
        <f t="shared" ref="N20:N21" si="27">IF(C20="Checked","",$I$3)&amp;IF(H20="string",REPT(CHAR(9),2)&amp;"[StringLength("&amp;$B$3&amp;"Consts.Max"&amp;D20&amp;"Length"&amp;")]"&amp;$E$3,"")&amp;REPT(CHAR(9),2)&amp;"public virtual "&amp;IF(OR(H20="DateTime",H20="TimeSpan"),H20&amp;"?",H20)&amp;IF(C20="?","? "," ")&amp;D20&amp;" { get; set; }" &amp; "
"</f>
        <v xml:space="preserve">		public virtual int IsStart { get; set; }
</v>
      </c>
      <c r="O20" t="str">
        <f t="shared" ref="O20:O21" si="28">IF(OR(H20="string",H20="DateTime",H20="int"),REPT(CHAR(9),2)&amp;"public virtual "&amp;IF(OR(H20="DateTime",H20="TimeSpan"),H20&amp;"?",H20)&amp;IF(C20="?","? "," ")&amp;D20&amp;" { get; set; }"&amp;$E$3,"")</f>
        <v xml:space="preserve">		public virtual int IsStart { get; set; }
</v>
      </c>
      <c r="P20" t="str">
        <f t="shared" ref="P20:P21" si="29">REPT(CHAR(9),7)&amp;D20&amp;" = o." &amp;D20 &amp;","</f>
        <v xml:space="preserve">							IsStart = o.IsStart,</v>
      </c>
      <c r="T20" s="69" t="str">
        <f t="shared" ref="T20:T21" si="30">REPT(CHAR(9),8)&amp;"("""&amp;D20&amp;"""),"</f>
        <v xml:space="preserve">								("IsStart"),</v>
      </c>
      <c r="V20" s="70" t="str">
        <f t="shared" ref="V20:V21" si="31">REPT(CHAR(9),8)&amp;"_ =&gt; _."&amp;D20&amp;","</f>
        <v xml:space="preserve">								_ =&gt; _.IsStart,</v>
      </c>
      <c r="W20" s="69" t="str">
        <f t="shared" ref="W20:W21" si="32">IF(H20="string",REPT(CHAR(9),4)&amp;".WhereIf(!string.IsNullOrWhiteSpace(input."&amp;D20&amp;"), e =&gt; e."&amp;D20&amp;".Contains(input."&amp;D20&amp;"))",IF(H20="DateTime",REPT(CHAR(9),4)&amp;".WhereIf(input."&amp;D20&amp;".HasValue, t =&gt; t."&amp;D20&amp;" == input."&amp;D20&amp;".Value)",""))</f>
        <v/>
      </c>
    </row>
    <row r="21" spans="1:23" customFormat="1" ht="22.5" customHeight="1" x14ac:dyDescent="0.25">
      <c r="A21" t="s">
        <v>301</v>
      </c>
      <c r="B21" t="s">
        <v>0</v>
      </c>
      <c r="C21" t="s">
        <v>1</v>
      </c>
      <c r="D21" t="str">
        <f>SUBSTITUTE(PROPER(A21),"_","")</f>
        <v>VehicleId</v>
      </c>
      <c r="E21" t="str">
        <f t="shared" si="22"/>
        <v>bigint</v>
      </c>
      <c r="F21" s="7"/>
      <c r="G21" t="str">
        <f t="shared" si="23"/>
        <v/>
      </c>
      <c r="H21" t="str">
        <f>+VLOOKUP(E21,'Data Type Mapping'!A:B,2,)</f>
        <v>long</v>
      </c>
      <c r="I21" t="str">
        <f t="shared" si="24"/>
        <v/>
      </c>
      <c r="J21" t="str">
        <f t="shared" si="25"/>
        <v xml:space="preserve">		public virtual long VehicleId { get; set; }
</v>
      </c>
      <c r="K21" s="7"/>
      <c r="L21" t="str">
        <f>IF(K21="","",REPT(CHAR(9),1)&amp;"[Index(nameof("&amp;IF(D21="","",""&amp;D21)&amp;")"&amp;", Name="&amp;"""IX_"&amp;$B$7&amp;"_"&amp;D21&amp;""")]")</f>
        <v/>
      </c>
      <c r="M21" t="str">
        <f t="shared" si="26"/>
        <v xml:space="preserve">		public virtual long VehicleId { get; set; }
</v>
      </c>
      <c r="N21" t="str">
        <f t="shared" si="27"/>
        <v xml:space="preserve">		public virtual long VehicleId { get; set; }
</v>
      </c>
      <c r="O21" t="str">
        <f t="shared" si="28"/>
        <v/>
      </c>
      <c r="P21" t="str">
        <f t="shared" si="29"/>
        <v xml:space="preserve">							VehicleId = o.VehicleId,</v>
      </c>
      <c r="T21" s="69" t="str">
        <f t="shared" si="30"/>
        <v xml:space="preserve">								("VehicleId"),</v>
      </c>
      <c r="V21" s="70" t="str">
        <f t="shared" si="31"/>
        <v xml:space="preserve">								_ =&gt; _.VehicleId,</v>
      </c>
      <c r="W21" s="69" t="str">
        <f t="shared" si="32"/>
        <v/>
      </c>
    </row>
    <row r="22" spans="1:23" customFormat="1" ht="22.5" customHeight="1" x14ac:dyDescent="0.25">
      <c r="A22" t="s">
        <v>304</v>
      </c>
      <c r="B22" t="s">
        <v>305</v>
      </c>
      <c r="C22" t="s">
        <v>1</v>
      </c>
      <c r="D22" t="str">
        <f>SUBSTITUTE(PROPER(A22),"_","")</f>
        <v>Cfc</v>
      </c>
      <c r="E22" t="str">
        <f t="shared" ref="E22" si="33">IFERROR(LEFT(B22, FIND("(",B22)-1),B22)</f>
        <v>varchar</v>
      </c>
      <c r="F22" s="7"/>
      <c r="G22" t="str">
        <f t="shared" ref="G22" si="34">IFERROR(MID(B22,FIND("(",B22) +1, FIND(")",B22) - FIND("(",B22) - 1),"")</f>
        <v>4</v>
      </c>
      <c r="H22" t="str">
        <f>+VLOOKUP(E22,'Data Type Mapping'!A:B,2,)</f>
        <v>string</v>
      </c>
      <c r="I22" t="str">
        <f t="shared" ref="I22" si="35">IF(H22="string",REPT(CHAR(9),2)&amp;"public const int Max"&amp;D22&amp;"Length = "&amp;G22&amp;";"&amp;$E$3,"" )</f>
        <v xml:space="preserve">		public const int MaxCfcLength = 4;
</v>
      </c>
      <c r="J22" t="str">
        <f t="shared" ref="J22" si="36">IF(F22="","",REPT(CHAR(9),2)&amp;"[Column(TypeName="""&amp;F22&amp;""")]"&amp;$E$3)&amp;IF(C22="Checked","",$I$3)&amp;IF(H22="string",REPT(CHAR(9),2)&amp;"[StringLength(Max"&amp;D22&amp;"Length"&amp;")]"&amp;$E$3,"")&amp;REPT(CHAR(9),2)&amp;"public virtual "&amp;H22&amp;IF(C22="?","? "," ")&amp;D22&amp;" { get; set; }" &amp; "
"</f>
        <v xml:space="preserve">		[StringLength(MaxCfcLength)]
		public virtual string Cfc { get; set; }
</v>
      </c>
      <c r="K22" s="7"/>
      <c r="L22" t="str">
        <f>IF(K22="","",REPT(CHAR(9),1)&amp;"[Index(nameof("&amp;IF(D22="","",""&amp;D22)&amp;")"&amp;", Name="&amp;"""IX_"&amp;$B$7&amp;"_"&amp;D22&amp;""")]")</f>
        <v/>
      </c>
      <c r="M22" t="str">
        <f t="shared" ref="M22" si="37">REPT(CHAR(9),2)&amp;"public virtual "&amp;IF(OR(H22="DateTime",H22="TimeSpan"),H22&amp;"?",H22)&amp;IF(C22="?","? "," ")&amp;D22&amp;" { get; set; }" &amp; "
"</f>
        <v xml:space="preserve">		public virtual string Cfc { get; set; }
</v>
      </c>
      <c r="N22" t="str">
        <f t="shared" ref="N22" si="38">IF(C22="Checked","",$I$3)&amp;IF(H22="string",REPT(CHAR(9),2)&amp;"[StringLength("&amp;$B$3&amp;"Consts.Max"&amp;D22&amp;"Length"&amp;")]"&amp;$E$3,"")&amp;REPT(CHAR(9),2)&amp;"public virtual "&amp;IF(OR(H22="DateTime",H22="TimeSpan"),H22&amp;"?",H22)&amp;IF(C22="?","? "," ")&amp;D22&amp;" { get; set; }" &amp; "
"</f>
        <v xml:space="preserve">		[StringLength(AsyAdoAInPlanConsts.MaxCfcLength)]
		public virtual string Cfc { get; set; }
</v>
      </c>
      <c r="O22" t="str">
        <f t="shared" ref="O22" si="39">IF(OR(H22="string",H22="DateTime",H22="int"),REPT(CHAR(9),2)&amp;"public virtual "&amp;IF(OR(H22="DateTime",H22="TimeSpan"),H22&amp;"?",H22)&amp;IF(C22="?","? "," ")&amp;D22&amp;" { get; set; }"&amp;$E$3,"")</f>
        <v xml:space="preserve">		public virtual string Cfc { get; set; }
</v>
      </c>
      <c r="P22" t="str">
        <f t="shared" ref="P22" si="40">REPT(CHAR(9),7)&amp;D22&amp;" = o." &amp;D22 &amp;","</f>
        <v xml:space="preserve">							Cfc = o.Cfc,</v>
      </c>
      <c r="T22" s="69" t="str">
        <f t="shared" ref="T22" si="41">REPT(CHAR(9),8)&amp;"("""&amp;D22&amp;"""),"</f>
        <v xml:space="preserve">								("Cfc"),</v>
      </c>
      <c r="V22" s="70" t="str">
        <f t="shared" ref="V22" si="42">REPT(CHAR(9),8)&amp;"_ =&gt; _."&amp;D22&amp;","</f>
        <v xml:space="preserve">								_ =&gt; _.Cfc,</v>
      </c>
      <c r="W22" s="69" t="str">
        <f t="shared" ref="W22" si="43">IF(H22="string",REPT(CHAR(9),4)&amp;".WhereIf(!string.IsNullOrWhiteSpace(input."&amp;D22&amp;"), e =&gt; e."&amp;D22&amp;".Contains(input."&amp;D22&amp;"))",IF(H22="DateTime",REPT(CHAR(9),4)&amp;".WhereIf(input."&amp;D22&amp;".HasValue, t =&gt; t."&amp;D22&amp;" == input."&amp;D22&amp;".Value)",""))</f>
        <v xml:space="preserve">				.WhereIf(!string.IsNullOrWhiteSpace(input.Cfc), e =&gt; e.Cfc.Contains(input.Cfc))</v>
      </c>
    </row>
    <row r="23" spans="1:23" customFormat="1" ht="18.75" customHeight="1" x14ac:dyDescent="0.25">
      <c r="A23" t="s">
        <v>295</v>
      </c>
      <c r="B23" t="s">
        <v>297</v>
      </c>
      <c r="C23" t="s">
        <v>1</v>
      </c>
      <c r="D23" t="str">
        <f t="shared" ref="D23" si="44">SUBSTITUTE(PROPER(A23),"_","")</f>
        <v>VinNo</v>
      </c>
      <c r="E23" t="str">
        <f t="shared" ref="E23:E26" si="45">IFERROR(LEFT(B23, FIND("(",B23)-1),B23)</f>
        <v>varchar</v>
      </c>
      <c r="F23" s="7"/>
      <c r="G23" t="str">
        <f t="shared" ref="G23:G26" si="46">IFERROR(MID(B23,FIND("(",B23) +1, FIND(")",B23) - FIND("(",B23) - 1),"")</f>
        <v>18</v>
      </c>
      <c r="H23" t="str">
        <f>+VLOOKUP(E23,'Data Type Mapping'!A:B,2,)</f>
        <v>string</v>
      </c>
      <c r="I23" t="str">
        <f t="shared" ref="I23:I26" si="47">IF(H23="string",REPT(CHAR(9),2)&amp;"public const int Max"&amp;D23&amp;"Length = "&amp;G23&amp;";"&amp;$E$3,"" )</f>
        <v xml:space="preserve">		public const int MaxVinNoLength = 18;
</v>
      </c>
      <c r="J23" t="str">
        <f t="shared" ref="J23:J26" si="48">IF(F23="","",REPT(CHAR(9),2)&amp;"[Column(TypeName="""&amp;F23&amp;""")]"&amp;$E$3)&amp;IF(C23="Checked","",$I$3)&amp;IF(H23="string",REPT(CHAR(9),2)&amp;"[StringLength(Max"&amp;D23&amp;"Length"&amp;")]"&amp;$E$3,"")&amp;REPT(CHAR(9),2)&amp;"public virtual "&amp;H23&amp;IF(C23="?","? "," ")&amp;D23&amp;" { get; set; }" &amp; "
"</f>
        <v xml:space="preserve">		[StringLength(MaxVinNoLength)]
		public virtual string VinNo { get; set; }
</v>
      </c>
      <c r="K23" s="7" t="s">
        <v>206</v>
      </c>
      <c r="L23" t="str">
        <f t="shared" ref="L23" si="49">IF(K23="","",REPT(CHAR(9),1)&amp;"[Index(nameof("&amp;IF(D23="","",""&amp;D23)&amp;")"&amp;", Name="&amp;"""IX_"&amp;$B$7&amp;"_"&amp;D23&amp;""")]")</f>
        <v xml:space="preserve">	[Index(nameof(VinNo), Name="IX_AsyAdoAInPlan_VinNo")]</v>
      </c>
      <c r="M23" t="str">
        <f t="shared" ref="M23:M26" si="50">REPT(CHAR(9),2)&amp;"public virtual "&amp;IF(OR(H23="DateTime",H23="TimeSpan"),H23&amp;"?",H23)&amp;IF(C23="?","? "," ")&amp;D23&amp;" { get; set; }" &amp; "
"</f>
        <v xml:space="preserve">		public virtual string VinNo { get; set; }
</v>
      </c>
      <c r="N23" t="str">
        <f t="shared" ref="N23:N26" si="51">IF(C23="Checked","",$I$3)&amp;IF(H23="string",REPT(CHAR(9),2)&amp;"[StringLength("&amp;$B$3&amp;"Consts.Max"&amp;D23&amp;"Length"&amp;")]"&amp;$E$3,"")&amp;REPT(CHAR(9),2)&amp;"public virtual "&amp;IF(OR(H23="DateTime",H23="TimeSpan"),H23&amp;"?",H23)&amp;IF(C23="?","? "," ")&amp;D23&amp;" { get; set; }" &amp; "
"</f>
        <v xml:space="preserve">		[StringLength(AsyAdoAInPlanConsts.MaxVinNoLength)]
		public virtual string VinNo { get; set; }
</v>
      </c>
      <c r="O23" t="str">
        <f t="shared" ref="O23:O26" si="52">IF(OR(H23="string",H23="DateTime",H23="int"),REPT(CHAR(9),2)&amp;"public virtual "&amp;IF(OR(H23="DateTime",H23="TimeSpan"),H23&amp;"?",H23)&amp;IF(C23="?","? "," ")&amp;D23&amp;" { get; set; }"&amp;$E$3,"")</f>
        <v xml:space="preserve">		public virtual string VinNo { get; set; }
</v>
      </c>
      <c r="P23" t="str">
        <f t="shared" ref="P23:P26" si="53">REPT(CHAR(9),7)&amp;D23&amp;" = o." &amp;D23 &amp;","</f>
        <v xml:space="preserve">							VinNo = o.VinNo,</v>
      </c>
      <c r="T23" s="69" t="str">
        <f t="shared" ref="T23:T26" si="54">REPT(CHAR(9),8)&amp;"("""&amp;D23&amp;"""),"</f>
        <v xml:space="preserve">								("VinNo"),</v>
      </c>
      <c r="V23" s="70" t="str">
        <f t="shared" ref="V23:V26" si="55">REPT(CHAR(9),8)&amp;"_ =&gt; _."&amp;D23&amp;","</f>
        <v xml:space="preserve">								_ =&gt; _.VinNo,</v>
      </c>
      <c r="W23" s="69" t="str">
        <f t="shared" ref="W23:W26" si="56">IF(H23="string",REPT(CHAR(9),4)&amp;".WhereIf(!string.IsNullOrWhiteSpace(input."&amp;D23&amp;"), e =&gt; e."&amp;D23&amp;".Contains(input."&amp;D23&amp;"))",IF(H23="DateTime",REPT(CHAR(9),4)&amp;".WhereIf(input."&amp;D23&amp;".HasValue, t =&gt; t."&amp;D23&amp;" == input."&amp;D23&amp;".Value)",""))</f>
        <v xml:space="preserve">				.WhereIf(!string.IsNullOrWhiteSpace(input.VinNo), e =&gt; e.VinNo.Contains(input.VinNo))</v>
      </c>
    </row>
    <row r="24" spans="1:23" customFormat="1" ht="18.75" customHeight="1" x14ac:dyDescent="0.25">
      <c r="A24" t="s">
        <v>298</v>
      </c>
      <c r="B24" t="s">
        <v>299</v>
      </c>
      <c r="C24" t="s">
        <v>1</v>
      </c>
      <c r="D24" t="str">
        <f t="shared" ref="D24" si="57">SUBSTITUTE(PROPER(A24),"_","")</f>
        <v>EngineId</v>
      </c>
      <c r="E24" t="str">
        <f t="shared" ref="E24" si="58">IFERROR(LEFT(B24, FIND("(",B24)-1),B24)</f>
        <v>varchar</v>
      </c>
      <c r="F24" s="7"/>
      <c r="G24" t="str">
        <f t="shared" ref="G24" si="59">IFERROR(MID(B24,FIND("(",B24) +1, FIND(")",B24) - FIND("(",B24) - 1),"")</f>
        <v>12</v>
      </c>
      <c r="H24" t="str">
        <f>+VLOOKUP(E24,'Data Type Mapping'!A:B,2,)</f>
        <v>string</v>
      </c>
      <c r="I24" t="str">
        <f t="shared" ref="I24" si="60">IF(H24="string",REPT(CHAR(9),2)&amp;"public const int Max"&amp;D24&amp;"Length = "&amp;G24&amp;";"&amp;$E$3,"" )</f>
        <v xml:space="preserve">		public const int MaxEngineIdLength = 12;
</v>
      </c>
      <c r="J24" t="str">
        <f t="shared" ref="J24" si="61">IF(F24="","",REPT(CHAR(9),2)&amp;"[Column(TypeName="""&amp;F24&amp;""")]"&amp;$E$3)&amp;IF(C24="Checked","",$I$3)&amp;IF(H24="string",REPT(CHAR(9),2)&amp;"[StringLength(Max"&amp;D24&amp;"Length"&amp;")]"&amp;$E$3,"")&amp;REPT(CHAR(9),2)&amp;"public virtual "&amp;H24&amp;IF(C24="?","? "," ")&amp;D24&amp;" { get; set; }" &amp; "
"</f>
        <v xml:space="preserve">		[StringLength(MaxEngineIdLength)]
		public virtual string EngineId { get; set; }
</v>
      </c>
      <c r="K24" s="7" t="s">
        <v>206</v>
      </c>
      <c r="L24" t="str">
        <f t="shared" ref="L24" si="62">IF(K24="","",REPT(CHAR(9),1)&amp;"[Index(nameof("&amp;IF(D24="","",""&amp;D24)&amp;")"&amp;", Name="&amp;"""IX_"&amp;$B$7&amp;"_"&amp;D24&amp;""")]")</f>
        <v xml:space="preserve">	[Index(nameof(EngineId), Name="IX_AsyAdoAInPlan_EngineId")]</v>
      </c>
      <c r="M24" t="str">
        <f t="shared" ref="M24" si="63">REPT(CHAR(9),2)&amp;"public virtual "&amp;IF(OR(H24="DateTime",H24="TimeSpan"),H24&amp;"?",H24)&amp;IF(C24="?","? "," ")&amp;D24&amp;" { get; set; }" &amp; "
"</f>
        <v xml:space="preserve">		public virtual string EngineId { get; set; }
</v>
      </c>
      <c r="N24" t="str">
        <f t="shared" ref="N24" si="64">IF(C24="Checked","",$I$3)&amp;IF(H24="string",REPT(CHAR(9),2)&amp;"[StringLength("&amp;$B$3&amp;"Consts.Max"&amp;D24&amp;"Length"&amp;")]"&amp;$E$3,"")&amp;REPT(CHAR(9),2)&amp;"public virtual "&amp;IF(OR(H24="DateTime",H24="TimeSpan"),H24&amp;"?",H24)&amp;IF(C24="?","? "," ")&amp;D24&amp;" { get; set; }" &amp; "
"</f>
        <v xml:space="preserve">		[StringLength(AsyAdoAInPlanConsts.MaxEngineIdLength)]
		public virtual string EngineId { get; set; }
</v>
      </c>
      <c r="O24" t="str">
        <f t="shared" ref="O24" si="65">IF(OR(H24="string",H24="DateTime",H24="int"),REPT(CHAR(9),2)&amp;"public virtual "&amp;IF(OR(H24="DateTime",H24="TimeSpan"),H24&amp;"?",H24)&amp;IF(C24="?","? "," ")&amp;D24&amp;" { get; set; }"&amp;$E$3,"")</f>
        <v xml:space="preserve">		public virtual string EngineId { get; set; }
</v>
      </c>
      <c r="P24" t="str">
        <f t="shared" ref="P24" si="66">REPT(CHAR(9),7)&amp;D24&amp;" = o." &amp;D24 &amp;","</f>
        <v xml:space="preserve">							EngineId = o.EngineId,</v>
      </c>
      <c r="T24" s="69" t="str">
        <f t="shared" ref="T24" si="67">REPT(CHAR(9),8)&amp;"("""&amp;D24&amp;"""),"</f>
        <v xml:space="preserve">								("EngineId"),</v>
      </c>
      <c r="V24" s="70" t="str">
        <f t="shared" ref="V24" si="68">REPT(CHAR(9),8)&amp;"_ =&gt; _."&amp;D24&amp;","</f>
        <v xml:space="preserve">								_ =&gt; _.EngineId,</v>
      </c>
      <c r="W24" s="69" t="str">
        <f t="shared" ref="W24" si="69">IF(H24="string",REPT(CHAR(9),4)&amp;".WhereIf(!string.IsNullOrWhiteSpace(input."&amp;D24&amp;"), e =&gt; e."&amp;D24&amp;".Contains(input."&amp;D24&amp;"))",IF(H24="DateTime",REPT(CHAR(9),4)&amp;".WhereIf(input."&amp;D24&amp;".HasValue, t =&gt; t."&amp;D24&amp;" == input."&amp;D24&amp;".Value)",""))</f>
        <v xml:space="preserve">				.WhereIf(!string.IsNullOrWhiteSpace(input.EngineId), e =&gt; e.EngineId.Contains(input.EngineId))</v>
      </c>
    </row>
    <row r="25" spans="1:23" customFormat="1" ht="18.75" customHeight="1" x14ac:dyDescent="0.25">
      <c r="A25" t="s">
        <v>300</v>
      </c>
      <c r="B25" t="s">
        <v>297</v>
      </c>
      <c r="C25" t="s">
        <v>1</v>
      </c>
      <c r="D25" t="str">
        <f t="shared" ref="D25" si="70">SUBSTITUTE(PROPER(A25),"_","")</f>
        <v>TransId</v>
      </c>
      <c r="E25" t="str">
        <f t="shared" ref="E25" si="71">IFERROR(LEFT(B25, FIND("(",B25)-1),B25)</f>
        <v>varchar</v>
      </c>
      <c r="F25" s="7"/>
      <c r="G25" t="str">
        <f t="shared" ref="G25" si="72">IFERROR(MID(B25,FIND("(",B25) +1, FIND(")",B25) - FIND("(",B25) - 1),"")</f>
        <v>18</v>
      </c>
      <c r="H25" t="str">
        <f>+VLOOKUP(E25,'Data Type Mapping'!A:B,2,)</f>
        <v>string</v>
      </c>
      <c r="I25" t="str">
        <f t="shared" ref="I25" si="73">IF(H25="string",REPT(CHAR(9),2)&amp;"public const int Max"&amp;D25&amp;"Length = "&amp;G25&amp;";"&amp;$E$3,"" )</f>
        <v xml:space="preserve">		public const int MaxTransIdLength = 18;
</v>
      </c>
      <c r="J25" t="str">
        <f t="shared" ref="J25" si="74">IF(F25="","",REPT(CHAR(9),2)&amp;"[Column(TypeName="""&amp;F25&amp;""")]"&amp;$E$3)&amp;IF(C25="Checked","",$I$3)&amp;IF(H25="string",REPT(CHAR(9),2)&amp;"[StringLength(Max"&amp;D25&amp;"Length"&amp;")]"&amp;$E$3,"")&amp;REPT(CHAR(9),2)&amp;"public virtual "&amp;H25&amp;IF(C25="?","? "," ")&amp;D25&amp;" { get; set; }" &amp; "
"</f>
        <v xml:space="preserve">		[StringLength(MaxTransIdLength)]
		public virtual string TransId { get; set; }
</v>
      </c>
      <c r="K25" s="7" t="s">
        <v>206</v>
      </c>
      <c r="L25" t="str">
        <f t="shared" ref="L25" si="75">IF(K25="","",REPT(CHAR(9),1)&amp;"[Index(nameof("&amp;IF(D25="","",""&amp;D25)&amp;")"&amp;", Name="&amp;"""IX_"&amp;$B$7&amp;"_"&amp;D25&amp;""")]")</f>
        <v xml:space="preserve">	[Index(nameof(TransId), Name="IX_AsyAdoAInPlan_TransId")]</v>
      </c>
      <c r="M25" t="str">
        <f t="shared" ref="M25" si="76">REPT(CHAR(9),2)&amp;"public virtual "&amp;IF(OR(H25="DateTime",H25="TimeSpan"),H25&amp;"?",H25)&amp;IF(C25="?","? "," ")&amp;D25&amp;" { get; set; }" &amp; "
"</f>
        <v xml:space="preserve">		public virtual string TransId { get; set; }
</v>
      </c>
      <c r="N25" t="str">
        <f t="shared" ref="N25" si="77">IF(C25="Checked","",$I$3)&amp;IF(H25="string",REPT(CHAR(9),2)&amp;"[StringLength("&amp;$B$3&amp;"Consts.Max"&amp;D25&amp;"Length"&amp;")]"&amp;$E$3,"")&amp;REPT(CHAR(9),2)&amp;"public virtual "&amp;IF(OR(H25="DateTime",H25="TimeSpan"),H25&amp;"?",H25)&amp;IF(C25="?","? "," ")&amp;D25&amp;" { get; set; }" &amp; "
"</f>
        <v xml:space="preserve">		[StringLength(AsyAdoAInPlanConsts.MaxTransIdLength)]
		public virtual string TransId { get; set; }
</v>
      </c>
      <c r="O25" t="str">
        <f t="shared" ref="O25" si="78">IF(OR(H25="string",H25="DateTime",H25="int"),REPT(CHAR(9),2)&amp;"public virtual "&amp;IF(OR(H25="DateTime",H25="TimeSpan"),H25&amp;"?",H25)&amp;IF(C25="?","? "," ")&amp;D25&amp;" { get; set; }"&amp;$E$3,"")</f>
        <v xml:space="preserve">		public virtual string TransId { get; set; }
</v>
      </c>
      <c r="P25" t="str">
        <f t="shared" ref="P25" si="79">REPT(CHAR(9),7)&amp;D25&amp;" = o." &amp;D25 &amp;","</f>
        <v xml:space="preserve">							TransId = o.TransId,</v>
      </c>
      <c r="T25" s="69" t="str">
        <f t="shared" ref="T25" si="80">REPT(CHAR(9),8)&amp;"("""&amp;D25&amp;"""),"</f>
        <v xml:space="preserve">								("TransId"),</v>
      </c>
      <c r="V25" s="70" t="str">
        <f t="shared" ref="V25" si="81">REPT(CHAR(9),8)&amp;"_ =&gt; _."&amp;D25&amp;","</f>
        <v xml:space="preserve">								_ =&gt; _.TransId,</v>
      </c>
      <c r="W25" s="69" t="str">
        <f t="shared" ref="W25" si="82">IF(H25="string",REPT(CHAR(9),4)&amp;".WhereIf(!string.IsNullOrWhiteSpace(input."&amp;D25&amp;"), e =&gt; e."&amp;D25&amp;".Contains(input."&amp;D25&amp;"))",IF(H25="DateTime",REPT(CHAR(9),4)&amp;".WhereIf(input."&amp;D25&amp;".HasValue, t =&gt; t."&amp;D25&amp;" == input."&amp;D25&amp;".Value)",""))</f>
        <v xml:space="preserve">				.WhereIf(!string.IsNullOrWhiteSpace(input.TransId), e =&gt; e.TransId.Contains(input.TransId))</v>
      </c>
    </row>
    <row r="26" spans="1:23" customFormat="1" ht="22.5" customHeight="1" x14ac:dyDescent="0.25">
      <c r="A26" t="s">
        <v>302</v>
      </c>
      <c r="B26" t="s">
        <v>303</v>
      </c>
      <c r="C26" t="s">
        <v>1</v>
      </c>
      <c r="D26" t="str">
        <f>SUBSTITUTE(PROPER(A26),"_","")</f>
        <v>SalesSfx</v>
      </c>
      <c r="E26" t="str">
        <f t="shared" si="45"/>
        <v>varchar</v>
      </c>
      <c r="F26" s="7"/>
      <c r="G26" t="str">
        <f t="shared" si="46"/>
        <v>2</v>
      </c>
      <c r="H26" t="str">
        <f>+VLOOKUP(E26,'Data Type Mapping'!A:B,2,)</f>
        <v>string</v>
      </c>
      <c r="I26" t="str">
        <f t="shared" si="47"/>
        <v xml:space="preserve">		public const int MaxSalesSfxLength = 2;
</v>
      </c>
      <c r="J26" t="str">
        <f t="shared" si="48"/>
        <v xml:space="preserve">		[StringLength(MaxSalesSfxLength)]
		public virtual string SalesSfx { get; set; }
</v>
      </c>
      <c r="K26" s="7"/>
      <c r="L26" t="str">
        <f>IF(K26="","",REPT(CHAR(9),1)&amp;"[Index(nameof("&amp;IF(D26="","",""&amp;D26)&amp;")"&amp;", Name="&amp;"""IX_"&amp;$B$7&amp;"_"&amp;D26&amp;""")]")</f>
        <v/>
      </c>
      <c r="M26" t="str">
        <f t="shared" si="50"/>
        <v xml:space="preserve">		public virtual string SalesSfx { get; set; }
</v>
      </c>
      <c r="N26" t="str">
        <f t="shared" si="51"/>
        <v xml:space="preserve">		[StringLength(AsyAdoAInPlanConsts.MaxSalesSfxLength)]
		public virtual string SalesSfx { get; set; }
</v>
      </c>
      <c r="O26" t="str">
        <f t="shared" si="52"/>
        <v xml:space="preserve">		public virtual string SalesSfx { get; set; }
</v>
      </c>
      <c r="P26" t="str">
        <f t="shared" si="53"/>
        <v xml:space="preserve">							SalesSfx = o.SalesSfx,</v>
      </c>
      <c r="T26" s="69" t="str">
        <f t="shared" si="54"/>
        <v xml:space="preserve">								("SalesSfx"),</v>
      </c>
      <c r="V26" s="70" t="str">
        <f t="shared" si="55"/>
        <v xml:space="preserve">								_ =&gt; _.SalesSfx,</v>
      </c>
      <c r="W26" s="69" t="str">
        <f t="shared" si="56"/>
        <v xml:space="preserve">				.WhereIf(!string.IsNullOrWhiteSpace(input.SalesSfx), e =&gt; e.SalesSfx.Contains(input.SalesSfx))</v>
      </c>
    </row>
    <row r="27" spans="1:23" customFormat="1" ht="22.5" customHeight="1" x14ac:dyDescent="0.25">
      <c r="A27" t="s">
        <v>306</v>
      </c>
      <c r="B27" t="s">
        <v>305</v>
      </c>
      <c r="C27" t="s">
        <v>1</v>
      </c>
      <c r="D27" t="str">
        <f>SUBSTITUTE(PROPER(A27),"_","")</f>
        <v>ColorType</v>
      </c>
      <c r="E27" t="str">
        <f t="shared" ref="E27" si="83">IFERROR(LEFT(B27, FIND("(",B27)-1),B27)</f>
        <v>varchar</v>
      </c>
      <c r="F27" s="7"/>
      <c r="G27" t="str">
        <f t="shared" ref="G27" si="84">IFERROR(MID(B27,FIND("(",B27) +1, FIND(")",B27) - FIND("(",B27) - 1),"")</f>
        <v>4</v>
      </c>
      <c r="H27" t="str">
        <f>+VLOOKUP(E27,'Data Type Mapping'!A:B,2,)</f>
        <v>string</v>
      </c>
      <c r="I27" t="str">
        <f t="shared" ref="I27" si="85">IF(H27="string",REPT(CHAR(9),2)&amp;"public const int Max"&amp;D27&amp;"Length = "&amp;G27&amp;";"&amp;$E$3,"" )</f>
        <v xml:space="preserve">		public const int MaxColorTypeLength = 4;
</v>
      </c>
      <c r="J27" t="str">
        <f t="shared" ref="J27" si="86">IF(F27="","",REPT(CHAR(9),2)&amp;"[Column(TypeName="""&amp;F27&amp;""")]"&amp;$E$3)&amp;IF(C27="Checked","",$I$3)&amp;IF(H27="string",REPT(CHAR(9),2)&amp;"[StringLength(Max"&amp;D27&amp;"Length"&amp;")]"&amp;$E$3,"")&amp;REPT(CHAR(9),2)&amp;"public virtual "&amp;H27&amp;IF(C27="?","? "," ")&amp;D27&amp;" { get; set; }" &amp; "
"</f>
        <v xml:space="preserve">		[StringLength(MaxColorTypeLength)]
		public virtual string ColorType { get; set; }
</v>
      </c>
      <c r="K27" s="7"/>
      <c r="L27" t="str">
        <f>IF(K27="","",REPT(CHAR(9),1)&amp;"[Index(nameof("&amp;IF(D27="","",""&amp;D27)&amp;")"&amp;", Name="&amp;"""IX_"&amp;$B$7&amp;"_"&amp;D27&amp;""")]")</f>
        <v/>
      </c>
      <c r="M27" t="str">
        <f t="shared" ref="M27" si="87">REPT(CHAR(9),2)&amp;"public virtual "&amp;IF(OR(H27="DateTime",H27="TimeSpan"),H27&amp;"?",H27)&amp;IF(C27="?","? "," ")&amp;D27&amp;" { get; set; }" &amp; "
"</f>
        <v xml:space="preserve">		public virtual string ColorType { get; set; }
</v>
      </c>
      <c r="N27" t="str">
        <f t="shared" ref="N27" si="88">IF(C27="Checked","",$I$3)&amp;IF(H27="string",REPT(CHAR(9),2)&amp;"[StringLength("&amp;$B$3&amp;"Consts.Max"&amp;D27&amp;"Length"&amp;")]"&amp;$E$3,"")&amp;REPT(CHAR(9),2)&amp;"public virtual "&amp;IF(OR(H27="DateTime",H27="TimeSpan"),H27&amp;"?",H27)&amp;IF(C27="?","? "," ")&amp;D27&amp;" { get; set; }" &amp; "
"</f>
        <v xml:space="preserve">		[StringLength(AsyAdoAInPlanConsts.MaxColorTypeLength)]
		public virtual string ColorType { get; set; }
</v>
      </c>
      <c r="O27" t="str">
        <f t="shared" ref="O27" si="89">IF(OR(H27="string",H27="DateTime",H27="int"),REPT(CHAR(9),2)&amp;"public virtual "&amp;IF(OR(H27="DateTime",H27="TimeSpan"),H27&amp;"?",H27)&amp;IF(C27="?","? "," ")&amp;D27&amp;" { get; set; }"&amp;$E$3,"")</f>
        <v xml:space="preserve">		public virtual string ColorType { get; set; }
</v>
      </c>
      <c r="P27" t="str">
        <f t="shared" ref="P27" si="90">REPT(CHAR(9),7)&amp;D27&amp;" = o." &amp;D27 &amp;","</f>
        <v xml:space="preserve">							ColorType = o.ColorType,</v>
      </c>
      <c r="T27" s="69" t="str">
        <f t="shared" ref="T27" si="91">REPT(CHAR(9),8)&amp;"("""&amp;D27&amp;"""),"</f>
        <v xml:space="preserve">								("ColorType"),</v>
      </c>
      <c r="V27" s="70" t="str">
        <f t="shared" ref="V27" si="92">REPT(CHAR(9),8)&amp;"_ =&gt; _."&amp;D27&amp;","</f>
        <v xml:space="preserve">								_ =&gt; _.ColorType,</v>
      </c>
      <c r="W27" s="69" t="str">
        <f t="shared" ref="W27" si="93">IF(H27="string",REPT(CHAR(9),4)&amp;".WhereIf(!string.IsNullOrWhiteSpace(input."&amp;D27&amp;"), e =&gt; e."&amp;D27&amp;".Contains(input."&amp;D27&amp;"))",IF(H27="DateTime",REPT(CHAR(9),4)&amp;".WhereIf(input."&amp;D27&amp;".HasValue, t =&gt; t."&amp;D27&amp;" == input."&amp;D27&amp;".Value)",""))</f>
        <v xml:space="preserve">				.WhereIf(!string.IsNullOrWhiteSpace(input.ColorType), e =&gt; e.ColorType.Contains(input.ColorType))</v>
      </c>
    </row>
    <row r="28" spans="1:23" customFormat="1" ht="22.5" customHeight="1" x14ac:dyDescent="0.25">
      <c r="A28" t="s">
        <v>307</v>
      </c>
      <c r="B28" t="s">
        <v>308</v>
      </c>
      <c r="C28" t="s">
        <v>1</v>
      </c>
      <c r="D28" t="str">
        <f>SUBSTITUTE(PROPER(A28),"_","")</f>
        <v>IndentLine</v>
      </c>
      <c r="E28" t="str">
        <f t="shared" ref="E28" si="94">IFERROR(LEFT(B28, FIND("(",B28)-1),B28)</f>
        <v>varchar</v>
      </c>
      <c r="F28" s="7"/>
      <c r="G28" t="str">
        <f t="shared" ref="G28" si="95">IFERROR(MID(B28,FIND("(",B28) +1, FIND(")",B28) - FIND("(",B28) - 1),"")</f>
        <v>3</v>
      </c>
      <c r="H28" t="str">
        <f>+VLOOKUP(E28,'Data Type Mapping'!A:B,2,)</f>
        <v>string</v>
      </c>
      <c r="I28" t="str">
        <f t="shared" ref="I28" si="96">IF(H28="string",REPT(CHAR(9),2)&amp;"public const int Max"&amp;D28&amp;"Length = "&amp;G28&amp;";"&amp;$E$3,"" )</f>
        <v xml:space="preserve">		public const int MaxIndentLineLength = 3;
</v>
      </c>
      <c r="J28" t="str">
        <f t="shared" ref="J28" si="97">IF(F28="","",REPT(CHAR(9),2)&amp;"[Column(TypeName="""&amp;F28&amp;""")]"&amp;$E$3)&amp;IF(C28="Checked","",$I$3)&amp;IF(H28="string",REPT(CHAR(9),2)&amp;"[StringLength(Max"&amp;D28&amp;"Length"&amp;")]"&amp;$E$3,"")&amp;REPT(CHAR(9),2)&amp;"public virtual "&amp;H28&amp;IF(C28="?","? "," ")&amp;D28&amp;" { get; set; }" &amp; "
"</f>
        <v xml:space="preserve">		[StringLength(MaxIndentLineLength)]
		public virtual string IndentLine { get; set; }
</v>
      </c>
      <c r="K28" s="7"/>
      <c r="L28" t="str">
        <f>IF(K28="","",REPT(CHAR(9),1)&amp;"[Index(nameof("&amp;IF(D28="","",""&amp;D28)&amp;")"&amp;", Name="&amp;"""IX_"&amp;$B$7&amp;"_"&amp;D28&amp;""")]")</f>
        <v/>
      </c>
      <c r="M28" t="str">
        <f t="shared" ref="M28" si="98">REPT(CHAR(9),2)&amp;"public virtual "&amp;IF(OR(H28="DateTime",H28="TimeSpan"),H28&amp;"?",H28)&amp;IF(C28="?","? "," ")&amp;D28&amp;" { get; set; }" &amp; "
"</f>
        <v xml:space="preserve">		public virtual string IndentLine { get; set; }
</v>
      </c>
      <c r="N28" t="str">
        <f t="shared" ref="N28" si="99">IF(C28="Checked","",$I$3)&amp;IF(H28="string",REPT(CHAR(9),2)&amp;"[StringLength("&amp;$B$3&amp;"Consts.Max"&amp;D28&amp;"Length"&amp;")]"&amp;$E$3,"")&amp;REPT(CHAR(9),2)&amp;"public virtual "&amp;IF(OR(H28="DateTime",H28="TimeSpan"),H28&amp;"?",H28)&amp;IF(C28="?","? "," ")&amp;D28&amp;" { get; set; }" &amp; "
"</f>
        <v xml:space="preserve">		[StringLength(AsyAdoAInPlanConsts.MaxIndentLineLength)]
		public virtual string IndentLine { get; set; }
</v>
      </c>
      <c r="O28" t="str">
        <f t="shared" ref="O28" si="100">IF(OR(H28="string",H28="DateTime",H28="int"),REPT(CHAR(9),2)&amp;"public virtual "&amp;IF(OR(H28="DateTime",H28="TimeSpan"),H28&amp;"?",H28)&amp;IF(C28="?","? "," ")&amp;D28&amp;" { get; set; }"&amp;$E$3,"")</f>
        <v xml:space="preserve">		public virtual string IndentLine { get; set; }
</v>
      </c>
      <c r="P28" t="str">
        <f t="shared" ref="P28" si="101">REPT(CHAR(9),7)&amp;D28&amp;" = o." &amp;D28 &amp;","</f>
        <v xml:space="preserve">							IndentLine = o.IndentLine,</v>
      </c>
      <c r="T28" s="69" t="str">
        <f t="shared" ref="T28" si="102">REPT(CHAR(9),8)&amp;"("""&amp;D28&amp;"""),"</f>
        <v xml:space="preserve">								("IndentLine"),</v>
      </c>
      <c r="V28" s="70" t="str">
        <f t="shared" ref="V28" si="103">REPT(CHAR(9),8)&amp;"_ =&gt; _."&amp;D28&amp;","</f>
        <v xml:space="preserve">								_ =&gt; _.IndentLine,</v>
      </c>
      <c r="W28" s="69" t="str">
        <f t="shared" ref="W28" si="104">IF(H28="string",REPT(CHAR(9),4)&amp;".WhereIf(!string.IsNullOrWhiteSpace(input."&amp;D28&amp;"), e =&gt; e."&amp;D28&amp;".Contains(input."&amp;D28&amp;"))",IF(H28="DateTime",REPT(CHAR(9),4)&amp;".WhereIf(input."&amp;D28&amp;".HasValue, t =&gt; t."&amp;D28&amp;" == input."&amp;D28&amp;".Value)",""))</f>
        <v xml:space="preserve">				.WhereIf(!string.IsNullOrWhiteSpace(input.IndentLine), e =&gt; e.IndentLine.Contains(input.IndentLine))</v>
      </c>
    </row>
    <row r="29" spans="1:23" customFormat="1" ht="22.5" customHeight="1" x14ac:dyDescent="0.25">
      <c r="A29" t="s">
        <v>309</v>
      </c>
      <c r="B29" t="s">
        <v>303</v>
      </c>
      <c r="C29" t="s">
        <v>1</v>
      </c>
      <c r="D29" t="str">
        <f>SUBSTITUTE(PROPER(A29),"_","")</f>
        <v>SsNo</v>
      </c>
      <c r="E29" t="str">
        <f t="shared" ref="E29" si="105">IFERROR(LEFT(B29, FIND("(",B29)-1),B29)</f>
        <v>varchar</v>
      </c>
      <c r="F29" s="7"/>
      <c r="G29" t="str">
        <f t="shared" ref="G29" si="106">IFERROR(MID(B29,FIND("(",B29) +1, FIND(")",B29) - FIND("(",B29) - 1),"")</f>
        <v>2</v>
      </c>
      <c r="H29" t="str">
        <f>+VLOOKUP(E29,'Data Type Mapping'!A:B,2,)</f>
        <v>string</v>
      </c>
      <c r="I29" t="str">
        <f t="shared" ref="I29" si="107">IF(H29="string",REPT(CHAR(9),2)&amp;"public const int Max"&amp;D29&amp;"Length = "&amp;G29&amp;";"&amp;$E$3,"" )</f>
        <v xml:space="preserve">		public const int MaxSsNoLength = 2;
</v>
      </c>
      <c r="J29" t="str">
        <f t="shared" ref="J29" si="108">IF(F29="","",REPT(CHAR(9),2)&amp;"[Column(TypeName="""&amp;F29&amp;""")]"&amp;$E$3)&amp;IF(C29="Checked","",$I$3)&amp;IF(H29="string",REPT(CHAR(9),2)&amp;"[StringLength(Max"&amp;D29&amp;"Length"&amp;")]"&amp;$E$3,"")&amp;REPT(CHAR(9),2)&amp;"public virtual "&amp;H29&amp;IF(C29="?","? "," ")&amp;D29&amp;" { get; set; }" &amp; "
"</f>
        <v xml:space="preserve">		[StringLength(MaxSsNoLength)]
		public virtual string SsNo { get; set; }
</v>
      </c>
      <c r="K29" s="7"/>
      <c r="L29" t="str">
        <f>IF(K29="","",REPT(CHAR(9),1)&amp;"[Index(nameof("&amp;IF(D29="","",""&amp;D29)&amp;")"&amp;", Name="&amp;"""IX_"&amp;$B$7&amp;"_"&amp;D29&amp;""")]")</f>
        <v/>
      </c>
      <c r="M29" t="str">
        <f t="shared" ref="M29" si="109">REPT(CHAR(9),2)&amp;"public virtual "&amp;IF(OR(H29="DateTime",H29="TimeSpan"),H29&amp;"?",H29)&amp;IF(C29="?","? "," ")&amp;D29&amp;" { get; set; }" &amp; "
"</f>
        <v xml:space="preserve">		public virtual string SsNo { get; set; }
</v>
      </c>
      <c r="N29" t="str">
        <f t="shared" ref="N29" si="110">IF(C29="Checked","",$I$3)&amp;IF(H29="string",REPT(CHAR(9),2)&amp;"[StringLength("&amp;$B$3&amp;"Consts.Max"&amp;D29&amp;"Length"&amp;")]"&amp;$E$3,"")&amp;REPT(CHAR(9),2)&amp;"public virtual "&amp;IF(OR(H29="DateTime",H29="TimeSpan"),H29&amp;"?",H29)&amp;IF(C29="?","? "," ")&amp;D29&amp;" { get; set; }" &amp; "
"</f>
        <v xml:space="preserve">		[StringLength(AsyAdoAInPlanConsts.MaxSsNoLength)]
		public virtual string SsNo { get; set; }
</v>
      </c>
      <c r="O29" t="str">
        <f t="shared" ref="O29" si="111">IF(OR(H29="string",H29="DateTime",H29="int"),REPT(CHAR(9),2)&amp;"public virtual "&amp;IF(OR(H29="DateTime",H29="TimeSpan"),H29&amp;"?",H29)&amp;IF(C29="?","? "," ")&amp;D29&amp;" { get; set; }"&amp;$E$3,"")</f>
        <v xml:space="preserve">		public virtual string SsNo { get; set; }
</v>
      </c>
      <c r="P29" t="str">
        <f t="shared" ref="P29" si="112">REPT(CHAR(9),7)&amp;D29&amp;" = o." &amp;D29 &amp;","</f>
        <v xml:space="preserve">							SsNo = o.SsNo,</v>
      </c>
      <c r="T29" s="69" t="str">
        <f t="shared" ref="T29" si="113">REPT(CHAR(9),8)&amp;"("""&amp;D29&amp;"""),"</f>
        <v xml:space="preserve">								("SsNo"),</v>
      </c>
      <c r="V29" s="70" t="str">
        <f t="shared" ref="V29" si="114">REPT(CHAR(9),8)&amp;"_ =&gt; _."&amp;D29&amp;","</f>
        <v xml:space="preserve">								_ =&gt; _.SsNo,</v>
      </c>
      <c r="W29" s="69" t="str">
        <f t="shared" ref="W29" si="115">IF(H29="string",REPT(CHAR(9),4)&amp;".WhereIf(!string.IsNullOrWhiteSpace(input."&amp;D29&amp;"), e =&gt; e."&amp;D29&amp;".Contains(input."&amp;D29&amp;"))",IF(H29="DateTime",REPT(CHAR(9),4)&amp;".WhereIf(input."&amp;D29&amp;".HasValue, t =&gt; t."&amp;D29&amp;" == input."&amp;D29&amp;".Value)",""))</f>
        <v xml:space="preserve">				.WhereIf(!string.IsNullOrWhiteSpace(input.SsNo), e =&gt; e.SsNo.Contains(input.SsNo))</v>
      </c>
    </row>
    <row r="30" spans="1:23" customFormat="1" ht="22.5" customHeight="1" x14ac:dyDescent="0.25">
      <c r="A30" t="s">
        <v>310</v>
      </c>
      <c r="B30" t="s">
        <v>311</v>
      </c>
      <c r="C30" t="s">
        <v>1</v>
      </c>
      <c r="D30" t="str">
        <f>SUBSTITUTE(PROPER(A30),"_","")</f>
        <v>EdNumber</v>
      </c>
      <c r="E30" t="str">
        <f t="shared" ref="E30" si="116">IFERROR(LEFT(B30, FIND("(",B30)-1),B30)</f>
        <v>varchar</v>
      </c>
      <c r="F30" s="7"/>
      <c r="G30" t="str">
        <f t="shared" ref="G30" si="117">IFERROR(MID(B30,FIND("(",B30) +1, FIND(")",B30) - FIND("(",B30) - 1),"")</f>
        <v>5</v>
      </c>
      <c r="H30" t="str">
        <f>+VLOOKUP(E30,'Data Type Mapping'!A:B,2,)</f>
        <v>string</v>
      </c>
      <c r="I30" t="str">
        <f t="shared" ref="I30" si="118">IF(H30="string",REPT(CHAR(9),2)&amp;"public const int Max"&amp;D30&amp;"Length = "&amp;G30&amp;";"&amp;$E$3,"" )</f>
        <v xml:space="preserve">		public const int MaxEdNumberLength = 5;
</v>
      </c>
      <c r="J30" t="str">
        <f t="shared" ref="J30" si="119">IF(F30="","",REPT(CHAR(9),2)&amp;"[Column(TypeName="""&amp;F30&amp;""")]"&amp;$E$3)&amp;IF(C30="Checked","",$I$3)&amp;IF(H30="string",REPT(CHAR(9),2)&amp;"[StringLength(Max"&amp;D30&amp;"Length"&amp;")]"&amp;$E$3,"")&amp;REPT(CHAR(9),2)&amp;"public virtual "&amp;H30&amp;IF(C30="?","? "," ")&amp;D30&amp;" { get; set; }" &amp; "
"</f>
        <v xml:space="preserve">		[StringLength(MaxEdNumberLength)]
		public virtual string EdNumber { get; set; }
</v>
      </c>
      <c r="K30" s="7"/>
      <c r="L30" t="str">
        <f>IF(K30="","",REPT(CHAR(9),1)&amp;"[Index(nameof("&amp;IF(D30="","",""&amp;D30)&amp;")"&amp;", Name="&amp;"""IX_"&amp;$B$7&amp;"_"&amp;D30&amp;""")]")</f>
        <v/>
      </c>
      <c r="M30" t="str">
        <f t="shared" ref="M30" si="120">REPT(CHAR(9),2)&amp;"public virtual "&amp;IF(OR(H30="DateTime",H30="TimeSpan"),H30&amp;"?",H30)&amp;IF(C30="?","? "," ")&amp;D30&amp;" { get; set; }" &amp; "
"</f>
        <v xml:space="preserve">		public virtual string EdNumber { get; set; }
</v>
      </c>
      <c r="N30" t="str">
        <f t="shared" ref="N30" si="121">IF(C30="Checked","",$I$3)&amp;IF(H30="string",REPT(CHAR(9),2)&amp;"[StringLength("&amp;$B$3&amp;"Consts.Max"&amp;D30&amp;"Length"&amp;")]"&amp;$E$3,"")&amp;REPT(CHAR(9),2)&amp;"public virtual "&amp;IF(OR(H30="DateTime",H30="TimeSpan"),H30&amp;"?",H30)&amp;IF(C30="?","? "," ")&amp;D30&amp;" { get; set; }" &amp; "
"</f>
        <v xml:space="preserve">		[StringLength(AsyAdoAInPlanConsts.MaxEdNumberLength)]
		public virtual string EdNumber { get; set; }
</v>
      </c>
      <c r="O30" t="str">
        <f t="shared" ref="O30" si="122">IF(OR(H30="string",H30="DateTime",H30="int"),REPT(CHAR(9),2)&amp;"public virtual "&amp;IF(OR(H30="DateTime",H30="TimeSpan"),H30&amp;"?",H30)&amp;IF(C30="?","? "," ")&amp;D30&amp;" { get; set; }"&amp;$E$3,"")</f>
        <v xml:space="preserve">		public virtual string EdNumber { get; set; }
</v>
      </c>
      <c r="P30" t="str">
        <f t="shared" ref="P30" si="123">REPT(CHAR(9),7)&amp;D30&amp;" = o." &amp;D30 &amp;","</f>
        <v xml:space="preserve">							EdNumber = o.EdNumber,</v>
      </c>
      <c r="T30" s="69" t="str">
        <f t="shared" ref="T30" si="124">REPT(CHAR(9),8)&amp;"("""&amp;D30&amp;"""),"</f>
        <v xml:space="preserve">								("EdNumber"),</v>
      </c>
      <c r="V30" s="70" t="str">
        <f t="shared" ref="V30" si="125">REPT(CHAR(9),8)&amp;"_ =&gt; _."&amp;D30&amp;","</f>
        <v xml:space="preserve">								_ =&gt; _.EdNumber,</v>
      </c>
      <c r="W30" s="69" t="str">
        <f t="shared" ref="W30" si="126">IF(H30="string",REPT(CHAR(9),4)&amp;".WhereIf(!string.IsNullOrWhiteSpace(input."&amp;D30&amp;"), e =&gt; e."&amp;D30&amp;".Contains(input."&amp;D30&amp;"))",IF(H30="DateTime",REPT(CHAR(9),4)&amp;".WhereIf(input."&amp;D30&amp;".HasValue, t =&gt; t."&amp;D30&amp;" == input."&amp;D30&amp;".Value)",""))</f>
        <v xml:space="preserve">				.WhereIf(!string.IsNullOrWhiteSpace(input.EdNumber), e =&gt; e.EdNumber.Contains(input.EdNumber))</v>
      </c>
    </row>
    <row r="31" spans="1:23" customFormat="1" ht="22.5" customHeight="1" x14ac:dyDescent="0.25">
      <c r="A31" t="s">
        <v>294</v>
      </c>
      <c r="B31" t="s">
        <v>296</v>
      </c>
      <c r="C31" t="s">
        <v>1</v>
      </c>
      <c r="D31" t="str">
        <f>SUBSTITUTE(PROPER(A31),"_","")</f>
        <v>GoshiCar</v>
      </c>
      <c r="E31" t="str">
        <f>IFERROR(LEFT(B31, FIND("(",B31)-1),B31)</f>
        <v>varchar</v>
      </c>
      <c r="F31" s="7"/>
      <c r="G31" t="str">
        <f>IFERROR(MID(B31,FIND("(",B31) +1, FIND(")",B31) - FIND("(",B31) - 1),"")</f>
        <v>1</v>
      </c>
      <c r="H31" t="str">
        <f>+VLOOKUP(E31,'Data Type Mapping'!A:B,2,)</f>
        <v>string</v>
      </c>
      <c r="I31" t="str">
        <f>IF(H31="string",REPT(CHAR(9),2)&amp;"public const int Max"&amp;D31&amp;"Length = "&amp;G31&amp;";"&amp;$E$3,"" )</f>
        <v xml:space="preserve">		public const int MaxGoshiCarLength = 1;
</v>
      </c>
      <c r="J31" t="str">
        <f>IF(F31="","",REPT(CHAR(9),2)&amp;"[Column(TypeName="""&amp;F31&amp;""")]"&amp;$E$3)&amp;IF(C31="Checked","",$I$3)&amp;IF(H31="string",REPT(CHAR(9),2)&amp;"[StringLength(Max"&amp;D31&amp;"Length"&amp;")]"&amp;$E$3,"")&amp;REPT(CHAR(9),2)&amp;"public virtual "&amp;H31&amp;IF(C31="?","? "," ")&amp;D31&amp;" { get; set; }" &amp; "
"</f>
        <v xml:space="preserve">		[StringLength(MaxGoshiCarLength)]
		public virtual string GoshiCar { get; set; }
</v>
      </c>
      <c r="K31" s="7"/>
      <c r="L31" t="str">
        <f>IF(K31="","",REPT(CHAR(9),1)&amp;"[Index(nameof("&amp;IF(D31="","",""&amp;D31)&amp;")"&amp;", Name="&amp;"""IX_"&amp;$B$7&amp;"_"&amp;D31&amp;""")]")</f>
        <v/>
      </c>
      <c r="M31" t="str">
        <f>REPT(CHAR(9),2)&amp;"public virtual "&amp;IF(OR(H31="DateTime",H31="TimeSpan"),H31&amp;"?",H31)&amp;IF(C31="?","? "," ")&amp;D31&amp;" { get; set; }" &amp; "
"</f>
        <v xml:space="preserve">		public virtual string GoshiCar { get; set; }
</v>
      </c>
      <c r="N31" t="str">
        <f>IF(C31="Checked","",$I$3)&amp;IF(H31="string",REPT(CHAR(9),2)&amp;"[StringLength("&amp;$B$3&amp;"Consts.Max"&amp;D31&amp;"Length"&amp;")]"&amp;$E$3,"")&amp;REPT(CHAR(9),2)&amp;"public virtual "&amp;IF(OR(H31="DateTime",H31="TimeSpan"),H31&amp;"?",H31)&amp;IF(C31="?","? "," ")&amp;D31&amp;" { get; set; }" &amp; "
"</f>
        <v xml:space="preserve">		[StringLength(AsyAdoAInPlanConsts.MaxGoshiCarLength)]
		public virtual string GoshiCar { get; set; }
</v>
      </c>
      <c r="O31" t="str">
        <f>IF(OR(H31="string",H31="DateTime",H31="int"),REPT(CHAR(9),2)&amp;"public virtual "&amp;IF(OR(H31="DateTime",H31="TimeSpan"),H31&amp;"?",H31)&amp;IF(C31="?","? "," ")&amp;D31&amp;" { get; set; }"&amp;$E$3,"")</f>
        <v xml:space="preserve">		public virtual string GoshiCar { get; set; }
</v>
      </c>
      <c r="P31" t="str">
        <f>REPT(CHAR(9),7)&amp;D31&amp;" = o." &amp;D31 &amp;","</f>
        <v xml:space="preserve">							GoshiCar = o.GoshiCar,</v>
      </c>
      <c r="T31" s="69" t="str">
        <f>REPT(CHAR(9),8)&amp;"("""&amp;D31&amp;"""),"</f>
        <v xml:space="preserve">								("GoshiCar"),</v>
      </c>
      <c r="V31" s="70" t="str">
        <f>REPT(CHAR(9),8)&amp;"_ =&gt; _."&amp;D31&amp;","</f>
        <v xml:space="preserve">								_ =&gt; _.GoshiCar,</v>
      </c>
      <c r="W31" s="69" t="str">
        <f>IF(H31="string",REPT(CHAR(9),4)&amp;".WhereIf(!string.IsNullOrWhiteSpace(input."&amp;D31&amp;"), e =&gt; e."&amp;D31&amp;".Contains(input."&amp;D31&amp;"))",IF(H31="DateTime",REPT(CHAR(9),4)&amp;".WhereIf(input."&amp;D31&amp;".HasValue, t =&gt; t."&amp;D31&amp;" == input."&amp;D31&amp;".Value)",""))</f>
        <v xml:space="preserve">				.WhereIf(!string.IsNullOrWhiteSpace(input.GoshiCar), e =&gt; e.GoshiCar.Contains(input.GoshiCar))</v>
      </c>
    </row>
    <row r="32" spans="1:23" customFormat="1" ht="18.75" customHeight="1" x14ac:dyDescent="0.25">
      <c r="A32" t="s">
        <v>313</v>
      </c>
      <c r="B32" t="s">
        <v>248</v>
      </c>
      <c r="C32" t="s">
        <v>1</v>
      </c>
      <c r="D32" t="str">
        <f t="shared" ref="D32" si="127">SUBSTITUTE(PROPER(A32),"_","")</f>
        <v>LineoffDatetime</v>
      </c>
      <c r="E32" t="str">
        <f t="shared" ref="E32" si="128">IFERROR(LEFT(B32, FIND("(",B32)-1),B32)</f>
        <v>datetime2</v>
      </c>
      <c r="F32" s="7" t="s">
        <v>248</v>
      </c>
      <c r="G32" t="str">
        <f t="shared" ref="G32" si="129">IFERROR(MID(B32,FIND("(",B32) +1, FIND(")",B32) - FIND("(",B32) - 1),"")</f>
        <v>7</v>
      </c>
      <c r="H32" t="str">
        <f>+VLOOKUP(E32,'Data Type Mapping'!A:B,2,)</f>
        <v>DateTime</v>
      </c>
      <c r="I32" t="str">
        <f t="shared" ref="I32" si="130">IF(H32="string",REPT(CHAR(9),2)&amp;"public const int Max"&amp;D32&amp;"Length = "&amp;G32&amp;";"&amp;$E$3,"" )</f>
        <v/>
      </c>
      <c r="J32" t="str">
        <f t="shared" ref="J32" si="131">IF(F32="","",REPT(CHAR(9),2)&amp;"[Column(TypeName="""&amp;F32&amp;""")]"&amp;$E$3)&amp;IF(C32="Checked","",$I$3)&amp;IF(H32="string",REPT(CHAR(9),2)&amp;"[StringLength(Max"&amp;D32&amp;"Length"&amp;")]"&amp;$E$3,"")&amp;REPT(CHAR(9),2)&amp;"public virtual "&amp;H32&amp;IF(C32="?","? "," ")&amp;D32&amp;" { get; set; }" &amp; "
"</f>
        <v xml:space="preserve">		[Column(TypeName="datetime2(7)")]
		public virtual DateTime LineoffDatetime { get; set; }
</v>
      </c>
      <c r="K32" s="7"/>
      <c r="L32" t="str">
        <f t="shared" ref="L32" si="132">IF(K32="","",REPT(CHAR(9),1)&amp;"[Index(nameof("&amp;IF(D32="","",""&amp;D32)&amp;")"&amp;", Name="&amp;"""IX_"&amp;$B$7&amp;"_"&amp;D32&amp;""")]")</f>
        <v/>
      </c>
      <c r="M32" t="str">
        <f t="shared" ref="M32" si="133">REPT(CHAR(9),2)&amp;"public virtual "&amp;IF(OR(H32="DateTime",H32="TimeSpan"),H32&amp;"?",H32)&amp;IF(C32="?","? "," ")&amp;D32&amp;" { get; set; }" &amp; "
"</f>
        <v xml:space="preserve">		public virtual DateTime? LineoffDatetime { get; set; }
</v>
      </c>
      <c r="N32" t="str">
        <f t="shared" ref="N32" si="134">IF(C32="Checked","",$I$3)&amp;IF(H32="string",REPT(CHAR(9),2)&amp;"[StringLength("&amp;$B$3&amp;"Consts.Max"&amp;D32&amp;"Length"&amp;")]"&amp;$E$3,"")&amp;REPT(CHAR(9),2)&amp;"public virtual "&amp;IF(OR(H32="DateTime",H32="TimeSpan"),H32&amp;"?",H32)&amp;IF(C32="?","? "," ")&amp;D32&amp;" { get; set; }" &amp; "
"</f>
        <v xml:space="preserve">		public virtual DateTime? LineoffDatetime { get; set; }
</v>
      </c>
      <c r="O32" t="str">
        <f t="shared" ref="O32" si="135">IF(OR(H32="string",H32="DateTime",H32="int"),REPT(CHAR(9),2)&amp;"public virtual "&amp;IF(OR(H32="DateTime",H32="TimeSpan"),H32&amp;"?",H32)&amp;IF(C32="?","? "," ")&amp;D32&amp;" { get; set; }"&amp;$E$3,"")</f>
        <v xml:space="preserve">		public virtual DateTime? LineoffDatetime { get; set; }
</v>
      </c>
      <c r="P32" t="str">
        <f t="shared" ref="P32" si="136">REPT(CHAR(9),7)&amp;D32&amp;" = o." &amp;D32 &amp;","</f>
        <v xml:space="preserve">							LineoffDatetime = o.LineoffDatetime,</v>
      </c>
      <c r="T32" s="69" t="str">
        <f t="shared" ref="T32" si="137">REPT(CHAR(9),8)&amp;"("""&amp;D32&amp;"""),"</f>
        <v xml:space="preserve">								("LineoffDatetime"),</v>
      </c>
      <c r="V32" s="70" t="str">
        <f t="shared" ref="V32" si="138">REPT(CHAR(9),8)&amp;"_ =&gt; _."&amp;D32&amp;","</f>
        <v xml:space="preserve">								_ =&gt; _.LineoffDatetime,</v>
      </c>
      <c r="W32" s="69" t="str">
        <f t="shared" ref="W32" si="139">IF(H32="string",REPT(CHAR(9),4)&amp;".WhereIf(!string.IsNullOrWhiteSpace(input."&amp;D32&amp;"), e =&gt; e."&amp;D32&amp;".Contains(input."&amp;D32&amp;"))",IF(H32="DateTime",REPT(CHAR(9),4)&amp;".WhereIf(input."&amp;D32&amp;".HasValue, t =&gt; t."&amp;D32&amp;" == input."&amp;D32&amp;".Value)",""))</f>
        <v xml:space="preserve">				.WhereIf(input.LineoffDatetime.HasValue, t =&gt; t.LineoffDatetime == input.LineoffDatetime.Value)</v>
      </c>
    </row>
    <row r="33" spans="1:23" customFormat="1" ht="18.75" customHeight="1" x14ac:dyDescent="0.25">
      <c r="A33" t="s">
        <v>312</v>
      </c>
      <c r="B33" t="s">
        <v>2</v>
      </c>
      <c r="C33" t="s">
        <v>1</v>
      </c>
      <c r="D33" t="str">
        <f t="shared" ref="D33" si="140">SUBSTITUTE(PROPER(A33),"_","")</f>
        <v>LineoffDate</v>
      </c>
      <c r="E33" t="str">
        <f t="shared" ref="E33" si="141">IFERROR(LEFT(B33, FIND("(",B33)-1),B33)</f>
        <v>date</v>
      </c>
      <c r="F33" s="7" t="s">
        <v>2</v>
      </c>
      <c r="G33" t="str">
        <f t="shared" ref="G33" si="142">IFERROR(MID(B33,FIND("(",B33) +1, FIND(")",B33) - FIND("(",B33) - 1),"")</f>
        <v/>
      </c>
      <c r="H33" t="str">
        <f>+VLOOKUP(E33,'Data Type Mapping'!A:B,2,)</f>
        <v>DateTime</v>
      </c>
      <c r="I33" t="str">
        <f t="shared" ref="I33" si="143">IF(H33="string",REPT(CHAR(9),2)&amp;"public const int Max"&amp;D33&amp;"Length = "&amp;G33&amp;";"&amp;$E$3,"" )</f>
        <v/>
      </c>
      <c r="J33" t="str">
        <f t="shared" ref="J33" si="144">IF(F33="","",REPT(CHAR(9),2)&amp;"[Column(TypeName="""&amp;F33&amp;""")]"&amp;$E$3)&amp;IF(C33="Checked","",$I$3)&amp;IF(H33="string",REPT(CHAR(9),2)&amp;"[StringLength(Max"&amp;D33&amp;"Length"&amp;")]"&amp;$E$3,"")&amp;REPT(CHAR(9),2)&amp;"public virtual "&amp;H33&amp;IF(C33="?","? "," ")&amp;D33&amp;" { get; set; }" &amp; "
"</f>
        <v xml:space="preserve">		[Column(TypeName="date")]
		public virtual DateTime LineoffDate { get; set; }
</v>
      </c>
      <c r="K33" s="7"/>
      <c r="L33" t="str">
        <f t="shared" ref="L33" si="145">IF(K33="","",REPT(CHAR(9),1)&amp;"[Index(nameof("&amp;IF(D33="","",""&amp;D33)&amp;")"&amp;", Name="&amp;"""IX_"&amp;$B$7&amp;"_"&amp;D33&amp;""")]")</f>
        <v/>
      </c>
      <c r="M33" t="str">
        <f t="shared" ref="M33" si="146">REPT(CHAR(9),2)&amp;"public virtual "&amp;IF(OR(H33="DateTime",H33="TimeSpan"),H33&amp;"?",H33)&amp;IF(C33="?","? "," ")&amp;D33&amp;" { get; set; }" &amp; "
"</f>
        <v xml:space="preserve">		public virtual DateTime? LineoffDate { get; set; }
</v>
      </c>
      <c r="N33" t="str">
        <f t="shared" ref="N33" si="147">IF(C33="Checked","",$I$3)&amp;IF(H33="string",REPT(CHAR(9),2)&amp;"[StringLength("&amp;$B$3&amp;"Consts.Max"&amp;D33&amp;"Length"&amp;")]"&amp;$E$3,"")&amp;REPT(CHAR(9),2)&amp;"public virtual "&amp;IF(OR(H33="DateTime",H33="TimeSpan"),H33&amp;"?",H33)&amp;IF(C33="?","? "," ")&amp;D33&amp;" { get; set; }" &amp; "
"</f>
        <v xml:space="preserve">		public virtual DateTime? LineoffDate { get; set; }
</v>
      </c>
      <c r="O33" t="str">
        <f t="shared" ref="O33" si="148">IF(OR(H33="string",H33="DateTime",H33="int"),REPT(CHAR(9),2)&amp;"public virtual "&amp;IF(OR(H33="DateTime",H33="TimeSpan"),H33&amp;"?",H33)&amp;IF(C33="?","? "," ")&amp;D33&amp;" { get; set; }"&amp;$E$3,"")</f>
        <v xml:space="preserve">		public virtual DateTime? LineoffDate { get; set; }
</v>
      </c>
      <c r="P33" t="str">
        <f t="shared" ref="P33" si="149">REPT(CHAR(9),7)&amp;D33&amp;" = o." &amp;D33 &amp;","</f>
        <v xml:space="preserve">							LineoffDate = o.LineoffDate,</v>
      </c>
      <c r="T33" s="69" t="str">
        <f t="shared" ref="T33" si="150">REPT(CHAR(9),8)&amp;"("""&amp;D33&amp;"""),"</f>
        <v xml:space="preserve">								("LineoffDate"),</v>
      </c>
      <c r="V33" s="70" t="str">
        <f t="shared" ref="V33" si="151">REPT(CHAR(9),8)&amp;"_ =&gt; _."&amp;D33&amp;","</f>
        <v xml:space="preserve">								_ =&gt; _.LineoffDate,</v>
      </c>
      <c r="W33" s="69" t="str">
        <f t="shared" ref="W33" si="152">IF(H33="string",REPT(CHAR(9),4)&amp;".WhereIf(!string.IsNullOrWhiteSpace(input."&amp;D33&amp;"), e =&gt; e."&amp;D33&amp;".Contains(input."&amp;D33&amp;"))",IF(H33="DateTime",REPT(CHAR(9),4)&amp;".WhereIf(input."&amp;D33&amp;".HasValue, t =&gt; t."&amp;D33&amp;" == input."&amp;D33&amp;".Value)",""))</f>
        <v xml:space="preserve">				.WhereIf(input.LineoffDate.HasValue, t =&gt; t.LineoffDate == input.LineoffDate.Value)</v>
      </c>
    </row>
    <row r="34" spans="1:23" customFormat="1" ht="18.75" customHeight="1" x14ac:dyDescent="0.25">
      <c r="A34" t="s">
        <v>314</v>
      </c>
      <c r="B34" t="s">
        <v>248</v>
      </c>
      <c r="C34" t="s">
        <v>1</v>
      </c>
      <c r="D34" t="str">
        <f t="shared" ref="D34:D37" si="153">SUBSTITUTE(PROPER(A34),"_","")</f>
        <v>LineoffTime</v>
      </c>
      <c r="E34" t="str">
        <f t="shared" ref="E34:E38" si="154">IFERROR(LEFT(B34, FIND("(",B34)-1),B34)</f>
        <v>datetime2</v>
      </c>
      <c r="F34" s="7" t="s">
        <v>248</v>
      </c>
      <c r="G34" t="str">
        <f t="shared" ref="G34:G38" si="155">IFERROR(MID(B34,FIND("(",B34) +1, FIND(")",B34) - FIND("(",B34) - 1),"")</f>
        <v>7</v>
      </c>
      <c r="H34" t="str">
        <f>+VLOOKUP(E34,'Data Type Mapping'!A:B,2,)</f>
        <v>DateTime</v>
      </c>
      <c r="I34" t="str">
        <f t="shared" ref="I34:I38" si="156">IF(H34="string",REPT(CHAR(9),2)&amp;"public const int Max"&amp;D34&amp;"Length = "&amp;G34&amp;";"&amp;$E$3,"" )</f>
        <v/>
      </c>
      <c r="J34" t="str">
        <f t="shared" ref="J34:J38" si="157">IF(F34="","",REPT(CHAR(9),2)&amp;"[Column(TypeName="""&amp;F34&amp;""")]"&amp;$E$3)&amp;IF(C34="Checked","",$I$3)&amp;IF(H34="string",REPT(CHAR(9),2)&amp;"[StringLength(Max"&amp;D34&amp;"Length"&amp;")]"&amp;$E$3,"")&amp;REPT(CHAR(9),2)&amp;"public virtual "&amp;H34&amp;IF(C34="?","? "," ")&amp;D34&amp;" { get; set; }" &amp; "
"</f>
        <v xml:space="preserve">		[Column(TypeName="datetime2(7)")]
		public virtual DateTime LineoffTime { get; set; }
</v>
      </c>
      <c r="K34" s="7"/>
      <c r="L34" t="str">
        <f t="shared" ref="L34:L37" si="158">IF(K34="","",REPT(CHAR(9),1)&amp;"[Index(nameof("&amp;IF(D34="","",""&amp;D34)&amp;")"&amp;", Name="&amp;"""IX_"&amp;$B$7&amp;"_"&amp;D34&amp;""")]")</f>
        <v/>
      </c>
      <c r="M34" t="str">
        <f t="shared" ref="M34:M38" si="159">REPT(CHAR(9),2)&amp;"public virtual "&amp;IF(OR(H34="DateTime",H34="TimeSpan"),H34&amp;"?",H34)&amp;IF(C34="?","? "," ")&amp;D34&amp;" { get; set; }" &amp; "
"</f>
        <v xml:space="preserve">		public virtual DateTime? LineoffTime { get; set; }
</v>
      </c>
      <c r="N34" t="str">
        <f t="shared" ref="N34:N38" si="160">IF(C34="Checked","",$I$3)&amp;IF(H34="string",REPT(CHAR(9),2)&amp;"[StringLength("&amp;$B$3&amp;"Consts.Max"&amp;D34&amp;"Length"&amp;")]"&amp;$E$3,"")&amp;REPT(CHAR(9),2)&amp;"public virtual "&amp;IF(OR(H34="DateTime",H34="TimeSpan"),H34&amp;"?",H34)&amp;IF(C34="?","? "," ")&amp;D34&amp;" { get; set; }" &amp; "
"</f>
        <v xml:space="preserve">		public virtual DateTime? LineoffTime { get; set; }
</v>
      </c>
      <c r="O34" t="str">
        <f t="shared" ref="O34:O38" si="161">IF(OR(H34="string",H34="DateTime",H34="int"),REPT(CHAR(9),2)&amp;"public virtual "&amp;IF(OR(H34="DateTime",H34="TimeSpan"),H34&amp;"?",H34)&amp;IF(C34="?","? "," ")&amp;D34&amp;" { get; set; }"&amp;$E$3,"")</f>
        <v xml:space="preserve">		public virtual DateTime? LineoffTime { get; set; }
</v>
      </c>
      <c r="P34" t="str">
        <f t="shared" ref="P34:P38" si="162">REPT(CHAR(9),7)&amp;D34&amp;" = o." &amp;D34 &amp;","</f>
        <v xml:space="preserve">							LineoffTime = o.LineoffTime,</v>
      </c>
      <c r="T34" s="69" t="str">
        <f t="shared" ref="T34:T38" si="163">REPT(CHAR(9),8)&amp;"("""&amp;D34&amp;"""),"</f>
        <v xml:space="preserve">								("LineoffTime"),</v>
      </c>
      <c r="V34" s="70" t="str">
        <f t="shared" ref="V34:V38" si="164">REPT(CHAR(9),8)&amp;"_ =&gt; _."&amp;D34&amp;","</f>
        <v xml:space="preserve">								_ =&gt; _.LineoffTime,</v>
      </c>
      <c r="W34" s="69" t="str">
        <f t="shared" ref="W34:W38" si="165">IF(H34="string",REPT(CHAR(9),4)&amp;".WhereIf(!string.IsNullOrWhiteSpace(input."&amp;D34&amp;"), e =&gt; e."&amp;D34&amp;".Contains(input."&amp;D34&amp;"))",IF(H34="DateTime",REPT(CHAR(9),4)&amp;".WhereIf(input."&amp;D34&amp;".HasValue, t =&gt; t."&amp;D34&amp;" == input."&amp;D34&amp;".Value)",""))</f>
        <v xml:space="preserve">				.WhereIf(input.LineoffTime.HasValue, t =&gt; t.LineoffTime == input.LineoffTime.Value)</v>
      </c>
    </row>
    <row r="35" spans="1:23" customFormat="1" ht="18.75" customHeight="1" x14ac:dyDescent="0.25">
      <c r="A35" t="s">
        <v>315</v>
      </c>
      <c r="B35" t="s">
        <v>248</v>
      </c>
      <c r="C35" t="s">
        <v>1</v>
      </c>
      <c r="D35" t="str">
        <f t="shared" si="153"/>
        <v>PdiDatetime</v>
      </c>
      <c r="E35" t="str">
        <f t="shared" si="154"/>
        <v>datetime2</v>
      </c>
      <c r="F35" s="7" t="s">
        <v>248</v>
      </c>
      <c r="G35" t="str">
        <f t="shared" si="155"/>
        <v>7</v>
      </c>
      <c r="H35" t="str">
        <f>+VLOOKUP(E35,'Data Type Mapping'!A:B,2,)</f>
        <v>DateTime</v>
      </c>
      <c r="I35" t="str">
        <f t="shared" si="156"/>
        <v/>
      </c>
      <c r="J35" t="str">
        <f t="shared" si="157"/>
        <v xml:space="preserve">		[Column(TypeName="datetime2(7)")]
		public virtual DateTime PdiDatetime { get; set; }
</v>
      </c>
      <c r="K35" s="7"/>
      <c r="L35" t="str">
        <f t="shared" si="158"/>
        <v/>
      </c>
      <c r="M35" t="str">
        <f t="shared" si="159"/>
        <v xml:space="preserve">		public virtual DateTime? PdiDatetime { get; set; }
</v>
      </c>
      <c r="N35" t="str">
        <f t="shared" si="160"/>
        <v xml:space="preserve">		public virtual DateTime? PdiDatetime { get; set; }
</v>
      </c>
      <c r="O35" t="str">
        <f t="shared" si="161"/>
        <v xml:space="preserve">		public virtual DateTime? PdiDatetime { get; set; }
</v>
      </c>
      <c r="P35" t="str">
        <f t="shared" si="162"/>
        <v xml:space="preserve">							PdiDatetime = o.PdiDatetime,</v>
      </c>
      <c r="T35" s="69" t="str">
        <f t="shared" si="163"/>
        <v xml:space="preserve">								("PdiDatetime"),</v>
      </c>
      <c r="V35" s="70" t="str">
        <f t="shared" si="164"/>
        <v xml:space="preserve">								_ =&gt; _.PdiDatetime,</v>
      </c>
      <c r="W35" s="69" t="str">
        <f t="shared" si="165"/>
        <v xml:space="preserve">				.WhereIf(input.PdiDatetime.HasValue, t =&gt; t.PdiDatetime == input.PdiDatetime.Value)</v>
      </c>
    </row>
    <row r="36" spans="1:23" customFormat="1" ht="18.75" customHeight="1" x14ac:dyDescent="0.25">
      <c r="A36" t="s">
        <v>316</v>
      </c>
      <c r="B36" t="s">
        <v>2</v>
      </c>
      <c r="C36" t="s">
        <v>1</v>
      </c>
      <c r="D36" t="str">
        <f t="shared" si="153"/>
        <v>PdiDate</v>
      </c>
      <c r="E36" t="str">
        <f t="shared" si="154"/>
        <v>date</v>
      </c>
      <c r="F36" s="7" t="s">
        <v>2</v>
      </c>
      <c r="G36" t="str">
        <f t="shared" si="155"/>
        <v/>
      </c>
      <c r="H36" t="str">
        <f>+VLOOKUP(E36,'Data Type Mapping'!A:B,2,)</f>
        <v>DateTime</v>
      </c>
      <c r="I36" t="str">
        <f t="shared" si="156"/>
        <v/>
      </c>
      <c r="J36" t="str">
        <f t="shared" si="157"/>
        <v xml:space="preserve">		[Column(TypeName="date")]
		public virtual DateTime PdiDate { get; set; }
</v>
      </c>
      <c r="K36" s="7"/>
      <c r="L36" t="str">
        <f t="shared" si="158"/>
        <v/>
      </c>
      <c r="M36" t="str">
        <f t="shared" si="159"/>
        <v xml:space="preserve">		public virtual DateTime? PdiDate { get; set; }
</v>
      </c>
      <c r="N36" t="str">
        <f t="shared" si="160"/>
        <v xml:space="preserve">		public virtual DateTime? PdiDate { get; set; }
</v>
      </c>
      <c r="O36" t="str">
        <f t="shared" si="161"/>
        <v xml:space="preserve">		public virtual DateTime? PdiDate { get; set; }
</v>
      </c>
      <c r="P36" t="str">
        <f t="shared" si="162"/>
        <v xml:space="preserve">							PdiDate = o.PdiDate,</v>
      </c>
      <c r="T36" s="69" t="str">
        <f t="shared" si="163"/>
        <v xml:space="preserve">								("PdiDate"),</v>
      </c>
      <c r="V36" s="70" t="str">
        <f t="shared" si="164"/>
        <v xml:space="preserve">								_ =&gt; _.PdiDate,</v>
      </c>
      <c r="W36" s="69" t="str">
        <f t="shared" si="165"/>
        <v xml:space="preserve">				.WhereIf(input.PdiDate.HasValue, t =&gt; t.PdiDate == input.PdiDate.Value)</v>
      </c>
    </row>
    <row r="37" spans="1:23" customFormat="1" ht="18.75" customHeight="1" x14ac:dyDescent="0.25">
      <c r="A37" t="s">
        <v>317</v>
      </c>
      <c r="B37" t="s">
        <v>248</v>
      </c>
      <c r="C37" t="s">
        <v>1</v>
      </c>
      <c r="D37" t="str">
        <f t="shared" si="153"/>
        <v>PdiTime</v>
      </c>
      <c r="E37" t="str">
        <f t="shared" si="154"/>
        <v>datetime2</v>
      </c>
      <c r="F37" s="7" t="s">
        <v>248</v>
      </c>
      <c r="G37" t="str">
        <f t="shared" si="155"/>
        <v>7</v>
      </c>
      <c r="H37" t="str">
        <f>+VLOOKUP(E37,'Data Type Mapping'!A:B,2,)</f>
        <v>DateTime</v>
      </c>
      <c r="I37" t="str">
        <f t="shared" si="156"/>
        <v/>
      </c>
      <c r="J37" t="str">
        <f t="shared" si="157"/>
        <v xml:space="preserve">		[Column(TypeName="datetime2(7)")]
		public virtual DateTime PdiTime { get; set; }
</v>
      </c>
      <c r="K37" s="7"/>
      <c r="L37" t="str">
        <f t="shared" si="158"/>
        <v/>
      </c>
      <c r="M37" t="str">
        <f t="shared" si="159"/>
        <v xml:space="preserve">		public virtual DateTime? PdiTime { get; set; }
</v>
      </c>
      <c r="N37" t="str">
        <f t="shared" si="160"/>
        <v xml:space="preserve">		public virtual DateTime? PdiTime { get; set; }
</v>
      </c>
      <c r="O37" t="str">
        <f t="shared" si="161"/>
        <v xml:space="preserve">		public virtual DateTime? PdiTime { get; set; }
</v>
      </c>
      <c r="P37" t="str">
        <f t="shared" si="162"/>
        <v xml:space="preserve">							PdiTime = o.PdiTime,</v>
      </c>
      <c r="T37" s="69" t="str">
        <f t="shared" si="163"/>
        <v xml:space="preserve">								("PdiTime"),</v>
      </c>
      <c r="V37" s="70" t="str">
        <f t="shared" si="164"/>
        <v xml:space="preserve">								_ =&gt; _.PdiTime,</v>
      </c>
      <c r="W37" s="69" t="str">
        <f t="shared" si="165"/>
        <v xml:space="preserve">				.WhereIf(input.PdiTime.HasValue, t =&gt; t.PdiTime == input.PdiTime.Value)</v>
      </c>
    </row>
    <row r="38" spans="1:23" customFormat="1" ht="22.5" customHeight="1" x14ac:dyDescent="0.25">
      <c r="A38" t="s">
        <v>318</v>
      </c>
      <c r="B38" t="s">
        <v>0</v>
      </c>
      <c r="C38" t="s">
        <v>1</v>
      </c>
      <c r="D38" t="str">
        <f>SUBSTITUTE(PROPER(A38),"_","")</f>
        <v>AssemblyId</v>
      </c>
      <c r="E38" t="str">
        <f t="shared" si="154"/>
        <v>bigint</v>
      </c>
      <c r="F38" s="7"/>
      <c r="G38" t="str">
        <f t="shared" si="155"/>
        <v/>
      </c>
      <c r="H38" t="str">
        <f>+VLOOKUP(E38,'Data Type Mapping'!A:B,2,)</f>
        <v>long</v>
      </c>
      <c r="I38" t="str">
        <f t="shared" si="156"/>
        <v/>
      </c>
      <c r="J38" t="str">
        <f t="shared" si="157"/>
        <v xml:space="preserve">		public virtual long AssemblyId { get; set; }
</v>
      </c>
      <c r="K38" s="7"/>
      <c r="L38" t="str">
        <f>IF(K38="","",REPT(CHAR(9),1)&amp;"[Index(nameof("&amp;IF(D38="","",""&amp;D38)&amp;")"&amp;", Name="&amp;"""IX_"&amp;$B$7&amp;"_"&amp;D38&amp;""")]")</f>
        <v/>
      </c>
      <c r="M38" t="str">
        <f t="shared" si="159"/>
        <v xml:space="preserve">		public virtual long AssemblyId { get; set; }
</v>
      </c>
      <c r="N38" t="str">
        <f t="shared" si="160"/>
        <v xml:space="preserve">		public virtual long AssemblyId { get; set; }
</v>
      </c>
      <c r="O38" t="str">
        <f t="shared" si="161"/>
        <v/>
      </c>
      <c r="P38" t="str">
        <f t="shared" si="162"/>
        <v xml:space="preserve">							AssemblyId = o.AssemblyId,</v>
      </c>
      <c r="T38" s="69" t="str">
        <f t="shared" si="163"/>
        <v xml:space="preserve">								("AssemblyId"),</v>
      </c>
      <c r="V38" s="70" t="str">
        <f t="shared" si="164"/>
        <v xml:space="preserve">								_ =&gt; _.AssemblyId,</v>
      </c>
      <c r="W38" s="69" t="str">
        <f t="shared" si="165"/>
        <v/>
      </c>
    </row>
    <row r="40" spans="1:23" ht="45.75" customHeight="1" x14ac:dyDescent="0.25">
      <c r="H40" s="12"/>
      <c r="I40" s="34" t="str">
        <f ca="1">TEXTJOIN2("
", TRUE,INDIRECT( $H$1):INDIRECT( $H$3))</f>
        <v xml:space="preserve">		public const int MaxModelLength = 20;
		public const int MaxLotNoLength = 20;
		public const int MaxGradeLength = 255;
		public const int MaxBodyNoLength = 10;
		public const int MaxColorLength = 10;
		public const int MaxSequenceNoLength = 50;
		public const int MaxCfcLength = 4;
		public const int MaxVinNoLength = 18;
		public const int MaxEngineIdLength = 12;
		public const int MaxTransIdLength = 18;
		public const int MaxSalesSfxLength = 2;
		public const int MaxColorTypeLength = 4;
		public const int MaxIndentLineLength = 3;
		public const int MaxSsNoLength = 2;
		public const int MaxEdNumberLength = 5;
		public const int MaxGoshiCarLength = 1;
</v>
      </c>
      <c r="J40" s="33" t="str">
        <f ca="1">TEXTJOIN2("
", TRUE,INDIRECT( $F$1):INDIRECT( $F$3))</f>
        <v xml:space="preserve">		[Required]
		[StringLength(MaxModelLength)]
		public virtual string Model { get; set; }
		[Required]
		[StringLength(MaxLotNoLength)]
		public virtual string LotNo { get; set; }
		[Required]
		public virtual int NoInLot { get; set; }
		[StringLength(MaxGradeLength)]
		public virtual string Grade { get; set; }
		[Required]
		[StringLength(MaxBodyNoLength)]
		public virtual string BodyNo { get; set; }
		[StringLength(MaxColorLength)]
		public virtual string Color { get; set; }
		[Column(TypeName="datetime2(7)")]
		public virtual DateTime AInDateActual { get; set; }
		[Column(TypeName="datetime2(7)")]
		public virtual DateTime AOutDateActual { get; set; }
		[Column(TypeName="datetime2(7)")]
		public virtual DateTime AInPlanDatetime { get; set; }
		[Column(TypeName="datetime2(7)")]
		public virtual DateTime AOutPlanDatetime { get; set; }
		[StringLength(MaxSequenceNoLength)]
		public virtual string SequenceNo { get; set; }
		public virtual int IsStart { get; set; }
		public virtual long VehicleId { get; set; }
		[StringLength(MaxCfcLength)]
		public virtual string Cfc { get; set; }
		[StringLength(MaxVinNoLength)]
		public virtual string VinNo { get; set; }
		[StringLength(MaxEngineIdLength)]
		public virtual string EngineId { get; set; }
		[StringLength(MaxTransIdLength)]
		public virtual string TransId { get; set; }
		[StringLength(MaxSalesSfxLength)]
		public virtual string SalesSfx { get; set; }
		[StringLength(MaxColorTypeLength)]
		public virtual string ColorType { get; set; }
		[StringLength(MaxIndentLineLength)]
		public virtual string IndentLine { get; set; }
		[StringLength(MaxSsNoLength)]
		public virtual string SsNo { get; set; }
		[StringLength(MaxEdNumberLength)]
		public virtual string EdNumber { get; set; }
		[StringLength(MaxGoshiCarLength)]
		public virtual string GoshiCar { get; set; }
		[Column(TypeName="datetime2(7)")]
		public virtual DateTime LineoffDatetime { get; set; }
		[Column(TypeName="date")]
		public virtual DateTime LineoffDate { get; set; }
		[Column(TypeName="datetime2(7)")]
		public virtual DateTime LineoffTime { get; set; }
		[Column(TypeName="datetime2(7)")]
		public virtual DateTime PdiDatetime { get; set; }
		[Column(TypeName="date")]
		public virtual DateTime PdiDate { get; set; }
		[Column(TypeName="datetime2(7)")]
		public virtual DateTime PdiTime { get; set; }
		public virtual long AssemblyId { get; set; }
</v>
      </c>
      <c r="K40" s="35" t="str">
        <f ca="1">TEXTJOIN2("
", TRUE,INDIRECT( $J$1):INDIRECT( $J$3))</f>
        <v xml:space="preserve">	[Index(nameof(LotNo), Name="IX_AsyAdoAInPlan_LotNo")]
	[Index(nameof(NoInLot), Name="IX_AsyAdoAInPlan_NoInLot")]
	[Index(nameof(BodyNo), Name="IX_AsyAdoAInPlan_BodyNo")]
	[Index(nameof(SequenceNo), Name="IX_AsyAdoAInPlan_SequenceNo")]
	[Index(nameof(VinNo), Name="IX_AsyAdoAInPlan_VinNo")]
	[Index(nameof(EngineId), Name="IX_AsyAdoAInPlan_EngineId")]
	[Index(nameof(TransId), Name="IX_AsyAdoAInPlan_TransId")]
</v>
      </c>
      <c r="L40" s="13" t="s">
        <v>60</v>
      </c>
      <c r="M40" s="36" t="str">
        <f ca="1">TEXTJOIN2("
",TRUE,INDIRECT( $L$1):INDIRECT($L$3))</f>
        <v xml:space="preserve">		public virtual string Model { get; set; }
		public virtual string LotNo { get; set; }
		public virtual int NoInLot { get; set; }
		public virtual string Grade { get; set; }
		public virtual string BodyNo { get; set; }
		public virtual string Color { get; set; }
		public virtual DateTime? AInDateActual { get; set; }
		public virtual DateTime? AOutDateActual { get; set; }
		public virtual DateTime? AInPlanDatetime { get; set; }
		public virtual DateTime? AOutPlanDatetime { get; set; }
		public virtual string SequenceNo { get; set; }
		public virtual int IsStart { get; set; }
		public virtual long VehicleId { get; set; }
		public virtual string Cfc { get; set; }
		public virtual string VinNo { get; set; }
		public virtual string EngineId { get; set; }
		public virtual string TransId { get; set; }
		public virtual string SalesSfx { get; set; }
		public virtual string ColorType { get; set; }
		public virtual string IndentLine { get; set; }
		public virtual string SsNo { get; set; }
		public virtual string EdNumber { get; set; }
		public virtual string GoshiCar { get; set; }
		public virtual DateTime? LineoffDatetime { get; set; }
		public virtual DateTime? LineoffDate { get; set; }
		public virtual DateTime? LineoffTime { get; set; }
		public virtual DateTime? PdiDatetime { get; set; }
		public virtual DateTime? PdiDate { get; set; }
		public virtual DateTime? PdiTime { get; set; }
		public virtual long AssemblyId { get; set; }
</v>
      </c>
      <c r="N40" s="33" t="str">
        <f ca="1">TEXTJOIN2("
",TRUE,INDIRECT( $M$1):INDIRECT($M$3))</f>
        <v xml:space="preserve">		[Required]
		[StringLength(AsyAdoAInPlanConsts.MaxModelLength)]
		public virtual string Model { get; set; }
		[Required]
		[StringLength(AsyAdoAInPlanConsts.MaxLotNoLength)]
		public virtual string LotNo { get; set; }
		[Required]
		public virtual int NoInLot { get; set; }
		[StringLength(AsyAdoAInPlanConsts.MaxGradeLength)]
		public virtual string Grade { get; set; }
		[Required]
		[StringLength(AsyAdoAInPlanConsts.MaxBodyNoLength)]
		public virtual string BodyNo { get; set; }
		[StringLength(AsyAdoAInPlanConsts.MaxColorLength)]
		public virtual string Color { get; set; }
		public virtual DateTime? AInDateActual { get; set; }
		public virtual DateTime? AOutDateActual { get; set; }
		public virtual DateTime? AInPlanDatetime { get; set; }
		public virtual DateTime? AOutPlanDatetime { get; set; }
		[StringLength(AsyAdoAInPlanConsts.MaxSequenceNoLength)]
		public virtual string SequenceNo { get; set; }
		public virtual int IsStart { get; set; }
		public virtual long VehicleId { get; set; }
		[StringLength(AsyAdoAInPlanConsts.MaxCfcLength)]
		public virtual string Cfc { get; set; }
		[StringLength(AsyAdoAInPlanConsts.MaxVinNoLength)]
		public virtual string VinNo { get; set; }
		[StringLength(AsyAdoAInPlanConsts.MaxEngineIdLength)]
		public virtual string EngineId { get; set; }
		[StringLength(AsyAdoAInPlanConsts.MaxTransIdLength)]
		public virtual string TransId { get; set; }
		[StringLength(AsyAdoAInPlanConsts.MaxSalesSfxLength)]
		public virtual string SalesSfx { get; set; }
		[StringLength(AsyAdoAInPlanConsts.MaxColorTypeLength)]
		public virtual string ColorType { get; set; }
		[StringLength(AsyAdoAInPlanConsts.MaxIndentLineLength)]
		public virtual string IndentLine { get; set; }
		[StringLength(AsyAdoAInPlanConsts.MaxSsNoLength)]
		public virtual string SsNo { get; set; }
		[StringLength(AsyAdoAInPlanConsts.MaxEdNumberLength)]
		public virtual string EdNumber { get; set; }
		[StringLength(AsyAdoAInPlanConsts.MaxGoshiCarLength)]
		public virtual string GoshiCar { get; set; }
		public virtual DateTime? LineoffDatetime { get; set; }
		public virtual DateTime? LineoffDate { get; set; }
		public virtual DateTime? LineoffTime { get; set; }
		public virtual DateTime? PdiDatetime { get; set; }
		public virtual DateTime? PdiDate { get; set; }
		public virtual DateTime? PdiTime { get; set; }
		public virtual long AssemblyId { get; set; }
</v>
      </c>
      <c r="O40" s="33" t="str">
        <f ca="1">TEXTJOIN2("
",TRUE,INDIRECT( $N$1):INDIRECT($N$3))</f>
        <v xml:space="preserve">		public virtual string Model { get; set; }
		public virtual string LotNo { get; set; }
		public virtual int NoInLot { get; set; }
		public virtual string Grade { get; set; }
		public virtual string BodyNo { get; set; }
		public virtual string Color { get; set; }
		public virtual DateTime? AInDateActual { get; set; }
		public virtual DateTime? AOutDateActual { get; set; }
		public virtual DateTime? AInPlanDatetime { get; set; }
		public virtual DateTime? AOutPlanDatetime { get; set; }
		public virtual string SequenceNo { get; set; }
		public virtual int IsStart { get; set; }
		public virtual string Cfc { get; set; }
		public virtual string VinNo { get; set; }
		public virtual string EngineId { get; set; }
		public virtual string TransId { get; set; }
		public virtual string SalesSfx { get; set; }
		public virtual string ColorType { get; set; }
		public virtual string IndentLine { get; set; }
		public virtual string SsNo { get; set; }
		public virtual string EdNumber { get; set; }
		public virtual string GoshiCar { get; set; }
		public virtual DateTime? LineoffDatetime { get; set; }
		public virtual DateTime? LineoffDate { get; set; }
		public virtual DateTime? LineoffTime { get; set; }
		public virtual DateTime? PdiDatetime { get; set; }
		public virtual DateTime? PdiDate { get; set; }
		public virtual DateTime? PdiTime { get; set; }
</v>
      </c>
      <c r="P40" s="9" t="str">
        <f ca="1">TEXTJOIN2("
",TRUE,INDIRECT( $O$1):INDIRECT($O$3))</f>
        <v xml:space="preserve">							Model = o.Model,
							LotNo = o.LotNo,
							NoInLot = o.NoInLot,
							Grade = o.Grade,
							BodyNo = o.BodyNo,
							Color = o.Color,
							AInDateActual = o.AInDateActual,
							AOutDateActual = o.AOutDateActual,
							AInPlanDatetime = o.AInPlanDatetime,
							AOutPlanDatetime = o.AOutPlanDatetime,
							SequenceNo = o.SequenceNo,
							IsStart = o.IsStart,
							VehicleId = o.VehicleId,
							Cfc = o.Cfc,
							VinNo = o.VinNo,
							EngineId = o.EngineId,
							TransId = o.TransId,
							SalesSfx = o.SalesSfx,
							ColorType = o.ColorType,
							IndentLine = o.IndentLine,
							SsNo = o.SsNo,
							EdNumber = o.EdNumber,
							GoshiCar = o.GoshiCar,
							LineoffDatetime = o.LineoffDatetime,
							LineoffDate = o.LineoffDate,
							LineoffTime = o.LineoffTime,
							PdiDatetime = o.PdiDatetime,
							PdiDate = o.PdiDate,
							PdiTime = o.PdiTime,
							AssemblyId = o.AssemblyId,</v>
      </c>
      <c r="T40" s="9" t="str">
        <f ca="1">TEXTJOIN2("
",TRUE,INDIRECT( $T$2):INDIRECT($T$3))</f>
        <v xml:space="preserve">								("Model"),
								("LotNo"),
								("NoInLot"),
								("Grade"),
								("BodyNo"),
								("Color"),
								("AInDateActual"),
								("AOutDateActual"),
								("AInPlanDatetime"),
								("AOutPlanDatetime"),
								("SequenceNo"),
								("IsStart"),
								("VehicleId"),
								("Cfc"),
								("VinNo"),
								("EngineId"),
								("TransId"),
								("SalesSfx"),
								("ColorType"),
								("IndentLine"),
								("SsNo"),
								("EdNumber"),
								("GoshiCar"),
								("LineoffDatetime"),
								("LineoffDate"),
								("LineoffTime"),
								("PdiDatetime"),
								("PdiDate"),
								("PdiTime"),
								("AssemblyId"),</v>
      </c>
      <c r="V40" s="9" t="str">
        <f ca="1">TEXTJOIN2("
",TRUE,INDIRECT( $V$2):INDIRECT($V$3))</f>
        <v xml:space="preserve">								_ =&gt; _.Model,
								_ =&gt; _.LotNo,
								_ =&gt; _.NoInLot,
								_ =&gt; _.Grade,
								_ =&gt; _.BodyNo,
								_ =&gt; _.Color,
								_ =&gt; _.AInDateActual,
								_ =&gt; _.AOutDateActual,
								_ =&gt; _.AInPlanDatetime,
								_ =&gt; _.AOutPlanDatetime,
								_ =&gt; _.SequenceNo,
								_ =&gt; _.IsStart,
								_ =&gt; _.VehicleId,
								_ =&gt; _.Cfc,
								_ =&gt; _.VinNo,
								_ =&gt; _.EngineId,
								_ =&gt; _.TransId,
								_ =&gt; _.SalesSfx,
								_ =&gt; _.ColorType,
								_ =&gt; _.IndentLine,
								_ =&gt; _.SsNo,
								_ =&gt; _.EdNumber,
								_ =&gt; _.GoshiCar,
								_ =&gt; _.LineoffDatetime,
								_ =&gt; _.LineoffDate,
								_ =&gt; _.LineoffTime,
								_ =&gt; _.PdiDatetime,
								_ =&gt; _.PdiDate,
								_ =&gt; _.PdiTime,
								_ =&gt; _.AssemblyId,</v>
      </c>
      <c r="W40" s="9" t="str">
        <f ca="1">TEXTJOIN2("
",TRUE,INDIRECT( $W$2):INDIRECT($W$3))</f>
        <v xml:space="preserve">				.WhereIf(!string.IsNullOrWhiteSpace(input.Model), e =&gt; e.Model.Contains(input.Model))
				.WhereIf(!string.IsNullOrWhiteSpace(input.LotNo), e =&gt; e.LotNo.Contains(input.LotNo))
				.WhereIf(!string.IsNullOrWhiteSpace(input.Grade), e =&gt; e.Grade.Contains(input.Grade))
				.WhereIf(!string.IsNullOrWhiteSpace(input.BodyNo), e =&gt; e.BodyNo.Contains(input.BodyNo))
				.WhereIf(!string.IsNullOrWhiteSpace(input.Color), e =&gt; e.Color.Contains(input.Color))
				.WhereIf(input.AInDateActual.HasValue, t =&gt; t.AInDateActual == input.AInDateActual.Value)
				.WhereIf(input.AOutDateActual.HasValue, t =&gt; t.AOutDateActual == input.AOutDateActual.Value)
				.WhereIf(input.AInPlanDatetime.HasValue, t =&gt; t.AInPlanDatetime == input.AInPlanDatetime.Value)
				.WhereIf(input.AOutPlanDatetime.HasValue, t =&gt; t.AOutPlanDatetime == input.AOutPlanDatetime.Value)
				.WhereIf(!string.IsNullOrWhiteSpace(input.SequenceNo), e =&gt; e.SequenceNo.Contains(input.SequenceNo))
				.WhereIf(!string.IsNullOrWhiteSpace(input.Cfc), e =&gt; e.Cfc.Contains(input.Cfc))
				.WhereIf(!string.IsNullOrWhiteSpace(input.VinNo), e =&gt; e.VinNo.Contains(input.VinNo))
				.WhereIf(!string.IsNullOrWhiteSpace(input.EngineId), e =&gt; e.EngineId.Contains(input.EngineId))
				.WhereIf(!string.IsNullOrWhiteSpace(input.TransId), e =&gt; e.TransId.Contains(input.TransId))
				.WhereIf(!string.IsNullOrWhiteSpace(input.SalesSfx), e =&gt; e.SalesSfx.Contains(input.SalesSfx))
				.WhereIf(!string.IsNullOrWhiteSpace(input.ColorType), e =&gt; e.ColorType.Contains(input.ColorType))
				.WhereIf(!string.IsNullOrWhiteSpace(input.IndentLine), e =&gt; e.IndentLine.Contains(input.IndentLine))
				.WhereIf(!string.IsNullOrWhiteSpace(input.SsNo), e =&gt; e.SsNo.Contains(input.SsNo))
				.WhereIf(!string.IsNullOrWhiteSpace(input.EdNumber), e =&gt; e.EdNumber.Contains(input.EdNumber))
				.WhereIf(!string.IsNullOrWhiteSpace(input.GoshiCar), e =&gt; e.GoshiCar.Contains(input.GoshiCar))
				.WhereIf(input.LineoffDatetime.HasValue, t =&gt; t.LineoffDatetime == input.LineoffDatetime.Value)
				.WhereIf(input.LineoffDate.HasValue, t =&gt; t.LineoffDate == input.LineoffDate.Value)
				.WhereIf(input.LineoffTime.HasValue, t =&gt; t.LineoffTime == input.LineoffTime.Value)
				.WhereIf(input.PdiDatetime.HasValue, t =&gt; t.PdiDatetime == input.PdiDatetime.Value)
				.WhereIf(input.PdiDate.HasValue, t =&gt; t.PdiDate == input.PdiDate.Value)
				.WhereIf(input.PdiTime.HasValue, t =&gt; t.PdiTime == input.PdiTime.Value)
</v>
      </c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47"/>
  <sheetViews>
    <sheetView workbookViewId="0">
      <selection activeCell="A40" sqref="A40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292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Assy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assy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Andon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andon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AsyAdoAInPlan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AInPlan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ainplan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270</v>
      </c>
      <c r="I9" s="46" t="s">
        <v>271</v>
      </c>
      <c r="J9" s="45" t="s">
        <v>219</v>
      </c>
      <c r="K9" s="47" t="s">
        <v>257</v>
      </c>
      <c r="L9" s="46" t="s">
        <v>261</v>
      </c>
      <c r="M9" s="45" t="s">
        <v>250</v>
      </c>
      <c r="N9" s="45" t="s">
        <v>220</v>
      </c>
      <c r="O9" s="45" t="s">
        <v>221</v>
      </c>
      <c r="P9" s="46" t="s">
        <v>223</v>
      </c>
      <c r="Q9" s="45" t="s">
        <v>251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AsyAdoAInPlanDto, AsyAdoAInPlanServiceProxy } from '@shared/service-proxies/service-proxies';
import { finalize } from 'rxjs/internal/operators/finalize';
import { CreateOrEditAInPlanModalComponent } from './create-or-edit-ainplan-modal.component';
import { DatePipe } from '@angular/common';
import { FileDownloadService } from '@shared/utils/file-download.service';
import ceil from 'lodash-es/ceil';
import { Paginator } from 'primeng/paginator';
@Component({
    templateUrl: './ainplan.component.html',
    styleUrls: ['./ainplan.component.less'],
})
export class AInPlanComponent extends AppComponentBase implements OnInit {
    @ViewChild('createOrEditModalAInPlan', { static: true }) createOrEditModalAInPlan:| CreateOrEditAInPlanModalComponent|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AsyAdoAInPlanDto = new AsyAdoAInPlanDto();
    saveSelectedRow: AsyAdoAInPlanDto = new AsyAdoAInPlanDto();
    datas: AsyAdoAInPlanDto = new AsyAdoAInPlanDto();
    isLoading: boolean = false;
    dataParams: GridParams | undefined;
    rowData: any[] = [];
    gridApi!: GridApi;
    rowSelection = 'multiple';
    filter: string = '';
	pipe = new DatePipe('en-US');
	frameworkComponents: FrameworkComponent;
    model : string = '' ; 
	lotNo : string = '' ; 
	noInLot : number = 0 ;
	grade : string = '' ; 
	bodyNo : string = '' ; 
	color : string = '' ; 
	aInDateActual : any ;
	aOutDateActual : any ;
	aInPlanDatetime : any ;
	aOutPlanDatetime : any ;
	sequenceNo : string = '' ; 
	isStart : number = 0 ;
	vehicleId
	cfc : string = '' ; 
	vinNo : string = '' ; 
	engineId : string = '' ; 
	transId : string = '' ; 
	salesSfx : string = '' ; 
	colorType : string = '' ; 
	indentLine : string = '' ; 
	ssNo : string = '' ; 
	edNumber : string = '' ; 
	goshiCar : string = '' ; 
	lineoffDatetime : any ;
	lineoffDate : any ;
	lineoffTime : any ;
	pdiDatetime : any ;
	pdiDate : any ;
	pdiTime : any ;
	assemblyId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AsyAdoAInPlanServiceProxy,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this.l('Model'),headerTooltip: this.l('Model'),field: 'model',flex: 1},
			{headerName: this.l('Lot No'),headerTooltip: this.l('Lot No'),field: 'lotNo',flex: 1},
			{headerName: this.l('No In Lot'),headerTooltip: this.l('No In Lot'),field: 'noInLot',flex: 1},
			{headerName: this.l('Grade'),headerTooltip: this.l('Grade'),field: 'grade',flex: 1},
			{headerName: this.l('Body No'),headerTooltip: this.l('Body No'),field: 'bodyNo',flex: 1},
			{headerName: this.l('Color'),headerTooltip: this.l('Color'),field: 'color',flex: 1},
			{headerName: this.l('A In Date Actual'),headerTooltip: this.l('A In Date Actual'),field: 'aInDateActual',valueGetter: (params) =&gt; this.pipe.transform(params.data?.aInDateActual, 'dd/MM/yyyy'),flex: 1},
			{headerName: this.l('A Out Date Actual'),headerTooltip: this.l('A Out Date Actual'),field: 'aOutDateActual',valueGetter: (params) =&gt; this.pipe.transform(params.data?.aOutDateActual, 'dd/MM/yyyy'),flex: 1},
			{headerName: this.l('A In Plan Datetime'),headerTooltip: this.l('A In Plan Datetime'),field: 'aInPlanDatetime',valueGetter: (params) =&gt; this.pipe.transform(params.data?.aInPlanDatetime, 'dd/MM/yyyy'),flex: 1},
			{headerName: this.l('A Out Plan Datetime'),headerTooltip: this.l('A Out Plan Datetime'),field: 'aOutPlanDatetime',valueGetter: (params) =&gt; this.pipe.transform(params.data?.aOutPlanDatetime, 'dd/MM/yyyy'),flex: 1},
			{headerName: this.l('Sequence No'),headerTooltip: this.l('Sequence No'),field: 'sequenceNo',flex: 1},
			{headerName: this.l('Is Start'),headerTooltip: this.l('Is Start'),field: 'isStart',flex: 1},
			{headerName: this.l('Vehicle Id'),headerTooltip: this.l('Vehicle Id'),field: 'vehicleId',flex: 1},
			{headerName: this.l('Cfc'),headerTooltip: this.l('Cfc'),field: 'cfc',flex: 1},
			{headerName: this.l('Vin No'),headerTooltip: this.l('Vin No'),field: 'vinNo',flex: 1},
			{headerName: this.l('Engine Id'),headerTooltip: this.l('Engine Id'),field: 'engineId',flex: 1},
			{headerName: this.l('Trans Id'),headerTooltip: this.l('Trans Id'),field: 'transId',flex: 1},
			{headerName: this.l('Sales Sfx'),headerTooltip: this.l('Sales Sfx'),field: 'salesSfx',flex: 1},
			{headerName: this.l('Color Type'),headerTooltip: this.l('Color Type'),field: 'colorType',flex: 1},
			{headerName: this.l('Indent Line'),headerTooltip: this.l('Indent Line'),field: 'indentLine',flex: 1},
			{headerName: this.l('Ss No'),headerTooltip: this.l('Ss No'),field: 'ssNo',flex: 1},
			{headerName: this.l('Ed Number'),headerTooltip: this.l('Ed Number'),field: 'edNumber',flex: 1},
			{headerName: this.l('Goshi Car'),headerTooltip: this.l('Goshi Car'),field:  'goshiCar', cellClass: ['text-center'], width: 120, cellRenderer: 'agCellButtonComponent',
buttonDefTwo: { text: params =&gt; (params.data?.'goshiCar' == 'Y') ? 'Active' : 'Inactive',iconName: 'fa fa-circle',className: params =&gt; (params.data?.'goshiCar' == 'Y') ? 'btnActive' : 'btnInActive',},}
			{headerName: this.l('Lineoff Datetime'),headerTooltip: this.l('Lineoff Datetime'),field: 'lineoffDatetime',valueGetter: (params) =&gt; this.pipe.transform(params.data?.lineoffDatetime, 'dd/MM/yyyy'),flex: 1},
			{headerName: this.l('Lineoff Date'),headerTooltip: this.l('Lineoff Date'),field: 'lineoffDate',valueGetter: (params) =&gt; this.pipe.transform(params.data?.lineoffDate, 'dd/MM/yyyy'),flex: 1},
			{headerName: this.l('Lineoff Time'),headerTooltip: this.l('Lineoff Time'),field: 'lineoffTime',valueGetter: (params) =&gt; this.pipe.transform(params.data?.lineoffTime, 'dd/MM/yyyy'),flex: 1},
			{headerName: this.l('Pdi Datetime'),headerTooltip: this.l('Pdi Datetime'),field: 'pdiDatetime',valueGetter: (params) =&gt; this.pipe.transform(params.data?.pdiDatetime, 'dd/MM/yyyy'),flex: 1},
			{headerName: this.l('Pdi Date'),headerTooltip: this.l('Pdi Date'),field: 'pdiDate',valueGetter: (params) =&gt; this.pipe.transform(params.data?.pdiDate, 'dd/MM/yyyy'),flex: 1},
			{headerName: this.l('Pdi Time'),headerTooltip: this.l('Pdi Time'),field: 'pdiTime',valueGetter: (params) =&gt; this.pipe.transform(params.data?.pdiTime, 'dd/MM/yyyy'),flex: 1},
			{headerName: this.l('Assembly Id'),headerTooltip: this.l('Assembly Id'),field: 'assemblyId',flex: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this.model,
			this.lotNo,
			this.noInLot,
			this.grade,
			this.bodyNo,
			this.color,
			this.aInDateActual,
			this.aOutDateActual,
			this.aInPlanDatetime,
			this.aOutPlanDatetime,
			this.sequenceNo,
			this.isStart,
			this.vehicleId,
			this.cfc,
			this.vinNo,
			this.engineId,
			this.transId,
			this.salesSfx,
			this.colorType,
			this.indentLine,
			this.ssNo,
			this.edNumber,
			this.goshiCar,
			this.lineoffDatetime,
			this.lineoffDate,
			this.lineoffTime,
			this.pdiDatetime,
			this.pdiDate,
			this.pdiTime,
			this.assemblyId,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this.model = '',
		this.lotNo = '',
		this.noInLot = 0,
		this.grade = '',
		this.bodyNo = '',
		this.color = '',
		this.aInDateActual = '',
		this.aOutDateActual = '',
		this.aInPlanDatetime = '',
		this.aOutPlanDatetime = '',
		this.sequenceNo = '',
		this.isStart = 0,
		this.vehicleId = '',
		this.cfc = '',
		this.vinNo = '',
		this.engineId = '',
		this.transId = '',
		this.salesSfx = '',
		this.colorType = '',
		this.indentLine = '',
		this.ssNo = '',
		this.edNumber = '',
		this.goshiCar = '',
		this.lineoffDatetime = '',
		this.lineoffDate = '',
		this.lineoffTime = '',
		this.pdiDatetime = '',
		this.pdiDate = '',
		this.pdiTime = '',
		this.assemblyId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this.model,
			this.lotNo,
			this.noInLot,
			this.grade,
			this.bodyNo,
			this.color,
			this.aInDateActual,
			this.aOutDateActual,
			this.aInPlanDatetime,
			this.aOutPlanDatetime,
			this.sequenceNo,
			this.isStart,
			this.vehicleId,
			this.cfc,
			this.vinNo,
			this.engineId,
			this.transId,
			this.salesSfx,
			this.colorType,
			this.indentLine,
			this.ssNo,
			this.edNumber,
			this.goshiCar,
			this.lineoffDatetime,
			this.lineoffDate,
			this.lineoffTime,
			this.pdiDatetime,
			this.pdiDate,
			this.pdiTime,
			this.assemblyId,
			'',
            this.paginationParams.skipCount,
            this.paginationParams.pageSize
        );
    }
    onChangeRowSelection(params: { api: { getSelectedRows: () =&gt; AsyAdoAInPlanDto[] } }) {
        this.saveSelectedRow = params.api.getSelectedRows()[0] ?? new AsyAdoAInPlanDto();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AsyAdoAInPlanDto):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this._service.getAInPlanToExcel(
			this.model,
			this.lotNo,
			this.noInLot,
			this.grade,
			this.bodyNo,
			this.color,
			this.aInDateActual,
			this.aOutDateActual,
			this.aInPlanDatetime,
			this.aOutPlanDatetime,
			this.sequenceNo,
			this.isStart,
			this.vehicleId,
			this.cfc,
			this.vinNo,
			this.engineId,
			this.transId,
			this.salesSfx,
			this.colorType,
			this.indentLine,
			this.ssNo,
			this.edNumber,
			this.goshiCar,
			this.lineoffDatetime,
			this.lineoffDate,
			this.lineoffTime,
			this.pdiDatetime,
			this.pdiDate,
			this.pdiTime,
			this.assemblyId,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Assembly Andon A In Plan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type='text' [placeholder]="l('A In Date Actual')" [(ngModel)]='aInDateActual' 
									name='aInDateActual'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[placeholder]="l('A Out Date Actual')" [(ngModel)]='aOutDateActual' 
									name='aOutDateActual'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[placeholder]="l('A In Plan Datetime')" [(ngModel)]='aInPlanDatetime' 
									name='aInPlanDatetime'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[placeholder]="l('A Out Plan Datetime')" [(ngModel)]='aOutPlanDatetime' 
									name='aOutPlanDatetime'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[(ngModel)]='sequenceNo' name='sequenceNo'
									class='form-control' [placeholder]="l('Sequence No')"
									type='text' (keyup.enter)='searchDatas()'&gt;
								&lt;/div&gt;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[(ngModel)]='vinNo' name='vinNo'
									class='form-control' [placeholder]="l('Vin No')"
									type='text' (keyup.enter)='searchDatas()'&gt;
								&lt;/div&gt;
								&lt;div class='input-search'&gt;
									&lt;input [(ngModel)]='engineId' name='engineId'
									class='form-control' [placeholder]="l('Engine Id')"
									type='text' (keyup.enter)='searchDatas()'&gt;
								&lt;/div&gt;
								&lt;div class='input-search'&gt;
									&lt;input [(ngModel)]='transId' name='transId'
									class='form-control' [placeholder]="l('Trans Id')"
									type='text' (keyup.enter)='searchDatas()'&gt;
								&lt;/div&gt;
								&lt;div class='input-search'&gt;
									&lt;input [(ngModel)]='salesSfx' name='salesSfx'
									class='form-control' [placeholder]="l('Sales Sfx')"
									type='text' (keyup.enter)='searchDatas()'&gt;
								&lt;/div&gt;
								&lt;div class='input-search'&gt;
									&lt;input [(ngModel)]='colorType' name='colorType'
									class='form-control' [placeholder]="l('Color Type')"
									type='text' (keyup.enter)='searchDatas()'&gt;
								&lt;/div&gt;
								&lt;div class='input-search'&gt;
									&lt;input [(ngModel)]='indentLine' name='indentLine'
									class='form-control' [placeholder]="l('Indent Line')"
									type='text' (keyup.enter)='searchDatas()'&gt;
								&lt;/div&gt;
								&lt;div class='input-search'&gt;
									&lt;input [(ngModel)]='ssNo' name='ssNo'
									class='form-control' [placeholder]="l('Ss No')"
									type='text' (keyup.enter)='searchDatas()'&gt;
								&lt;/div&gt;
								&lt;div class='input-search'&gt;
									&lt;input [(ngModel)]='edNumber' name='edNumber'
									class='form-control' [placeholder]="l('Ed Number')"
									type='text' (keyup.enter)='searchDatas()'&gt;
								&lt;/div&gt;
								&lt;div class='input-search'&gt;
									&lt;input [(ngModel)]='goshiCar' name='goshiCar'
									class='form-control' [placeholder]="l('Goshi Car')"
									type='text' (keyup.enter)='searchDatas()'&gt;
								&lt;/div&gt;
								&lt;div class='input-search'&gt;
									&lt;input type='text' [placeholder]="l('Lineoff Datetime')" [(ngModel)]='lineoffDatetime' 
									name='lineoffDatetime'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[placeholder]="l('Lineoff Date')" [(ngModel)]='lineoffDate' 
									name='lineoffDate'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[placeholder]="l('Lineoff Time')" [(ngModel)]='lineoffTime' 
									name='lineoffTime'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[placeholder]="l('Pdi Datetime')" [(ngModel)]='pdiDatetime' 
									name='pdiDatetime'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[placeholder]="l('Pdi Date')" [(ngModel)]='pdiDate' 
									name='pdiDate'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[placeholder]="l('Pdi Time')" [(ngModel)]='pdiTime' 
									name='pdiTime' (keydown)='searchDatas()' class='form-control' 
									bsDatepicker #d='bsDatepicker' placement='bottom left'&gt;
									&lt;i class='fa fa-calendar-alt' (click)='d.toggle()'&gt;&lt;/i&gt;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(click)="createOrEditModalAInPlan.show()"&gt;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(click)="createOrEditModalAInPlan.show(selectedRow)"&gt;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&lt;create-or-edit-ainplan-modal
    #createOrEditModalAInPlan
    (modalSave)="callBackDataGrid(dataParams)"
    (modalClose)="onChangeRowSelection(dataParams)"
&gt;
&lt;/create-or-edit-ainplan-modal&gt;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#createOrEditModalAInPlan="bs-modal"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AInPlan')}}&lt;/h3&gt;
                    &lt;h3 *ngIf="!rowdata.id"&gt;{{('Create New AInPlan')}}&lt;/h3&gt;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title'&gt;No In Lot&lt;/label&gt;
						&lt;input type='number' class='col-md-10 form-control input-text' name='NoInLot' [(ngModel)]='rowdata.noInLot'&gt;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title'&gt;A In Date Actual&lt;/label&gt;
						&lt;input type='text' class='col-md-10 form-control input-text' name='aInDateActual' 
						#datepicker='bsDatepicker' [(ngModel)]='rowdata.aInDateActual'  bsDatepicker &gt;
					&lt;/div&gt;
					&lt;div class='col-md-12 form-group row'&gt;
						&lt;label class='col-md-2 form-control title'&gt;A Out Date Actual&lt;/label&gt;
						&lt;input type='text' class='col-md-10 form-control input-text' name='aOutDateActual' 
						#datepicker='bsDatepicker' [(ngModel)]='rowdata.aOutDateActual'  bsDatepicker &gt;
					&lt;/div&gt;
					&lt;div class='col-md-12 form-group row'&gt;
						&lt;label class='col-md-2 form-control title'&gt;A In Plan Datetime&lt;/label&gt;
						&lt;input type='text' class='col-md-10 form-control input-text' name='aInPlanDatetime' 
						#datepicker='bsDatepicker' [(ngModel)]='rowdata.aInPlanDatetime'  bsDatepicker &gt;
					&lt;/div&gt;
					&lt;div class='col-md-12 form-group row'&gt;
						&lt;label class='col-md-2 form-control title'&gt;A Out Plan Datetime&lt;/label&gt;
						&lt;input type='text' class='col-md-10 form-control input-text' name='aOutPlanDatetime' 
						#datepicker='bsDatepicker' [(ngModel)]='rowdata.aOutPlanDatetime'  bsDatepicker &gt;
					&lt;/div&gt;
					&lt;div class='col-md-12 form-group row'&gt;
						&lt;label class='col-md-2 form-control title'&gt;Sequence No&lt;/label&gt;
						&lt;input type='text' class='col-md-10 form-control input-text' name='SequenceNo' [(ngModel)]='rowdata.sequenceNo'&gt;
					&lt;/div&gt;
					&lt;div class='col-md-12 form-group row'&gt;
						&lt;label class='col-md-2 form-control title'&gt;Is Start&lt;/label&gt;
						&lt;input type='number' class='col-md-10 form-control input-text' name='IsStart' [(ngModel)]='rowdata.isStart'&gt;
					&lt;/div&gt;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title'&gt;Vin No&lt;/label&gt;
						&lt;input type='text' class='col-md-10 form-control input-text' name='VinNo' [(ngModel)]='rowdata.vinNo'&gt;
					&lt;/div&gt;
					&lt;div class='col-md-12 form-group row'&gt;
						&lt;label class='col-md-2 form-control title'&gt;Engine Id&lt;/label&gt;
						&lt;input type='text' class='col-md-10 form-control input-text' name='EngineId' [(ngModel)]='rowdata.engineId'&gt;
					&lt;/div&gt;
					&lt;div class='col-md-12 form-group row'&gt;
						&lt;label class='col-md-2 form-control title'&gt;Trans Id&lt;/label&gt;
						&lt;input type='text' class='col-md-10 form-control input-text' name='TransId' [(ngModel)]='rowdata.transId'&gt;
					&lt;/div&gt;
					&lt;div class='col-md-12 form-group row'&gt;
						&lt;label class='col-md-2 form-control title'&gt;Sales Sfx&lt;/label&gt;
						&lt;input type='text' class='col-md-10 form-control input-text' name='SalesSfx' [(ngModel)]='rowdata.salesSfx'&gt;
					&lt;/div&gt;
					&lt;div class='col-md-12 form-group row'&gt;
						&lt;label class='col-md-2 form-control title'&gt;Color Type&lt;/label&gt;
						&lt;input type='text' class='col-md-10 form-control input-text' name='ColorType' [(ngModel)]='rowdata.colorType'&gt;
					&lt;/div&gt;
					&lt;div class='col-md-12 form-group row'&gt;
						&lt;label class='col-md-2 form-control title'&gt;Indent Line&lt;/label&gt;
						&lt;input type='text' class='col-md-10 form-control input-text' name='IndentLine' [(ngModel)]='rowdata.indentLine'&gt;
					&lt;/div&gt;
					&lt;div class='col-md-12 form-group row'&gt;
						&lt;label class='col-md-2 form-control title'&gt;Ss No&lt;/label&gt;
						&lt;input type='text' class='col-md-10 form-control input-text' name='SsNo' [(ngModel)]='rowdata.ssNo'&gt;
					&lt;/div&gt;
					&lt;div class='col-md-12 form-group row'&gt;
						&lt;label class='col-md-2 form-control title'&gt;Ed Number&lt;/label&gt;
						&lt;input type='text' class='col-md-10 form-control input-text' name='EdNumber' [(ngModel)]='rowdata.edNumber'&gt;
					&lt;/div&gt;
					&lt;div class='col-md-12 form-group row'&gt;
						&lt;label class='col-md-2 form-control title'&gt;Goshi Car&lt;/label&gt;
						&lt;new-checkbox [(ngModel)]='_goshiCar' name='goshiCar' className='col-md-10' &gt; &lt;/new-checkbox&gt;
					&lt;/div&gt;
					&lt;div class='col-md-12 form-group row'&gt;
						&lt;label class='col-md-2 form-control title'&gt;Lineoff Datetime&lt;/label&gt;
						&lt;input type='text' class='col-md-10 form-control input-text' name='lineoffDatetime' 
						#datepicker='bsDatepicker' [(ngModel)]='rowdata.lineoffDatetime'  bsDatepicker &gt;
					&lt;/div&gt;
					&lt;div class='col-md-12 form-group row'&gt;
						&lt;label class='col-md-2 form-control title'&gt;Lineoff Date&lt;/label&gt;
						&lt;input type='text' class='col-md-10 form-control input-text' name='lineoffDate' 
						#datepicker='bsDatepicker' [(ngModel)]='rowdata.lineoffDate'  bsDatepicker &gt;
					&lt;/div&gt;
					&lt;div class='col-md-12 form-group row'&gt;
						&lt;label class='col-md-2 form-control title'&gt;Lineoff Time&lt;/label&gt;
						&lt;input type='text' class='col-md-10 form-control input-text' name='lineoffTime' 
						#datepicker='bsDatepicker' [(ngModel)]='rowdata.lineoffTime'  bsDatepicker &gt;
					&lt;/div&gt;
					&lt;div class='col-md-12 form-group row'&gt;
						&lt;label class='col-md-2 form-control title'&gt;Pdi Datetime&lt;/label&gt;
						&lt;input type='text' class='col-md-10 form-control input-text' name='pdiDatetime' 
						#datepicker='bsDatepicker' [(ngModel)]='rowdata.pdiDatetime'  bsDatepicker &gt;
					&lt;/div&gt;
					&lt;div class='col-md-12 form-group row'&gt;
						&lt;label class='col-md-2 form-control title'&gt;Pdi Date&lt;/label&gt;
						&lt;input type='text' class='col-md-10 form-control input-text' name='pdiDate' 
						#datepicker='bsDatepicker' [(ngModel)]='rowdata.pdiDate'  bsDatepicker &gt;
					&lt;/div&gt;
					&lt;div class='col-md-12 form-group row'&gt;
						&lt;label class='col-md-2 form-control title'&gt;Pdi Time&lt;/label&gt;
						&lt;input type='text' class='col-md-10 form-control input-text' name='pdiTime' 
						#datepicker='bsDatepicker' [(ngModel)]='rowdata.pdiTime'  bsDatepicker 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CreateOrEditAsyAdoAInPlanDto, AsyAdoAInPlanServiceProxy } from '@shared/service-proxies/service-proxies';
import { BsDatepickerDirective } from 'ngx-bootstrap/datepicker';
@Component({
    selector: 'create-or-edit-ainplan-modal',
    templateUrl: './create-or-edit-ainplan-modal.component.html',
    styleUrls: ['./create-or-edit-ainplan-modal.component.less']
    })
export class CreateOrEditAInPlanModalComponent extends AppComponentBase {
    @ViewChild('createOrEditModalAInPlan',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CreateOrEditAsyAdoAInPlanDto = new CreateOrEditAsyAdoAInPlanDto();
    active: boolean = false;
    saving: boolean = false;
    _goshiCar
: boolean;
    constructor(
        injector: Injector,
        private _mstwptAInPlanService: AsyAdoAInPlanServiceProxy,
    ) 
    {
        super(injector);
    }
    show(rowdata?: CreateOrEditAsyAdoAInPlanDto): void {
        if (!rowdata) this.rowdata = new CreateOrEditAsyAdoAInPlanDto();
        else this.rowdata = rowdata;
		const dateValue =  this.rowdata.aInDateActual ? new Date(this.rowdata.aInDateActual?.toString()) : new Date();
		this.datepicker?.bsValueChange.emit(dateValue);
		const dateValue =  this.rowdata.aOutDateActual ? new Date(this.rowdata.aOutDateActual?.toString()) : new Date();
		this.datepicker?.bsValueChange.emit(dateValue);
		const dateValue =  this.rowdata.aInPlanDatetime ? new Date(this.rowdata.aInPlanDatetime?.toString()) : new Date();
		this.datepicker?.bsValueChange.emit(dateValue);
		const dateValue =  this.rowdata.aOutPlanDatetime ? new Date(this.rowdata.aOutPlanDatetime?.toString()) : new Date();
		this.datepicker?.bsValueChange.emit(dateValue);
		const dateValue =  this.rowdata.lineoffDatetime ? new Date(this.rowdata.lineoffDatetime?.toString()) : new Date();
		this.datepicker?.bsValueChange.emit(dateValue);
		const dateValue =  this.rowdata.lineoffDate ? new Date(this.rowdata.lineoffDate?.toString()) : new Date();
		this.datepicker?.bsValueChange.emit(dateValue);
		const dateValue =  this.rowdata.lineoffTime ? new Date(this.rowdata.lineoffTime?.toString()) : new Date();
		this.datepicker?.bsValueChange.emit(dateValue);
		const dateValue =  this.rowdata.pdiDatetime ? new Date(this.rowdata.pdiDatetime?.toString()) : new Date();
		this.datepicker?.bsValueChange.emit(dateValue);
		const dateValue =  this.rowdata.pdiDate ? new Date(this.rowdata.pdiDate?.toString()) : new Date();
		this.datepicker?.bsValueChange.emit(dateValue);
		const dateValue =  this.rowdata.pdiTime ? new Date(this.rowdata.pdiTime?.toString()) : new Date();
		this.datepicker?.bsValueChange.emit(dateValue);
        this._goshiCar
 = (this.rowdata.goshiCar
 == "N")? false: true;
        this.active = true;
        this.modal.show();
    } 
    changeActive(event){
        this._goshiCar
 = event.target.checked;
    }
    save(): void {
    this.saving = true; 
    this.rowdata.goshiCar
 = (this._goshiCar
 == true) ? 'Y' : 'N'
    this._mstwptAInPlanService.createOrEdit(this.rowdata)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AInPlanRoutingModule } from './ainplan-routing.module';
import { AInPlanComponent } from './ainplan.component';
import { CreateOrEditAInPlanModalComponent } from './create-or-edit-ainplan-modal.component';
@NgModule({
    declarations: [
       AInPlanComponent, 
        CreateOrEditAInPlanModalComponent
    ],
    imports: [
        AppSharedModule, AInPlanRoutingModule]
})
export class AInPlanModule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AInPlanComponent } from './ainplan.component';
const routes: Routes = [{
    path: '',
    component: AInPlanComponent,
    pathMatch: 'full'
}];
@NgModule({
    imports: [RouterModule.forChild(routes)],
    exports: [RouterModule],
})
export class AInPlanRoutingModule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AppMenuItem("AInPlan", "Pages.Assy.Andon.AInPlan", "flaticon-book",   "/app/main/assy/andon/ainplan"),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'assy/andon/ainplan',
    loadChildren: () =&gt; import('./assy/andon/ainplan/ainplan.module').then(m =&gt; m.AInPlanModule),
    data: { permission: 'Pages.Assy.Andon.AInPlan' }
},</v>
      </c>
      <c r="R10" s="50" t="str">
        <f>SUBSTITUTE(R9,"MstWptCalendar",$B$6)</f>
        <v>ApiServiceProxies.AsyAdoAInPlanServiceProxy,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249</v>
      </c>
      <c r="I11" s="31" t="s">
        <v>262</v>
      </c>
      <c r="J11" s="31"/>
      <c r="K11" s="31" t="s">
        <v>260</v>
      </c>
      <c r="L11" s="31" t="s">
        <v>263</v>
      </c>
      <c r="M11" s="38"/>
      <c r="N11" s="31"/>
      <c r="O11" s="31"/>
      <c r="P11" s="31"/>
      <c r="Q11" s="31"/>
      <c r="R11" s="31"/>
      <c r="S11" s="31" t="s">
        <v>254</v>
      </c>
      <c r="T11" s="31" t="s">
        <v>255</v>
      </c>
      <c r="U11" s="31" t="s">
        <v>264</v>
      </c>
      <c r="V11" s="71" t="s">
        <v>266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H44</v>
      </c>
      <c r="I12" s="31" t="str">
        <f>"I"&amp;COUNTA($A:$A)</f>
        <v>I44</v>
      </c>
      <c r="J12" s="31"/>
      <c r="K12" s="31" t="str">
        <f>"K"&amp;COUNTA($A:$A)</f>
        <v>K44</v>
      </c>
      <c r="L12" s="31" t="str">
        <f>"L"&amp;COUNTA($A:$A)</f>
        <v>L44</v>
      </c>
      <c r="M12" s="31"/>
      <c r="N12" s="31"/>
      <c r="O12" s="31"/>
      <c r="P12" s="31"/>
      <c r="Q12" s="31"/>
      <c r="R12" s="31"/>
      <c r="S12" s="31" t="str">
        <f>"S"&amp;COUNTA($A:$A)</f>
        <v>S44</v>
      </c>
      <c r="T12" s="31" t="str">
        <f>"T"&amp;COUNTA($A:$A)</f>
        <v>T44</v>
      </c>
      <c r="U12" s="31" t="str">
        <f>"U"&amp;COUNTA($A:$A)</f>
        <v>U44</v>
      </c>
      <c r="V12" s="31" t="str">
        <f>"V"&amp;COUNTA($A:$A)</f>
        <v>V44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this.l('Model'),headerTooltip: this.l('Model'),field: 'model',flex: 1},
			{headerName: this.l('Lot No'),headerTooltip: this.l('Lot No'),field: 'lotNo',flex: 1},
			{headerName: this.l('No In Lot'),headerTooltip: this.l('No In Lot'),field: 'noInLot',flex: 1},
			{headerName: this.l('Grade'),headerTooltip: this.l('Grade'),field: 'grade',flex: 1},
			{headerName: this.l('Body No'),headerTooltip: this.l('Body No'),field: 'bodyNo',flex: 1},
			{headerName: this.l('Color'),headerTooltip: this.l('Color'),field: 'color',flex: 1},
			{headerName: this.l('A In Date Actual'),headerTooltip: this.l('A In Date Actual'),field: 'aInDateActual',valueGetter: (params) =&gt; this.pipe.transform(params.data?.aInDateActual, 'dd/MM/yyyy'),flex: 1},
			{headerName: this.l('A Out Date Actual'),headerTooltip: this.l('A Out Date Actual'),field: 'aOutDateActual',valueGetter: (params) =&gt; this.pipe.transform(params.data?.aOutDateActual, 'dd/MM/yyyy'),flex: 1},
			{headerName: this.l('A In Plan Datetime'),headerTooltip: this.l('A In Plan Datetime'),field: 'aInPlanDatetime',valueGetter: (params) =&gt; this.pipe.transform(params.data?.aInPlanDatetime, 'dd/MM/yyyy'),flex: 1},
			{headerName: this.l('A Out Plan Datetime'),headerTooltip: this.l('A Out Plan Datetime'),field: 'aOutPlanDatetime',valueGetter: (params) =&gt; this.pipe.transform(params.data?.aOutPlanDatetime, 'dd/MM/yyyy'),flex: 1},
			{headerName: this.l('Sequence No'),headerTooltip: this.l('Sequence No'),field: 'sequenceNo',flex: 1},
			{headerName: this.l('Is Start'),headerTooltip: this.l('Is Start'),field: 'isStart',flex: 1},
			{headerName: this.l('Vehicle Id'),headerTooltip: this.l('Vehicle Id'),field: 'vehicleId',flex: 1},
			{headerName: this.l('Cfc'),headerTooltip: this.l('Cfc'),field: 'cfc',flex: 1},
			{headerName: this.l('Vin No'),headerTooltip: this.l('Vin No'),field: 'vinNo',flex: 1},
			{headerName: this.l('Engine Id'),headerTooltip: this.l('Engine Id'),field: 'engineId',flex: 1},
			{headerName: this.l('Trans Id'),headerTooltip: this.l('Trans Id'),field: 'transId',flex: 1},
			{headerName: this.l('Sales Sfx'),headerTooltip: this.l('Sales Sfx'),field: 'salesSfx',flex: 1},
			{headerName: this.l('Color Type'),headerTooltip: this.l('Color Type'),field: 'colorType',flex: 1},
			{headerName: this.l('Indent Line'),headerTooltip: this.l('Indent Line'),field: 'indentLine',flex: 1},
			{headerName: this.l('Ss No'),headerTooltip: this.l('Ss No'),field: 'ssNo',flex: 1},
			{headerName: this.l('Ed Number'),headerTooltip: this.l('Ed Number'),field: 'edNumber',flex: 1},
			{headerName: this.l('Goshi Car'),headerTooltip: this.l('Goshi Car'),field:  'goshiCar', cellClass: ['text-center'], width: 120, cellRenderer: 'agCellButtonComponent',
buttonDefTwo: { text: params =&gt; (params.data?.'goshiCar' == 'Y') ? 'Active' : 'Inactive',iconName: 'fa fa-circle',className: params =&gt; (params.data?.'goshiCar' == 'Y') ? 'btnActive' : 'btnInActive',},}
			{headerName: this.l('Lineoff Datetime'),headerTooltip: this.l('Lineoff Datetime'),field: 'lineoffDatetime',valueGetter: (params) =&gt; this.pipe.transform(params.data?.lineoffDatetime, 'dd/MM/yyyy'),flex: 1},
			{headerName: this.l('Lineoff Date'),headerTooltip: this.l('Lineoff Date'),field: 'lineoffDate',valueGetter: (params) =&gt; this.pipe.transform(params.data?.lineoffDate, 'dd/MM/yyyy'),flex: 1},
			{headerName: this.l('Lineoff Time'),headerTooltip: this.l('Lineoff Time'),field: 'lineoffTime',valueGetter: (params) =&gt; this.pipe.transform(params.data?.lineoffTime, 'dd/MM/yyyy'),flex: 1},
			{headerName: this.l('Pdi Datetime'),headerTooltip: this.l('Pdi Datetime'),field: 'pdiDatetime',valueGetter: (params) =&gt; this.pipe.transform(params.data?.pdiDatetime, 'dd/MM/yyyy'),flex: 1},
			{headerName: this.l('Pdi Date'),headerTooltip: this.l('Pdi Date'),field: 'pdiDate',valueGetter: (params) =&gt; this.pipe.transform(params.data?.pdiDate, 'dd/MM/yyyy'),flex: 1},
			{headerName: this.l('Pdi Time'),headerTooltip: this.l('Pdi Time'),field: 'pdiTime',valueGetter: (params) =&gt; this.pipe.transform(params.data?.pdiTime, 'dd/MM/yyyy'),flex: 1},
			{headerName: this.l('Assembly Id'),headerTooltip: this.l('Assembly Id'),field: 'assemblyId',flex: 1},</v>
      </c>
      <c r="I13" s="38" t="str">
        <f ca="1">TEXTJOIN2("
",TRUE,INDIRECT(I11):INDIRECT(I12))</f>
        <v xml:space="preserve">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type='text' [placeholder]="l('A In Date Actual')" [(ngModel)]='aInDateActual' 
									name='aInDateActual'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[placeholder]="l('A Out Date Actual')" [(ngModel)]='aOutDateActual' 
									name='aOutDateActual'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[placeholder]="l('A In Plan Datetime')" [(ngModel)]='aInPlanDatetime' 
									name='aInPlanDatetime'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[placeholder]="l('A Out Plan Datetime')" [(ngModel)]='aOutPlanDatetime' 
									name='aOutPlanDatetime'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[(ngModel)]='sequenceNo' name='sequenceNo'
									class='form-control' [placeholder]="l('Sequence No')"
									type='text' (keyup.enter)='searchDatas()'&gt;
								&lt;/div&gt;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[(ngModel)]='vinNo' name='vinNo'
									class='form-control' [placeholder]="l('Vin No')"
									type='text' (keyup.enter)='searchDatas()'&gt;
								&lt;/div&gt;
								&lt;div class='input-search'&gt;
									&lt;input [(ngModel)]='engineId' name='engineId'
									class='form-control' [placeholder]="l('Engine Id')"
									type='text' (keyup.enter)='searchDatas()'&gt;
								&lt;/div&gt;
								&lt;div class='input-search'&gt;
									&lt;input [(ngModel)]='transId' name='transId'
									class='form-control' [placeholder]="l('Trans Id')"
									type='text' (keyup.enter)='searchDatas()'&gt;
								&lt;/div&gt;
								&lt;div class='input-search'&gt;
									&lt;input [(ngModel)]='salesSfx' name='salesSfx'
									class='form-control' [placeholder]="l('Sales Sfx')"
									type='text' (keyup.enter)='searchDatas()'&gt;
								&lt;/div&gt;
								&lt;div class='input-search'&gt;
									&lt;input [(ngModel)]='colorType' name='colorType'
									class='form-control' [placeholder]="l('Color Type')"
									type='text' (keyup.enter)='searchDatas()'&gt;
								&lt;/div&gt;
								&lt;div class='input-search'&gt;
									&lt;input [(ngModel)]='indentLine' name='indentLine'
									class='form-control' [placeholder]="l('Indent Line')"
									type='text' (keyup.enter)='searchDatas()'&gt;
								&lt;/div&gt;
								&lt;div class='input-search'&gt;
									&lt;input [(ngModel)]='ssNo' name='ssNo'
									class='form-control' [placeholder]="l('Ss No')"
									type='text' (keyup.enter)='searchDatas()'&gt;
								&lt;/div&gt;
								&lt;div class='input-search'&gt;
									&lt;input [(ngModel)]='edNumber' name='edNumber'
									class='form-control' [placeholder]="l('Ed Number')"
									type='text' (keyup.enter)='searchDatas()'&gt;
								&lt;/div&gt;
								&lt;div class='input-search'&gt;
									&lt;input [(ngModel)]='goshiCar' name='goshiCar'
									class='form-control' [placeholder]="l('Goshi Car')"
									type='text' (keyup.enter)='searchDatas()'&gt;
								&lt;/div&gt;
								&lt;div class='input-search'&gt;
									&lt;input type='text' [placeholder]="l('Lineoff Datetime')" [(ngModel)]='lineoffDatetime' 
									name='lineoffDatetime'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[placeholder]="l('Lineoff Date')" [(ngModel)]='lineoffDate' 
									name='lineoffDate'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[placeholder]="l('Lineoff Time')" [(ngModel)]='lineoffTime' 
									name='lineoffTime'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[placeholder]="l('Pdi Datetime')" [(ngModel)]='pdiDatetime' 
									name='pdiDatetime'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[placeholder]="l('Pdi Date')" [(ngModel)]='pdiDate' 
									name='pdiDate'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[placeholder]="l('Pdi Time')" [(ngModel)]='pdiTime' 
									name='pdiTime' (keydown)='searchDatas()' class='form-control' 
									bsDatepicker #d='bsDatepicker' placement='bottom left'&gt;
									&lt;i class='fa fa-calendar-alt' (click)='d.toggle()'&gt;&lt;/i&gt;
								&lt;/div&gt;
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title'&gt;No In Lot&lt;/label&gt;
						&lt;input type='number' class='col-md-10 form-control input-text' name='NoInLot' [(ngModel)]='rowdata.noInLot'&gt;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title'&gt;A In Date Actual&lt;/label&gt;
						&lt;input type='text' class='col-md-10 form-control input-text' name='aInDateActual' 
						#datepicker='bsDatepicker' [(ngModel)]='rowdata.aInDateActual'  bsDatepicker &gt;
					&lt;/div&gt;
					&lt;div class='col-md-12 form-group row'&gt;
						&lt;label class='col-md-2 form-control title'&gt;A Out Date Actual&lt;/label&gt;
						&lt;input type='text' class='col-md-10 form-control input-text' name='aOutDateActual' 
						#datepicker='bsDatepicker' [(ngModel)]='rowdata.aOutDateActual'  bsDatepicker &gt;
					&lt;/div&gt;
					&lt;div class='col-md-12 form-group row'&gt;
						&lt;label class='col-md-2 form-control title'&gt;A In Plan Datetime&lt;/label&gt;
						&lt;input type='text' class='col-md-10 form-control input-text' name='aInPlanDatetime' 
						#datepicker='bsDatepicker' [(ngModel)]='rowdata.aInPlanDatetime'  bsDatepicker &gt;
					&lt;/div&gt;
					&lt;div class='col-md-12 form-group row'&gt;
						&lt;label class='col-md-2 form-control title'&gt;A Out Plan Datetime&lt;/label&gt;
						&lt;input type='text' class='col-md-10 form-control input-text' name='aOutPlanDatetime' 
						#datepicker='bsDatepicker' [(ngModel)]='rowdata.aOutPlanDatetime'  bsDatepicker &gt;
					&lt;/div&gt;
					&lt;div class='col-md-12 form-group row'&gt;
						&lt;label class='col-md-2 form-control title'&gt;Sequence No&lt;/label&gt;
						&lt;input type='text' class='col-md-10 form-control input-text' name='SequenceNo' [(ngModel)]='rowdata.sequenceNo'&gt;
					&lt;/div&gt;
					&lt;div class='col-md-12 form-group row'&gt;
						&lt;label class='col-md-2 form-control title'&gt;Is Start&lt;/label&gt;
						&lt;input type='number' class='col-md-10 form-control input-text' name='IsStart' [(ngModel)]='rowdata.isStart'&gt;
					&lt;/div&gt;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title'&gt;Vin No&lt;/label&gt;
						&lt;input type='text' class='col-md-10 form-control input-text' name='VinNo' [(ngModel)]='rowdata.vinNo'&gt;
					&lt;/div&gt;
					&lt;div class='col-md-12 form-group row'&gt;
						&lt;label class='col-md-2 form-control title'&gt;Engine Id&lt;/label&gt;
						&lt;input type='text' class='col-md-10 form-control input-text' name='EngineId' [(ngModel)]='rowdata.engineId'&gt;
					&lt;/div&gt;
					&lt;div class='col-md-12 form-group row'&gt;
						&lt;label class='col-md-2 form-control title'&gt;Trans Id&lt;/label&gt;
						&lt;input type='text' class='col-md-10 form-control input-text' name='TransId' [(ngModel)]='rowdata.transId'&gt;
					&lt;/div&gt;
					&lt;div class='col-md-12 form-group row'&gt;
						&lt;label class='col-md-2 form-control title'&gt;Sales Sfx&lt;/label&gt;
						&lt;input type='text' class='col-md-10 form-control input-text' name='SalesSfx' [(ngModel)]='rowdata.salesSfx'&gt;
					&lt;/div&gt;
					&lt;div class='col-md-12 form-group row'&gt;
						&lt;label class='col-md-2 form-control title'&gt;Color Type&lt;/label&gt;
						&lt;input type='text' class='col-md-10 form-control input-text' name='ColorType' [(ngModel)]='rowdata.colorType'&gt;
					&lt;/div&gt;
					&lt;div class='col-md-12 form-group row'&gt;
						&lt;label class='col-md-2 form-control title'&gt;Indent Line&lt;/label&gt;
						&lt;input type='text' class='col-md-10 form-control input-text' name='IndentLine' [(ngModel)]='rowdata.indentLine'&gt;
					&lt;/div&gt;
					&lt;div class='col-md-12 form-group row'&gt;
						&lt;label class='col-md-2 form-control title'&gt;Ss No&lt;/label&gt;
						&lt;input type='text' class='col-md-10 form-control input-text' name='SsNo' [(ngModel)]='rowdata.ssNo'&gt;
					&lt;/div&gt;
					&lt;div class='col-md-12 form-group row'&gt;
						&lt;label class='col-md-2 form-control title'&gt;Ed Number&lt;/label&gt;
						&lt;input type='text' class='col-md-10 form-control input-text' name='EdNumber' [(ngModel)]='rowdata.edNumber'&gt;
					&lt;/div&gt;
					&lt;div class='col-md-12 form-group row'&gt;
						&lt;label class='col-md-2 form-control title'&gt;Goshi Car&lt;/label&gt;
						&lt;new-checkbox [(ngModel)]='_goshiCar' name='goshiCar' className='col-md-10' &gt; &lt;/new-checkbox&gt;
					&lt;/div&gt;
					&lt;div class='col-md-12 form-group row'&gt;
						&lt;label class='col-md-2 form-control title'&gt;Lineoff Datetime&lt;/label&gt;
						&lt;input type='text' class='col-md-10 form-control input-text' name='lineoffDatetime' 
						#datepicker='bsDatepicker' [(ngModel)]='rowdata.lineoffDatetime'  bsDatepicker &gt;
					&lt;/div&gt;
					&lt;div class='col-md-12 form-group row'&gt;
						&lt;label class='col-md-2 form-control title'&gt;Lineoff Date&lt;/label&gt;
						&lt;input type='text' class='col-md-10 form-control input-text' name='lineoffDate' 
						#datepicker='bsDatepicker' [(ngModel)]='rowdata.lineoffDate'  bsDatepicker &gt;
					&lt;/div&gt;
					&lt;div class='col-md-12 form-group row'&gt;
						&lt;label class='col-md-2 form-control title'&gt;Lineoff Time&lt;/label&gt;
						&lt;input type='text' class='col-md-10 form-control input-text' name='lineoffTime' 
						#datepicker='bsDatepicker' [(ngModel)]='rowdata.lineoffTime'  bsDatepicker &gt;
					&lt;/div&gt;
					&lt;div class='col-md-12 form-group row'&gt;
						&lt;label class='col-md-2 form-control title'&gt;Pdi Datetime&lt;/label&gt;
						&lt;input type='text' class='col-md-10 form-control input-text' name='pdiDatetime' 
						#datepicker='bsDatepicker' [(ngModel)]='rowdata.pdiDatetime'  bsDatepicker &gt;
					&lt;/div&gt;
					&lt;div class='col-md-12 form-group row'&gt;
						&lt;label class='col-md-2 form-control title'&gt;Pdi Date&lt;/label&gt;
						&lt;input type='text' class='col-md-10 form-control input-text' name='pdiDate' 
						#datepicker='bsDatepicker' [(ngModel)]='rowdata.pdiDate'  bsDatepicker &gt;
					&lt;/div&gt;
					&lt;div class='col-md-12 form-group row'&gt;
						&lt;label class='col-md-2 form-control title'&gt;Pdi Time&lt;/label&gt;
						&lt;input type='text' class='col-md-10 form-control input-text' name='pdiTime' 
						#datepicker='bsDatepicker' [(ngModel)]='rowdata.pdiTime'  bsDatepicker &gt;
					&lt;/div&gt;
</v>
      </c>
      <c r="L13" s="60" t="str">
        <f ca="1">TEXTJOIN2("
",TRUE,INDIRECT(L11):INDIRECT(L12))</f>
        <v xml:space="preserve">		const dateValue =  this.rowdata.aInDateActual ? new Date(this.rowdata.aInDateActual?.toString()) : new Date();
		this.datepicker?.bsValueChange.emit(dateValue);
		const dateValue =  this.rowdata.aOutDateActual ? new Date(this.rowdata.aOutDateActual?.toString()) : new Date();
		this.datepicker?.bsValueChange.emit(dateValue);
		const dateValue =  this.rowdata.aInPlanDatetime ? new Date(this.rowdata.aInPlanDatetime?.toString()) : new Date();
		this.datepicker?.bsValueChange.emit(dateValue);
		const dateValue =  this.rowdata.aOutPlanDatetime ? new Date(this.rowdata.aOutPlanDatetime?.toString()) : new Date();
		this.datepicker?.bsValueChange.emit(dateValue);
		const dateValue =  this.rowdata.lineoffDatetime ? new Date(this.rowdata.lineoffDatetime?.toString()) : new Date();
		this.datepicker?.bsValueChange.emit(dateValue);
		const dateValue =  this.rowdata.lineoffDate ? new Date(this.rowdata.lineoffDate?.toString()) : new Date();
		this.datepicker?.bsValueChange.emit(dateValue);
		const dateValue =  this.rowdata.lineoffTime ? new Date(this.rowdata.lineoffTime?.toString()) : new Date();
		this.datepicker?.bsValueChange.emit(dateValue);
		const dateValue =  this.rowdata.pdiDatetime ? new Date(this.rowdata.pdiDatetime?.toString()) : new Date();
		this.datepicker?.bsValueChange.emit(dateValue);
		const dateValue =  this.rowdata.pdiDate ? new Date(this.rowdata.pdiDate?.toString()) : new Date();
		this.datepicker?.bsValueChange.emit(dateValue);
		const dateValue =  this.rowdata.pdiTime ? new Date(this.rowdata.pdiTime?.toString())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>model : string = '' ; 
	lotNo : string = '' ; 
	noInLot : number = 0 ;
	grade : string = '' ; 
	bodyNo : string = '' ; 
	color : string = '' ; 
	aInDateActual : any ;
	aOutDateActual : any ;
	aInPlanDatetime : any ;
	aOutPlanDatetime : any ;
	sequenceNo : string = '' ; 
	isStart : number = 0 ;
	vehicleId
	cfc : string = '' ; 
	vinNo : string = '' ; 
	engineId : string = '' ; 
	transId : string = '' ; 
	salesSfx : string = '' ; 
	colorType : string = '' ; 
	indentLine : string = '' ; 
	ssNo : string = '' ; 
	edNumber : string = '' ; 
	goshiCar : string = '' ; 
	lineoffDatetime : any ;
	lineoffDate : any ;
	lineoffTime : any ;
	pdiDatetime : any ;
	pdiDate : any ;
	pdiTime : any ;
	assemblyId</v>
      </c>
      <c r="T13" s="68" t="str">
        <f ca="1">TEXTJOIN2("
",TRUE,INDIRECT(T11):INDIRECT(T12))</f>
        <v xml:space="preserve">			this.model,
			this.lotNo,
			this.noInLot,
			this.grade,
			this.bodyNo,
			this.color,
			this.aInDateActual,
			this.aOutDateActual,
			this.aInPlanDatetime,
			this.aOutPlanDatetime,
			this.sequenceNo,
			this.isStart,
			this.vehicleId,
			this.cfc,
			this.vinNo,
			this.engineId,
			this.transId,
			this.salesSfx,
			this.colorType,
			this.indentLine,
			this.ssNo,
			this.edNumber,
			this.goshiCar,
			this.lineoffDatetime,
			this.lineoffDate,
			this.lineoffTime,
			this.pdiDatetime,
			this.pdiDate,
			this.pdiTime,
			this.assemblyId,</v>
      </c>
      <c r="U13" s="68" t="str">
        <f ca="1">TEXTJOIN2("
",TRUE,INDIRECT(U11):INDIRECT(U12))</f>
        <v>this.model = '',
		this.lotNo = '',
		this.noInLot = 0,
		this.grade = '',
		this.bodyNo = '',
		this.color = '',
		this.aInDateActual = '',
		this.aOutDateActual = '',
		this.aInPlanDatetime = '',
		this.aOutPlanDatetime = '',
		this.sequenceNo = '',
		this.isStart = 0,
		this.vehicleId = '',
		this.cfc = '',
		this.vinNo = '',
		this.engineId = '',
		this.transId = '',
		this.salesSfx = '',
		this.colorType = '',
		this.indentLine = '',
		this.ssNo = '',
		this.edNumber = '',
		this.goshiCar = '',
		this.lineoffDatetime = '',
		this.lineoffDate = '',
		this.lineoffTime = '',
		this.pdiDatetime = '',
		this.pdiDate = '',
		this.pdiTime = '',
		this.assemblyId = '',</v>
      </c>
      <c r="V13" s="31" t="str">
        <f ca="1">TEXTJOIN2("
",TRUE,INDIRECT(V11):INDIRECT(V12))</f>
        <v xml:space="preserve">goshiCar
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ainplan.component.ts</v>
      </c>
      <c r="I14" s="40" t="str">
        <f>B8&amp;".component.html"</f>
        <v>ainplan.component.html</v>
      </c>
      <c r="J14" s="39" t="str">
        <f>B8&amp;".component.less"</f>
        <v>ainplan.component.less</v>
      </c>
      <c r="K14" s="40" t="str">
        <f>"create-or-edit-"&amp;B8&amp;"-modal.component.html"</f>
        <v>create-or-edit-ainplan-modal.component.html</v>
      </c>
      <c r="L14" s="40" t="str">
        <f>"create-or-edit-"&amp;B8&amp;"-modal.component.ts"</f>
        <v>create-or-edit-ainplan-modal.component.ts</v>
      </c>
      <c r="M14" s="40" t="str">
        <f>"create-or-edit-"&amp;B8&amp;"-modal.component.less"</f>
        <v>create-or-edit-ainplan-modal.component.less</v>
      </c>
      <c r="N14" s="40" t="str">
        <f>B8&amp;".module.ts"</f>
        <v>ainplan.module.ts</v>
      </c>
      <c r="O14" s="40" t="str">
        <f>B8&amp;"-routing.module.ts"</f>
        <v>ainplan-routing.module.ts</v>
      </c>
      <c r="P14" s="40" t="s">
        <v>222</v>
      </c>
      <c r="Q14" s="40" t="s">
        <v>225</v>
      </c>
      <c r="R14" s="41" t="s">
        <v>232</v>
      </c>
      <c r="S14" s="40" t="s">
        <v>252</v>
      </c>
      <c r="T14" s="40" t="s">
        <v>253</v>
      </c>
      <c r="U14" s="40" t="s">
        <v>256</v>
      </c>
      <c r="V14" s="40" t="s">
        <v>265</v>
      </c>
    </row>
    <row r="15" spans="1:22" ht="18" customHeight="1" x14ac:dyDescent="0.25">
      <c r="A15" s="44" t="s">
        <v>272</v>
      </c>
      <c r="B15" s="31" t="str">
        <f>SUBSTITUTE(PROPER(A15),"_","")</f>
        <v>Model</v>
      </c>
      <c r="C15" s="31" t="str">
        <f>SUBSTITUTE(PROPER(A15),"_"," ")</f>
        <v>Model</v>
      </c>
      <c r="D15" s="31" t="str">
        <f>LOWER(LEFT(B15,1))&amp;RIGHT(B15,LEN(B15) - 1)</f>
        <v>model</v>
      </c>
      <c r="E15" s="31" t="str">
        <f>A.Backend!H9</f>
        <v>string</v>
      </c>
      <c r="F15" s="31" t="str">
        <f>A.Backend!G9</f>
        <v>20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this.l('Model'),headerTooltip: this.l('Model'),field: 'model',flex: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[(ngModel)]='model' name='model'
									class='form-control' [placeholder]="l('Model')"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title'&gt;Model&lt;/label&gt;
						&lt;input type='text' class='col-md-10 form-control input-text' name='Model' [(ngModel)]='rowdata.model'&gt;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model : string = '' ; </v>
      </c>
      <c r="T15" s="31" t="str">
        <f>REPT(CHAR(9),3)&amp;"this."&amp;D15&amp;","</f>
        <v xml:space="preserve">			this.model,</v>
      </c>
      <c r="U15" s="31" t="str">
        <f>IF(E15="int","this."&amp;D15&amp;" = 0,","this."&amp;D15&amp;" = '',")</f>
        <v>this.model = '',</v>
      </c>
      <c r="V15" s="31" t="str">
        <f>IF(AND(E15="string",F15="1"),D15,"")</f>
        <v/>
      </c>
    </row>
    <row r="16" spans="1:22" ht="15" customHeight="1" x14ac:dyDescent="0.25">
      <c r="A16" s="44" t="s">
        <v>276</v>
      </c>
      <c r="B16" s="31" t="str">
        <f t="shared" ref="B16:B17" si="0">SUBSTITUTE(PROPER(A16),"_","")</f>
        <v>LotNo</v>
      </c>
      <c r="C16" s="31" t="str">
        <f t="shared" ref="C16:C17" si="1">SUBSTITUTE(PROPER(A16),"_"," ")</f>
        <v>Lot No</v>
      </c>
      <c r="D16" s="31" t="str">
        <f t="shared" ref="D16:D17" si="2">LOWER(LEFT(B16,1))&amp;RIGHT(B16,LEN(B16) - 1)</f>
        <v>lotNo</v>
      </c>
      <c r="E16" s="31" t="str">
        <f>A.Backend!H10</f>
        <v>string</v>
      </c>
      <c r="F16" s="31" t="str">
        <f>A.Backend!G10</f>
        <v>20</v>
      </c>
      <c r="G16" s="31" t="str">
        <f t="shared" ref="G16:G25" si="3">IF(E16="string"," : string = '' ; ",IF(OR(E16="DateTime",E16="TimeSpan")," : any ;",IF(E16="int"," : number = 0 ;","")))</f>
        <v xml:space="preserve"> : string = '' ; </v>
      </c>
      <c r="H16" s="38" t="str">
        <f t="shared" ref="H16:H25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this.l('Lot No'),headerTooltip: this.l('Lot No'),field: 'lotNo',flex: 1},</v>
      </c>
      <c r="I16" s="38" t="str">
        <f t="shared" ref="I16:I25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[(ngModel)]='lotNo' name='lotNo'
									class='form-control' [placeholder]="l('Lot No')"
									type='text' (keyup.enter)='searchDatas()'&gt;
								&lt;/div&gt;</v>
      </c>
      <c r="J16" s="31"/>
      <c r="K16" s="38" t="str">
        <f t="shared" ref="K16:K25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title'&gt;Lot No&lt;/label&gt;
						&lt;input type='text' class='col-md-10 form-control input-text' name='LotNo' [(ngModel)]='rowdata.lotNo'&gt;
					&lt;/div&gt;</v>
      </c>
      <c r="L16" s="60" t="str">
        <f t="shared" ref="L16:L25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lotNo : string = '' ; </v>
      </c>
      <c r="T16" s="31" t="str">
        <f>REPT(CHAR(9),3)&amp;"this."&amp;D16&amp;","</f>
        <v xml:space="preserve">			this.lotNo,</v>
      </c>
      <c r="U16" s="31" t="str">
        <f>IF(E16="int",REPT(CHAR(9),2)&amp;"this."&amp;D16&amp;" = 0,",REPT(CHAR(9),2)&amp;"this."&amp;D16&amp;" = '',")</f>
        <v xml:space="preserve">		this.lotNo = '',</v>
      </c>
      <c r="V16" s="31" t="str">
        <f t="shared" ref="V16:V25" si="8">IF(AND(E16="string",F16="1"),D16,"")</f>
        <v/>
      </c>
    </row>
    <row r="17" spans="1:22" ht="18" customHeight="1" x14ac:dyDescent="0.25">
      <c r="A17" s="44" t="s">
        <v>277</v>
      </c>
      <c r="B17" s="31" t="str">
        <f t="shared" si="0"/>
        <v>NoInLot</v>
      </c>
      <c r="C17" s="31" t="str">
        <f t="shared" si="1"/>
        <v>No In Lot</v>
      </c>
      <c r="D17" s="31" t="str">
        <f t="shared" si="2"/>
        <v>noInLot</v>
      </c>
      <c r="E17" s="31" t="str">
        <f>A.Backend!H11</f>
        <v>int</v>
      </c>
      <c r="F17" s="31" t="str">
        <f>A.Backend!G11</f>
        <v/>
      </c>
      <c r="G17" s="31" t="str">
        <f t="shared" si="3"/>
        <v xml:space="preserve"> : number = 0 ;</v>
      </c>
      <c r="H17" s="38" t="str">
        <f t="shared" si="4"/>
        <v xml:space="preserve">			{headerName: this.l('No In Lot'),headerTooltip: this.l('No In Lot'),field: 'noInLot',flex: 1},</v>
      </c>
      <c r="I17" s="38" t="str">
        <f t="shared" si="5"/>
        <v/>
      </c>
      <c r="J17" s="31"/>
      <c r="K17" s="38" t="str">
        <f t="shared" si="6"/>
        <v xml:space="preserve">					&lt;div class='col-md-12 form-group row'&gt;
						&lt;label class='col-md-2 form-control title'&gt;No In Lot&lt;/label&gt;
						&lt;input type='number' class='col-md-10 form-control input-text' name='NoInLot' [(ngModel)]='rowdata.noInLot'&gt;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20" si="9">REPT(CHAR(9),1)&amp;D17&amp;G17</f>
        <v xml:space="preserve">	noInLot : number = 0 ;</v>
      </c>
      <c r="T17" s="31" t="str">
        <f t="shared" ref="T17:T20" si="10">REPT(CHAR(9),3)&amp;"this."&amp;D17&amp;","</f>
        <v xml:space="preserve">			this.noInLot,</v>
      </c>
      <c r="U17" s="31" t="str">
        <f t="shared" ref="U17:U20" si="11">IF(E17="int",REPT(CHAR(9),2)&amp;"this."&amp;D17&amp;" = 0,",REPT(CHAR(9),2)&amp;"this."&amp;D17&amp;" = '',")</f>
        <v xml:space="preserve">		this.noInLot = 0,</v>
      </c>
      <c r="V17" s="31" t="str">
        <f t="shared" si="8"/>
        <v/>
      </c>
    </row>
    <row r="18" spans="1:22" ht="18" customHeight="1" x14ac:dyDescent="0.25">
      <c r="A18" s="44" t="s">
        <v>274</v>
      </c>
      <c r="B18" s="31" t="str">
        <f>SUBSTITUTE(PROPER(A18),"_","")</f>
        <v>Grade</v>
      </c>
      <c r="C18" s="31" t="str">
        <f>SUBSTITUTE(PROPER(A18),"_"," ")</f>
        <v>Grade</v>
      </c>
      <c r="D18" s="31" t="str">
        <f>LOWER(LEFT(B18,1))&amp;RIGHT(B18,LEN(B18) - 1)</f>
        <v>grade</v>
      </c>
      <c r="E18" s="31" t="str">
        <f>A.Backend!H12</f>
        <v>string</v>
      </c>
      <c r="F18" s="31" t="str">
        <f>A.Backend!G12</f>
        <v>255</v>
      </c>
      <c r="G18" s="31" t="str">
        <f t="shared" si="3"/>
        <v xml:space="preserve"> : string = '' ; </v>
      </c>
      <c r="H18" s="38" t="str">
        <f t="shared" si="4"/>
        <v xml:space="preserve">			{headerName: this.l('Grade'),headerTooltip: this.l('Grade'),field: 'grade',flex: 1},</v>
      </c>
      <c r="I18" s="38" t="str">
        <f t="shared" si="5"/>
        <v xml:space="preserve">								&lt;div class='input-search'&gt;
									&lt;input [(ngModel)]='grade' name='grade'
									class='form-control' [placeholder]="l('Grade')"
									type='text' (keyup.enter)='searchDatas()'&gt;
								&lt;/div&gt;</v>
      </c>
      <c r="J18" s="31"/>
      <c r="K18" s="38" t="str">
        <f t="shared" si="6"/>
        <v xml:space="preserve">					&lt;div class='col-md-12 form-group row'&gt;
						&lt;label class='col-md-2 form-control title'&gt;Grade&lt;/label&gt;
						&lt;input type='text' class='col-md-10 form-control input-text' name='Grade' [(ngModel)]='rowdata.grade'&gt;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9"/>
        <v xml:space="preserve">	grade : string = '' ; </v>
      </c>
      <c r="T18" s="31" t="str">
        <f t="shared" si="10"/>
        <v xml:space="preserve">			this.grade,</v>
      </c>
      <c r="U18" s="31" t="str">
        <f t="shared" si="11"/>
        <v xml:space="preserve">		this.grade = '',</v>
      </c>
      <c r="V18" s="31" t="str">
        <f t="shared" si="8"/>
        <v/>
      </c>
    </row>
    <row r="19" spans="1:22" ht="15" customHeight="1" x14ac:dyDescent="0.25">
      <c r="A19" s="44" t="s">
        <v>275</v>
      </c>
      <c r="B19" s="31" t="str">
        <f t="shared" ref="B19:B22" si="12">SUBSTITUTE(PROPER(A19),"_","")</f>
        <v>BodyNo</v>
      </c>
      <c r="C19" s="31" t="str">
        <f t="shared" ref="C19:C22" si="13">SUBSTITUTE(PROPER(A19),"_"," ")</f>
        <v>Body No</v>
      </c>
      <c r="D19" s="31" t="str">
        <f t="shared" ref="D19:D22" si="14">LOWER(LEFT(B19,1))&amp;RIGHT(B19,LEN(B19) - 1)</f>
        <v>bodyNo</v>
      </c>
      <c r="E19" s="31" t="str">
        <f>A.Backend!H13</f>
        <v>string</v>
      </c>
      <c r="F19" s="31" t="str">
        <f>A.Backend!G13</f>
        <v>10</v>
      </c>
      <c r="G19" s="31" t="str">
        <f t="shared" si="3"/>
        <v xml:space="preserve"> : string = '' ; </v>
      </c>
      <c r="H19" s="38" t="str">
        <f t="shared" si="4"/>
        <v xml:space="preserve">			{headerName: this.l('Body No'),headerTooltip: this.l('Body No'),field: 'bodyNo',flex: 1},</v>
      </c>
      <c r="I19" s="38" t="str">
        <f t="shared" si="5"/>
        <v xml:space="preserve">								&lt;div class='input-search'&gt;
									&lt;input [(ngModel)]='bodyNo' name='bodyNo'
									class='form-control' [placeholder]="l('Body No')"
									type='text' (keyup.enter)='searchDatas()'&gt;
								&lt;/div&gt;</v>
      </c>
      <c r="J19" s="31"/>
      <c r="K19" s="38" t="str">
        <f t="shared" si="6"/>
        <v xml:space="preserve">					&lt;div class='col-md-12 form-group row'&gt;
						&lt;label class='col-md-2 form-control title'&gt;Body No&lt;/label&gt;
						&lt;input type='text' class='col-md-10 form-control input-text' name='BodyNo' [(ngModel)]='rowdata.bodyNo'&gt;
					&lt;/div&gt;</v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 t="shared" si="9"/>
        <v xml:space="preserve">	bodyNo : string = '' ; </v>
      </c>
      <c r="T19" s="31" t="str">
        <f t="shared" si="10"/>
        <v xml:space="preserve">			this.bodyNo,</v>
      </c>
      <c r="U19" s="31" t="str">
        <f t="shared" si="11"/>
        <v xml:space="preserve">		this.bodyNo = '',</v>
      </c>
      <c r="V19" s="31" t="str">
        <f t="shared" si="8"/>
        <v/>
      </c>
    </row>
    <row r="20" spans="1:22" ht="18" customHeight="1" x14ac:dyDescent="0.25">
      <c r="A20" s="44" t="s">
        <v>278</v>
      </c>
      <c r="B20" s="31" t="str">
        <f t="shared" si="12"/>
        <v>Color</v>
      </c>
      <c r="C20" s="31" t="str">
        <f t="shared" si="13"/>
        <v>Color</v>
      </c>
      <c r="D20" s="31" t="str">
        <f t="shared" si="14"/>
        <v>color</v>
      </c>
      <c r="E20" s="31" t="str">
        <f>A.Backend!H14</f>
        <v>string</v>
      </c>
      <c r="F20" s="31" t="str">
        <f>A.Backend!G14</f>
        <v>10</v>
      </c>
      <c r="G20" s="31" t="str">
        <f t="shared" si="3"/>
        <v xml:space="preserve"> : string = '' ; </v>
      </c>
      <c r="H20" s="38" t="str">
        <f t="shared" si="4"/>
        <v xml:space="preserve">			{headerName: this.l('Color'),headerTooltip: this.l('Color'),field: 'color',flex: 1},</v>
      </c>
      <c r="I20" s="38" t="str">
        <f t="shared" si="5"/>
        <v xml:space="preserve">								&lt;div class='input-search'&gt;
									&lt;input [(ngModel)]='color' name='color'
									class='form-control' [placeholder]="l('Color')"
									type='text' (keyup.enter)='searchDatas()'&gt;
								&lt;/div&gt;</v>
      </c>
      <c r="J20" s="31"/>
      <c r="K20" s="38" t="str">
        <f t="shared" si="6"/>
        <v xml:space="preserve">					&lt;div class='col-md-12 form-group row'&gt;
						&lt;label class='col-md-2 form-control title'&gt;Color&lt;/label&gt;
						&lt;input type='text' class='col-md-10 form-control input-text' name='Color' [(ngModel)]='rowdata.color'&gt;
					&lt;/div&gt;</v>
      </c>
      <c r="L20" s="60" t="str">
        <f t="shared" si="7"/>
        <v/>
      </c>
      <c r="M20" s="31"/>
      <c r="N20" s="31"/>
      <c r="O20" s="31"/>
      <c r="P20" s="31"/>
      <c r="Q20" s="31"/>
      <c r="R20" s="31"/>
      <c r="S20" s="31" t="str">
        <f t="shared" si="9"/>
        <v xml:space="preserve">	color : string = '' ; </v>
      </c>
      <c r="T20" s="31" t="str">
        <f t="shared" si="10"/>
        <v xml:space="preserve">			this.color,</v>
      </c>
      <c r="U20" s="31" t="str">
        <f t="shared" si="11"/>
        <v xml:space="preserve">		this.color = '',</v>
      </c>
      <c r="V20" s="31" t="str">
        <f t="shared" si="8"/>
        <v/>
      </c>
    </row>
    <row r="21" spans="1:22" ht="15" customHeight="1" x14ac:dyDescent="0.25">
      <c r="A21" s="44" t="s">
        <v>283</v>
      </c>
      <c r="B21" s="31" t="str">
        <f t="shared" si="12"/>
        <v>AInDateActual</v>
      </c>
      <c r="C21" s="31" t="str">
        <f t="shared" si="13"/>
        <v>A In Date Actual</v>
      </c>
      <c r="D21" s="31" t="str">
        <f t="shared" si="14"/>
        <v>aInDateActual</v>
      </c>
      <c r="E21" s="31" t="str">
        <f>A.Backend!H15</f>
        <v>DateTime</v>
      </c>
      <c r="F21" s="31" t="str">
        <f>A.Backend!G15</f>
        <v>7</v>
      </c>
      <c r="G21" s="31" t="str">
        <f t="shared" si="3"/>
        <v xml:space="preserve"> : any ;</v>
      </c>
      <c r="H21" s="38" t="str">
        <f t="shared" si="4"/>
        <v xml:space="preserve">			{headerName: this.l('A In Date Actual'),headerTooltip: this.l('A In Date Actual'),field: 'aInDateActual',valueGetter: (params) =&gt; this.pipe.transform(params.data?.aInDateActual, 'dd/MM/yyyy'),flex: 1},</v>
      </c>
      <c r="I21" s="38" t="str">
        <f t="shared" si="5"/>
        <v xml:space="preserve">								&lt;div class='input-search'&gt;
									&lt;input type='text' [placeholder]="l('A In Date Actual')" [(ngModel)]='aInDateActual' 
									name='aInDateActual' (keydown)='searchDatas()' class='form-control' 
									bsDatepicker #d='bsDatepicker' placement='bottom left'&gt;
									&lt;i class='fa fa-calendar-alt' (click)='d.toggle()'&gt;&lt;/i&gt;
								&lt;/div&gt;</v>
      </c>
      <c r="J21" s="31"/>
      <c r="K21" s="38" t="str">
        <f t="shared" si="6"/>
        <v xml:space="preserve">					&lt;div class='col-md-12 form-group row'&gt;
						&lt;label class='col-md-2 form-control title'&gt;A In Date Actual&lt;/label&gt;
						&lt;input type='text' class='col-md-10 form-control input-text' name='aInDateActual' 
						#datepicker='bsDatepicker' [(ngModel)]='rowdata.aInDateActual'  bsDatepicker &gt;
					&lt;/div&gt;</v>
      </c>
      <c r="L21" s="60" t="str">
        <f t="shared" si="7"/>
        <v xml:space="preserve">		const dateValue =  this.rowdata.aInDateActual ? new Date(this.rowdata.aInDateActual?.toString()) : new Date();
		this.datepicker?.bsValueChange.emit(dateValue);</v>
      </c>
      <c r="M21" s="31"/>
      <c r="N21" s="31"/>
      <c r="O21" s="31"/>
      <c r="P21" s="31"/>
      <c r="Q21" s="31"/>
      <c r="R21" s="31"/>
      <c r="S21" s="31" t="str">
        <f>REPT(CHAR(9),1)&amp;D21&amp;G21</f>
        <v xml:space="preserve">	aInDateActual : any ;</v>
      </c>
      <c r="T21" s="31" t="str">
        <f>REPT(CHAR(9),3)&amp;"this."&amp;D21&amp;","</f>
        <v xml:space="preserve">			this.aInDateActual,</v>
      </c>
      <c r="U21" s="31" t="str">
        <f>IF(E21="int",REPT(CHAR(9),2)&amp;"this."&amp;D21&amp;" = 0,",REPT(CHAR(9),2)&amp;"this."&amp;D21&amp;" = '',")</f>
        <v xml:space="preserve">		this.aInDateActual = '',</v>
      </c>
      <c r="V21" s="31" t="str">
        <f t="shared" si="8"/>
        <v/>
      </c>
    </row>
    <row r="22" spans="1:22" ht="18" customHeight="1" x14ac:dyDescent="0.25">
      <c r="A22" s="44" t="s">
        <v>284</v>
      </c>
      <c r="B22" s="31" t="str">
        <f t="shared" si="12"/>
        <v>AOutDateActual</v>
      </c>
      <c r="C22" s="31" t="str">
        <f t="shared" si="13"/>
        <v>A Out Date Actual</v>
      </c>
      <c r="D22" s="31" t="str">
        <f t="shared" si="14"/>
        <v>aOutDateActual</v>
      </c>
      <c r="E22" s="31" t="str">
        <f>A.Backend!H16</f>
        <v>DateTime</v>
      </c>
      <c r="F22" s="31" t="str">
        <f>A.Backend!G16</f>
        <v>7</v>
      </c>
      <c r="G22" s="31" t="str">
        <f t="shared" si="3"/>
        <v xml:space="preserve"> : any ;</v>
      </c>
      <c r="H22" s="38" t="str">
        <f t="shared" si="4"/>
        <v xml:space="preserve">			{headerName: this.l('A Out Date Actual'),headerTooltip: this.l('A Out Date Actual'),field: 'aOutDateActual',valueGetter: (params) =&gt; this.pipe.transform(params.data?.aOutDateActual, 'dd/MM/yyyy'),flex: 1},</v>
      </c>
      <c r="I22" s="38" t="str">
        <f t="shared" si="5"/>
        <v xml:space="preserve">								&lt;div class='input-search'&gt;
									&lt;input type='text' [placeholder]="l('A Out Date Actual')" [(ngModel)]='aOutDateActual' 
									name='aOutDateActual' (keydown)='searchDatas()' class='form-control' 
									bsDatepicker #d='bsDatepicker' placement='bottom left'&gt;
									&lt;i class='fa fa-calendar-alt' (click)='d.toggle()'&gt;&lt;/i&gt;
								&lt;/div&gt;</v>
      </c>
      <c r="J22" s="31"/>
      <c r="K22" s="38" t="str">
        <f t="shared" si="6"/>
        <v xml:space="preserve">					&lt;div class='col-md-12 form-group row'&gt;
						&lt;label class='col-md-2 form-control title'&gt;A Out Date Actual&lt;/label&gt;
						&lt;input type='text' class='col-md-10 form-control input-text' name='aOutDateActual' 
						#datepicker='bsDatepicker' [(ngModel)]='rowdata.aOutDateActual'  bsDatepicker &gt;
					&lt;/div&gt;</v>
      </c>
      <c r="L22" s="60" t="str">
        <f t="shared" si="7"/>
        <v xml:space="preserve">		const dateValue =  this.rowdata.aOutDateActual ? new Date(this.rowdata.aOutDateActual?.toString()) : new Date();
		this.datepicker?.bsValueChange.emit(dateValue);</v>
      </c>
      <c r="M22" s="31"/>
      <c r="N22" s="31"/>
      <c r="O22" s="31"/>
      <c r="P22" s="31"/>
      <c r="Q22" s="31"/>
      <c r="R22" s="31"/>
      <c r="S22" s="31" t="str">
        <f t="shared" ref="S22:S25" si="15">REPT(CHAR(9),1)&amp;D22&amp;G22</f>
        <v xml:space="preserve">	aOutDateActual : any ;</v>
      </c>
      <c r="T22" s="31" t="str">
        <f t="shared" ref="T22:T25" si="16">REPT(CHAR(9),3)&amp;"this."&amp;D22&amp;","</f>
        <v xml:space="preserve">			this.aOutDateActual,</v>
      </c>
      <c r="U22" s="31" t="str">
        <f t="shared" ref="U22:U25" si="17">IF(E22="int",REPT(CHAR(9),2)&amp;"this."&amp;D22&amp;" = 0,",REPT(CHAR(9),2)&amp;"this."&amp;D22&amp;" = '',")</f>
        <v xml:space="preserve">		this.aOutDateActual = '',</v>
      </c>
      <c r="V22" s="31" t="str">
        <f t="shared" si="8"/>
        <v/>
      </c>
    </row>
    <row r="23" spans="1:22" ht="18" customHeight="1" x14ac:dyDescent="0.25">
      <c r="A23" s="44" t="s">
        <v>285</v>
      </c>
      <c r="B23" s="31" t="str">
        <f>SUBSTITUTE(PROPER(A23),"_","")</f>
        <v>AInPlanDatetime</v>
      </c>
      <c r="C23" s="31" t="str">
        <f>SUBSTITUTE(PROPER(A23),"_"," ")</f>
        <v>A In Plan Datetime</v>
      </c>
      <c r="D23" s="31" t="str">
        <f>LOWER(LEFT(B23,1))&amp;RIGHT(B23,LEN(B23) - 1)</f>
        <v>aInPlanDatetime</v>
      </c>
      <c r="E23" s="31" t="str">
        <f>A.Backend!H17</f>
        <v>DateTime</v>
      </c>
      <c r="F23" s="31" t="str">
        <f>A.Backend!G17</f>
        <v>7</v>
      </c>
      <c r="G23" s="31" t="str">
        <f t="shared" si="3"/>
        <v xml:space="preserve"> : any ;</v>
      </c>
      <c r="H23" s="38" t="str">
        <f t="shared" si="4"/>
        <v xml:space="preserve">			{headerName: this.l('A In Plan Datetime'),headerTooltip: this.l('A In Plan Datetime'),field: 'aInPlanDatetime',valueGetter: (params) =&gt; this.pipe.transform(params.data?.aInPlanDatetime, 'dd/MM/yyyy'),flex: 1},</v>
      </c>
      <c r="I23" s="38" t="str">
        <f t="shared" si="5"/>
        <v xml:space="preserve">								&lt;div class='input-search'&gt;
									&lt;input type='text' [placeholder]="l('A In Plan Datetime')" [(ngModel)]='aInPlanDatetime' 
									name='aInPlanDatetime' (keydown)='searchDatas()' class='form-control' 
									bsDatepicker #d='bsDatepicker' placement='bottom left'&gt;
									&lt;i class='fa fa-calendar-alt' (click)='d.toggle()'&gt;&lt;/i&gt;
								&lt;/div&gt;</v>
      </c>
      <c r="J23" s="31"/>
      <c r="K23" s="38" t="str">
        <f t="shared" si="6"/>
        <v xml:space="preserve">					&lt;div class='col-md-12 form-group row'&gt;
						&lt;label class='col-md-2 form-control title'&gt;A In Plan Datetime&lt;/label&gt;
						&lt;input type='text' class='col-md-10 form-control input-text' name='aInPlanDatetime' 
						#datepicker='bsDatepicker' [(ngModel)]='rowdata.aInPlanDatetime'  bsDatepicker &gt;
					&lt;/div&gt;</v>
      </c>
      <c r="L23" s="60" t="str">
        <f t="shared" si="7"/>
        <v xml:space="preserve">		const dateValue =  this.rowdata.aInPlanDatetime ? new Date(this.rowdata.aInPlanDatetime?.toString()) : new Date();
		this.datepicker?.bsValueChange.emit(dateValue);</v>
      </c>
      <c r="M23" s="31"/>
      <c r="N23" s="31"/>
      <c r="O23" s="31"/>
      <c r="P23" s="31"/>
      <c r="Q23" s="31"/>
      <c r="R23" s="31"/>
      <c r="S23" s="31" t="str">
        <f t="shared" si="15"/>
        <v xml:space="preserve">	aInPlanDatetime : any ;</v>
      </c>
      <c r="T23" s="31" t="str">
        <f t="shared" si="16"/>
        <v xml:space="preserve">			this.aInPlanDatetime,</v>
      </c>
      <c r="U23" s="31" t="str">
        <f t="shared" si="17"/>
        <v xml:space="preserve">		this.aInPlanDatetime = '',</v>
      </c>
      <c r="V23" s="31" t="str">
        <f t="shared" si="8"/>
        <v/>
      </c>
    </row>
    <row r="24" spans="1:22" ht="15" customHeight="1" x14ac:dyDescent="0.25">
      <c r="A24" s="44" t="s">
        <v>286</v>
      </c>
      <c r="B24" s="31" t="str">
        <f t="shared" ref="B24:B27" si="18">SUBSTITUTE(PROPER(A24),"_","")</f>
        <v>AOutPlanDatetime</v>
      </c>
      <c r="C24" s="31" t="str">
        <f t="shared" ref="C24:C27" si="19">SUBSTITUTE(PROPER(A24),"_"," ")</f>
        <v>A Out Plan Datetime</v>
      </c>
      <c r="D24" s="31" t="str">
        <f t="shared" ref="D24:D27" si="20">LOWER(LEFT(B24,1))&amp;RIGHT(B24,LEN(B24) - 1)</f>
        <v>aOutPlanDatetime</v>
      </c>
      <c r="E24" s="31" t="str">
        <f>A.Backend!H18</f>
        <v>DateTime</v>
      </c>
      <c r="F24" s="31" t="str">
        <f>A.Backend!G18</f>
        <v>7</v>
      </c>
      <c r="G24" s="31" t="str">
        <f t="shared" si="3"/>
        <v xml:space="preserve"> : any ;</v>
      </c>
      <c r="H24" s="38" t="str">
        <f t="shared" si="4"/>
        <v xml:space="preserve">			{headerName: this.l('A Out Plan Datetime'),headerTooltip: this.l('A Out Plan Datetime'),field: 'aOutPlanDatetime',valueGetter: (params) =&gt; this.pipe.transform(params.data?.aOutPlanDatetime, 'dd/MM/yyyy'),flex: 1},</v>
      </c>
      <c r="I24" s="38" t="str">
        <f t="shared" si="5"/>
        <v xml:space="preserve">								&lt;div class='input-search'&gt;
									&lt;input type='text' [placeholder]="l('A Out Plan Datetime')" [(ngModel)]='aOutPlanDatetime' 
									name='aOutPlanDatetime' (keydown)='searchDatas()' class='form-control' 
									bsDatepicker #d='bsDatepicker' placement='bottom left'&gt;
									&lt;i class='fa fa-calendar-alt' (click)='d.toggle()'&gt;&lt;/i&gt;
								&lt;/div&gt;</v>
      </c>
      <c r="J24" s="31"/>
      <c r="K24" s="38" t="str">
        <f t="shared" si="6"/>
        <v xml:space="preserve">					&lt;div class='col-md-12 form-group row'&gt;
						&lt;label class='col-md-2 form-control title'&gt;A Out Plan Datetime&lt;/label&gt;
						&lt;input type='text' class='col-md-10 form-control input-text' name='aOutPlanDatetime' 
						#datepicker='bsDatepicker' [(ngModel)]='rowdata.aOutPlanDatetime'  bsDatepicker &gt;
					&lt;/div&gt;</v>
      </c>
      <c r="L24" s="60" t="str">
        <f t="shared" si="7"/>
        <v xml:space="preserve">		const dateValue =  this.rowdata.aOutPlanDatetime ? new Date(this.rowdata.aOutPlanDatetime?.toString()) : new Date();
		this.datepicker?.bsValueChange.emit(dateValue);</v>
      </c>
      <c r="M24" s="31"/>
      <c r="N24" s="31"/>
      <c r="O24" s="31"/>
      <c r="P24" s="31"/>
      <c r="Q24" s="31"/>
      <c r="R24" s="31"/>
      <c r="S24" s="31" t="str">
        <f t="shared" si="15"/>
        <v xml:space="preserve">	aOutPlanDatetime : any ;</v>
      </c>
      <c r="T24" s="31" t="str">
        <f t="shared" si="16"/>
        <v xml:space="preserve">			this.aOutPlanDatetime,</v>
      </c>
      <c r="U24" s="31" t="str">
        <f t="shared" si="17"/>
        <v xml:space="preserve">		this.aOutPlanDatetime = '',</v>
      </c>
      <c r="V24" s="31" t="str">
        <f t="shared" si="8"/>
        <v/>
      </c>
    </row>
    <row r="25" spans="1:22" ht="18" customHeight="1" x14ac:dyDescent="0.25">
      <c r="A25" s="44" t="s">
        <v>287</v>
      </c>
      <c r="B25" s="31" t="str">
        <f t="shared" si="18"/>
        <v>SequenceNo</v>
      </c>
      <c r="C25" s="31" t="str">
        <f t="shared" si="19"/>
        <v>Sequence No</v>
      </c>
      <c r="D25" s="31" t="str">
        <f t="shared" si="20"/>
        <v>sequenceNo</v>
      </c>
      <c r="E25" s="31" t="str">
        <f>A.Backend!H19</f>
        <v>string</v>
      </c>
      <c r="F25" s="31" t="str">
        <f>A.Backend!G19</f>
        <v>50</v>
      </c>
      <c r="G25" s="31" t="str">
        <f t="shared" si="3"/>
        <v xml:space="preserve"> : string = '' ; </v>
      </c>
      <c r="H25" s="38" t="str">
        <f t="shared" si="4"/>
        <v xml:space="preserve">			{headerName: this.l('Sequence No'),headerTooltip: this.l('Sequence No'),field: 'sequenceNo',flex: 1},</v>
      </c>
      <c r="I25" s="38" t="str">
        <f t="shared" si="5"/>
        <v xml:space="preserve">								&lt;div class='input-search'&gt;
									&lt;input [(ngModel)]='sequenceNo' name='sequenceNo'
									class='form-control' [placeholder]="l('Sequence No')"
									type='text' (keyup.enter)='searchDatas()'&gt;
								&lt;/div&gt;</v>
      </c>
      <c r="J25" s="31"/>
      <c r="K25" s="38" t="str">
        <f t="shared" si="6"/>
        <v xml:space="preserve">					&lt;div class='col-md-12 form-group row'&gt;
						&lt;label class='col-md-2 form-control title'&gt;Sequence No&lt;/label&gt;
						&lt;input type='text' class='col-md-10 form-control input-text' name='SequenceNo' [(ngModel)]='rowdata.sequenceNo'&gt;
					&lt;/div&gt;</v>
      </c>
      <c r="L25" s="60" t="str">
        <f t="shared" si="7"/>
        <v/>
      </c>
      <c r="M25" s="31"/>
      <c r="N25" s="31"/>
      <c r="O25" s="31"/>
      <c r="P25" s="31"/>
      <c r="Q25" s="31"/>
      <c r="R25" s="31"/>
      <c r="S25" s="31" t="str">
        <f t="shared" si="15"/>
        <v xml:space="preserve">	sequenceNo : string = '' ; </v>
      </c>
      <c r="T25" s="31" t="str">
        <f t="shared" si="16"/>
        <v xml:space="preserve">			this.sequenceNo,</v>
      </c>
      <c r="U25" s="31" t="str">
        <f t="shared" si="17"/>
        <v xml:space="preserve">		this.sequenceNo = '',</v>
      </c>
      <c r="V25" s="31" t="str">
        <f t="shared" si="8"/>
        <v/>
      </c>
    </row>
    <row r="26" spans="1:22" ht="15" customHeight="1" x14ac:dyDescent="0.25">
      <c r="A26" s="44" t="s">
        <v>288</v>
      </c>
      <c r="B26" s="31" t="str">
        <f t="shared" si="18"/>
        <v>IsStart</v>
      </c>
      <c r="C26" s="31" t="str">
        <f t="shared" si="19"/>
        <v>Is Start</v>
      </c>
      <c r="D26" s="31" t="str">
        <f t="shared" si="20"/>
        <v>isStart</v>
      </c>
      <c r="E26" s="31" t="str">
        <f>A.Backend!H20</f>
        <v>int</v>
      </c>
      <c r="F26" s="31" t="str">
        <f>A.Backend!G20</f>
        <v/>
      </c>
      <c r="G26" s="31" t="str">
        <f t="shared" ref="G26:G35" si="21">IF(E26="string"," : string = '' ; ",IF(OR(E26="DateTime",E26="TimeSpan")," : any ;",IF(E26="int"," : number = 0 ;","")))</f>
        <v xml:space="preserve"> : number = 0 ;</v>
      </c>
      <c r="H26" s="38" t="str">
        <f t="shared" ref="H26:H35" si="22">IF(E26="DateTime",
REPT(CHAR(9),3)&amp;"{headerName: this.l('"&amp;C26&amp;"'),headerTooltip: this.l('"&amp;C26&amp;"'),field: '"&amp;D26&amp;"',valueGetter: (params) =&gt; this.pipe.transform(params.data?."&amp;D26&amp;", 'dd/MM/yyyy'),flex: 1},",
IF(AND(E26="string",F26="1"),
REPT(CHAR(9),3)&amp;"{headerName: this.l('"&amp;C26&amp;"'),headerTooltip: this.l('"&amp;C26&amp;"'),field:  '"&amp;D26&amp;"', cellClass: ['text-center'], width: 120, cellRenderer: 'agCellButtonComponent',
buttonDefTwo: { text: params =&gt; (params.data?.'"&amp;D26&amp;"' == 'Y') ? 'Active' : 'Inactive',iconName: 'fa fa-circle',className: params =&gt; (params.data?.'"&amp;D26&amp;"' == 'Y') ? 'btnActive' : 'btnInActive',},}",
REPT(CHAR(9),3)&amp;"{headerName: this.l('"&amp;C26&amp;"'),headerTooltip: this.l('"&amp;C26&amp;"'),field: '"&amp;D26&amp;"',flex: 1},"))</f>
        <v xml:space="preserve">			{headerName: this.l('Is Start'),headerTooltip: this.l('Is Start'),field: 'isStart',flex: 1},</v>
      </c>
      <c r="I26" s="38" t="str">
        <f t="shared" ref="I26:I35" si="23">IF(E26="DateTime",
REPT(CHAR(9),8)&amp;"&lt;div class='input-search'&gt;
"&amp;REPT(CHAR(9),9)&amp;"&lt;input type='text' [placeholder]=""l('"&amp;C26&amp;"')"" [(ngModel)]='"&amp;D26&amp;"' 
"&amp;REPT(CHAR(9),9)&amp;"name='"&amp;D26&amp;"'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IF(E26="string",
REPT(CHAR(9),8)&amp;"&lt;div class='input-search'&gt;
"&amp;REPT(CHAR(9),9)&amp;"&lt;input [(ngModel)]='"&amp;D26&amp;"' name='"&amp;D26&amp;"'
"&amp;REPT(CHAR(9),9)&amp;"class='form-control' [placeholder]=""l('"&amp;C26&amp;"')""
"&amp;REPT(CHAR(9),9)&amp;"type='text' (keyup.enter)='searchDatas()'&gt;
"&amp;REPT(CHAR(9),8)&amp;"&lt;/div&gt;",""))</f>
        <v/>
      </c>
      <c r="J26" s="31"/>
      <c r="K26" s="38" t="str">
        <f t="shared" ref="K26:K35" si="24">IF(OR(E26="DateTime",E26="TimeSpan"),
REPT(CHAR(9),5)&amp;"&lt;div class='col-md-12 form-group row'&gt;
"&amp;REPT(CHAR(9),6)&amp;"&lt;label class='col-md-2 form-control title'&gt;"&amp;C26&amp;"&lt;/label&gt;
"&amp;REPT(CHAR(9),6)&amp;"&lt;input type='text' class='col-md-10 form-control input-text' name='"&amp;D26&amp;"' 
"&amp;REPT(CHAR(9),6)&amp;"#datepicker='bsDatepicker' [(ngModel)]='rowdata."&amp;D26&amp;"'  bsDatepicker &gt;
"&amp;REPT(CHAR(9),5)&amp;"&lt;/div&gt;",
IF(AND(E26="string",F26="1"),
REPT(CHAR(9),5)&amp;"&lt;div class='col-md-12 form-group row'&gt;
"&amp;REPT(CHAR(9),6)&amp;"&lt;label class='col-md-2 form-control title'&gt;"&amp;C26&amp;"&lt;/label&gt;
"&amp;REPT(CHAR(9),6)&amp;"&lt;new-checkbox [(ngModel)]='_"&amp;D26&amp;"' name='"&amp;D26&amp;"' className='col-md-10' &gt; &lt;/new-checkbox&gt;
"&amp;REPT(CHAR(9),5)&amp;"&lt;/div&gt;",
IF(E26="string",
REPT(CHAR(9),5)&amp;"&lt;div class='col-md-12 form-group row'&gt;
"&amp;REPT(CHAR(9),6)&amp;"&lt;label class='col-md-2 form-control title'&gt;"&amp;C26&amp;"&lt;/label&gt;
"&amp;REPT(CHAR(9),6)&amp;"&lt;input type='text' class='col-md-10 form-control input-text' name='"&amp;B26&amp;"' [(ngModel)]='rowdata."&amp;D26&amp;"'&gt;
"&amp;REPT(CHAR(9),5)&amp;"&lt;/div&gt;",
IF(E26="int",
REPT(CHAR(9),5)&amp;"&lt;div class='col-md-12 form-group row'&gt;
"&amp;REPT(CHAR(9),6)&amp;"&lt;label class='col-md-2 form-control title'&gt;"&amp;C26&amp;"&lt;/label&gt;
"&amp;REPT(CHAR(9),6)&amp;"&lt;input type='number' class='col-md-10 form-control input-text' name='"&amp;B26&amp;"' [(ngModel)]='rowdata."&amp;D26&amp;"'&gt;
"&amp;REPT(CHAR(9),5)&amp;"&lt;/div&gt;",""))))</f>
        <v xml:space="preserve">					&lt;div class='col-md-12 form-group row'&gt;
						&lt;label class='col-md-2 form-control title'&gt;Is Start&lt;/label&gt;
						&lt;input type='number' class='col-md-10 form-control input-text' name='IsStart' [(ngModel)]='rowdata.isStart'&gt;
					&lt;/div&gt;</v>
      </c>
      <c r="L26" s="60" t="str">
        <f t="shared" ref="L26:L35" si="25">IF(E26="DateTime",
REPT(CHAR(9),2)&amp;"const dateValue =  this.rowdata."&amp;D26&amp;" ? new Date(this.rowdata."&amp;D26&amp;"?.toString()) : new Date();
"&amp;REPT(CHAR(9),2)&amp;"this.datepicker?.bsValueChange.emit(dateValue);","")</f>
        <v/>
      </c>
      <c r="M26" s="31"/>
      <c r="N26" s="31"/>
      <c r="O26" s="31"/>
      <c r="P26" s="31"/>
      <c r="Q26" s="31"/>
      <c r="R26" s="31"/>
      <c r="S26" s="31" t="str">
        <f>REPT(CHAR(9),1)&amp;D26&amp;G26</f>
        <v xml:space="preserve">	isStart : number = 0 ;</v>
      </c>
      <c r="T26" s="31" t="str">
        <f>REPT(CHAR(9),3)&amp;"this."&amp;D26&amp;","</f>
        <v xml:space="preserve">			this.isStart,</v>
      </c>
      <c r="U26" s="31" t="str">
        <f>IF(E26="int",REPT(CHAR(9),2)&amp;"this."&amp;D26&amp;" = 0,",REPT(CHAR(9),2)&amp;"this."&amp;D26&amp;" = '',")</f>
        <v xml:space="preserve">		this.isStart = 0,</v>
      </c>
      <c r="V26" s="31" t="str">
        <f t="shared" ref="V26:V35" si="26">IF(AND(E26="string",F26="1"),D26,"")</f>
        <v/>
      </c>
    </row>
    <row r="27" spans="1:22" ht="18" customHeight="1" x14ac:dyDescent="0.25">
      <c r="A27" s="44" t="s">
        <v>301</v>
      </c>
      <c r="B27" s="31" t="str">
        <f t="shared" si="18"/>
        <v>VehicleId</v>
      </c>
      <c r="C27" s="31" t="str">
        <f t="shared" si="19"/>
        <v>Vehicle Id</v>
      </c>
      <c r="D27" s="31" t="str">
        <f t="shared" si="20"/>
        <v>vehicleId</v>
      </c>
      <c r="E27" s="31" t="str">
        <f>A.Backend!H21</f>
        <v>long</v>
      </c>
      <c r="F27" s="31" t="str">
        <f>A.Backend!G21</f>
        <v/>
      </c>
      <c r="G27" s="31" t="str">
        <f t="shared" si="21"/>
        <v/>
      </c>
      <c r="H27" s="38" t="str">
        <f t="shared" si="22"/>
        <v xml:space="preserve">			{headerName: this.l('Vehicle Id'),headerTooltip: this.l('Vehicle Id'),field: 'vehicleId',flex: 1},</v>
      </c>
      <c r="I27" s="38" t="str">
        <f t="shared" si="23"/>
        <v/>
      </c>
      <c r="J27" s="31"/>
      <c r="K27" s="38" t="str">
        <f t="shared" si="24"/>
        <v/>
      </c>
      <c r="L27" s="60" t="str">
        <f t="shared" si="25"/>
        <v/>
      </c>
      <c r="M27" s="31"/>
      <c r="N27" s="31"/>
      <c r="O27" s="31"/>
      <c r="P27" s="31"/>
      <c r="Q27" s="31"/>
      <c r="R27" s="31"/>
      <c r="S27" s="31" t="str">
        <f t="shared" ref="S27:S30" si="27">REPT(CHAR(9),1)&amp;D27&amp;G27</f>
        <v xml:space="preserve">	vehicleId</v>
      </c>
      <c r="T27" s="31" t="str">
        <f t="shared" ref="T27:T30" si="28">REPT(CHAR(9),3)&amp;"this."&amp;D27&amp;","</f>
        <v xml:space="preserve">			this.vehicleId,</v>
      </c>
      <c r="U27" s="31" t="str">
        <f t="shared" ref="U27:U30" si="29">IF(E27="int",REPT(CHAR(9),2)&amp;"this."&amp;D27&amp;" = 0,",REPT(CHAR(9),2)&amp;"this."&amp;D27&amp;" = '',")</f>
        <v xml:space="preserve">		this.vehicleId = '',</v>
      </c>
      <c r="V27" s="31" t="str">
        <f t="shared" si="26"/>
        <v/>
      </c>
    </row>
    <row r="28" spans="1:22" ht="18" customHeight="1" x14ac:dyDescent="0.25">
      <c r="A28" s="44" t="s">
        <v>304</v>
      </c>
      <c r="B28" s="31" t="str">
        <f>SUBSTITUTE(PROPER(A28),"_","")</f>
        <v>Cfc</v>
      </c>
      <c r="C28" s="31" t="str">
        <f>SUBSTITUTE(PROPER(A28),"_"," ")</f>
        <v>Cfc</v>
      </c>
      <c r="D28" s="31" t="str">
        <f>LOWER(LEFT(B28,1))&amp;RIGHT(B28,LEN(B28) - 1)</f>
        <v>cfc</v>
      </c>
      <c r="E28" s="31" t="str">
        <f>A.Backend!H22</f>
        <v>string</v>
      </c>
      <c r="F28" s="31" t="str">
        <f>A.Backend!G22</f>
        <v>4</v>
      </c>
      <c r="G28" s="31" t="str">
        <f t="shared" si="21"/>
        <v xml:space="preserve"> : string = '' ; </v>
      </c>
      <c r="H28" s="38" t="str">
        <f t="shared" si="22"/>
        <v xml:space="preserve">			{headerName: this.l('Cfc'),headerTooltip: this.l('Cfc'),field: 'cfc',flex: 1},</v>
      </c>
      <c r="I28" s="38" t="str">
        <f t="shared" si="23"/>
        <v xml:space="preserve">								&lt;div class='input-search'&gt;
									&lt;input [(ngModel)]='cfc' name='cfc'
									class='form-control' [placeholder]="l('Cfc')"
									type='text' (keyup.enter)='searchDatas()'&gt;
								&lt;/div&gt;</v>
      </c>
      <c r="J28" s="31"/>
      <c r="K28" s="38" t="str">
        <f t="shared" si="24"/>
        <v xml:space="preserve">					&lt;div class='col-md-12 form-group row'&gt;
						&lt;label class='col-md-2 form-control title'&gt;Cfc&lt;/label&gt;
						&lt;input type='text' class='col-md-10 form-control input-text' name='Cfc' [(ngModel)]='rowdata.cfc'&gt;
					&lt;/div&gt;</v>
      </c>
      <c r="L28" s="60" t="str">
        <f t="shared" si="25"/>
        <v/>
      </c>
      <c r="M28" s="31"/>
      <c r="N28" s="31"/>
      <c r="O28" s="31"/>
      <c r="P28" s="31"/>
      <c r="Q28" s="31"/>
      <c r="R28" s="31"/>
      <c r="S28" s="31" t="str">
        <f t="shared" si="27"/>
        <v xml:space="preserve">	cfc : string = '' ; </v>
      </c>
      <c r="T28" s="31" t="str">
        <f t="shared" si="28"/>
        <v xml:space="preserve">			this.cfc,</v>
      </c>
      <c r="U28" s="31" t="str">
        <f t="shared" si="29"/>
        <v xml:space="preserve">		this.cfc = '',</v>
      </c>
      <c r="V28" s="31" t="str">
        <f t="shared" si="26"/>
        <v/>
      </c>
    </row>
    <row r="29" spans="1:22" ht="15" customHeight="1" x14ac:dyDescent="0.25">
      <c r="A29" s="44" t="s">
        <v>295</v>
      </c>
      <c r="B29" s="31" t="str">
        <f t="shared" ref="B29:B32" si="30">SUBSTITUTE(PROPER(A29),"_","")</f>
        <v>VinNo</v>
      </c>
      <c r="C29" s="31" t="str">
        <f t="shared" ref="C29:C32" si="31">SUBSTITUTE(PROPER(A29),"_"," ")</f>
        <v>Vin No</v>
      </c>
      <c r="D29" s="31" t="str">
        <f t="shared" ref="D29:D32" si="32">LOWER(LEFT(B29,1))&amp;RIGHT(B29,LEN(B29) - 1)</f>
        <v>vinNo</v>
      </c>
      <c r="E29" s="31" t="str">
        <f>A.Backend!H23</f>
        <v>string</v>
      </c>
      <c r="F29" s="31" t="str">
        <f>A.Backend!G23</f>
        <v>18</v>
      </c>
      <c r="G29" s="31" t="str">
        <f t="shared" si="21"/>
        <v xml:space="preserve"> : string = '' ; </v>
      </c>
      <c r="H29" s="38" t="str">
        <f t="shared" si="22"/>
        <v xml:space="preserve">			{headerName: this.l('Vin No'),headerTooltip: this.l('Vin No'),field: 'vinNo',flex: 1},</v>
      </c>
      <c r="I29" s="38" t="str">
        <f t="shared" si="23"/>
        <v xml:space="preserve">								&lt;div class='input-search'&gt;
									&lt;input [(ngModel)]='vinNo' name='vinNo'
									class='form-control' [placeholder]="l('Vin No')"
									type='text' (keyup.enter)='searchDatas()'&gt;
								&lt;/div&gt;</v>
      </c>
      <c r="J29" s="31"/>
      <c r="K29" s="38" t="str">
        <f t="shared" si="24"/>
        <v xml:space="preserve">					&lt;div class='col-md-12 form-group row'&gt;
						&lt;label class='col-md-2 form-control title'&gt;Vin No&lt;/label&gt;
						&lt;input type='text' class='col-md-10 form-control input-text' name='VinNo' [(ngModel)]='rowdata.vinNo'&gt;
					&lt;/div&gt;</v>
      </c>
      <c r="L29" s="60" t="str">
        <f t="shared" si="25"/>
        <v/>
      </c>
      <c r="M29" s="31"/>
      <c r="N29" s="31"/>
      <c r="O29" s="31"/>
      <c r="P29" s="31"/>
      <c r="Q29" s="31"/>
      <c r="R29" s="31"/>
      <c r="S29" s="31" t="str">
        <f t="shared" si="27"/>
        <v xml:space="preserve">	vinNo : string = '' ; </v>
      </c>
      <c r="T29" s="31" t="str">
        <f t="shared" si="28"/>
        <v xml:space="preserve">			this.vinNo,</v>
      </c>
      <c r="U29" s="31" t="str">
        <f t="shared" si="29"/>
        <v xml:space="preserve">		this.vinNo = '',</v>
      </c>
      <c r="V29" s="31" t="str">
        <f t="shared" si="26"/>
        <v/>
      </c>
    </row>
    <row r="30" spans="1:22" ht="18" customHeight="1" x14ac:dyDescent="0.25">
      <c r="A30" s="44" t="s">
        <v>298</v>
      </c>
      <c r="B30" s="31" t="str">
        <f t="shared" si="30"/>
        <v>EngineId</v>
      </c>
      <c r="C30" s="31" t="str">
        <f t="shared" si="31"/>
        <v>Engine Id</v>
      </c>
      <c r="D30" s="31" t="str">
        <f t="shared" si="32"/>
        <v>engineId</v>
      </c>
      <c r="E30" s="31" t="str">
        <f>A.Backend!H24</f>
        <v>string</v>
      </c>
      <c r="F30" s="31" t="str">
        <f>A.Backend!G24</f>
        <v>12</v>
      </c>
      <c r="G30" s="31" t="str">
        <f t="shared" si="21"/>
        <v xml:space="preserve"> : string = '' ; </v>
      </c>
      <c r="H30" s="38" t="str">
        <f t="shared" si="22"/>
        <v xml:space="preserve">			{headerName: this.l('Engine Id'),headerTooltip: this.l('Engine Id'),field: 'engineId',flex: 1},</v>
      </c>
      <c r="I30" s="38" t="str">
        <f t="shared" si="23"/>
        <v xml:space="preserve">								&lt;div class='input-search'&gt;
									&lt;input [(ngModel)]='engineId' name='engineId'
									class='form-control' [placeholder]="l('Engine Id')"
									type='text' (keyup.enter)='searchDatas()'&gt;
								&lt;/div&gt;</v>
      </c>
      <c r="J30" s="31"/>
      <c r="K30" s="38" t="str">
        <f t="shared" si="24"/>
        <v xml:space="preserve">					&lt;div class='col-md-12 form-group row'&gt;
						&lt;label class='col-md-2 form-control title'&gt;Engine Id&lt;/label&gt;
						&lt;input type='text' class='col-md-10 form-control input-text' name='EngineId' [(ngModel)]='rowdata.engineId'&gt;
					&lt;/div&gt;</v>
      </c>
      <c r="L30" s="60" t="str">
        <f t="shared" si="25"/>
        <v/>
      </c>
      <c r="M30" s="31"/>
      <c r="N30" s="31"/>
      <c r="O30" s="31"/>
      <c r="P30" s="31"/>
      <c r="Q30" s="31"/>
      <c r="R30" s="31"/>
      <c r="S30" s="31" t="str">
        <f t="shared" si="27"/>
        <v xml:space="preserve">	engineId : string = '' ; </v>
      </c>
      <c r="T30" s="31" t="str">
        <f t="shared" si="28"/>
        <v xml:space="preserve">			this.engineId,</v>
      </c>
      <c r="U30" s="31" t="str">
        <f t="shared" si="29"/>
        <v xml:space="preserve">		this.engineId = '',</v>
      </c>
      <c r="V30" s="31" t="str">
        <f t="shared" si="26"/>
        <v/>
      </c>
    </row>
    <row r="31" spans="1:22" ht="15" customHeight="1" x14ac:dyDescent="0.25">
      <c r="A31" s="44" t="s">
        <v>300</v>
      </c>
      <c r="B31" s="31" t="str">
        <f t="shared" si="30"/>
        <v>TransId</v>
      </c>
      <c r="C31" s="31" t="str">
        <f t="shared" si="31"/>
        <v>Trans Id</v>
      </c>
      <c r="D31" s="31" t="str">
        <f t="shared" si="32"/>
        <v>transId</v>
      </c>
      <c r="E31" s="31" t="str">
        <f>A.Backend!H25</f>
        <v>string</v>
      </c>
      <c r="F31" s="31" t="str">
        <f>A.Backend!G25</f>
        <v>18</v>
      </c>
      <c r="G31" s="31" t="str">
        <f t="shared" si="21"/>
        <v xml:space="preserve"> : string = '' ; </v>
      </c>
      <c r="H31" s="38" t="str">
        <f t="shared" si="22"/>
        <v xml:space="preserve">			{headerName: this.l('Trans Id'),headerTooltip: this.l('Trans Id'),field: 'transId',flex: 1},</v>
      </c>
      <c r="I31" s="38" t="str">
        <f t="shared" si="23"/>
        <v xml:space="preserve">								&lt;div class='input-search'&gt;
									&lt;input [(ngModel)]='transId' name='transId'
									class='form-control' [placeholder]="l('Trans Id')"
									type='text' (keyup.enter)='searchDatas()'&gt;
								&lt;/div&gt;</v>
      </c>
      <c r="J31" s="31"/>
      <c r="K31" s="38" t="str">
        <f t="shared" si="24"/>
        <v xml:space="preserve">					&lt;div class='col-md-12 form-group row'&gt;
						&lt;label class='col-md-2 form-control title'&gt;Trans Id&lt;/label&gt;
						&lt;input type='text' class='col-md-10 form-control input-text' name='TransId' [(ngModel)]='rowdata.transId'&gt;
					&lt;/div&gt;</v>
      </c>
      <c r="L31" s="60" t="str">
        <f t="shared" si="25"/>
        <v/>
      </c>
      <c r="M31" s="31"/>
      <c r="N31" s="31"/>
      <c r="O31" s="31"/>
      <c r="P31" s="31"/>
      <c r="Q31" s="31"/>
      <c r="R31" s="31"/>
      <c r="S31" s="31" t="str">
        <f>REPT(CHAR(9),1)&amp;D31&amp;G31</f>
        <v xml:space="preserve">	transId : string = '' ; </v>
      </c>
      <c r="T31" s="31" t="str">
        <f>REPT(CHAR(9),3)&amp;"this."&amp;D31&amp;","</f>
        <v xml:space="preserve">			this.transId,</v>
      </c>
      <c r="U31" s="31" t="str">
        <f>IF(E31="int",REPT(CHAR(9),2)&amp;"this."&amp;D31&amp;" = 0,",REPT(CHAR(9),2)&amp;"this."&amp;D31&amp;" = '',")</f>
        <v xml:space="preserve">		this.transId = '',</v>
      </c>
      <c r="V31" s="31" t="str">
        <f t="shared" si="26"/>
        <v/>
      </c>
    </row>
    <row r="32" spans="1:22" ht="18" customHeight="1" x14ac:dyDescent="0.25">
      <c r="A32" s="44" t="s">
        <v>302</v>
      </c>
      <c r="B32" s="31" t="str">
        <f t="shared" si="30"/>
        <v>SalesSfx</v>
      </c>
      <c r="C32" s="31" t="str">
        <f t="shared" si="31"/>
        <v>Sales Sfx</v>
      </c>
      <c r="D32" s="31" t="str">
        <f t="shared" si="32"/>
        <v>salesSfx</v>
      </c>
      <c r="E32" s="31" t="str">
        <f>A.Backend!H26</f>
        <v>string</v>
      </c>
      <c r="F32" s="31" t="str">
        <f>A.Backend!G26</f>
        <v>2</v>
      </c>
      <c r="G32" s="31" t="str">
        <f t="shared" si="21"/>
        <v xml:space="preserve"> : string = '' ; </v>
      </c>
      <c r="H32" s="38" t="str">
        <f t="shared" si="22"/>
        <v xml:space="preserve">			{headerName: this.l('Sales Sfx'),headerTooltip: this.l('Sales Sfx'),field: 'salesSfx',flex: 1},</v>
      </c>
      <c r="I32" s="38" t="str">
        <f t="shared" si="23"/>
        <v xml:space="preserve">								&lt;div class='input-search'&gt;
									&lt;input [(ngModel)]='salesSfx' name='salesSfx'
									class='form-control' [placeholder]="l('Sales Sfx')"
									type='text' (keyup.enter)='searchDatas()'&gt;
								&lt;/div&gt;</v>
      </c>
      <c r="J32" s="31"/>
      <c r="K32" s="38" t="str">
        <f t="shared" si="24"/>
        <v xml:space="preserve">					&lt;div class='col-md-12 form-group row'&gt;
						&lt;label class='col-md-2 form-control title'&gt;Sales Sfx&lt;/label&gt;
						&lt;input type='text' class='col-md-10 form-control input-text' name='SalesSfx' [(ngModel)]='rowdata.salesSfx'&gt;
					&lt;/div&gt;</v>
      </c>
      <c r="L32" s="60" t="str">
        <f t="shared" si="25"/>
        <v/>
      </c>
      <c r="M32" s="31"/>
      <c r="N32" s="31"/>
      <c r="O32" s="31"/>
      <c r="P32" s="31"/>
      <c r="Q32" s="31"/>
      <c r="R32" s="31"/>
      <c r="S32" s="31" t="str">
        <f t="shared" ref="S32:S35" si="33">REPT(CHAR(9),1)&amp;D32&amp;G32</f>
        <v xml:space="preserve">	salesSfx : string = '' ; </v>
      </c>
      <c r="T32" s="31" t="str">
        <f t="shared" ref="T32:T35" si="34">REPT(CHAR(9),3)&amp;"this."&amp;D32&amp;","</f>
        <v xml:space="preserve">			this.salesSfx,</v>
      </c>
      <c r="U32" s="31" t="str">
        <f t="shared" ref="U32:U35" si="35">IF(E32="int",REPT(CHAR(9),2)&amp;"this."&amp;D32&amp;" = 0,",REPT(CHAR(9),2)&amp;"this."&amp;D32&amp;" = '',")</f>
        <v xml:space="preserve">		this.salesSfx = '',</v>
      </c>
      <c r="V32" s="31" t="str">
        <f t="shared" si="26"/>
        <v/>
      </c>
    </row>
    <row r="33" spans="1:22" ht="18" customHeight="1" x14ac:dyDescent="0.25">
      <c r="A33" s="44" t="s">
        <v>306</v>
      </c>
      <c r="B33" s="31" t="str">
        <f>SUBSTITUTE(PROPER(A33),"_","")</f>
        <v>ColorType</v>
      </c>
      <c r="C33" s="31" t="str">
        <f>SUBSTITUTE(PROPER(A33),"_"," ")</f>
        <v>Color Type</v>
      </c>
      <c r="D33" s="31" t="str">
        <f>LOWER(LEFT(B33,1))&amp;RIGHT(B33,LEN(B33) - 1)</f>
        <v>colorType</v>
      </c>
      <c r="E33" s="31" t="str">
        <f>A.Backend!H27</f>
        <v>string</v>
      </c>
      <c r="F33" s="31" t="str">
        <f>A.Backend!G27</f>
        <v>4</v>
      </c>
      <c r="G33" s="31" t="str">
        <f t="shared" si="21"/>
        <v xml:space="preserve"> : string = '' ; </v>
      </c>
      <c r="H33" s="38" t="str">
        <f t="shared" si="22"/>
        <v xml:space="preserve">			{headerName: this.l('Color Type'),headerTooltip: this.l('Color Type'),field: 'colorType',flex: 1},</v>
      </c>
      <c r="I33" s="38" t="str">
        <f t="shared" si="23"/>
        <v xml:space="preserve">								&lt;div class='input-search'&gt;
									&lt;input [(ngModel)]='colorType' name='colorType'
									class='form-control' [placeholder]="l('Color Type')"
									type='text' (keyup.enter)='searchDatas()'&gt;
								&lt;/div&gt;</v>
      </c>
      <c r="J33" s="31"/>
      <c r="K33" s="38" t="str">
        <f t="shared" si="24"/>
        <v xml:space="preserve">					&lt;div class='col-md-12 form-group row'&gt;
						&lt;label class='col-md-2 form-control title'&gt;Color Type&lt;/label&gt;
						&lt;input type='text' class='col-md-10 form-control input-text' name='ColorType' [(ngModel)]='rowdata.colorType'&gt;
					&lt;/div&gt;</v>
      </c>
      <c r="L33" s="60" t="str">
        <f t="shared" si="25"/>
        <v/>
      </c>
      <c r="M33" s="31"/>
      <c r="N33" s="31"/>
      <c r="O33" s="31"/>
      <c r="P33" s="31"/>
      <c r="Q33" s="31"/>
      <c r="R33" s="31"/>
      <c r="S33" s="31" t="str">
        <f t="shared" si="33"/>
        <v xml:space="preserve">	colorType : string = '' ; </v>
      </c>
      <c r="T33" s="31" t="str">
        <f t="shared" si="34"/>
        <v xml:space="preserve">			this.colorType,</v>
      </c>
      <c r="U33" s="31" t="str">
        <f t="shared" si="35"/>
        <v xml:space="preserve">		this.colorType = '',</v>
      </c>
      <c r="V33" s="31" t="str">
        <f t="shared" si="26"/>
        <v/>
      </c>
    </row>
    <row r="34" spans="1:22" ht="15" customHeight="1" x14ac:dyDescent="0.25">
      <c r="A34" s="44" t="s">
        <v>307</v>
      </c>
      <c r="B34" s="31" t="str">
        <f t="shared" ref="B34:B37" si="36">SUBSTITUTE(PROPER(A34),"_","")</f>
        <v>IndentLine</v>
      </c>
      <c r="C34" s="31" t="str">
        <f t="shared" ref="C34:C37" si="37">SUBSTITUTE(PROPER(A34),"_"," ")</f>
        <v>Indent Line</v>
      </c>
      <c r="D34" s="31" t="str">
        <f t="shared" ref="D34:D37" si="38">LOWER(LEFT(B34,1))&amp;RIGHT(B34,LEN(B34) - 1)</f>
        <v>indentLine</v>
      </c>
      <c r="E34" s="31" t="str">
        <f>A.Backend!H28</f>
        <v>string</v>
      </c>
      <c r="F34" s="31" t="str">
        <f>A.Backend!G28</f>
        <v>3</v>
      </c>
      <c r="G34" s="31" t="str">
        <f t="shared" si="21"/>
        <v xml:space="preserve"> : string = '' ; </v>
      </c>
      <c r="H34" s="38" t="str">
        <f t="shared" si="22"/>
        <v xml:space="preserve">			{headerName: this.l('Indent Line'),headerTooltip: this.l('Indent Line'),field: 'indentLine',flex: 1},</v>
      </c>
      <c r="I34" s="38" t="str">
        <f t="shared" si="23"/>
        <v xml:space="preserve">								&lt;div class='input-search'&gt;
									&lt;input [(ngModel)]='indentLine' name='indentLine'
									class='form-control' [placeholder]="l('Indent Line')"
									type='text' (keyup.enter)='searchDatas()'&gt;
								&lt;/div&gt;</v>
      </c>
      <c r="J34" s="31"/>
      <c r="K34" s="38" t="str">
        <f t="shared" si="24"/>
        <v xml:space="preserve">					&lt;div class='col-md-12 form-group row'&gt;
						&lt;label class='col-md-2 form-control title'&gt;Indent Line&lt;/label&gt;
						&lt;input type='text' class='col-md-10 form-control input-text' name='IndentLine' [(ngModel)]='rowdata.indentLine'&gt;
					&lt;/div&gt;</v>
      </c>
      <c r="L34" s="60" t="str">
        <f t="shared" si="25"/>
        <v/>
      </c>
      <c r="M34" s="31"/>
      <c r="N34" s="31"/>
      <c r="O34" s="31"/>
      <c r="P34" s="31"/>
      <c r="Q34" s="31"/>
      <c r="R34" s="31"/>
      <c r="S34" s="31" t="str">
        <f t="shared" si="33"/>
        <v xml:space="preserve">	indentLine : string = '' ; </v>
      </c>
      <c r="T34" s="31" t="str">
        <f t="shared" si="34"/>
        <v xml:space="preserve">			this.indentLine,</v>
      </c>
      <c r="U34" s="31" t="str">
        <f t="shared" si="35"/>
        <v xml:space="preserve">		this.indentLine = '',</v>
      </c>
      <c r="V34" s="31" t="str">
        <f t="shared" si="26"/>
        <v/>
      </c>
    </row>
    <row r="35" spans="1:22" ht="18" customHeight="1" x14ac:dyDescent="0.25">
      <c r="A35" s="44" t="s">
        <v>309</v>
      </c>
      <c r="B35" s="31" t="str">
        <f t="shared" si="36"/>
        <v>SsNo</v>
      </c>
      <c r="C35" s="31" t="str">
        <f t="shared" si="37"/>
        <v>Ss No</v>
      </c>
      <c r="D35" s="31" t="str">
        <f t="shared" si="38"/>
        <v>ssNo</v>
      </c>
      <c r="E35" s="31" t="str">
        <f>A.Backend!H29</f>
        <v>string</v>
      </c>
      <c r="F35" s="31" t="str">
        <f>A.Backend!G29</f>
        <v>2</v>
      </c>
      <c r="G35" s="31" t="str">
        <f t="shared" si="21"/>
        <v xml:space="preserve"> : string = '' ; </v>
      </c>
      <c r="H35" s="38" t="str">
        <f t="shared" si="22"/>
        <v xml:space="preserve">			{headerName: this.l('Ss No'),headerTooltip: this.l('Ss No'),field: 'ssNo',flex: 1},</v>
      </c>
      <c r="I35" s="38" t="str">
        <f t="shared" si="23"/>
        <v xml:space="preserve">								&lt;div class='input-search'&gt;
									&lt;input [(ngModel)]='ssNo' name='ssNo'
									class='form-control' [placeholder]="l('Ss No')"
									type='text' (keyup.enter)='searchDatas()'&gt;
								&lt;/div&gt;</v>
      </c>
      <c r="J35" s="31"/>
      <c r="K35" s="38" t="str">
        <f t="shared" si="24"/>
        <v xml:space="preserve">					&lt;div class='col-md-12 form-group row'&gt;
						&lt;label class='col-md-2 form-control title'&gt;Ss No&lt;/label&gt;
						&lt;input type='text' class='col-md-10 form-control input-text' name='SsNo' [(ngModel)]='rowdata.ssNo'&gt;
					&lt;/div&gt;</v>
      </c>
      <c r="L35" s="60" t="str">
        <f t="shared" si="25"/>
        <v/>
      </c>
      <c r="M35" s="31"/>
      <c r="N35" s="31"/>
      <c r="O35" s="31"/>
      <c r="P35" s="31"/>
      <c r="Q35" s="31"/>
      <c r="R35" s="31"/>
      <c r="S35" s="31" t="str">
        <f t="shared" si="33"/>
        <v xml:space="preserve">	ssNo : string = '' ; </v>
      </c>
      <c r="T35" s="31" t="str">
        <f t="shared" si="34"/>
        <v xml:space="preserve">			this.ssNo,</v>
      </c>
      <c r="U35" s="31" t="str">
        <f t="shared" si="35"/>
        <v xml:space="preserve">		this.ssNo = '',</v>
      </c>
      <c r="V35" s="31" t="str">
        <f t="shared" si="26"/>
        <v/>
      </c>
    </row>
    <row r="36" spans="1:22" ht="15" customHeight="1" x14ac:dyDescent="0.25">
      <c r="A36" s="44" t="s">
        <v>310</v>
      </c>
      <c r="B36" s="31" t="str">
        <f t="shared" si="36"/>
        <v>EdNumber</v>
      </c>
      <c r="C36" s="31" t="str">
        <f t="shared" si="37"/>
        <v>Ed Number</v>
      </c>
      <c r="D36" s="31" t="str">
        <f t="shared" si="38"/>
        <v>edNumber</v>
      </c>
      <c r="E36" s="31" t="str">
        <f>A.Backend!H30</f>
        <v>string</v>
      </c>
      <c r="F36" s="31" t="str">
        <f>A.Backend!G30</f>
        <v>5</v>
      </c>
      <c r="G36" s="31" t="str">
        <f t="shared" ref="G36:G44" si="39">IF(E36="string"," : string = '' ; ",IF(OR(E36="DateTime",E36="TimeSpan")," : any ;",IF(E36="int"," : number = 0 ;","")))</f>
        <v xml:space="preserve"> : string = '' ; </v>
      </c>
      <c r="H36" s="38" t="str">
        <f t="shared" ref="H36:H44" si="40">IF(E36="DateTime",
REPT(CHAR(9),3)&amp;"{headerName: this.l('"&amp;C36&amp;"'),headerTooltip: this.l('"&amp;C36&amp;"'),field: '"&amp;D36&amp;"',valueGetter: (params) =&gt; this.pipe.transform(params.data?."&amp;D36&amp;", 'dd/MM/yyyy'),flex: 1},",
IF(AND(E36="string",F36="1"),
REPT(CHAR(9),3)&amp;"{headerName: this.l('"&amp;C36&amp;"'),headerTooltip: this.l('"&amp;C36&amp;"'),field:  '"&amp;D36&amp;"', cellClass: ['text-center'], width: 120, cellRenderer: 'agCellButtonComponent',
buttonDefTwo: { text: params =&gt; (params.data?.'"&amp;D36&amp;"' == 'Y') ? 'Active' : 'Inactive',iconName: 'fa fa-circle',className: params =&gt; (params.data?.'"&amp;D36&amp;"' == 'Y') ? 'btnActive' : 'btnInActive',},}",
REPT(CHAR(9),3)&amp;"{headerName: this.l('"&amp;C36&amp;"'),headerTooltip: this.l('"&amp;C36&amp;"'),field: '"&amp;D36&amp;"',flex: 1},"))</f>
        <v xml:space="preserve">			{headerName: this.l('Ed Number'),headerTooltip: this.l('Ed Number'),field: 'edNumber',flex: 1},</v>
      </c>
      <c r="I36" s="38" t="str">
        <f t="shared" ref="I36:I44" si="41">IF(E36="DateTime",
REPT(CHAR(9),8)&amp;"&lt;div class='input-search'&gt;
"&amp;REPT(CHAR(9),9)&amp;"&lt;input type='text' [placeholder]=""l('"&amp;C36&amp;"')"" [(ngModel)]='"&amp;D36&amp;"' 
"&amp;REPT(CHAR(9),9)&amp;"name='"&amp;D36&amp;"'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IF(E36="string",
REPT(CHAR(9),8)&amp;"&lt;div class='input-search'&gt;
"&amp;REPT(CHAR(9),9)&amp;"&lt;input [(ngModel)]='"&amp;D36&amp;"' name='"&amp;D36&amp;"'
"&amp;REPT(CHAR(9),9)&amp;"class='form-control' [placeholder]=""l('"&amp;C36&amp;"')""
"&amp;REPT(CHAR(9),9)&amp;"type='text' (keyup.enter)='searchDatas()'&gt;
"&amp;REPT(CHAR(9),8)&amp;"&lt;/div&gt;",""))</f>
        <v xml:space="preserve">								&lt;div class='input-search'&gt;
									&lt;input [(ngModel)]='edNumber' name='edNumber'
									class='form-control' [placeholder]="l('Ed Number')"
									type='text' (keyup.enter)='searchDatas()'&gt;
								&lt;/div&gt;</v>
      </c>
      <c r="J36" s="31"/>
      <c r="K36" s="38" t="str">
        <f t="shared" ref="K36:K44" si="42">IF(OR(E36="DateTime",E36="TimeSpan"),
REPT(CHAR(9),5)&amp;"&lt;div class='col-md-12 form-group row'&gt;
"&amp;REPT(CHAR(9),6)&amp;"&lt;label class='col-md-2 form-control title'&gt;"&amp;C36&amp;"&lt;/label&gt;
"&amp;REPT(CHAR(9),6)&amp;"&lt;input type='text' class='col-md-10 form-control input-text' name='"&amp;D36&amp;"' 
"&amp;REPT(CHAR(9),6)&amp;"#datepicker='bsDatepicker' [(ngModel)]='rowdata."&amp;D36&amp;"'  bsDatepicker &gt;
"&amp;REPT(CHAR(9),5)&amp;"&lt;/div&gt;",
IF(AND(E36="string",F36="1"),
REPT(CHAR(9),5)&amp;"&lt;div class='col-md-12 form-group row'&gt;
"&amp;REPT(CHAR(9),6)&amp;"&lt;label class='col-md-2 form-control title'&gt;"&amp;C36&amp;"&lt;/label&gt;
"&amp;REPT(CHAR(9),6)&amp;"&lt;new-checkbox [(ngModel)]='_"&amp;D36&amp;"' name='"&amp;D36&amp;"' className='col-md-10' &gt; &lt;/new-checkbox&gt;
"&amp;REPT(CHAR(9),5)&amp;"&lt;/div&gt;",
IF(E36="string",
REPT(CHAR(9),5)&amp;"&lt;div class='col-md-12 form-group row'&gt;
"&amp;REPT(CHAR(9),6)&amp;"&lt;label class='col-md-2 form-control title'&gt;"&amp;C36&amp;"&lt;/label&gt;
"&amp;REPT(CHAR(9),6)&amp;"&lt;input type='text' class='col-md-10 form-control input-text' name='"&amp;B36&amp;"' [(ngModel)]='rowdata."&amp;D36&amp;"'&gt;
"&amp;REPT(CHAR(9),5)&amp;"&lt;/div&gt;",
IF(E36="int",
REPT(CHAR(9),5)&amp;"&lt;div class='col-md-12 form-group row'&gt;
"&amp;REPT(CHAR(9),6)&amp;"&lt;label class='col-md-2 form-control title'&gt;"&amp;C36&amp;"&lt;/label&gt;
"&amp;REPT(CHAR(9),6)&amp;"&lt;input type='number' class='col-md-10 form-control input-text' name='"&amp;B36&amp;"' [(ngModel)]='rowdata."&amp;D36&amp;"'&gt;
"&amp;REPT(CHAR(9),5)&amp;"&lt;/div&gt;",""))))</f>
        <v xml:space="preserve">					&lt;div class='col-md-12 form-group row'&gt;
						&lt;label class='col-md-2 form-control title'&gt;Ed Number&lt;/label&gt;
						&lt;input type='text' class='col-md-10 form-control input-text' name='EdNumber' [(ngModel)]='rowdata.edNumber'&gt;
					&lt;/div&gt;</v>
      </c>
      <c r="L36" s="60" t="str">
        <f t="shared" ref="L36:L44" si="43">IF(E36="DateTime",
REPT(CHAR(9),2)&amp;"const dateValue =  this.rowdata."&amp;D36&amp;" ? new Date(this.rowdata."&amp;D36&amp;"?.toString()) : new Date();
"&amp;REPT(CHAR(9),2)&amp;"this.datepicker?.bsValueChange.emit(dateValue);","")</f>
        <v/>
      </c>
      <c r="M36" s="31"/>
      <c r="N36" s="31"/>
      <c r="O36" s="31"/>
      <c r="P36" s="31"/>
      <c r="Q36" s="31"/>
      <c r="R36" s="31"/>
      <c r="S36" s="31" t="str">
        <f>REPT(CHAR(9),1)&amp;D36&amp;G36</f>
        <v xml:space="preserve">	edNumber : string = '' ; </v>
      </c>
      <c r="T36" s="31" t="str">
        <f>REPT(CHAR(9),3)&amp;"this."&amp;D36&amp;","</f>
        <v xml:space="preserve">			this.edNumber,</v>
      </c>
      <c r="U36" s="31" t="str">
        <f>IF(E36="int",REPT(CHAR(9),2)&amp;"this."&amp;D36&amp;" = 0,",REPT(CHAR(9),2)&amp;"this."&amp;D36&amp;" = '',")</f>
        <v xml:space="preserve">		this.edNumber = '',</v>
      </c>
      <c r="V36" s="31" t="str">
        <f t="shared" ref="V36:V44" si="44">IF(AND(E36="string",F36="1"),D36,"")</f>
        <v/>
      </c>
    </row>
    <row r="37" spans="1:22" ht="18" customHeight="1" x14ac:dyDescent="0.25">
      <c r="A37" s="44" t="s">
        <v>294</v>
      </c>
      <c r="B37" s="31" t="str">
        <f t="shared" si="36"/>
        <v>GoshiCar</v>
      </c>
      <c r="C37" s="31" t="str">
        <f t="shared" si="37"/>
        <v>Goshi Car</v>
      </c>
      <c r="D37" s="31" t="str">
        <f t="shared" si="38"/>
        <v>goshiCar</v>
      </c>
      <c r="E37" s="31" t="str">
        <f>A.Backend!H31</f>
        <v>string</v>
      </c>
      <c r="F37" s="31" t="str">
        <f>A.Backend!G31</f>
        <v>1</v>
      </c>
      <c r="G37" s="31" t="str">
        <f t="shared" si="39"/>
        <v xml:space="preserve"> : string = '' ; </v>
      </c>
      <c r="H37" s="38" t="str">
        <f t="shared" si="40"/>
        <v xml:space="preserve">			{headerName: this.l('Goshi Car'),headerTooltip: this.l('Goshi Car'),field:  'goshiCar', cellClass: ['text-center'], width: 120, cellRenderer: 'agCellButtonComponent',
buttonDefTwo: { text: params =&gt; (params.data?.'goshiCar' == 'Y') ? 'Active' : 'Inactive',iconName: 'fa fa-circle',className: params =&gt; (params.data?.'goshiCar' == 'Y') ? 'btnActive' : 'btnInActive',},}</v>
      </c>
      <c r="I37" s="38" t="str">
        <f t="shared" si="41"/>
        <v xml:space="preserve">								&lt;div class='input-search'&gt;
									&lt;input [(ngModel)]='goshiCar' name='goshiCar'
									class='form-control' [placeholder]="l('Goshi Car')"
									type='text' (keyup.enter)='searchDatas()'&gt;
								&lt;/div&gt;</v>
      </c>
      <c r="J37" s="31"/>
      <c r="K37" s="38" t="str">
        <f t="shared" si="42"/>
        <v xml:space="preserve">					&lt;div class='col-md-12 form-group row'&gt;
						&lt;label class='col-md-2 form-control title'&gt;Goshi Car&lt;/label&gt;
						&lt;new-checkbox [(ngModel)]='_goshiCar' name='goshiCar' className='col-md-10' &gt; &lt;/new-checkbox&gt;
					&lt;/div&gt;</v>
      </c>
      <c r="L37" s="60" t="str">
        <f t="shared" si="43"/>
        <v/>
      </c>
      <c r="M37" s="31"/>
      <c r="N37" s="31"/>
      <c r="O37" s="31"/>
      <c r="P37" s="31"/>
      <c r="Q37" s="31"/>
      <c r="R37" s="31"/>
      <c r="S37" s="31" t="str">
        <f t="shared" ref="S37:S40" si="45">REPT(CHAR(9),1)&amp;D37&amp;G37</f>
        <v xml:space="preserve">	goshiCar : string = '' ; </v>
      </c>
      <c r="T37" s="31" t="str">
        <f t="shared" ref="T37:T40" si="46">REPT(CHAR(9),3)&amp;"this."&amp;D37&amp;","</f>
        <v xml:space="preserve">			this.goshiCar,</v>
      </c>
      <c r="U37" s="31" t="str">
        <f t="shared" ref="U37:U40" si="47">IF(E37="int",REPT(CHAR(9),2)&amp;"this."&amp;D37&amp;" = 0,",REPT(CHAR(9),2)&amp;"this."&amp;D37&amp;" = '',")</f>
        <v xml:space="preserve">		this.goshiCar = '',</v>
      </c>
      <c r="V37" s="31" t="str">
        <f t="shared" si="44"/>
        <v>goshiCar</v>
      </c>
    </row>
    <row r="38" spans="1:22" ht="18" customHeight="1" x14ac:dyDescent="0.25">
      <c r="A38" s="44" t="s">
        <v>313</v>
      </c>
      <c r="B38" s="31" t="str">
        <f>SUBSTITUTE(PROPER(A38),"_","")</f>
        <v>LineoffDatetime</v>
      </c>
      <c r="C38" s="31" t="str">
        <f>SUBSTITUTE(PROPER(A38),"_"," ")</f>
        <v>Lineoff Datetime</v>
      </c>
      <c r="D38" s="31" t="str">
        <f>LOWER(LEFT(B38,1))&amp;RIGHT(B38,LEN(B38) - 1)</f>
        <v>lineoffDatetime</v>
      </c>
      <c r="E38" s="31" t="str">
        <f>A.Backend!H32</f>
        <v>DateTime</v>
      </c>
      <c r="F38" s="31" t="str">
        <f>A.Backend!G32</f>
        <v>7</v>
      </c>
      <c r="G38" s="31" t="str">
        <f t="shared" si="39"/>
        <v xml:space="preserve"> : any ;</v>
      </c>
      <c r="H38" s="38" t="str">
        <f t="shared" si="40"/>
        <v xml:space="preserve">			{headerName: this.l('Lineoff Datetime'),headerTooltip: this.l('Lineoff Datetime'),field: 'lineoffDatetime',valueGetter: (params) =&gt; this.pipe.transform(params.data?.lineoffDatetime, 'dd/MM/yyyy'),flex: 1},</v>
      </c>
      <c r="I38" s="38" t="str">
        <f t="shared" si="41"/>
        <v xml:space="preserve">								&lt;div class='input-search'&gt;
									&lt;input type='text' [placeholder]="l('Lineoff Datetime')" [(ngModel)]='lineoffDatetime' 
									name='lineoffDatetime' (keydown)='searchDatas()' class='form-control' 
									bsDatepicker #d='bsDatepicker' placement='bottom left'&gt;
									&lt;i class='fa fa-calendar-alt' (click)='d.toggle()'&gt;&lt;/i&gt;
								&lt;/div&gt;</v>
      </c>
      <c r="J38" s="31"/>
      <c r="K38" s="38" t="str">
        <f t="shared" si="42"/>
        <v xml:space="preserve">					&lt;div class='col-md-12 form-group row'&gt;
						&lt;label class='col-md-2 form-control title'&gt;Lineoff Datetime&lt;/label&gt;
						&lt;input type='text' class='col-md-10 form-control input-text' name='lineoffDatetime' 
						#datepicker='bsDatepicker' [(ngModel)]='rowdata.lineoffDatetime'  bsDatepicker &gt;
					&lt;/div&gt;</v>
      </c>
      <c r="L38" s="60" t="str">
        <f t="shared" si="43"/>
        <v xml:space="preserve">		const dateValue =  this.rowdata.lineoffDatetime ? new Date(this.rowdata.lineoffDatetime?.toString()) : new Date();
		this.datepicker?.bsValueChange.emit(dateValue);</v>
      </c>
      <c r="M38" s="31"/>
      <c r="N38" s="31"/>
      <c r="O38" s="31"/>
      <c r="P38" s="31"/>
      <c r="Q38" s="31"/>
      <c r="R38" s="31"/>
      <c r="S38" s="31" t="str">
        <f t="shared" si="45"/>
        <v xml:space="preserve">	lineoffDatetime : any ;</v>
      </c>
      <c r="T38" s="31" t="str">
        <f t="shared" si="46"/>
        <v xml:space="preserve">			this.lineoffDatetime,</v>
      </c>
      <c r="U38" s="31" t="str">
        <f t="shared" si="47"/>
        <v xml:space="preserve">		this.lineoffDatetime = '',</v>
      </c>
      <c r="V38" s="31" t="str">
        <f t="shared" si="44"/>
        <v/>
      </c>
    </row>
    <row r="39" spans="1:22" ht="15" customHeight="1" x14ac:dyDescent="0.25">
      <c r="A39" s="44" t="s">
        <v>312</v>
      </c>
      <c r="B39" s="31" t="str">
        <f t="shared" ref="B39:B42" si="48">SUBSTITUTE(PROPER(A39),"_","")</f>
        <v>LineoffDate</v>
      </c>
      <c r="C39" s="31" t="str">
        <f t="shared" ref="C39:C42" si="49">SUBSTITUTE(PROPER(A39),"_"," ")</f>
        <v>Lineoff Date</v>
      </c>
      <c r="D39" s="31" t="str">
        <f t="shared" ref="D39:D42" si="50">LOWER(LEFT(B39,1))&amp;RIGHT(B39,LEN(B39) - 1)</f>
        <v>lineoffDate</v>
      </c>
      <c r="E39" s="31" t="str">
        <f>A.Backend!H33</f>
        <v>DateTime</v>
      </c>
      <c r="F39" s="31" t="str">
        <f>A.Backend!G33</f>
        <v/>
      </c>
      <c r="G39" s="31" t="str">
        <f t="shared" si="39"/>
        <v xml:space="preserve"> : any ;</v>
      </c>
      <c r="H39" s="38" t="str">
        <f t="shared" si="40"/>
        <v xml:space="preserve">			{headerName: this.l('Lineoff Date'),headerTooltip: this.l('Lineoff Date'),field: 'lineoffDate',valueGetter: (params) =&gt; this.pipe.transform(params.data?.lineoffDate, 'dd/MM/yyyy'),flex: 1},</v>
      </c>
      <c r="I39" s="38" t="str">
        <f t="shared" si="41"/>
        <v xml:space="preserve">								&lt;div class='input-search'&gt;
									&lt;input type='text' [placeholder]="l('Lineoff Date')" [(ngModel)]='lineoffDate' 
									name='lineoffDate' (keydown)='searchDatas()' class='form-control' 
									bsDatepicker #d='bsDatepicker' placement='bottom left'&gt;
									&lt;i class='fa fa-calendar-alt' (click)='d.toggle()'&gt;&lt;/i&gt;
								&lt;/div&gt;</v>
      </c>
      <c r="J39" s="31"/>
      <c r="K39" s="38" t="str">
        <f t="shared" si="42"/>
        <v xml:space="preserve">					&lt;div class='col-md-12 form-group row'&gt;
						&lt;label class='col-md-2 form-control title'&gt;Lineoff Date&lt;/label&gt;
						&lt;input type='text' class='col-md-10 form-control input-text' name='lineoffDate' 
						#datepicker='bsDatepicker' [(ngModel)]='rowdata.lineoffDate'  bsDatepicker &gt;
					&lt;/div&gt;</v>
      </c>
      <c r="L39" s="60" t="str">
        <f t="shared" si="43"/>
        <v xml:space="preserve">		const dateValue =  this.rowdata.lineoffDate ? new Date(this.rowdata.lineoffDate?.toString()) : new Date();
		this.datepicker?.bsValueChange.emit(dateValue);</v>
      </c>
      <c r="M39" s="31"/>
      <c r="N39" s="31"/>
      <c r="O39" s="31"/>
      <c r="P39" s="31"/>
      <c r="Q39" s="31"/>
      <c r="R39" s="31"/>
      <c r="S39" s="31" t="str">
        <f t="shared" si="45"/>
        <v xml:space="preserve">	lineoffDate : any ;</v>
      </c>
      <c r="T39" s="31" t="str">
        <f t="shared" si="46"/>
        <v xml:space="preserve">			this.lineoffDate,</v>
      </c>
      <c r="U39" s="31" t="str">
        <f t="shared" si="47"/>
        <v xml:space="preserve">		this.lineoffDate = '',</v>
      </c>
      <c r="V39" s="31" t="str">
        <f t="shared" si="44"/>
        <v/>
      </c>
    </row>
    <row r="40" spans="1:22" ht="18" customHeight="1" x14ac:dyDescent="0.25">
      <c r="A40" s="44" t="s">
        <v>314</v>
      </c>
      <c r="B40" s="31" t="str">
        <f t="shared" si="48"/>
        <v>LineoffTime</v>
      </c>
      <c r="C40" s="31" t="str">
        <f t="shared" si="49"/>
        <v>Lineoff Time</v>
      </c>
      <c r="D40" s="31" t="str">
        <f t="shared" si="50"/>
        <v>lineoffTime</v>
      </c>
      <c r="E40" s="31" t="str">
        <f>A.Backend!H34</f>
        <v>DateTime</v>
      </c>
      <c r="F40" s="31" t="str">
        <f>A.Backend!G34</f>
        <v>7</v>
      </c>
      <c r="G40" s="31" t="str">
        <f t="shared" si="39"/>
        <v xml:space="preserve"> : any ;</v>
      </c>
      <c r="H40" s="38" t="str">
        <f t="shared" si="40"/>
        <v xml:space="preserve">			{headerName: this.l('Lineoff Time'),headerTooltip: this.l('Lineoff Time'),field: 'lineoffTime',valueGetter: (params) =&gt; this.pipe.transform(params.data?.lineoffTime, 'dd/MM/yyyy'),flex: 1},</v>
      </c>
      <c r="I40" s="38" t="str">
        <f t="shared" si="41"/>
        <v xml:space="preserve">								&lt;div class='input-search'&gt;
									&lt;input type='text' [placeholder]="l('Lineoff Time')" [(ngModel)]='lineoffTime' 
									name='lineoffTime' (keydown)='searchDatas()' class='form-control' 
									bsDatepicker #d='bsDatepicker' placement='bottom left'&gt;
									&lt;i class='fa fa-calendar-alt' (click)='d.toggle()'&gt;&lt;/i&gt;
								&lt;/div&gt;</v>
      </c>
      <c r="J40" s="31"/>
      <c r="K40" s="38" t="str">
        <f t="shared" si="42"/>
        <v xml:space="preserve">					&lt;div class='col-md-12 form-group row'&gt;
						&lt;label class='col-md-2 form-control title'&gt;Lineoff Time&lt;/label&gt;
						&lt;input type='text' class='col-md-10 form-control input-text' name='lineoffTime' 
						#datepicker='bsDatepicker' [(ngModel)]='rowdata.lineoffTime'  bsDatepicker &gt;
					&lt;/div&gt;</v>
      </c>
      <c r="L40" s="60" t="str">
        <f t="shared" si="43"/>
        <v xml:space="preserve">		const dateValue =  this.rowdata.lineoffTime ? new Date(this.rowdata.lineoffTime?.toString()) : new Date();
		this.datepicker?.bsValueChange.emit(dateValue);</v>
      </c>
      <c r="M40" s="31"/>
      <c r="N40" s="31"/>
      <c r="O40" s="31"/>
      <c r="P40" s="31"/>
      <c r="Q40" s="31"/>
      <c r="R40" s="31"/>
      <c r="S40" s="31" t="str">
        <f t="shared" si="45"/>
        <v xml:space="preserve">	lineoffTime : any ;</v>
      </c>
      <c r="T40" s="31" t="str">
        <f t="shared" si="46"/>
        <v xml:space="preserve">			this.lineoffTime,</v>
      </c>
      <c r="U40" s="31" t="str">
        <f t="shared" si="47"/>
        <v xml:space="preserve">		this.lineoffTime = '',</v>
      </c>
      <c r="V40" s="31" t="str">
        <f t="shared" si="44"/>
        <v/>
      </c>
    </row>
    <row r="41" spans="1:22" ht="15" customHeight="1" x14ac:dyDescent="0.25">
      <c r="A41" s="44" t="s">
        <v>315</v>
      </c>
      <c r="B41" s="31" t="str">
        <f t="shared" si="48"/>
        <v>PdiDatetime</v>
      </c>
      <c r="C41" s="31" t="str">
        <f t="shared" si="49"/>
        <v>Pdi Datetime</v>
      </c>
      <c r="D41" s="31" t="str">
        <f t="shared" si="50"/>
        <v>pdiDatetime</v>
      </c>
      <c r="E41" s="31" t="str">
        <f>A.Backend!H35</f>
        <v>DateTime</v>
      </c>
      <c r="F41" s="31" t="str">
        <f>A.Backend!G35</f>
        <v>7</v>
      </c>
      <c r="G41" s="31" t="str">
        <f t="shared" si="39"/>
        <v xml:space="preserve"> : any ;</v>
      </c>
      <c r="H41" s="38" t="str">
        <f t="shared" si="40"/>
        <v xml:space="preserve">			{headerName: this.l('Pdi Datetime'),headerTooltip: this.l('Pdi Datetime'),field: 'pdiDatetime',valueGetter: (params) =&gt; this.pipe.transform(params.data?.pdiDatetime, 'dd/MM/yyyy'),flex: 1},</v>
      </c>
      <c r="I41" s="38" t="str">
        <f t="shared" si="41"/>
        <v xml:space="preserve">								&lt;div class='input-search'&gt;
									&lt;input type='text' [placeholder]="l('Pdi Datetime')" [(ngModel)]='pdiDatetime' 
									name='pdiDatetime' (keydown)='searchDatas()' class='form-control' 
									bsDatepicker #d='bsDatepicker' placement='bottom left'&gt;
									&lt;i class='fa fa-calendar-alt' (click)='d.toggle()'&gt;&lt;/i&gt;
								&lt;/div&gt;</v>
      </c>
      <c r="J41" s="31"/>
      <c r="K41" s="38" t="str">
        <f t="shared" si="42"/>
        <v xml:space="preserve">					&lt;div class='col-md-12 form-group row'&gt;
						&lt;label class='col-md-2 form-control title'&gt;Pdi Datetime&lt;/label&gt;
						&lt;input type='text' class='col-md-10 form-control input-text' name='pdiDatetime' 
						#datepicker='bsDatepicker' [(ngModel)]='rowdata.pdiDatetime'  bsDatepicker &gt;
					&lt;/div&gt;</v>
      </c>
      <c r="L41" s="60" t="str">
        <f t="shared" si="43"/>
        <v xml:space="preserve">		const dateValue =  this.rowdata.pdiDatetime ? new Date(this.rowdata.pdiDatetime?.toString()) : new Date();
		this.datepicker?.bsValueChange.emit(dateValue);</v>
      </c>
      <c r="M41" s="31"/>
      <c r="N41" s="31"/>
      <c r="O41" s="31"/>
      <c r="P41" s="31"/>
      <c r="Q41" s="31"/>
      <c r="R41" s="31"/>
      <c r="S41" s="31" t="str">
        <f>REPT(CHAR(9),1)&amp;D41&amp;G41</f>
        <v xml:space="preserve">	pdiDatetime : any ;</v>
      </c>
      <c r="T41" s="31" t="str">
        <f>REPT(CHAR(9),3)&amp;"this."&amp;D41&amp;","</f>
        <v xml:space="preserve">			this.pdiDatetime,</v>
      </c>
      <c r="U41" s="31" t="str">
        <f>IF(E41="int",REPT(CHAR(9),2)&amp;"this."&amp;D41&amp;" = 0,",REPT(CHAR(9),2)&amp;"this."&amp;D41&amp;" = '',")</f>
        <v xml:space="preserve">		this.pdiDatetime = '',</v>
      </c>
      <c r="V41" s="31" t="str">
        <f t="shared" si="44"/>
        <v/>
      </c>
    </row>
    <row r="42" spans="1:22" ht="18" customHeight="1" x14ac:dyDescent="0.25">
      <c r="A42" s="44" t="s">
        <v>316</v>
      </c>
      <c r="B42" s="31" t="str">
        <f t="shared" si="48"/>
        <v>PdiDate</v>
      </c>
      <c r="C42" s="31" t="str">
        <f t="shared" si="49"/>
        <v>Pdi Date</v>
      </c>
      <c r="D42" s="31" t="str">
        <f t="shared" si="50"/>
        <v>pdiDate</v>
      </c>
      <c r="E42" s="31" t="str">
        <f>A.Backend!H36</f>
        <v>DateTime</v>
      </c>
      <c r="F42" s="31" t="str">
        <f>A.Backend!G36</f>
        <v/>
      </c>
      <c r="G42" s="31" t="str">
        <f t="shared" si="39"/>
        <v xml:space="preserve"> : any ;</v>
      </c>
      <c r="H42" s="38" t="str">
        <f t="shared" si="40"/>
        <v xml:space="preserve">			{headerName: this.l('Pdi Date'),headerTooltip: this.l('Pdi Date'),field: 'pdiDate',valueGetter: (params) =&gt; this.pipe.transform(params.data?.pdiDate, 'dd/MM/yyyy'),flex: 1},</v>
      </c>
      <c r="I42" s="38" t="str">
        <f t="shared" si="41"/>
        <v xml:space="preserve">								&lt;div class='input-search'&gt;
									&lt;input type='text' [placeholder]="l('Pdi Date')" [(ngModel)]='pdiDate' 
									name='pdiDate' (keydown)='searchDatas()' class='form-control' 
									bsDatepicker #d='bsDatepicker' placement='bottom left'&gt;
									&lt;i class='fa fa-calendar-alt' (click)='d.toggle()'&gt;&lt;/i&gt;
								&lt;/div&gt;</v>
      </c>
      <c r="J42" s="31"/>
      <c r="K42" s="38" t="str">
        <f t="shared" si="42"/>
        <v xml:space="preserve">					&lt;div class='col-md-12 form-group row'&gt;
						&lt;label class='col-md-2 form-control title'&gt;Pdi Date&lt;/label&gt;
						&lt;input type='text' class='col-md-10 form-control input-text' name='pdiDate' 
						#datepicker='bsDatepicker' [(ngModel)]='rowdata.pdiDate'  bsDatepicker &gt;
					&lt;/div&gt;</v>
      </c>
      <c r="L42" s="60" t="str">
        <f t="shared" si="43"/>
        <v xml:space="preserve">		const dateValue =  this.rowdata.pdiDate ? new Date(this.rowdata.pdiDate?.toString()) : new Date();
		this.datepicker?.bsValueChange.emit(dateValue);</v>
      </c>
      <c r="M42" s="31"/>
      <c r="N42" s="31"/>
      <c r="O42" s="31"/>
      <c r="P42" s="31"/>
      <c r="Q42" s="31"/>
      <c r="R42" s="31"/>
      <c r="S42" s="31" t="str">
        <f t="shared" ref="S42:S44" si="51">REPT(CHAR(9),1)&amp;D42&amp;G42</f>
        <v xml:space="preserve">	pdiDate : any ;</v>
      </c>
      <c r="T42" s="31" t="str">
        <f t="shared" ref="T42:T44" si="52">REPT(CHAR(9),3)&amp;"this."&amp;D42&amp;","</f>
        <v xml:space="preserve">			this.pdiDate,</v>
      </c>
      <c r="U42" s="31" t="str">
        <f t="shared" ref="U42:U44" si="53">IF(E42="int",REPT(CHAR(9),2)&amp;"this."&amp;D42&amp;" = 0,",REPT(CHAR(9),2)&amp;"this."&amp;D42&amp;" = '',")</f>
        <v xml:space="preserve">		this.pdiDate = '',</v>
      </c>
      <c r="V42" s="31" t="str">
        <f t="shared" si="44"/>
        <v/>
      </c>
    </row>
    <row r="43" spans="1:22" ht="18" customHeight="1" x14ac:dyDescent="0.25">
      <c r="A43" s="44" t="s">
        <v>317</v>
      </c>
      <c r="B43" s="31" t="str">
        <f>SUBSTITUTE(PROPER(A43),"_","")</f>
        <v>PdiTime</v>
      </c>
      <c r="C43" s="31" t="str">
        <f>SUBSTITUTE(PROPER(A43),"_"," ")</f>
        <v>Pdi Time</v>
      </c>
      <c r="D43" s="31" t="str">
        <f>LOWER(LEFT(B43,1))&amp;RIGHT(B43,LEN(B43) - 1)</f>
        <v>pdiTime</v>
      </c>
      <c r="E43" s="31" t="str">
        <f>A.Backend!H37</f>
        <v>DateTime</v>
      </c>
      <c r="F43" s="31" t="str">
        <f>A.Backend!G37</f>
        <v>7</v>
      </c>
      <c r="G43" s="31" t="str">
        <f t="shared" si="39"/>
        <v xml:space="preserve"> : any ;</v>
      </c>
      <c r="H43" s="38" t="str">
        <f t="shared" si="40"/>
        <v xml:space="preserve">			{headerName: this.l('Pdi Time'),headerTooltip: this.l('Pdi Time'),field: 'pdiTime',valueGetter: (params) =&gt; this.pipe.transform(params.data?.pdiTime, 'dd/MM/yyyy'),flex: 1},</v>
      </c>
      <c r="I43" s="38" t="str">
        <f t="shared" si="41"/>
        <v xml:space="preserve">								&lt;div class='input-search'&gt;
									&lt;input type='text' [placeholder]="l('Pdi Time')" [(ngModel)]='pdiTime' 
									name='pdiTime' (keydown)='searchDatas()' class='form-control' 
									bsDatepicker #d='bsDatepicker' placement='bottom left'&gt;
									&lt;i class='fa fa-calendar-alt' (click)='d.toggle()'&gt;&lt;/i&gt;
								&lt;/div&gt;</v>
      </c>
      <c r="J43" s="31"/>
      <c r="K43" s="38" t="str">
        <f t="shared" si="42"/>
        <v xml:space="preserve">					&lt;div class='col-md-12 form-group row'&gt;
						&lt;label class='col-md-2 form-control title'&gt;Pdi Time&lt;/label&gt;
						&lt;input type='text' class='col-md-10 form-control input-text' name='pdiTime' 
						#datepicker='bsDatepicker' [(ngModel)]='rowdata.pdiTime'  bsDatepicker &gt;
					&lt;/div&gt;</v>
      </c>
      <c r="L43" s="60" t="str">
        <f t="shared" si="43"/>
        <v xml:space="preserve">		const dateValue =  this.rowdata.pdiTime ? new Date(this.rowdata.pdiTime?.toString()) : new Date();
		this.datepicker?.bsValueChange.emit(dateValue);</v>
      </c>
      <c r="M43" s="31"/>
      <c r="N43" s="31"/>
      <c r="O43" s="31"/>
      <c r="P43" s="31"/>
      <c r="Q43" s="31"/>
      <c r="R43" s="31"/>
      <c r="S43" s="31" t="str">
        <f t="shared" si="51"/>
        <v xml:space="preserve">	pdiTime : any ;</v>
      </c>
      <c r="T43" s="31" t="str">
        <f t="shared" si="52"/>
        <v xml:space="preserve">			this.pdiTime,</v>
      </c>
      <c r="U43" s="31" t="str">
        <f t="shared" si="53"/>
        <v xml:space="preserve">		this.pdiTime = '',</v>
      </c>
      <c r="V43" s="31" t="str">
        <f t="shared" si="44"/>
        <v/>
      </c>
    </row>
    <row r="44" spans="1:22" ht="15" customHeight="1" x14ac:dyDescent="0.25">
      <c r="A44" s="44" t="s">
        <v>318</v>
      </c>
      <c r="B44" s="31" t="str">
        <f t="shared" ref="B44" si="54">SUBSTITUTE(PROPER(A44),"_","")</f>
        <v>AssemblyId</v>
      </c>
      <c r="C44" s="31" t="str">
        <f t="shared" ref="C44" si="55">SUBSTITUTE(PROPER(A44),"_"," ")</f>
        <v>Assembly Id</v>
      </c>
      <c r="D44" s="31" t="str">
        <f t="shared" ref="D44" si="56">LOWER(LEFT(B44,1))&amp;RIGHT(B44,LEN(B44) - 1)</f>
        <v>assemblyId</v>
      </c>
      <c r="E44" s="31" t="str">
        <f>A.Backend!H38</f>
        <v>long</v>
      </c>
      <c r="F44" s="31" t="str">
        <f>A.Backend!G38</f>
        <v/>
      </c>
      <c r="G44" s="31" t="str">
        <f t="shared" si="39"/>
        <v/>
      </c>
      <c r="H44" s="38" t="str">
        <f t="shared" si="40"/>
        <v xml:space="preserve">			{headerName: this.l('Assembly Id'),headerTooltip: this.l('Assembly Id'),field: 'assemblyId',flex: 1},</v>
      </c>
      <c r="I44" s="38" t="str">
        <f t="shared" si="41"/>
        <v/>
      </c>
      <c r="J44" s="31"/>
      <c r="K44" s="38" t="str">
        <f t="shared" si="42"/>
        <v/>
      </c>
      <c r="L44" s="60" t="str">
        <f t="shared" si="43"/>
        <v/>
      </c>
      <c r="M44" s="31"/>
      <c r="N44" s="31"/>
      <c r="O44" s="31"/>
      <c r="P44" s="31"/>
      <c r="Q44" s="31"/>
      <c r="R44" s="31"/>
      <c r="S44" s="31" t="str">
        <f t="shared" si="51"/>
        <v xml:space="preserve">	assemblyId</v>
      </c>
      <c r="T44" s="31" t="str">
        <f t="shared" si="52"/>
        <v xml:space="preserve">			this.assemblyId,</v>
      </c>
      <c r="U44" s="31" t="str">
        <f t="shared" si="53"/>
        <v xml:space="preserve">		this.assemblyId = '',</v>
      </c>
      <c r="V44" s="31" t="str">
        <f t="shared" si="44"/>
        <v/>
      </c>
    </row>
    <row r="47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268</v>
      </c>
      <c r="B20" t="s">
        <v>269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2023-05-25T12:12:12Z</dcterms:modified>
</cp:coreProperties>
</file>
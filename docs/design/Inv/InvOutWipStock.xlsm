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Inv\"/>
    </mc:Choice>
  </mc:AlternateContent>
  <xr:revisionPtr revIDLastSave="0" documentId="13_ncr:1_{F5D8B4C0-1341-4B68-A74A-0CB6364D871F}" xr6:coauthVersionLast="36" xr6:coauthVersionMax="36" xr10:uidLastSave="{00000000-0000-0000-0000-000000000000}"/>
  <bookViews>
    <workbookView xWindow="0" yWindow="495" windowWidth="28800" windowHeight="1642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B16" i="5" l="1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B22" i="5"/>
  <c r="D22" i="5" s="1"/>
  <c r="C22" i="5"/>
  <c r="B23" i="5"/>
  <c r="D23" i="5" s="1"/>
  <c r="C23" i="5"/>
  <c r="B24" i="5"/>
  <c r="D24" i="5" s="1"/>
  <c r="C24" i="5"/>
  <c r="B25" i="5"/>
  <c r="D25" i="5" s="1"/>
  <c r="C25" i="5"/>
  <c r="B26" i="5"/>
  <c r="D26" i="5" s="1"/>
  <c r="C26" i="5"/>
  <c r="B27" i="5"/>
  <c r="D27" i="5" s="1"/>
  <c r="C27" i="5"/>
  <c r="B28" i="5"/>
  <c r="D28" i="5" s="1"/>
  <c r="C28" i="5"/>
  <c r="B29" i="5"/>
  <c r="D29" i="5" s="1"/>
  <c r="C29" i="5"/>
  <c r="B30" i="5"/>
  <c r="D30" i="5" s="1"/>
  <c r="C30" i="5"/>
  <c r="B31" i="5"/>
  <c r="D31" i="5" s="1"/>
  <c r="C31" i="5"/>
  <c r="C15" i="5"/>
  <c r="B15" i="5"/>
  <c r="D15" i="5" s="1"/>
  <c r="T15" i="5" s="1"/>
  <c r="L19" i="1"/>
  <c r="G19" i="1"/>
  <c r="E19" i="1"/>
  <c r="H19" i="1" s="1"/>
  <c r="E25" i="5" s="1"/>
  <c r="G25" i="5" s="1"/>
  <c r="D19" i="1"/>
  <c r="V19" i="1" s="1"/>
  <c r="L18" i="1"/>
  <c r="G18" i="1"/>
  <c r="E18" i="1"/>
  <c r="H18" i="1" s="1"/>
  <c r="E24" i="5" s="1"/>
  <c r="D18" i="1"/>
  <c r="T18" i="1" s="1"/>
  <c r="G17" i="1"/>
  <c r="E17" i="1"/>
  <c r="H17" i="1" s="1"/>
  <c r="O17" i="1" s="1"/>
  <c r="D17" i="1"/>
  <c r="V17" i="1" s="1"/>
  <c r="G16" i="1"/>
  <c r="E16" i="1"/>
  <c r="H16" i="1" s="1"/>
  <c r="E22" i="5" s="1"/>
  <c r="D16" i="1"/>
  <c r="L15" i="1"/>
  <c r="G15" i="1"/>
  <c r="E15" i="1"/>
  <c r="H15" i="1" s="1"/>
  <c r="E21" i="5" s="1"/>
  <c r="D15" i="1"/>
  <c r="V15" i="1" s="1"/>
  <c r="V14" i="1"/>
  <c r="L14" i="1"/>
  <c r="G14" i="1"/>
  <c r="E14" i="1"/>
  <c r="H14" i="1" s="1"/>
  <c r="E20" i="5" s="1"/>
  <c r="D14" i="1"/>
  <c r="T14" i="1" s="1"/>
  <c r="L13" i="1"/>
  <c r="G13" i="1"/>
  <c r="E13" i="1"/>
  <c r="H13" i="1" s="1"/>
  <c r="O13" i="1" s="1"/>
  <c r="D13" i="1"/>
  <c r="V13" i="1" s="1"/>
  <c r="L12" i="1"/>
  <c r="G12" i="1"/>
  <c r="E12" i="1"/>
  <c r="H12" i="1" s="1"/>
  <c r="E18" i="5" s="1"/>
  <c r="G18" i="5" s="1"/>
  <c r="D12" i="1"/>
  <c r="V12" i="1" s="1"/>
  <c r="G11" i="1"/>
  <c r="E11" i="1"/>
  <c r="H11" i="1" s="1"/>
  <c r="E17" i="5" s="1"/>
  <c r="D11" i="1"/>
  <c r="V11" i="1" s="1"/>
  <c r="G10" i="1"/>
  <c r="E10" i="1"/>
  <c r="H10" i="1" s="1"/>
  <c r="E16" i="5" s="1"/>
  <c r="D10" i="1"/>
  <c r="T10" i="1" s="1"/>
  <c r="L23" i="1"/>
  <c r="G23" i="1"/>
  <c r="E23" i="1"/>
  <c r="H23" i="1" s="1"/>
  <c r="E29" i="5" s="1"/>
  <c r="D23" i="1"/>
  <c r="V23" i="1" s="1"/>
  <c r="L22" i="1"/>
  <c r="G22" i="1"/>
  <c r="E22" i="1"/>
  <c r="H22" i="1" s="1"/>
  <c r="E28" i="5" s="1"/>
  <c r="G28" i="5" s="1"/>
  <c r="D22" i="1"/>
  <c r="T22" i="1" s="1"/>
  <c r="G21" i="1"/>
  <c r="E21" i="1"/>
  <c r="H21" i="1" s="1"/>
  <c r="E27" i="5" s="1"/>
  <c r="D21" i="1"/>
  <c r="G20" i="1"/>
  <c r="E20" i="1"/>
  <c r="H20" i="1" s="1"/>
  <c r="M20" i="1" s="1"/>
  <c r="D20" i="1"/>
  <c r="V20" i="1" s="1"/>
  <c r="L9" i="1"/>
  <c r="G9" i="1"/>
  <c r="F15" i="5" s="1"/>
  <c r="E9" i="1"/>
  <c r="H9" i="1" s="1"/>
  <c r="E15" i="5" s="1"/>
  <c r="D9" i="1"/>
  <c r="T9" i="1" s="1"/>
  <c r="L25" i="1"/>
  <c r="G25" i="1"/>
  <c r="E25" i="1"/>
  <c r="H25" i="1" s="1"/>
  <c r="E31" i="5" s="1"/>
  <c r="D25" i="1"/>
  <c r="T25" i="1" s="1"/>
  <c r="L24" i="1"/>
  <c r="G24" i="1"/>
  <c r="E24" i="1"/>
  <c r="H24" i="1" s="1"/>
  <c r="D24" i="1"/>
  <c r="T24" i="1" s="1"/>
  <c r="G31" i="5" l="1"/>
  <c r="I31" i="5"/>
  <c r="G16" i="5"/>
  <c r="V16" i="5"/>
  <c r="P11" i="1"/>
  <c r="O24" i="1"/>
  <c r="V18" i="5"/>
  <c r="V22" i="5"/>
  <c r="G29" i="5"/>
  <c r="I29" i="5"/>
  <c r="V29" i="5"/>
  <c r="K27" i="5"/>
  <c r="I27" i="5"/>
  <c r="G17" i="5"/>
  <c r="L17" i="5"/>
  <c r="G21" i="5"/>
  <c r="S21" i="5" s="1"/>
  <c r="I21" i="5"/>
  <c r="L21" i="5"/>
  <c r="V15" i="5"/>
  <c r="G15" i="5"/>
  <c r="S15" i="5" s="1"/>
  <c r="G24" i="5"/>
  <c r="V24" i="5"/>
  <c r="G20" i="5"/>
  <c r="L20" i="5"/>
  <c r="I20" i="5"/>
  <c r="H25" i="5"/>
  <c r="E19" i="5"/>
  <c r="H19" i="5" s="1"/>
  <c r="H31" i="5"/>
  <c r="H28" i="5"/>
  <c r="E26" i="5"/>
  <c r="H21" i="5"/>
  <c r="H29" i="5"/>
  <c r="I25" i="5"/>
  <c r="E30" i="5"/>
  <c r="H30" i="5" s="1"/>
  <c r="I28" i="5"/>
  <c r="H27" i="5"/>
  <c r="E23" i="5"/>
  <c r="I23" i="5" s="1"/>
  <c r="H20" i="5"/>
  <c r="H24" i="5"/>
  <c r="I24" i="5"/>
  <c r="I22" i="5"/>
  <c r="H22" i="5"/>
  <c r="K22" i="5"/>
  <c r="I17" i="5"/>
  <c r="H17" i="5"/>
  <c r="I18" i="5"/>
  <c r="H18" i="5"/>
  <c r="H23" i="5"/>
  <c r="H16" i="5"/>
  <c r="I16" i="5"/>
  <c r="K20" i="5"/>
  <c r="G27" i="5"/>
  <c r="G22" i="5"/>
  <c r="S22" i="5" s="1"/>
  <c r="K25" i="5"/>
  <c r="L25" i="5"/>
  <c r="L26" i="5"/>
  <c r="L18" i="5"/>
  <c r="K26" i="5"/>
  <c r="U18" i="5"/>
  <c r="U15" i="5"/>
  <c r="T22" i="5"/>
  <c r="L22" i="5"/>
  <c r="U22" i="5"/>
  <c r="T19" i="5"/>
  <c r="T18" i="5"/>
  <c r="S18" i="5"/>
  <c r="K18" i="5"/>
  <c r="T21" i="5"/>
  <c r="U21" i="5"/>
  <c r="H15" i="5"/>
  <c r="L27" i="5"/>
  <c r="I15" i="5"/>
  <c r="V21" i="5"/>
  <c r="K15" i="5"/>
  <c r="L16" i="5"/>
  <c r="V20" i="5"/>
  <c r="L24" i="5"/>
  <c r="L15" i="5"/>
  <c r="L23" i="5"/>
  <c r="K21" i="5"/>
  <c r="V17" i="5"/>
  <c r="U20" i="5"/>
  <c r="U24" i="5"/>
  <c r="T29" i="5"/>
  <c r="T27" i="5"/>
  <c r="T26" i="5"/>
  <c r="U27" i="5"/>
  <c r="V28" i="5"/>
  <c r="U26" i="5"/>
  <c r="S27" i="5"/>
  <c r="V27" i="5"/>
  <c r="V25" i="5"/>
  <c r="K28" i="5"/>
  <c r="L29" i="5"/>
  <c r="V26" i="5"/>
  <c r="K29" i="5"/>
  <c r="L28" i="5"/>
  <c r="P13" i="1"/>
  <c r="V10" i="1"/>
  <c r="T13" i="1"/>
  <c r="V24" i="1"/>
  <c r="V18" i="1"/>
  <c r="P15" i="1"/>
  <c r="P17" i="1"/>
  <c r="T17" i="1"/>
  <c r="W18" i="1"/>
  <c r="O18" i="1"/>
  <c r="J18" i="1"/>
  <c r="N18" i="1"/>
  <c r="M18" i="1"/>
  <c r="I18" i="1"/>
  <c r="M12" i="1"/>
  <c r="W12" i="1"/>
  <c r="J12" i="1"/>
  <c r="I12" i="1"/>
  <c r="O12" i="1"/>
  <c r="N12" i="1"/>
  <c r="W15" i="1"/>
  <c r="J15" i="1"/>
  <c r="I15" i="1"/>
  <c r="M15" i="1"/>
  <c r="O15" i="1"/>
  <c r="N15" i="1"/>
  <c r="I10" i="1"/>
  <c r="O10" i="1"/>
  <c r="J10" i="1"/>
  <c r="N10" i="1"/>
  <c r="M10" i="1"/>
  <c r="W10" i="1"/>
  <c r="W11" i="1"/>
  <c r="J11" i="1"/>
  <c r="M11" i="1"/>
  <c r="I11" i="1"/>
  <c r="O11" i="1"/>
  <c r="N11" i="1"/>
  <c r="J14" i="1"/>
  <c r="O14" i="1"/>
  <c r="I14" i="1"/>
  <c r="N14" i="1"/>
  <c r="M14" i="1"/>
  <c r="W14" i="1"/>
  <c r="W19" i="1"/>
  <c r="J19" i="1"/>
  <c r="I19" i="1"/>
  <c r="M19" i="1"/>
  <c r="O19" i="1"/>
  <c r="N19" i="1"/>
  <c r="M16" i="1"/>
  <c r="O16" i="1"/>
  <c r="W16" i="1"/>
  <c r="J16" i="1"/>
  <c r="I16" i="1"/>
  <c r="N16" i="1"/>
  <c r="P12" i="1"/>
  <c r="I13" i="1"/>
  <c r="P16" i="1"/>
  <c r="I17" i="1"/>
  <c r="T12" i="1"/>
  <c r="J13" i="1"/>
  <c r="W13" i="1"/>
  <c r="T16" i="1"/>
  <c r="J17" i="1"/>
  <c r="W17" i="1"/>
  <c r="V16" i="1"/>
  <c r="P19" i="1"/>
  <c r="T11" i="1"/>
  <c r="M13" i="1"/>
  <c r="T15" i="1"/>
  <c r="M17" i="1"/>
  <c r="T19" i="1"/>
  <c r="P10" i="1"/>
  <c r="N13" i="1"/>
  <c r="P14" i="1"/>
  <c r="N17" i="1"/>
  <c r="P18" i="1"/>
  <c r="V25" i="1"/>
  <c r="P9" i="1"/>
  <c r="P24" i="1"/>
  <c r="V9" i="1"/>
  <c r="W9" i="1"/>
  <c r="J9" i="1"/>
  <c r="I9" i="1"/>
  <c r="O9" i="1"/>
  <c r="N9" i="1"/>
  <c r="M9" i="1"/>
  <c r="W23" i="1"/>
  <c r="J23" i="1"/>
  <c r="I23" i="1"/>
  <c r="O23" i="1"/>
  <c r="N23" i="1"/>
  <c r="M23" i="1"/>
  <c r="O22" i="1"/>
  <c r="N22" i="1"/>
  <c r="M22" i="1"/>
  <c r="W22" i="1"/>
  <c r="J22" i="1"/>
  <c r="I22" i="1"/>
  <c r="O21" i="1"/>
  <c r="M21" i="1"/>
  <c r="W21" i="1"/>
  <c r="I21" i="1"/>
  <c r="P21" i="1"/>
  <c r="V22" i="1"/>
  <c r="O20" i="1"/>
  <c r="T21" i="1"/>
  <c r="P20" i="1"/>
  <c r="V21" i="1"/>
  <c r="T20" i="1"/>
  <c r="I20" i="1"/>
  <c r="P23" i="1"/>
  <c r="W20" i="1"/>
  <c r="T23" i="1"/>
  <c r="P22" i="1"/>
  <c r="O25" i="1"/>
  <c r="N25" i="1"/>
  <c r="M25" i="1"/>
  <c r="I25" i="1"/>
  <c r="W25" i="1"/>
  <c r="J25" i="1"/>
  <c r="I24" i="1"/>
  <c r="J24" i="1"/>
  <c r="M24" i="1"/>
  <c r="W24" i="1"/>
  <c r="N24" i="1"/>
  <c r="P25" i="1"/>
  <c r="I19" i="5" l="1"/>
  <c r="U19" i="5"/>
  <c r="L19" i="5"/>
  <c r="K19" i="5"/>
  <c r="G26" i="5"/>
  <c r="S26" i="5" s="1"/>
  <c r="I26" i="5"/>
  <c r="G23" i="5"/>
  <c r="V23" i="5"/>
  <c r="H26" i="5"/>
  <c r="G30" i="5"/>
  <c r="I30" i="5"/>
  <c r="G19" i="5"/>
  <c r="S19" i="5" s="1"/>
  <c r="V19" i="5"/>
  <c r="S29" i="5"/>
  <c r="U29" i="5"/>
  <c r="K24" i="5"/>
  <c r="K17" i="5"/>
  <c r="U17" i="5"/>
  <c r="T17" i="5"/>
  <c r="S17" i="5"/>
  <c r="U16" i="5"/>
  <c r="K23" i="5"/>
  <c r="K16" i="5"/>
  <c r="T23" i="5"/>
  <c r="S23" i="5"/>
  <c r="T16" i="5"/>
  <c r="S16" i="5"/>
  <c r="T24" i="5"/>
  <c r="S24" i="5"/>
  <c r="S20" i="5"/>
  <c r="T20" i="5"/>
  <c r="U23" i="5"/>
  <c r="T28" i="5"/>
  <c r="S28" i="5"/>
  <c r="U25" i="5"/>
  <c r="T25" i="5"/>
  <c r="S25" i="5"/>
  <c r="U28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T30" i="5"/>
  <c r="T31" i="5"/>
  <c r="R3" i="1" l="1"/>
  <c r="D1" i="1"/>
  <c r="F6" i="1"/>
  <c r="T13" i="5"/>
  <c r="T27" i="1"/>
  <c r="T7" i="1" l="1"/>
  <c r="W27" i="1"/>
  <c r="L30" i="5" l="1"/>
  <c r="K30" i="5"/>
  <c r="L31" i="5"/>
  <c r="K31" i="5"/>
  <c r="S31" i="5"/>
  <c r="U31" i="5"/>
  <c r="V31" i="5"/>
  <c r="S30" i="5"/>
  <c r="V30" i="5"/>
  <c r="U30" i="5"/>
  <c r="G6" i="1"/>
  <c r="H13" i="5"/>
  <c r="K13" i="5"/>
  <c r="I13" i="5"/>
  <c r="U13" i="5"/>
  <c r="V13" i="5"/>
  <c r="L13" i="5"/>
  <c r="S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1" i="1" l="1"/>
  <c r="L16" i="1"/>
  <c r="L10" i="1"/>
  <c r="L17" i="1"/>
  <c r="L20" i="1"/>
  <c r="L21" i="1"/>
  <c r="J20" i="1"/>
  <c r="N21" i="1"/>
  <c r="J21" i="1"/>
  <c r="N20" i="1"/>
  <c r="C7" i="1"/>
  <c r="O27" i="1"/>
  <c r="I27" i="1"/>
  <c r="N27" i="1"/>
  <c r="P27" i="1"/>
  <c r="J27" i="1"/>
  <c r="Q7" i="1" l="1"/>
  <c r="M58" i="3" s="1"/>
  <c r="L7" i="1"/>
  <c r="G58" i="3" s="1"/>
  <c r="K58" i="3"/>
  <c r="J58" i="3"/>
  <c r="M27" i="1"/>
  <c r="K27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<sst xmlns="http://schemas.openxmlformats.org/spreadsheetml/2006/main" count="472" uniqueCount="346">
  <si>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</si>
  <si>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</si>
  <si>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</si>
  <si>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</si>
  <si>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</si>
  <si>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</si>
  <si>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</si>
  <si>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</si>
  <si>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</si>
  <si>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</si>
  <si>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</si>
  <si>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</si>
  <si>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</si>
  <si>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</si>
  <si>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</si>
  <si>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</si>
  <si>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</si>
  <si>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</si>
  <si>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</si>
  <si>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</si>
  <si>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</si>
  <si>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</si>
  <si>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</si>
  <si>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</si>
  <si>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</si>
  <si>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</si>
  <si>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</si>
  <si>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</si>
  <si>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</si>
  <si>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</si>
  <si>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</si>
  <si>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</si>
  <si>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</si>
  <si>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</si>
  <si>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</si>
  <si>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</si>
  <si>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</si>
  <si>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</si>
  <si>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</si>
  <si>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</si>
  <si>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</si>
  <si>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</si>
  <si>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</si>
  <si>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</si>
  <si>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</si>
  <si>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</si>
  <si>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</si>
  <si>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</si>
  <si>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</si>
  <si>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</si>
  <si>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</si>
  <si>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</si>
  <si>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</si>
  <si>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</si>
  <si>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</si>
  <si>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</si>
  <si>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</si>
  <si>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</si>
  <si>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</si>
  <si>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</si>
  <si>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</si>
  <si>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</si>
  <si>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</si>
  <si>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</si>
  <si>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</si>
  <si>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</si>
  <si>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</si>
  <si>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</si>
  <si>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</si>
  <si>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</si>
  <si>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</si>
  <si>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</si>
  <si>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</si>
  <si>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</si>
  <si>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</si>
  <si>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</si>
  <si>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</si>
  <si>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</si>
  <si>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</si>
  <si>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</si>
  <si>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</si>
  <si>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</si>
  <si>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</si>
  <si>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</si>
  <si>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</si>
  <si>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</si>
  <si>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</si>
  <si>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</si>
  <si>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</si>
  <si>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</si>
  <si>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</si>
  <si>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</si>
  <si>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</si>
  <si>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</si>
  <si>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</si>
  <si>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</si>
  <si>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</si>
  <si>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</si>
  <si>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</si>
  <si>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</si>
  <si>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</si>
  <si>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</si>
  <si>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</si>
  <si>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</si>
  <si>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</si>
  <si>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</si>
  <si>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</si>
  <si>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</si>
  <si>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</si>
  <si>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</si>
  <si>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</si>
  <si>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</si>
  <si>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</si>
  <si>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</si>
  <si>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</si>
  <si>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</si>
  <si>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</si>
  <si>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</si>
  <si>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</si>
  <si>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</si>
  <si>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</si>
  <si>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</si>
  <si>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</si>
  <si>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</si>
  <si>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</si>
  <si>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</si>
  <si>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</si>
  <si>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</si>
  <si>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</si>
  <si>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</si>
  <si>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</si>
  <si>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</si>
  <si>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</si>
  <si>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</si>
  <si>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</si>
  <si>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</si>
  <si>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</si>
  <si>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</si>
  <si>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</si>
  <si>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</si>
  <si>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</si>
  <si>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</si>
  <si>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</si>
  <si>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</si>
  <si>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</si>
  <si>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</si>
  <si>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</si>
  <si>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</si>
  <si>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</si>
  <si>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</si>
  <si>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</si>
  <si>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</si>
  <si>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</si>
  <si>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</si>
  <si>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</si>
  <si>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</si>
  <si>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</si>
  <si>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</si>
  <si>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</si>
  <si>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</si>
  <si>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</si>
  <si>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</si>
  <si>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</si>
  <si>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</si>
  <si>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</si>
  <si>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</si>
  <si>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</si>
  <si>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</si>
  <si>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</si>
  <si>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</si>
  <si>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</si>
  <si>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</si>
  <si>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</si>
  <si>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</si>
  <si>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</si>
  <si>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</si>
  <si>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</si>
  <si>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</si>
  <si>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</si>
  <si>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</si>
  <si>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</si>
  <si>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</si>
  <si>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</si>
  <si>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</si>
  <si>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</si>
  <si>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</si>
  <si>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</si>
  <si>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</si>
  <si>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</si>
  <si>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</si>
  <si>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</si>
  <si>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</si>
  <si>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</si>
  <si>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</si>
  <si>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</si>
  <si>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</si>
  <si>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</si>
  <si>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</si>
  <si>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</si>
  <si>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</si>
  <si>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</si>
  <si>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</si>
  <si>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</si>
  <si>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</si>
  <si>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</si>
  <si>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</si>
  <si>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</si>
  <si>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</si>
  <si>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</si>
  <si>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</si>
  <si>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</si>
  <si>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</si>
  <si>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</si>
  <si>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</si>
  <si>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</si>
  <si>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</si>
  <si>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</si>
  <si>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</si>
  <si>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</si>
  <si>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</si>
  <si>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</si>
  <si>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</si>
  <si>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</si>
  <si>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</si>
  <si>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</si>
  <si>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</si>
  <si>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</si>
  <si>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</si>
  <si>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</si>
  <si>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</si>
  <si>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</si>
  <si>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</si>
  <si>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</si>
  <si>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</si>
  <si>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</si>
  <si>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</si>
  <si>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</si>
  <si>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</si>
  <si>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</si>
  <si>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</si>
  <si>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</si>
  <si>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</si>
  <si>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</si>
  <si>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</si>
  <si>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</si>
  <si>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</si>
  <si>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</si>
  <si>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</si>
  <si>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</si>
  <si>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</si>
  <si>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</si>
  <si>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</si>
  <si>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</si>
  <si>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</si>
  <si>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</si>
  <si>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</si>
  <si>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</si>
  <si>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</si>
  <si>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</si>
  <si>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</si>
  <si>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</si>
  <si>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</si>
  <si>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</si>
  <si>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</si>
  <si>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</si>
  <si>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</si>
  <si>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</si>
  <si>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</si>
  <si>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</si>
  <si>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</si>
  <si>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</si>
  <si>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</si>
  <si>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</si>
  <si>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</si>
  <si>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</si>
  <si>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</si>
  <si>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</si>
  <si>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</si>
  <si>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</si>
  <si>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</si>
  <si>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</si>
  <si>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</si>
  <si>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</si>
  <si>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</si>
  <si>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</si>
  <si>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</si>
  <si>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</si>
  <si>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</si>
  <si>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</si>
  <si>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</si>
  <si>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</si>
  <si>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</si>
  <si>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</si>
  <si>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</si>
  <si>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</si>
  <si>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</si>
  <si>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</si>
  <si>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</si>
  <si>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</si>
  <si>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</si>
  <si>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</si>
  <si>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</si>
  <si>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</si>
  <si>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</si>
  <si>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</si>
  <si>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</si>
  <si>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</si>
  <si>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</si>
  <si>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</si>
  <si>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</si>
  <si>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</si>
  <si>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</si>
  <si>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</si>
  <si>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</si>
  <si>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</si>
  <si>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</si>
  <si>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</si>
  <si>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</si>
  <si>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</si>
  <si>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</si>
  <si>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</si>
  <si>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Period_Id</t>
  </si>
  <si>
    <t>numeric(19, 0)</t>
  </si>
  <si>
    <t>Part_No</t>
  </si>
  <si>
    <t>varchar(50)</t>
  </si>
  <si>
    <t>Lot_No</t>
  </si>
  <si>
    <t>numeric(10, 2)</t>
  </si>
  <si>
    <t>Customs_Declare_No</t>
  </si>
  <si>
    <t>Declare_Date</t>
  </si>
  <si>
    <t>Dc_Type</t>
  </si>
  <si>
    <t>In_Stock_By_Lot</t>
  </si>
  <si>
    <t>numeric(18, 4)</t>
  </si>
  <si>
    <t>Amount</t>
  </si>
  <si>
    <t>Amount_Vn</t>
  </si>
  <si>
    <t>Carfamily_Code</t>
  </si>
  <si>
    <t>Usage_Qty</t>
  </si>
  <si>
    <t>Sum_Cif</t>
  </si>
  <si>
    <t>Sum_Tax</t>
  </si>
  <si>
    <t>Sum_Inland</t>
  </si>
  <si>
    <t>Sum_Cif_Vn</t>
  </si>
  <si>
    <t>Sum_Tax_Vn</t>
  </si>
  <si>
    <t>Sum_Inland_Vn</t>
  </si>
  <si>
    <t>InvOutWipStock</t>
  </si>
  <si>
    <t>Inv</t>
  </si>
  <si>
    <t>OutWipStock</t>
  </si>
  <si>
    <t>Inventory Out Wip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</si>
</sst>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topLeftCell="A48" workbookViewId="0">
      <selection activeCell="H58" sqref="H5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5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[Table("InvOutWipStock")]
	[Index(nameof(LotNo), Name="IX_InvOutWipStock_LotNo")]
	[Index(nameof(PartNo), Name="IX_InvOutWipStock_PartNo")]
	[Index(nameof(SumInland), Name="IX_InvOutWipStock_SumInland")]
	[Index(nameof(Amount), Name="IX_InvOutWipStock_Amount")]
	[Index(nameof(SumInlandVn), Name="IX_InvOutWipStock_SumInlandVn")]
	[Index(nameof(AmountVn), Name="IX_InvOutWipStock_AmountVn")]
	public class InvOutWipStock: FullAuditedEntity&lt;long&gt;, IEntity&lt;long&gt;	
	{
		public const int MaxLotNoLength = 50;
		public const int MaxPartNoLength = 50;
		public const int MaxCarfamilyCodeLength = 50;
		public const int MaxDcTypeLength = 50;
		public const int MaxInStockByLotLength = 50;
		public virtual decimal PeriodId { get; set; }
		[StringLength(MaxLotNoLength)]
		public virtual string LotNo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}
}
</v>
      </c>
      <c r="D58" s="51" t="str">
        <f>A.Backend!O7</f>
        <v xml:space="preserve">		public const string Pages_Inv_OutWipStock = "Pages.Inv.OutWipStock";
		public const string Pages_Inv_OutWipStock_CreateEdit = "Pages.Inv.OutWipStock.CreateEdit";
		public const string Pages_Inv_OutWipStock_Delete = "Pages.Inv.OutWipStock.Delete";
</v>
      </c>
      <c r="E58" s="51" t="str">
        <f>A.Backend!N7</f>
        <v xml:space="preserve">		var perInvOutWipStock = PARENTS.CreateChildPermission(AppPermissions.Pages_Inv_OutWipStock, L( "InvOutWipStock"), multiTenancySides: MultiTenancySides.Tenant);
		perInvOutWipStock.CreateChildPermission(AppPermissions.Pages_Inv_OutWipStock_CreateEdit, L( "InvOutWipStockCreateEdit"), multiTenancySides: MultiTenancySides.Tenant);
		perInvOutWipStock.CreateChildPermission(AppPermissions.Pages_Inv_OutWipStock_Delete, L( "InvOutWipStockDelete"), multiTenancySides: MultiTenancySides.Tenant);</v>
      </c>
      <c r="F58" s="51" t="str">
        <f>A.Backend!K7</f>
        <v>public virtual DbSet&lt;InvOutWipStock&gt; InvOutWipStocks { get; set; }</v>
      </c>
      <c r="G58" s="51" t="str">
        <f ca="1">A.Backend!L7</f>
        <v xml:space="preserve">namespace vovina.Inv
{
	public class InvOutWipStockConsts	
	{
		public const int MaxLotNoLength = 50;
		public const int MaxPartNoLength = 50;
		public const int MaxCarfamilyCodeLength = 50;
		public const int MaxDcTypeLength = 50;
		public const int MaxInStockByLotLength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vovina.Inv.Dto
{
	public class InvOutWipStockDto : EntityDto&lt;long?&gt;	
	{
		public virtual decimal PeriodId { get; set; }
		public virtual string LotNo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	public class CreateOrEditInvOutWipStockDto : EntityDto&lt;long?&gt;	
	{
		public virtual decimal PeriodId { get; set; }
		[StringLength(InvOutWipStockConsts.MaxLotNoLength)]
		public virtual string LotNo { get; set; }
		[StringLength(InvOutWipStockConsts.MaxPartNoLength)]
		public virtual string PartNo { get; set; }
		[StringLength(InvOutWipStockConsts.MaxCarfamilyCodeLength)]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[StringLength(InvOutWipStockConsts.MaxDcTypeLength)]
		public virtual string DcType { get; set; }
		[StringLength(InvOutWipStockConsts.MaxInStockByLotLength)]
		public virtual string InStockByLot { get; set; }
	}
	public class GetInvOutWipStockInput : PagedAndSortedResultRequestDto	
	{
		public virtual string LotNo { get; set; }
		public virtual string PartNo { get; set; }
		public virtual string CarfamilyCode { get; set; }
		public virtual DateTime? DeclareDate { get; set; }
		public virtual string DcType { get; set; }
		public virtual string InStockByLot { get; set; }
	}
}
</v>
      </c>
      <c r="I58" s="51" t="str">
        <f ca="1">A.Backend!R7</f>
        <v xml:space="preserve">using Abp.Application.Services.Dto;
using System;
using System.ComponentModel.DataAnnotations;
namespace vovina.Inv.Dto
{
	public class InvOutWipStockExportInput{
		public virtual decimal PeriodId { get; set; }
		public virtual string LotNo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vovina.Inv.Dto;
namespace vovina.Inv
{
	public interface IInvOutWipStockAppService : IApplicationService
	{
		Task&lt;PagedResultDto&lt;InvOutWipStockDto&gt;&gt; GetAll(GetInvOutWipStockInput input);
		Task CreateOrEdit(CreateOrEditInvOutWipStockDto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vovina.Inv.Dto;
namespace vovina.Inv.Exporting
{
	public interface IInvOutWipStockExcelExporter : IApplicationService
	{
		FileDto ExportToFile(List&lt;InvOutWipStockDto&gt; invoutwipstock);
	}
}
</v>
      </c>
      <c r="L58" s="51" t="str">
        <f ca="1">A.Backend!T7</f>
        <v>using System.Collections.Generic;
using vovina.DataExporting.Excel.NPOI;
using vovina.Dto;
using vovina.Inv..Exporting;
using vovina.Inv..Dto;
using vovina.Storage;
using vovina.Inv..Dto;
namespace vovina.Inv..Exporting
{
    public class InvOutWipStockExcelExporter : NpoiExcelExporterBase, IInvOutWipStockExcelExporter
    {
        public InvOutWipStockExcelExporter(ITempFileCacheManager tempFileCacheManager) : base(tempFileCacheManager) { }
        public FileDto ExportToFile(List&lt;InvOutWipStockDto&gt; outwipstock)
        {
            return CreateExcelPackage(
				"InvOutWipStock.xlsx",
				excelPackage =&gt;
				 {
					var sheet = excelPackage.CreateSheet("OutWipStock");
					AddHeader(
								sheet,
								("PeriodId"),
								("LotNo"),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
							   );
					AddObjects(
						 sheet, 1, outwipstock,                                       
								_ =&gt; _.PeriodId,
								_ =&gt; _.LotNo,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[AbpAuthorize(AppPermissions.Pages_Inv__OutWipStock)]
    public class InvOutWipStockAppService : vovinaAppServiceBase, IInvOutWipStockAppService
    {
        private readonly IDapperRepository&lt;InvOutWipStock, long&gt; _dapperRepo;
        private readonly IRepository&lt;InvOutWipStock, long&gt; _repo;
        private readonly IInvOutWipStockExcelExporter _calendarListExcelExporter;
        public InvOutWipStockAppService(IRepository&lt;InvOutWipStock,long&gt; repo, 
                                         IDapperRepository&lt;InvOutWipStock,long&gt; dapperRepo,
                                        IInvOutWipStockExcelExporter calendarListExcelExporter
            )
        {
            _repo = repo;
            _dapperRepo = dapperRepo;
            _calendarListExcelExporter = calendarListExcelExporter;
        }
        [AbpAuthorize(AppPermissions.Pages_Inv__OutWipStock_CreateEdit)]
        public async Task CreateOrEdit(CreateOrEditInvOutWipStockDto input)
        {
            if (input.Id == null) await Create(input);
            else await Update(input);
        }
        //CREATE
        private async Task Create(CreateOrEditInvOutWipStockDto input)
        {          
            var mainObj = ObjectMapper.Map&lt;InvOutWipStock&gt;(input);
            await CurrentUnitOfWork.GetDbContext&lt;vovinaDbContext&gt;().AddAsync(mainObj);
        }
        // EDIT
        private async Task Update(CreateOrEditInvOutWipStockDto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[AbpAuthorize(AppPermissions.Pages_Inv__OutWipStock_Delete)]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Task&lt;PagedResultDto&lt;InvOutWipStockDto&gt;&gt; GetAll(GetInvOutWipStockInput input)
        {
            var filtered = _repo.GetAll()
				.WhereIf(!string.IsNullOrWhiteSpace(input.LotNo), e =&gt; e.LotNo.Contains(input.LotNo))
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                   
				;
            var pageAndFiltered = filtered.OrderBy(s =&gt; s.Id);
            var system = from o in pageAndFiltered
                         select new InvOutWipStockDto
                        {
							Id = o.Id,
							PeriodId = o.PeriodId,
							LotNo = o.LotNo,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totalCount = await filtered.CountAsync();
			var paged = system.PageBy(input);
            return new PagedResultDto&lt;InvOutWipStockDto&gt;(
                totalCount,
                 await paged.ToListAsync()
            );
        }
        public async Task&lt;FileDto&gt; GetOutWipStockToExcel(InvOutWipStockExportInput input)
        {
            var query = from o in _repo.GetAll()
                        select new InvOutWipStockDto
                        {
							Id = o.Id,
							PeriodId = o.PeriodId,
							LotNo = o.LotNo,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exportToExcel = await query.ToListAsync();
            return _calendarListExcelExporter.ExportToFile(exportToExcel);
        }
       // public async Task GenerateAsync()
      //  {
        //    await _dapperRepo.ExecuteAsync(InvOutWipStockConsts.SP_MST_WPT_CALENDAR_GENERATE);
       // }
    }
}</v>
      </c>
      <c r="N58" s="62" t="str">
        <f>A.Backend!U7</f>
        <v xml:space="preserve">  configuration.CreateMap&lt;InvOutWipStockDto, InvOutWipStock&gt;();
  configuration.CreateMap&lt;InvOutWipStock, InvOutWipStockDto&gt;();
  configuration.CreateMap&lt;CreateOrEditInvOutWipStockDto, InvOutWipStock&gt;();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outwipstock</v>
      </c>
      <c r="C63" s="72" t="str">
        <f>"create folder " &amp;B63</f>
        <v>create folder outwipstock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outwipstock.component.ts</v>
      </c>
      <c r="D64" s="31" t="str">
        <f>B.Frontend!I14</f>
        <v>outwipstock.component.html</v>
      </c>
      <c r="E64" s="31" t="str">
        <f>B.Frontend!J14</f>
        <v>outwipstock.component.less</v>
      </c>
      <c r="F64" s="31" t="str">
        <f>B.Frontend!K14</f>
        <v>create-or-edit-outwipstock-modal.component.html</v>
      </c>
      <c r="G64" s="31" t="str">
        <f>B.Frontend!L14</f>
        <v>create-or-edit-outwipstock-modal.component.ts</v>
      </c>
      <c r="H64" s="31" t="str">
        <f>B.Frontend!M14</f>
        <v>create-or-edit-outwipstock-modal.component.less</v>
      </c>
      <c r="I64" s="31" t="str">
        <f>B.Frontend!N14</f>
        <v>outwipstock.module.ts</v>
      </c>
      <c r="J64" s="31" t="str">
        <f>B.Frontend!O14</f>
        <v>outwipstock-routing.module.ts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InvOutWipStockDto, InvOutWipStockServiceProxy } from '@shared/service-proxies/service-proxies';
import { finalize } from 'rxjs/internal/operators/finalize';
import { CreateOrEditOutWipStockModalComponent } from './create-or-edit-outwipstock-modal.component';
import { DatePipe } from '@angular/common';
import { FileDownloadService } from '@shared/utils/file-download.service';
import ceil from 'lodash-es/ceil';
import { Paginator } from 'primeng/paginator';
@Component({
    templateUrl: './outwipstock.component.html',
    styleUrls: ['./outwipstock.component.less'],
})
export class OutWipStockComponent extends AppComponentBase implements OnInit {
    @ViewChild('createOrEditModalOutWipStock', { static: true }) createOrEditModalOutWipStock:| CreateOrEditOutWipStockModalComponent|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InvOutWipStockDto = new InvOutWipStockDto();
    saveSelectedRow: InvOutWipStockDto = new InvOutWipStockDto();
    datas: InvOutWipStockDto = new InvOutWipStockDto();
    isLoading: boolean = false;
    dataParams: GridParams | undefined;
    rowData: any[] = [];
    gridApi!: GridApi;
    rowSelection = 'multiple';
    filter: string = '';
	pipe = new DatePipe('en-US');
	frameworkComponents: FrameworkComponent;
    periodId
	lotNo : string = '' ; 
	partNo : string = '' ; 
	carfamilyCode : string = '' ; 
	usageQty
sumCif
	sumTax
	sumInland
	amount
	sumCifVn
sumTaxVn
	sumInlandVn
	amountVn
	customsDeclareNo
	declareDate : any ;
dcType : string = '' ; 
	inStockByLot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InvOutWipStockServiceProxy,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this.l('Lot No'),headerTooltip: this.l('Lot No'),field: 'lotNo',flex: 1},
			{headerName: this.l('Part No'),headerTooltip: this.l('Part No'),field: 'partNo',flex: 1},
			{headerName: this.l('Carfamily Code'),headerTooltip: this.l('Carfamily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		this.lotNo = '',
		this.partNo = '',
		this.carfamilyCode = '',
		this.usageQty = '',
this.sumCif = '',
		this.sumTax = '',
		this.sumInland = '',
		this.amount = '',
		this.sumCifVn = '',
this.sumTaxVn = '',
		this.sumInlandVn = '',
		this.amountVn = '',
		this.customsDeclareNo = '',
		this.declareDate = '',
this.dcType = '',
		this.inStockByLot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);
    }
    onChangeRowSelection(params: { api: { getSelectedRows: () =&gt; InvOutWipStockDto[] } }) {
        this.saveSelectedRow = params.api.getSelectedRows()[0] ?? new InvOutWipStockDto();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InvOutWipStockDto):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this._service.getOutWipStockToExcel(
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Out Wip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(click)="createOrEditModalOutWipStock.show()"&gt;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(click)="createOrEditModalOutWipStock.show(selectedRow)"&gt;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&lt;create-or-edit-outwipstock-modal
    #createOrEditModalOutWipStock
    (modalSave)="callBackDataGrid(dataParams)"
    (modalClose)="onChangeRowSelection(dataParams)"
&gt;
&lt;/create-or-edit-outwipstock-modal&gt;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#createOrEditModalOutWipStock="bs-modal"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OutWipStock')}}&lt;/h3&gt;
                    &lt;h3 *ngIf="!rowdata.id"&gt;{{('Create New OutWipStock')}}&lt;/h3&gt;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CreateOrEditInvOutWipStockDto, InvOutWipStockServiceProxy } from '@shared/service-proxies/service-proxies';
import { BsDatepickerDirective } from 'ngx-bootstrap/datepicker';
@Component({
    selector: 'create-or-edit-outwipstock-modal',
    templateUrl: './create-or-edit-outwipstock-modal.component.html',
    styleUrls: ['./create-or-edit-outwipstock-modal.component.less']
    })
export class CreateOrEditOutWipStockModalComponent extends AppComponentBase {
    @ViewChild('createOrEditModalOutWipStock',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CreateOrEditInvOutWipStockDto = new CreateOrEditInvOutWipStockDto();
    active: boolean = false;
    saving: boolean = false;
    _: boolean;
    constructor(
        injector: Injector,
        private _mstwptOutWipStockService: InvOutWipStockServiceProxy,
    ) 
    {
        super(injector);
    }
    show(rowdata?: CreateOrEditInvOutWipStockDto): void {
        if (!rowdata) this.rowdata = new CreateOrEditInvOutWipStockDto();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this._mstwptOutWipStockService.createOrEdit(this.rowdata)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OutWipStockRoutingModule } from './outwipstock-routing.module';
import { OutWipStockComponent } from './outwipstock.component';
import { CreateOrEditOutWipStockModalComponent } from './create-or-edit-outwipstock-modal.component';
@NgModule({
    declarations: [
       OutWipStockComponent, 
        CreateOrEditOutWipStockModalComponent
    ],
    imports: [
        AppSharedModule, OutWipStockRoutingModule]
})
export class OutWipStockModule {}</v>
      </c>
      <c r="J65" s="49" t="str">
        <f>B.Frontend!O10</f>
        <v>import {NgModule} from '@angular/core';
import {RouterModule, Routes} from '@angular/router';
import { OutWipStockComponent } from './outwipstock.component';
const routes: Routes = [{
    path: '',
    component: OutWipStockComponent,
    pathMatch: 'full'
}];
@NgModule({
    imports: [RouterModule.forChild(routes)],
    exports: [RouterModule],
})
export class OutWipStockRoutingModule {}</v>
      </c>
      <c r="K65" s="49" t="str">
        <f>B.Frontend!P10</f>
        <v xml:space="preserve"> new AppMenuItem("OutWipStock", "Pages.Inv.0.OutWipStock", "flaticon-book",   "/app/main/inv/0/outwipstock"),</v>
      </c>
      <c r="L65" s="50" t="str">
        <f>B.Frontend!Q10</f>
        <v>{
    path: 'inv/0/outwipstock',
    loadChildren: () =&gt; import('./inv/0/outwipstock/outwipstock.module').then(m =&gt; m.OutWipStockModule),
    data: { permission: 'Pages.Inv.0.OutWipStock' }
},</v>
      </c>
      <c r="M65" s="48" t="str">
        <f>B.Frontend!R10</f>
        <v>ApiServiceProxies.InvOutWipStockServiceProxy,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7"/>
  <sheetViews>
    <sheetView workbookViewId="0">
      <pane xSplit="1" topLeftCell="B1" activePane="topRight" state="frozen"/>
      <selection pane="topRight" activeCell="D4" sqref="D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343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342</v>
      </c>
      <c r="C3" s="10" t="s">
        <v>43</v>
      </c>
      <c r="D3" s="10" t="s">
        <v>44</v>
      </c>
      <c r="E3" s="10" t="s">
        <v>39</v>
      </c>
      <c r="F3" s="11" t="str">
        <f>"J"&amp;COUNTA($A:$A)</f>
        <v>J25</v>
      </c>
      <c r="G3" s="4" t="s">
        <v>57</v>
      </c>
      <c r="H3" s="10" t="str">
        <f>"I"&amp;COUNTA($A:$A)</f>
        <v>I25</v>
      </c>
      <c r="I3" s="10" t="str">
        <f>REPT(CHAR(9),2)&amp;"[Required]"&amp;"
"</f>
        <v xml:space="preserve">		[Required]
</v>
      </c>
      <c r="J3" s="11" t="str">
        <f>"L"&amp;COUNTA($A:$A)</f>
        <v>L25</v>
      </c>
      <c r="K3" s="5" t="s">
        <v>56</v>
      </c>
      <c r="L3" s="11" t="str">
        <f>"M"&amp;COUNTA($A:$A)</f>
        <v>M25</v>
      </c>
      <c r="M3" s="11" t="str">
        <f>"N"&amp;COUNTA($A:$A)</f>
        <v>N25</v>
      </c>
      <c r="N3" s="11" t="str">
        <f>"O"&amp;COUNTA($A:$A)</f>
        <v>O25</v>
      </c>
      <c r="O3" s="11" t="str">
        <f>"P"&amp;COUNTA($A:$A)</f>
        <v>P25</v>
      </c>
      <c r="R3" s="32" t="str">
        <f>REPT(CHAR(9),1)&amp;"public class "&amp;B3&amp;"ExportInput"&amp;C3</f>
        <v xml:space="preserve">	public class InvOutWipStockExportInput{
</v>
      </c>
      <c r="S3" s="11" t="str">
        <f>"namespace "&amp;$B$6&amp;".Exporting
"&amp;$C$3</f>
        <v xml:space="preserve">namespace vovina.Inv.Exporting
{
</v>
      </c>
      <c r="T3" s="11" t="str">
        <f>"T"&amp;COUNTA($A:$A)</f>
        <v>T25</v>
      </c>
      <c r="V3" s="11" t="str">
        <f>"V"&amp;COUNTA($A:$A)</f>
        <v>V25</v>
      </c>
      <c r="W3" s="10" t="str">
        <f>"W"&amp;COUNTA($A:$A)</f>
        <v>W25</v>
      </c>
    </row>
    <row r="4" spans="1:23" s="11" customFormat="1" ht="33" customHeight="1" x14ac:dyDescent="0.25">
      <c r="A4" s="1" t="s">
        <v>237</v>
      </c>
      <c r="B4" s="64" t="s">
        <v>343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344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vovina.Inv</v>
      </c>
      <c r="C6" s="11" t="str">
        <f>"namespace "&amp;$B$6&amp;"
"&amp;$C$3</f>
        <v xml:space="preserve">namespace vovina.Inv
{
</v>
      </c>
      <c r="D6" s="11" t="str">
        <f>REPT(CHAR(9),1)&amp;"public class "&amp;B3&amp;G3&amp;REPT(CHAR(9),1)&amp;"
"&amp;REPT(CHAR(9),1)&amp;C3</f>
        <v xml:space="preserve">	public class InvOutWipStock: FullAuditedEntity&lt;long&gt;, IEntity&lt;long&gt;	
	{
</v>
      </c>
      <c r="E6" s="11" t="str">
        <f>REPT(CHAR(9),1)&amp;"public class "&amp;B3&amp;"Consts"&amp;REPT(CHAR(9),1)&amp;"
"&amp;REPT(CHAR(9),1)&amp;C3</f>
        <v xml:space="preserve">	public class InvOutWipStockConsts	
	{
</v>
      </c>
      <c r="F6" s="11" t="str">
        <f>REPT(CHAR(9),1)&amp;"public class "&amp;B3&amp;"Dto"&amp;K3&amp;REPT(CHAR(9),1)&amp;"
"&amp;REPT(CHAR(9),1)&amp;C3</f>
        <v xml:space="preserve">	public class InvOutWipStockDto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CreateOrEditInvOutWipStockDto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GetInvOutWipStockInput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InvOutWipStock</v>
      </c>
      <c r="C7" s="11" t="str">
        <f>REPT(CHAR(9),1)&amp;"[Table("""&amp;B7&amp;""")]"&amp;"
"</f>
        <v xml:space="preserve">	[Table("InvOutWipStock")]
</v>
      </c>
      <c r="D7" s="11"/>
      <c r="E7" s="11"/>
      <c r="F7" s="11"/>
      <c r="G7" s="11"/>
      <c r="H7" s="11"/>
      <c r="I7" s="11"/>
      <c r="J7" s="6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vovina.Inv
{
	[Table("InvOutWipStock")]
	[Index(nameof(LotNo), Name="IX_InvOutWipStock_LotNo")]
	[Index(nameof(PartNo), Name="IX_InvOutWipStock_PartNo")]
	[Index(nameof(SumInland), Name="IX_InvOutWipStock_SumInland")]
	[Index(nameof(Amount), Name="IX_InvOutWipStock_Amount")]
	[Index(nameof(SumInlandVn), Name="IX_InvOutWipStock_SumInlandVn")]
	[Index(nameof(AmountVn), Name="IX_InvOutWipStock_AmountVn")]
	public class InvOutWipStock: FullAuditedEntity&lt;long&gt;, IEntity&lt;long&gt;	
	{
		public const int MaxLotNoLength = 50;
		public const int MaxPartNoLength = 50;
		public const int MaxCarfamilyCodeLength = 50;
		public const int MaxDcTypeLength = 50;
		public const int MaxInStockByLotLength = 50;
		public virtual decimal PeriodId { get; set; }
		[StringLength(MaxLotNoLength)]
		public virtual string LotNo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	}
}
</v>
      </c>
      <c r="K7" t="str">
        <f>SUBSTITUTE(SUBSTITUTE(("public virtual DbSet&lt;"&amp;B3&amp;"&gt; "&amp;B3&amp;"s { get; set; }"),"WorkingPattern",$Q$3),"Master",$B$4)</f>
        <v>public virtual DbSet&lt;InvOutWipStock&gt; InvOutWipStocks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vovina.Inv
{
	public class InvOutWipStockConsts	
	{
		public const int MaxLotNoLength = 50;
		public const int MaxPartNoLength = 50;
		public const int MaxCarfamilyCodeLength = 50;
		public const int MaxDcTypeLength = 50;
		public const int MaxInStockByLotLength = 50;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vovina.Inv.Dto
{
	public class InvOutWipStockDto : EntityDto&lt;long?&gt;	
	{
		public virtual decimal PeriodId { get; set; }
		public virtual string LotNo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	public class CreateOrEditInvOutWipStockDto : EntityDto&lt;long?&gt;	
	{
		public virtual decimal PeriodId { get; set; }
		[StringLength(InvOutWipStockConsts.MaxLotNoLength)]
		public virtual string LotNo { get; set; }
		[StringLength(InvOutWipStockConsts.MaxPartNoLength)]
		public virtual string PartNo { get; set; }
		[StringLength(InvOutWipStockConsts.MaxCarfamilyCodeLength)]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[StringLength(InvOutWipStockConsts.MaxDcTypeLength)]
		public virtual string DcType { get; set; }
		[StringLength(InvOutWipStockConsts.MaxInStockByLotLength)]
		public virtual string InStockByLot { get; set; }
	}
	public class GetInvOutWipStockInput : PagedAndSortedResultRequestDto	
	{
		public virtual string LotNo { get; set; }
		public virtual string PartNo { get; set; }
		public virtual string CarfamilyCode { get; set; }
		public virtual DateTime? DeclareDate { get; set; }
		public virtual string DcType { get; set; }
		public virtual string InStockByLot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perInvOutWipStock = PARENTS.CreateChildPermission(AppPermissions.Pages_Inv_OutWipStock, L( "InvOutWipStock"), multiTenancySides: MultiTenancySides.Tenant);
		perInvOutWipStock.CreateChildPermission(AppPermissions.Pages_Inv_OutWipStock_CreateEdit, L( "InvOutWipStockCreateEdit"), multiTenancySides: MultiTenancySides.Tenant);
		perInvOutWipStock.CreateChildPermission(AppPermissions.Pages_Inv_OutWipStock_Delete, L( "InvOutWipStockDelete"),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Pages_Inv_OutWipStock = "Pages.Inv.OutWipStock";
		public const string Pages_Inv_OutWipStock_CreateEdit = "Pages.Inv.OutWipStock.CreateEdit";
		public const string Pages_Inv_OutWipStock_Delete = "Pages.Inv.OutWipStock.Delete";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
{
	public interface IInvOutWipStockAppService : IApplicationService
	{
		Task&lt;PagedResultDto&lt;InvOutWipStockDto&gt;&gt; GetAll(GetInvOutWipStockInput input);
		Task CreateOrEdit(CreateOrEditInvOutWipStockDto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vovina.Inv..Dto;
using vovina.Inv..Exporting;
namespace vovina.Inv.
{
    [AbpAuthorize(AppPermissions.Pages_Inv__OutWipStock)]
    public class InvOutWipStockAppService : vovinaAppServiceBase, IInvOutWipStockAppService
    {
        private readonly IDapperRepository&lt;InvOutWipStock, long&gt; _dapperRepo;
        private readonly IRepository&lt;InvOutWipStock, long&gt; _repo;
        private readonly IInvOutWipStockExcelExporter _calendarListExcelExporter;
        public InvOutWipStockAppService(IRepository&lt;InvOutWipStock,long&gt; repo, 
                                         IDapperRepository&lt;InvOutWipStock,long&gt; dapperRepo,
                                        IInvOutWipStockExcelExporter calendarListExcelExporter
            )
        {
            _repo = repo;
            _dapperRepo = dapperRepo;
            _calendarListExcelExporter = calendarListExcelExporter;
        }
        [AbpAuthorize(AppPermissions.Pages_Inv__OutWipStock_CreateEdit)]
        public async Task CreateOrEdit(CreateOrEditInvOutWipStockDto input)
        {
            if (input.Id == null) await Create(input);
            else await Update(input);
        }
        //CREATE
        private async Task Create(CreateOrEditInvOutWipStockDto input)
        {          
            var mainObj = ObjectMapper.Map&lt;InvOutWipStock&gt;(input);
            await CurrentUnitOfWork.GetDbContext&lt;vovinaDbContext&gt;().AddAsync(mainObj);
        }
        // EDIT
        private async Task Update(CreateOrEditInvOutWipStockDto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[AbpAuthorize(AppPermissions.Pages_Inv__OutWipStock_Delete)]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Task&lt;PagedResultDto&lt;InvOutWipStockDto&gt;&gt; GetAll(GetInvOutWipStockInput input)
        {
            var filtered = _repo.GetAll()
				.WhereIf(!string.IsNullOrWhiteSpace(input.LotNo), e =&gt; e.LotNo.Contains(input.LotNo))
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                   
				;
            var pageAndFiltered = filtered.OrderBy(s =&gt; s.Id);
            var system = from o in pageAndFiltered
                         select new InvOutWipStockDto
                        {
							Id = o.Id,
							PeriodId = o.PeriodId,
							LotNo = o.LotNo,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totalCount = await filtered.CountAsync();
			var paged = system.PageBy(input);
            return new PagedResultDto&lt;InvOutWipStockDto&gt;(
                totalCount,
                 await paged.ToListAsync()
            );
        }
        public async Task&lt;FileDto&gt; GetOutWipStockToExcel(InvOutWipStockExportInput input)
        {
            var query = from o in _repo.GetAll()
                        select new InvOutWipStockDto
                        {
							Id = o.Id,
							PeriodId = o.PeriodId,
							LotNo = o.LotNo,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
                        };
            var exportToExcel = await query.ToListAsync();
            return _calendarListExcelExporter.ExportToFile(exportToExcel);
        }
       // public async Task GenerateAsync()
      //  {
        //    await _dapperRepo.ExecuteAsync(InvOutWipStockConsts.SP_MST_WPT_CALENDAR_GENERATE);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vovina.Inv.Dto
{
	public class InvOutWipStockExportInput{
		public virtual decimal PeriodId { get; set; }
		public virtual string LotNo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vovina.Inv.Dto;
namespace vovina.Inv.Exporting
{
	public interface IInvOutWipStockExcelExporter : IApplicationService
	{
		FileDto ExportToFile(List&lt;InvOutWipStockDto&gt; invoutwipstock);
	}
}
</v>
      </c>
      <c r="T7" s="28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vovina.Inv..Exporting;
using vovina.Inv..Dto;
using vovina.Storage;
using vovina.Inv..Dto;
namespace vovina.Inv..Exporting
{
    public class InvOutWipStockExcelExporter : NpoiExcelExporterBase, IInvOutWipStockExcelExporter
    {
        public InvOutWipStockExcelExporter(ITempFileCacheManager tempFileCacheManager) : base(tempFileCacheManager) { }
        public FileDto ExportToFile(List&lt;InvOutWipStockDto&gt; outwipstock)
        {
            return CreateExcelPackage(
				"InvOutWipStock.xlsx",
				excelPackage =&gt;
				 {
					var sheet = excelPackage.CreateSheet("OutWipStock");
					AddHeader(
								sheet,
								("PeriodId"),
								("LotNo"),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
							   );
					AddObjects(
						 sheet, 1, outwipstock,                                       
								_ =&gt; _.PeriodId,
								_ =&gt; _.LotNo,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configuration.CreateMap&lt;InvOutWipStockDto, InvOutWipStock&gt;();
  configuration.CreateMap&lt;InvOutWipStock, InvOutWipStockDto&gt;();
  configuration.CreateMap&lt;CreateOrEditInvOutWipStockDto, InvOutWipStock&gt;();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321</v>
      </c>
      <c r="B9" t="s">
        <v>322</v>
      </c>
      <c r="C9" t="s">
        <v>1</v>
      </c>
      <c r="D9" t="str">
        <f t="shared" ref="D9" si="0">SUBSTITUTE(PROPER(A9),"_","")</f>
        <v>PeriodId</v>
      </c>
      <c r="E9" t="str">
        <f t="shared" ref="E9:E23" si="1">IFERROR(LEFT(B9, FIND("(",B9)-1),B9)</f>
        <v>numeric</v>
      </c>
      <c r="F9" s="7"/>
      <c r="G9" t="str">
        <f t="shared" ref="G9:G23" si="2">IFERROR(MID(B9,FIND("(",B9) +1, FIND(")",B9) - FIND("(",B9) - 1),"")</f>
        <v>19, 0</v>
      </c>
      <c r="H9" t="str">
        <f>+VLOOKUP(E9,'Data Type Mapping'!A:B,2,)</f>
        <v>decimal</v>
      </c>
      <c r="I9" t="str">
        <f t="shared" ref="I9:I23" si="3">IF(H9="string",REPT(CHAR(9),2)&amp;"public const int Max"&amp;D9&amp;"Length = "&amp;G9&amp;";"&amp;$E$3,"" )</f>
        <v/>
      </c>
      <c r="J9" t="str">
        <f t="shared" ref="J9:J23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decimal PeriodId { get; set; }
</v>
      </c>
      <c r="K9" s="7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:M23" si="6">REPT(CHAR(9),2)&amp;"public virtual "&amp;IF(OR(H9="DateTime",H9="TimeSpan"),H9&amp;"?",H9)&amp;IF(C9="?","? "," ")&amp;D9&amp;" { get; set; }" &amp; "
"</f>
        <v xml:space="preserve">		public virtual decimal PeriodId { get; set; }
</v>
      </c>
      <c r="N9" t="str">
        <f t="shared" ref="N9:N23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decimal PeriodId { get; set; }
</v>
      </c>
      <c r="O9" t="str">
        <f t="shared" ref="O9:O23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23" si="9">REPT(CHAR(9),7)&amp;D9&amp;" = o." &amp;D9 &amp;","</f>
        <v xml:space="preserve">							PeriodId = o.PeriodId,</v>
      </c>
      <c r="T9" s="69" t="str">
        <f t="shared" ref="T9:T23" si="10">REPT(CHAR(9),8)&amp;"("""&amp;D9&amp;"""),"</f>
        <v xml:space="preserve">								("PeriodId"),</v>
      </c>
      <c r="V9" s="70" t="str">
        <f t="shared" ref="V9:V23" si="11">REPT(CHAR(9),8)&amp;"_ =&gt; _."&amp;D9&amp;","</f>
        <v xml:space="preserve">								_ =&gt; _.PeriodId,</v>
      </c>
      <c r="W9" s="69" t="str">
        <f t="shared" ref="W9:W23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325</v>
      </c>
      <c r="B10" t="s">
        <v>324</v>
      </c>
      <c r="C10" t="s">
        <v>1</v>
      </c>
      <c r="D10" t="str">
        <f>SUBSTITUTE(PROPER(A10),"_","")</f>
        <v>LotNo</v>
      </c>
      <c r="E10" t="str">
        <f t="shared" ref="E10:E19" si="13">IFERROR(LEFT(B10, FIND("(",B10)-1),B10)</f>
        <v>varchar</v>
      </c>
      <c r="F10" s="7"/>
      <c r="G10" t="str">
        <f t="shared" ref="G10:G19" si="14">IFERROR(MID(B10,FIND("(",B10) +1, FIND(")",B10) - FIND("(",B10) - 1),"")</f>
        <v>50</v>
      </c>
      <c r="H10" t="str">
        <f>+VLOOKUP(E10,'Data Type Mapping'!A:B,2,)</f>
        <v>string</v>
      </c>
      <c r="I10" t="str">
        <f t="shared" ref="I10:I19" si="15">IF(H10="string",REPT(CHAR(9),2)&amp;"public const int Max"&amp;D10&amp;"Length = "&amp;G10&amp;";"&amp;$E$3,"" )</f>
        <v xml:space="preserve">		public const int MaxLotNoLength = 50;
</v>
      </c>
      <c r="J10" t="str">
        <f t="shared" ref="J10:J19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[StringLength(MaxLotNoLength)]
		public virtual string LotNo { get; set; }
</v>
      </c>
      <c r="K10" s="7" t="s">
        <v>206</v>
      </c>
      <c r="L10" t="str">
        <f>IF(K10="","",REPT(CHAR(9),1)&amp;"[Index(nameof("&amp;IF(D10="","",""&amp;D10)&amp;")"&amp;", Name="&amp;"""IX_"&amp;$B$7&amp;"_"&amp;D10&amp;""")]")</f>
        <v xml:space="preserve">	[Index(nameof(LotNo), Name="IX_InvOutWipStock_LotNo")]</v>
      </c>
      <c r="M10" t="str">
        <f t="shared" ref="M10:M19" si="17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9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[StringLength(InvOutWipStockConsts.MaxLotNoLength)]
		public virtual string LotNo { get; set; }
</v>
      </c>
      <c r="O10" t="str">
        <f t="shared" ref="O10:O19" si="19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ref="P10:P19" si="20">REPT(CHAR(9),7)&amp;D10&amp;" = o." &amp;D10 &amp;","</f>
        <v xml:space="preserve">							LotNo = o.LotNo,</v>
      </c>
      <c r="T10" s="69" t="str">
        <f t="shared" ref="T10:T19" si="21">REPT(CHAR(9),8)&amp;"("""&amp;D10&amp;"""),"</f>
        <v xml:space="preserve">								("LotNo"),</v>
      </c>
      <c r="V10" s="70" t="str">
        <f t="shared" ref="V10:V19" si="22">REPT(CHAR(9),8)&amp;"_ =&gt; _."&amp;D10&amp;","</f>
        <v xml:space="preserve">								_ =&gt; _.LotNo,</v>
      </c>
      <c r="W10" s="69" t="str">
        <f t="shared" ref="W10:W19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22.5" customHeight="1" x14ac:dyDescent="0.25">
      <c r="A11" t="s">
        <v>323</v>
      </c>
      <c r="B11" t="s">
        <v>324</v>
      </c>
      <c r="C11" t="s">
        <v>1</v>
      </c>
      <c r="D11" t="str">
        <f>SUBSTITUTE(PROPER(A11),"_","")</f>
        <v>PartNo</v>
      </c>
      <c r="E11" t="str">
        <f t="shared" si="13"/>
        <v>varchar</v>
      </c>
      <c r="F11" s="7"/>
      <c r="G11" t="str">
        <f t="shared" si="14"/>
        <v>50</v>
      </c>
      <c r="H11" t="str">
        <f>+VLOOKUP(E11,'Data Type Mapping'!A:B,2,)</f>
        <v>string</v>
      </c>
      <c r="I11" t="str">
        <f t="shared" si="15"/>
        <v xml:space="preserve">		public const int MaxPartNoLength = 50;
</v>
      </c>
      <c r="J11" t="str">
        <f t="shared" si="16"/>
        <v xml:space="preserve">		[StringLength(MaxPartNoLength)]
		public virtual string PartNo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[Index(nameof(PartNo), Name="IX_InvOutWipStock_PartNo")]</v>
      </c>
      <c r="M11" t="str">
        <f t="shared" si="17"/>
        <v xml:space="preserve">		public virtual string PartNo { get; set; }
</v>
      </c>
      <c r="N11" t="str">
        <f t="shared" si="18"/>
        <v xml:space="preserve">		[StringLength(InvOutWipStockConsts.MaxPartNoLength)]
		public virtual string PartNo { get; set; }
</v>
      </c>
      <c r="O11" t="str">
        <f t="shared" si="19"/>
        <v xml:space="preserve">		public virtual string PartNo { get; set; }
</v>
      </c>
      <c r="P11" t="str">
        <f t="shared" si="20"/>
        <v xml:space="preserve">							PartNo = o.PartNo,</v>
      </c>
      <c r="T11" s="69" t="str">
        <f t="shared" si="21"/>
        <v xml:space="preserve">								("PartNo"),</v>
      </c>
      <c r="V11" s="70" t="str">
        <f t="shared" si="22"/>
        <v xml:space="preserve">								_ =&gt; _.PartNo,</v>
      </c>
      <c r="W11" s="69" t="str">
        <f t="shared" si="23"/>
        <v xml:space="preserve">				.WhereIf(!string.IsNullOrWhiteSpace(input.PartNo), e =&gt; e.PartNo.Contains(input.PartNo))</v>
      </c>
    </row>
    <row r="12" spans="1:23" customFormat="1" ht="21" customHeight="1" x14ac:dyDescent="0.25">
      <c r="A12" t="s">
        <v>334</v>
      </c>
      <c r="B12" t="s">
        <v>324</v>
      </c>
      <c r="C12" t="s">
        <v>1</v>
      </c>
      <c r="D12" t="str">
        <f t="shared" ref="D12:D15" si="24">SUBSTITUTE(PROPER(A12),"_","")</f>
        <v>CarfamilyCode</v>
      </c>
      <c r="E12" t="str">
        <f t="shared" si="13"/>
        <v>varchar</v>
      </c>
      <c r="F12" s="7"/>
      <c r="G12" t="str">
        <f t="shared" si="14"/>
        <v>50</v>
      </c>
      <c r="H12" t="str">
        <f>+VLOOKUP(E12,'Data Type Mapping'!A:B,2,)</f>
        <v>string</v>
      </c>
      <c r="I12" t="str">
        <f t="shared" si="15"/>
        <v xml:space="preserve">		public const int MaxCarfamilyCodeLength = 50;
</v>
      </c>
      <c r="J12" t="str">
        <f t="shared" si="16"/>
        <v xml:space="preserve">		[StringLength(MaxCarfamilyCodeLength)]
		public virtual string CarfamilyCode { get; set; }
</v>
      </c>
      <c r="K12" s="7"/>
      <c r="L12" t="str">
        <f t="shared" ref="L12:L15" si="25"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CarfamilyCode { get; set; }
</v>
      </c>
      <c r="N12" t="str">
        <f t="shared" si="18"/>
        <v xml:space="preserve">		[StringLength(InvOutWipStockConsts.MaxCarfamilyCodeLength)]
		public virtual string CarfamilyCode { get; set; }
</v>
      </c>
      <c r="O12" t="str">
        <f t="shared" si="19"/>
        <v xml:space="preserve">		public virtual string CarfamilyCode { get; set; }
</v>
      </c>
      <c r="P12" t="str">
        <f t="shared" si="20"/>
        <v xml:space="preserve">							CarfamilyCode = o.CarfamilyCode,</v>
      </c>
      <c r="T12" s="69" t="str">
        <f t="shared" si="21"/>
        <v xml:space="preserve">								("CarfamilyCode"),</v>
      </c>
      <c r="V12" s="70" t="str">
        <f t="shared" si="22"/>
        <v xml:space="preserve">								_ =&gt; _.CarfamilyCode,</v>
      </c>
      <c r="W12" s="69" t="str">
        <f t="shared" si="23"/>
        <v xml:space="preserve">				.WhereIf(!string.IsNullOrWhiteSpace(input.CarfamilyCode), e =&gt; e.CarfamilyCode.Contains(input.CarfamilyCode))</v>
      </c>
    </row>
    <row r="13" spans="1:23" customFormat="1" ht="18.75" customHeight="1" x14ac:dyDescent="0.25">
      <c r="A13" t="s">
        <v>335</v>
      </c>
      <c r="B13" t="s">
        <v>326</v>
      </c>
      <c r="C13" t="s">
        <v>1</v>
      </c>
      <c r="D13" t="str">
        <f t="shared" si="24"/>
        <v>UsageQty</v>
      </c>
      <c r="E13" t="str">
        <f t="shared" si="13"/>
        <v>numeric</v>
      </c>
      <c r="F13" s="7"/>
      <c r="G13" t="str">
        <f t="shared" si="14"/>
        <v>10, 2</v>
      </c>
      <c r="H13" t="str">
        <f>+VLOOKUP(E13,'Data Type Mapping'!A:B,2,)</f>
        <v>decimal</v>
      </c>
      <c r="I13" t="str">
        <f t="shared" si="15"/>
        <v/>
      </c>
      <c r="J13" t="str">
        <f t="shared" si="16"/>
        <v xml:space="preserve">		public virtual decimal UsageQty { get; set; }
</v>
      </c>
      <c r="K13" s="7"/>
      <c r="L13" t="str">
        <f t="shared" si="25"/>
        <v/>
      </c>
      <c r="M13" t="str">
        <f t="shared" si="17"/>
        <v xml:space="preserve">		public virtual decimal UsageQty { get; set; }
</v>
      </c>
      <c r="N13" t="str">
        <f t="shared" si="18"/>
        <v xml:space="preserve">		public virtual decimal UsageQty { get; set; }
</v>
      </c>
      <c r="O13" t="str">
        <f t="shared" si="19"/>
        <v/>
      </c>
      <c r="P13" t="str">
        <f t="shared" si="20"/>
        <v xml:space="preserve">							UsageQty = o.UsageQty,</v>
      </c>
      <c r="T13" s="69" t="str">
        <f t="shared" si="21"/>
        <v xml:space="preserve">								("UsageQty"),</v>
      </c>
      <c r="V13" s="70" t="str">
        <f t="shared" si="22"/>
        <v xml:space="preserve">								_ =&gt; _.UsageQty,</v>
      </c>
      <c r="W13" s="69" t="str">
        <f t="shared" si="23"/>
        <v/>
      </c>
    </row>
    <row r="14" spans="1:23" customFormat="1" ht="21" customHeight="1" x14ac:dyDescent="0.25">
      <c r="A14" t="s">
        <v>336</v>
      </c>
      <c r="B14" t="s">
        <v>331</v>
      </c>
      <c r="C14" t="s">
        <v>1</v>
      </c>
      <c r="D14" t="str">
        <f t="shared" si="24"/>
        <v>SumCif</v>
      </c>
      <c r="E14" t="str">
        <f t="shared" si="13"/>
        <v>numeric</v>
      </c>
      <c r="F14" s="7"/>
      <c r="G14" t="str">
        <f t="shared" si="14"/>
        <v>18, 4</v>
      </c>
      <c r="H14" t="str">
        <f>+VLOOKUP(E14,'Data Type Mapping'!A:B,2,)</f>
        <v>decimal</v>
      </c>
      <c r="I14" t="str">
        <f t="shared" si="15"/>
        <v/>
      </c>
      <c r="J14" t="str">
        <f t="shared" si="16"/>
        <v xml:space="preserve">		public virtual decimal SumCif { get; set; }
</v>
      </c>
      <c r="K14" s="7"/>
      <c r="L14" t="str">
        <f t="shared" si="25"/>
        <v/>
      </c>
      <c r="M14" t="str">
        <f t="shared" si="17"/>
        <v xml:space="preserve">		public virtual decimal SumCif { get; set; }
</v>
      </c>
      <c r="N14" t="str">
        <f t="shared" si="18"/>
        <v xml:space="preserve">		public virtual decimal SumCif { get; set; }
</v>
      </c>
      <c r="O14" t="str">
        <f t="shared" si="19"/>
        <v/>
      </c>
      <c r="P14" t="str">
        <f t="shared" si="20"/>
        <v xml:space="preserve">							SumCif = o.SumCif,</v>
      </c>
      <c r="T14" s="69" t="str">
        <f t="shared" si="21"/>
        <v xml:space="preserve">								("SumCif"),</v>
      </c>
      <c r="V14" s="70" t="str">
        <f t="shared" si="22"/>
        <v xml:space="preserve">								_ =&gt; _.SumCif,</v>
      </c>
      <c r="W14" s="69" t="str">
        <f t="shared" si="23"/>
        <v/>
      </c>
    </row>
    <row r="15" spans="1:23" customFormat="1" ht="18.75" customHeight="1" x14ac:dyDescent="0.25">
      <c r="A15" t="s">
        <v>337</v>
      </c>
      <c r="B15" t="s">
        <v>331</v>
      </c>
      <c r="C15" t="s">
        <v>1</v>
      </c>
      <c r="D15" t="str">
        <f t="shared" si="24"/>
        <v>SumTax</v>
      </c>
      <c r="E15" t="str">
        <f t="shared" si="13"/>
        <v>numeric</v>
      </c>
      <c r="F15" s="7"/>
      <c r="G15" t="str">
        <f t="shared" si="14"/>
        <v>18, 4</v>
      </c>
      <c r="H15" t="str">
        <f>+VLOOKUP(E15,'Data Type Mapping'!A:B,2,)</f>
        <v>decimal</v>
      </c>
      <c r="I15" t="str">
        <f t="shared" si="15"/>
        <v/>
      </c>
      <c r="J15" t="str">
        <f t="shared" si="16"/>
        <v xml:space="preserve">		public virtual decimal SumTax { get; set; }
</v>
      </c>
      <c r="K15" s="7"/>
      <c r="L15" t="str">
        <f t="shared" si="25"/>
        <v/>
      </c>
      <c r="M15" t="str">
        <f t="shared" si="17"/>
        <v xml:space="preserve">		public virtual decimal SumTax { get; set; }
</v>
      </c>
      <c r="N15" t="str">
        <f t="shared" si="18"/>
        <v xml:space="preserve">		public virtual decimal SumTax { get; set; }
</v>
      </c>
      <c r="O15" t="str">
        <f t="shared" si="19"/>
        <v/>
      </c>
      <c r="P15" t="str">
        <f t="shared" si="20"/>
        <v xml:space="preserve">							SumTax = o.SumTax,</v>
      </c>
      <c r="T15" s="69" t="str">
        <f t="shared" si="21"/>
        <v xml:space="preserve">								("SumTax"),</v>
      </c>
      <c r="V15" s="70" t="str">
        <f t="shared" si="22"/>
        <v xml:space="preserve">								_ =&gt; _.SumTax,</v>
      </c>
      <c r="W15" s="69" t="str">
        <f t="shared" si="23"/>
        <v/>
      </c>
    </row>
    <row r="16" spans="1:23" customFormat="1" ht="22.5" customHeight="1" x14ac:dyDescent="0.25">
      <c r="A16" t="s">
        <v>338</v>
      </c>
      <c r="B16" t="s">
        <v>331</v>
      </c>
      <c r="C16" t="s">
        <v>1</v>
      </c>
      <c r="D16" t="str">
        <f>SUBSTITUTE(PROPER(A16),"_","")</f>
        <v>SumInland</v>
      </c>
      <c r="E16" t="str">
        <f t="shared" si="13"/>
        <v>numeric</v>
      </c>
      <c r="F16" s="7"/>
      <c r="G16" t="str">
        <f t="shared" si="14"/>
        <v>18, 4</v>
      </c>
      <c r="H16" t="str">
        <f>+VLOOKUP(E16,'Data Type Mapping'!A:B,2,)</f>
        <v>decimal</v>
      </c>
      <c r="I16" t="str">
        <f t="shared" si="15"/>
        <v/>
      </c>
      <c r="J16" t="str">
        <f t="shared" si="16"/>
        <v xml:space="preserve">		public virtual decimal SumInland { get; set; }
</v>
      </c>
      <c r="K16" s="7" t="s">
        <v>206</v>
      </c>
      <c r="L16" t="str">
        <f>IF(K16="","",REPT(CHAR(9),1)&amp;"[Index(nameof("&amp;IF(D16="","",""&amp;D16)&amp;")"&amp;", Name="&amp;"""IX_"&amp;$B$7&amp;"_"&amp;D16&amp;""")]")</f>
        <v xml:space="preserve">	[Index(nameof(SumInland), Name="IX_InvOutWipStock_SumInland")]</v>
      </c>
      <c r="M16" t="str">
        <f t="shared" si="17"/>
        <v xml:space="preserve">		public virtual decimal SumInland { get; set; }
</v>
      </c>
      <c r="N16" t="str">
        <f t="shared" si="18"/>
        <v xml:space="preserve">		public virtual decimal SumInland { get; set; }
</v>
      </c>
      <c r="O16" t="str">
        <f t="shared" si="19"/>
        <v/>
      </c>
      <c r="P16" t="str">
        <f t="shared" si="20"/>
        <v xml:space="preserve">							SumInland = o.SumInland,</v>
      </c>
      <c r="T16" s="69" t="str">
        <f t="shared" si="21"/>
        <v xml:space="preserve">								("SumInland"),</v>
      </c>
      <c r="V16" s="70" t="str">
        <f t="shared" si="22"/>
        <v xml:space="preserve">								_ =&gt; _.SumInland,</v>
      </c>
      <c r="W16" s="69" t="str">
        <f t="shared" si="23"/>
        <v/>
      </c>
    </row>
    <row r="17" spans="1:23" customFormat="1" ht="22.5" customHeight="1" x14ac:dyDescent="0.25">
      <c r="A17" t="s">
        <v>332</v>
      </c>
      <c r="B17" t="s">
        <v>331</v>
      </c>
      <c r="C17" t="s">
        <v>1</v>
      </c>
      <c r="D17" t="str">
        <f>SUBSTITUTE(PROPER(A17),"_","")</f>
        <v>Amount</v>
      </c>
      <c r="E17" t="str">
        <f t="shared" si="13"/>
        <v>numeric</v>
      </c>
      <c r="F17" s="7"/>
      <c r="G17" t="str">
        <f t="shared" si="14"/>
        <v>18, 4</v>
      </c>
      <c r="H17" t="str">
        <f>+VLOOKUP(E17,'Data Type Mapping'!A:B,2,)</f>
        <v>decimal</v>
      </c>
      <c r="I17" t="str">
        <f t="shared" si="15"/>
        <v/>
      </c>
      <c r="J17" t="str">
        <f t="shared" si="16"/>
        <v xml:space="preserve">		public virtual decimal Amount { get; set; }
</v>
      </c>
      <c r="K17" s="7" t="s">
        <v>206</v>
      </c>
      <c r="L17" t="str">
        <f>IF(K17="","",REPT(CHAR(9),1)&amp;"[Index(nameof("&amp;IF(D17="","",""&amp;D17)&amp;")"&amp;", Name="&amp;"""IX_"&amp;$B$7&amp;"_"&amp;D17&amp;""")]")</f>
        <v xml:space="preserve">	[Index(nameof(Amount), Name="IX_InvOutWipStock_Amount")]</v>
      </c>
      <c r="M17" t="str">
        <f t="shared" si="17"/>
        <v xml:space="preserve">		public virtual decimal Amount { get; set; }
</v>
      </c>
      <c r="N17" t="str">
        <f t="shared" si="18"/>
        <v xml:space="preserve">		public virtual decimal Amount { get; set; }
</v>
      </c>
      <c r="O17" t="str">
        <f t="shared" si="19"/>
        <v/>
      </c>
      <c r="P17" t="str">
        <f t="shared" si="20"/>
        <v xml:space="preserve">							Amount = o.Amount,</v>
      </c>
      <c r="T17" s="69" t="str">
        <f t="shared" si="21"/>
        <v xml:space="preserve">								("Amount"),</v>
      </c>
      <c r="V17" s="70" t="str">
        <f t="shared" si="22"/>
        <v xml:space="preserve">								_ =&gt; _.Amount,</v>
      </c>
      <c r="W17" s="69" t="str">
        <f t="shared" si="23"/>
        <v/>
      </c>
    </row>
    <row r="18" spans="1:23" customFormat="1" ht="21" customHeight="1" x14ac:dyDescent="0.25">
      <c r="A18" t="s">
        <v>339</v>
      </c>
      <c r="B18" t="s">
        <v>331</v>
      </c>
      <c r="C18" t="s">
        <v>1</v>
      </c>
      <c r="D18" t="str">
        <f t="shared" ref="D18:D19" si="26">SUBSTITUTE(PROPER(A18),"_","")</f>
        <v>SumCifVn</v>
      </c>
      <c r="E18" t="str">
        <f t="shared" si="13"/>
        <v>numeric</v>
      </c>
      <c r="F18" s="7"/>
      <c r="G18" t="str">
        <f t="shared" si="14"/>
        <v>18, 4</v>
      </c>
      <c r="H18" t="str">
        <f>+VLOOKUP(E18,'Data Type Mapping'!A:B,2,)</f>
        <v>decimal</v>
      </c>
      <c r="I18" t="str">
        <f t="shared" si="15"/>
        <v/>
      </c>
      <c r="J18" t="str">
        <f t="shared" si="16"/>
        <v xml:space="preserve">		public virtual decimal SumCifVn { get; set; }
</v>
      </c>
      <c r="K18" s="7"/>
      <c r="L18" t="str">
        <f t="shared" ref="L18:L19" si="27">IF(K18="","",REPT(CHAR(9),1)&amp;"[Index(nameof("&amp;IF(D18="","",""&amp;D18)&amp;")"&amp;", Name="&amp;"""IX_"&amp;$B$7&amp;"_"&amp;D18&amp;""")]")</f>
        <v/>
      </c>
      <c r="M18" t="str">
        <f t="shared" si="17"/>
        <v xml:space="preserve">		public virtual decimal SumCifVn { get; set; }
</v>
      </c>
      <c r="N18" t="str">
        <f t="shared" si="18"/>
        <v xml:space="preserve">		public virtual decimal SumCifVn { get; set; }
</v>
      </c>
      <c r="O18" t="str">
        <f t="shared" si="19"/>
        <v/>
      </c>
      <c r="P18" t="str">
        <f t="shared" si="20"/>
        <v xml:space="preserve">							SumCifVn = o.SumCifVn,</v>
      </c>
      <c r="T18" s="69" t="str">
        <f t="shared" si="21"/>
        <v xml:space="preserve">								("SumCifVn"),</v>
      </c>
      <c r="V18" s="70" t="str">
        <f t="shared" si="22"/>
        <v xml:space="preserve">								_ =&gt; _.SumCifVn,</v>
      </c>
      <c r="W18" s="69" t="str">
        <f t="shared" si="23"/>
        <v/>
      </c>
    </row>
    <row r="19" spans="1:23" customFormat="1" ht="18.75" customHeight="1" x14ac:dyDescent="0.25">
      <c r="A19" t="s">
        <v>340</v>
      </c>
      <c r="B19" t="s">
        <v>331</v>
      </c>
      <c r="C19" t="s">
        <v>1</v>
      </c>
      <c r="D19" t="str">
        <f t="shared" si="26"/>
        <v>SumTaxVn</v>
      </c>
      <c r="E19" t="str">
        <f t="shared" si="13"/>
        <v>numeric</v>
      </c>
      <c r="F19" s="7"/>
      <c r="G19" t="str">
        <f t="shared" si="14"/>
        <v>18, 4</v>
      </c>
      <c r="H19" t="str">
        <f>+VLOOKUP(E19,'Data Type Mapping'!A:B,2,)</f>
        <v>decimal</v>
      </c>
      <c r="I19" t="str">
        <f t="shared" si="15"/>
        <v/>
      </c>
      <c r="J19" t="str">
        <f t="shared" si="16"/>
        <v xml:space="preserve">		public virtual decimal SumTaxVn { get; set; }
</v>
      </c>
      <c r="K19" s="7"/>
      <c r="L19" t="str">
        <f t="shared" si="27"/>
        <v/>
      </c>
      <c r="M19" t="str">
        <f t="shared" si="17"/>
        <v xml:space="preserve">		public virtual decimal SumTaxVn { get; set; }
</v>
      </c>
      <c r="N19" t="str">
        <f t="shared" si="18"/>
        <v xml:space="preserve">		public virtual decimal SumTaxVn { get; set; }
</v>
      </c>
      <c r="O19" t="str">
        <f t="shared" si="19"/>
        <v/>
      </c>
      <c r="P19" t="str">
        <f t="shared" si="20"/>
        <v xml:space="preserve">							SumTaxVn = o.SumTaxVn,</v>
      </c>
      <c r="T19" s="69" t="str">
        <f t="shared" si="21"/>
        <v xml:space="preserve">								("SumTaxVn"),</v>
      </c>
      <c r="V19" s="70" t="str">
        <f t="shared" si="22"/>
        <v xml:space="preserve">								_ =&gt; _.SumTaxVn,</v>
      </c>
      <c r="W19" s="69" t="str">
        <f t="shared" si="23"/>
        <v/>
      </c>
    </row>
    <row r="20" spans="1:23" customFormat="1" ht="22.5" customHeight="1" x14ac:dyDescent="0.25">
      <c r="A20" t="s">
        <v>341</v>
      </c>
      <c r="B20" t="s">
        <v>331</v>
      </c>
      <c r="C20" t="s">
        <v>1</v>
      </c>
      <c r="D20" t="str">
        <f>SUBSTITUTE(PROPER(A20),"_","")</f>
        <v>SumInlandVn</v>
      </c>
      <c r="E20" t="str">
        <f t="shared" si="1"/>
        <v>numeric</v>
      </c>
      <c r="F20" s="7"/>
      <c r="G20" t="str">
        <f t="shared" si="2"/>
        <v>18, 4</v>
      </c>
      <c r="H20" t="str">
        <f>+VLOOKUP(E20,'Data Type Mapping'!A:B,2,)</f>
        <v>decimal</v>
      </c>
      <c r="I20" t="str">
        <f t="shared" si="3"/>
        <v/>
      </c>
      <c r="J20" t="str">
        <f t="shared" si="4"/>
        <v xml:space="preserve">		public virtual decimal SumInlandVn { get; set; }
</v>
      </c>
      <c r="K20" s="7" t="s">
        <v>206</v>
      </c>
      <c r="L20" t="str">
        <f>IF(K20="","",REPT(CHAR(9),1)&amp;"[Index(nameof("&amp;IF(D20="","",""&amp;D20)&amp;")"&amp;", Name="&amp;"""IX_"&amp;$B$7&amp;"_"&amp;D20&amp;""")]")</f>
        <v xml:space="preserve">	[Index(nameof(SumInlandVn), Name="IX_InvOutWipStock_SumInlandVn")]</v>
      </c>
      <c r="M20" t="str">
        <f t="shared" si="6"/>
        <v xml:space="preserve">		public virtual decimal SumInlandVn { get; set; }
</v>
      </c>
      <c r="N20" t="str">
        <f t="shared" si="7"/>
        <v xml:space="preserve">		public virtual decimal SumInlandVn { get; set; }
</v>
      </c>
      <c r="O20" t="str">
        <f t="shared" si="8"/>
        <v/>
      </c>
      <c r="P20" t="str">
        <f t="shared" si="9"/>
        <v xml:space="preserve">							SumInlandVn = o.SumInlandVn,</v>
      </c>
      <c r="T20" s="69" t="str">
        <f t="shared" si="10"/>
        <v xml:space="preserve">								("SumInlandVn"),</v>
      </c>
      <c r="V20" s="70" t="str">
        <f t="shared" si="11"/>
        <v xml:space="preserve">								_ =&gt; _.SumInlandVn,</v>
      </c>
      <c r="W20" s="69" t="str">
        <f t="shared" si="12"/>
        <v/>
      </c>
    </row>
    <row r="21" spans="1:23" customFormat="1" ht="22.5" customHeight="1" x14ac:dyDescent="0.25">
      <c r="A21" t="s">
        <v>333</v>
      </c>
      <c r="B21" t="s">
        <v>331</v>
      </c>
      <c r="C21" t="s">
        <v>1</v>
      </c>
      <c r="D21" t="str">
        <f>SUBSTITUTE(PROPER(A21),"_","")</f>
        <v>AmountVn</v>
      </c>
      <c r="E21" t="str">
        <f t="shared" si="1"/>
        <v>numeric</v>
      </c>
      <c r="F21" s="7"/>
      <c r="G21" t="str">
        <f t="shared" si="2"/>
        <v>18, 4</v>
      </c>
      <c r="H21" t="str">
        <f>+VLOOKUP(E21,'Data Type Mapping'!A:B,2,)</f>
        <v>decimal</v>
      </c>
      <c r="I21" t="str">
        <f t="shared" si="3"/>
        <v/>
      </c>
      <c r="J21" t="str">
        <f t="shared" si="4"/>
        <v xml:space="preserve">		public virtual decimal AmountVn { get; set; }
</v>
      </c>
      <c r="K21" s="7" t="s">
        <v>206</v>
      </c>
      <c r="L21" t="str">
        <f>IF(K21="","",REPT(CHAR(9),1)&amp;"[Index(nameof("&amp;IF(D21="","",""&amp;D21)&amp;")"&amp;", Name="&amp;"""IX_"&amp;$B$7&amp;"_"&amp;D21&amp;""")]")</f>
        <v xml:space="preserve">	[Index(nameof(AmountVn), Name="IX_InvOutWipStock_AmountVn")]</v>
      </c>
      <c r="M21" t="str">
        <f t="shared" si="6"/>
        <v xml:space="preserve">		public virtual decimal AmountVn { get; set; }
</v>
      </c>
      <c r="N21" t="str">
        <f t="shared" si="7"/>
        <v xml:space="preserve">		public virtual decimal AmountVn { get; set; }
</v>
      </c>
      <c r="O21" t="str">
        <f t="shared" si="8"/>
        <v/>
      </c>
      <c r="P21" t="str">
        <f t="shared" si="9"/>
        <v xml:space="preserve">							AmountVn = o.AmountVn,</v>
      </c>
      <c r="T21" s="69" t="str">
        <f t="shared" si="10"/>
        <v xml:space="preserve">								("AmountVn"),</v>
      </c>
      <c r="V21" s="70" t="str">
        <f t="shared" si="11"/>
        <v xml:space="preserve">								_ =&gt; _.AmountVn,</v>
      </c>
      <c r="W21" s="69" t="str">
        <f t="shared" si="12"/>
        <v/>
      </c>
    </row>
    <row r="22" spans="1:23" customFormat="1" ht="21" customHeight="1" x14ac:dyDescent="0.25">
      <c r="A22" t="s">
        <v>327</v>
      </c>
      <c r="B22" t="s">
        <v>331</v>
      </c>
      <c r="C22" t="s">
        <v>1</v>
      </c>
      <c r="D22" t="str">
        <f t="shared" ref="D22:D23" si="28">SUBSTITUTE(PROPER(A22),"_","")</f>
        <v>CustomsDeclareNo</v>
      </c>
      <c r="E22" t="str">
        <f t="shared" si="1"/>
        <v>numeric</v>
      </c>
      <c r="F22" s="7"/>
      <c r="G22" t="str">
        <f t="shared" si="2"/>
        <v>18, 4</v>
      </c>
      <c r="H22" t="str">
        <f>+VLOOKUP(E22,'Data Type Mapping'!A:B,2,)</f>
        <v>decimal</v>
      </c>
      <c r="I22" t="str">
        <f t="shared" si="3"/>
        <v/>
      </c>
      <c r="J22" t="str">
        <f t="shared" si="4"/>
        <v xml:space="preserve">		public virtual decimal CustomsDeclareNo { get; set; }
</v>
      </c>
      <c r="K22" s="7"/>
      <c r="L22" t="str">
        <f t="shared" ref="L22:L23" si="29">IF(K22="","",REPT(CHAR(9),1)&amp;"[Index(nameof("&amp;IF(D22="","",""&amp;D22)&amp;")"&amp;", Name="&amp;"""IX_"&amp;$B$7&amp;"_"&amp;D22&amp;""")]")</f>
        <v/>
      </c>
      <c r="M22" t="str">
        <f t="shared" si="6"/>
        <v xml:space="preserve">		public virtual decimal CustomsDeclareNo { get; set; }
</v>
      </c>
      <c r="N22" t="str">
        <f t="shared" si="7"/>
        <v xml:space="preserve">		public virtual decimal CustomsDeclareNo { get; set; }
</v>
      </c>
      <c r="O22" t="str">
        <f t="shared" si="8"/>
        <v/>
      </c>
      <c r="P22" t="str">
        <f t="shared" si="9"/>
        <v xml:space="preserve">							CustomsDeclareNo = o.CustomsDeclareNo,</v>
      </c>
      <c r="T22" s="69" t="str">
        <f t="shared" si="10"/>
        <v xml:space="preserve">								("CustomsDeclareNo"),</v>
      </c>
      <c r="V22" s="70" t="str">
        <f t="shared" si="11"/>
        <v xml:space="preserve">								_ =&gt; _.CustomsDeclareNo,</v>
      </c>
      <c r="W22" s="69" t="str">
        <f t="shared" si="12"/>
        <v/>
      </c>
    </row>
    <row r="23" spans="1:23" customFormat="1" ht="18.75" customHeight="1" x14ac:dyDescent="0.25">
      <c r="A23" t="s">
        <v>328</v>
      </c>
      <c r="B23" t="s">
        <v>3</v>
      </c>
      <c r="C23" t="s">
        <v>1</v>
      </c>
      <c r="D23" t="str">
        <f t="shared" si="28"/>
        <v>DeclareDate</v>
      </c>
      <c r="E23" t="str">
        <f t="shared" si="1"/>
        <v>datetime</v>
      </c>
      <c r="F23" s="7"/>
      <c r="G23" t="str">
        <f t="shared" si="2"/>
        <v/>
      </c>
      <c r="H23" t="str">
        <f>+VLOOKUP(E23,'Data Type Mapping'!A:B,2,)</f>
        <v>DateTime</v>
      </c>
      <c r="I23" t="str">
        <f t="shared" si="3"/>
        <v/>
      </c>
      <c r="J23" t="str">
        <f t="shared" si="4"/>
        <v xml:space="preserve">		public virtual DateTime DeclareDate { get; set; }
</v>
      </c>
      <c r="K23" s="7"/>
      <c r="L23" t="str">
        <f t="shared" si="29"/>
        <v/>
      </c>
      <c r="M23" t="str">
        <f t="shared" si="6"/>
        <v xml:space="preserve">		public virtual DateTime? DeclareDate { get; set; }
</v>
      </c>
      <c r="N23" t="str">
        <f t="shared" si="7"/>
        <v xml:space="preserve">		public virtual DateTime? DeclareDate { get; set; }
</v>
      </c>
      <c r="O23" t="str">
        <f t="shared" si="8"/>
        <v xml:space="preserve">		public virtual DateTime? DeclareDate { get; set; }
</v>
      </c>
      <c r="P23" t="str">
        <f t="shared" si="9"/>
        <v xml:space="preserve">							DeclareDate = o.DeclareDate,</v>
      </c>
      <c r="T23" s="69" t="str">
        <f t="shared" si="10"/>
        <v xml:space="preserve">								("DeclareDate"),</v>
      </c>
      <c r="V23" s="70" t="str">
        <f t="shared" si="11"/>
        <v xml:space="preserve">								_ =&gt; _.DeclareDate,</v>
      </c>
      <c r="W23" s="69" t="str">
        <f t="shared" si="12"/>
        <v xml:space="preserve">				.WhereIf(input.DeclareDate.HasValue, t =&gt; t.DeclareDate == input.DeclareDate.Value)</v>
      </c>
    </row>
    <row r="24" spans="1:23" customFormat="1" ht="21" customHeight="1" x14ac:dyDescent="0.25">
      <c r="A24" t="s">
        <v>329</v>
      </c>
      <c r="B24" t="s">
        <v>324</v>
      </c>
      <c r="C24" t="s">
        <v>1</v>
      </c>
      <c r="D24" t="str">
        <f t="shared" ref="D24:D25" si="30">SUBSTITUTE(PROPER(A24),"_","")</f>
        <v>DcType</v>
      </c>
      <c r="E24" t="str">
        <f t="shared" ref="E24:E25" si="31">IFERROR(LEFT(B24, FIND("(",B24)-1),B24)</f>
        <v>varchar</v>
      </c>
      <c r="F24" s="7"/>
      <c r="G24" t="str">
        <f t="shared" ref="G24:G25" si="32">IFERROR(MID(B24,FIND("(",B24) +1, FIND(")",B24) - FIND("(",B24) - 1),"")</f>
        <v>50</v>
      </c>
      <c r="H24" t="str">
        <f>+VLOOKUP(E24,'Data Type Mapping'!A:B,2,)</f>
        <v>string</v>
      </c>
      <c r="I24" t="str">
        <f t="shared" ref="I24:I25" si="33">IF(H24="string",REPT(CHAR(9),2)&amp;"public const int Max"&amp;D24&amp;"Length = "&amp;G24&amp;";"&amp;$E$3,"" )</f>
        <v xml:space="preserve">		public const int MaxDcTypeLength = 50;
</v>
      </c>
      <c r="J24" t="str">
        <f t="shared" ref="J24:J25" si="34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[StringLength(MaxDcTypeLength)]
		public virtual string DcType { get; set; }
</v>
      </c>
      <c r="K24" s="7"/>
      <c r="L24" t="str">
        <f t="shared" ref="L24:L25" si="35">IF(K24="","",REPT(CHAR(9),1)&amp;"[Index(nameof("&amp;IF(D24="","",""&amp;D24)&amp;")"&amp;", Name="&amp;"""IX_"&amp;$B$7&amp;"_"&amp;D24&amp;""")]")</f>
        <v/>
      </c>
      <c r="M24" t="str">
        <f t="shared" ref="M24:M25" si="36">REPT(CHAR(9),2)&amp;"public virtual "&amp;IF(OR(H24="DateTime",H24="TimeSpan"),H24&amp;"?",H24)&amp;IF(C24="?","? "," ")&amp;D24&amp;" { get; set; }" &amp; "
"</f>
        <v xml:space="preserve">		public virtual string DcType { get; set; }
</v>
      </c>
      <c r="N24" t="str">
        <f t="shared" ref="N24:N25" si="37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[StringLength(InvOutWipStockConsts.MaxDcTypeLength)]
		public virtual string DcType { get; set; }
</v>
      </c>
      <c r="O24" t="str">
        <f t="shared" ref="O24:O25" si="38">IF(OR(H24="string",H24="DateTime",H24="int"),REPT(CHAR(9),2)&amp;"public virtual "&amp;IF(OR(H24="DateTime",H24="TimeSpan"),H24&amp;"?",H24)&amp;IF(C24="?","? "," ")&amp;D24&amp;" { get; set; }"&amp;$E$3,"")</f>
        <v xml:space="preserve">		public virtual string DcType { get; set; }
</v>
      </c>
      <c r="P24" t="str">
        <f t="shared" ref="P24:P25" si="39">REPT(CHAR(9),7)&amp;D24&amp;" = o." &amp;D24 &amp;","</f>
        <v xml:space="preserve">							DcType = o.DcType,</v>
      </c>
      <c r="T24" s="69" t="str">
        <f t="shared" ref="T24:T25" si="40">REPT(CHAR(9),8)&amp;"("""&amp;D24&amp;"""),"</f>
        <v xml:space="preserve">								("DcType"),</v>
      </c>
      <c r="V24" s="70" t="str">
        <f t="shared" ref="V24:V25" si="41">REPT(CHAR(9),8)&amp;"_ =&gt; _."&amp;D24&amp;","</f>
        <v xml:space="preserve">								_ =&gt; _.DcType,</v>
      </c>
      <c r="W24" s="69" t="str">
        <f t="shared" ref="W24:W25" si="42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.WhereIf(!string.IsNullOrWhiteSpace(input.DcType), e =&gt; e.DcType.Contains(input.DcType))</v>
      </c>
    </row>
    <row r="25" spans="1:23" customFormat="1" ht="18.75" customHeight="1" x14ac:dyDescent="0.25">
      <c r="A25" t="s">
        <v>330</v>
      </c>
      <c r="B25" t="s">
        <v>324</v>
      </c>
      <c r="C25" t="s">
        <v>1</v>
      </c>
      <c r="D25" t="str">
        <f t="shared" si="30"/>
        <v>InStockByLot</v>
      </c>
      <c r="E25" t="str">
        <f t="shared" si="31"/>
        <v>varchar</v>
      </c>
      <c r="F25" s="7"/>
      <c r="G25" t="str">
        <f t="shared" si="32"/>
        <v>50</v>
      </c>
      <c r="H25" t="str">
        <f>+VLOOKUP(E25,'Data Type Mapping'!A:B,2,)</f>
        <v>string</v>
      </c>
      <c r="I25" t="str">
        <f t="shared" si="33"/>
        <v xml:space="preserve">		public const int MaxInStockByLotLength = 50;
</v>
      </c>
      <c r="J25" t="str">
        <f t="shared" si="34"/>
        <v xml:space="preserve">		[StringLength(MaxInStockByLotLength)]
		public virtual string InStockByLot { get; set; }
</v>
      </c>
      <c r="K25" s="7"/>
      <c r="L25" t="str">
        <f t="shared" si="35"/>
        <v/>
      </c>
      <c r="M25" t="str">
        <f t="shared" si="36"/>
        <v xml:space="preserve">		public virtual string InStockByLot { get; set; }
</v>
      </c>
      <c r="N25" t="str">
        <f t="shared" si="37"/>
        <v xml:space="preserve">		[StringLength(InvOutWipStockConsts.MaxInStockByLotLength)]
		public virtual string InStockByLot { get; set; }
</v>
      </c>
      <c r="O25" t="str">
        <f t="shared" si="38"/>
        <v xml:space="preserve">		public virtual string InStockByLot { get; set; }
</v>
      </c>
      <c r="P25" t="str">
        <f t="shared" si="39"/>
        <v xml:space="preserve">							InStockByLot = o.InStockByLot,</v>
      </c>
      <c r="T25" s="69" t="str">
        <f t="shared" si="40"/>
        <v xml:space="preserve">								("InStockByLot"),</v>
      </c>
      <c r="V25" s="70" t="str">
        <f t="shared" si="41"/>
        <v xml:space="preserve">								_ =&gt; _.InStockByLot,</v>
      </c>
      <c r="W25" s="69" t="str">
        <f t="shared" si="42"/>
        <v xml:space="preserve">				.WhereIf(!string.IsNullOrWhiteSpace(input.InStockByLot), e =&gt; e.InStockByLot.Contains(input.InStockByLot))</v>
      </c>
    </row>
    <row r="27" spans="1:23" ht="45.75" customHeight="1" x14ac:dyDescent="0.25">
      <c r="H27" s="12"/>
      <c r="I27" s="34" t="str">
        <f ca="1">TEXTJOIN2("
", TRUE,INDIRECT( $H$1):INDIRECT( $H$3))</f>
        <v xml:space="preserve">		public const int MaxLotNoLength = 50;
		public const int MaxPartNoLength = 50;
		public const int MaxCarfamilyCodeLength = 50;
		public const int MaxDcTypeLength = 50;
		public const int MaxInStockByLotLength = 50;
</v>
      </c>
      <c r="J27" s="33" t="str">
        <f ca="1">TEXTJOIN2("
", TRUE,INDIRECT( $F$1):INDIRECT( $F$3))</f>
        <v xml:space="preserve">		public virtual decimal PeriodId { get; set; }
		[StringLength(MaxLotNoLength)]
		public virtual string LotNo { get; set; }
		[StringLength(MaxPartNoLength)]
		public virtual string PartNo { get; set; }
		[StringLength(MaxCarfamilyCodeLength)]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 DeclareDate { get; set; }
		[StringLength(MaxDcTypeLength)]
		public virtual string DcType { get; set; }
		[StringLength(MaxInStockByLotLength)]
		public virtual string InStockByLot { get; set; }
</v>
      </c>
      <c r="K27" s="35" t="str">
        <f ca="1">TEXTJOIN2("
", TRUE,INDIRECT( $J$1):INDIRECT( $J$3))</f>
        <v xml:space="preserve">	[Index(nameof(LotNo), Name="IX_InvOutWipStock_LotNo")]
	[Index(nameof(PartNo), Name="IX_InvOutWipStock_PartNo")]
	[Index(nameof(SumInland), Name="IX_InvOutWipStock_SumInland")]
	[Index(nameof(Amount), Name="IX_InvOutWipStock_Amount")]
	[Index(nameof(SumInlandVn), Name="IX_InvOutWipStock_SumInlandVn")]
	[Index(nameof(AmountVn), Name="IX_InvOutWipStock_AmountVn")]
</v>
      </c>
      <c r="L27" s="13" t="s">
        <v>60</v>
      </c>
      <c r="M27" s="36" t="str">
        <f ca="1">TEXTJOIN2("
",TRUE,INDIRECT( $L$1):INDIRECT($L$3))</f>
        <v xml:space="preserve">		public virtual decimal PeriodId { get; set; }
		public virtual string LotNo { get; set; }
		public virtual string PartNo { get; set; }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public virtual string DcType { get; set; }
		public virtual string InStockByLot { get; set; }
</v>
      </c>
      <c r="N27" s="33" t="str">
        <f ca="1">TEXTJOIN2("
",TRUE,INDIRECT( $M$1):INDIRECT($M$3))</f>
        <v xml:space="preserve">		public virtual decimal PeriodId { get; set; }
		[StringLength(InvOutWipStockConsts.MaxLotNoLength)]
		public virtual string LotNo { get; set; }
		[StringLength(InvOutWipStockConsts.MaxPartNoLength)]
		public virtual string PartNo { get; set; }
		[StringLength(InvOutWipStockConsts.MaxCarfamilyCodeLength)]
		public virtual string CarfamilyCode { get; set; }
		public virtual decimal UsageQty { get; set; }
		public virtual decimal SumCif { get; set; }
		public virtual decimal SumTax { get; set; }
		public virtual decimal SumInland { get; set; }
		public virtual decimal Amount { get; set; }
		public virtual decimal SumCifVn { get; set; }
		public virtual decimal SumTaxVn { get; set; }
		public virtual decimal SumInlandVn { get; set; }
		public virtual decimal AmountVn { get; set; }
		public virtual decimal CustomsDeclareNo { get; set; }
		public virtual DateTime? DeclareDate { get; set; }
		[StringLength(InvOutWipStockConsts.MaxDcTypeLength)]
		public virtual string DcType { get; set; }
		[StringLength(InvOutWipStockConsts.MaxInStockByLotLength)]
		public virtual string InStockByLot { get; set; }
</v>
      </c>
      <c r="O27" s="33" t="str">
        <f ca="1">TEXTJOIN2("
",TRUE,INDIRECT( $N$1):INDIRECT($N$3))</f>
        <v xml:space="preserve">		public virtual string LotNo { get; set; }
		public virtual string PartNo { get; set; }
		public virtual string CarfamilyCode { get; set; }
		public virtual DateTime? DeclareDate { get; set; }
		public virtual string DcType { get; set; }
		public virtual string InStockByLot { get; set; }
</v>
      </c>
      <c r="P27" s="9" t="str">
        <f ca="1">TEXTJOIN2("
",TRUE,INDIRECT( $O$1):INDIRECT($O$3))</f>
        <v xml:space="preserve">							PeriodId = o.PeriodId,
							LotNo = o.LotNo,
							PartNo = o.PartNo,
							CarfamilyCode = o.CarfamilyCode,
							UsageQty = o.UsageQty,
							SumCif = o.SumCif,
							SumTax = o.SumTax,
							SumInland = o.SumInland,
							Amount = o.Amount,
							SumCifVn = o.SumCifVn,
							SumTaxVn = o.SumTaxVn,
							SumInlandVn = o.SumInlandVn,
							AmountVn = o.AmountVn,
							CustomsDeclareNo = o.CustomsDeclareNo,
							DeclareDate = o.DeclareDate,
							DcType = o.DcType,
							InStockByLot = o.InStockByLot,</v>
      </c>
      <c r="T27" s="9" t="str">
        <f ca="1">TEXTJOIN2("
",TRUE,INDIRECT( $T$2):INDIRECT($T$3))</f>
        <v xml:space="preserve">								("PeriodId"),
								("LotNo"),
								("PartNo"),
								("CarfamilyCode"),
								("UsageQty"),
								("SumCif"),
								("SumTax"),
								("SumInland"),
								("Amount"),
								("SumCifVn"),
								("SumTaxVn"),
								("SumInlandVn"),
								("AmountVn"),
								("CustomsDeclareNo"),
								("DeclareDate"),
								("DcType"),
								("InStockByLot"),</v>
      </c>
      <c r="V27" s="9" t="str">
        <f ca="1">TEXTJOIN2("
",TRUE,INDIRECT( $V$2):INDIRECT($V$3))</f>
        <v xml:space="preserve">								_ =&gt; _.PeriodId,
								_ =&gt; _.LotNo,
								_ =&gt; _.PartNo,
								_ =&gt; _.CarfamilyCode,
								_ =&gt; _.UsageQty,
								_ =&gt; _.SumCif,
								_ =&gt; _.SumTax,
								_ =&gt; _.SumInland,
								_ =&gt; _.Amount,
								_ =&gt; _.SumCifVn,
								_ =&gt; _.SumTaxVn,
								_ =&gt; _.SumInlandVn,
								_ =&gt; _.AmountVn,
								_ =&gt; _.CustomsDeclareNo,
								_ =&gt; _.DeclareDate,
								_ =&gt; _.DcType,
								_ =&gt; _.InStockByLot,</v>
      </c>
      <c r="W27" s="9" t="str">
        <f ca="1">TEXTJOIN2("
",TRUE,INDIRECT( $W$2):INDIRECT($W$3))</f>
        <v xml:space="preserve">				.WhereIf(!string.IsNullOrWhiteSpace(input.LotNo), e =&gt; e.LotNo.Contains(input.LotNo))
				.WhereIf(!string.IsNullOrWhiteSpace(input.PartNo), e =&gt; e.PartNo.Contains(input.PartNo))
				.WhereIf(!string.IsNullOrWhiteSpace(input.CarfamilyCode), e =&gt; e.CarfamilyCode.Contains(input.CarfamilyCode))
				.WhereIf(input.DeclareDate.HasValue, t =&gt; t.DeclareDate == input.DeclareDate.Value)
				.WhereIf(!string.IsNullOrWhiteSpace(input.DcType), e =&gt; e.DcType.Contains(input.DcType))
				.WhereIf(!string.IsNullOrWhiteSpace(input.InStockByLot), e =&gt; e.InStockByLot.Contains(input.InStockByLot))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4"/>
  <sheetViews>
    <sheetView tabSelected="1" workbookViewId="0">
      <selection activeCell="H10" sqref="H1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8.7109375" customWidth="1"/>
    <col min="9" max="9" width="31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345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Inv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inv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>
        <f>A.Backend!Q3</f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0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InvOutWipStock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OutWipStock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outwipstock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InvOutWipStockDto, InvOutWipStockServiceProxy } from '@shared/service-proxies/service-proxies';
import { finalize } from 'rxjs/internal/operators/finalize';
import { CreateOrEditOutWipStockModalComponent } from './create-or-edit-outwipstock-modal.component';
import { DatePipe } from '@angular/common';
import { FileDownloadService } from '@shared/utils/file-download.service';
import ceil from 'lodash-es/ceil';
import { Paginator } from 'primeng/paginator';
@Component({
    templateUrl: './outwipstock.component.html',
    styleUrls: ['./outwipstock.component.less'],
})
export class OutWipStockComponent extends AppComponentBase implements OnInit {
    @ViewChild('createOrEditModalOutWipStock', { static: true }) createOrEditModalOutWipStock:| CreateOrEditOutWipStockModalComponent|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InvOutWipStockDto = new InvOutWipStockDto();
    saveSelectedRow: InvOutWipStockDto = new InvOutWipStockDto();
    datas: InvOutWipStockDto = new InvOutWipStockDto();
    isLoading: boolean = false;
    dataParams: GridParams | undefined;
    rowData: any[] = [];
    gridApi!: GridApi;
    rowSelection = 'multiple';
    filter: string = '';
	pipe = new DatePipe('en-US');
	frameworkComponents: FrameworkComponent;
    periodId
	lotNo : string = '' ; 
	partNo : string = '' ; 
	carfamilyCode : string = '' ; 
	usageQty
sumCif
	sumTax
	sumInland
	amount
	sumCifVn
sumTaxVn
	sumInlandVn
	amountVn
	customsDeclareNo
	declareDate : any ;
dcType : string = '' ; 
	inStockByLot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InvOutWipStockServiceProxy,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this.l('Period Id'),headerTooltip: this.l('Period Id'),field: 'periodId',flex: 1},
			{headerName: this.l('Lot No'),headerTooltip: this.l('Lot No'),field: 'lotNo',flex: 1},
			{headerName: this.l('Part No'),headerTooltip: this.l('Part No'),field: 'partNo',flex: 1},
			{headerName: this.l('Carfamily Code'),headerTooltip: this.l('Carfamily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this.periodId = '',
		this.lotNo = '',
		this.partNo = '',
		this.carfamilyCode = '',
		this.usageQty = '',
this.sumCif = '',
		this.sumTax = '',
		this.sumInland = '',
		this.amount = '',
		this.sumCifVn = '',
this.sumTaxVn = '',
		this.sumInlandVn = '',
		this.amountVn = '',
		this.customsDeclareNo = '',
		this.declareDate = '',
this.dcType = '',
		this.inStockByLot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			'',
            this.paginationParams.skipCount,
            this.paginationParams.pageSize
        );
    }
    onChangeRowSelection(params: { api: { getSelectedRows: () =&gt; InvOutWipStockDto[] } }) {
        this.saveSelectedRow = params.api.getSelectedRows()[0] ?? new InvOutWipStockDto();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InvOutWipStockDto):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this._service.getOutWipStockToExcel(
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Inventory Out Wip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(click)="createOrEditModalOutWipStock.show()"&gt;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(click)="createOrEditModalOutWipStock.show(selectedRow)"&gt;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&lt;create-or-edit-outwipstock-modal
    #createOrEditModalOutWipStock
    (modalSave)="callBackDataGrid(dataParams)"
    (modalClose)="onChangeRowSelection(dataParams)"
&gt;
&lt;/create-or-edit-outwipstock-modal&gt;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#createOrEditModalOutWipStock="bs-modal"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OutWipStock')}}&lt;/h3&gt;
                    &lt;h3 *ngIf="!rowdata.id"&gt;{{('Create New OutWipStock')}}&lt;/h3&gt;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CreateOrEditInvOutWipStockDto, InvOutWipStockServiceProxy } from '@shared/service-proxies/service-proxies';
import { BsDatepickerDirective } from 'ngx-bootstrap/datepicker';
@Component({
    selector: 'create-or-edit-outwipstock-modal',
    templateUrl: './create-or-edit-outwipstock-modal.component.html',
    styleUrls: ['./create-or-edit-outwipstock-modal.component.less']
    })
export class CreateOrEditOutWipStockModalComponent extends AppComponentBase {
    @ViewChild('createOrEditModalOutWipStock',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CreateOrEditInvOutWipStockDto = new CreateOrEditInvOutWipStockDto();
    active: boolean = false;
    saving: boolean = false;
    _: boolean;
    constructor(
        injector: Injector,
        private _mstwptOutWipStockService: InvOutWipStockServiceProxy,
    ) 
    {
        super(injector);
    }
    show(rowdata?: CreateOrEditInvOutWipStockDto): void {
        if (!rowdata) this.rowdata = new CreateOrEditInvOutWipStockDto();
        else this.rowdata = rowdata;
		const dateValue =  this.rowdata.declareDate ? new Date(this.rowdata.declareDate?.toString())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this._mstwptOutWipStockService.createOrEdit(this.rowdata)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OutWipStockRoutingModule } from './outwipstock-routing.module';
import { OutWipStockComponent } from './outwipstock.component';
import { CreateOrEditOutWipStockModalComponent } from './create-or-edit-outwipstock-modal.component';
@NgModule({
    declarations: [
       OutWipStockComponent, 
        CreateOrEditOutWipStockModalComponent
    ],
    imports: [
        AppSharedModule, OutWipStockRoutingModule]
})
export class OutWipStockModule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OutWipStockComponent } from './outwipstock.component';
const routes: Routes = [{
    path: '',
    component: OutWipStockComponent,
    pathMatch: 'full'
}];
@NgModule({
    imports: [RouterModule.forChild(routes)],
    exports: [RouterModule],
})
export class OutWipStockRoutingModule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AppMenuItem("OutWipStock", "Pages.Inv.0.OutWipStock", "flaticon-book",   "/app/main/inv/0/outwipstock"),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'inv/0/outwipstock',
    loadChildren: () =&gt; import('./inv/0/outwipstock/outwipstock.module').then(m =&gt; m.OutWipStockModule),
    data: { permission: 'Pages.Inv.0.OutWipStock' }
},</v>
      </c>
      <c r="R10" s="50" t="str">
        <f>SUBSTITUTE(R9,"MstWptCalendar",$B$6)</f>
        <v>ApiServiceProxies.InvOutWipStockServiceProxy,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H31</v>
      </c>
      <c r="I12" s="31" t="str">
        <f>"I"&amp;COUNTA($A:$A)</f>
        <v>I31</v>
      </c>
      <c r="J12" s="31"/>
      <c r="K12" s="31" t="str">
        <f>"K"&amp;COUNTA($A:$A)</f>
        <v>K31</v>
      </c>
      <c r="L12" s="31" t="str">
        <f>"L"&amp;COUNTA($A:$A)</f>
        <v>L31</v>
      </c>
      <c r="M12" s="31"/>
      <c r="N12" s="31"/>
      <c r="O12" s="31"/>
      <c r="P12" s="31"/>
      <c r="Q12" s="31"/>
      <c r="R12" s="31"/>
      <c r="S12" s="31" t="str">
        <f>"S"&amp;COUNTA($A:$A)</f>
        <v>S31</v>
      </c>
      <c r="T12" s="31" t="str">
        <f>"T"&amp;COUNTA($A:$A)</f>
        <v>T31</v>
      </c>
      <c r="U12" s="31" t="str">
        <f>"U"&amp;COUNTA($A:$A)</f>
        <v>U31</v>
      </c>
      <c r="V12" s="31" t="str">
        <f>"V"&amp;COUNTA($A:$A)</f>
        <v>V31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this.l('Period Id'),headerTooltip: this.l('Period Id'),field: 'periodId',flex: 1},
			{headerName: this.l('Lot No'),headerTooltip: this.l('Lot No'),field: 'lotNo',flex: 1},
			{headerName: this.l('Part No'),headerTooltip: this.l('Part No'),field: 'partNo',flex: 1},
			{headerName: this.l('Carfamily Code'),headerTooltip: this.l('Carfamily Code'),field: 'carfamilyCode',flex: 1},
			{headerName: this.l('Usage Qty'),headerTooltip: this.l('Usage Qty'),field: 'usageQty',flex: 1},
			{headerName: this.l('Sum Cif'),headerTooltip: this.l('Sum Cif'),field: 'sumCif',flex: 1},
			{headerName: this.l('Sum Tax'),headerTooltip: this.l('Sum Tax'),field: 'sumTax',flex: 1},
			{headerName: this.l('Sum Inland'),headerTooltip: this.l('Sum Inland'),field: 'sumInland',flex: 1},
			{headerName: this.l('Amount'),headerTooltip: this.l('Amount'),field: 'amount',flex: 1},
			{headerName: this.l('Sum Cif Vn'),headerTooltip: this.l('Sum Cif Vn'),field: 'sumCifVn',flex: 1},
			{headerName: this.l('Sum Tax Vn'),headerTooltip: this.l('Sum Tax Vn'),field: 'sumTaxVn',flex: 1},
			{headerName: this.l('Sum Inland Vn'),headerTooltip: this.l('Sum Inland Vn'),field: 'sumInlandVn',flex: 1},
			{headerName: this.l('Amount Vn'),headerTooltip: this.l('Amount Vn'),field: 'amountVn',flex: 1},
			{headerName: this.l('Customs Declare No'),headerTooltip: this.l('Customs Declare No'),field: 'customsDeclareNo',flex: 1},
			{headerName: this.l('Declare Date'),headerTooltip: this.l('Declare Date'),field: 'declareDate',valueGetter: (params) =&gt; this.pipe.transform(params.data?.declareDate, 'dd/MM/yyyy'),flex: 1},
			{headerName: this.l('Dc Type'),headerTooltip: this.l('Dc Type'),field: 'dcType',flex: 1},
			{headerName: this.l('In Stock By Lot'),headerTooltip: this.l('In Stock By Lot'),field: 'inStockByLot',flex: 1},</v>
      </c>
      <c r="I13" s="38" t="str">
        <f ca="1">TEXTJOIN2("
",TRUE,INDIRECT(I11):INDIRECT(I12))</f>
        <v xml:space="preserve">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[(ngModel)]='carfamilyCode' name='carfamilyCode'
									class='form-control' [placeholder]="l('Carfamily Code')"
									type='text' (keyup.enter)='searchDatas()'&gt;
								&lt;/div&gt;
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[(ngModel)]='dcType' name='dcType'
									class='form-control' [placeholder]="l('Dc Type')"
									type='text' (keyup.enter)='searchDatas()'&gt;
								&lt;/div&gt;
								&lt;div class='input-search'&gt;
									&lt;input [(ngModel)]='inStockByLot' name='inStockByLot'
									class='form-control' [placeholder]="l('In Stock By Lot')"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
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
					&lt;div class='col-md-12 form-group row'&gt;
						&lt;label class='col-md-2 form-control title'&gt;Dc Type&lt;/label&gt;
						&lt;input type='text' class='col-md-10 form-control input-text' name='DcType' [(ngModel)]='rowdata.dcType'&gt;
					&lt;/div&gt;
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</v>
      </c>
      <c r="L13" s="60" t="str">
        <f ca="1">TEXTJOIN2("
",TRUE,INDIRECT(L11):INDIRECT(L12))</f>
        <v xml:space="preserve">		const dateValue =  this.rowdata.declareDate ? new Date(this.rowdata.declareDate?.toString())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periodId
	lotNo : string = '' ; 
	partNo : string = '' ; 
	carfamilyCode : string = '' ; 
	usageQty
sumCif
	sumTax
	sumInland
	amount
	sumCifVn
sumTaxVn
	sumInlandVn
	amountVn
	customsDeclareNo
	declareDate : any ;
dcType : string = '' ; 
	inStockByLot : string = '' ; </v>
      </c>
      <c r="T13" s="68" t="str">
        <f ca="1">TEXTJOIN2("
",TRUE,INDIRECT(T11):INDIRECT(T12))</f>
        <v xml:space="preserve">			this.periodId,
			this.lotNo,
			this.partNo,
			this.carfamilyCode,
			this.usageQty,
			this.sumCif,
			this.sumTax,
			this.sumInland,
			this.amount,
			this.sumCifVn,
			this.sumTaxVn,
			this.sumInlandVn,
			this.amountVn,
			this.customsDeclareNo,
			this.declareDate,
			this.dcType,
			this.inStockByLot,</v>
      </c>
      <c r="U13" s="68" t="str">
        <f ca="1">TEXTJOIN2("
",TRUE,INDIRECT(U11):INDIRECT(U12))</f>
        <v>this.periodId = '',
		this.lotNo = '',
		this.partNo = '',
		this.carfamilyCode = '',
		this.usageQty = '',
this.sumCif = '',
		this.sumTax = '',
		this.sumInland = '',
		this.amount = '',
		this.sumCifVn = '',
this.sumTaxVn = '',
		this.sumInlandVn = '',
		this.amountVn = '',
		this.customsDeclareNo = '',
		this.declareDate = '',
this.dcType = '',
		this.inStockByLot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outwipstock.component.ts</v>
      </c>
      <c r="I14" s="40" t="str">
        <f>B8&amp;".component.html"</f>
        <v>outwipstock.component.html</v>
      </c>
      <c r="J14" s="39" t="str">
        <f>B8&amp;".component.less"</f>
        <v>outwipstock.component.less</v>
      </c>
      <c r="K14" s="40" t="str">
        <f>"create-or-edit-"&amp;B8&amp;"-modal.component.html"</f>
        <v>create-or-edit-outwipstock-modal.component.html</v>
      </c>
      <c r="L14" s="40" t="str">
        <f>"create-or-edit-"&amp;B8&amp;"-modal.component.ts"</f>
        <v>create-or-edit-outwipstock-modal.component.ts</v>
      </c>
      <c r="M14" s="40" t="str">
        <f>"create-or-edit-"&amp;B8&amp;"-modal.component.less"</f>
        <v>create-or-edit-outwipstock-modal.component.less</v>
      </c>
      <c r="N14" s="40" t="str">
        <f>B8&amp;".module.ts"</f>
        <v>outwipstock.module.ts</v>
      </c>
      <c r="O14" s="40" t="str">
        <f>B8&amp;"-routing.module.ts"</f>
        <v>outwipstock-routing.module.ts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321</v>
      </c>
      <c r="B15" s="31" t="str">
        <f>SUBSTITUTE(PROPER(A15),"_","")</f>
        <v>PeriodId</v>
      </c>
      <c r="C15" s="31" t="str">
        <f>SUBSTITUTE(PROPER(A15),"_"," ")</f>
        <v>Period Id</v>
      </c>
      <c r="D15" s="31" t="str">
        <f>LOWER(LEFT(B15,1))&amp;RIGHT(B15,LEN(B15) - 1)</f>
        <v>periodId</v>
      </c>
      <c r="E15" s="31" t="str">
        <f>A.Backend!H9</f>
        <v>decimal</v>
      </c>
      <c r="F15" s="31" t="str">
        <f>A.Backend!G9</f>
        <v>19, 0</v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this.l('Period Id'),headerTooltip: this.l('Period Id'),field: 'periodId',flex: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periodId</v>
      </c>
      <c r="T15" s="31" t="str">
        <f>REPT(CHAR(9),3)&amp;"this."&amp;D15&amp;","</f>
        <v xml:space="preserve">			this.periodId,</v>
      </c>
      <c r="U15" s="31" t="str">
        <f>IF(E15="int","this."&amp;D15&amp;" = 0,","this."&amp;D15&amp;" = '',")</f>
        <v>this.periodId = '',</v>
      </c>
      <c r="V15" s="31" t="str">
        <f>IF(AND(E15="string",F15="1"),D15,"")</f>
        <v/>
      </c>
    </row>
    <row r="16" spans="1:22" ht="15" customHeight="1" x14ac:dyDescent="0.25">
      <c r="A16" s="31" t="s">
        <v>325</v>
      </c>
      <c r="B16" s="31" t="str">
        <f t="shared" ref="B16:B31" si="0">SUBSTITUTE(PROPER(A16),"_","")</f>
        <v>LotNo</v>
      </c>
      <c r="C16" s="31" t="str">
        <f t="shared" ref="C16:C31" si="1">SUBSTITUTE(PROPER(A16),"_"," ")</f>
        <v>Lot No</v>
      </c>
      <c r="D16" s="31" t="str">
        <f t="shared" ref="D16:D31" si="2">LOWER(LEFT(B16,1))&amp;RIGHT(B16,LEN(B16) - 1)</f>
        <v>lotNo</v>
      </c>
      <c r="E16" s="31" t="str">
        <f>A.Backend!H10</f>
        <v>string</v>
      </c>
      <c r="F16" s="31" t="str">
        <f>A.Backend!G10</f>
        <v>50</v>
      </c>
      <c r="G16" s="31" t="str">
        <f t="shared" ref="G16:G31" si="3">IF(E16="string"," : string = '' ; ",IF(OR(E16="DateTime",E16="TimeSpan")," : any ;",IF(E16="int"," : number = 0 ;","")))</f>
        <v xml:space="preserve"> : string = '' ; </v>
      </c>
      <c r="H16" s="38" t="str">
        <f t="shared" ref="H16:H31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8" t="str">
        <f t="shared" ref="I16:I31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lotNo : string = '' ; </v>
      </c>
      <c r="T16" s="31" t="str">
        <f>REPT(CHAR(9),3)&amp;"this."&amp;D16&amp;","</f>
        <v xml:space="preserve">			this.lotNo,</v>
      </c>
      <c r="U16" s="31" t="str">
        <f>IF(E16="int",REPT(CHAR(9),2)&amp;"this."&amp;D16&amp;" = 0,",REPT(CHAR(9),2)&amp;"this."&amp;D16&amp;" = '',")</f>
        <v xml:space="preserve">		this.lotNo = '',</v>
      </c>
      <c r="V16" s="31" t="str">
        <f t="shared" ref="V16:V19" si="8">IF(AND(E16="string",F16="1"),D16,"")</f>
        <v/>
      </c>
    </row>
    <row r="17" spans="1:22" ht="18" customHeight="1" x14ac:dyDescent="0.25">
      <c r="A17" s="31" t="s">
        <v>323</v>
      </c>
      <c r="B17" s="31" t="str">
        <f t="shared" si="0"/>
        <v>PartNo</v>
      </c>
      <c r="C17" s="31" t="str">
        <f t="shared" si="1"/>
        <v>Part No</v>
      </c>
      <c r="D17" s="31" t="str">
        <f t="shared" si="2"/>
        <v>partNo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this.l('Part No'),headerTooltip: this.l('Part No'),field: 'partNo',flex: 1},</v>
      </c>
      <c r="I17" s="38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partNo : string = '' ; </v>
      </c>
      <c r="T17" s="31" t="str">
        <f t="shared" ref="T17:T19" si="10">REPT(CHAR(9),3)&amp;"this."&amp;D17&amp;","</f>
        <v xml:space="preserve">			this.partNo,</v>
      </c>
      <c r="U17" s="31" t="str">
        <f t="shared" ref="U17:U19" si="11">IF(E17="int",REPT(CHAR(9),2)&amp;"this."&amp;D17&amp;" = 0,",REPT(CHAR(9),2)&amp;"this."&amp;D17&amp;" = '',")</f>
        <v xml:space="preserve">		this.partNo = '',</v>
      </c>
      <c r="V17" s="31" t="str">
        <f t="shared" si="8"/>
        <v/>
      </c>
    </row>
    <row r="18" spans="1:22" ht="18" customHeight="1" x14ac:dyDescent="0.25">
      <c r="A18" s="31" t="s">
        <v>334</v>
      </c>
      <c r="B18" s="31" t="str">
        <f t="shared" si="0"/>
        <v>CarfamilyCode</v>
      </c>
      <c r="C18" s="31" t="str">
        <f t="shared" si="1"/>
        <v>Carfamily Code</v>
      </c>
      <c r="D18" s="31" t="str">
        <f t="shared" si="2"/>
        <v>carfamilyCode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this.l('Carfamily Code'),headerTooltip: this.l('Carfamily Code'),field: 'carfamilyCode',flex: 1},</v>
      </c>
      <c r="I18" s="38" t="str">
        <f t="shared" si="5"/>
        <v xml:space="preserve">								&lt;div class='input-search'&gt;
									&lt;input [(ngModel)]='carfamilyCode' name='carfamilyCode'
									class='form-control' [placeholder]="l('Carfamily Code')"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title'&gt;Carfamily Code&lt;/label&gt;
						&lt;input type='text' class='col-md-10 form-control input-text' name='CarfamilyCode' [(ngModel)]='rowdata.carfamilyCode'&gt;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carfamilyCode : string = '' ; </v>
      </c>
      <c r="T18" s="31" t="str">
        <f t="shared" si="10"/>
        <v xml:space="preserve">			this.carfamilyCode,</v>
      </c>
      <c r="U18" s="31" t="str">
        <f t="shared" si="11"/>
        <v xml:space="preserve">		this.carfamilyCode = '',</v>
      </c>
      <c r="V18" s="31" t="str">
        <f t="shared" si="8"/>
        <v/>
      </c>
    </row>
    <row r="19" spans="1:22" ht="15" customHeight="1" x14ac:dyDescent="0.25">
      <c r="A19" s="31" t="s">
        <v>335</v>
      </c>
      <c r="B19" s="31" t="str">
        <f t="shared" si="0"/>
        <v>UsageQty</v>
      </c>
      <c r="C19" s="31" t="str">
        <f t="shared" si="1"/>
        <v>Usage Qty</v>
      </c>
      <c r="D19" s="31" t="str">
        <f t="shared" si="2"/>
        <v>usageQty</v>
      </c>
      <c r="E19" s="31" t="str">
        <f>A.Backend!H13</f>
        <v>decimal</v>
      </c>
      <c r="F19" s="31" t="str">
        <f>A.Backend!G13</f>
        <v>10, 2</v>
      </c>
      <c r="G19" s="31" t="str">
        <f t="shared" si="3"/>
        <v/>
      </c>
      <c r="H19" s="38" t="str">
        <f t="shared" si="4"/>
        <v xml:space="preserve">			{headerName: this.l('Usage Qty'),headerTooltip: this.l('Usage Qty'),field: 'usageQty',flex: 1},</v>
      </c>
      <c r="I19" s="38" t="str">
        <f t="shared" si="5"/>
        <v/>
      </c>
      <c r="J19" s="31"/>
      <c r="K19" s="38" t="str">
        <f t="shared" si="6"/>
        <v/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usageQty</v>
      </c>
      <c r="T19" s="31" t="str">
        <f t="shared" si="10"/>
        <v xml:space="preserve">			this.usageQty,</v>
      </c>
      <c r="U19" s="31" t="str">
        <f t="shared" si="11"/>
        <v xml:space="preserve">		this.usageQty = '',</v>
      </c>
      <c r="V19" s="31" t="str">
        <f t="shared" si="8"/>
        <v/>
      </c>
    </row>
    <row r="20" spans="1:22" ht="18" customHeight="1" x14ac:dyDescent="0.25">
      <c r="A20" s="31" t="s">
        <v>336</v>
      </c>
      <c r="B20" s="31" t="str">
        <f t="shared" si="0"/>
        <v>SumCif</v>
      </c>
      <c r="C20" s="31" t="str">
        <f t="shared" si="1"/>
        <v>Sum Cif</v>
      </c>
      <c r="D20" s="31" t="str">
        <f t="shared" si="2"/>
        <v>sumCif</v>
      </c>
      <c r="E20" s="31" t="str">
        <f>A.Backend!H14</f>
        <v>decimal</v>
      </c>
      <c r="F20" s="31" t="str">
        <f>A.Backend!G14</f>
        <v>18, 4</v>
      </c>
      <c r="G20" s="31" t="str">
        <f t="shared" si="3"/>
        <v/>
      </c>
      <c r="H20" s="38" t="str">
        <f t="shared" si="4"/>
        <v xml:space="preserve">			{headerName: this.l('Sum Cif'),headerTooltip: this.l('Sum Cif'),field: 'sumCif',flex: 1},</v>
      </c>
      <c r="I20" s="38" t="str">
        <f t="shared" si="5"/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>sumCif</v>
      </c>
      <c r="T20" s="31" t="str">
        <f>REPT(CHAR(9),3)&amp;"this."&amp;D20&amp;","</f>
        <v xml:space="preserve">			this.sumCif,</v>
      </c>
      <c r="U20" s="31" t="str">
        <f>IF(E20="int","this."&amp;D20&amp;" = 0,","this."&amp;D20&amp;" = '',")</f>
        <v>this.sumCif = '',</v>
      </c>
      <c r="V20" s="31" t="str">
        <f>IF(AND(E20="string",F20="1"),D20,"")</f>
        <v/>
      </c>
    </row>
    <row r="21" spans="1:22" ht="15" customHeight="1" x14ac:dyDescent="0.25">
      <c r="A21" s="31" t="s">
        <v>337</v>
      </c>
      <c r="B21" s="31" t="str">
        <f t="shared" si="0"/>
        <v>SumTax</v>
      </c>
      <c r="C21" s="31" t="str">
        <f t="shared" si="1"/>
        <v>Sum Tax</v>
      </c>
      <c r="D21" s="31" t="str">
        <f t="shared" si="2"/>
        <v>sumTax</v>
      </c>
      <c r="E21" s="31" t="str">
        <f>A.Backend!H15</f>
        <v>decimal</v>
      </c>
      <c r="F21" s="31" t="str">
        <f>A.Backend!G15</f>
        <v>18, 4</v>
      </c>
      <c r="G21" s="31" t="str">
        <f t="shared" si="3"/>
        <v/>
      </c>
      <c r="H21" s="38" t="str">
        <f t="shared" si="4"/>
        <v xml:space="preserve">			{headerName: this.l('Sum Tax'),headerTooltip: this.l('Sum Tax'),field: 'sumTax',flex: 1},</v>
      </c>
      <c r="I21" s="38" t="str">
        <f t="shared" si="5"/>
        <v/>
      </c>
      <c r="J21" s="31"/>
      <c r="K21" s="38" t="str">
        <f t="shared" ref="K21:K24" si="12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60" t="str">
        <f t="shared" ref="L21:L24" si="13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sumTax</v>
      </c>
      <c r="T21" s="31" t="str">
        <f>REPT(CHAR(9),3)&amp;"this."&amp;D21&amp;","</f>
        <v xml:space="preserve">			this.sumTax,</v>
      </c>
      <c r="U21" s="31" t="str">
        <f>IF(E21="int",REPT(CHAR(9),2)&amp;"this."&amp;D21&amp;" = 0,",REPT(CHAR(9),2)&amp;"this."&amp;D21&amp;" = '',")</f>
        <v xml:space="preserve">		this.sumTax = '',</v>
      </c>
      <c r="V21" s="31" t="str">
        <f t="shared" ref="V21:V24" si="14">IF(AND(E21="string",F21="1"),D21,"")</f>
        <v/>
      </c>
    </row>
    <row r="22" spans="1:22" ht="18" customHeight="1" x14ac:dyDescent="0.25">
      <c r="A22" s="31" t="s">
        <v>338</v>
      </c>
      <c r="B22" s="31" t="str">
        <f t="shared" si="0"/>
        <v>SumInland</v>
      </c>
      <c r="C22" s="31" t="str">
        <f t="shared" si="1"/>
        <v>Sum Inland</v>
      </c>
      <c r="D22" s="31" t="str">
        <f t="shared" si="2"/>
        <v>sumInland</v>
      </c>
      <c r="E22" s="31" t="str">
        <f>A.Backend!H16</f>
        <v>decimal</v>
      </c>
      <c r="F22" s="31" t="str">
        <f>A.Backend!G16</f>
        <v>18, 4</v>
      </c>
      <c r="G22" s="31" t="str">
        <f t="shared" si="3"/>
        <v/>
      </c>
      <c r="H22" s="38" t="str">
        <f t="shared" si="4"/>
        <v xml:space="preserve">			{headerName: this.l('Sum Inland'),headerTooltip: this.l('Sum Inland'),field: 'sumInland',flex: 1},</v>
      </c>
      <c r="I22" s="38" t="str">
        <f t="shared" si="5"/>
        <v/>
      </c>
      <c r="J22" s="31"/>
      <c r="K22" s="38" t="str">
        <f t="shared" si="12"/>
        <v/>
      </c>
      <c r="L22" s="60" t="str">
        <f t="shared" si="13"/>
        <v/>
      </c>
      <c r="M22" s="31"/>
      <c r="N22" s="31"/>
      <c r="O22" s="31"/>
      <c r="P22" s="31"/>
      <c r="Q22" s="31"/>
      <c r="R22" s="31"/>
      <c r="S22" s="31" t="str">
        <f t="shared" ref="S22:S24" si="15">REPT(CHAR(9),1)&amp;D22&amp;G22</f>
        <v xml:space="preserve">	sumInland</v>
      </c>
      <c r="T22" s="31" t="str">
        <f t="shared" ref="T22:T24" si="16">REPT(CHAR(9),3)&amp;"this."&amp;D22&amp;","</f>
        <v xml:space="preserve">			this.sumInland,</v>
      </c>
      <c r="U22" s="31" t="str">
        <f t="shared" ref="U22:U24" si="17">IF(E22="int",REPT(CHAR(9),2)&amp;"this."&amp;D22&amp;" = 0,",REPT(CHAR(9),2)&amp;"this."&amp;D22&amp;" = '',")</f>
        <v xml:space="preserve">		this.sumInland = '',</v>
      </c>
      <c r="V22" s="31" t="str">
        <f t="shared" si="14"/>
        <v/>
      </c>
    </row>
    <row r="23" spans="1:22" ht="18" customHeight="1" x14ac:dyDescent="0.25">
      <c r="A23" s="31" t="s">
        <v>332</v>
      </c>
      <c r="B23" s="31" t="str">
        <f t="shared" si="0"/>
        <v>Amount</v>
      </c>
      <c r="C23" s="31" t="str">
        <f t="shared" si="1"/>
        <v>Amount</v>
      </c>
      <c r="D23" s="31" t="str">
        <f t="shared" si="2"/>
        <v>amount</v>
      </c>
      <c r="E23" s="31" t="str">
        <f>A.Backend!H17</f>
        <v>decimal</v>
      </c>
      <c r="F23" s="31" t="str">
        <f>A.Backend!G17</f>
        <v>18, 4</v>
      </c>
      <c r="G23" s="31" t="str">
        <f t="shared" si="3"/>
        <v/>
      </c>
      <c r="H23" s="38" t="str">
        <f t="shared" si="4"/>
        <v xml:space="preserve">			{headerName: this.l('Amount'),headerTooltip: this.l('Amount'),field: 'amount',flex: 1},</v>
      </c>
      <c r="I23" s="38" t="str">
        <f t="shared" si="5"/>
        <v/>
      </c>
      <c r="J23" s="31"/>
      <c r="K23" s="38" t="str">
        <f t="shared" si="12"/>
        <v/>
      </c>
      <c r="L23" s="60" t="str">
        <f t="shared" si="13"/>
        <v/>
      </c>
      <c r="M23" s="31"/>
      <c r="N23" s="31"/>
      <c r="O23" s="31"/>
      <c r="P23" s="31"/>
      <c r="Q23" s="31"/>
      <c r="R23" s="31"/>
      <c r="S23" s="31" t="str">
        <f t="shared" si="15"/>
        <v xml:space="preserve">	amount</v>
      </c>
      <c r="T23" s="31" t="str">
        <f t="shared" si="16"/>
        <v xml:space="preserve">			this.amount,</v>
      </c>
      <c r="U23" s="31" t="str">
        <f t="shared" si="17"/>
        <v xml:space="preserve">		this.amount = '',</v>
      </c>
      <c r="V23" s="31" t="str">
        <f t="shared" si="14"/>
        <v/>
      </c>
    </row>
    <row r="24" spans="1:22" ht="15" customHeight="1" x14ac:dyDescent="0.25">
      <c r="A24" s="31" t="s">
        <v>339</v>
      </c>
      <c r="B24" s="31" t="str">
        <f t="shared" si="0"/>
        <v>SumCifVn</v>
      </c>
      <c r="C24" s="31" t="str">
        <f t="shared" si="1"/>
        <v>Sum Cif Vn</v>
      </c>
      <c r="D24" s="31" t="str">
        <f t="shared" si="2"/>
        <v>sumCifVn</v>
      </c>
      <c r="E24" s="31" t="str">
        <f>A.Backend!H18</f>
        <v>decimal</v>
      </c>
      <c r="F24" s="31" t="str">
        <f>A.Backend!G18</f>
        <v>18, 4</v>
      </c>
      <c r="G24" s="31" t="str">
        <f t="shared" si="3"/>
        <v/>
      </c>
      <c r="H24" s="38" t="str">
        <f t="shared" si="4"/>
        <v xml:space="preserve">			{headerName: this.l('Sum Cif Vn'),headerTooltip: this.l('Sum Cif Vn'),field: 'sumCifVn',flex: 1},</v>
      </c>
      <c r="I24" s="38" t="str">
        <f t="shared" si="5"/>
        <v/>
      </c>
      <c r="J24" s="31"/>
      <c r="K24" s="38" t="str">
        <f t="shared" si="12"/>
        <v/>
      </c>
      <c r="L24" s="60" t="str">
        <f t="shared" si="13"/>
        <v/>
      </c>
      <c r="M24" s="31"/>
      <c r="N24" s="31"/>
      <c r="O24" s="31"/>
      <c r="P24" s="31"/>
      <c r="Q24" s="31"/>
      <c r="R24" s="31"/>
      <c r="S24" s="31" t="str">
        <f t="shared" si="15"/>
        <v xml:space="preserve">	sumCifVn</v>
      </c>
      <c r="T24" s="31" t="str">
        <f t="shared" si="16"/>
        <v xml:space="preserve">			this.sumCifVn,</v>
      </c>
      <c r="U24" s="31" t="str">
        <f t="shared" si="17"/>
        <v xml:space="preserve">		this.sumCifVn = '',</v>
      </c>
      <c r="V24" s="31" t="str">
        <f t="shared" si="14"/>
        <v/>
      </c>
    </row>
    <row r="25" spans="1:22" ht="18" customHeight="1" x14ac:dyDescent="0.25">
      <c r="A25" s="31" t="s">
        <v>340</v>
      </c>
      <c r="B25" s="31" t="str">
        <f t="shared" si="0"/>
        <v>SumTaxVn</v>
      </c>
      <c r="C25" s="31" t="str">
        <f t="shared" si="1"/>
        <v>Sum Tax Vn</v>
      </c>
      <c r="D25" s="31" t="str">
        <f t="shared" si="2"/>
        <v>sumTaxVn</v>
      </c>
      <c r="E25" s="31" t="str">
        <f>A.Backend!H19</f>
        <v>decimal</v>
      </c>
      <c r="F25" s="31" t="str">
        <f>A.Backend!G19</f>
        <v>18, 4</v>
      </c>
      <c r="G25" s="31" t="str">
        <f t="shared" si="3"/>
        <v/>
      </c>
      <c r="H25" s="38" t="str">
        <f t="shared" si="4"/>
        <v xml:space="preserve">			{headerName: this.l('Sum Tax Vn'),headerTooltip: this.l('Sum Tax Vn'),field: 'sumTaxVn',flex: 1},</v>
      </c>
      <c r="I25" s="38" t="str">
        <f t="shared" si="5"/>
        <v/>
      </c>
      <c r="J25" s="31"/>
      <c r="K25" s="38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60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D25&amp;G25</f>
        <v>sumTaxVn</v>
      </c>
      <c r="T25" s="31" t="str">
        <f>REPT(CHAR(9),3)&amp;"this."&amp;D25&amp;","</f>
        <v xml:space="preserve">			this.sumTaxVn,</v>
      </c>
      <c r="U25" s="31" t="str">
        <f>IF(E25="int","this."&amp;D25&amp;" = 0,","this."&amp;D25&amp;" = '',")</f>
        <v>this.sumTaxVn = '',</v>
      </c>
      <c r="V25" s="31" t="str">
        <f>IF(AND(E25="string",F25="1"),D25,"")</f>
        <v/>
      </c>
    </row>
    <row r="26" spans="1:22" ht="15" customHeight="1" x14ac:dyDescent="0.25">
      <c r="A26" s="31" t="s">
        <v>341</v>
      </c>
      <c r="B26" s="31" t="str">
        <f t="shared" si="0"/>
        <v>SumInlandVn</v>
      </c>
      <c r="C26" s="31" t="str">
        <f t="shared" si="1"/>
        <v>Sum Inland Vn</v>
      </c>
      <c r="D26" s="31" t="str">
        <f t="shared" si="2"/>
        <v>sumInlandVn</v>
      </c>
      <c r="E26" s="31" t="str">
        <f>A.Backend!H20</f>
        <v>decimal</v>
      </c>
      <c r="F26" s="31" t="str">
        <f>A.Backend!G20</f>
        <v>18, 4</v>
      </c>
      <c r="G26" s="31" t="str">
        <f t="shared" si="3"/>
        <v/>
      </c>
      <c r="H26" s="38" t="str">
        <f t="shared" si="4"/>
        <v xml:space="preserve">			{headerName: this.l('Sum Inland Vn'),headerTooltip: this.l('Sum Inland Vn'),field: 'sumInlandVn',flex: 1},</v>
      </c>
      <c r="I26" s="38" t="str">
        <f t="shared" si="5"/>
        <v/>
      </c>
      <c r="J26" s="31"/>
      <c r="K26" s="38" t="str">
        <f t="shared" ref="K26:K29" si="18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60" t="str">
        <f t="shared" ref="L26:L29" si="19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sumInlandVn</v>
      </c>
      <c r="T26" s="31" t="str">
        <f>REPT(CHAR(9),3)&amp;"this."&amp;D26&amp;","</f>
        <v xml:space="preserve">			this.sumInlandVn,</v>
      </c>
      <c r="U26" s="31" t="str">
        <f>IF(E26="int",REPT(CHAR(9),2)&amp;"this."&amp;D26&amp;" = 0,",REPT(CHAR(9),2)&amp;"this."&amp;D26&amp;" = '',")</f>
        <v xml:space="preserve">		this.sumInlandVn = '',</v>
      </c>
      <c r="V26" s="31" t="str">
        <f t="shared" ref="V26:V29" si="20">IF(AND(E26="string",F26="1"),D26,"")</f>
        <v/>
      </c>
    </row>
    <row r="27" spans="1:22" ht="18" customHeight="1" x14ac:dyDescent="0.25">
      <c r="A27" s="31" t="s">
        <v>333</v>
      </c>
      <c r="B27" s="31" t="str">
        <f t="shared" si="0"/>
        <v>AmountVn</v>
      </c>
      <c r="C27" s="31" t="str">
        <f t="shared" si="1"/>
        <v>Amount Vn</v>
      </c>
      <c r="D27" s="31" t="str">
        <f t="shared" si="2"/>
        <v>amountVn</v>
      </c>
      <c r="E27" s="31" t="str">
        <f>A.Backend!H21</f>
        <v>decimal</v>
      </c>
      <c r="F27" s="31" t="str">
        <f>A.Backend!G21</f>
        <v>18, 4</v>
      </c>
      <c r="G27" s="31" t="str">
        <f t="shared" si="3"/>
        <v/>
      </c>
      <c r="H27" s="38" t="str">
        <f t="shared" si="4"/>
        <v xml:space="preserve">			{headerName: this.l('Amount Vn'),headerTooltip: this.l('Amount Vn'),field: 'amountVn',flex: 1},</v>
      </c>
      <c r="I27" s="38" t="str">
        <f t="shared" si="5"/>
        <v/>
      </c>
      <c r="J27" s="31"/>
      <c r="K27" s="38" t="str">
        <f t="shared" si="18"/>
        <v/>
      </c>
      <c r="L27" s="60" t="str">
        <f t="shared" si="19"/>
        <v/>
      </c>
      <c r="M27" s="31"/>
      <c r="N27" s="31"/>
      <c r="O27" s="31"/>
      <c r="P27" s="31"/>
      <c r="Q27" s="31"/>
      <c r="R27" s="31"/>
      <c r="S27" s="31" t="str">
        <f t="shared" ref="S27:S29" si="21">REPT(CHAR(9),1)&amp;D27&amp;G27</f>
        <v xml:space="preserve">	amountVn</v>
      </c>
      <c r="T27" s="31" t="str">
        <f t="shared" ref="T27:T29" si="22">REPT(CHAR(9),3)&amp;"this."&amp;D27&amp;","</f>
        <v xml:space="preserve">			this.amountVn,</v>
      </c>
      <c r="U27" s="31" t="str">
        <f t="shared" ref="U27:U29" si="23">IF(E27="int",REPT(CHAR(9),2)&amp;"this."&amp;D27&amp;" = 0,",REPT(CHAR(9),2)&amp;"this."&amp;D27&amp;" = '',")</f>
        <v xml:space="preserve">		this.amountVn = '',</v>
      </c>
      <c r="V27" s="31" t="str">
        <f t="shared" si="20"/>
        <v/>
      </c>
    </row>
    <row r="28" spans="1:22" ht="18" customHeight="1" x14ac:dyDescent="0.25">
      <c r="A28" s="31" t="s">
        <v>327</v>
      </c>
      <c r="B28" s="31" t="str">
        <f t="shared" si="0"/>
        <v>CustomsDeclareNo</v>
      </c>
      <c r="C28" s="31" t="str">
        <f t="shared" si="1"/>
        <v>Customs Declare No</v>
      </c>
      <c r="D28" s="31" t="str">
        <f t="shared" si="2"/>
        <v>customsDeclareNo</v>
      </c>
      <c r="E28" s="31" t="str">
        <f>A.Backend!H22</f>
        <v>decimal</v>
      </c>
      <c r="F28" s="31" t="str">
        <f>A.Backend!G22</f>
        <v>18, 4</v>
      </c>
      <c r="G28" s="31" t="str">
        <f t="shared" si="3"/>
        <v/>
      </c>
      <c r="H28" s="38" t="str">
        <f t="shared" si="4"/>
        <v xml:space="preserve">			{headerName: this.l('Customs Declare No'),headerTooltip: this.l('Customs Declare No'),field: 'customsDeclareNo',flex: 1},</v>
      </c>
      <c r="I28" s="38" t="str">
        <f t="shared" si="5"/>
        <v/>
      </c>
      <c r="J28" s="31"/>
      <c r="K28" s="38" t="str">
        <f t="shared" si="18"/>
        <v/>
      </c>
      <c r="L28" s="60" t="str">
        <f t="shared" si="19"/>
        <v/>
      </c>
      <c r="M28" s="31"/>
      <c r="N28" s="31"/>
      <c r="O28" s="31"/>
      <c r="P28" s="31"/>
      <c r="Q28" s="31"/>
      <c r="R28" s="31"/>
      <c r="S28" s="31" t="str">
        <f t="shared" si="21"/>
        <v xml:space="preserve">	customsDeclareNo</v>
      </c>
      <c r="T28" s="31" t="str">
        <f t="shared" si="22"/>
        <v xml:space="preserve">			this.customsDeclareNo,</v>
      </c>
      <c r="U28" s="31" t="str">
        <f t="shared" si="23"/>
        <v xml:space="preserve">		this.customsDeclareNo = '',</v>
      </c>
      <c r="V28" s="31" t="str">
        <f t="shared" si="20"/>
        <v/>
      </c>
    </row>
    <row r="29" spans="1:22" ht="15" customHeight="1" x14ac:dyDescent="0.25">
      <c r="A29" s="31" t="s">
        <v>328</v>
      </c>
      <c r="B29" s="31" t="str">
        <f t="shared" si="0"/>
        <v>DeclareDate</v>
      </c>
      <c r="C29" s="31" t="str">
        <f t="shared" si="1"/>
        <v>Declare Date</v>
      </c>
      <c r="D29" s="31" t="str">
        <f t="shared" si="2"/>
        <v>declareDate</v>
      </c>
      <c r="E29" s="31" t="str">
        <f>A.Backend!H23</f>
        <v>DateTime</v>
      </c>
      <c r="F29" s="31" t="str">
        <f>A.Backend!G23</f>
        <v/>
      </c>
      <c r="G29" s="31" t="str">
        <f t="shared" si="3"/>
        <v xml:space="preserve"> : any ;</v>
      </c>
      <c r="H29" s="38" t="str">
        <f t="shared" si="4"/>
        <v xml:space="preserve">			{headerName: this.l('Declare Date'),headerTooltip: this.l('Declare Date'),field: 'declareDate',valueGetter: (params) =&gt; this.pipe.transform(params.data?.declareDate, 'dd/MM/yyyy'),flex: 1},</v>
      </c>
      <c r="I29" s="38" t="str">
        <f t="shared" si="5"/>
        <v xml:space="preserve">								&lt;div class='input-search'&gt;
									&lt;input type='text' [placeholder]="l('Declare Date')" [(ngModel)]='declareDate' 
									name='declareDate' (keydown)='searchDatas()' class='form-control' 
									bsDatepicker #d='bsDatepicker' placement='bottom left'&gt;
									&lt;i class='fa fa-calendar-alt' (click)='d.toggle()'&gt;&lt;/i&gt;
								&lt;/div&gt;</v>
      </c>
      <c r="J29" s="31"/>
      <c r="K29" s="38" t="str">
        <f t="shared" si="18"/>
        <v xml:space="preserve">					&lt;div class='col-md-12 form-group row'&gt;
						&lt;label class='col-md-2 form-control title'&gt;Declare Date&lt;/label&gt;
						&lt;input type='text' class='col-md-10 form-control input-text' name='declareDate' 
						#datepicker='bsDatepicker' [(ngModel)]='rowdata.declareDate'  bsDatepicker &gt;
					&lt;/div&gt;</v>
      </c>
      <c r="L29" s="60" t="str">
        <f t="shared" si="19"/>
        <v xml:space="preserve">		const dateValue =  this.rowdata.declareDate ? new Date(this.rowdata.declareDate?.toString()) : new Date();
		this.datepicker?.bsValueChange.emit(dateValue);</v>
      </c>
      <c r="M29" s="31"/>
      <c r="N29" s="31"/>
      <c r="O29" s="31"/>
      <c r="P29" s="31"/>
      <c r="Q29" s="31"/>
      <c r="R29" s="31"/>
      <c r="S29" s="31" t="str">
        <f t="shared" si="21"/>
        <v xml:space="preserve">	declareDate : any ;</v>
      </c>
      <c r="T29" s="31" t="str">
        <f t="shared" si="22"/>
        <v xml:space="preserve">			this.declareDate,</v>
      </c>
      <c r="U29" s="31" t="str">
        <f t="shared" si="23"/>
        <v xml:space="preserve">		this.declareDate = '',</v>
      </c>
      <c r="V29" s="31" t="str">
        <f t="shared" si="20"/>
        <v/>
      </c>
    </row>
    <row r="30" spans="1:22" ht="18" customHeight="1" x14ac:dyDescent="0.25">
      <c r="A30" s="31" t="s">
        <v>329</v>
      </c>
      <c r="B30" s="31" t="str">
        <f t="shared" si="0"/>
        <v>DcType</v>
      </c>
      <c r="C30" s="31" t="str">
        <f t="shared" si="1"/>
        <v>Dc Type</v>
      </c>
      <c r="D30" s="31" t="str">
        <f t="shared" si="2"/>
        <v>dcType</v>
      </c>
      <c r="E30" s="31" t="str">
        <f>A.Backend!H24</f>
        <v>string</v>
      </c>
      <c r="F30" s="31" t="str">
        <f>A.Backend!G24</f>
        <v>50</v>
      </c>
      <c r="G30" s="31" t="str">
        <f t="shared" si="3"/>
        <v xml:space="preserve"> : string = '' ; </v>
      </c>
      <c r="H30" s="38" t="str">
        <f t="shared" si="4"/>
        <v xml:space="preserve">			{headerName: this.l('Dc Type'),headerTooltip: this.l('Dc Type'),field: 'dcType',flex: 1},</v>
      </c>
      <c r="I30" s="38" t="str">
        <f t="shared" si="5"/>
        <v xml:space="preserve">								&lt;div class='input-search'&gt;
									&lt;input [(ngModel)]='dcType' name='dcType'
									class='form-control' [placeholder]="l('Dc Type')"
									type='text' (keyup.enter)='searchDatas()'&gt;
								&lt;/div&gt;</v>
      </c>
      <c r="J30" s="31"/>
      <c r="K30" s="38" t="str">
        <f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title'&gt;Dc Type&lt;/label&gt;
						&lt;input type='text' class='col-md-10 form-control input-text' name='DcType' [(ngModel)]='rowdata.dcType'&gt;
					&lt;/div&gt;</v>
      </c>
      <c r="L30" s="60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D30&amp;G30</f>
        <v xml:space="preserve">dcType : string = '' ; </v>
      </c>
      <c r="T30" s="31" t="str">
        <f>REPT(CHAR(9),3)&amp;"this."&amp;D30&amp;","</f>
        <v xml:space="preserve">			this.dcType,</v>
      </c>
      <c r="U30" s="31" t="str">
        <f>IF(E30="int","this."&amp;D30&amp;" = 0,","this."&amp;D30&amp;" = '',")</f>
        <v>this.dcType = '',</v>
      </c>
      <c r="V30" s="31" t="str">
        <f>IF(AND(E30="string",F30="1"),D30,"")</f>
        <v/>
      </c>
    </row>
    <row r="31" spans="1:22" ht="15" customHeight="1" x14ac:dyDescent="0.25">
      <c r="A31" s="31" t="s">
        <v>330</v>
      </c>
      <c r="B31" s="31" t="str">
        <f t="shared" si="0"/>
        <v>InStockByLot</v>
      </c>
      <c r="C31" s="31" t="str">
        <f t="shared" si="1"/>
        <v>In Stock By Lot</v>
      </c>
      <c r="D31" s="31" t="str">
        <f t="shared" si="2"/>
        <v>inStockByLot</v>
      </c>
      <c r="E31" s="31" t="str">
        <f>A.Backend!H25</f>
        <v>string</v>
      </c>
      <c r="F31" s="31" t="str">
        <f>A.Backend!G25</f>
        <v>50</v>
      </c>
      <c r="G31" s="31" t="str">
        <f t="shared" si="3"/>
        <v xml:space="preserve"> : string = '' ; </v>
      </c>
      <c r="H31" s="38" t="str">
        <f t="shared" si="4"/>
        <v xml:space="preserve">			{headerName: this.l('In Stock By Lot'),headerTooltip: this.l('In Stock By Lot'),field: 'inStockByLot',flex: 1},</v>
      </c>
      <c r="I31" s="38" t="str">
        <f t="shared" si="5"/>
        <v xml:space="preserve">								&lt;div class='input-search'&gt;
									&lt;input [(ngModel)]='inStockByLot' name='inStockByLot'
									class='form-control' [placeholder]="l('In Stock By Lot')"
									type='text' (keyup.enter)='searchDatas()'&gt;
								&lt;/div&gt;</v>
      </c>
      <c r="J31" s="31"/>
      <c r="K31" s="38" t="str">
        <f t="shared" ref="K31" si="24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title'&gt;In Stock By Lot&lt;/label&gt;
						&lt;input type='text' class='col-md-10 form-control input-text' name='InStockByLot' [(ngModel)]='rowdata.inStockByLot'&gt;
					&lt;/div&gt;</v>
      </c>
      <c r="L31" s="60" t="str">
        <f t="shared" ref="L31" si="25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REPT(CHAR(9),1)&amp;D31&amp;G31</f>
        <v xml:space="preserve">	inStockByLot : string = '' ; </v>
      </c>
      <c r="T31" s="31" t="str">
        <f>REPT(CHAR(9),3)&amp;"this."&amp;D31&amp;","</f>
        <v xml:space="preserve">			this.inStockByLot,</v>
      </c>
      <c r="U31" s="31" t="str">
        <f>IF(E31="int",REPT(CHAR(9),2)&amp;"this."&amp;D31&amp;" = 0,",REPT(CHAR(9),2)&amp;"this."&amp;D31&amp;" = '',")</f>
        <v xml:space="preserve">		this.inStockByLot = '',</v>
      </c>
      <c r="V31" s="31" t="str">
        <f t="shared" ref="V31" si="26">IF(AND(E31="string",F31="1"),D31,"")</f>
        <v/>
      </c>
    </row>
    <row r="34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2022-10-04T02:54:24Z</dcterms:modified>
</cp:coreProperties>
</file>
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Inv\"/>
    </mc:Choice>
  </mc:AlternateContent>
  <xr:revisionPtr revIDLastSave="0" documentId="13_ncr:1_{1BC186AF-C1FE-425A-9B97-887FBE6795A8}" xr6:coauthVersionLast="36" xr6:coauthVersionMax="36" xr10:uidLastSave="{00000000-0000-0000-0000-000000000000}"/>
  <bookViews>
    <workbookView xWindow="0" yWindow="495" windowWidth="28800" windowHeight="16425" activeTab="1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16" i="5" l="1"/>
  <c r="D16" i="5" s="1"/>
  <c r="C16" i="5"/>
  <c r="E16" i="5"/>
  <c r="K16" i="5" s="1"/>
  <c r="F16" i="5"/>
  <c r="G16" i="5"/>
  <c r="I16" i="5"/>
  <c r="V16" i="5"/>
  <c r="B17" i="5"/>
  <c r="D17" i="5" s="1"/>
  <c r="C17" i="5"/>
  <c r="K17" i="5" s="1"/>
  <c r="E17" i="5"/>
  <c r="F17" i="5"/>
  <c r="G17" i="5"/>
  <c r="L17" i="5"/>
  <c r="V17" i="5"/>
  <c r="B18" i="5"/>
  <c r="C18" i="5"/>
  <c r="D18" i="5"/>
  <c r="E18" i="5"/>
  <c r="U18" i="5" s="1"/>
  <c r="F18" i="5"/>
  <c r="T18" i="5"/>
  <c r="B19" i="5"/>
  <c r="D19" i="5" s="1"/>
  <c r="C19" i="5"/>
  <c r="E19" i="5"/>
  <c r="F19" i="5"/>
  <c r="G19" i="5"/>
  <c r="V19" i="5"/>
  <c r="B20" i="5"/>
  <c r="C20" i="5"/>
  <c r="D20" i="5"/>
  <c r="S20" i="5" s="1"/>
  <c r="E20" i="5"/>
  <c r="K20" i="5" s="1"/>
  <c r="F20" i="5"/>
  <c r="G20" i="5"/>
  <c r="H20" i="5"/>
  <c r="I20" i="5"/>
  <c r="T20" i="5"/>
  <c r="V20" i="5"/>
  <c r="B21" i="5"/>
  <c r="D21" i="5" s="1"/>
  <c r="C21" i="5"/>
  <c r="K21" i="5" s="1"/>
  <c r="E21" i="5"/>
  <c r="F21" i="5"/>
  <c r="H21" i="5" s="1"/>
  <c r="G21" i="5"/>
  <c r="L21" i="5"/>
  <c r="V21" i="5"/>
  <c r="B22" i="5"/>
  <c r="C22" i="5"/>
  <c r="D22" i="5"/>
  <c r="E22" i="5"/>
  <c r="U22" i="5" s="1"/>
  <c r="F22" i="5"/>
  <c r="T22" i="5"/>
  <c r="B23" i="5"/>
  <c r="D23" i="5" s="1"/>
  <c r="C23" i="5"/>
  <c r="E23" i="5"/>
  <c r="F23" i="5"/>
  <c r="G23" i="5"/>
  <c r="V23" i="5"/>
  <c r="B24" i="5"/>
  <c r="C24" i="5"/>
  <c r="D24" i="5"/>
  <c r="S24" i="5" s="1"/>
  <c r="E24" i="5"/>
  <c r="K24" i="5" s="1"/>
  <c r="F24" i="5"/>
  <c r="G24" i="5"/>
  <c r="H24" i="5"/>
  <c r="I24" i="5"/>
  <c r="T24" i="5"/>
  <c r="V24" i="5"/>
  <c r="B25" i="5"/>
  <c r="D25" i="5" s="1"/>
  <c r="C25" i="5"/>
  <c r="E25" i="5"/>
  <c r="F25" i="5"/>
  <c r="G25" i="5"/>
  <c r="V25" i="5"/>
  <c r="S22" i="5" l="1"/>
  <c r="S17" i="5"/>
  <c r="T17" i="5"/>
  <c r="U17" i="5"/>
  <c r="I17" i="5"/>
  <c r="S25" i="5"/>
  <c r="T25" i="5"/>
  <c r="U25" i="5"/>
  <c r="L25" i="5"/>
  <c r="H19" i="5"/>
  <c r="S21" i="5"/>
  <c r="I21" i="5"/>
  <c r="T21" i="5"/>
  <c r="U21" i="5"/>
  <c r="U19" i="5"/>
  <c r="S19" i="5"/>
  <c r="T19" i="5"/>
  <c r="H23" i="5"/>
  <c r="I25" i="5"/>
  <c r="T23" i="5"/>
  <c r="U23" i="5"/>
  <c r="S23" i="5"/>
  <c r="H17" i="5"/>
  <c r="S16" i="5"/>
  <c r="T16" i="5"/>
  <c r="H16" i="5"/>
  <c r="L22" i="5"/>
  <c r="L18" i="5"/>
  <c r="H25" i="5"/>
  <c r="U24" i="5"/>
  <c r="K22" i="5"/>
  <c r="U20" i="5"/>
  <c r="K18" i="5"/>
  <c r="U16" i="5"/>
  <c r="L23" i="5"/>
  <c r="L19" i="5"/>
  <c r="I18" i="5"/>
  <c r="K23" i="5"/>
  <c r="H18" i="5"/>
  <c r="K25" i="5"/>
  <c r="H22" i="5"/>
  <c r="L24" i="5"/>
  <c r="I23" i="5"/>
  <c r="V22" i="5"/>
  <c r="G22" i="5"/>
  <c r="L20" i="5"/>
  <c r="I19" i="5"/>
  <c r="V18" i="5"/>
  <c r="G18" i="5"/>
  <c r="S18" i="5" s="1"/>
  <c r="L16" i="5"/>
  <c r="I22" i="5"/>
  <c r="K19" i="5"/>
  <c r="C15" i="5"/>
  <c r="B15" i="5"/>
  <c r="D15" i="5" s="1"/>
  <c r="T15" i="5" s="1"/>
  <c r="L19" i="1"/>
  <c r="G19" i="1"/>
  <c r="E19" i="1"/>
  <c r="H19" i="1" s="1"/>
  <c r="D19" i="1"/>
  <c r="V19" i="1" s="1"/>
  <c r="L18" i="1"/>
  <c r="G18" i="1"/>
  <c r="E18" i="1"/>
  <c r="H18" i="1" s="1"/>
  <c r="D18" i="1"/>
  <c r="T18" i="1" s="1"/>
  <c r="G17" i="1"/>
  <c r="E17" i="1"/>
  <c r="H17" i="1" s="1"/>
  <c r="O17" i="1" s="1"/>
  <c r="D17" i="1"/>
  <c r="V17" i="1" s="1"/>
  <c r="G16" i="1"/>
  <c r="E16" i="1"/>
  <c r="H16" i="1" s="1"/>
  <c r="D16" i="1"/>
  <c r="L15" i="1"/>
  <c r="G15" i="1"/>
  <c r="E15" i="1"/>
  <c r="H15" i="1" s="1"/>
  <c r="D15" i="1"/>
  <c r="V15" i="1" s="1"/>
  <c r="L14" i="1"/>
  <c r="G14" i="1"/>
  <c r="E14" i="1"/>
  <c r="H14" i="1" s="1"/>
  <c r="D14" i="1"/>
  <c r="T14" i="1" s="1"/>
  <c r="L13" i="1"/>
  <c r="G13" i="1"/>
  <c r="E13" i="1"/>
  <c r="H13" i="1" s="1"/>
  <c r="O13" i="1" s="1"/>
  <c r="D13" i="1"/>
  <c r="V13" i="1" s="1"/>
  <c r="L12" i="1"/>
  <c r="G12" i="1"/>
  <c r="E12" i="1"/>
  <c r="H12" i="1" s="1"/>
  <c r="D12" i="1"/>
  <c r="V12" i="1" s="1"/>
  <c r="G11" i="1"/>
  <c r="E11" i="1"/>
  <c r="H11" i="1" s="1"/>
  <c r="D11" i="1"/>
  <c r="V11" i="1" s="1"/>
  <c r="G10" i="1"/>
  <c r="E10" i="1"/>
  <c r="H10" i="1" s="1"/>
  <c r="D10" i="1"/>
  <c r="T10" i="1" s="1"/>
  <c r="L9" i="1"/>
  <c r="G9" i="1"/>
  <c r="F15" i="5" s="1"/>
  <c r="E9" i="1"/>
  <c r="H9" i="1" s="1"/>
  <c r="E15" i="5" s="1"/>
  <c r="D9" i="1"/>
  <c r="T9" i="1" s="1"/>
  <c r="V14" i="1" l="1"/>
  <c r="P11" i="1"/>
  <c r="V15" i="5"/>
  <c r="G15" i="5"/>
  <c r="S15" i="5" s="1"/>
  <c r="U15" i="5"/>
  <c r="H15" i="5"/>
  <c r="I15" i="5"/>
  <c r="K15" i="5"/>
  <c r="L15" i="5"/>
  <c r="P13" i="1"/>
  <c r="V10" i="1"/>
  <c r="T13" i="1"/>
  <c r="V18" i="1"/>
  <c r="P15" i="1"/>
  <c r="P17" i="1"/>
  <c r="T17" i="1"/>
  <c r="W18" i="1"/>
  <c r="O18" i="1"/>
  <c r="J18" i="1"/>
  <c r="N18" i="1"/>
  <c r="M18" i="1"/>
  <c r="I18" i="1"/>
  <c r="M12" i="1"/>
  <c r="W12" i="1"/>
  <c r="J12" i="1"/>
  <c r="I12" i="1"/>
  <c r="O12" i="1"/>
  <c r="N12" i="1"/>
  <c r="W15" i="1"/>
  <c r="J15" i="1"/>
  <c r="I15" i="1"/>
  <c r="M15" i="1"/>
  <c r="O15" i="1"/>
  <c r="N15" i="1"/>
  <c r="I10" i="1"/>
  <c r="O10" i="1"/>
  <c r="J10" i="1"/>
  <c r="N10" i="1"/>
  <c r="M10" i="1"/>
  <c r="W10" i="1"/>
  <c r="W11" i="1"/>
  <c r="J11" i="1"/>
  <c r="M11" i="1"/>
  <c r="I11" i="1"/>
  <c r="O11" i="1"/>
  <c r="N11" i="1"/>
  <c r="J14" i="1"/>
  <c r="O14" i="1"/>
  <c r="I14" i="1"/>
  <c r="N14" i="1"/>
  <c r="M14" i="1"/>
  <c r="W14" i="1"/>
  <c r="W19" i="1"/>
  <c r="J19" i="1"/>
  <c r="I19" i="1"/>
  <c r="M19" i="1"/>
  <c r="O19" i="1"/>
  <c r="N19" i="1"/>
  <c r="M16" i="1"/>
  <c r="O16" i="1"/>
  <c r="W16" i="1"/>
  <c r="J16" i="1"/>
  <c r="I16" i="1"/>
  <c r="N16" i="1"/>
  <c r="P12" i="1"/>
  <c r="I13" i="1"/>
  <c r="P16" i="1"/>
  <c r="I17" i="1"/>
  <c r="T12" i="1"/>
  <c r="J13" i="1"/>
  <c r="W13" i="1"/>
  <c r="T16" i="1"/>
  <c r="J17" i="1"/>
  <c r="W17" i="1"/>
  <c r="V16" i="1"/>
  <c r="P19" i="1"/>
  <c r="T11" i="1"/>
  <c r="M13" i="1"/>
  <c r="T15" i="1"/>
  <c r="M17" i="1"/>
  <c r="T19" i="1"/>
  <c r="P10" i="1"/>
  <c r="N13" i="1"/>
  <c r="P14" i="1"/>
  <c r="N17" i="1"/>
  <c r="P18" i="1"/>
  <c r="P9" i="1"/>
  <c r="V9" i="1"/>
  <c r="W9" i="1"/>
  <c r="J9" i="1"/>
  <c r="I9" i="1"/>
  <c r="O9" i="1"/>
  <c r="N9" i="1"/>
  <c r="M9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21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1" i="1"/>
  <c r="T7" i="1" l="1"/>
  <c r="W21" i="1"/>
  <c r="G6" i="1" l="1"/>
  <c r="S13" i="5"/>
  <c r="H13" i="5"/>
  <c r="K13" i="5"/>
  <c r="L13" i="5"/>
  <c r="I13" i="5"/>
  <c r="U13" i="5"/>
  <c r="V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L3" i="1" l="1"/>
  <c r="J3" i="1"/>
  <c r="H3" i="1"/>
  <c r="C6" i="1" l="1"/>
  <c r="P7" i="1" s="1"/>
  <c r="S3" i="1"/>
  <c r="S7" i="1" s="1"/>
  <c r="E6" i="1"/>
  <c r="F58" i="3"/>
  <c r="I3" i="1" l="1"/>
  <c r="B7" i="1"/>
  <c r="L11" i="1" l="1"/>
  <c r="L16" i="1"/>
  <c r="L10" i="1"/>
  <c r="L17" i="1"/>
  <c r="C7" i="1"/>
  <c r="I21" i="1"/>
  <c r="J21" i="1"/>
  <c r="N21" i="1"/>
  <c r="O21" i="1"/>
  <c r="P21" i="1"/>
  <c r="Q7" i="1" l="1"/>
  <c r="M58" i="3" s="1"/>
  <c r="L7" i="1"/>
  <c r="G58" i="3" s="1"/>
  <c r="K58" i="3"/>
  <c r="J58" i="3"/>
  <c r="M21" i="1"/>
  <c r="K21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5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<sst xmlns="http://schemas.openxmlformats.org/spreadsheetml/2006/main" count="446" uniqueCount="340">
  <si>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</si>
  <si>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</si>
  <si>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</si>
  <si>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</si>
  <si>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</si>
  <si>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</si>
  <si>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</si>
  <si>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</si>
  <si>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</si>
  <si>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</si>
  <si>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</si>
  <si>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</si>
  <si>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</si>
  <si>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</si>
  <si>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</si>
  <si>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</si>
  <si>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</si>
  <si>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</si>
  <si>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</si>
  <si>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</si>
  <si>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</si>
  <si>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</si>
  <si>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</si>
  <si>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</si>
  <si>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</si>
  <si>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</si>
  <si>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</si>
  <si>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</si>
  <si>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</si>
  <si>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</si>
  <si>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</si>
  <si>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</si>
  <si>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</si>
  <si>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</si>
  <si>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</si>
  <si>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</si>
  <si>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</si>
  <si>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</si>
  <si>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</si>
  <si>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</si>
  <si>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</si>
  <si>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</si>
  <si>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</si>
  <si>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</si>
  <si>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</si>
  <si>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</si>
  <si>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</si>
  <si>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</si>
  <si>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</si>
  <si>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</si>
  <si>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</si>
  <si>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</si>
  <si>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</si>
  <si>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</si>
  <si>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</si>
  <si>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</si>
  <si>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</si>
  <si>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</si>
  <si>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</si>
  <si>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</si>
  <si>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</si>
  <si>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</si>
  <si>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</si>
  <si>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</si>
  <si>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</si>
  <si>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</si>
  <si>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</si>
  <si>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</si>
  <si>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</si>
  <si>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</si>
  <si>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</si>
  <si>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</si>
  <si>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</si>
  <si>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</si>
  <si>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</si>
  <si>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</si>
  <si>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</si>
  <si>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</si>
  <si>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</si>
  <si>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</si>
  <si>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</si>
  <si>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</si>
  <si>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</si>
  <si>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</si>
  <si>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</si>
  <si>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</si>
  <si>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</si>
  <si>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</si>
  <si>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</si>
  <si>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</si>
  <si>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</si>
  <si>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</si>
  <si>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</si>
  <si>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</si>
  <si>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</si>
  <si>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</si>
  <si>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</si>
  <si>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</si>
  <si>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</si>
  <si>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</si>
  <si>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</si>
  <si>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</si>
  <si>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</si>
  <si>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</si>
  <si>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</si>
  <si>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</si>
  <si>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</si>
  <si>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</si>
  <si>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</si>
  <si>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</si>
  <si>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</si>
  <si>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</si>
  <si>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</si>
  <si>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</si>
  <si>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</si>
  <si>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</si>
  <si>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</si>
  <si>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</si>
  <si>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</si>
  <si>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</si>
  <si>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</si>
  <si>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</si>
  <si>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</si>
  <si>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</si>
  <si>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</si>
  <si>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</si>
  <si>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</si>
  <si>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</si>
  <si>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</si>
  <si>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</si>
  <si>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</si>
  <si>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</si>
  <si>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</si>
  <si>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</si>
  <si>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</si>
  <si>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</si>
  <si>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</si>
  <si>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</si>
  <si>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</si>
  <si>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</si>
  <si>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</si>
  <si>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</si>
  <si>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</si>
  <si>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</si>
  <si>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</si>
  <si>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</si>
  <si>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</si>
  <si>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</si>
  <si>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</si>
  <si>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</si>
  <si>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</si>
  <si>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</si>
  <si>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</si>
  <si>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</si>
  <si>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</si>
  <si>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</si>
  <si>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</si>
  <si>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</si>
  <si>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</si>
  <si>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</si>
  <si>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</si>
  <si>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</si>
  <si>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</si>
  <si>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</si>
  <si>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</si>
  <si>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</si>
  <si>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</si>
  <si>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</si>
  <si>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</si>
  <si>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</si>
  <si>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</si>
  <si>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</si>
  <si>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</si>
  <si>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</si>
  <si>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</si>
  <si>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</si>
  <si>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</si>
  <si>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</si>
  <si>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</si>
  <si>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</si>
  <si>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</si>
  <si>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</si>
  <si>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</si>
  <si>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</si>
  <si>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</si>
  <si>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</si>
  <si>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</si>
  <si>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</si>
  <si>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</si>
  <si>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</si>
  <si>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</si>
  <si>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</si>
  <si>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</si>
  <si>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</si>
  <si>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</si>
  <si>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</si>
  <si>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</si>
  <si>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</si>
  <si>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</si>
  <si>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</si>
  <si>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</si>
  <si>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</si>
  <si>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</si>
  <si>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</si>
  <si>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</si>
  <si>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</si>
  <si>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</si>
  <si>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</si>
  <si>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</si>
  <si>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</si>
  <si>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</si>
  <si>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</si>
  <si>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</si>
  <si>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</si>
  <si>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</si>
  <si>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</si>
  <si>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</si>
  <si>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</si>
  <si>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</si>
  <si>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</si>
  <si>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</si>
  <si>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</si>
  <si>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</si>
  <si>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</si>
  <si>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</si>
  <si>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</si>
  <si>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</si>
  <si>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</si>
  <si>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</si>
  <si>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</si>
  <si>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</si>
  <si>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</si>
  <si>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</si>
  <si>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</si>
  <si>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</si>
  <si>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</si>
  <si>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</si>
  <si>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</si>
  <si>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</si>
  <si>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</si>
  <si>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</si>
  <si>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</si>
  <si>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</si>
  <si>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</si>
  <si>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</si>
  <si>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</si>
  <si>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</si>
  <si>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</si>
  <si>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</si>
  <si>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</si>
  <si>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</si>
  <si>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</si>
  <si>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</si>
  <si>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</si>
  <si>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</si>
  <si>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</si>
  <si>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</si>
  <si>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</si>
  <si>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</si>
  <si>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</si>
  <si>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</si>
  <si>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</si>
  <si>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</si>
  <si>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</si>
  <si>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</si>
  <si>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</si>
  <si>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</si>
  <si>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</si>
  <si>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</si>
  <si>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</si>
  <si>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</si>
  <si>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</si>
  <si>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</si>
  <si>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</si>
  <si>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</si>
  <si>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</si>
  <si>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</si>
  <si>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</si>
  <si>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</si>
  <si>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</si>
  <si>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</si>
  <si>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</si>
  <si>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</si>
  <si>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</si>
  <si>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</si>
  <si>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</si>
  <si>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</si>
  <si>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</si>
  <si>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</si>
  <si>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</si>
  <si>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</si>
  <si>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</si>
  <si>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</si>
  <si>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</si>
  <si>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</si>
  <si>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</si>
  <si>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</si>
  <si>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</si>
  <si>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</si>
  <si>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</si>
  <si>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</si>
  <si>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</si>
  <si>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</si>
  <si>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</si>
  <si>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</si>
  <si>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</si>
  <si>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</si>
  <si>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</si>
  <si>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</si>
  <si>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</si>
  <si>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</si>
  <si>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</si>
  <si>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</si>
  <si>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</si>
  <si>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</si>
  <si>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</si>
  <si>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</si>
  <si>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</si>
  <si>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</si>
  <si>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</si>
  <si>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</si>
  <si>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Period_Id</t>
  </si>
  <si>
    <t>numeric(19, 0)</t>
  </si>
  <si>
    <t>varchar(50)</t>
  </si>
  <si>
    <t>numeric(10, 2)</t>
  </si>
  <si>
    <t>numeric(18, 4)</t>
  </si>
  <si>
    <t>InvoiceNo</t>
  </si>
  <si>
    <t>PartNo</t>
  </si>
  <si>
    <t>UsageQty</t>
  </si>
  <si>
    <t>InvoiceDate</t>
  </si>
  <si>
    <t>ReceiveDate</t>
  </si>
  <si>
    <t>SupplierNo</t>
  </si>
  <si>
    <t>FixLot</t>
  </si>
  <si>
    <t>CarFamilyCode</t>
  </si>
  <si>
    <t>CustomsDeclareNo</t>
  </si>
  <si>
    <t>DeclareDate</t>
  </si>
  <si>
    <t>Inv</t>
  </si>
  <si>
    <t>InvInDetails</t>
  </si>
  <si>
    <t>InDetails</t>
  </si>
  <si>
    <t>Inv In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</si>
</sst>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67"/>
  <sheetViews>
    <sheetView topLeftCell="A6" workbookViewId="0">
      <selection activeCell="G19" sqref="G1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C38" t="s">
        <v>320</v>
      </c>
      <c r="F38" s="1" t="s">
        <v>301</v>
      </c>
      <c r="G38" s="17" t="s">
        <v>301</v>
      </c>
    </row>
    <row r="39" spans="1:8" x14ac:dyDescent="0.25">
      <c r="A39" s="1"/>
      <c r="B39" s="17"/>
      <c r="D39" t="s">
        <v>304</v>
      </c>
      <c r="F39" s="1" t="s">
        <v>304</v>
      </c>
      <c r="G39" s="17" t="s">
        <v>305</v>
      </c>
      <c r="H39" s="17" t="s">
        <v>306</v>
      </c>
    </row>
    <row r="40" spans="1:8" x14ac:dyDescent="0.25">
      <c r="A40" s="1"/>
      <c r="B40" s="17"/>
      <c r="F40" s="1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vovina.Inv
{
	[Table("InvInDetails")]
	[Index(nameof(Invoiceno), Name="IX_InvInDetails_Invoiceno")]
	[Index(nameof(Partno), Name="IX_InvInDetails_Partno")]
	[Index(nameof(Fixlot), Name="IX_InvInDetails_Fixlot")]
	[Index(nameof(Carfamilycode), Name="IX_InvInDetails_Carfamilycode")]
	public class InvInDetails: FullAuditedEntity&lt;long&gt;, IEntity&lt;long&gt;	
	{
		public const int MaxPartnoLength = 50;
		public const int MaxSuppliernoLength = 50;
		public const int MaxFixlotLength = 50;
		public const int MaxCarfamilycodeLength = 50;
		public virtual decimal PeriodId { get; set; }
		public virtual decimal Invoiceno { get; set; }
		[StringLength(MaxPartnoLength)]
		public virtual string Partno { get; set; }
		public virtual decimal Usageqty { get; set; }
		public virtual DateTime Invoicedate { get; set; }
		public virtual DateTime Receivedate { get; set; }
		[StringLength(MaxSuppliernoLength)]
		public virtual string Supplierno { get; set; }
		[StringLength(MaxFixlotLength)]
		public virtual string Fixlot { get; set; }
		[StringLength(MaxCarfamilycodeLength)]
		public virtual string Carfamilycode { get; set; }
		public virtual decimal Customsdeclareno { get; set; }
		public virtual DateTime Declaredate { get; set; }
	}
}
</v>
      </c>
      <c r="D58" s="51" t="str">
        <f>A.Backend!O7</f>
        <v xml:space="preserve">		public const string Pages_Inv_InDetails = "Pages.Inv.InDetails";
		public const string Pages_Inv_InDetails_CreateEdit = "Pages.Inv.InDetails.CreateEdit";
		public const string Pages_Inv_InDetails_Delete = "Pages.Inv.InDetails.Delete";
</v>
      </c>
      <c r="E58" s="51" t="str">
        <f>A.Backend!N7</f>
        <v xml:space="preserve">		var perInvInDetails = PARENTS.CreateChildPermission(AppPermissions.Pages_Inv_InDetails, L( "InvInDetails"), multiTenancySides: MultiTenancySides.Tenant);
		perInvInDetails.CreateChildPermission(AppPermissions.Pages_Inv_InDetails_CreateEdit, L( "InvInDetailsCreateEdit"), multiTenancySides: MultiTenancySides.Tenant);
		perInvInDetails.CreateChildPermission(AppPermissions.Pages_Inv_InDetails_Delete, L( "InvInDetailsDelete"), multiTenancySides: MultiTenancySides.Tenant);</v>
      </c>
      <c r="F58" s="51" t="str">
        <f>A.Backend!K7</f>
        <v>public virtual DbSet&lt;InvInDetails&gt; InvInDetailss { get; set; }</v>
      </c>
      <c r="G58" s="51" t="str">
        <f ca="1">A.Backend!L7</f>
        <v xml:space="preserve">namespace vovina.Inv
{
	public class InvInDetailsConsts	
	{
		public const int MaxPartnoLength = 50;
		public const int MaxSuppliernoLength = 50;
		public const int MaxFixlotLength = 50;
		public const int MaxCarfamilycodeLength = 50;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vovina.Inv.Dto
{
	public class InvInDetailsDto : EntityDto&lt;long?&gt;	
	{
		public virtual decimal PeriodId { get; set; }
		public virtual decimal Invoiceno { get; set; }
		public virtual string Partno { get; set; }
		public virtual decimal Usageqty { get; set; }
		public virtual DateTime? Invoicedate { get; set; }
		public virtual DateTime? Receivedate { get; set; }
		public virtual string Supplierno { get; set; }
		public virtual string Fixlot { get; set; }
		public virtual string Carfamilycode { get; set; }
		public virtual decimal Customsdeclareno { get; set; }
		public virtual DateTime? Declaredate { get; set; }
	}
	public class CreateOrEditInvInDetailsDto : EntityDto&lt;long?&gt;	
	{
		public virtual decimal PeriodId { get; set; }
		public virtual decimal Invoiceno { get; set; }
		[StringLength(InvInDetailsConsts.MaxPartnoLength)]
		public virtual string Partno { get; set; }
		public virtual decimal Usageqty { get; set; }
		public virtual DateTime? Invoicedate { get; set; }
		public virtual DateTime? Receivedate { get; set; }
		[StringLength(InvInDetailsConsts.MaxSuppliernoLength)]
		public virtual string Supplierno { get; set; }
		[StringLength(InvInDetailsConsts.MaxFixlotLength)]
		public virtual string Fixlot { get; set; }
		[StringLength(InvInDetailsConsts.MaxCarfamilycodeLength)]
		public virtual string Carfamilycode { get; set; }
		public virtual decimal Customsdeclareno { get; set; }
		public virtual DateTime? Declaredate { get; set; }
	}
	public class GetInvInDetailsInput : PagedAndSortedResultRequestDto	
	{
		public virtual string Partno { get; set; }
		public virtual DateTime? Invoicedate { get; set; }
		public virtual DateTime? Receivedate { get; set; }
		public virtual string Supplierno { get; set; }
		public virtual string Fixlot { get; set; }
		public virtual string Carfamilycode { get; set; }
		public virtual DateTime? Declaredate { get; set; }
	}
}
</v>
      </c>
      <c r="I58" s="51" t="str">
        <f ca="1">A.Backend!R7</f>
        <v xml:space="preserve">using Abp.Application.Services.Dto;
using System;
using System.ComponentModel.DataAnnotations;
namespace vovina.Inv.Dto
{
	public class InvInDetailsExportInput{
		public virtual decimal PeriodId { get; set; }
		public virtual decimal Invoiceno { get; set; }
		public virtual string Partno { get; set; }
		public virtual decimal Usageqty { get; set; }
		public virtual DateTime? Invoicedate { get; set; }
		public virtual DateTime? Receivedate { get; set; }
		public virtual string Supplierno { get; set; }
		public virtual string Fixlot { get; set; }
		public virtual string Carfamilycode { get; set; }
		public virtual decimal Customsdeclareno { get; set; }
		public virtual DateTime? Declaredate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vovina.Inv.Dto;
namespace vovina.Inv
{
	public interface IInvInDetailsAppService : IApplicationService
	{
		Task&lt;PagedResultDto&lt;InvInDetailsDto&gt;&gt; GetAll(GetInvInDetailsInput input);
		Task CreateOrEdit(CreateOrEditInvInDetailsDto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vovina.Inv.Dto;
namespace vovina.Inv.Exporting
{
	public interface IInvInDetailsExcelExporter : IApplicationService
	{
		FileDto ExportToFile(List&lt;InvInDetailsDto&gt; invindetails);
	}
}
</v>
      </c>
      <c r="L58" s="51" t="str">
        <f ca="1">A.Backend!T7</f>
        <v>using System.Collections.Generic;
using vovina.DataExporting.Excel.NPOI;
using vovina.Dto;
using vovina.Inv..Exporting;
using vovina.Inv..Dto;
using vovina.Storage;
using vovina.Inv..Dto;
namespace vovina.Inv..Exporting
{
    public class InvInDetailsExcelExporter : NpoiExcelExporterBase, IInvInDetailsExcelExporter
    {
        public InvInDetailsExcelExporter(ITempFileCacheManager tempFileCacheManager) : base(tempFileCacheManager) { }
        public FileDto ExportToFile(List&lt;InvInDetailsDto&gt; indetails)
        {
            return CreateExcelPackage(
				"InvInDetails.xlsx",
				excelPackage =&gt;
				 {
					var sheet = excelPackage.CreateSheet("InDetails");
					AddHeader(
								sheet,
								("PeriodId"),
								("Invoiceno"),
								("Partno"),
								("Usageqty"),
								("Invoicedate"),
								("Receivedate"),
								("Supplierno"),
								("Fixlot"),
								("Carfamilycode"),
								("Customsdeclareno"),
								("Declaredate"),
							   );
					AddObjects(
						 sheet, 1, indetails,                                       
								_ =&gt; _.PeriodId,
								_ =&gt; _.Invoiceno,
								_ =&gt; _.Partno,
								_ =&gt; _.Usageqty,
								_ =&gt; _.Invoicedate,
								_ =&gt; _.Receivedate,
								_ =&gt; _.Supplierno,
								_ =&gt; _.Fixlot,
								_ =&gt; _.Carfamilycode,
								_ =&gt; _.Customsdeclareno,
								_ =&gt; _.Declaredate,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vovina.Inv..Dto;
using vovina.Inv..Exporting;
namespace vovina.Inv.
{
    [AbpAuthorize(AppPermissions.Pages_Inv__InDetails)]
    public class InvInDetailsAppService : vovinaAppServiceBase, IInvInDetailsAppService
    {
        private readonly IDapperRepository&lt;InvInDetails, long&gt; _dapperRepo;
        private readonly IRepository&lt;InvInDetails, long&gt; _repo;
        private readonly IInvInDetailsExcelExporter _calendarListExcelExporter;
        public InvInDetailsAppService(IRepository&lt;InvInDetails,long&gt; repo, 
                                         IDapperRepository&lt;InvInDetails,long&gt; dapperRepo,
                                        IInvInDetailsExcelExporter calendarListExcelExporter
            )
        {
            _repo = repo;
            _dapperRepo = dapperRepo;
            _calendarListExcelExporter = calendarListExcelExporter;
        }
        [AbpAuthorize(AppPermissions.Pages_Inv__InDetails_CreateEdit)]
        public async Task CreateOrEdit(CreateOrEditInvInDetailsDto input)
        {
            if (input.Id == null) await Create(input);
            else await Update(input);
        }
        //CREATE
        private async Task Create(CreateOrEditInvInDetailsDto input)
        {          
            var mainObj = ObjectMapper.Map&lt;InvInDetails&gt;(input);
            await CurrentUnitOfWork.GetDbContext&lt;vovinaDbContext&gt;().AddAsync(mainObj);
        }
        // EDIT
        private async Task Update(CreateOrEditInvInDetailsDto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[AbpAuthorize(AppPermissions.Pages_Inv__InDetails_Delete)]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Task&lt;PagedResultDto&lt;InvInDetailsDto&gt;&gt; GetAll(GetInvInDetailsInput input)
        {
            var filtered = _repo.GetAll()
				.WhereIf(!string.IsNullOrWhiteSpace(input.Partno), e =&gt; e.Partno.Contains(input.Partno))
				.WhereIf(input.Invoicedate.HasValue, t =&gt; t.Invoicedate == input.Invoicedate.Value)
				.WhereIf(input.Receivedate.HasValue, t =&gt; t.Receivedate == input.Receivedate.Value)
				.WhereIf(!string.IsNullOrWhiteSpace(input.Supplierno), e =&gt; e.Supplierno.Contains(input.Supplierno))
				.WhereIf(!string.IsNullOrWhiteSpace(input.Fixlot), e =&gt; e.Fixlot.Contains(input.Fixlot))
				.WhereIf(!string.IsNullOrWhiteSpace(input.Carfamilycode), e =&gt; e.Carfamilycode.Contains(input.Carfamilycode))
				.WhereIf(input.Declaredate.HasValue, t =&gt; t.Declaredate == input.Declaredate.Value)                   
				;
            var pageAndFiltered = filtered.OrderBy(s =&gt; s.Id);
            var system = from o in pageAndFiltered
                         select new InvInDetailsDto
                        {
							Id = o.Id,
							PeriodId = o.PeriodId,
							Invoiceno = o.Invoiceno,
							Partno = o.Partno,
							Usageqty = o.Usageqty,
							Invoicedate = o.Invoicedate,
							Receivedate = o.Receivedate,
							Supplierno = o.Supplierno,
							Fixlot = o.Fixlot,
							Carfamilycode = o.Carfamilycode,
							Customsdeclareno = o.Customsdeclareno,
							Declaredate = o.Declaredate,
                        };
            var totalCount = await filtered.CountAsync();
			var paged = system.PageBy(input);
            return new PagedResultDto&lt;InvInDetailsDto&gt;(
                totalCount,
                 await paged.ToListAsync()
            );
        }
        public async Task&lt;FileDto&gt; GetInDetailsToExcel(InvInDetailsExportInput input)
        {
            var query = from o in _repo.GetAll()
                        select new InvInDetailsDto
                        {
							Id = o.Id,
							PeriodId = o.PeriodId,
							Invoiceno = o.Invoiceno,
							Partno = o.Partno,
							Usageqty = o.Usageqty,
							Invoicedate = o.Invoicedate,
							Receivedate = o.Receivedate,
							Supplierno = o.Supplierno,
							Fixlot = o.Fixlot,
							Carfamilycode = o.Carfamilycode,
							Customsdeclareno = o.Customsdeclareno,
							Declaredate = o.Declaredate,
                        };
            var exportToExcel = await query.ToListAsync();
            return _calendarListExcelExporter.ExportToFile(exportToExcel);
        }
       // public async Task GenerateAsync()
      //  {
        //    await _dapperRepo.ExecuteAsync(InvInDetailsConsts.SP_MST_WPT_CALENDAR_GENERATE);
       // }
    }
}</v>
      </c>
      <c r="N58" s="62" t="str">
        <f>A.Backend!U7</f>
        <v xml:space="preserve">  configuration.CreateMap&lt;InvInDetailsDto, InvInDetails&gt;();
  configuration.CreateMap&lt;InvInDetails, InvInDetailsDto&gt;();
  configuration.CreateMap&lt;CreateOrEditInvInDetailsDto, InvInDetails&gt;();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indetails</v>
      </c>
      <c r="C63" s="72" t="str">
        <f>"create folder " &amp;B63</f>
        <v>create folder indetails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indetails.component.ts</v>
      </c>
      <c r="D64" s="31" t="str">
        <f>B.Frontend!I14</f>
        <v>indetails.component.html</v>
      </c>
      <c r="E64" s="31" t="str">
        <f>B.Frontend!J14</f>
        <v>indetails.component.less</v>
      </c>
      <c r="F64" s="31" t="str">
        <f>B.Frontend!K14</f>
        <v>create-or-edit-indetails-modal.component.html</v>
      </c>
      <c r="G64" s="31" t="str">
        <f>B.Frontend!L14</f>
        <v>create-or-edit-indetails-modal.component.ts</v>
      </c>
      <c r="H64" s="31" t="str">
        <f>B.Frontend!M14</f>
        <v>create-or-edit-indetails-modal.component.less</v>
      </c>
      <c r="I64" s="31" t="str">
        <f>B.Frontend!N14</f>
        <v>indetails.module.ts</v>
      </c>
      <c r="J64" s="31" t="str">
        <f>B.Frontend!O14</f>
        <v>indetails-routing.module.ts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InvInDetailsDto, InvInDetailsServiceProxy } from '@shared/service-proxies/service-proxies';
import { finalize } from 'rxjs/internal/operators/finalize';
import { CreateOrEditInDetailsModalComponent } from './create-or-edit-indetails-modal.component';
import { DatePipe } from '@angular/common';
import { FileDownloadService } from '@shared/utils/file-download.service';
import ceil from 'lodash-es/ceil';
import { Paginator } from 'primeng/paginator';
@Component({
    templateUrl: './indetails.component.html',
    styleUrls: ['./indetails.component.less'],
})
export class InDetailsComponent extends AppComponentBase implements OnInit {
    @ViewChild('createOrEditModalInDetails', { static: true }) createOrEditModalInDetails:| CreateOrEditInDetailsModalComponent|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InvInDetailsDto = new InvInDetailsDto();
    saveSelectedRow: InvInDetailsDto = new InvInDetailsDto();
    datas: InvInDetailsDto = new InvInDetailsDto();
    isLoading: boolean = false;
    dataParams: GridParams | undefined;
    rowData: any[] = [];
    gridApi!: GridApi;
    rowSelection = 'multiple';
    filter: string = '';
	pipe = new DatePipe('en-US');
	frameworkComponents: FrameworkComponent;
    periodId
invoiceno
partno : string = '' ; 
usageqty
invoicedate : any ;
receivedate : any ;
supplierno : string = '' ; 
fixlot : string = '' ; 
carfamilycode : string = '' ; 
customsdeclareno
declaredate : any 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InvInDetailsServiceProxy,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this.l('Period Id'),headerTooltip: this.l('Period Id'),field: 'periodId',flex: 1},
			{headerName: this.l('Invoiceno'),headerTooltip: this.l('Invoiceno'),field: 'invoiceno',flex: 1},
			{headerName: this.l('Partno'),headerTooltip: this.l('Partno'),field: 'partno',flex: 1},
			{headerName: this.l('Usageqty'),headerTooltip: this.l('Usageqty'),field: 'usageqty',flex: 1},
			{headerName: this.l('Invoicedate'),headerTooltip: this.l('Invoicedate'),field: 'invoicedate',valueGetter: (params) =&gt; this.pipe.transform(params.data?.invoicedate, 'dd/MM/yyyy'),flex: 1},
			{headerName: this.l('Receivedate'),headerTooltip: this.l('Receivedate'),field: 'receivedate',valueGetter: (params) =&gt; this.pipe.transform(params.data?.receivedate, 'dd/MM/yyyy'),flex: 1},
			{headerName: this.l('Supplierno'),headerTooltip: this.l('Supplierno'),field: 'supplierno',flex: 1},
			{headerName: this.l('Fixlot'),headerTooltip: this.l('Fixlot'),field: 'fixlot',flex: 1},
			{headerName: this.l('Carfamilycode'),headerTooltip: this.l('Carfamilycode'),field: 'carfamilycode',flex: 1},
			{headerName: this.l('Customsdeclareno'),headerTooltip: this.l('Customsdeclareno'),field: 'customsdeclareno',flex: 1},
			{headerName: this.l('Declaredate'),headerTooltip: this.l('Declaredate'),field: 'declaredate',valueGetter: (params) =&gt; this.pipe.transform(params.data?.declaredate, 'dd/MM/yyyy'),flex: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this.periodId,
			this.invoiceno,
			this.partno,
			this.usageqty,
			this.invoicedate,
			this.receivedate,
			this.supplierno,
			this.fixlot,
			this.carfamilycode,
			this.customsdeclareno,
			this.declaredate,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this.periodId = '',
this.invoiceno = '',
this.partno = '',
this.usageqty = '',
this.invoicedate = '',
this.receivedate = '',
this.supplierno = '',
this.fixlot = '',
this.carfamilycode = '',
this.customsdeclareno = '',
this.declaredate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this.periodId,
			this.invoiceno,
			this.partno,
			this.usageqty,
			this.invoicedate,
			this.receivedate,
			this.supplierno,
			this.fixlot,
			this.carfamilycode,
			this.customsdeclareno,
			this.declaredate,
			'',
            this.paginationParams.skipCount,
            this.paginationParams.pageSize
        );
    }
    onChangeRowSelection(params: { api: { getSelectedRows: () =&gt; InvInDetailsDto[] } }) {
        this.saveSelectedRow = params.api.getSelectedRows()[0] ?? new InvInDetailsDto();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InvInDetailsDto):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this._service.getInDetailsToExcel(
			this.periodId,
			this.invoiceno,
			this.partno,
			this.usageqty,
			this.invoicedate,
			this.receivedate,
			this.supplierno,
			this.fixlot,
			this.carfamilycode,
			this.customsdeclareno,
			this.declaredate,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 In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[placeholder]="l('Partno')"
									type='text' (keyup.enter)='searchDatas()'&gt;
								&lt;/div&gt;
								&lt;div class='input-search'&gt;
									&lt;input type='text' [placeholder]="l('Invoicedate')" [(ngModel)]='invoicedate' 
									name='invoicedate'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[placeholder]="l('Receivedate')" [(ngModel)]='receivedate' 
									name='receivedate'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[(ngModel)]='supplierno' name='supplierno'
									class='form-control' [placeholder]="l('Supplierno')"
									type='text' (keyup.enter)='searchDatas()'&gt;
								&lt;/div&gt;
								&lt;div class='input-search'&gt;
									&lt;input [(ngModel)]='fixlot' name='fixlot'
									class='form-control' [placeholder]="l('Fixlot')"
									type='text' (keyup.enter)='searchDatas()'&gt;
								&lt;/div&gt;
								&lt;div class='input-search'&gt;
									&lt;input [(ngModel)]='carfamilycode' name='carfamilycode'
									class='form-control' [placeholder]="l('Carfamilycode')"
									type='text' (keyup.enter)='searchDatas()'&gt;
								&lt;/div&gt;
								&lt;div class='input-search'&gt;
									&lt;input type='text' [placeholder]="l('Declaredate')" [(ngModel)]='declaredate' 
									name='declaredate' (keydown)='searchDatas()' class='form-control' 
									bsDatepicker #d='bsDatepicker' placement='bottom left'&gt;
									&lt;i class='fa fa-calendar-alt' (click)='d.toggle()'&gt;&lt;/i&gt;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&lt;create-or-edit-indetails-modal
    #createOrEditModalInDetails
    (modalSave)="callBackDataGrid(dataParams)"
    (modalClose)="onChangeRowSelection(dataParams)"
&gt;
&lt;/create-or-edit-indetails-modal&gt;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#createOrEditModalInDetails="bs-modal"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InDetails')}}&lt;/h3&gt;
                    &lt;h3 *ngIf="!rowdata.id"&gt;{{('Create New InDetails')}}&lt;/h3&gt;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title'&gt;Partno&lt;/label&gt;
						&lt;input type='text' class='col-md-10 form-control input-text' name='Partno' [(ngModel)]='rowdata.partno'&gt;
					&lt;/div&gt;
					&lt;div class='col-md-12 form-group row'&gt;
						&lt;label class='col-md-2 form-control title'&gt;Invoicedate&lt;/label&gt;
						&lt;input type='text' class='col-md-10 form-control input-text' name='invoicedate' 
						#datepicker='bsDatepicker' [(ngModel)]='rowdata.invoicedate'  bsDatepicker &gt;
					&lt;/div&gt;
					&lt;div class='col-md-12 form-group row'&gt;
						&lt;label class='col-md-2 form-control title'&gt;Receivedate&lt;/label&gt;
						&lt;input type='text' class='col-md-10 form-control input-text' name='receivedate' 
						#datepicker='bsDatepicker' [(ngModel)]='rowdata.receivedate'  bsDatepicker &gt;
					&lt;/div&gt;
					&lt;div class='col-md-12 form-group row'&gt;
						&lt;label class='col-md-2 form-control title'&gt;Supplierno&lt;/label&gt;
						&lt;input type='text' class='col-md-10 form-control input-text' name='Supplierno' [(ngModel)]='rowdata.supplierno'&gt;
					&lt;/div&gt;
					&lt;div class='col-md-12 form-group row'&gt;
						&lt;label class='col-md-2 form-control title'&gt;Fixlot&lt;/label&gt;
						&lt;input type='text' class='col-md-10 form-control input-text' name='Fixlot' [(ngModel)]='rowdata.fixlot'&gt;
					&lt;/div&gt;
					&lt;div class='col-md-12 form-group row'&gt;
						&lt;label class='col-md-2 form-control title'&gt;Carfamilycode&lt;/label&gt;
						&lt;input type='text' class='col-md-10 form-control input-text' name='Carfamilycode' [(ngModel)]='rowdata.carfamilycode'&gt;
					&lt;/div&gt;
					&lt;div class='col-md-12 form-group row'&gt;
						&lt;label class='col-md-2 form-control title'&gt;Declaredate&lt;/label&gt;
						&lt;input type='text' class='col-md-10 form-control input-text' name='declaredate' 
						#datepicker='bsDatepicker' [(ngModel)]='rowdata.declaredate'  bsDatepicker 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CreateOrEditInvInDetailsDto, InvInDetailsServiceProxy } from '@shared/service-proxies/service-proxies';
import { BsDatepickerDirective } from 'ngx-bootstrap/datepicker';
@Component({
    selector: 'create-or-edit-indetails-modal',
    templateUrl: './create-or-edit-indetails-modal.component.html',
    styleUrls: ['./create-or-edit-indetails-modal.component.less']
    })
export class CreateOrEditInDetailsModalComponent extends AppComponentBase {
    @ViewChild('createOrEditModalInDetails',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CreateOrEditInvInDetailsDto = new CreateOrEditInvInDetailsDto();
    active: boolean = false;
    saving: boolean = false;
    _: boolean;
    constructor(
        injector: Injector,
        private _mstwptInDetailsService: InvInDetailsServiceProxy,
    ) 
    {
        super(injector);
    }
    show(rowdata?: CreateOrEditInvInDetailsDto): void {
        if (!rowdata) this.rowdata = new CreateOrEditInvInDetailsDto();
        else this.rowdata = rowdata;
		const dateValue =  this.rowdata.invoicedate ? new Date(this.rowdata.invoicedate?.toString()) : new Date();
		this.datepicker?.bsValueChange.emit(dateValue);
		const dateValue =  this.rowdata.receivedate ? new Date(this.rowdata.receivedate?.toString()) : new Date();
		this.datepicker?.bsValueChange.emit(dateValue);
		const dateValue =  this.rowdata.declaredate ? new Date(this.rowdata.declaredate?.toString())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this._mstwptInDetailsService.createOrEdit(this.rowdata)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InDetailsRoutingModule } from './indetails-routing.module';
import { InDetailsComponent } from './indetails.component';
import { CreateOrEditInDetailsModalComponent } from './create-or-edit-indetails-modal.component';
@NgModule({
    declarations: [
       InDetailsComponent, 
        CreateOrEditInDetailsModalComponent
    ],
    imports: [
        AppSharedModule, InDetailsRoutingModule]
})
export class InDetailsModule {}</v>
      </c>
      <c r="J65" s="49" t="str">
        <f>B.Frontend!O10</f>
        <v>import {NgModule} from '@angular/core';
import {RouterModule, Routes} from '@angular/router';
import { InDetailsComponent } from './indetails.component';
const routes: Routes = [{
    path: '',
    component: InDetailsComponent,
    pathMatch: 'full'
}];
@NgModule({
    imports: [RouterModule.forChild(routes)],
    exports: [RouterModule],
})
export class InDetailsRoutingModule {}</v>
      </c>
      <c r="K65" s="49" t="str">
        <f>B.Frontend!P10</f>
        <v xml:space="preserve"> new AppMenuItem("InDetails", "Pages.Inv.0.InDetails", "flaticon-book",   "/app/main/inv/0/indetails"),</v>
      </c>
      <c r="L65" s="50" t="str">
        <f>B.Frontend!Q10</f>
        <v>{
    path: 'inv/0/indetails',
    loadChildren: () =&gt; import('./inv/0/indetails/indetails.module').then(m =&gt; m.InDetailsModule),
    data: { permission: 'Pages.Inv.0.InDetails' }
},</v>
      </c>
      <c r="M65" s="48" t="str">
        <f>B.Frontend!R10</f>
        <v>ApiServiceProxies.InvInDetailsServiceProxy,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1"/>
  <sheetViews>
    <sheetView tabSelected="1" workbookViewId="0">
      <pane xSplit="1" topLeftCell="G1" activePane="topRight" state="frozen"/>
      <selection pane="topRight" activeCell="I18" sqref="I18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336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337</v>
      </c>
      <c r="C3" s="10" t="s">
        <v>43</v>
      </c>
      <c r="D3" s="10" t="s">
        <v>44</v>
      </c>
      <c r="E3" s="10" t="s">
        <v>39</v>
      </c>
      <c r="F3" s="11" t="str">
        <f>"J"&amp;COUNTA($A:$A)</f>
        <v>J19</v>
      </c>
      <c r="G3" s="4" t="s">
        <v>57</v>
      </c>
      <c r="H3" s="10" t="str">
        <f>"I"&amp;COUNTA($A:$A)</f>
        <v>I19</v>
      </c>
      <c r="I3" s="10" t="str">
        <f>REPT(CHAR(9),2)&amp;"[Required]"&amp;"
"</f>
        <v xml:space="preserve">		[Required]
</v>
      </c>
      <c r="J3" s="11" t="str">
        <f>"L"&amp;COUNTA($A:$A)</f>
        <v>L19</v>
      </c>
      <c r="K3" s="5" t="s">
        <v>56</v>
      </c>
      <c r="L3" s="11" t="str">
        <f>"M"&amp;COUNTA($A:$A)</f>
        <v>M19</v>
      </c>
      <c r="M3" s="11" t="str">
        <f>"N"&amp;COUNTA($A:$A)</f>
        <v>N19</v>
      </c>
      <c r="N3" s="11" t="str">
        <f>"O"&amp;COUNTA($A:$A)</f>
        <v>O19</v>
      </c>
      <c r="O3" s="11" t="str">
        <f>"P"&amp;COUNTA($A:$A)</f>
        <v>P19</v>
      </c>
      <c r="R3" s="32" t="str">
        <f>REPT(CHAR(9),1)&amp;"public class "&amp;B3&amp;"ExportInput"&amp;C3</f>
        <v xml:space="preserve">	public class InvInDetailsExportInput{
</v>
      </c>
      <c r="S3" s="11" t="str">
        <f>"namespace "&amp;$B$6&amp;".Exporting
"&amp;$C$3</f>
        <v xml:space="preserve">namespace vovina.Inv.Exporting
{
</v>
      </c>
      <c r="T3" s="11" t="str">
        <f>"T"&amp;COUNTA($A:$A)</f>
        <v>T19</v>
      </c>
      <c r="V3" s="11" t="str">
        <f>"V"&amp;COUNTA($A:$A)</f>
        <v>V19</v>
      </c>
      <c r="W3" s="10" t="str">
        <f>"W"&amp;COUNTA($A:$A)</f>
        <v>W19</v>
      </c>
    </row>
    <row r="4" spans="1:23" s="11" customFormat="1" ht="33" customHeight="1" x14ac:dyDescent="0.25">
      <c r="A4" s="1" t="s">
        <v>237</v>
      </c>
      <c r="B4" s="64" t="s">
        <v>336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338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vovina.Inv</v>
      </c>
      <c r="C6" s="11" t="str">
        <f>"namespace "&amp;$B$6&amp;"
"&amp;$C$3</f>
        <v xml:space="preserve">namespace vovina.Inv
{
</v>
      </c>
      <c r="D6" s="11" t="str">
        <f>REPT(CHAR(9),1)&amp;"public class "&amp;B3&amp;G3&amp;REPT(CHAR(9),1)&amp;"
"&amp;REPT(CHAR(9),1)&amp;C3</f>
        <v xml:space="preserve">	public class InvInDetails: FullAuditedEntity&lt;long&gt;, IEntity&lt;long&gt;	
	{
</v>
      </c>
      <c r="E6" s="11" t="str">
        <f>REPT(CHAR(9),1)&amp;"public class "&amp;B3&amp;"Consts"&amp;REPT(CHAR(9),1)&amp;"
"&amp;REPT(CHAR(9),1)&amp;C3</f>
        <v xml:space="preserve">	public class InvInDetailsConsts	
	{
</v>
      </c>
      <c r="F6" s="11" t="str">
        <f>REPT(CHAR(9),1)&amp;"public class "&amp;B3&amp;"Dto"&amp;K3&amp;REPT(CHAR(9),1)&amp;"
"&amp;REPT(CHAR(9),1)&amp;C3</f>
        <v xml:space="preserve">	public class InvInDetailsDto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CreateOrEditInvInDetailsDto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GetInvInDetailsInput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InvInDetails</v>
      </c>
      <c r="C7" s="11" t="str">
        <f>REPT(CHAR(9),1)&amp;"[Table("""&amp;B7&amp;""")]"&amp;"
"</f>
        <v xml:space="preserve">	[Table("InvInDetails")]
</v>
      </c>
      <c r="D7" s="11"/>
      <c r="E7" s="11"/>
      <c r="F7" s="11"/>
      <c r="G7" s="11"/>
      <c r="H7" s="11"/>
      <c r="I7" s="11"/>
      <c r="J7" s="6" t="str">
        <f ca="1">SUBSTITUTE(SUBSTITUTE((B1&amp;C6&amp;C7&amp;K21&amp;D6&amp;I21&amp;E3&amp;J21&amp;""&amp;REPT(CHAR(9),1)&amp;D3&amp;D3),"WorkingPattern",$Q$3),"Master",$B$4)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vovina.Inv
{
	[Table("InvInDetails")]
	[Index(nameof(Invoiceno), Name="IX_InvInDetails_Invoiceno")]
	[Index(nameof(Partno), Name="IX_InvInDetails_Partno")]
	[Index(nameof(Fixlot), Name="IX_InvInDetails_Fixlot")]
	[Index(nameof(Carfamilycode), Name="IX_InvInDetails_Carfamilycode")]
	public class InvInDetails: FullAuditedEntity&lt;long&gt;, IEntity&lt;long&gt;	
	{
		public const int MaxPartnoLength = 50;
		public const int MaxSuppliernoLength = 50;
		public const int MaxFixlotLength = 50;
		public const int MaxCarfamilycodeLength = 50;
		public virtual decimal PeriodId { get; set; }
		public virtual decimal Invoiceno { get; set; }
		[StringLength(MaxPartnoLength)]
		public virtual string Partno { get; set; }
		public virtual decimal Usageqty { get; set; }
		public virtual DateTime Invoicedate { get; set; }
		public virtual DateTime Receivedate { get; set; }
		[StringLength(MaxSuppliernoLength)]
		public virtual string Supplierno { get; set; }
		[StringLength(MaxFixlotLength)]
		public virtual string Fixlot { get; set; }
		[StringLength(MaxCarfamilycodeLength)]
		public virtual string Carfamilycode { get; set; }
		public virtual decimal Customsdeclareno { get; set; }
		public virtual DateTime Declaredate { get; set; }
	}
}
</v>
      </c>
      <c r="K7" t="str">
        <f>SUBSTITUTE(SUBSTITUTE(("public virtual DbSet&lt;"&amp;B3&amp;"&gt; "&amp;B3&amp;"s { get; set; }"),"WorkingPattern",$Q$3),"Master",$B$4)</f>
        <v>public virtual DbSet&lt;InvInDetails&gt; InvInDetailss { get; set; }</v>
      </c>
      <c r="L7" t="str">
        <f ca="1">SUBSTITUTE(SUBSTITUTE((C6&amp;E6&amp;I21&amp;"
"&amp;REPT(CHAR(9),2)&amp;"// Define Store Name: Format SP_ + &lt;Store Name&gt; = &lt;Store Name&gt;
"&amp;E3&amp;REPT(CHAR(9),1)&amp;D3&amp;D3),"WorkingPattern",$Q$3),"Master",$B$4)</f>
        <v xml:space="preserve">namespace vovina.Inv
{
	public class InvInDetailsConsts	
	{
		public const int MaxPartnoLength = 50;
		public const int MaxSuppliernoLength = 50;
		public const int MaxFixlotLength = 50;
		public const int MaxCarfamilycodeLength = 50;
		// Define Store Name: Format SP_ + &lt;Store Name&gt; = &lt;Store Name&gt;
	}
}
</v>
      </c>
      <c r="M7" t="str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 xml:space="preserve">using Abp.Application.Services.Dto;
using System;
using System.ComponentModel.DataAnnotations;
namespace vovina.Inv.Dto
{
	public class InvInDetailsDto : EntityDto&lt;long?&gt;	
	{
		public virtual decimal PeriodId { get; set; }
		public virtual decimal Invoiceno { get; set; }
		public virtual string Partno { get; set; }
		public virtual decimal Usageqty { get; set; }
		public virtual DateTime? Invoicedate { get; set; }
		public virtual DateTime? Receivedate { get; set; }
		public virtual string Supplierno { get; set; }
		public virtual string Fixlot { get; set; }
		public virtual string Carfamilycode { get; set; }
		public virtual decimal Customsdeclareno { get; set; }
		public virtual DateTime? Declaredate { get; set; }
	}
	public class CreateOrEditInvInDetailsDto : EntityDto&lt;long?&gt;	
	{
		public virtual decimal PeriodId { get; set; }
		public virtual decimal Invoiceno { get; set; }
		[StringLength(InvInDetailsConsts.MaxPartnoLength)]
		public virtual string Partno { get; set; }
		public virtual decimal Usageqty { get; set; }
		public virtual DateTime? Invoicedate { get; set; }
		public virtual DateTime? Receivedate { get; set; }
		[StringLength(InvInDetailsConsts.MaxSuppliernoLength)]
		public virtual string Supplierno { get; set; }
		[StringLength(InvInDetailsConsts.MaxFixlotLength)]
		public virtual string Fixlot { get; set; }
		[StringLength(InvInDetailsConsts.MaxCarfamilycodeLength)]
		public virtual string Carfamilycode { get; set; }
		public virtual decimal Customsdeclareno { get; set; }
		public virtual DateTime? Declaredate { get; set; }
	}
	public class GetInvInDetailsInput : PagedAndSortedResultRequestDto	
	{
		public virtual string Partno { get; set; }
		public virtual DateTime? Invoicedate { get; set; }
		public virtual DateTime? Receivedate { get; set; }
		public virtual string Supplierno { get; set; }
		public virtual string Fixlot { get; set; }
		public virtual string Carfamilycode { get; set; }
		public virtual DateTime? Declaredate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perInvInDetails = PARENTS.CreateChildPermission(AppPermissions.Pages_Inv_InDetails, L( "InvInDetails"), multiTenancySides: MultiTenancySides.Tenant);
		perInvInDetails.CreateChildPermission(AppPermissions.Pages_Inv_InDetails_CreateEdit, L( "InvInDetailsCreateEdit"), multiTenancySides: MultiTenancySides.Tenant);
		perInvInDetails.CreateChildPermission(AppPermissions.Pages_Inv_InDetails_Delete, L( "InvInDetailsDelete"),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Pages_Inv_InDetails = "Pages.Inv.InDetails";
		public const string Pages_Inv_InDetails_CreateEdit = "Pages.Inv.InDetails.CreateEdit";
		public const string Pages_Inv_InDetails_Delete = "Pages.Inv.InDetails.Delete";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vovina.Inv.Dto;
namespace vovina.Inv
{
	public interface IInvInDetailsAppService : IApplicationService
	{
		Task&lt;PagedResultDto&lt;InvInDetailsDto&gt;&gt; GetAll(GetInvInDetailsInput input);
		Task CreateOrEdit(CreateOrEditInvInDetailsDto input);
		Task Delete(EntityDto input);
	}
}
</v>
      </c>
      <c r="Q7" t="str">
        <f ca="1">SUBSTITUTE(SUBSTITUTE(SUBSTITUTE(SUBSTITUTE(SUBSTITUTE(SUBSTITUTE(E1,"MstWptCalendar",$B$3),"&lt;PROPERTIES&gt;",P21),"Calendar",$B$5),"WorkingPattern",$Q$3),"Master",$B$4),"&lt;PARAMS_SEARCH&gt;",$W$21)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vovina.Inv..Dto;
using vovina.Inv..Exporting;
namespace vovina.Inv.
{
    [AbpAuthorize(AppPermissions.Pages_Inv__InDetails)]
    public class InvInDetailsAppService : vovinaAppServiceBase, IInvInDetailsAppService
    {
        private readonly IDapperRepository&lt;InvInDetails, long&gt; _dapperRepo;
        private readonly IRepository&lt;InvInDetails, long&gt; _repo;
        private readonly IInvInDetailsExcelExporter _calendarListExcelExporter;
        public InvInDetailsAppService(IRepository&lt;InvInDetails,long&gt; repo, 
                                         IDapperRepository&lt;InvInDetails,long&gt; dapperRepo,
                                        IInvInDetailsExcelExporter calendarListExcelExporter
            )
        {
            _repo = repo;
            _dapperRepo = dapperRepo;
            _calendarListExcelExporter = calendarListExcelExporter;
        }
        [AbpAuthorize(AppPermissions.Pages_Inv__InDetails_CreateEdit)]
        public async Task CreateOrEdit(CreateOrEditInvInDetailsDto input)
        {
            if (input.Id == null) await Create(input);
            else await Update(input);
        }
        //CREATE
        private async Task Create(CreateOrEditInvInDetailsDto input)
        {          
            var mainObj = ObjectMapper.Map&lt;InvInDetails&gt;(input);
            await CurrentUnitOfWork.GetDbContext&lt;vovinaDbContext&gt;().AddAsync(mainObj);
        }
        // EDIT
        private async Task Update(CreateOrEditInvInDetailsDto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[AbpAuthorize(AppPermissions.Pages_Inv__InDetails_Delete)]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Task&lt;PagedResultDto&lt;InvInDetailsDto&gt;&gt; GetAll(GetInvInDetailsInput input)
        {
            var filtered = _repo.GetAll()
				.WhereIf(!string.IsNullOrWhiteSpace(input.Partno), e =&gt; e.Partno.Contains(input.Partno))
				.WhereIf(input.Invoicedate.HasValue, t =&gt; t.Invoicedate == input.Invoicedate.Value)
				.WhereIf(input.Receivedate.HasValue, t =&gt; t.Receivedate == input.Receivedate.Value)
				.WhereIf(!string.IsNullOrWhiteSpace(input.Supplierno), e =&gt; e.Supplierno.Contains(input.Supplierno))
				.WhereIf(!string.IsNullOrWhiteSpace(input.Fixlot), e =&gt; e.Fixlot.Contains(input.Fixlot))
				.WhereIf(!string.IsNullOrWhiteSpace(input.Carfamilycode), e =&gt; e.Carfamilycode.Contains(input.Carfamilycode))
				.WhereIf(input.Declaredate.HasValue, t =&gt; t.Declaredate == input.Declaredate.Value)                   
				;
            var pageAndFiltered = filtered.OrderBy(s =&gt; s.Id);
            var system = from o in pageAndFiltered
                         select new InvInDetailsDto
                        {
							Id = o.Id,
							PeriodId = o.PeriodId,
							Invoiceno = o.Invoiceno,
							Partno = o.Partno,
							Usageqty = o.Usageqty,
							Invoicedate = o.Invoicedate,
							Receivedate = o.Receivedate,
							Supplierno = o.Supplierno,
							Fixlot = o.Fixlot,
							Carfamilycode = o.Carfamilycode,
							Customsdeclareno = o.Customsdeclareno,
							Declaredate = o.Declaredate,
                        };
            var totalCount = await filtered.CountAsync();
			var paged = system.PageBy(input);
            return new PagedResultDto&lt;InvInDetailsDto&gt;(
                totalCount,
                 await paged.ToListAsync()
            );
        }
        public async Task&lt;FileDto&gt; GetInDetailsToExcel(InvInDetailsExportInput input)
        {
            var query = from o in _repo.GetAll()
                        select new InvInDetailsDto
                        {
							Id = o.Id,
							PeriodId = o.PeriodId,
							Invoiceno = o.Invoiceno,
							Partno = o.Partno,
							Usageqty = o.Usageqty,
							Invoicedate = o.Invoicedate,
							Receivedate = o.Receivedate,
							Supplierno = o.Supplierno,
							Fixlot = o.Fixlot,
							Carfamilycode = o.Carfamilycode,
							Customsdeclareno = o.Customsdeclareno,
							Declaredate = o.Declaredate,
                        };
            var exportToExcel = await query.ToListAsync();
            return _calendarListExcelExporter.ExportToFile(exportToExcel);
        }
       // public async Task GenerateAsync()
      //  {
        //    await _dapperRepo.ExecuteAsync(InvInDetailsConsts.SP_MST_WPT_CALENDAR_GENERATE);
       // }
    }
}</v>
      </c>
      <c r="R7" t="str">
        <f ca="1">SUBSTITUTE(SUBSTITUTE((C1&amp;"namespace "&amp;B6&amp;".Dto"&amp;E3&amp;C3&amp;R3&amp;M21&amp;E3&amp;REPT(CHAR(9),1)&amp;D3&amp;D3),"WorkingPattern",$Q$3),"Master",$B$4)</f>
        <v xml:space="preserve">using Abp.Application.Services.Dto;
using System;
using System.ComponentModel.DataAnnotations;
namespace vovina.Inv.Dto
{
	public class InvInDetailsExportInput{
		public virtual decimal PeriodId { get; set; }
		public virtual decimal Invoiceno { get; set; }
		public virtual string Partno { get; set; }
		public virtual decimal Usageqty { get; set; }
		public virtual DateTime? Invoicedate { get; set; }
		public virtual DateTime? Receivedate { get; set; }
		public virtual string Supplierno { get; set; }
		public virtual string Fixlot { get; set; }
		public virtual string Carfamilycode { get; set; }
		public virtual decimal Customsdeclareno { get; set; }
		public virtual DateTime? Declaredate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vovina.Inv.Dto;
namespace vovina.Inv.Exporting
{
	public interface IInvInDetailsExcelExporter : IApplicationService
	{
		FileDto ExportToFile(List&lt;InvInDetailsDto&gt; invindetails);
	}
}
</v>
      </c>
      <c r="T7" s="28" t="str">
        <f ca="1">SUBSTITUTE(SUBSTITUTE(SUBSTITUTE(SUBSTITUTE(SUBSTITUTE(SUBSTITUTE(SUBSTITUTE(T1,"MstWptCalendar",$B$3),"&lt;PROPERTIES1&gt;",V21),"&lt;PROPERTIES&gt;",T21),"Calendar",$B$5),"calendar",LOWER(B5)),"WorkingPattern",$Q$3),"Master",$B$4)</f>
        <v>using System.Collections.Generic;
using vovina.DataExporting.Excel.NPOI;
using vovina.Dto;
using vovina.Inv..Exporting;
using vovina.Inv..Dto;
using vovina.Storage;
using vovina.Inv..Dto;
namespace vovina.Inv..Exporting
{
    public class InvInDetailsExcelExporter : NpoiExcelExporterBase, IInvInDetailsExcelExporter
    {
        public InvInDetailsExcelExporter(ITempFileCacheManager tempFileCacheManager) : base(tempFileCacheManager) { }
        public FileDto ExportToFile(List&lt;InvInDetailsDto&gt; indetails)
        {
            return CreateExcelPackage(
				"InvInDetails.xlsx",
				excelPackage =&gt;
				 {
					var sheet = excelPackage.CreateSheet("InDetails");
					AddHeader(
								sheet,
								("PeriodId"),
								("Invoiceno"),
								("Partno"),
								("Usageqty"),
								("Invoicedate"),
								("Receivedate"),
								("Supplierno"),
								("Fixlot"),
								("Carfamilycode"),
								("Customsdeclareno"),
								("Declaredate"),
							   );
					AddObjects(
						 sheet, 1, indetails,                                       
								_ =&gt; _.PeriodId,
								_ =&gt; _.Invoiceno,
								_ =&gt; _.Partno,
								_ =&gt; _.Usageqty,
								_ =&gt; _.Invoicedate,
								_ =&gt; _.Receivedate,
								_ =&gt; _.Supplierno,
								_ =&gt; _.Fixlot,
								_ =&gt; _.Carfamilycode,
								_ =&gt; _.Customsdeclareno,
								_ =&gt; _.Declaredate,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configuration.CreateMap&lt;InvInDetailsDto, InvInDetails&gt;();
  configuration.CreateMap&lt;InvInDetails, InvInDetailsDto&gt;();
  configuration.CreateMap&lt;CreateOrEditInvInDetailsDto, InvInDetails&gt;();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321</v>
      </c>
      <c r="B9" t="s">
        <v>322</v>
      </c>
      <c r="C9" t="s">
        <v>1</v>
      </c>
      <c r="D9" t="str">
        <f t="shared" ref="D9" si="0">SUBSTITUTE(PROPER(A9),"_","")</f>
        <v>PeriodId</v>
      </c>
      <c r="E9" t="str">
        <f t="shared" ref="E9" si="1">IFERROR(LEFT(B9, FIND("(",B9)-1),B9)</f>
        <v>numeric</v>
      </c>
      <c r="F9" s="7"/>
      <c r="G9" t="str">
        <f t="shared" ref="G9" si="2">IFERROR(MID(B9,FIND("(",B9) +1, FIND(")",B9) - FIND("(",B9) - 1),"")</f>
        <v>19, 0</v>
      </c>
      <c r="H9" t="str">
        <f>+VLOOKUP(E9,'Data Type Mapping'!A:B,2,)</f>
        <v>decimal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decimal PeriodId { get; set; }
</v>
      </c>
      <c r="K9" s="7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decimal PeriodId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decimal PeriodId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9">REPT(CHAR(9),7)&amp;D9&amp;" = o." &amp;D9 &amp;","</f>
        <v xml:space="preserve">							PeriodId = o.PeriodId,</v>
      </c>
      <c r="T9" s="69" t="str">
        <f t="shared" ref="T9" si="10">REPT(CHAR(9),8)&amp;"("""&amp;D9&amp;"""),"</f>
        <v xml:space="preserve">								("PeriodId"),</v>
      </c>
      <c r="V9" s="70" t="str">
        <f t="shared" ref="V9" si="11">REPT(CHAR(9),8)&amp;"_ =&gt; _."&amp;D9&amp;","</f>
        <v xml:space="preserve">								_ =&gt; _.PeriodId,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2.5" customHeight="1" x14ac:dyDescent="0.25">
      <c r="A10" t="s">
        <v>326</v>
      </c>
      <c r="B10" t="s">
        <v>324</v>
      </c>
      <c r="C10" t="s">
        <v>1</v>
      </c>
      <c r="D10" t="str">
        <f>SUBSTITUTE(PROPER(A10),"_","")</f>
        <v>Invoiceno</v>
      </c>
      <c r="E10" t="str">
        <f t="shared" ref="E10:E19" si="13">IFERROR(LEFT(B10, FIND("(",B10)-1),B10)</f>
        <v>numeric</v>
      </c>
      <c r="F10" s="7"/>
      <c r="G10" t="str">
        <f t="shared" ref="G10:G19" si="14">IFERROR(MID(B10,FIND("(",B10) +1, FIND(")",B10) - FIND("(",B10) - 1),"")</f>
        <v>10, 2</v>
      </c>
      <c r="H10" t="str">
        <f>+VLOOKUP(E10,'Data Type Mapping'!A:B,2,)</f>
        <v>decimal</v>
      </c>
      <c r="I10" t="str">
        <f t="shared" ref="I10:I19" si="15">IF(H10="string",REPT(CHAR(9),2)&amp;"public const int Max"&amp;D10&amp;"Length = "&amp;G10&amp;";"&amp;$E$3,"" )</f>
        <v/>
      </c>
      <c r="J10" t="str">
        <f t="shared" ref="J10:J19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decimal Invoiceno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[Index(nameof(Invoiceno), Name="IX_InvInDetails_Invoiceno")]</v>
      </c>
      <c r="M10" t="str">
        <f t="shared" ref="M10:M19" si="17">REPT(CHAR(9),2)&amp;"public virtual "&amp;IF(OR(H10="DateTime",H10="TimeSpan"),H10&amp;"?",H10)&amp;IF(C10="?","? "," ")&amp;D10&amp;" { get; set; }" &amp; "
"</f>
        <v xml:space="preserve">		public virtual decimal Invoiceno { get; set; }
</v>
      </c>
      <c r="N10" t="str">
        <f t="shared" ref="N10:N19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decimal Invoiceno { get; set; }
</v>
      </c>
      <c r="O10" t="str">
        <f t="shared" ref="O10:O19" si="19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:P19" si="20">REPT(CHAR(9),7)&amp;D10&amp;" = o." &amp;D10 &amp;","</f>
        <v xml:space="preserve">							Invoiceno = o.Invoiceno,</v>
      </c>
      <c r="T10" s="69" t="str">
        <f t="shared" ref="T10:T19" si="21">REPT(CHAR(9),8)&amp;"("""&amp;D10&amp;"""),"</f>
        <v xml:space="preserve">								("Invoiceno"),</v>
      </c>
      <c r="V10" s="70" t="str">
        <f t="shared" ref="V10:V19" si="22">REPT(CHAR(9),8)&amp;"_ =&gt; _."&amp;D10&amp;","</f>
        <v xml:space="preserve">								_ =&gt; _.Invoiceno,</v>
      </c>
      <c r="W10" s="69" t="str">
        <f t="shared" ref="W10:W19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22.5" customHeight="1" x14ac:dyDescent="0.25">
      <c r="A11" t="s">
        <v>327</v>
      </c>
      <c r="B11" t="s">
        <v>323</v>
      </c>
      <c r="C11" t="s">
        <v>1</v>
      </c>
      <c r="D11" t="str">
        <f>SUBSTITUTE(PROPER(A11),"_","")</f>
        <v>Partno</v>
      </c>
      <c r="E11" t="str">
        <f t="shared" si="13"/>
        <v>varchar</v>
      </c>
      <c r="F11" s="7"/>
      <c r="G11" t="str">
        <f t="shared" si="14"/>
        <v>50</v>
      </c>
      <c r="H11" t="str">
        <f>+VLOOKUP(E11,'Data Type Mapping'!A:B,2,)</f>
        <v>string</v>
      </c>
      <c r="I11" t="str">
        <f t="shared" si="15"/>
        <v xml:space="preserve">		public const int MaxPartnoLength = 50;
</v>
      </c>
      <c r="J11" t="str">
        <f t="shared" si="16"/>
        <v xml:space="preserve">		[StringLength(MaxPartnoLength)]
		public virtual string Partno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[Index(nameof(Partno), Name="IX_InvInDetails_Partno")]</v>
      </c>
      <c r="M11" t="str">
        <f t="shared" si="17"/>
        <v xml:space="preserve">		public virtual string Partno { get; set; }
</v>
      </c>
      <c r="N11" t="str">
        <f t="shared" si="18"/>
        <v xml:space="preserve">		[StringLength(InvInDetailsConsts.MaxPartnoLength)]
		public virtual string Partno { get; set; }
</v>
      </c>
      <c r="O11" t="str">
        <f t="shared" si="19"/>
        <v xml:space="preserve">		public virtual string Partno { get; set; }
</v>
      </c>
      <c r="P11" t="str">
        <f t="shared" si="20"/>
        <v xml:space="preserve">							Partno = o.Partno,</v>
      </c>
      <c r="T11" s="69" t="str">
        <f t="shared" si="21"/>
        <v xml:space="preserve">								("Partno"),</v>
      </c>
      <c r="V11" s="70" t="str">
        <f t="shared" si="22"/>
        <v xml:space="preserve">								_ =&gt; _.Partno,</v>
      </c>
      <c r="W11" s="69" t="str">
        <f t="shared" si="23"/>
        <v xml:space="preserve">				.WhereIf(!string.IsNullOrWhiteSpace(input.Partno), e =&gt; e.Partno.Contains(input.Partno))</v>
      </c>
    </row>
    <row r="12" spans="1:23" customFormat="1" ht="21" customHeight="1" x14ac:dyDescent="0.25">
      <c r="A12" t="s">
        <v>328</v>
      </c>
      <c r="B12" t="s">
        <v>324</v>
      </c>
      <c r="C12" t="s">
        <v>1</v>
      </c>
      <c r="D12" t="str">
        <f t="shared" ref="D12:D15" si="24">SUBSTITUTE(PROPER(A12),"_","")</f>
        <v>Usageqty</v>
      </c>
      <c r="E12" t="str">
        <f t="shared" si="13"/>
        <v>numeric</v>
      </c>
      <c r="F12" s="7"/>
      <c r="G12" t="str">
        <f t="shared" si="14"/>
        <v>10, 2</v>
      </c>
      <c r="H12" t="str">
        <f>+VLOOKUP(E12,'Data Type Mapping'!A:B,2,)</f>
        <v>decimal</v>
      </c>
      <c r="I12" t="str">
        <f t="shared" si="15"/>
        <v/>
      </c>
      <c r="J12" t="str">
        <f t="shared" si="16"/>
        <v xml:space="preserve">		public virtual decimal Usageqty { get; set; }
</v>
      </c>
      <c r="K12" s="7"/>
      <c r="L12" t="str">
        <f t="shared" ref="L12:L15" si="25">IF(K12="","",REPT(CHAR(9),1)&amp;"[Index(nameof("&amp;IF(D12="","",""&amp;D12)&amp;")"&amp;", Name="&amp;"""IX_"&amp;$B$7&amp;"_"&amp;D12&amp;""")]")</f>
        <v/>
      </c>
      <c r="M12" t="str">
        <f t="shared" si="17"/>
        <v xml:space="preserve">		public virtual decimal Usageqty { get; set; }
</v>
      </c>
      <c r="N12" t="str">
        <f t="shared" si="18"/>
        <v xml:space="preserve">		public virtual decimal Usageqty { get; set; }
</v>
      </c>
      <c r="O12" t="str">
        <f t="shared" si="19"/>
        <v/>
      </c>
      <c r="P12" t="str">
        <f t="shared" si="20"/>
        <v xml:space="preserve">							Usageqty = o.Usageqty,</v>
      </c>
      <c r="T12" s="69" t="str">
        <f t="shared" si="21"/>
        <v xml:space="preserve">								("Usageqty"),</v>
      </c>
      <c r="V12" s="70" t="str">
        <f t="shared" si="22"/>
        <v xml:space="preserve">								_ =&gt; _.Usageqty,</v>
      </c>
      <c r="W12" s="69" t="str">
        <f t="shared" si="23"/>
        <v/>
      </c>
    </row>
    <row r="13" spans="1:23" customFormat="1" ht="18.75" customHeight="1" x14ac:dyDescent="0.25">
      <c r="A13" t="s">
        <v>329</v>
      </c>
      <c r="B13" t="s">
        <v>3</v>
      </c>
      <c r="C13" t="s">
        <v>1</v>
      </c>
      <c r="D13" t="str">
        <f t="shared" si="24"/>
        <v>Invoicedate</v>
      </c>
      <c r="E13" t="str">
        <f t="shared" si="13"/>
        <v>datetime</v>
      </c>
      <c r="F13" s="7"/>
      <c r="G13" t="str">
        <f t="shared" si="14"/>
        <v/>
      </c>
      <c r="H13" t="str">
        <f>+VLOOKUP(E13,'Data Type Mapping'!A:B,2,)</f>
        <v>DateTime</v>
      </c>
      <c r="I13" t="str">
        <f t="shared" si="15"/>
        <v/>
      </c>
      <c r="J13" t="str">
        <f t="shared" si="16"/>
        <v xml:space="preserve">		public virtual DateTime Invoicedate { get; set; }
</v>
      </c>
      <c r="K13" s="7"/>
      <c r="L13" t="str">
        <f t="shared" si="25"/>
        <v/>
      </c>
      <c r="M13" t="str">
        <f t="shared" si="17"/>
        <v xml:space="preserve">		public virtual DateTime? Invoicedate { get; set; }
</v>
      </c>
      <c r="N13" t="str">
        <f t="shared" si="18"/>
        <v xml:space="preserve">		public virtual DateTime? Invoicedate { get; set; }
</v>
      </c>
      <c r="O13" t="str">
        <f t="shared" si="19"/>
        <v xml:space="preserve">		public virtual DateTime? Invoicedate { get; set; }
</v>
      </c>
      <c r="P13" t="str">
        <f t="shared" si="20"/>
        <v xml:space="preserve">							Invoicedate = o.Invoicedate,</v>
      </c>
      <c r="T13" s="69" t="str">
        <f t="shared" si="21"/>
        <v xml:space="preserve">								("Invoicedate"),</v>
      </c>
      <c r="V13" s="70" t="str">
        <f t="shared" si="22"/>
        <v xml:space="preserve">								_ =&gt; _.Invoicedate,</v>
      </c>
      <c r="W13" s="69" t="str">
        <f t="shared" si="23"/>
        <v xml:space="preserve">				.WhereIf(input.Invoicedate.HasValue, t =&gt; t.Invoicedate == input.Invoicedate.Value)</v>
      </c>
    </row>
    <row r="14" spans="1:23" customFormat="1" ht="21" customHeight="1" x14ac:dyDescent="0.25">
      <c r="A14" t="s">
        <v>330</v>
      </c>
      <c r="B14" t="s">
        <v>3</v>
      </c>
      <c r="C14" t="s">
        <v>1</v>
      </c>
      <c r="D14" t="str">
        <f t="shared" si="24"/>
        <v>Receivedate</v>
      </c>
      <c r="E14" t="str">
        <f t="shared" si="13"/>
        <v>datetime</v>
      </c>
      <c r="F14" s="7"/>
      <c r="G14" t="str">
        <f t="shared" si="14"/>
        <v/>
      </c>
      <c r="H14" t="str">
        <f>+VLOOKUP(E14,'Data Type Mapping'!A:B,2,)</f>
        <v>DateTime</v>
      </c>
      <c r="I14" t="str">
        <f t="shared" si="15"/>
        <v/>
      </c>
      <c r="J14" t="str">
        <f t="shared" si="16"/>
        <v xml:space="preserve">		public virtual DateTime Receivedate { get; set; }
</v>
      </c>
      <c r="K14" s="7"/>
      <c r="L14" t="str">
        <f t="shared" si="25"/>
        <v/>
      </c>
      <c r="M14" t="str">
        <f t="shared" si="17"/>
        <v xml:space="preserve">		public virtual DateTime? Receivedate { get; set; }
</v>
      </c>
      <c r="N14" t="str">
        <f t="shared" si="18"/>
        <v xml:space="preserve">		public virtual DateTime? Receivedate { get; set; }
</v>
      </c>
      <c r="O14" t="str">
        <f t="shared" si="19"/>
        <v xml:space="preserve">		public virtual DateTime? Receivedate { get; set; }
</v>
      </c>
      <c r="P14" t="str">
        <f t="shared" si="20"/>
        <v xml:space="preserve">							Receivedate = o.Receivedate,</v>
      </c>
      <c r="T14" s="69" t="str">
        <f t="shared" si="21"/>
        <v xml:space="preserve">								("Receivedate"),</v>
      </c>
      <c r="V14" s="70" t="str">
        <f t="shared" si="22"/>
        <v xml:space="preserve">								_ =&gt; _.Receivedate,</v>
      </c>
      <c r="W14" s="69" t="str">
        <f t="shared" si="23"/>
        <v xml:space="preserve">				.WhereIf(input.Receivedate.HasValue, t =&gt; t.Receivedate == input.Receivedate.Value)</v>
      </c>
    </row>
    <row r="15" spans="1:23" customFormat="1" ht="18.75" customHeight="1" x14ac:dyDescent="0.25">
      <c r="A15" t="s">
        <v>331</v>
      </c>
      <c r="B15" t="s">
        <v>323</v>
      </c>
      <c r="C15" t="s">
        <v>1</v>
      </c>
      <c r="D15" t="str">
        <f t="shared" si="24"/>
        <v>Supplierno</v>
      </c>
      <c r="E15" t="str">
        <f t="shared" si="13"/>
        <v>varchar</v>
      </c>
      <c r="F15" s="7"/>
      <c r="G15" t="str">
        <f t="shared" si="14"/>
        <v>50</v>
      </c>
      <c r="H15" t="str">
        <f>+VLOOKUP(E15,'Data Type Mapping'!A:B,2,)</f>
        <v>string</v>
      </c>
      <c r="I15" t="str">
        <f t="shared" si="15"/>
        <v xml:space="preserve">		public const int MaxSuppliernoLength = 50;
</v>
      </c>
      <c r="J15" t="str">
        <f t="shared" si="16"/>
        <v xml:space="preserve">		[StringLength(MaxSuppliernoLength)]
		public virtual string Supplierno { get; set; }
</v>
      </c>
      <c r="K15" s="7"/>
      <c r="L15" t="str">
        <f t="shared" si="25"/>
        <v/>
      </c>
      <c r="M15" t="str">
        <f t="shared" si="17"/>
        <v xml:space="preserve">		public virtual string Supplierno { get; set; }
</v>
      </c>
      <c r="N15" t="str">
        <f t="shared" si="18"/>
        <v xml:space="preserve">		[StringLength(InvInDetailsConsts.MaxSuppliernoLength)]
		public virtual string Supplierno { get; set; }
</v>
      </c>
      <c r="O15" t="str">
        <f t="shared" si="19"/>
        <v xml:space="preserve">		public virtual string Supplierno { get; set; }
</v>
      </c>
      <c r="P15" t="str">
        <f t="shared" si="20"/>
        <v xml:space="preserve">							Supplierno = o.Supplierno,</v>
      </c>
      <c r="T15" s="69" t="str">
        <f t="shared" si="21"/>
        <v xml:space="preserve">								("Supplierno"),</v>
      </c>
      <c r="V15" s="70" t="str">
        <f t="shared" si="22"/>
        <v xml:space="preserve">								_ =&gt; _.Supplierno,</v>
      </c>
      <c r="W15" s="69" t="str">
        <f t="shared" si="23"/>
        <v xml:space="preserve">				.WhereIf(!string.IsNullOrWhiteSpace(input.Supplierno), e =&gt; e.Supplierno.Contains(input.Supplierno))</v>
      </c>
    </row>
    <row r="16" spans="1:23" customFormat="1" ht="22.5" customHeight="1" x14ac:dyDescent="0.25">
      <c r="A16" t="s">
        <v>332</v>
      </c>
      <c r="B16" t="s">
        <v>323</v>
      </c>
      <c r="C16" t="s">
        <v>1</v>
      </c>
      <c r="D16" t="str">
        <f>SUBSTITUTE(PROPER(A16),"_","")</f>
        <v>Fixlot</v>
      </c>
      <c r="E16" t="str">
        <f t="shared" si="13"/>
        <v>varchar</v>
      </c>
      <c r="F16" s="7"/>
      <c r="G16" t="str">
        <f t="shared" si="14"/>
        <v>50</v>
      </c>
      <c r="H16" t="str">
        <f>+VLOOKUP(E16,'Data Type Mapping'!A:B,2,)</f>
        <v>string</v>
      </c>
      <c r="I16" t="str">
        <f t="shared" si="15"/>
        <v xml:space="preserve">		public const int MaxFixlotLength = 50;
</v>
      </c>
      <c r="J16" t="str">
        <f t="shared" si="16"/>
        <v xml:space="preserve">		[StringLength(MaxFixlotLength)]
		public virtual string Fixlot { get; set; }
</v>
      </c>
      <c r="K16" s="7" t="s">
        <v>206</v>
      </c>
      <c r="L16" t="str">
        <f>IF(K16="","",REPT(CHAR(9),1)&amp;"[Index(nameof("&amp;IF(D16="","",""&amp;D16)&amp;")"&amp;", Name="&amp;"""IX_"&amp;$B$7&amp;"_"&amp;D16&amp;""")]")</f>
        <v xml:space="preserve">	[Index(nameof(Fixlot), Name="IX_InvInDetails_Fixlot")]</v>
      </c>
      <c r="M16" t="str">
        <f t="shared" si="17"/>
        <v xml:space="preserve">		public virtual string Fixlot { get; set; }
</v>
      </c>
      <c r="N16" t="str">
        <f t="shared" si="18"/>
        <v xml:space="preserve">		[StringLength(InvInDetailsConsts.MaxFixlotLength)]
		public virtual string Fixlot { get; set; }
</v>
      </c>
      <c r="O16" t="str">
        <f t="shared" si="19"/>
        <v xml:space="preserve">		public virtual string Fixlot { get; set; }
</v>
      </c>
      <c r="P16" t="str">
        <f t="shared" si="20"/>
        <v xml:space="preserve">							Fixlot = o.Fixlot,</v>
      </c>
      <c r="T16" s="69" t="str">
        <f t="shared" si="21"/>
        <v xml:space="preserve">								("Fixlot"),</v>
      </c>
      <c r="V16" s="70" t="str">
        <f t="shared" si="22"/>
        <v xml:space="preserve">								_ =&gt; _.Fixlot,</v>
      </c>
      <c r="W16" s="69" t="str">
        <f t="shared" si="23"/>
        <v xml:space="preserve">				.WhereIf(!string.IsNullOrWhiteSpace(input.Fixlot), e =&gt; e.Fixlot.Contains(input.Fixlot))</v>
      </c>
    </row>
    <row r="17" spans="1:23" customFormat="1" ht="22.5" customHeight="1" x14ac:dyDescent="0.25">
      <c r="A17" t="s">
        <v>333</v>
      </c>
      <c r="B17" t="s">
        <v>323</v>
      </c>
      <c r="C17" t="s">
        <v>1</v>
      </c>
      <c r="D17" t="str">
        <f>SUBSTITUTE(PROPER(A17),"_","")</f>
        <v>Carfamilycode</v>
      </c>
      <c r="E17" t="str">
        <f t="shared" si="13"/>
        <v>varchar</v>
      </c>
      <c r="F17" s="7"/>
      <c r="G17" t="str">
        <f t="shared" si="14"/>
        <v>50</v>
      </c>
      <c r="H17" t="str">
        <f>+VLOOKUP(E17,'Data Type Mapping'!A:B,2,)</f>
        <v>string</v>
      </c>
      <c r="I17" t="str">
        <f t="shared" si="15"/>
        <v xml:space="preserve">		public const int MaxCarfamilycodeLength = 50;
</v>
      </c>
      <c r="J17" t="str">
        <f t="shared" si="16"/>
        <v xml:space="preserve">		[StringLength(MaxCarfamilycodeLength)]
		public virtual string Carfamilycode { get; set; }
</v>
      </c>
      <c r="K17" s="7" t="s">
        <v>206</v>
      </c>
      <c r="L17" t="str">
        <f>IF(K17="","",REPT(CHAR(9),1)&amp;"[Index(nameof("&amp;IF(D17="","",""&amp;D17)&amp;")"&amp;", Name="&amp;"""IX_"&amp;$B$7&amp;"_"&amp;D17&amp;""")]")</f>
        <v xml:space="preserve">	[Index(nameof(Carfamilycode), Name="IX_InvInDetails_Carfamilycode")]</v>
      </c>
      <c r="M17" t="str">
        <f t="shared" si="17"/>
        <v xml:space="preserve">		public virtual string Carfamilycode { get; set; }
</v>
      </c>
      <c r="N17" t="str">
        <f t="shared" si="18"/>
        <v xml:space="preserve">		[StringLength(InvInDetailsConsts.MaxCarfamilycodeLength)]
		public virtual string Carfamilycode { get; set; }
</v>
      </c>
      <c r="O17" t="str">
        <f t="shared" si="19"/>
        <v xml:space="preserve">		public virtual string Carfamilycode { get; set; }
</v>
      </c>
      <c r="P17" t="str">
        <f t="shared" si="20"/>
        <v xml:space="preserve">							Carfamilycode = o.Carfamilycode,</v>
      </c>
      <c r="T17" s="69" t="str">
        <f t="shared" si="21"/>
        <v xml:space="preserve">								("Carfamilycode"),</v>
      </c>
      <c r="V17" s="70" t="str">
        <f t="shared" si="22"/>
        <v xml:space="preserve">								_ =&gt; _.Carfamilycode,</v>
      </c>
      <c r="W17" s="69" t="str">
        <f t="shared" si="23"/>
        <v xml:space="preserve">				.WhereIf(!string.IsNullOrWhiteSpace(input.Carfamilycode), e =&gt; e.Carfamilycode.Contains(input.Carfamilycode))</v>
      </c>
    </row>
    <row r="18" spans="1:23" customFormat="1" ht="21" customHeight="1" x14ac:dyDescent="0.25">
      <c r="A18" t="s">
        <v>334</v>
      </c>
      <c r="B18" t="s">
        <v>325</v>
      </c>
      <c r="C18" t="s">
        <v>1</v>
      </c>
      <c r="D18" t="str">
        <f t="shared" ref="D18:D19" si="26">SUBSTITUTE(PROPER(A18),"_","")</f>
        <v>Customsdeclareno</v>
      </c>
      <c r="E18" t="str">
        <f t="shared" si="13"/>
        <v>numeric</v>
      </c>
      <c r="F18" s="7"/>
      <c r="G18" t="str">
        <f t="shared" si="14"/>
        <v>18, 4</v>
      </c>
      <c r="H18" t="str">
        <f>+VLOOKUP(E18,'Data Type Mapping'!A:B,2,)</f>
        <v>decimal</v>
      </c>
      <c r="I18" t="str">
        <f t="shared" si="15"/>
        <v/>
      </c>
      <c r="J18" t="str">
        <f t="shared" si="16"/>
        <v xml:space="preserve">		public virtual decimal Customsdeclareno { get; set; }
</v>
      </c>
      <c r="K18" s="7"/>
      <c r="L18" t="str">
        <f t="shared" ref="L18:L19" si="27">IF(K18="","",REPT(CHAR(9),1)&amp;"[Index(nameof("&amp;IF(D18="","",""&amp;D18)&amp;")"&amp;", Name="&amp;"""IX_"&amp;$B$7&amp;"_"&amp;D18&amp;""")]")</f>
        <v/>
      </c>
      <c r="M18" t="str">
        <f t="shared" si="17"/>
        <v xml:space="preserve">		public virtual decimal Customsdeclareno { get; set; }
</v>
      </c>
      <c r="N18" t="str">
        <f t="shared" si="18"/>
        <v xml:space="preserve">		public virtual decimal Customsdeclareno { get; set; }
</v>
      </c>
      <c r="O18" t="str">
        <f t="shared" si="19"/>
        <v/>
      </c>
      <c r="P18" t="str">
        <f t="shared" si="20"/>
        <v xml:space="preserve">							Customsdeclareno = o.Customsdeclareno,</v>
      </c>
      <c r="T18" s="69" t="str">
        <f t="shared" si="21"/>
        <v xml:space="preserve">								("Customsdeclareno"),</v>
      </c>
      <c r="V18" s="70" t="str">
        <f t="shared" si="22"/>
        <v xml:space="preserve">								_ =&gt; _.Customsdeclareno,</v>
      </c>
      <c r="W18" s="69" t="str">
        <f t="shared" si="23"/>
        <v/>
      </c>
    </row>
    <row r="19" spans="1:23" customFormat="1" ht="18.75" customHeight="1" x14ac:dyDescent="0.25">
      <c r="A19" t="s">
        <v>335</v>
      </c>
      <c r="B19" t="s">
        <v>3</v>
      </c>
      <c r="C19" t="s">
        <v>1</v>
      </c>
      <c r="D19" t="str">
        <f t="shared" si="26"/>
        <v>Declaredate</v>
      </c>
      <c r="E19" t="str">
        <f t="shared" si="13"/>
        <v>datetime</v>
      </c>
      <c r="F19" s="7"/>
      <c r="G19" t="str">
        <f t="shared" si="14"/>
        <v/>
      </c>
      <c r="H19" t="str">
        <f>+VLOOKUP(E19,'Data Type Mapping'!A:B,2,)</f>
        <v>DateTime</v>
      </c>
      <c r="I19" t="str">
        <f t="shared" si="15"/>
        <v/>
      </c>
      <c r="J19" t="str">
        <f t="shared" si="16"/>
        <v xml:space="preserve">		public virtual DateTime Declaredate { get; set; }
</v>
      </c>
      <c r="K19" s="7"/>
      <c r="L19" t="str">
        <f t="shared" si="27"/>
        <v/>
      </c>
      <c r="M19" t="str">
        <f t="shared" si="17"/>
        <v xml:space="preserve">		public virtual DateTime? Declaredate { get; set; }
</v>
      </c>
      <c r="N19" t="str">
        <f t="shared" si="18"/>
        <v xml:space="preserve">		public virtual DateTime? Declaredate { get; set; }
</v>
      </c>
      <c r="O19" t="str">
        <f t="shared" si="19"/>
        <v xml:space="preserve">		public virtual DateTime? Declaredate { get; set; }
</v>
      </c>
      <c r="P19" t="str">
        <f t="shared" si="20"/>
        <v xml:space="preserve">							Declaredate = o.Declaredate,</v>
      </c>
      <c r="T19" s="69" t="str">
        <f t="shared" si="21"/>
        <v xml:space="preserve">								("Declaredate"),</v>
      </c>
      <c r="V19" s="70" t="str">
        <f t="shared" si="22"/>
        <v xml:space="preserve">								_ =&gt; _.Declaredate,</v>
      </c>
      <c r="W19" s="69" t="str">
        <f t="shared" si="23"/>
        <v xml:space="preserve">				.WhereIf(input.Declaredate.HasValue, t =&gt; t.Declaredate == input.Declaredate.Value)</v>
      </c>
    </row>
    <row r="21" spans="1:23" ht="45.75" customHeight="1" x14ac:dyDescent="0.25">
      <c r="H21" s="12"/>
      <c r="I21" s="34" t="str">
        <f ca="1">TEXTJOIN2("
", TRUE,INDIRECT( $H$1):INDIRECT( $H$3))</f>
        <v xml:space="preserve">		public const int MaxPartnoLength = 50;
		public const int MaxSuppliernoLength = 50;
		public const int MaxFixlotLength = 50;
		public const int MaxCarfamilycodeLength = 50;
</v>
      </c>
      <c r="J21" s="33" t="str">
        <f ca="1">TEXTJOIN2("
", TRUE,INDIRECT( $F$1):INDIRECT( $F$3))</f>
        <v xml:space="preserve">		public virtual decimal PeriodId { get; set; }
		public virtual decimal Invoiceno { get; set; }
		[StringLength(MaxPartnoLength)]
		public virtual string Partno { get; set; }
		public virtual decimal Usageqty { get; set; }
		public virtual DateTime Invoicedate { get; set; }
		public virtual DateTime Receivedate { get; set; }
		[StringLength(MaxSuppliernoLength)]
		public virtual string Supplierno { get; set; }
		[StringLength(MaxFixlotLength)]
		public virtual string Fixlot { get; set; }
		[StringLength(MaxCarfamilycodeLength)]
		public virtual string Carfamilycode { get; set; }
		public virtual decimal Customsdeclareno { get; set; }
		public virtual DateTime Declaredate { get; set; }
</v>
      </c>
      <c r="K21" s="35" t="str">
        <f ca="1">TEXTJOIN2("
", TRUE,INDIRECT( $J$1):INDIRECT( $J$3))</f>
        <v xml:space="preserve">	[Index(nameof(Invoiceno), Name="IX_InvInDetails_Invoiceno")]
	[Index(nameof(Partno), Name="IX_InvInDetails_Partno")]
	[Index(nameof(Fixlot), Name="IX_InvInDetails_Fixlot")]
	[Index(nameof(Carfamilycode), Name="IX_InvInDetails_Carfamilycode")]
</v>
      </c>
      <c r="L21" s="13" t="s">
        <v>60</v>
      </c>
      <c r="M21" s="36" t="str">
        <f ca="1">TEXTJOIN2("
",TRUE,INDIRECT( $L$1):INDIRECT($L$3))</f>
        <v xml:space="preserve">		public virtual decimal PeriodId { get; set; }
		public virtual decimal Invoiceno { get; set; }
		public virtual string Partno { get; set; }
		public virtual decimal Usageqty { get; set; }
		public virtual DateTime? Invoicedate { get; set; }
		public virtual DateTime? Receivedate { get; set; }
		public virtual string Supplierno { get; set; }
		public virtual string Fixlot { get; set; }
		public virtual string Carfamilycode { get; set; }
		public virtual decimal Customsdeclareno { get; set; }
		public virtual DateTime? Declaredate { get; set; }
</v>
      </c>
      <c r="N21" s="33" t="str">
        <f ca="1">TEXTJOIN2("
",TRUE,INDIRECT( $M$1):INDIRECT($M$3))</f>
        <v xml:space="preserve">		public virtual decimal PeriodId { get; set; }
		public virtual decimal Invoiceno { get; set; }
		[StringLength(InvInDetailsConsts.MaxPartnoLength)]
		public virtual string Partno { get; set; }
		public virtual decimal Usageqty { get; set; }
		public virtual DateTime? Invoicedate { get; set; }
		public virtual DateTime? Receivedate { get; set; }
		[StringLength(InvInDetailsConsts.MaxSuppliernoLength)]
		public virtual string Supplierno { get; set; }
		[StringLength(InvInDetailsConsts.MaxFixlotLength)]
		public virtual string Fixlot { get; set; }
		[StringLength(InvInDetailsConsts.MaxCarfamilycodeLength)]
		public virtual string Carfamilycode { get; set; }
		public virtual decimal Customsdeclareno { get; set; }
		public virtual DateTime? Declaredate { get; set; }
</v>
      </c>
      <c r="O21" s="33" t="str">
        <f ca="1">TEXTJOIN2("
",TRUE,INDIRECT( $N$1):INDIRECT($N$3))</f>
        <v xml:space="preserve">		public virtual string Partno { get; set; }
		public virtual DateTime? Invoicedate { get; set; }
		public virtual DateTime? Receivedate { get; set; }
		public virtual string Supplierno { get; set; }
		public virtual string Fixlot { get; set; }
		public virtual string Carfamilycode { get; set; }
		public virtual DateTime? Declaredate { get; set; }
</v>
      </c>
      <c r="P21" s="9" t="str">
        <f ca="1">TEXTJOIN2("
",TRUE,INDIRECT( $O$1):INDIRECT($O$3))</f>
        <v xml:space="preserve">							PeriodId = o.PeriodId,
							Invoiceno = o.Invoiceno,
							Partno = o.Partno,
							Usageqty = o.Usageqty,
							Invoicedate = o.Invoicedate,
							Receivedate = o.Receivedate,
							Supplierno = o.Supplierno,
							Fixlot = o.Fixlot,
							Carfamilycode = o.Carfamilycode,
							Customsdeclareno = o.Customsdeclareno,
							Declaredate = o.Declaredate,</v>
      </c>
      <c r="T21" s="9" t="str">
        <f ca="1">TEXTJOIN2("
",TRUE,INDIRECT( $T$2):INDIRECT($T$3))</f>
        <v xml:space="preserve">								("PeriodId"),
								("Invoiceno"),
								("Partno"),
								("Usageqty"),
								("Invoicedate"),
								("Receivedate"),
								("Supplierno"),
								("Fixlot"),
								("Carfamilycode"),
								("Customsdeclareno"),
								("Declaredate"),</v>
      </c>
      <c r="V21" s="9" t="str">
        <f ca="1">TEXTJOIN2("
",TRUE,INDIRECT( $V$2):INDIRECT($V$3))</f>
        <v xml:space="preserve">								_ =&gt; _.PeriodId,
								_ =&gt; _.Invoiceno,
								_ =&gt; _.Partno,
								_ =&gt; _.Usageqty,
								_ =&gt; _.Invoicedate,
								_ =&gt; _.Receivedate,
								_ =&gt; _.Supplierno,
								_ =&gt; _.Fixlot,
								_ =&gt; _.Carfamilycode,
								_ =&gt; _.Customsdeclareno,
								_ =&gt; _.Declaredate,</v>
      </c>
      <c r="W21" s="9" t="str">
        <f ca="1">TEXTJOIN2("
",TRUE,INDIRECT( $W$2):INDIRECT($W$3))</f>
        <v xml:space="preserve">				.WhereIf(!string.IsNullOrWhiteSpace(input.Partno), e =&gt; e.Partno.Contains(input.Partno))
				.WhereIf(input.Invoicedate.HasValue, t =&gt; t.Invoicedate == input.Invoicedate.Value)
				.WhereIf(input.Receivedate.HasValue, t =&gt; t.Receivedate == input.Receivedate.Value)
				.WhereIf(!string.IsNullOrWhiteSpace(input.Supplierno), e =&gt; e.Supplierno.Contains(input.Supplierno))
				.WhereIf(!string.IsNullOrWhiteSpace(input.Fixlot), e =&gt; e.Fixlot.Contains(input.Fixlot))
				.WhereIf(!string.IsNullOrWhiteSpace(input.Carfamilycode), e =&gt; e.Carfamilycode.Contains(input.Carfamilycode))
				.WhereIf(input.Declaredate.HasValue, t =&gt; t.Declaredate == input.Declaredate.Value)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8"/>
  <sheetViews>
    <sheetView workbookViewId="0">
      <selection activeCell="D15" sqref="D15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41" t="s">
        <v>212</v>
      </c>
      <c r="B1" s="42" t="s">
        <v>339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Inv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inv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>
        <f>A.Backend!Q3</f>
        <v>0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0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InvInDetails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InDetails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indetails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InvInDetailsDto, InvInDetailsServiceProxy } from '@shared/service-proxies/service-proxies';
import { finalize } from 'rxjs/internal/operators/finalize';
import { CreateOrEditInDetailsModalComponent } from './create-or-edit-indetails-modal.component';
import { DatePipe } from '@angular/common';
import { FileDownloadService } from '@shared/utils/file-download.service';
import ceil from 'lodash-es/ceil';
import { Paginator } from 'primeng/paginator';
@Component({
    templateUrl: './indetails.component.html',
    styleUrls: ['./indetails.component.less'],
})
export class InDetailsComponent extends AppComponentBase implements OnInit {
    @ViewChild('createOrEditModalInDetails', { static: true }) createOrEditModalInDetails:| CreateOrEditInDetailsModalComponent|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InvInDetailsDto = new InvInDetailsDto();
    saveSelectedRow: InvInDetailsDto = new InvInDetailsDto();
    datas: InvInDetailsDto = new InvInDetailsDto();
    isLoading: boolean = false;
    dataParams: GridParams | undefined;
    rowData: any[] = [];
    gridApi!: GridApi;
    rowSelection = 'multiple';
    filter: string = '';
	pipe = new DatePipe('en-US');
	frameworkComponents: FrameworkComponent;
    periodId
invoiceno
partno : string = '' ; 
usageqty
invoicedate : any ;
receivedate : any ;
supplierno : string = '' ; 
fixlot : string = '' ; 
carfamilycode : string = '' ; 
customsdeclareno
declaredate : any 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InvInDetailsServiceProxy,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this.l('Period Id'),headerTooltip: this.l('Period Id'),field: 'periodId',flex: 1},
			{headerName: this.l('Invoiceno'),headerTooltip: this.l('Invoiceno'),field: 'invoiceno',flex: 1},
			{headerName: this.l('Partno'),headerTooltip: this.l('Partno'),field: 'partno',flex: 1},
			{headerName: this.l('Usageqty'),headerTooltip: this.l('Usageqty'),field: 'usageqty',flex: 1},
			{headerName: this.l('Invoicedate'),headerTooltip: this.l('Invoicedate'),field: 'invoicedate',valueGetter: (params) =&gt; this.pipe.transform(params.data?.invoicedate, 'dd/MM/yyyy'),flex: 1},
			{headerName: this.l('Receivedate'),headerTooltip: this.l('Receivedate'),field: 'receivedate',valueGetter: (params) =&gt; this.pipe.transform(params.data?.receivedate, 'dd/MM/yyyy'),flex: 1},
			{headerName: this.l('Supplierno'),headerTooltip: this.l('Supplierno'),field: 'supplierno',flex: 1},
			{headerName: this.l('Fixlot'),headerTooltip: this.l('Fixlot'),field: 'fixlot',flex: 1},
			{headerName: this.l('Carfamilycode'),headerTooltip: this.l('Carfamilycode'),field: 'carfamilycode',flex: 1},
			{headerName: this.l('Customsdeclareno'),headerTooltip: this.l('Customsdeclareno'),field: 'customsdeclareno',flex: 1},
			{headerName: this.l('Declaredate'),headerTooltip: this.l('Declaredate'),field: 'declaredate',valueGetter: (params) =&gt; this.pipe.transform(params.data?.declaredate, 'dd/MM/yyyy'),flex: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this.periodId,
			this.invoiceno,
			this.partno,
			this.usageqty,
			this.invoicedate,
			this.receivedate,
			this.supplierno,
			this.fixlot,
			this.carfamilycode,
			this.customsdeclareno,
			this.declaredate,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this.periodId = '',
this.invoiceno = '',
this.partno = '',
this.usageqty = '',
this.invoicedate = '',
this.receivedate = '',
this.supplierno = '',
this.fixlot = '',
this.carfamilycode = '',
this.customsdeclareno = '',
this.declaredate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this.periodId,
			this.invoiceno,
			this.partno,
			this.usageqty,
			this.invoicedate,
			this.receivedate,
			this.supplierno,
			this.fixlot,
			this.carfamilycode,
			this.customsdeclareno,
			this.declaredate,
			'',
            this.paginationParams.skipCount,
            this.paginationParams.pageSize
        );
    }
    onChangeRowSelection(params: { api: { getSelectedRows: () =&gt; InvInDetailsDto[] } }) {
        this.saveSelectedRow = params.api.getSelectedRows()[0] ?? new InvInDetailsDto();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InvInDetailsDto):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this._service.getInDetailsToExcel(
			this.periodId,
			this.invoiceno,
			this.partno,
			this.usageqty,
			this.invoicedate,
			this.receivedate,
			this.supplierno,
			this.fixlot,
			this.carfamilycode,
			this.customsdeclareno,
			this.declaredate,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 In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[placeholder]="l('Partno')"
									type='text' (keyup.enter)='searchDatas()'&gt;
								&lt;/div&gt;
								&lt;div class='input-search'&gt;
									&lt;input type='text' [placeholder]="l('Invoicedate')" [(ngModel)]='invoicedate' 
									name='invoicedate'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[placeholder]="l('Receivedate')" [(ngModel)]='receivedate' 
									name='receivedate'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[(ngModel)]='supplierno' name='supplierno'
									class='form-control' [placeholder]="l('Supplierno')"
									type='text' (keyup.enter)='searchDatas()'&gt;
								&lt;/div&gt;
								&lt;div class='input-search'&gt;
									&lt;input [(ngModel)]='fixlot' name='fixlot'
									class='form-control' [placeholder]="l('Fixlot')"
									type='text' (keyup.enter)='searchDatas()'&gt;
								&lt;/div&gt;
								&lt;div class='input-search'&gt;
									&lt;input [(ngModel)]='carfamilycode' name='carfamilycode'
									class='form-control' [placeholder]="l('Carfamilycode')"
									type='text' (keyup.enter)='searchDatas()'&gt;
								&lt;/div&gt;
								&lt;div class='input-search'&gt;
									&lt;input type='text' [placeholder]="l('Declaredate')" [(ngModel)]='declaredate' 
									name='declaredate' (keydown)='searchDatas()' class='form-control' 
									bsDatepicker #d='bsDatepicker' placement='bottom left'&gt;
									&lt;i class='fa fa-calendar-alt' (click)='d.toggle()'&gt;&lt;/i&gt;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&lt;create-or-edit-indetails-modal
    #createOrEditModalInDetails
    (modalSave)="callBackDataGrid(dataParams)"
    (modalClose)="onChangeRowSelection(dataParams)"
&gt;
&lt;/create-or-edit-indetails-modal&gt;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#createOrEditModalInDetails="bs-modal"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InDetails')}}&lt;/h3&gt;
                    &lt;h3 *ngIf="!rowdata.id"&gt;{{('Create New InDetails')}}&lt;/h3&gt;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title'&gt;Partno&lt;/label&gt;
						&lt;input type='text' class='col-md-10 form-control input-text' name='Partno' [(ngModel)]='rowdata.partno'&gt;
					&lt;/div&gt;
					&lt;div class='col-md-12 form-group row'&gt;
						&lt;label class='col-md-2 form-control title'&gt;Invoicedate&lt;/label&gt;
						&lt;input type='text' class='col-md-10 form-control input-text' name='invoicedate' 
						#datepicker='bsDatepicker' [(ngModel)]='rowdata.invoicedate'  bsDatepicker &gt;
					&lt;/div&gt;
					&lt;div class='col-md-12 form-group row'&gt;
						&lt;label class='col-md-2 form-control title'&gt;Receivedate&lt;/label&gt;
						&lt;input type='text' class='col-md-10 form-control input-text' name='receivedate' 
						#datepicker='bsDatepicker' [(ngModel)]='rowdata.receivedate'  bsDatepicker &gt;
					&lt;/div&gt;
					&lt;div class='col-md-12 form-group row'&gt;
						&lt;label class='col-md-2 form-control title'&gt;Supplierno&lt;/label&gt;
						&lt;input type='text' class='col-md-10 form-control input-text' name='Supplierno' [(ngModel)]='rowdata.supplierno'&gt;
					&lt;/div&gt;
					&lt;div class='col-md-12 form-group row'&gt;
						&lt;label class='col-md-2 form-control title'&gt;Fixlot&lt;/label&gt;
						&lt;input type='text' class='col-md-10 form-control input-text' name='Fixlot' [(ngModel)]='rowdata.fixlot'&gt;
					&lt;/div&gt;
					&lt;div class='col-md-12 form-group row'&gt;
						&lt;label class='col-md-2 form-control title'&gt;Carfamilycode&lt;/label&gt;
						&lt;input type='text' class='col-md-10 form-control input-text' name='Carfamilycode' [(ngModel)]='rowdata.carfamilycode'&gt;
					&lt;/div&gt;
					&lt;div class='col-md-12 form-group row'&gt;
						&lt;label class='col-md-2 form-control title'&gt;Declaredate&lt;/label&gt;
						&lt;input type='text' class='col-md-10 form-control input-text' name='declaredate' 
						#datepicker='bsDatepicker' [(ngModel)]='rowdata.declaredate'  bsDatepicker 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CreateOrEditInvInDetailsDto, InvInDetailsServiceProxy } from '@shared/service-proxies/service-proxies';
import { BsDatepickerDirective } from 'ngx-bootstrap/datepicker';
@Component({
    selector: 'create-or-edit-indetails-modal',
    templateUrl: './create-or-edit-indetails-modal.component.html',
    styleUrls: ['./create-or-edit-indetails-modal.component.less']
    })
export class CreateOrEditInDetailsModalComponent extends AppComponentBase {
    @ViewChild('createOrEditModalInDetails',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CreateOrEditInvInDetailsDto = new CreateOrEditInvInDetailsDto();
    active: boolean = false;
    saving: boolean = false;
    _: boolean;
    constructor(
        injector: Injector,
        private _mstwptInDetailsService: InvInDetailsServiceProxy,
    ) 
    {
        super(injector);
    }
    show(rowdata?: CreateOrEditInvInDetailsDto): void {
        if (!rowdata) this.rowdata = new CreateOrEditInvInDetailsDto();
        else this.rowdata = rowdata;
		const dateValue =  this.rowdata.invoicedate ? new Date(this.rowdata.invoicedate?.toString()) : new Date();
		this.datepicker?.bsValueChange.emit(dateValue);
		const dateValue =  this.rowdata.receivedate ? new Date(this.rowdata.receivedate?.toString()) : new Date();
		this.datepicker?.bsValueChange.emit(dateValue);
		const dateValue =  this.rowdata.declaredate ? new Date(this.rowdata.declaredate?.toString())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this._mstwptInDetailsService.createOrEdit(this.rowdata)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InDetailsRoutingModule } from './indetails-routing.module';
import { InDetailsComponent } from './indetails.component';
import { CreateOrEditInDetailsModalComponent } from './create-or-edit-indetails-modal.component';
@NgModule({
    declarations: [
       InDetailsComponent, 
        CreateOrEditInDetailsModalComponent
    ],
    imports: [
        AppSharedModule, InDetailsRoutingModule]
})
export class InDetailsModule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InDetailsComponent } from './indetails.component';
const routes: Routes = [{
    path: '',
    component: InDetailsComponent,
    pathMatch: 'full'
}];
@NgModule({
    imports: [RouterModule.forChild(routes)],
    exports: [RouterModule],
})
export class InDetailsRoutingModule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AppMenuItem("InDetails", "Pages.Inv.0.InDetails", "flaticon-book",   "/app/main/inv/0/indetails"),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'inv/0/indetails',
    loadChildren: () =&gt; import('./inv/0/indetails/indetails.module').then(m =&gt; m.InDetailsModule),
    data: { permission: 'Pages.Inv.0.InDetails' }
},</v>
      </c>
      <c r="R10" s="50" t="str">
        <f>SUBSTITUTE(R9,"MstWptCalendar",$B$6)</f>
        <v>ApiServiceProxies.InvInDetailsServiceProxy,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H25</v>
      </c>
      <c r="I12" s="31" t="str">
        <f>"I"&amp;COUNTA($A:$A)</f>
        <v>I25</v>
      </c>
      <c r="J12" s="31"/>
      <c r="K12" s="31" t="str">
        <f>"K"&amp;COUNTA($A:$A)</f>
        <v>K25</v>
      </c>
      <c r="L12" s="31" t="str">
        <f>"L"&amp;COUNTA($A:$A)</f>
        <v>L25</v>
      </c>
      <c r="M12" s="31"/>
      <c r="N12" s="31"/>
      <c r="O12" s="31"/>
      <c r="P12" s="31"/>
      <c r="Q12" s="31"/>
      <c r="R12" s="31"/>
      <c r="S12" s="31" t="str">
        <f>"S"&amp;COUNTA($A:$A)</f>
        <v>S25</v>
      </c>
      <c r="T12" s="31" t="str">
        <f>"T"&amp;COUNTA($A:$A)</f>
        <v>T25</v>
      </c>
      <c r="U12" s="31" t="str">
        <f>"U"&amp;COUNTA($A:$A)</f>
        <v>U25</v>
      </c>
      <c r="V12" s="31" t="str">
        <f>"V"&amp;COUNTA($A:$A)</f>
        <v>V25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this.l('Period Id'),headerTooltip: this.l('Period Id'),field: 'periodId',flex: 1},
			{headerName: this.l('Invoiceno'),headerTooltip: this.l('Invoiceno'),field: 'invoiceno',flex: 1},
			{headerName: this.l('Partno'),headerTooltip: this.l('Partno'),field: 'partno',flex: 1},
			{headerName: this.l('Usageqty'),headerTooltip: this.l('Usageqty'),field: 'usageqty',flex: 1},
			{headerName: this.l('Invoicedate'),headerTooltip: this.l('Invoicedate'),field: 'invoicedate',valueGetter: (params) =&gt; this.pipe.transform(params.data?.invoicedate, 'dd/MM/yyyy'),flex: 1},
			{headerName: this.l('Receivedate'),headerTooltip: this.l('Receivedate'),field: 'receivedate',valueGetter: (params) =&gt; this.pipe.transform(params.data?.receivedate, 'dd/MM/yyyy'),flex: 1},
			{headerName: this.l('Supplierno'),headerTooltip: this.l('Supplierno'),field: 'supplierno',flex: 1},
			{headerName: this.l('Fixlot'),headerTooltip: this.l('Fixlot'),field: 'fixlot',flex: 1},
			{headerName: this.l('Carfamilycode'),headerTooltip: this.l('Carfamilycode'),field: 'carfamilycode',flex: 1},
			{headerName: this.l('Customsdeclareno'),headerTooltip: this.l('Customsdeclareno'),field: 'customsdeclareno',flex: 1},
			{headerName: this.l('Declaredate'),headerTooltip: this.l('Declaredate'),field: 'declaredate',valueGetter: (params) =&gt; this.pipe.transform(params.data?.declaredate, 'dd/MM/yyyy'),flex: 1},</v>
      </c>
      <c r="I13" s="38" t="str">
        <f ca="1">TEXTJOIN2("
",TRUE,INDIRECT(I11):INDIRECT(I12))</f>
        <v xml:space="preserve">								&lt;div class='input-search'&gt;
									&lt;input [(ngModel)]='partno' name='partno'
									class='form-control' [placeholder]="l('Partno')"
									type='text' (keyup.enter)='searchDatas()'&gt;
								&lt;/div&gt;
								&lt;div class='input-search'&gt;
									&lt;input type='text' [placeholder]="l('Invoicedate')" [(ngModel)]='invoicedate' 
									name='invoicedate'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[placeholder]="l('Receivedate')" [(ngModel)]='receivedate' 
									name='receivedate'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[(ngModel)]='supplierno' name='supplierno'
									class='form-control' [placeholder]="l('Supplierno')"
									type='text' (keyup.enter)='searchDatas()'&gt;
								&lt;/div&gt;
								&lt;div class='input-search'&gt;
									&lt;input [(ngModel)]='fixlot' name='fixlot'
									class='form-control' [placeholder]="l('Fixlot')"
									type='text' (keyup.enter)='searchDatas()'&gt;
								&lt;/div&gt;
								&lt;div class='input-search'&gt;
									&lt;input [(ngModel)]='carfamilycode' name='carfamilycode'
									class='form-control' [placeholder]="l('Carfamilycode')"
									type='text' (keyup.enter)='searchDatas()'&gt;
								&lt;/div&gt;
								&lt;div class='input-search'&gt;
									&lt;input type='text' [placeholder]="l('Declaredate')" [(ngModel)]='declaredate' 
									name='declaredate' (keydown)='searchDatas()' class='form-control' 
									bsDatepicker #d='bsDatepicker' placement='bottom left'&gt;
									&lt;i class='fa fa-calendar-alt' (click)='d.toggle()'&gt;&lt;/i&gt;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title'&gt;Partno&lt;/label&gt;
						&lt;input type='text' class='col-md-10 form-control input-text' name='Partno' [(ngModel)]='rowdata.partno'&gt;
					&lt;/div&gt;
					&lt;div class='col-md-12 form-group row'&gt;
						&lt;label class='col-md-2 form-control title'&gt;Invoicedate&lt;/label&gt;
						&lt;input type='text' class='col-md-10 form-control input-text' name='invoicedate' 
						#datepicker='bsDatepicker' [(ngModel)]='rowdata.invoicedate'  bsDatepicker &gt;
					&lt;/div&gt;
					&lt;div class='col-md-12 form-group row'&gt;
						&lt;label class='col-md-2 form-control title'&gt;Receivedate&lt;/label&gt;
						&lt;input type='text' class='col-md-10 form-control input-text' name='receivedate' 
						#datepicker='bsDatepicker' [(ngModel)]='rowdata.receivedate'  bsDatepicker &gt;
					&lt;/div&gt;
					&lt;div class='col-md-12 form-group row'&gt;
						&lt;label class='col-md-2 form-control title'&gt;Supplierno&lt;/label&gt;
						&lt;input type='text' class='col-md-10 form-control input-text' name='Supplierno' [(ngModel)]='rowdata.supplierno'&gt;
					&lt;/div&gt;
					&lt;div class='col-md-12 form-group row'&gt;
						&lt;label class='col-md-2 form-control title'&gt;Fixlot&lt;/label&gt;
						&lt;input type='text' class='col-md-10 form-control input-text' name='Fixlot' [(ngModel)]='rowdata.fixlot'&gt;
					&lt;/div&gt;
					&lt;div class='col-md-12 form-group row'&gt;
						&lt;label class='col-md-2 form-control title'&gt;Carfamilycode&lt;/label&gt;
						&lt;input type='text' class='col-md-10 form-control input-text' name='Carfamilycode' [(ngModel)]='rowdata.carfamilycode'&gt;
					&lt;/div&gt;
					&lt;div class='col-md-12 form-group row'&gt;
						&lt;label class='col-md-2 form-control title'&gt;Declaredate&lt;/label&gt;
						&lt;input type='text' class='col-md-10 form-control input-text' name='declaredate' 
						#datepicker='bsDatepicker' [(ngModel)]='rowdata.declaredate'  bsDatepicker &gt;
					&lt;/div&gt;</v>
      </c>
      <c r="L13" s="60" t="str">
        <f ca="1">TEXTJOIN2("
",TRUE,INDIRECT(L11):INDIRECT(L12))</f>
        <v xml:space="preserve">		const dateValue =  this.rowdata.invoicedate ? new Date(this.rowdata.invoicedate?.toString()) : new Date();
		this.datepicker?.bsValueChange.emit(dateValue);
		const dateValue =  this.rowdata.receivedate ? new Date(this.rowdata.receivedate?.toString()) : new Date();
		this.datepicker?.bsValueChange.emit(dateValue);
		const dateValue =  this.rowdata.declaredate ? new Date(this.rowdata.declaredate?.toString()) : new Date();
		this.datepicker?.bsValueChange.emit(dateValue);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>periodId
invoiceno
partno : string = '' ; 
usageqty
invoicedate : any ;
receivedate : any ;
supplierno : string = '' ; 
fixlot : string = '' ; 
carfamilycode : string = '' ; 
customsdeclareno
declaredate : any ;</v>
      </c>
      <c r="T13" s="68" t="str">
        <f ca="1">TEXTJOIN2("
",TRUE,INDIRECT(T11):INDIRECT(T12))</f>
        <v xml:space="preserve">			this.periodId,
			this.invoiceno,
			this.partno,
			this.usageqty,
			this.invoicedate,
			this.receivedate,
			this.supplierno,
			this.fixlot,
			this.carfamilycode,
			this.customsdeclareno,
			this.declaredate,</v>
      </c>
      <c r="U13" s="68" t="str">
        <f ca="1">TEXTJOIN2("
",TRUE,INDIRECT(U11):INDIRECT(U12))</f>
        <v>this.periodId = '',
this.invoiceno = '',
this.partno = '',
this.usageqty = '',
this.invoicedate = '',
this.receivedate = '',
this.supplierno = '',
this.fixlot = '',
this.carfamilycode = '',
this.customsdeclareno = '',
this.declaredate = '',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indetails.component.ts</v>
      </c>
      <c r="I14" s="40" t="str">
        <f>B8&amp;".component.html"</f>
        <v>indetails.component.html</v>
      </c>
      <c r="J14" s="39" t="str">
        <f>B8&amp;".component.less"</f>
        <v>indetails.component.less</v>
      </c>
      <c r="K14" s="40" t="str">
        <f>"create-or-edit-"&amp;B8&amp;"-modal.component.html"</f>
        <v>create-or-edit-indetails-modal.component.html</v>
      </c>
      <c r="L14" s="40" t="str">
        <f>"create-or-edit-"&amp;B8&amp;"-modal.component.ts"</f>
        <v>create-or-edit-indetails-modal.component.ts</v>
      </c>
      <c r="M14" s="40" t="str">
        <f>"create-or-edit-"&amp;B8&amp;"-modal.component.less"</f>
        <v>create-or-edit-indetails-modal.component.less</v>
      </c>
      <c r="N14" s="40" t="str">
        <f>B8&amp;".module.ts"</f>
        <v>indetails.module.ts</v>
      </c>
      <c r="O14" s="40" t="str">
        <f>B8&amp;"-routing.module.ts"</f>
        <v>indetails-routing.module.ts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321</v>
      </c>
      <c r="B15" s="31" t="str">
        <f>SUBSTITUTE(PROPER(A15),"_","")</f>
        <v>PeriodId</v>
      </c>
      <c r="C15" s="31" t="str">
        <f>SUBSTITUTE(PROPER(A15),"_"," ")</f>
        <v>Period Id</v>
      </c>
      <c r="D15" s="31" t="str">
        <f>LOWER(LEFT(B15,1))&amp;RIGHT(B15,LEN(B15) - 1)</f>
        <v>periodId</v>
      </c>
      <c r="E15" s="31" t="str">
        <f>A.Backend!H9</f>
        <v>decimal</v>
      </c>
      <c r="F15" s="31" t="str">
        <f>A.Backend!G9</f>
        <v>19, 0</v>
      </c>
      <c r="G15" s="31" t="str">
        <f>IF(E15="string"," : string = '' ; ",IF(OR(E15="DateTime",E15="TimeSpan")," : any ;",IF(E15="int"," : number = 0 ;","")))</f>
        <v/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this.l('Period Id'),headerTooltip: this.l('Period Id'),field: 'periodId',flex: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periodId</v>
      </c>
      <c r="T15" s="31" t="str">
        <f>REPT(CHAR(9),3)&amp;"this."&amp;D15&amp;","</f>
        <v xml:space="preserve">			this.periodId,</v>
      </c>
      <c r="U15" s="31" t="str">
        <f>IF(E15="int","this."&amp;D15&amp;" = 0,","this."&amp;D15&amp;" = '',")</f>
        <v>this.periodId = '',</v>
      </c>
      <c r="V15" s="31" t="str">
        <f>IF(AND(E15="string",F15="1"),D15,"")</f>
        <v/>
      </c>
    </row>
    <row r="16" spans="1:22" ht="15" customHeight="1" x14ac:dyDescent="0.25">
      <c r="A16" s="31" t="s">
        <v>326</v>
      </c>
      <c r="B16" s="31" t="str">
        <f t="shared" ref="B16:B25" si="0">SUBSTITUTE(PROPER(A16),"_","")</f>
        <v>Invoiceno</v>
      </c>
      <c r="C16" s="31" t="str">
        <f t="shared" ref="C16:C25" si="1">SUBSTITUTE(PROPER(A16),"_"," ")</f>
        <v>Invoiceno</v>
      </c>
      <c r="D16" s="31" t="str">
        <f t="shared" ref="D16:D25" si="2">LOWER(LEFT(B16,1))&amp;RIGHT(B16,LEN(B16) - 1)</f>
        <v>invoiceno</v>
      </c>
      <c r="E16" s="31" t="str">
        <f>A.Backend!H10</f>
        <v>decimal</v>
      </c>
      <c r="F16" s="31" t="str">
        <f>A.Backend!G10</f>
        <v>10, 2</v>
      </c>
      <c r="G16" s="31" t="str">
        <f t="shared" ref="G16:G25" si="3">IF(E16="string"," : string = '' ; ",IF(OR(E16="DateTime",E16="TimeSpan")," : any ;",IF(E16="int"," : number = 0 ;","")))</f>
        <v/>
      </c>
      <c r="H16" s="38" t="str">
        <f t="shared" ref="H16:H25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this.l('Invoiceno'),headerTooltip: this.l('Invoiceno'),field: 'invoiceno',flex: 1},</v>
      </c>
      <c r="I16" s="38" t="str">
        <f t="shared" ref="I16:I25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31"/>
      <c r="K16" s="38" t="str">
        <f t="shared" ref="K16:K25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/>
      </c>
      <c r="L16" s="60" t="str">
        <f t="shared" ref="L16:L25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:S25" si="8">D16&amp;G16</f>
        <v>invoiceno</v>
      </c>
      <c r="T16" s="31" t="str">
        <f t="shared" ref="T16:T25" si="9">REPT(CHAR(9),3)&amp;"this."&amp;D16&amp;","</f>
        <v xml:space="preserve">			this.invoiceno,</v>
      </c>
      <c r="U16" s="31" t="str">
        <f t="shared" ref="U16:U25" si="10">IF(E16="int","this."&amp;D16&amp;" = 0,","this."&amp;D16&amp;" = '',")</f>
        <v>this.invoiceno = '',</v>
      </c>
      <c r="V16" s="31" t="str">
        <f t="shared" ref="V16:V25" si="11">IF(AND(E16="string",F16="1"),D16,"")</f>
        <v/>
      </c>
    </row>
    <row r="17" spans="1:22" ht="18" customHeight="1" x14ac:dyDescent="0.25">
      <c r="A17" s="31" t="s">
        <v>327</v>
      </c>
      <c r="B17" s="31" t="str">
        <f t="shared" si="0"/>
        <v>Partno</v>
      </c>
      <c r="C17" s="31" t="str">
        <f t="shared" si="1"/>
        <v>Partno</v>
      </c>
      <c r="D17" s="31" t="str">
        <f t="shared" si="2"/>
        <v>partno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this.l('Partno'),headerTooltip: this.l('Partno'),field: 'partno',flex: 1},</v>
      </c>
      <c r="I17" s="38" t="str">
        <f t="shared" si="5"/>
        <v xml:space="preserve">								&lt;div class='input-search'&gt;
									&lt;input [(ngModel)]='partno' name='partno'
									class='form-control' [placeholder]="l('Partno')"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title'&gt;Partno&lt;/label&gt;
						&lt;input type='text' class='col-md-10 form-control input-text' name='Partno' [(ngModel)]='rowdata.partno'&gt;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si="8"/>
        <v xml:space="preserve">partno : string = '' ; </v>
      </c>
      <c r="T17" s="31" t="str">
        <f t="shared" si="9"/>
        <v xml:space="preserve">			this.partno,</v>
      </c>
      <c r="U17" s="31" t="str">
        <f t="shared" si="10"/>
        <v>this.partno = '',</v>
      </c>
      <c r="V17" s="31" t="str">
        <f t="shared" si="11"/>
        <v/>
      </c>
    </row>
    <row r="18" spans="1:22" ht="18" customHeight="1" x14ac:dyDescent="0.25">
      <c r="A18" s="31" t="s">
        <v>328</v>
      </c>
      <c r="B18" s="31" t="str">
        <f t="shared" si="0"/>
        <v>Usageqty</v>
      </c>
      <c r="C18" s="31" t="str">
        <f t="shared" si="1"/>
        <v>Usageqty</v>
      </c>
      <c r="D18" s="31" t="str">
        <f t="shared" si="2"/>
        <v>usageqty</v>
      </c>
      <c r="E18" s="31" t="str">
        <f>A.Backend!H12</f>
        <v>decimal</v>
      </c>
      <c r="F18" s="31" t="str">
        <f>A.Backend!G12</f>
        <v>10, 2</v>
      </c>
      <c r="G18" s="31" t="str">
        <f t="shared" si="3"/>
        <v/>
      </c>
      <c r="H18" s="38" t="str">
        <f t="shared" si="4"/>
        <v xml:space="preserve">			{headerName: this.l('Usageqty'),headerTooltip: this.l('Usageqty'),field: 'usageqty',flex: 1},</v>
      </c>
      <c r="I18" s="38" t="str">
        <f t="shared" si="5"/>
        <v/>
      </c>
      <c r="J18" s="31"/>
      <c r="K18" s="38" t="str">
        <f t="shared" si="6"/>
        <v/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8"/>
        <v>usageqty</v>
      </c>
      <c r="T18" s="31" t="str">
        <f t="shared" si="9"/>
        <v xml:space="preserve">			this.usageqty,</v>
      </c>
      <c r="U18" s="31" t="str">
        <f t="shared" si="10"/>
        <v>this.usageqty = '',</v>
      </c>
      <c r="V18" s="31" t="str">
        <f t="shared" si="11"/>
        <v/>
      </c>
    </row>
    <row r="19" spans="1:22" ht="15" customHeight="1" x14ac:dyDescent="0.25">
      <c r="A19" s="31" t="s">
        <v>329</v>
      </c>
      <c r="B19" s="31" t="str">
        <f t="shared" si="0"/>
        <v>Invoicedate</v>
      </c>
      <c r="C19" s="31" t="str">
        <f t="shared" si="1"/>
        <v>Invoicedate</v>
      </c>
      <c r="D19" s="31" t="str">
        <f t="shared" si="2"/>
        <v>invoicedate</v>
      </c>
      <c r="E19" s="31" t="str">
        <f>A.Backend!H13</f>
        <v>DateTime</v>
      </c>
      <c r="F19" s="31" t="str">
        <f>A.Backend!G13</f>
        <v/>
      </c>
      <c r="G19" s="31" t="str">
        <f t="shared" si="3"/>
        <v xml:space="preserve"> : any ;</v>
      </c>
      <c r="H19" s="38" t="str">
        <f t="shared" si="4"/>
        <v xml:space="preserve">			{headerName: this.l('Invoicedate'),headerTooltip: this.l('Invoicedate'),field: 'invoicedate',valueGetter: (params) =&gt; this.pipe.transform(params.data?.invoicedate, 'dd/MM/yyyy'),flex: 1},</v>
      </c>
      <c r="I19" s="38" t="str">
        <f t="shared" si="5"/>
        <v xml:space="preserve">								&lt;div class='input-search'&gt;
									&lt;input type='text' [placeholder]="l('Invoicedate')" [(ngModel)]='invoicedate' 
									name='invoicedate' (keydown)='searchDatas()' class='form-control' 
									bsDatepicker #d='bsDatepicker' placement='bottom left'&gt;
									&lt;i class='fa fa-calendar-alt' (click)='d.toggle()'&gt;&lt;/i&gt;
								&lt;/div&gt;</v>
      </c>
      <c r="J19" s="31"/>
      <c r="K19" s="38" t="str">
        <f t="shared" si="6"/>
        <v xml:space="preserve">					&lt;div class='col-md-12 form-group row'&gt;
						&lt;label class='col-md-2 form-control title'&gt;Invoicedate&lt;/label&gt;
						&lt;input type='text' class='col-md-10 form-control input-text' name='invoicedate' 
						#datepicker='bsDatepicker' [(ngModel)]='rowdata.invoicedate'  bsDatepicker &gt;
					&lt;/div&gt;</v>
      </c>
      <c r="L19" s="60" t="str">
        <f t="shared" si="7"/>
        <v xml:space="preserve">		const dateValue =  this.rowdata.invoicedate ? new Date(this.rowdata.invoicedate?.toString()) : new Date();
		this.datepicker?.bsValueChange.emit(dateValue);</v>
      </c>
      <c r="M19" s="31"/>
      <c r="N19" s="31"/>
      <c r="O19" s="31"/>
      <c r="P19" s="31"/>
      <c r="Q19" s="31"/>
      <c r="R19" s="31"/>
      <c r="S19" s="31" t="str">
        <f t="shared" si="8"/>
        <v>invoicedate : any ;</v>
      </c>
      <c r="T19" s="31" t="str">
        <f t="shared" si="9"/>
        <v xml:space="preserve">			this.invoicedate,</v>
      </c>
      <c r="U19" s="31" t="str">
        <f t="shared" si="10"/>
        <v>this.invoicedate = '',</v>
      </c>
      <c r="V19" s="31" t="str">
        <f t="shared" si="11"/>
        <v/>
      </c>
    </row>
    <row r="20" spans="1:22" ht="18" customHeight="1" x14ac:dyDescent="0.25">
      <c r="A20" s="31" t="s">
        <v>330</v>
      </c>
      <c r="B20" s="31" t="str">
        <f t="shared" si="0"/>
        <v>Receivedate</v>
      </c>
      <c r="C20" s="31" t="str">
        <f t="shared" si="1"/>
        <v>Receivedate</v>
      </c>
      <c r="D20" s="31" t="str">
        <f t="shared" si="2"/>
        <v>receivedate</v>
      </c>
      <c r="E20" s="31" t="str">
        <f>A.Backend!H14</f>
        <v>DateTime</v>
      </c>
      <c r="F20" s="31" t="str">
        <f>A.Backend!G14</f>
        <v/>
      </c>
      <c r="G20" s="31" t="str">
        <f t="shared" si="3"/>
        <v xml:space="preserve"> : any ;</v>
      </c>
      <c r="H20" s="38" t="str">
        <f t="shared" si="4"/>
        <v xml:space="preserve">			{headerName: this.l('Receivedate'),headerTooltip: this.l('Receivedate'),field: 'receivedate',valueGetter: (params) =&gt; this.pipe.transform(params.data?.receivedate, 'dd/MM/yyyy'),flex: 1},</v>
      </c>
      <c r="I20" s="38" t="str">
        <f t="shared" si="5"/>
        <v xml:space="preserve">								&lt;div class='input-search'&gt;
									&lt;input type='text' [placeholder]="l('Receivedate')" [(ngModel)]='receivedate' 
									name='receivedate' (keydown)='searchDatas()' class='form-control' 
									bsDatepicker #d='bsDatepicker' placement='bottom left'&gt;
									&lt;i class='fa fa-calendar-alt' (click)='d.toggle()'&gt;&lt;/i&gt;
								&lt;/div&gt;</v>
      </c>
      <c r="J20" s="31"/>
      <c r="K20" s="38" t="str">
        <f t="shared" si="6"/>
        <v xml:space="preserve">					&lt;div class='col-md-12 form-group row'&gt;
						&lt;label class='col-md-2 form-control title'&gt;Receivedate&lt;/label&gt;
						&lt;input type='text' class='col-md-10 form-control input-text' name='receivedate' 
						#datepicker='bsDatepicker' [(ngModel)]='rowdata.receivedate'  bsDatepicker &gt;
					&lt;/div&gt;</v>
      </c>
      <c r="L20" s="60" t="str">
        <f t="shared" si="7"/>
        <v xml:space="preserve">		const dateValue =  this.rowdata.receivedate ? new Date(this.rowdata.receivedate?.toString()) : new Date();
		this.datepicker?.bsValueChange.emit(dateValue);</v>
      </c>
      <c r="M20" s="31"/>
      <c r="N20" s="31"/>
      <c r="O20" s="31"/>
      <c r="P20" s="31"/>
      <c r="Q20" s="31"/>
      <c r="R20" s="31"/>
      <c r="S20" s="31" t="str">
        <f t="shared" si="8"/>
        <v>receivedate : any ;</v>
      </c>
      <c r="T20" s="31" t="str">
        <f t="shared" si="9"/>
        <v xml:space="preserve">			this.receivedate,</v>
      </c>
      <c r="U20" s="31" t="str">
        <f t="shared" si="10"/>
        <v>this.receivedate = '',</v>
      </c>
      <c r="V20" s="31" t="str">
        <f t="shared" si="11"/>
        <v/>
      </c>
    </row>
    <row r="21" spans="1:22" ht="15" customHeight="1" x14ac:dyDescent="0.25">
      <c r="A21" s="31" t="s">
        <v>331</v>
      </c>
      <c r="B21" s="31" t="str">
        <f t="shared" si="0"/>
        <v>Supplierno</v>
      </c>
      <c r="C21" s="31" t="str">
        <f t="shared" si="1"/>
        <v>Supplierno</v>
      </c>
      <c r="D21" s="31" t="str">
        <f t="shared" si="2"/>
        <v>supplierno</v>
      </c>
      <c r="E21" s="31" t="str">
        <f>A.Backend!H15</f>
        <v>string</v>
      </c>
      <c r="F21" s="31" t="str">
        <f>A.Backend!G15</f>
        <v>50</v>
      </c>
      <c r="G21" s="31" t="str">
        <f t="shared" si="3"/>
        <v xml:space="preserve"> : string = '' ; </v>
      </c>
      <c r="H21" s="38" t="str">
        <f t="shared" si="4"/>
        <v xml:space="preserve">			{headerName: this.l('Supplierno'),headerTooltip: this.l('Supplierno'),field: 'supplierno',flex: 1},</v>
      </c>
      <c r="I21" s="38" t="str">
        <f t="shared" si="5"/>
        <v xml:space="preserve">								&lt;div class='input-search'&gt;
									&lt;input [(ngModel)]='supplierno' name='supplierno'
									class='form-control' [placeholder]="l('Supplierno')"
									type='text' (keyup.enter)='searchDatas()'&gt;
								&lt;/div&gt;</v>
      </c>
      <c r="J21" s="31"/>
      <c r="K21" s="38" t="str">
        <f t="shared" si="6"/>
        <v xml:space="preserve">					&lt;div class='col-md-12 form-group row'&gt;
						&lt;label class='col-md-2 form-control title'&gt;Supplierno&lt;/label&gt;
						&lt;input type='text' class='col-md-10 form-control input-text' name='Supplierno' [(ngModel)]='rowdata.supplierno'&gt;
					&lt;/div&gt;</v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 t="shared" si="8"/>
        <v xml:space="preserve">supplierno : string = '' ; </v>
      </c>
      <c r="T21" s="31" t="str">
        <f t="shared" si="9"/>
        <v xml:space="preserve">			this.supplierno,</v>
      </c>
      <c r="U21" s="31" t="str">
        <f t="shared" si="10"/>
        <v>this.supplierno = '',</v>
      </c>
      <c r="V21" s="31" t="str">
        <f t="shared" si="11"/>
        <v/>
      </c>
    </row>
    <row r="22" spans="1:22" ht="18" customHeight="1" x14ac:dyDescent="0.25">
      <c r="A22" s="31" t="s">
        <v>332</v>
      </c>
      <c r="B22" s="31" t="str">
        <f t="shared" si="0"/>
        <v>Fixlot</v>
      </c>
      <c r="C22" s="31" t="str">
        <f t="shared" si="1"/>
        <v>Fixlot</v>
      </c>
      <c r="D22" s="31" t="str">
        <f t="shared" si="2"/>
        <v>fixlot</v>
      </c>
      <c r="E22" s="31" t="str">
        <f>A.Backend!H16</f>
        <v>string</v>
      </c>
      <c r="F22" s="31" t="str">
        <f>A.Backend!G16</f>
        <v>50</v>
      </c>
      <c r="G22" s="31" t="str">
        <f t="shared" si="3"/>
        <v xml:space="preserve"> : string = '' ; </v>
      </c>
      <c r="H22" s="38" t="str">
        <f t="shared" si="4"/>
        <v xml:space="preserve">			{headerName: this.l('Fixlot'),headerTooltip: this.l('Fixlot'),field: 'fixlot',flex: 1},</v>
      </c>
      <c r="I22" s="38" t="str">
        <f t="shared" si="5"/>
        <v xml:space="preserve">								&lt;div class='input-search'&gt;
									&lt;input [(ngModel)]='fixlot' name='fixlot'
									class='form-control' [placeholder]="l('Fixlot')"
									type='text' (keyup.enter)='searchDatas()'&gt;
								&lt;/div&gt;</v>
      </c>
      <c r="J22" s="31"/>
      <c r="K22" s="38" t="str">
        <f t="shared" si="6"/>
        <v xml:space="preserve">					&lt;div class='col-md-12 form-group row'&gt;
						&lt;label class='col-md-2 form-control title'&gt;Fixlot&lt;/label&gt;
						&lt;input type='text' class='col-md-10 form-control input-text' name='Fixlot' [(ngModel)]='rowdata.fixlot'&gt;
					&lt;/div&gt;</v>
      </c>
      <c r="L22" s="60" t="str">
        <f t="shared" si="7"/>
        <v/>
      </c>
      <c r="M22" s="31"/>
      <c r="N22" s="31"/>
      <c r="O22" s="31"/>
      <c r="P22" s="31"/>
      <c r="Q22" s="31"/>
      <c r="R22" s="31"/>
      <c r="S22" s="31" t="str">
        <f t="shared" si="8"/>
        <v xml:space="preserve">fixlot : string = '' ; </v>
      </c>
      <c r="T22" s="31" t="str">
        <f t="shared" si="9"/>
        <v xml:space="preserve">			this.fixlot,</v>
      </c>
      <c r="U22" s="31" t="str">
        <f t="shared" si="10"/>
        <v>this.fixlot = '',</v>
      </c>
      <c r="V22" s="31" t="str">
        <f t="shared" si="11"/>
        <v/>
      </c>
    </row>
    <row r="23" spans="1:22" ht="18" customHeight="1" x14ac:dyDescent="0.25">
      <c r="A23" s="31" t="s">
        <v>333</v>
      </c>
      <c r="B23" s="31" t="str">
        <f t="shared" si="0"/>
        <v>Carfamilycode</v>
      </c>
      <c r="C23" s="31" t="str">
        <f t="shared" si="1"/>
        <v>Carfamilycode</v>
      </c>
      <c r="D23" s="31" t="str">
        <f t="shared" si="2"/>
        <v>carfamilycode</v>
      </c>
      <c r="E23" s="31" t="str">
        <f>A.Backend!H17</f>
        <v>string</v>
      </c>
      <c r="F23" s="31" t="str">
        <f>A.Backend!G17</f>
        <v>50</v>
      </c>
      <c r="G23" s="31" t="str">
        <f t="shared" si="3"/>
        <v xml:space="preserve"> : string = '' ; </v>
      </c>
      <c r="H23" s="38" t="str">
        <f t="shared" si="4"/>
        <v xml:space="preserve">			{headerName: this.l('Carfamilycode'),headerTooltip: this.l('Carfamilycode'),field: 'carfamilycode',flex: 1},</v>
      </c>
      <c r="I23" s="38" t="str">
        <f t="shared" si="5"/>
        <v xml:space="preserve">								&lt;div class='input-search'&gt;
									&lt;input [(ngModel)]='carfamilycode' name='carfamilycode'
									class='form-control' [placeholder]="l('Carfamilycode')"
									type='text' (keyup.enter)='searchDatas()'&gt;
								&lt;/div&gt;</v>
      </c>
      <c r="J23" s="31"/>
      <c r="K23" s="38" t="str">
        <f t="shared" si="6"/>
        <v xml:space="preserve">					&lt;div class='col-md-12 form-group row'&gt;
						&lt;label class='col-md-2 form-control title'&gt;Carfamilycode&lt;/label&gt;
						&lt;input type='text' class='col-md-10 form-control input-text' name='Carfamilycode' [(ngModel)]='rowdata.carfamilycode'&gt;
					&lt;/div&gt;</v>
      </c>
      <c r="L23" s="60" t="str">
        <f t="shared" si="7"/>
        <v/>
      </c>
      <c r="M23" s="31"/>
      <c r="N23" s="31"/>
      <c r="O23" s="31"/>
      <c r="P23" s="31"/>
      <c r="Q23" s="31"/>
      <c r="R23" s="31"/>
      <c r="S23" s="31" t="str">
        <f t="shared" si="8"/>
        <v xml:space="preserve">carfamilycode : string = '' ; </v>
      </c>
      <c r="T23" s="31" t="str">
        <f t="shared" si="9"/>
        <v xml:space="preserve">			this.carfamilycode,</v>
      </c>
      <c r="U23" s="31" t="str">
        <f t="shared" si="10"/>
        <v>this.carfamilycode = '',</v>
      </c>
      <c r="V23" s="31" t="str">
        <f t="shared" si="11"/>
        <v/>
      </c>
    </row>
    <row r="24" spans="1:22" ht="15" customHeight="1" x14ac:dyDescent="0.25">
      <c r="A24" s="31" t="s">
        <v>334</v>
      </c>
      <c r="B24" s="31" t="str">
        <f t="shared" si="0"/>
        <v>Customsdeclareno</v>
      </c>
      <c r="C24" s="31" t="str">
        <f t="shared" si="1"/>
        <v>Customsdeclareno</v>
      </c>
      <c r="D24" s="31" t="str">
        <f t="shared" si="2"/>
        <v>customsdeclareno</v>
      </c>
      <c r="E24" s="31" t="str">
        <f>A.Backend!H18</f>
        <v>decimal</v>
      </c>
      <c r="F24" s="31" t="str">
        <f>A.Backend!G18</f>
        <v>18, 4</v>
      </c>
      <c r="G24" s="31" t="str">
        <f t="shared" si="3"/>
        <v/>
      </c>
      <c r="H24" s="38" t="str">
        <f t="shared" si="4"/>
        <v xml:space="preserve">			{headerName: this.l('Customsdeclareno'),headerTooltip: this.l('Customsdeclareno'),field: 'customsdeclareno',flex: 1},</v>
      </c>
      <c r="I24" s="38" t="str">
        <f t="shared" si="5"/>
        <v/>
      </c>
      <c r="J24" s="31"/>
      <c r="K24" s="38" t="str">
        <f t="shared" si="6"/>
        <v/>
      </c>
      <c r="L24" s="60" t="str">
        <f t="shared" si="7"/>
        <v/>
      </c>
      <c r="M24" s="31"/>
      <c r="N24" s="31"/>
      <c r="O24" s="31"/>
      <c r="P24" s="31"/>
      <c r="Q24" s="31"/>
      <c r="R24" s="31"/>
      <c r="S24" s="31" t="str">
        <f t="shared" si="8"/>
        <v>customsdeclareno</v>
      </c>
      <c r="T24" s="31" t="str">
        <f t="shared" si="9"/>
        <v xml:space="preserve">			this.customsdeclareno,</v>
      </c>
      <c r="U24" s="31" t="str">
        <f t="shared" si="10"/>
        <v>this.customsdeclareno = '',</v>
      </c>
      <c r="V24" s="31" t="str">
        <f t="shared" si="11"/>
        <v/>
      </c>
    </row>
    <row r="25" spans="1:22" ht="18" customHeight="1" x14ac:dyDescent="0.25">
      <c r="A25" s="31" t="s">
        <v>335</v>
      </c>
      <c r="B25" s="31" t="str">
        <f t="shared" si="0"/>
        <v>Declaredate</v>
      </c>
      <c r="C25" s="31" t="str">
        <f t="shared" si="1"/>
        <v>Declaredate</v>
      </c>
      <c r="D25" s="31" t="str">
        <f t="shared" si="2"/>
        <v>declaredate</v>
      </c>
      <c r="E25" s="31" t="str">
        <f>A.Backend!H19</f>
        <v>DateTime</v>
      </c>
      <c r="F25" s="31" t="str">
        <f>A.Backend!G19</f>
        <v/>
      </c>
      <c r="G25" s="31" t="str">
        <f t="shared" si="3"/>
        <v xml:space="preserve"> : any ;</v>
      </c>
      <c r="H25" s="38" t="str">
        <f t="shared" si="4"/>
        <v xml:space="preserve">			{headerName: this.l('Declaredate'),headerTooltip: this.l('Declaredate'),field: 'declaredate',valueGetter: (params) =&gt; this.pipe.transform(params.data?.declaredate, 'dd/MM/yyyy'),flex: 1},</v>
      </c>
      <c r="I25" s="38" t="str">
        <f t="shared" si="5"/>
        <v xml:space="preserve">								&lt;div class='input-search'&gt;
									&lt;input type='text' [placeholder]="l('Declaredate')" [(ngModel)]='declaredate' 
									name='declaredate' (keydown)='searchDatas()' class='form-control' 
									bsDatepicker #d='bsDatepicker' placement='bottom left'&gt;
									&lt;i class='fa fa-calendar-alt' (click)='d.toggle()'&gt;&lt;/i&gt;
								&lt;/div&gt;</v>
      </c>
      <c r="J25" s="31"/>
      <c r="K25" s="38" t="str">
        <f t="shared" si="6"/>
        <v xml:space="preserve">					&lt;div class='col-md-12 form-group row'&gt;
						&lt;label class='col-md-2 form-control title'&gt;Declaredate&lt;/label&gt;
						&lt;input type='text' class='col-md-10 form-control input-text' name='declaredate' 
						#datepicker='bsDatepicker' [(ngModel)]='rowdata.declaredate'  bsDatepicker &gt;
					&lt;/div&gt;</v>
      </c>
      <c r="L25" s="60" t="str">
        <f t="shared" si="7"/>
        <v xml:space="preserve">		const dateValue =  this.rowdata.declaredate ? new Date(this.rowdata.declaredate?.toString()) : new Date();
		this.datepicker?.bsValueChange.emit(dateValue);</v>
      </c>
      <c r="M25" s="31"/>
      <c r="N25" s="31"/>
      <c r="O25" s="31"/>
      <c r="P25" s="31"/>
      <c r="Q25" s="31"/>
      <c r="R25" s="31"/>
      <c r="S25" s="31" t="str">
        <f t="shared" si="8"/>
        <v>declaredate : any ;</v>
      </c>
      <c r="T25" s="31" t="str">
        <f t="shared" si="9"/>
        <v xml:space="preserve">			this.declaredate,</v>
      </c>
      <c r="U25" s="31" t="str">
        <f t="shared" si="10"/>
        <v>this.declaredate = '',</v>
      </c>
      <c r="V25" s="31" t="str">
        <f t="shared" si="11"/>
        <v/>
      </c>
    </row>
    <row r="28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2022-10-04T02:59:22Z</dcterms:modified>
</cp:coreProperties>
</file>
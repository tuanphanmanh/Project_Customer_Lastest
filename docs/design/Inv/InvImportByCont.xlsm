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Inv\"/>
    </mc:Choice>
  </mc:AlternateContent>
  <xr:revisionPtr revIDLastSave="0" documentId="13_ncr:1_{7F2A2BC1-7154-43FC-BA88-B9FC69119F06}" xr6:coauthVersionLast="36" xr6:coauthVersionMax="36" xr10:uidLastSave="{00000000-0000-0000-0000-000000000000}"/>
  <bookViews>
    <workbookView xWindow="0" yWindow="495" windowWidth="28800" windowHeight="16425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5" l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S16" i="5"/>
  <c r="T16" i="5"/>
  <c r="U16" i="5"/>
  <c r="V16" i="5"/>
  <c r="S17" i="5"/>
  <c r="T17" i="5"/>
  <c r="U17" i="5"/>
  <c r="V17" i="5"/>
  <c r="S18" i="5"/>
  <c r="T18" i="5"/>
  <c r="U18" i="5"/>
  <c r="V18" i="5"/>
  <c r="S19" i="5"/>
  <c r="T19" i="5"/>
  <c r="U19" i="5"/>
  <c r="V19" i="5"/>
  <c r="S20" i="5"/>
  <c r="T20" i="5"/>
  <c r="U20" i="5"/>
  <c r="V20" i="5"/>
  <c r="S21" i="5"/>
  <c r="T21" i="5"/>
  <c r="U21" i="5"/>
  <c r="V21" i="5"/>
  <c r="S22" i="5"/>
  <c r="T22" i="5"/>
  <c r="U22" i="5"/>
  <c r="V22" i="5"/>
  <c r="S23" i="5"/>
  <c r="T23" i="5"/>
  <c r="U23" i="5"/>
  <c r="V23" i="5"/>
  <c r="S24" i="5"/>
  <c r="T24" i="5"/>
  <c r="U24" i="5"/>
  <c r="V24" i="5"/>
  <c r="S25" i="5"/>
  <c r="T25" i="5"/>
  <c r="U25" i="5"/>
  <c r="V25" i="5"/>
  <c r="S26" i="5"/>
  <c r="T26" i="5"/>
  <c r="U26" i="5"/>
  <c r="V26" i="5"/>
  <c r="S27" i="5"/>
  <c r="T27" i="5"/>
  <c r="U27" i="5"/>
  <c r="V27" i="5"/>
  <c r="S28" i="5"/>
  <c r="T28" i="5"/>
  <c r="U28" i="5"/>
  <c r="V28" i="5"/>
  <c r="S29" i="5"/>
  <c r="T29" i="5"/>
  <c r="U29" i="5"/>
  <c r="V29" i="5"/>
  <c r="S30" i="5"/>
  <c r="T30" i="5"/>
  <c r="U30" i="5"/>
  <c r="V30" i="5"/>
  <c r="S31" i="5"/>
  <c r="T31" i="5"/>
  <c r="U31" i="5"/>
  <c r="V31" i="5"/>
  <c r="S32" i="5"/>
  <c r="T32" i="5"/>
  <c r="U32" i="5"/>
  <c r="V32" i="5"/>
  <c r="S33" i="5"/>
  <c r="T33" i="5"/>
  <c r="U33" i="5"/>
  <c r="V33" i="5"/>
  <c r="S34" i="5"/>
  <c r="T34" i="5"/>
  <c r="U34" i="5"/>
  <c r="V34" i="5"/>
  <c r="S35" i="5"/>
  <c r="T35" i="5"/>
  <c r="U35" i="5"/>
  <c r="V35" i="5"/>
  <c r="S36" i="5"/>
  <c r="T36" i="5"/>
  <c r="U36" i="5"/>
  <c r="V36" i="5"/>
  <c r="S37" i="5"/>
  <c r="T37" i="5"/>
  <c r="U37" i="5"/>
  <c r="V37" i="5"/>
  <c r="S38" i="5"/>
  <c r="T38" i="5"/>
  <c r="U38" i="5"/>
  <c r="V38" i="5"/>
  <c r="S39" i="5"/>
  <c r="T39" i="5"/>
  <c r="U39" i="5"/>
  <c r="V39" i="5"/>
  <c r="B16" i="5"/>
  <c r="D16" i="5" s="1"/>
  <c r="C16" i="5"/>
  <c r="E16" i="5"/>
  <c r="F16" i="5"/>
  <c r="G16" i="5"/>
  <c r="B17" i="5"/>
  <c r="D17" i="5" s="1"/>
  <c r="H17" i="5" s="1"/>
  <c r="C17" i="5"/>
  <c r="E17" i="5"/>
  <c r="F17" i="5"/>
  <c r="G17" i="5"/>
  <c r="I17" i="5"/>
  <c r="K17" i="5"/>
  <c r="B18" i="5"/>
  <c r="D18" i="5" s="1"/>
  <c r="C18" i="5"/>
  <c r="E18" i="5"/>
  <c r="K18" i="5" s="1"/>
  <c r="F18" i="5"/>
  <c r="G18" i="5"/>
  <c r="B19" i="5"/>
  <c r="C19" i="5"/>
  <c r="D19" i="5"/>
  <c r="E19" i="5"/>
  <c r="H19" i="5" s="1"/>
  <c r="F19" i="5"/>
  <c r="G19" i="5"/>
  <c r="B20" i="5"/>
  <c r="C20" i="5"/>
  <c r="D20" i="5"/>
  <c r="E20" i="5"/>
  <c r="G20" i="5" s="1"/>
  <c r="F20" i="5"/>
  <c r="B21" i="5"/>
  <c r="C21" i="5"/>
  <c r="D21" i="5"/>
  <c r="E21" i="5"/>
  <c r="G21" i="5" s="1"/>
  <c r="F21" i="5"/>
  <c r="B22" i="5"/>
  <c r="D22" i="5" s="1"/>
  <c r="C22" i="5"/>
  <c r="E22" i="5"/>
  <c r="G22" i="5" s="1"/>
  <c r="F22" i="5"/>
  <c r="K22" i="5"/>
  <c r="B23" i="5"/>
  <c r="D23" i="5" s="1"/>
  <c r="C23" i="5"/>
  <c r="H23" i="5" s="1"/>
  <c r="E23" i="5"/>
  <c r="G23" i="5" s="1"/>
  <c r="F23" i="5"/>
  <c r="I23" i="5"/>
  <c r="K23" i="5"/>
  <c r="B24" i="5"/>
  <c r="D24" i="5" s="1"/>
  <c r="H24" i="5" s="1"/>
  <c r="C24" i="5"/>
  <c r="E24" i="5"/>
  <c r="F24" i="5"/>
  <c r="G24" i="5"/>
  <c r="I24" i="5"/>
  <c r="K24" i="5"/>
  <c r="B25" i="5"/>
  <c r="D25" i="5" s="1"/>
  <c r="H25" i="5" s="1"/>
  <c r="C25" i="5"/>
  <c r="E25" i="5"/>
  <c r="F25" i="5"/>
  <c r="G25" i="5"/>
  <c r="I25" i="5"/>
  <c r="K25" i="5"/>
  <c r="B26" i="5"/>
  <c r="D26" i="5" s="1"/>
  <c r="C26" i="5"/>
  <c r="E26" i="5"/>
  <c r="K26" i="5" s="1"/>
  <c r="F26" i="5"/>
  <c r="G26" i="5"/>
  <c r="I26" i="5"/>
  <c r="B27" i="5"/>
  <c r="C27" i="5"/>
  <c r="D27" i="5"/>
  <c r="E27" i="5"/>
  <c r="G27" i="5" s="1"/>
  <c r="F27" i="5"/>
  <c r="B28" i="5"/>
  <c r="C28" i="5"/>
  <c r="D28" i="5"/>
  <c r="E28" i="5"/>
  <c r="G28" i="5" s="1"/>
  <c r="F28" i="5"/>
  <c r="B29" i="5"/>
  <c r="C29" i="5"/>
  <c r="D29" i="5"/>
  <c r="E29" i="5"/>
  <c r="G29" i="5" s="1"/>
  <c r="F29" i="5"/>
  <c r="B30" i="5"/>
  <c r="D30" i="5" s="1"/>
  <c r="C30" i="5"/>
  <c r="E30" i="5"/>
  <c r="G30" i="5" s="1"/>
  <c r="F30" i="5"/>
  <c r="I30" i="5"/>
  <c r="K30" i="5"/>
  <c r="B31" i="5"/>
  <c r="D31" i="5" s="1"/>
  <c r="C31" i="5"/>
  <c r="E31" i="5"/>
  <c r="G31" i="5" s="1"/>
  <c r="F31" i="5"/>
  <c r="I31" i="5"/>
  <c r="K31" i="5"/>
  <c r="B32" i="5"/>
  <c r="D32" i="5" s="1"/>
  <c r="C32" i="5"/>
  <c r="E32" i="5"/>
  <c r="F32" i="5"/>
  <c r="G32" i="5"/>
  <c r="I32" i="5"/>
  <c r="K32" i="5"/>
  <c r="B33" i="5"/>
  <c r="D33" i="5" s="1"/>
  <c r="H33" i="5" s="1"/>
  <c r="C33" i="5"/>
  <c r="E33" i="5"/>
  <c r="F33" i="5"/>
  <c r="K33" i="5" s="1"/>
  <c r="G33" i="5"/>
  <c r="I33" i="5"/>
  <c r="B34" i="5"/>
  <c r="D34" i="5" s="1"/>
  <c r="H34" i="5" s="1"/>
  <c r="C34" i="5"/>
  <c r="E34" i="5"/>
  <c r="I34" i="5" s="1"/>
  <c r="F34" i="5"/>
  <c r="G34" i="5"/>
  <c r="B35" i="5"/>
  <c r="C35" i="5"/>
  <c r="D35" i="5"/>
  <c r="E35" i="5"/>
  <c r="H35" i="5" s="1"/>
  <c r="F35" i="5"/>
  <c r="G35" i="5"/>
  <c r="B36" i="5"/>
  <c r="C36" i="5"/>
  <c r="D36" i="5"/>
  <c r="E36" i="5"/>
  <c r="G36" i="5" s="1"/>
  <c r="F36" i="5"/>
  <c r="B37" i="5"/>
  <c r="C37" i="5"/>
  <c r="D37" i="5"/>
  <c r="E37" i="5"/>
  <c r="G37" i="5" s="1"/>
  <c r="F37" i="5"/>
  <c r="B38" i="5"/>
  <c r="C38" i="5"/>
  <c r="K38" i="5" s="1"/>
  <c r="D38" i="5"/>
  <c r="E38" i="5"/>
  <c r="G38" i="5" s="1"/>
  <c r="F38" i="5"/>
  <c r="B39" i="5"/>
  <c r="D39" i="5" s="1"/>
  <c r="I39" i="5" s="1"/>
  <c r="C39" i="5"/>
  <c r="K39" i="5" s="1"/>
  <c r="E39" i="5"/>
  <c r="G39" i="5" s="1"/>
  <c r="F39" i="5"/>
  <c r="L32" i="1"/>
  <c r="H32" i="1"/>
  <c r="I32" i="1" s="1"/>
  <c r="G32" i="1"/>
  <c r="E32" i="1"/>
  <c r="D32" i="1"/>
  <c r="V32" i="1" s="1"/>
  <c r="G31" i="1"/>
  <c r="E31" i="1"/>
  <c r="H31" i="1" s="1"/>
  <c r="D31" i="1"/>
  <c r="P31" i="1" s="1"/>
  <c r="L23" i="1"/>
  <c r="G23" i="1"/>
  <c r="E23" i="1"/>
  <c r="H23" i="1" s="1"/>
  <c r="D23" i="1"/>
  <c r="V23" i="1" s="1"/>
  <c r="L22" i="1"/>
  <c r="G22" i="1"/>
  <c r="E22" i="1"/>
  <c r="H22" i="1" s="1"/>
  <c r="O22" i="1" s="1"/>
  <c r="D22" i="1"/>
  <c r="P22" i="1" s="1"/>
  <c r="L21" i="1"/>
  <c r="G21" i="1"/>
  <c r="E21" i="1"/>
  <c r="H21" i="1" s="1"/>
  <c r="D21" i="1"/>
  <c r="V21" i="1" s="1"/>
  <c r="G20" i="1"/>
  <c r="E20" i="1"/>
  <c r="H20" i="1" s="1"/>
  <c r="D20" i="1"/>
  <c r="G19" i="1"/>
  <c r="E19" i="1"/>
  <c r="H19" i="1" s="1"/>
  <c r="D19" i="1"/>
  <c r="T19" i="1" s="1"/>
  <c r="L18" i="1"/>
  <c r="G18" i="1"/>
  <c r="E18" i="1"/>
  <c r="H18" i="1" s="1"/>
  <c r="O18" i="1" s="1"/>
  <c r="D18" i="1"/>
  <c r="P18" i="1" s="1"/>
  <c r="L17" i="1"/>
  <c r="G17" i="1"/>
  <c r="E17" i="1"/>
  <c r="H17" i="1" s="1"/>
  <c r="D17" i="1"/>
  <c r="V17" i="1" s="1"/>
  <c r="H31" i="5" l="1"/>
  <c r="H32" i="5"/>
  <c r="H26" i="5"/>
  <c r="H18" i="5"/>
  <c r="I18" i="5"/>
  <c r="K16" i="5"/>
  <c r="I16" i="5"/>
  <c r="H16" i="5"/>
  <c r="I38" i="5"/>
  <c r="K29" i="5"/>
  <c r="I22" i="5"/>
  <c r="K21" i="5"/>
  <c r="H38" i="5"/>
  <c r="I37" i="5"/>
  <c r="K36" i="5"/>
  <c r="H30" i="5"/>
  <c r="I29" i="5"/>
  <c r="K28" i="5"/>
  <c r="H22" i="5"/>
  <c r="I21" i="5"/>
  <c r="K20" i="5"/>
  <c r="H39" i="5"/>
  <c r="K37" i="5"/>
  <c r="H37" i="5"/>
  <c r="I36" i="5"/>
  <c r="K35" i="5"/>
  <c r="H29" i="5"/>
  <c r="I28" i="5"/>
  <c r="K27" i="5"/>
  <c r="H21" i="5"/>
  <c r="I20" i="5"/>
  <c r="K19" i="5"/>
  <c r="H36" i="5"/>
  <c r="I35" i="5"/>
  <c r="K34" i="5"/>
  <c r="H28" i="5"/>
  <c r="I27" i="5"/>
  <c r="H20" i="5"/>
  <c r="I19" i="5"/>
  <c r="H27" i="5"/>
  <c r="T31" i="1"/>
  <c r="V31" i="1"/>
  <c r="P21" i="1"/>
  <c r="P23" i="1"/>
  <c r="T32" i="1"/>
  <c r="N31" i="1"/>
  <c r="M31" i="1"/>
  <c r="O31" i="1"/>
  <c r="I31" i="1"/>
  <c r="W31" i="1"/>
  <c r="J31" i="1"/>
  <c r="J32" i="1"/>
  <c r="W32" i="1"/>
  <c r="M32" i="1"/>
  <c r="N32" i="1"/>
  <c r="O32" i="1"/>
  <c r="P32" i="1"/>
  <c r="V20" i="1"/>
  <c r="P19" i="1"/>
  <c r="V19" i="1"/>
  <c r="I20" i="1"/>
  <c r="W20" i="1"/>
  <c r="J20" i="1"/>
  <c r="N20" i="1"/>
  <c r="M20" i="1"/>
  <c r="O20" i="1"/>
  <c r="N17" i="1"/>
  <c r="M17" i="1"/>
  <c r="W17" i="1"/>
  <c r="J17" i="1"/>
  <c r="I17" i="1"/>
  <c r="O17" i="1"/>
  <c r="I19" i="1"/>
  <c r="O19" i="1"/>
  <c r="N19" i="1"/>
  <c r="J19" i="1"/>
  <c r="W19" i="1"/>
  <c r="M19" i="1"/>
  <c r="N21" i="1"/>
  <c r="M21" i="1"/>
  <c r="W21" i="1"/>
  <c r="J21" i="1"/>
  <c r="I21" i="1"/>
  <c r="O21" i="1"/>
  <c r="I23" i="1"/>
  <c r="O23" i="1"/>
  <c r="N23" i="1"/>
  <c r="M23" i="1"/>
  <c r="W23" i="1"/>
  <c r="J23" i="1"/>
  <c r="T22" i="1"/>
  <c r="P17" i="1"/>
  <c r="V18" i="1"/>
  <c r="T17" i="1"/>
  <c r="J18" i="1"/>
  <c r="W18" i="1"/>
  <c r="T21" i="1"/>
  <c r="J22" i="1"/>
  <c r="W22" i="1"/>
  <c r="T18" i="1"/>
  <c r="I18" i="1"/>
  <c r="I22" i="1"/>
  <c r="V22" i="1"/>
  <c r="P20" i="1"/>
  <c r="M18" i="1"/>
  <c r="T20" i="1"/>
  <c r="M22" i="1"/>
  <c r="N18" i="1"/>
  <c r="N22" i="1"/>
  <c r="T23" i="1"/>
  <c r="C15" i="5"/>
  <c r="B15" i="5"/>
  <c r="D15" i="5" s="1"/>
  <c r="T15" i="5" s="1"/>
  <c r="L26" i="1"/>
  <c r="G26" i="1"/>
  <c r="E26" i="1"/>
  <c r="H26" i="1" s="1"/>
  <c r="D26" i="1"/>
  <c r="V26" i="1" s="1"/>
  <c r="L25" i="1"/>
  <c r="G25" i="1"/>
  <c r="E25" i="1"/>
  <c r="H25" i="1" s="1"/>
  <c r="D25" i="1"/>
  <c r="T25" i="1" s="1"/>
  <c r="G24" i="1"/>
  <c r="E24" i="1"/>
  <c r="H24" i="1" s="1"/>
  <c r="O24" i="1" s="1"/>
  <c r="D24" i="1"/>
  <c r="V24" i="1" s="1"/>
  <c r="G16" i="1"/>
  <c r="E16" i="1"/>
  <c r="H16" i="1" s="1"/>
  <c r="D16" i="1"/>
  <c r="L15" i="1"/>
  <c r="G15" i="1"/>
  <c r="E15" i="1"/>
  <c r="H15" i="1" s="1"/>
  <c r="D15" i="1"/>
  <c r="V15" i="1" s="1"/>
  <c r="L14" i="1"/>
  <c r="G14" i="1"/>
  <c r="E14" i="1"/>
  <c r="H14" i="1" s="1"/>
  <c r="D14" i="1"/>
  <c r="T14" i="1" s="1"/>
  <c r="L13" i="1"/>
  <c r="G13" i="1"/>
  <c r="E13" i="1"/>
  <c r="H13" i="1" s="1"/>
  <c r="D13" i="1"/>
  <c r="V13" i="1" s="1"/>
  <c r="L12" i="1"/>
  <c r="G12" i="1"/>
  <c r="E12" i="1"/>
  <c r="H12" i="1" s="1"/>
  <c r="D12" i="1"/>
  <c r="V12" i="1" s="1"/>
  <c r="G11" i="1"/>
  <c r="E11" i="1"/>
  <c r="H11" i="1" s="1"/>
  <c r="D11" i="1"/>
  <c r="V11" i="1" s="1"/>
  <c r="G10" i="1"/>
  <c r="E10" i="1"/>
  <c r="H10" i="1" s="1"/>
  <c r="D10" i="1"/>
  <c r="T10" i="1" s="1"/>
  <c r="L30" i="1"/>
  <c r="G30" i="1"/>
  <c r="E30" i="1"/>
  <c r="H30" i="1" s="1"/>
  <c r="D30" i="1"/>
  <c r="V30" i="1" s="1"/>
  <c r="L29" i="1"/>
  <c r="G29" i="1"/>
  <c r="E29" i="1"/>
  <c r="H29" i="1" s="1"/>
  <c r="D29" i="1"/>
  <c r="T29" i="1" s="1"/>
  <c r="G28" i="1"/>
  <c r="E28" i="1"/>
  <c r="H28" i="1" s="1"/>
  <c r="D28" i="1"/>
  <c r="G27" i="1"/>
  <c r="E27" i="1"/>
  <c r="H27" i="1" s="1"/>
  <c r="D27" i="1"/>
  <c r="V27" i="1" s="1"/>
  <c r="L9" i="1"/>
  <c r="G9" i="1"/>
  <c r="F15" i="5" s="1"/>
  <c r="E9" i="1"/>
  <c r="H9" i="1" s="1"/>
  <c r="E15" i="5" s="1"/>
  <c r="D9" i="1"/>
  <c r="T9" i="1" s="1"/>
  <c r="L33" i="1"/>
  <c r="G33" i="1"/>
  <c r="E33" i="1"/>
  <c r="H33" i="1" s="1"/>
  <c r="D33" i="1"/>
  <c r="T33" i="1" s="1"/>
  <c r="M27" i="1" l="1"/>
  <c r="O13" i="1"/>
  <c r="V14" i="1"/>
  <c r="P11" i="1"/>
  <c r="O33" i="1"/>
  <c r="V15" i="5"/>
  <c r="G15" i="5"/>
  <c r="S15" i="5" s="1"/>
  <c r="U15" i="5"/>
  <c r="H15" i="5"/>
  <c r="I15" i="5"/>
  <c r="K15" i="5"/>
  <c r="L15" i="5"/>
  <c r="P13" i="1"/>
  <c r="V10" i="1"/>
  <c r="T13" i="1"/>
  <c r="V33" i="1"/>
  <c r="V25" i="1"/>
  <c r="P15" i="1"/>
  <c r="P24" i="1"/>
  <c r="T24" i="1"/>
  <c r="W25" i="1"/>
  <c r="O25" i="1"/>
  <c r="J25" i="1"/>
  <c r="N25" i="1"/>
  <c r="M25" i="1"/>
  <c r="I25" i="1"/>
  <c r="M12" i="1"/>
  <c r="W12" i="1"/>
  <c r="J12" i="1"/>
  <c r="I12" i="1"/>
  <c r="O12" i="1"/>
  <c r="N12" i="1"/>
  <c r="W15" i="1"/>
  <c r="J15" i="1"/>
  <c r="I15" i="1"/>
  <c r="M15" i="1"/>
  <c r="O15" i="1"/>
  <c r="N15" i="1"/>
  <c r="I10" i="1"/>
  <c r="O10" i="1"/>
  <c r="J10" i="1"/>
  <c r="N10" i="1"/>
  <c r="M10" i="1"/>
  <c r="W10" i="1"/>
  <c r="W11" i="1"/>
  <c r="J11" i="1"/>
  <c r="M11" i="1"/>
  <c r="I11" i="1"/>
  <c r="O11" i="1"/>
  <c r="N11" i="1"/>
  <c r="J14" i="1"/>
  <c r="O14" i="1"/>
  <c r="I14" i="1"/>
  <c r="N14" i="1"/>
  <c r="M14" i="1"/>
  <c r="W14" i="1"/>
  <c r="W26" i="1"/>
  <c r="J26" i="1"/>
  <c r="I26" i="1"/>
  <c r="M26" i="1"/>
  <c r="O26" i="1"/>
  <c r="N26" i="1"/>
  <c r="M16" i="1"/>
  <c r="O16" i="1"/>
  <c r="W16" i="1"/>
  <c r="J16" i="1"/>
  <c r="I16" i="1"/>
  <c r="N16" i="1"/>
  <c r="P12" i="1"/>
  <c r="I13" i="1"/>
  <c r="P16" i="1"/>
  <c r="I24" i="1"/>
  <c r="T12" i="1"/>
  <c r="J13" i="1"/>
  <c r="W13" i="1"/>
  <c r="T16" i="1"/>
  <c r="J24" i="1"/>
  <c r="W24" i="1"/>
  <c r="V16" i="1"/>
  <c r="P26" i="1"/>
  <c r="T11" i="1"/>
  <c r="M13" i="1"/>
  <c r="T15" i="1"/>
  <c r="M24" i="1"/>
  <c r="T26" i="1"/>
  <c r="P10" i="1"/>
  <c r="N13" i="1"/>
  <c r="P14" i="1"/>
  <c r="N24" i="1"/>
  <c r="P25" i="1"/>
  <c r="P9" i="1"/>
  <c r="P33" i="1"/>
  <c r="V9" i="1"/>
  <c r="W9" i="1"/>
  <c r="J9" i="1"/>
  <c r="I9" i="1"/>
  <c r="O9" i="1"/>
  <c r="N9" i="1"/>
  <c r="M9" i="1"/>
  <c r="W30" i="1"/>
  <c r="J30" i="1"/>
  <c r="I30" i="1"/>
  <c r="O30" i="1"/>
  <c r="N30" i="1"/>
  <c r="M30" i="1"/>
  <c r="O29" i="1"/>
  <c r="N29" i="1"/>
  <c r="M29" i="1"/>
  <c r="W29" i="1"/>
  <c r="J29" i="1"/>
  <c r="I29" i="1"/>
  <c r="O28" i="1"/>
  <c r="M28" i="1"/>
  <c r="W28" i="1"/>
  <c r="I28" i="1"/>
  <c r="P28" i="1"/>
  <c r="V29" i="1"/>
  <c r="O27" i="1"/>
  <c r="T28" i="1"/>
  <c r="P27" i="1"/>
  <c r="V28" i="1"/>
  <c r="T27" i="1"/>
  <c r="I27" i="1"/>
  <c r="P30" i="1"/>
  <c r="W27" i="1"/>
  <c r="T30" i="1"/>
  <c r="P29" i="1"/>
  <c r="I33" i="1"/>
  <c r="J33" i="1"/>
  <c r="M33" i="1"/>
  <c r="W33" i="1"/>
  <c r="N33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G6" i="1" l="1"/>
  <c r="V13" i="5"/>
  <c r="L13" i="5"/>
  <c r="U13" i="5"/>
  <c r="S13" i="5"/>
  <c r="I13" i="5"/>
  <c r="H13" i="5"/>
  <c r="K13" i="5"/>
  <c r="K10" i="5" l="1"/>
  <c r="F65" i="3" s="1"/>
  <c r="I10" i="5"/>
  <c r="D65" i="3" s="1"/>
  <c r="H10" i="5"/>
  <c r="C65" i="3" s="1"/>
  <c r="L10" i="5"/>
  <c r="G65" i="3" s="1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20" i="1" l="1"/>
  <c r="L19" i="1"/>
  <c r="L31" i="1"/>
  <c r="L11" i="1"/>
  <c r="L16" i="1"/>
  <c r="L10" i="1"/>
  <c r="L24" i="1"/>
  <c r="L27" i="1"/>
  <c r="L28" i="1"/>
  <c r="J27" i="1"/>
  <c r="N28" i="1"/>
  <c r="J28" i="1"/>
  <c r="N27" i="1"/>
  <c r="C7" i="1"/>
  <c r="K58" i="3" l="1"/>
  <c r="J58" i="3"/>
  <c r="K35" i="1"/>
  <c r="T35" i="1" l="1"/>
  <c r="W35" i="1"/>
  <c r="V35" i="1"/>
  <c r="I35" i="1"/>
  <c r="O35" i="1"/>
  <c r="P35" i="1"/>
  <c r="N35" i="1"/>
  <c r="J35" i="1"/>
  <c r="M35" i="1"/>
  <c r="R7" i="1" l="1"/>
  <c r="I58" i="3" s="1"/>
  <c r="M7" i="1"/>
  <c r="H58" i="3" s="1"/>
  <c r="Q7" i="1"/>
  <c r="M58" i="3" s="1"/>
  <c r="L7" i="1"/>
  <c r="G58" i="3" s="1"/>
  <c r="J7" i="1"/>
  <c r="C58" i="3" s="1"/>
  <c r="T7" i="1"/>
  <c r="L5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<sst xmlns="http://schemas.openxmlformats.org/spreadsheetml/2006/main" count="507" uniqueCount="355">
  <si>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</si>
  <si>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</si>
  <si>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</si>
  <si>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</si>
  <si>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</si>
  <si>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</si>
  <si>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</si>
  <si>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</si>
  <si>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</si>
  <si>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</si>
  <si>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</si>
  <si>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</si>
  <si>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</si>
  <si>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</si>
  <si>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</si>
  <si>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</si>
  <si>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</si>
  <si>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</si>
  <si>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</si>
  <si>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</si>
  <si>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</si>
  <si>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</si>
  <si>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</si>
  <si>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</si>
  <si>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</si>
  <si>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</si>
  <si>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</si>
  <si>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</si>
  <si>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</si>
  <si>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</si>
  <si>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</si>
  <si>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</si>
  <si>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</si>
  <si>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</si>
  <si>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</si>
  <si>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</si>
  <si>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</si>
  <si>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</si>
  <si>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</si>
  <si>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</si>
  <si>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</si>
  <si>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</si>
  <si>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</si>
  <si>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</si>
  <si>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</si>
  <si>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</si>
  <si>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</si>
  <si>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</si>
  <si>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</si>
  <si>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</si>
  <si>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</si>
  <si>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</si>
  <si>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</si>
  <si>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</si>
  <si>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</si>
  <si>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</si>
  <si>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</si>
  <si>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</si>
  <si>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</si>
  <si>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</si>
  <si>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</si>
  <si>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</si>
  <si>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</si>
  <si>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</si>
  <si>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</si>
  <si>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</si>
  <si>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</si>
  <si>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</si>
  <si>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</si>
  <si>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</si>
  <si>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</si>
  <si>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</si>
  <si>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</si>
  <si>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</si>
  <si>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</si>
  <si>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</si>
  <si>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</si>
  <si>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</si>
  <si>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</si>
  <si>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</si>
  <si>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</si>
  <si>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</si>
  <si>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</si>
  <si>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</si>
  <si>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</si>
  <si>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</si>
  <si>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</si>
  <si>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</si>
  <si>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</si>
  <si>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</si>
  <si>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</si>
  <si>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</si>
  <si>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</si>
  <si>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</si>
  <si>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</si>
  <si>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</si>
  <si>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</si>
  <si>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</si>
  <si>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</si>
  <si>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</si>
  <si>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</si>
  <si>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</si>
  <si>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</si>
  <si>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</si>
  <si>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</si>
  <si>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</si>
  <si>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</si>
  <si>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</si>
  <si>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</si>
  <si>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</si>
  <si>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</si>
  <si>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</si>
  <si>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</si>
  <si>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</si>
  <si>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</si>
  <si>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</si>
  <si>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</si>
  <si>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</si>
  <si>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</si>
  <si>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</si>
  <si>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</si>
  <si>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</si>
  <si>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</si>
  <si>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</si>
  <si>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</si>
  <si>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</si>
  <si>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</si>
  <si>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</si>
  <si>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</si>
  <si>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</si>
  <si>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</si>
  <si>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</si>
  <si>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</si>
  <si>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</si>
  <si>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</si>
  <si>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</si>
  <si>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</si>
  <si>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</si>
  <si>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</si>
  <si>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</si>
  <si>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</si>
  <si>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</si>
  <si>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</si>
  <si>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</si>
  <si>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</si>
  <si>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</si>
  <si>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</si>
  <si>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</si>
  <si>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</si>
  <si>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</si>
  <si>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</si>
  <si>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</si>
  <si>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</si>
  <si>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</si>
  <si>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</si>
  <si>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</si>
  <si>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</si>
  <si>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</si>
  <si>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</si>
  <si>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</si>
  <si>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</si>
  <si>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</si>
  <si>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</si>
  <si>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</si>
  <si>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</si>
  <si>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</si>
  <si>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</si>
  <si>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</si>
  <si>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</si>
  <si>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</si>
  <si>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</si>
  <si>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</si>
  <si>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</si>
  <si>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</si>
  <si>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</si>
  <si>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</si>
  <si>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</si>
  <si>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</si>
  <si>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</si>
  <si>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</si>
  <si>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</si>
  <si>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</si>
  <si>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</si>
  <si>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</si>
  <si>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</si>
  <si>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</si>
  <si>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</si>
  <si>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</si>
  <si>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</si>
  <si>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</si>
  <si>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</si>
  <si>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</si>
  <si>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</si>
  <si>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</si>
  <si>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</si>
  <si>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</si>
  <si>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</si>
  <si>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</si>
  <si>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</si>
  <si>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</si>
  <si>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</si>
  <si>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</si>
  <si>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</si>
  <si>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</si>
  <si>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</si>
  <si>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</si>
  <si>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</si>
  <si>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</si>
  <si>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</si>
  <si>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</si>
  <si>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</si>
  <si>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</si>
  <si>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</si>
  <si>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</si>
  <si>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</si>
  <si>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</si>
  <si>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</si>
  <si>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</si>
  <si>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</si>
  <si>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</si>
  <si>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</si>
  <si>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</si>
  <si>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</si>
  <si>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</si>
  <si>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</si>
  <si>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</si>
  <si>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</si>
  <si>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</si>
  <si>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</si>
  <si>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</si>
  <si>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</si>
  <si>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</si>
  <si>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</si>
  <si>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</si>
  <si>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</si>
  <si>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</si>
  <si>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</si>
  <si>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</si>
  <si>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</si>
  <si>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</si>
  <si>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</si>
  <si>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</si>
  <si>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</si>
  <si>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</si>
  <si>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</si>
  <si>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</si>
  <si>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</si>
  <si>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</si>
  <si>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Painting Andon Scan Info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</si>
  <si>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</si>
  <si>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</si>
  <si>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</si>
  <si>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</si>
  <si>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</si>
  <si>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</si>
  <si>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</si>
  <si>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</si>
  <si>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</si>
  <si>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</si>
  <si>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</si>
  <si>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</si>
  <si>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</si>
  <si>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</si>
  <si>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</si>
  <si>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</si>
  <si>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</si>
  <si>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</si>
  <si>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</si>
  <si>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</si>
  <si>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</si>
  <si>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</si>
  <si>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</si>
  <si>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</si>
  <si>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</si>
  <si>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</si>
  <si>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</si>
  <si>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</si>
  <si>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</si>
  <si>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</si>
  <si>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</si>
  <si>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</si>
  <si>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</si>
  <si>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</si>
  <si>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</si>
  <si>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</si>
  <si>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</si>
  <si>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</si>
  <si>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</si>
  <si>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</si>
  <si>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</si>
  <si>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</si>
  <si>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</si>
  <si>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</si>
  <si>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</si>
  <si>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</si>
  <si>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</si>
  <si>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</si>
  <si>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</si>
  <si>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</si>
  <si>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</si>
  <si>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</si>
  <si>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</si>
  <si>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</si>
  <si>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</si>
  <si>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</si>
  <si>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</si>
  <si>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</si>
  <si>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</si>
  <si>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</si>
  <si>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</si>
  <si>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</si>
  <si>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</si>
  <si>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</si>
  <si>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</si>
  <si>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</si>
  <si>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</si>
  <si>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</si>
  <si>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</si>
  <si>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</si>
  <si>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</si>
  <si>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</si>
  <si>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</si>
  <si>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Period_Id</t>
  </si>
  <si>
    <t>numeric(19, 0)</t>
  </si>
  <si>
    <t>Part_No</t>
  </si>
  <si>
    <t>varchar(50)</t>
  </si>
  <si>
    <t>Lot_No</t>
  </si>
  <si>
    <t>numeric(10, 2)</t>
  </si>
  <si>
    <t>numeric(18, 4)</t>
  </si>
  <si>
    <t>Amount</t>
  </si>
  <si>
    <t>Amount_Vn</t>
  </si>
  <si>
    <t>Fob</t>
  </si>
  <si>
    <t>Cif</t>
  </si>
  <si>
    <t>numeric(18, 8)</t>
  </si>
  <si>
    <t>Qty</t>
  </si>
  <si>
    <t>Price</t>
  </si>
  <si>
    <t>Eta</t>
  </si>
  <si>
    <t>Container_No</t>
  </si>
  <si>
    <t>Invoice_No</t>
  </si>
  <si>
    <t>Case_No</t>
  </si>
  <si>
    <t>Date_In</t>
  </si>
  <si>
    <t>Import_Tax</t>
  </si>
  <si>
    <t>Inland_Charge</t>
  </si>
  <si>
    <t>Fob_Vn</t>
  </si>
  <si>
    <t>Cif_Vn</t>
  </si>
  <si>
    <t>Import_Tax_Vn</t>
  </si>
  <si>
    <t>Inland_Charge_Vn</t>
  </si>
  <si>
    <t>Price_Vn</t>
  </si>
  <si>
    <t>Invoice_Date</t>
  </si>
  <si>
    <t>Receive_Date</t>
  </si>
  <si>
    <t>Cont_Size</t>
  </si>
  <si>
    <t>Supplier_No</t>
  </si>
  <si>
    <t>Inv</t>
  </si>
  <si>
    <t>InvImportByCont</t>
  </si>
  <si>
    <t>ImportByCont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</si>
</sst>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7"/>
  <sheetViews>
    <sheetView topLeftCell="A6" workbookViewId="0">
      <selection activeCell="G19" sqref="G1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286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287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288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289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290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291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292</v>
      </c>
    </row>
    <row r="16" spans="1:7" ht="12" customHeight="1" x14ac:dyDescent="0.25">
      <c r="A16" s="1"/>
      <c r="B16" s="17"/>
      <c r="D16" t="s">
        <v>272</v>
      </c>
      <c r="F16" s="1" t="s">
        <v>273</v>
      </c>
      <c r="G16" s="17" t="s">
        <v>293</v>
      </c>
    </row>
    <row r="17" spans="1:7" ht="12" customHeight="1" x14ac:dyDescent="0.25">
      <c r="A17" s="1"/>
      <c r="B17" s="17"/>
      <c r="D17" t="s">
        <v>308</v>
      </c>
      <c r="F17" s="1" t="s">
        <v>309</v>
      </c>
      <c r="G17" s="17" t="s">
        <v>310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294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295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304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303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272</v>
      </c>
      <c r="F26" s="1" t="s">
        <v>273</v>
      </c>
      <c r="G26" s="17" t="s">
        <v>273</v>
      </c>
    </row>
    <row r="27" spans="1:7" x14ac:dyDescent="0.25">
      <c r="A27" s="1"/>
      <c r="B27" s="17"/>
      <c r="D27" t="s">
        <v>274</v>
      </c>
      <c r="F27" s="1" t="s">
        <v>276</v>
      </c>
      <c r="G27" s="17" t="s">
        <v>296</v>
      </c>
    </row>
    <row r="28" spans="1:7" x14ac:dyDescent="0.25">
      <c r="A28" s="1"/>
      <c r="B28" s="17"/>
      <c r="D28" t="s">
        <v>277</v>
      </c>
      <c r="F28" s="1" t="s">
        <v>275</v>
      </c>
      <c r="G28" s="17" t="s">
        <v>297</v>
      </c>
    </row>
    <row r="29" spans="1:7" x14ac:dyDescent="0.25">
      <c r="A29" s="1"/>
      <c r="B29" s="17"/>
      <c r="D29" t="s">
        <v>278</v>
      </c>
      <c r="F29" s="1" t="s">
        <v>281</v>
      </c>
      <c r="G29" s="17" t="s">
        <v>298</v>
      </c>
    </row>
    <row r="30" spans="1:7" x14ac:dyDescent="0.25">
      <c r="A30" s="1"/>
      <c r="B30" s="17"/>
      <c r="D30" t="s">
        <v>279</v>
      </c>
      <c r="F30" s="1" t="s">
        <v>282</v>
      </c>
      <c r="G30" s="17" t="s">
        <v>299</v>
      </c>
    </row>
    <row r="31" spans="1:7" x14ac:dyDescent="0.25">
      <c r="A31" s="1"/>
      <c r="B31" s="17"/>
      <c r="D31" t="s">
        <v>280</v>
      </c>
      <c r="F31" s="1" t="s">
        <v>283</v>
      </c>
      <c r="G31" s="17" t="s">
        <v>300</v>
      </c>
    </row>
    <row r="32" spans="1:7" x14ac:dyDescent="0.25">
      <c r="A32" s="1"/>
      <c r="B32" s="17"/>
      <c r="D32" t="s">
        <v>285</v>
      </c>
      <c r="F32" s="1" t="s">
        <v>284</v>
      </c>
      <c r="G32" s="17" t="s">
        <v>301</v>
      </c>
    </row>
    <row r="33" spans="1:8" x14ac:dyDescent="0.25">
      <c r="A33" s="1"/>
      <c r="B33" s="17"/>
      <c r="C33" t="s">
        <v>308</v>
      </c>
      <c r="F33" s="1" t="s">
        <v>309</v>
      </c>
      <c r="G33" s="17" t="s">
        <v>309</v>
      </c>
    </row>
    <row r="34" spans="1:8" x14ac:dyDescent="0.25">
      <c r="A34" s="1"/>
      <c r="B34" s="17"/>
      <c r="D34" t="s">
        <v>311</v>
      </c>
      <c r="F34" s="1" t="s">
        <v>312</v>
      </c>
      <c r="G34" s="17" t="s">
        <v>313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314</v>
      </c>
    </row>
    <row r="36" spans="1:8" x14ac:dyDescent="0.25">
      <c r="A36" s="1"/>
      <c r="B36" s="17"/>
      <c r="D36" t="s">
        <v>315</v>
      </c>
      <c r="F36" s="1" t="s">
        <v>316</v>
      </c>
      <c r="G36" s="17" t="s">
        <v>317</v>
      </c>
    </row>
    <row r="37" spans="1:8" x14ac:dyDescent="0.25">
      <c r="A37" s="1"/>
      <c r="B37" s="17"/>
      <c r="D37" t="s">
        <v>318</v>
      </c>
      <c r="F37" s="1" t="s">
        <v>319</v>
      </c>
      <c r="G37" s="17" t="s">
        <v>320</v>
      </c>
    </row>
    <row r="38" spans="1:8" x14ac:dyDescent="0.25">
      <c r="A38" s="1"/>
      <c r="B38" s="17"/>
      <c r="C38" t="s">
        <v>321</v>
      </c>
      <c r="F38" s="1" t="s">
        <v>302</v>
      </c>
      <c r="G38" s="17" t="s">
        <v>302</v>
      </c>
    </row>
    <row r="39" spans="1:8" x14ac:dyDescent="0.25">
      <c r="A39" s="1"/>
      <c r="B39" s="17"/>
      <c r="D39" t="s">
        <v>305</v>
      </c>
      <c r="F39" s="1" t="s">
        <v>305</v>
      </c>
      <c r="G39" s="17" t="s">
        <v>306</v>
      </c>
      <c r="H39" s="17" t="s">
        <v>307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[Table("InvImportByCont")]
	[Index(nameof(ContainerNo), Name="IX_InvImportByCont_ContainerNo")]
	[Index(nameof(InvoiceNo), Name="IX_InvImportByCont_InvoiceNo")]
	[Index(nameof(Fob), Name="IX_InvImportByCont_Fob")]
	[Index(nameof(InlandCharge), Name="IX_InvImportByCont_InlandCharge")]
	[Index(nameof(Amount), Name="IX_InvImportByCont_Amount")]
	[Index(nameof(CifVn), Name="IX_InvImportByCont_CifVn")]
	[Index(nameof(AmountVn), Name="IX_InvImportByCont_AmountVn")]
	[Index(nameof(PriceVn), Name="IX_InvImportByCont_PriceVn")]
	[Index(nameof(ContSize), Name="IX_InvImportByCont_ContSize")]
	public class InvImportByCont: FullAuditedEntity&lt;long&gt;, IEntity&lt;long&gt;	
	{
		public const int MaxContainerNoLength = 50;
		public const int MaxCaseNoLength = 50;
		public const int MaxLotNoLength = 50;
		public const int MaxPartNoLength = 50;
		public const int MaxSupplierNoLength = 50;
		public virtual decimal PeriodId { get; set; }
		[StringLength(MaxContainerNoLength)]
		public virtual string ContainerNo { get; set; }
		public virtual decimal InvoiceNo { get; set; }
		[StringLength(MaxCaseNoLength)]
		public virtual string CaseNo { get; set; }
		[StringLength(MaxLotNoLength)]
		public virtual string LotNo { get; set; }
		[StringLength(MaxPartNoLength)]
		public virtual string PartNo { get; set; }
		public virtual DateTime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 InvoiceDate { get; set; }
		public virtual DateTime ReceiveDate { get; set; }
		public virtual int ContSize { get; set; }
		public virtual DateTime Eta { get; set; }
		[StringLength(MaxSupplierNoLength)]
		public virtual string SupplierNo { get; set; }
	}
}
</v>
      </c>
      <c r="D58" s="51" t="str">
        <f>A.Backend!O7</f>
        <v xml:space="preserve">		public const string Pages_Inv_ImportByCont = "Pages.Inv.ImportByCont";
		public const string Pages_Inv_ImportByCont_CreateEdit = "Pages.Inv.ImportByCont.CreateEdit";
		public const string Pages_Inv_ImportByCont_Delete = "Pages.Inv.ImportByCont.Delete";
</v>
      </c>
      <c r="E58" s="51" t="str">
        <f>A.Backend!N7</f>
        <v xml:space="preserve">		var perInvImportByCont = PARENTS.CreateChildPermission(AppPermissions.Pages_Inv_ImportByCont, L( "InvImportByCont"), multiTenancySides: MultiTenancySides.Tenant);
		perInvImportByCont.CreateChildPermission(AppPermissions.Pages_Inv_ImportByCont_CreateEdit, L( "InvImportByContCreateEdit"), multiTenancySides: MultiTenancySides.Tenant);
		perInvImportByCont.CreateChildPermission(AppPermissions.Pages_Inv_ImportByCont_Delete, L( "InvImportByContDelete"), multiTenancySides: MultiTenancySides.Tenant);</v>
      </c>
      <c r="F58" s="51" t="str">
        <f>A.Backend!K7</f>
        <v>public virtual DbSet&lt;InvImportByCont&gt; InvImportByConts { get; set; }</v>
      </c>
      <c r="G58" s="51" t="str">
        <f ca="1">A.Backend!L7</f>
        <v xml:space="preserve">namespace vovina.Inv
{
	public class InvImportByContConsts	
	{
		public const int MaxContainerNoLength = 50;
		public const int MaxCaseNoLength = 50;
		public const int MaxLotNoLength = 50;
		public const int MaxPartNoLength = 50;
		public const int MaxSupplierNoLength = 50;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vovina.Inv.Dto
{
	public class InvImportByContDto : EntityDto&lt;long?&gt;	
	{
		public virtual decimal PeriodId { get; set; }
		public virtual string ContainerNo { get; set; }
		public virtual decimal InvoiceNo { get; set; }
		public virtual string CaseNo { get; set; }
		public virtual string LotNo { get; set; }
		public virtual string PartNo { get; set; }
		public virtual DateTime?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DateTime? InvoiceDate { get; set; }
		public virtual DateTime? ReceiveDate { get; set; }
		public virtual int ContSize { get; set; }
		public virtual DateTime? Eta { get; set; }
		public virtual string SupplierNo { get; set; }
	}
	public class CreateOrEditInvImportByContDto : EntityDto&lt;long?&gt;	
	{
		public virtual decimal PeriodId { get; set; }
		[StringLength(InvImportByContConsts.MaxContainerNoLength)]
		public virtual string ContainerNo { get; set; }
		public virtual decimal InvoiceNo { get; set; }
		[StringLength(InvImportByContConsts.MaxCaseNoLength)]
		public virtual string CaseNo { get; set; }
		[StringLength(InvImportByContConsts.MaxLotNoLength)]
		public virtual string LotNo { get; set; }
		[StringLength(InvImportByContConsts.MaxPartNoLength)]
		public virtual string PartNo { get; set; }
		public virtual DateTime?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DateTime? InvoiceDate { get; set; }
		public virtual DateTime? ReceiveDate { get; set; }
		public virtual int ContSize { get; set; }
		public virtual DateTime? Eta { get; set; }
		[StringLength(InvImportByContConsts.MaxSupplierNoLength)]
		public virtual string SupplierNo { get; set; }
	}
	public class GetInvImportByContInput : PagedAndSortedResultRequestDto	
	{
		public virtual string ContainerNo { get; set; }
		public virtual string CaseNo { get; set; }
		public virtual string LotNo { get; set; }
		public virtual string PartNo { get; set; }
		public virtual DateTime? DateIn { get; set; }
		public virtual int Qty { get; set; }
		public virtual DateTime? InvoiceDate { get; set; }
		public virtual DateTime? ReceiveDate { get; set; }
		public virtual int ContSize { get; set; }
		public virtual DateTime? Eta { get; set; }
		public virtual string SupplierNo { get; set; }
	}
}
</v>
      </c>
      <c r="I58" s="51" t="str">
        <f ca="1">A.Backend!R7</f>
        <v xml:space="preserve">using Abp.Application.Services.Dto;
using System;
using System.ComponentModel.DataAnnotations;
namespace vovina.Inv.Dto
{
	public class InvImportByContExportInput{
		public virtual decimal PeriodId { get; set; }
		public virtual string ContainerNo { get; set; }
		public virtual decimal InvoiceNo { get; set; }
		public virtual string CaseNo { get; set; }
		public virtual string LotNo { get; set; }
		public virtual string PartNo { get; set; }
		public virtual DateTime?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DateTime? InvoiceDate { get; set; }
		public virtual DateTime? ReceiveDate { get; set; }
		public virtual int ContSize { get; set; }
		public virtual DateTime? Eta { get; set; }
		public virtual string SupplierNo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vovina.Inv.Dto;
namespace vovina.Inv
{
	public interface IInvImportByContAppService : IApplicationService
	{
		Task&lt;PagedResultDto&lt;InvImportByContDto&gt;&gt; GetAll(GetInvImportByContInput input);
		Task CreateOrEdit(CreateOrEditInvImportByContDto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vovina.Inv.Dto;
namespace vovina.Inv.Exporting
{
	public interface IInvImportByContExcelExporter : IApplicationService
	{
		FileDto ExportToFile(List&lt;InvImportByContDto&gt; invimportbycont);
	}
}
</v>
      </c>
      <c r="L58" s="51" t="str">
        <f ca="1">A.Backend!T7</f>
        <v>using System.Collections.Generic;
using vovina.DataExporting.Excel.NPOI;
using vovina.Dto;
using vovina.Inv..Exporting;
using vovina.Inv..Dto;
using vovina.Storage;
using vovina.Inv..Dto;
namespace vovina.Inv..Exporting
{
    public class InvImportByContExcelExporter : NpoiExcelExporterBase, IInvImportByContExcelExporter
    {
        public InvImportByContExcelExporter(ITempFileCacheManager tempFileCacheManager) : base(tempFileCacheManager) { }
        public FileDto ExportToFile(List&lt;InvImportByContDto&gt; importbycont)
        {
            return CreateExcelPackage(
				"InvImportByCont.xlsx",
				excelPackage =&gt;
				 {
					var sheet = excelPackage.CreateSheet("ImportByCont");
					AddHeader(
								sheet,
								("PeriodId"),
								("ContainerNo"),
								("InvoiceNo"),
								("CaseNo"),
								("LotNo"),
								("PartNo"),
								("DateIn"),
								("Fob"),
								("Cif"),
								("ImportTax"),
								("InlandCharge"),
								("Amount"),
								("Qty"),
								("Price"),
								("FobVn"),
								("CifVn"),
								("ImportTaxVn"),
								("InlandChargeVn"),
								("AmountVn"),
								("PriceVn"),
								("InvoiceDate"),
								("ReceiveDate"),
								("ContSize"),
								("Eta"),
								("SupplierNo"),
							   );
					AddObjects(
						 sheet, 1, importbycont,                                       
								_ =&gt; _.PeriodId,
								_ =&gt; _.ContainerNo,
								_ =&gt; _.InvoiceNo,
								_ =&gt; _.CaseNo,
								_ =&gt; _.LotNo,
								_ =&gt; _.PartNo,
								_ =&gt; _.DateIn,
								_ =&gt; _.Fob,
								_ =&gt; _.Cif,
								_ =&gt; _.ImportTax,
								_ =&gt; _.InlandCharge,
								_ =&gt; _.Amount,
								_ =&gt; _.Qty,
								_ =&gt; _.Price,
								_ =&gt; _.FobVn,
								_ =&gt; _.CifVn,
								_ =&gt; _.ImportTaxVn,
								_ =&gt; _.InlandChargeVn,
								_ =&gt; _.AmountVn,
								_ =&gt; _.PriceVn,
								_ =&gt; _.InvoiceDate,
								_ =&gt; _.ReceiveDate,
								_ =&gt; _.ContSize,
								_ =&gt; _.Eta,
								_ =&gt; _.SupplierNo,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[AbpAuthorize(AppPermissions.Pages_Inv__ImportByCont)]
    public class InvImportByContAppService : vovinaAppServiceBase, IInvImportByContAppService
    {
        private readonly IDapperRepository&lt;InvImportByCont, long&gt; _dapperRepo;
        private readonly IRepository&lt;InvImportByCont, long&gt; _repo;
        private readonly IInvImportByContExcelExporter _calendarListExcelExporter;
        public InvImportByContAppService(IRepository&lt;InvImportByCont,long&gt; repo, 
                                         IDapperRepository&lt;InvImportByCont,long&gt; dapperRepo,
                                        IInvImportByContExcelExporter calendarListExcelExporter
            )
        {
            _repo = repo;
            _dapperRepo = dapperRepo;
            _calendarListExcelExporter = calendarListExcelExporter;
        }
        [AbpAuthorize(AppPermissions.Pages_Inv__ImportByCont_CreateEdit)]
        public async Task CreateOrEdit(CreateOrEditInvImportByContDto input)
        {
            if (input.Id == null) await Create(input);
            else await Update(input);
        }
        //CREATE
        private async Task Create(CreateOrEditInvImportByContDto input)
        {          
            var mainObj = ObjectMapper.Map&lt;InvImportByCont&gt;(input);
            await CurrentUnitOfWork.GetDbContext&lt;vovinaDbContext&gt;().AddAsync(mainObj);
        }
        // EDIT
        private async Task Update(CreateOrEditInvImportByContDto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[AbpAuthorize(AppPermissions.Pages_Inv__ImportByCont_Delete)]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Task&lt;PagedResultDto&lt;InvImportByContDto&gt;&gt; GetAll(GetInvImportByContInput input)
        {
            var filtered = _repo.GetAll()
				.WhereIf(!string.IsNullOrWhiteSpace(input.ContainerNo), e =&gt; e.ContainerNo.Contains(input.ContainerNo))
				.WhereIf(!string.IsNullOrWhiteSpace(input.CaseNo), e =&gt; e.CaseNo.Contains(input.CaseNo))
				.WhereIf(!string.IsNullOrWhiteSpace(input.LotNo), e =&gt; e.LotNo.Contains(input.LotNo))
				.WhereIf(!string.IsNullOrWhiteSpace(input.PartNo), e =&gt; e.PartNo.Contains(input.PartNo))
				.WhereIf(input.DateIn.HasValue, t =&gt; t.DateIn == input.DateIn.Value)
				.WhereIf(input.InvoiceDate.HasValue, t =&gt; t.InvoiceDate == input.InvoiceDate.Value)
				.WhereIf(input.ReceiveDate.HasValue, t =&gt; t.ReceiveDate == input.ReceiveDate.Value)
				.WhereIf(input.Eta.HasValue, t =&gt; t.Eta == input.Eta.Value)
				.WhereIf(!string.IsNullOrWhiteSpace(input.SupplierNo), e =&gt; e.SupplierNo.Contains(input.SupplierNo))                   
				;
            var pageAndFiltered = filtered.OrderBy(s =&gt; s.Id);
            var system = from o in pageAndFiltered
                         select new InvImportByContDto
                        {
							Id = o.Id,
							PeriodId = o.PeriodId,
							ContainerNo = o.ContainerNo,
							InvoiceNo = o.InvoiceNo,
							CaseNo = o.CaseNo,
							LotNo = o.LotNo,
							PartNo = o.PartNo,
							DateIn = o.DateIn,
							Fob = o.Fob,
							Cif = o.Cif,
							ImportTax = o.ImportTax,
							InlandCharge = o.InlandCharge,
							Amount = o.Amount,
							Qty = o.Qty,
							Price = o.Price,
							FobVn = o.FobVn,
							CifVn = o.CifVn,
							ImportTaxVn = o.ImportTaxVn,
							InlandChargeVn = o.InlandChargeVn,
							AmountVn = o.AmountVn,
							PriceVn = o.PriceVn,
							InvoiceDate = o.InvoiceDate,
							ReceiveDate = o.ReceiveDate,
							ContSize = o.ContSize,
							Eta = o.Eta,
							SupplierNo = o.SupplierNo,
                        };
            var totalCount = await filtered.CountAsync();
			var paged = system.PageBy(input);
            return new PagedResultDto&lt;InvImportByContDto&gt;(
                totalCount,
                 await paged.ToListAsync()
            );
        }
        public async Task&lt;FileDto&gt; GetImportByContToExcel(InvImportByContExportInput input)
        {
            var query = from o in _repo.GetAll()
                        select new InvImportByContDto
                        {
							Id = o.Id,
							PeriodId = o.PeriodId,
							ContainerNo = o.ContainerNo,
							InvoiceNo = o.InvoiceNo,
							CaseNo = o.CaseNo,
							LotNo = o.LotNo,
							PartNo = o.PartNo,
							DateIn = o.DateIn,
							Fob = o.Fob,
							Cif = o.Cif,
							ImportTax = o.ImportTax,
							InlandCharge = o.InlandCharge,
							Amount = o.Amount,
							Qty = o.Qty,
							Price = o.Price,
							FobVn = o.FobVn,
							CifVn = o.CifVn,
							ImportTaxVn = o.ImportTaxVn,
							InlandChargeVn = o.InlandChargeVn,
							AmountVn = o.AmountVn,
							PriceVn = o.PriceVn,
							InvoiceDate = o.InvoiceDate,
							ReceiveDate = o.ReceiveDate,
							ContSize = o.ContSize,
							Eta = o.Eta,
							SupplierNo = o.SupplierNo,
                        };
            var exportToExcel = await query.ToListAsync();
            return _calendarListExcelExporter.ExportToFile(exportToExcel);
        }
       // public async Task GenerateAsync()
      //  {
        //    await _dapperRepo.ExecuteAsync(InvImportByContConsts.SP_MST_WPT_CALENDAR_GENERATE);
       // }
    }
}</v>
      </c>
      <c r="N58" s="62" t="str">
        <f>A.Backend!U7</f>
        <v xml:space="preserve">  configuration.CreateMap&lt;InvImportByContDto, InvImportByCont&gt;();
  configuration.CreateMap&lt;InvImportByCont, InvImportByContDto&gt;();
  configuration.CreateMap&lt;CreateOrEditInvImportByContDto, InvImportByCont&gt;();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importbycont</v>
      </c>
      <c r="C63" s="72" t="str">
        <f>"create folder " &amp;B63</f>
        <v>create folder importbycont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importbycont.component.ts</v>
      </c>
      <c r="D64" s="31" t="str">
        <f>B.Frontend!I14</f>
        <v>importbycont.component.html</v>
      </c>
      <c r="E64" s="31" t="str">
        <f>B.Frontend!J14</f>
        <v>importbycont.component.less</v>
      </c>
      <c r="F64" s="31" t="str">
        <f>B.Frontend!K14</f>
        <v>create-or-edit-importbycont-modal.component.html</v>
      </c>
      <c r="G64" s="31" t="str">
        <f>B.Frontend!L14</f>
        <v>create-or-edit-importbycont-modal.component.ts</v>
      </c>
      <c r="H64" s="31" t="str">
        <f>B.Frontend!M14</f>
        <v>create-or-edit-importbycont-modal.component.less</v>
      </c>
      <c r="I64" s="31" t="str">
        <f>B.Frontend!N14</f>
        <v>importbycont.module.ts</v>
      </c>
      <c r="J64" s="31" t="str">
        <f>B.Frontend!O14</f>
        <v>importbycont-routing.module.ts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InvImportByContDto, InvImportByContServiceProxy } from '@shared/service-proxies/service-proxies';
import { finalize } from 'rxjs/internal/operators/finalize';
import { CreateOrEditImportByContModalComponent } from './create-or-edit-importbycont-modal.component';
import { DatePipe } from '@angular/common';
import { FileDownloadService } from '@shared/utils/file-download.service';
import ceil from 'lodash-es/ceil';
import { Paginator } from 'primeng/paginator';
@Component({
    templateUrl: './importbycont.component.html',
    styleUrls: ['./importbycont.component.less'],
})
export class ImportByContComponent extends AppComponentBase implements OnInit {
    @ViewChild('createOrEditModalImportByCont', { static: true }) createOrEditModalImportByCont:| CreateOrEditImportByContModalComponent|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InvImportByContDto = new InvImportByContDto();
    saveSelectedRow: InvImportByContDto = new InvImportByContDto();
    datas: InvImportByContDto = new InvImportByContDto();
    isLoading: boolean = false;
    dataParams: GridParams | undefined;
    rowData: any[] = [];
    gridApi!: GridApi;
    rowSelection = 'multiple';
    filter: string = '';
	pipe = new DatePipe('en-US');
	frameworkComponents: FrameworkComponent;
    periodId
containerNo : string = '' ; 
invoiceNo
caseNo : string = '' ; 
lotNo : string = '' ; 
partNo : string = '' ; 
dateIn : any ;
fob
cif
importTax
inlandCharge
amount
qty : number = 0 ;
price
fobVn
cifVn
importTaxVn
inlandChargeVn
amountVn
priceVn
invoiceDate : any ;
receiveDate : any ;
contSize : number = 0 ;
eta : any ;
supplierNo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InvImportByContServiceProxy,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this.l('Container No'),headerTooltip: this.l('Container No'),field: 'containerNo',flex: 1},
			{headerName: this.l('Invoice No'),headerTooltip: this.l('Invoice No'),field: 'invoiceNo',flex: 1},
			{headerName: this.l('Case No'),headerTooltip: this.l('Case No'),field: 'caseNo',flex: 1},
			{headerName: this.l('Lot No'),headerTooltip: this.l('Lot No'),field: 'lotNo',flex: 1},
			{headerName: this.l('Part No'),headerTooltip: this.l('Part No'),field: 'partNo',flex: 1},
			{headerName: this.l('Date In'),headerTooltip: this.l('Date In'),field: 'dateIn',valueGetter: (params) =&gt; this.pipe.transform(params.data?.dateIn, 'dd/MM/yyyy'),flex: 1},
			{headerName: this.l('Fob'),headerTooltip: this.l('Fob'),field: 'fob',flex: 1},
			{headerName: this.l('Cif'),headerTooltip: this.l('Cif'),field: 'cif',flex: 1},
			{headerName: this.l('Import Tax'),headerTooltip: this.l('Import Tax'),field: 'importTax',flex: 1},
			{headerName: this.l('Inland Charge'),headerTooltip: this.l('Inland Charge'),field: 'inlandCharge',flex: 1},
			{headerName: this.l('Amount'),headerTooltip: this.l('Amount'),field: 'amount',flex: 1},
			{headerName: this.l('Qty'),headerTooltip: this.l('Qty'),field: 'qty',flex: 1},
			{headerName: this.l('Price'),headerTooltip: this.l('Price'),field: 'price',flex: 1},
			{headerName: this.l('Fob Vn'),headerTooltip: this.l('Fob Vn'),field: 'fobVn',flex: 1},
			{headerName: this.l('Cif Vn'),headerTooltip: this.l('Cif Vn'),field: 'cifVn',flex: 1},
			{headerName: this.l('Import Tax Vn'),headerTooltip: this.l('Import Tax Vn'),field: 'importTaxVn',flex: 1},
			{headerName: this.l('Inland Charge Vn'),headerTooltip: this.l('Inland Charge Vn'),field: 'inlandChargeVn',flex: 1},
			{headerName: this.l('Amount Vn'),headerTooltip: this.l('Amount Vn'),field: 'amountVn',flex: 1},
			{headerName: this.l('Price Vn'),headerTooltip: this.l('Price Vn'),field: 'priceVn',flex: 1},
			{headerName: this.l('Invoice Date'),headerTooltip: this.l('Invoice Date'),field: 'invoiceDate',valueGetter: (params) =&gt; this.pipe.transform(params.data?.invoiceDate, 'dd/MM/yyyy'),flex: 1},
			{headerName: this.l('Receive Date'),headerTooltip: this.l('Receive Date'),field: 'receiveDate',valueGetter: (params) =&gt; this.pipe.transform(params.data?.receiveDate, 'dd/MM/yyyy'),flex: 1},
			{headerName: this.l('Cont Size'),headerTooltip: this.l('Cont Size'),field: 'contSize',flex: 1},
			{headerName: this.l('Eta'),headerTooltip: this.l('Eta'),field: 'eta',valueGetter: (params) =&gt; this.pipe.transform(params.data?.eta, 'dd/MM/yyyy'),flex: 1},
			{headerName: this.l('Supplier No'),headerTooltip: this.l('Supplier No'),field: 'supplierNo',flex: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this.containerNo,
			this.invoiceNo,
			this.caseNo,
			this.lotNo,
			this.partNo,
			this.dateIn,
			this.fob,
			this.cif,
			this.importTax,
			this.inlandCharge,
			this.amount,
			this.qty,
			this.price,
			this.fobVn,
			this.cifVn,
			this.importTaxVn,
			this.inlandChargeVn,
			this.amountVn,
			this.priceVn,
			this.invoiceDate,
			this.receiveDate,
			this.contSize,
			this.eta,
			this.supplierNo,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this.containerNo = '',
this.invoiceNo = '',
this.caseNo = '',
this.lotNo = '',
this.partNo = '',
this.dateIn = '',
this.fob = '',
this.cif = '',
this.importTax = '',
this.inlandCharge = '',
this.amount = '',
this.qty = 0,
this.price = '',
this.fobVn = '',
this.cifVn = '',
this.importTaxVn = '',
this.inlandChargeVn = '',
this.amountVn = '',
this.priceVn = '',
this.invoiceDate = '',
this.receiveDate = '',
this.contSize = 0,
this.eta = '',
this.supplierNo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this.containerNo,
			this.invoiceNo,
			this.caseNo,
			this.lotNo,
			this.partNo,
			this.dateIn,
			this.fob,
			this.cif,
			this.importTax,
			this.inlandCharge,
			this.amount,
			this.qty,
			this.price,
			this.fobVn,
			this.cifVn,
			this.importTaxVn,
			this.inlandChargeVn,
			this.amountVn,
			this.priceVn,
			this.invoiceDate,
			this.receiveDate,
			this.contSize,
			this.eta,
			this.supplierNo,
			'',
            this.paginationParams.skipCount,
            this.paginationParams.pageSize
        );
    }
    onChangeRowSelection(params: { api: { getSelectedRows: () =&gt; InvImportByContDto[] } }) {
        this.saveSelectedRow = params.api.getSelectedRows()[0] ?? new InvImportByContDto();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InvImportByContDto):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this._service.getImportByContToExcel(
			this.periodId,
			this.containerNo,
			this.invoiceNo,
			this.caseNo,
			this.lotNo,
			this.partNo,
			this.dateIn,
			this.fob,
			this.cif,
			this.importTax,
			this.inlandCharge,
			this.amount,
			this.qty,
			this.price,
			this.fobVn,
			this.cifVn,
			this.importTaxVn,
			this.inlandChargeVn,
			this.amountVn,
			this.priceVn,
			this.invoiceDate,
			this.receiveDate,
			this.contSize,
			this.eta,
			this.supplierNo,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type='text' [placeholder]="l('Date In')" [(ngModel)]='dateIn' 
									name='dateIn'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[placeholder]="l('Invoice Date')" [(ngModel)]='invoiceDate' 
									name='invoiceDate'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[placeholder]="l('Receive Date')" [(ngModel)]='receiveDate' 
									name='receiveDate'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[placeholder]="l('Eta')" [(ngModel)]='eta' 
									name='eta'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[(ngModel)]='supplierNo' name='supplierNo'
									class='form-control' [placeholder]="l('Supplier No')"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(click)="createOrEditModalImportByCont.show()"&gt;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(click)="createOrEditModalImportByCont.show(selectedRow)"&gt;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&lt;create-or-edit-importbycont-modal
    #createOrEditModalImportByCont
    (modalSave)="callBackDataGrid(dataParams)"
    (modalClose)="onChangeRowSelection(dataParams)"
&gt;
&lt;/create-or-edit-importbycont-modal&gt;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#createOrEditModalImportByCont="bs-modal"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ImportByCont')}}&lt;/h3&gt;
                    &lt;h3 *ngIf="!rowdata.id"&gt;{{('Create New ImportByCont')}}&lt;/h3&gt;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title'&gt;Receive Date&lt;/label&gt;
						&lt;input type='text' class='col-md-10 form-control input-text' name='receiveDate' 
						#datepicker='bsDatepicker' [(ngModel)]='rowdata.receiveDate'  bsDatepicker &gt;
					&lt;/div&gt;
					&lt;div class='col-md-12 form-group row'&gt;
						&lt;label class='col-md-2 form-control title'&gt;Cont Size&lt;/label&gt;
						&lt;input type='number' class='col-md-10 form-control input-text' name='ContSize' [(ngModel)]='rowdata.contSize'&gt;
					&lt;/div&gt;
					&lt;div class='col-md-12 form-group row'&gt;
						&lt;label class='col-md-2 form-control title'&gt;Eta&lt;/label&gt;
						&lt;input type='text' class='col-md-10 form-control input-text' name='eta' 
						#datepicker='bsDatepicker' [(ngModel)]='rowdata.eta'  bsDatepicker 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CreateOrEditInvImportByContDto, InvImportByContServiceProxy } from '@shared/service-proxies/service-proxies';
import { BsDatepickerDirective } from 'ngx-bootstrap/datepicker';
@Component({
    selector: 'create-or-edit-importbycont-modal',
    templateUrl: './create-or-edit-importbycont-modal.component.html',
    styleUrls: ['./create-or-edit-importbycont-modal.component.less']
    })
export class CreateOrEditImportByContModalComponent extends AppComponentBase {
    @ViewChild('createOrEditModalImportByCont',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CreateOrEditInvImportByContDto = new CreateOrEditInvImportByContDto();
    active: boolean = false;
    saving: boolean = false;
    _: boolean;
    constructor(
        injector: Injector,
        private _mstwptImportByContService: InvImportByContServiceProxy,
    ) 
    {
        super(injector);
    }
    show(rowdata?: CreateOrEditInvImportByContDto): void {
        if (!rowdata) this.rowdata = new CreateOrEditInvImportByContDto();
        else this.rowdata = rowdata;
		const dateValue =  this.rowdata.dateIn ? new Date(this.rowdata.dateIn?.toString()) : new Date();
		this.datepicker?.bsValueChange.emit(dateValue);
		const dateValue =  this.rowdata.invoiceDate ? new Date(this.rowdata.invoiceDate?.toString()) : new Date();
		this.datepicker?.bsValueChange.emit(dateValue);
		const dateValue =  this.rowdata.receiveDate ? new Date(this.rowdata.receiveDate?.toString()) : new Date();
		this.datepicker?.bsValueChange.emit(dateValue);
		const dateValue =  this.rowdata.eta ? new Date(this.rowdata.eta?.toString())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this._mstwptImportByContService.createOrEdit(this.rowdata)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ImportByContRoutingModule } from './importbycont-routing.module';
import { ImportByContComponent } from './importbycont.component';
import { CreateOrEditImportByContModalComponent } from './create-or-edit-importbycont-modal.component';
@NgModule({
    declarations: [
       ImportByContComponent, 
        CreateOrEditImportByContModalComponent
    ],
    imports: [
        AppSharedModule, ImportByContRoutingModule]
})
export class ImportByContModule {}</v>
      </c>
      <c r="J65" s="49" t="str">
        <f>B.Frontend!O10</f>
        <v>import {NgModule} from '@angular/core';
import {RouterModule, Routes} from '@angular/router';
import { ImportByContComponent } from './importbycont.component';
const routes: Routes = [{
    path: '',
    component: ImportByContComponent,
    pathMatch: 'full'
}];
@NgModule({
    imports: [RouterModule.forChild(routes)],
    exports: [RouterModule],
})
export class ImportByContRoutingModule {}</v>
      </c>
      <c r="K65" s="49" t="str">
        <f>B.Frontend!P10</f>
        <v xml:space="preserve"> new AppMenuItem("ImportByCont", "Pages.Inv.0.ImportByCont", "flaticon-book",   "/app/main/inv/0/importbycont"),</v>
      </c>
      <c r="L65" s="50" t="str">
        <f>B.Frontend!Q10</f>
        <v>{
    path: 'inv/0/importbycont',
    loadChildren: () =&gt; import('./inv/0/importbycont/importbycont.module').then(m =&gt; m.ImportByContModule),
    data: { permission: 'Pages.Inv.0.ImportByCont' }
},</v>
      </c>
      <c r="M65" s="48" t="str">
        <f>B.Frontend!R10</f>
        <v>ApiServiceProxies.InvImportByContServiceProxy,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35"/>
  <sheetViews>
    <sheetView tabSelected="1" workbookViewId="0">
      <pane xSplit="1" topLeftCell="B1" activePane="topRight" state="frozen"/>
      <selection pane="topRight" activeCell="D10" sqref="D10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vovina.Inv.Dto;</v>
      </c>
      <c r="E1" s="10" t="s">
        <v>267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352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353</v>
      </c>
      <c r="C3" s="10" t="s">
        <v>43</v>
      </c>
      <c r="D3" s="10" t="s">
        <v>44</v>
      </c>
      <c r="E3" s="10" t="s">
        <v>39</v>
      </c>
      <c r="F3" s="11" t="str">
        <f>"J"&amp;COUNTA($A:$A)</f>
        <v>J33</v>
      </c>
      <c r="G3" s="4" t="s">
        <v>57</v>
      </c>
      <c r="H3" s="10" t="str">
        <f>"I"&amp;COUNTA($A:$A)</f>
        <v>I33</v>
      </c>
      <c r="I3" s="10" t="str">
        <f>REPT(CHAR(9),2)&amp;"[Required]"&amp;"
"</f>
        <v xml:space="preserve">		[Required]
</v>
      </c>
      <c r="J3" s="11" t="str">
        <f>"L"&amp;COUNTA($A:$A)</f>
        <v>L33</v>
      </c>
      <c r="K3" s="5" t="s">
        <v>56</v>
      </c>
      <c r="L3" s="11" t="str">
        <f>"M"&amp;COUNTA($A:$A)</f>
        <v>M33</v>
      </c>
      <c r="M3" s="11" t="str">
        <f>"N"&amp;COUNTA($A:$A)</f>
        <v>N33</v>
      </c>
      <c r="N3" s="11" t="str">
        <f>"O"&amp;COUNTA($A:$A)</f>
        <v>O33</v>
      </c>
      <c r="O3" s="11" t="str">
        <f>"P"&amp;COUNTA($A:$A)</f>
        <v>P33</v>
      </c>
      <c r="R3" s="32" t="str">
        <f>REPT(CHAR(9),1)&amp;"public class "&amp;B3&amp;"ExportInput"&amp;C3</f>
        <v xml:space="preserve">	public class InvImportByContExportInput{
</v>
      </c>
      <c r="S3" s="11" t="str">
        <f>"namespace "&amp;$B$6&amp;".Exporting
"&amp;$C$3</f>
        <v xml:space="preserve">namespace vovina.Inv.Exporting
{
</v>
      </c>
      <c r="T3" s="11" t="str">
        <f>"T"&amp;COUNTA($A:$A)</f>
        <v>T33</v>
      </c>
      <c r="V3" s="11" t="str">
        <f>"V"&amp;COUNTA($A:$A)</f>
        <v>V33</v>
      </c>
      <c r="W3" s="10" t="str">
        <f>"W"&amp;COUNTA($A:$A)</f>
        <v>W33</v>
      </c>
    </row>
    <row r="4" spans="1:23" s="11" customFormat="1" ht="33" customHeight="1" x14ac:dyDescent="0.25">
      <c r="A4" s="1" t="s">
        <v>237</v>
      </c>
      <c r="B4" s="64" t="s">
        <v>352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354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vovina.Inv</v>
      </c>
      <c r="C6" s="11" t="str">
        <f>"namespace "&amp;$B$6&amp;"
"&amp;$C$3</f>
        <v xml:space="preserve">namespace vovina.Inv
{
</v>
      </c>
      <c r="D6" s="11" t="str">
        <f>REPT(CHAR(9),1)&amp;"public class "&amp;B3&amp;G3&amp;REPT(CHAR(9),1)&amp;"
"&amp;REPT(CHAR(9),1)&amp;C3</f>
        <v xml:space="preserve">	public class InvImportByCont: FullAuditedEntity&lt;long&gt;, IEntity&lt;long&gt;	
	{
</v>
      </c>
      <c r="E6" s="11" t="str">
        <f>REPT(CHAR(9),1)&amp;"public class "&amp;B3&amp;"Consts"&amp;REPT(CHAR(9),1)&amp;"
"&amp;REPT(CHAR(9),1)&amp;C3</f>
        <v xml:space="preserve">	public class InvImportByContConsts	
	{
</v>
      </c>
      <c r="F6" s="11" t="str">
        <f>REPT(CHAR(9),1)&amp;"public class "&amp;B3&amp;"Dto"&amp;K3&amp;REPT(CHAR(9),1)&amp;"
"&amp;REPT(CHAR(9),1)&amp;C3</f>
        <v xml:space="preserve">	public class InvImportByContDto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CreateOrEditInvImportByContDto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GetInvImportByContInput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InvImportByCont</v>
      </c>
      <c r="C7" s="11" t="str">
        <f>REPT(CHAR(9),1)&amp;"[Table("""&amp;B7&amp;""")]"&amp;"
"</f>
        <v xml:space="preserve">	[Table("InvImportByCont")]
</v>
      </c>
      <c r="D7" s="11"/>
      <c r="E7" s="11"/>
      <c r="F7" s="11"/>
      <c r="G7" s="11"/>
      <c r="H7" s="11"/>
      <c r="I7" s="11"/>
      <c r="J7" s="6" t="str">
        <f ca="1">SUBSTITUTE(SUBSTITUTE((B1&amp;C6&amp;C7&amp;K35&amp;D6&amp;I35&amp;E3&amp;J35&amp;""&amp;REPT(CHAR(9),1)&amp;D3&amp;D3),"WorkingPattern",$Q$3),"Master",$B$4)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[Table("InvImportByCont")]
	[Index(nameof(ContainerNo), Name="IX_InvImportByCont_ContainerNo")]
	[Index(nameof(InvoiceNo), Name="IX_InvImportByCont_InvoiceNo")]
	[Index(nameof(Fob), Name="IX_InvImportByCont_Fob")]
	[Index(nameof(InlandCharge), Name="IX_InvImportByCont_InlandCharge")]
	[Index(nameof(Amount), Name="IX_InvImportByCont_Amount")]
	[Index(nameof(CifVn), Name="IX_InvImportByCont_CifVn")]
	[Index(nameof(AmountVn), Name="IX_InvImportByCont_AmountVn")]
	[Index(nameof(PriceVn), Name="IX_InvImportByCont_PriceVn")]
	[Index(nameof(ContSize), Name="IX_InvImportByCont_ContSize")]
	public class InvImportByCont: FullAuditedEntity&lt;long&gt;, IEntity&lt;long&gt;	
	{
		public const int MaxContainerNoLength = 50;
		public const int MaxCaseNoLength = 50;
		public const int MaxLotNoLength = 50;
		public const int MaxPartNoLength = 50;
		public const int MaxSupplierNoLength = 50;
		public virtual decimal PeriodId { get; set; }
		[StringLength(MaxContainerNoLength)]
		public virtual string ContainerNo { get; set; }
		public virtual decimal InvoiceNo { get; set; }
		[StringLength(MaxCaseNoLength)]
		public virtual string CaseNo { get; set; }
		[StringLength(MaxLotNoLength)]
		public virtual string LotNo { get; set; }
		[StringLength(MaxPartNoLength)]
		public virtual string PartNo { get; set; }
		public virtual DateTime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 InvoiceDate { get; set; }
		public virtual DateTime ReceiveDate { get; set; }
		public virtual int ContSize { get; set; }
		public virtual DateTime Eta { get; set; }
		[StringLength(MaxSupplierNoLength)]
		public virtual string SupplierNo { get; set; }
	}
}
</v>
      </c>
      <c r="K7" t="str">
        <f>SUBSTITUTE(SUBSTITUTE(("public virtual DbSet&lt;"&amp;B3&amp;"&gt; "&amp;B3&amp;"s { get; set; }"),"WorkingPattern",$Q$3),"Master",$B$4)</f>
        <v>public virtual DbSet&lt;InvImportByCont&gt; InvImportByConts { get; set; }</v>
      </c>
      <c r="L7" t="str">
        <f ca="1">SUBSTITUTE(SUBSTITUTE((C6&amp;E6&amp;I35&amp;"
"&amp;REPT(CHAR(9),2)&amp;"// Define Store Name: Format SP_ + &lt;Store Name&gt; = &lt;Store Name&gt;
"&amp;E3&amp;REPT(CHAR(9),1)&amp;D3&amp;D3),"WorkingPattern",$Q$3),"Master",$B$4)</f>
        <v xml:space="preserve">namespace vovina.Inv
{
	public class InvImportByContConsts	
	{
		public const int MaxContainerNoLength = 50;
		public const int MaxCaseNoLength = 50;
		public const int MaxLotNoLength = 50;
		public const int MaxPartNoLength = 50;
		public const int MaxSupplierNoLength = 50;
		// Define Store Name: Format SP_ + &lt;Store Name&gt; = &lt;Store Name&gt;
	}
}
</v>
      </c>
      <c r="M7" t="str">
        <f ca="1">SUBSTITUTE(SUBSTITUTE((C1&amp;"namespace "&amp;B6&amp;".Dto"&amp;E3&amp;C3&amp;F6&amp;M35&amp;E3&amp;REPT(CHAR(9),1)&amp;D3&amp;G6&amp;N35&amp;REPT(CHAR(9),1)&amp;D3&amp;H6&amp;O35&amp;"
"&amp;REPT(CHAR(9),1)&amp;D3&amp;D3),"WorkingPattern",$Q$3),"Master",$B$4)</f>
        <v xml:space="preserve">using Abp.Application.Services.Dto;
using System;
using System.ComponentModel.DataAnnotations;
namespace vovina.Inv.Dto
{
	public class InvImportByContDto : EntityDto&lt;long?&gt;	
	{
		public virtual decimal PeriodId { get; set; }
		public virtual string ContainerNo { get; set; }
		public virtual decimal InvoiceNo { get; set; }
		public virtual string CaseNo { get; set; }
		public virtual string LotNo { get; set; }
		public virtual string PartNo { get; set; }
		public virtual DateTime?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DateTime? InvoiceDate { get; set; }
		public virtual DateTime? ReceiveDate { get; set; }
		public virtual int ContSize { get; set; }
		public virtual DateTime? Eta { get; set; }
		public virtual string SupplierNo { get; set; }
	}
	public class CreateOrEditInvImportByContDto : EntityDto&lt;long?&gt;	
	{
		public virtual decimal PeriodId { get; set; }
		[StringLength(InvImportByContConsts.MaxContainerNoLength)]
		public virtual string ContainerNo { get; set; }
		public virtual decimal InvoiceNo { get; set; }
		[StringLength(InvImportByContConsts.MaxCaseNoLength)]
		public virtual string CaseNo { get; set; }
		[StringLength(InvImportByContConsts.MaxLotNoLength)]
		public virtual string LotNo { get; set; }
		[StringLength(InvImportByContConsts.MaxPartNoLength)]
		public virtual string PartNo { get; set; }
		public virtual DateTime?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DateTime? InvoiceDate { get; set; }
		public virtual DateTime? ReceiveDate { get; set; }
		public virtual int ContSize { get; set; }
		public virtual DateTime? Eta { get; set; }
		[StringLength(InvImportByContConsts.MaxSupplierNoLength)]
		public virtual string SupplierNo { get; set; }
	}
	public class GetInvImportByContInput : PagedAndSortedResultRequestDto	
	{
		public virtual string ContainerNo { get; set; }
		public virtual string CaseNo { get; set; }
		public virtual string LotNo { get; set; }
		public virtual string PartNo { get; set; }
		public virtual DateTime? DateIn { get; set; }
		public virtual int Qty { get; set; }
		public virtual DateTime? InvoiceDate { get; set; }
		public virtual DateTime? ReceiveDate { get; set; }
		public virtual int ContSize { get; set; }
		public virtual DateTime? Eta { get; set; }
		public virtual string SupplierNo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perInvImportByCont = PARENTS.CreateChildPermission(AppPermissions.Pages_Inv_ImportByCont, L( "InvImportByCont"), multiTenancySides: MultiTenancySides.Tenant);
		perInvImportByCont.CreateChildPermission(AppPermissions.Pages_Inv_ImportByCont_CreateEdit, L( "InvImportByContCreateEdit"), multiTenancySides: MultiTenancySides.Tenant);
		perInvImportByCont.CreateChildPermission(AppPermissions.Pages_Inv_ImportByCont_Delete, L( "InvImportByContDelete"),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Pages_Inv_ImportByCont = "Pages.Inv.ImportByCont";
		public const string Pages_Inv_ImportByCont_CreateEdit = "Pages.Inv.ImportByCont.CreateEdit";
		public const string Pages_Inv_ImportByCont_Delete = "Pages.Inv.ImportByCont.Delete";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
{
	public interface IInvImportByContAppService : IApplicationService
	{
		Task&lt;PagedResultDto&lt;InvImportByContDto&gt;&gt; GetAll(GetInvImportByContInput input);
		Task CreateOrEdit(CreateOrEditInvImportByContDto input);
		Task Delete(EntityDto input);
	}
}
</v>
      </c>
      <c r="Q7" t="str">
        <f ca="1">SUBSTITUTE(SUBSTITUTE(SUBSTITUTE(SUBSTITUTE(SUBSTITUTE(SUBSTITUTE(E1,"MstWptCalendar",$B$3),"&lt;PROPERTIES&gt;",P35),"Calendar",$B$5),"WorkingPattern",$Q$3),"Master",$B$4),"&lt;PARAMS_SEARCH&gt;",$W$35)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[AbpAuthorize(AppPermissions.Pages_Inv__ImportByCont)]
    public class InvImportByContAppService : vovinaAppServiceBase, IInvImportByContAppService
    {
        private readonly IDapperRepository&lt;InvImportByCont, long&gt; _dapperRepo;
        private readonly IRepository&lt;InvImportByCont, long&gt; _repo;
        private readonly IInvImportByContExcelExporter _calendarListExcelExporter;
        public InvImportByContAppService(IRepository&lt;InvImportByCont,long&gt; repo, 
                                         IDapperRepository&lt;InvImportByCont,long&gt; dapperRepo,
                                        IInvImportByContExcelExporter calendarListExcelExporter
            )
        {
            _repo = repo;
            _dapperRepo = dapperRepo;
            _calendarListExcelExporter = calendarListExcelExporter;
        }
        [AbpAuthorize(AppPermissions.Pages_Inv__ImportByCont_CreateEdit)]
        public async Task CreateOrEdit(CreateOrEditInvImportByContDto input)
        {
            if (input.Id == null) await Create(input);
            else await Update(input);
        }
        //CREATE
        private async Task Create(CreateOrEditInvImportByContDto input)
        {          
            var mainObj = ObjectMapper.Map&lt;InvImportByCont&gt;(input);
            await CurrentUnitOfWork.GetDbContext&lt;vovinaDbContext&gt;().AddAsync(mainObj);
        }
        // EDIT
        private async Task Update(CreateOrEditInvImportByContDto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[AbpAuthorize(AppPermissions.Pages_Inv__ImportByCont_Delete)]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Task&lt;PagedResultDto&lt;InvImportByContDto&gt;&gt; GetAll(GetInvImportByContInput input)
        {
            var filtered = _repo.GetAll()
				.WhereIf(!string.IsNullOrWhiteSpace(input.ContainerNo), e =&gt; e.ContainerNo.Contains(input.ContainerNo))
				.WhereIf(!string.IsNullOrWhiteSpace(input.CaseNo), e =&gt; e.CaseNo.Contains(input.CaseNo))
				.WhereIf(!string.IsNullOrWhiteSpace(input.LotNo), e =&gt; e.LotNo.Contains(input.LotNo))
				.WhereIf(!string.IsNullOrWhiteSpace(input.PartNo), e =&gt; e.PartNo.Contains(input.PartNo))
				.WhereIf(input.DateIn.HasValue, t =&gt; t.DateIn == input.DateIn.Value)
				.WhereIf(input.InvoiceDate.HasValue, t =&gt; t.InvoiceDate == input.InvoiceDate.Value)
				.WhereIf(input.ReceiveDate.HasValue, t =&gt; t.ReceiveDate == input.ReceiveDate.Value)
				.WhereIf(input.Eta.HasValue, t =&gt; t.Eta == input.Eta.Value)
				.WhereIf(!string.IsNullOrWhiteSpace(input.SupplierNo), e =&gt; e.SupplierNo.Contains(input.SupplierNo))                   
				;
            var pageAndFiltered = filtered.OrderBy(s =&gt; s.Id);
            var system = from o in pageAndFiltered
                         select new InvImportByContDto
                        {
							Id = o.Id,
							PeriodId = o.PeriodId,
							ContainerNo = o.ContainerNo,
							InvoiceNo = o.InvoiceNo,
							CaseNo = o.CaseNo,
							LotNo = o.LotNo,
							PartNo = o.PartNo,
							DateIn = o.DateIn,
							Fob = o.Fob,
							Cif = o.Cif,
							ImportTax = o.ImportTax,
							InlandCharge = o.InlandCharge,
							Amount = o.Amount,
							Qty = o.Qty,
							Price = o.Price,
							FobVn = o.FobVn,
							CifVn = o.CifVn,
							ImportTaxVn = o.ImportTaxVn,
							InlandChargeVn = o.InlandChargeVn,
							AmountVn = o.AmountVn,
							PriceVn = o.PriceVn,
							InvoiceDate = o.InvoiceDate,
							ReceiveDate = o.ReceiveDate,
							ContSize = o.ContSize,
							Eta = o.Eta,
							SupplierNo = o.SupplierNo,
                        };
            var totalCount = await filtered.CountAsync();
			var paged = system.PageBy(input);
            return new PagedResultDto&lt;InvImportByContDto&gt;(
                totalCount,
                 await paged.ToListAsync()
            );
        }
        public async Task&lt;FileDto&gt; GetImportByContToExcel(InvImportByContExportInput input)
        {
            var query = from o in _repo.GetAll()
                        select new InvImportByContDto
                        {
							Id = o.Id,
							PeriodId = o.PeriodId,
							ContainerNo = o.ContainerNo,
							InvoiceNo = o.InvoiceNo,
							CaseNo = o.CaseNo,
							LotNo = o.LotNo,
							PartNo = o.PartNo,
							DateIn = o.DateIn,
							Fob = o.Fob,
							Cif = o.Cif,
							ImportTax = o.ImportTax,
							InlandCharge = o.InlandCharge,
							Amount = o.Amount,
							Qty = o.Qty,
							Price = o.Price,
							FobVn = o.FobVn,
							CifVn = o.CifVn,
							ImportTaxVn = o.ImportTaxVn,
							InlandChargeVn = o.InlandChargeVn,
							AmountVn = o.AmountVn,
							PriceVn = o.PriceVn,
							InvoiceDate = o.InvoiceDate,
							ReceiveDate = o.ReceiveDate,
							ContSize = o.ContSize,
							Eta = o.Eta,
							SupplierNo = o.SupplierNo,
                        };
            var exportToExcel = await query.ToListAsync();
            return _calendarListExcelExporter.ExportToFile(exportToExcel);
        }
       // public async Task GenerateAsync()
      //  {
        //    await _dapperRepo.ExecuteAsync(InvImportByContConsts.SP_MST_WPT_CALENDAR_GENERATE);
       // }
    }
}</v>
      </c>
      <c r="R7" t="str">
        <f ca="1">SUBSTITUTE(SUBSTITUTE((C1&amp;"namespace "&amp;B6&amp;".Dto"&amp;E3&amp;C3&amp;R3&amp;M35&amp;E3&amp;REPT(CHAR(9),1)&amp;D3&amp;D3),"WorkingPattern",$Q$3),"Master",$B$4)</f>
        <v xml:space="preserve">using Abp.Application.Services.Dto;
using System;
using System.ComponentModel.DataAnnotations;
namespace vovina.Inv.Dto
{
	public class InvImportByContExportInput{
		public virtual decimal PeriodId { get; set; }
		public virtual string ContainerNo { get; set; }
		public virtual decimal InvoiceNo { get; set; }
		public virtual string CaseNo { get; set; }
		public virtual string LotNo { get; set; }
		public virtual string PartNo { get; set; }
		public virtual DateTime?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DateTime? InvoiceDate { get; set; }
		public virtual DateTime? ReceiveDate { get; set; }
		public virtual int ContSize { get; set; }
		public virtual DateTime? Eta { get; set; }
		public virtual string SupplierNo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vovina.Inv.Exporting
{
	public interface IInvImportByContExcelExporter : IApplicationService
	{
		FileDto ExportToFile(List&lt;InvImportByContDto&gt; invimportbycont);
	}
}
</v>
      </c>
      <c r="T7" s="28" t="str">
        <f ca="1">SUBSTITUTE(SUBSTITUTE(SUBSTITUTE(SUBSTITUTE(SUBSTITUTE(SUBSTITUTE(SUBSTITUTE(T1,"MstWptCalendar",$B$3),"&lt;PROPERTIES1&gt;",V35),"&lt;PROPERTIES&gt;",T35),"Calendar",$B$5),"calendar",LOWER(B5)),"WorkingPattern",$Q$3),"Master",$B$4)</f>
        <v>using System.Collections.Generic;
using vovina.DataExporting.Excel.NPOI;
using vovina.Dto;
using vovina.Inv..Exporting;
using vovina.Inv..Dto;
using vovina.Storage;
using vovina.Inv..Dto;
namespace vovina.Inv..Exporting
{
    public class InvImportByContExcelExporter : NpoiExcelExporterBase, IInvImportByContExcelExporter
    {
        public InvImportByContExcelExporter(ITempFileCacheManager tempFileCacheManager) : base(tempFileCacheManager) { }
        public FileDto ExportToFile(List&lt;InvImportByContDto&gt; importbycont)
        {
            return CreateExcelPackage(
				"InvImportByCont.xlsx",
				excelPackage =&gt;
				 {
					var sheet = excelPackage.CreateSheet("ImportByCont");
					AddHeader(
								sheet,
								("PeriodId"),
								("ContainerNo"),
								("InvoiceNo"),
								("CaseNo"),
								("LotNo"),
								("PartNo"),
								("DateIn"),
								("Fob"),
								("Cif"),
								("ImportTax"),
								("InlandCharge"),
								("Amount"),
								("Qty"),
								("Price"),
								("FobVn"),
								("CifVn"),
								("ImportTaxVn"),
								("InlandChargeVn"),
								("AmountVn"),
								("PriceVn"),
								("InvoiceDate"),
								("ReceiveDate"),
								("ContSize"),
								("Eta"),
								("SupplierNo"),
							   );
					AddObjects(
						 sheet, 1, importbycont,                                       
								_ =&gt; _.PeriodId,
								_ =&gt; _.ContainerNo,
								_ =&gt; _.InvoiceNo,
								_ =&gt; _.CaseNo,
								_ =&gt; _.LotNo,
								_ =&gt; _.PartNo,
								_ =&gt; _.DateIn,
								_ =&gt; _.Fob,
								_ =&gt; _.Cif,
								_ =&gt; _.ImportTax,
								_ =&gt; _.InlandCharge,
								_ =&gt; _.Amount,
								_ =&gt; _.Qty,
								_ =&gt; _.Price,
								_ =&gt; _.FobVn,
								_ =&gt; _.CifVn,
								_ =&gt; _.ImportTaxVn,
								_ =&gt; _.InlandChargeVn,
								_ =&gt; _.AmountVn,
								_ =&gt; _.PriceVn,
								_ =&gt; _.InvoiceDate,
								_ =&gt; _.ReceiveDate,
								_ =&gt; _.ContSize,
								_ =&gt; _.Eta,
								_ =&gt; _.SupplierNo,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configuration.CreateMap&lt;InvImportByContDto, InvImportByCont&gt;();
  configuration.CreateMap&lt;InvImportByCont, InvImportByContDto&gt;();
  configuration.CreateMap&lt;CreateOrEditInvImportByContDto, InvImportByCont&gt;();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322</v>
      </c>
      <c r="B9" t="s">
        <v>323</v>
      </c>
      <c r="C9" t="s">
        <v>1</v>
      </c>
      <c r="D9" t="str">
        <f t="shared" ref="D9" si="0">SUBSTITUTE(PROPER(A9),"_","")</f>
        <v>PeriodId</v>
      </c>
      <c r="E9" t="str">
        <f t="shared" ref="E9:E30" si="1">IFERROR(LEFT(B9, FIND("(",B9)-1),B9)</f>
        <v>numeric</v>
      </c>
      <c r="F9" s="7"/>
      <c r="G9" t="str">
        <f t="shared" ref="G9:G30" si="2">IFERROR(MID(B9,FIND("(",B9) +1, FIND(")",B9) - FIND("(",B9) - 1),"")</f>
        <v>19, 0</v>
      </c>
      <c r="H9" t="str">
        <f>+VLOOKUP(E9,'Data Type Mapping'!A:B,2,)</f>
        <v>decimal</v>
      </c>
      <c r="I9" t="str">
        <f t="shared" ref="I9:I30" si="3">IF(H9="string",REPT(CHAR(9),2)&amp;"public const int Max"&amp;D9&amp;"Length = "&amp;G9&amp;";"&amp;$E$3,"" )</f>
        <v/>
      </c>
      <c r="J9" t="str">
        <f t="shared" ref="J9:J3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decimal PeriodId { get; set; }
</v>
      </c>
      <c r="K9" s="7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:M30" si="6">REPT(CHAR(9),2)&amp;"public virtual "&amp;IF(OR(H9="DateTime",H9="TimeSpan"),H9&amp;"?",H9)&amp;IF(C9="?","? "," ")&amp;D9&amp;" { get; set; }" &amp; "
"</f>
        <v xml:space="preserve">		public virtual decimal PeriodId { get; set; }
</v>
      </c>
      <c r="N9" t="str">
        <f t="shared" ref="N9:N3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decimal PeriodId { get; set; }
</v>
      </c>
      <c r="O9" t="str">
        <f t="shared" ref="O9:O30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30" si="9">REPT(CHAR(9),7)&amp;D9&amp;" = o." &amp;D9 &amp;","</f>
        <v xml:space="preserve">							PeriodId = o.PeriodId,</v>
      </c>
      <c r="T9" s="69" t="str">
        <f t="shared" ref="T9:T30" si="10">REPT(CHAR(9),8)&amp;"("""&amp;D9&amp;"""),"</f>
        <v xml:space="preserve">								("PeriodId"),</v>
      </c>
      <c r="V9" s="70" t="str">
        <f t="shared" ref="V9:V30" si="11">REPT(CHAR(9),8)&amp;"_ =&gt; _."&amp;D9&amp;","</f>
        <v xml:space="preserve">								_ =&gt; _.PeriodId,</v>
      </c>
      <c r="W9" s="69" t="str">
        <f t="shared" ref="W9:W3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s="31" t="s">
        <v>337</v>
      </c>
      <c r="B10" t="s">
        <v>325</v>
      </c>
      <c r="C10" t="s">
        <v>1</v>
      </c>
      <c r="D10" t="str">
        <f>SUBSTITUTE(PROPER(A10),"_","")</f>
        <v>ContainerNo</v>
      </c>
      <c r="E10" t="str">
        <f t="shared" ref="E10:E26" si="13">IFERROR(LEFT(B10, FIND("(",B10)-1),B10)</f>
        <v>varchar</v>
      </c>
      <c r="F10" s="7"/>
      <c r="G10" t="str">
        <f t="shared" ref="G10:G26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26" si="15">IF(H10="string",REPT(CHAR(9),2)&amp;"public const int Max"&amp;D10&amp;"Length = "&amp;G10&amp;";"&amp;$E$3,"" )</f>
        <v xml:space="preserve">		public const int MaxContainerNoLength = 50;
</v>
      </c>
      <c r="J10" t="str">
        <f t="shared" ref="J10:J26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[StringLength(MaxContainerNoLength)]
		public virtual string ContainerNo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[Index(nameof(ContainerNo), Name="IX_InvImportByCont_ContainerNo")]</v>
      </c>
      <c r="M10" t="str">
        <f t="shared" ref="M10:M26" si="17">REPT(CHAR(9),2)&amp;"public virtual "&amp;IF(OR(H10="DateTime",H10="TimeSpan"),H10&amp;"?",H10)&amp;IF(C10="?","? "," ")&amp;D10&amp;" { get; set; }" &amp; "
"</f>
        <v xml:space="preserve">		public virtual string ContainerNo { get; set; }
</v>
      </c>
      <c r="N10" t="str">
        <f t="shared" ref="N10:N26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[StringLength(InvImportByContConsts.MaxContainerNoLength)]
		public virtual string ContainerNo { get; set; }
</v>
      </c>
      <c r="O10" t="str">
        <f t="shared" ref="O10:O26" si="19">IF(OR(H10="string",H10="DateTime",H10="int"),REPT(CHAR(9),2)&amp;"public virtual "&amp;IF(OR(H10="DateTime",H10="TimeSpan"),H10&amp;"?",H10)&amp;IF(C10="?","? "," ")&amp;D10&amp;" { get; set; }"&amp;$E$3,"")</f>
        <v xml:space="preserve">		public virtual string ContainerNo { get; set; }
</v>
      </c>
      <c r="P10" t="str">
        <f t="shared" ref="P10:P26" si="20">REPT(CHAR(9),7)&amp;D10&amp;" = o." &amp;D10 &amp;","</f>
        <v xml:space="preserve">							ContainerNo = o.ContainerNo,</v>
      </c>
      <c r="T10" s="69" t="str">
        <f t="shared" ref="T10:T26" si="21">REPT(CHAR(9),8)&amp;"("""&amp;D10&amp;"""),"</f>
        <v xml:space="preserve">								("ContainerNo"),</v>
      </c>
      <c r="V10" s="70" t="str">
        <f t="shared" ref="V10:V26" si="22">REPT(CHAR(9),8)&amp;"_ =&gt; _."&amp;D10&amp;","</f>
        <v xml:space="preserve">								_ =&gt; _.ContainerNo,</v>
      </c>
      <c r="W10" s="69" t="str">
        <f t="shared" ref="W10:W26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.WhereIf(!string.IsNullOrWhiteSpace(input.ContainerNo), e =&gt; e.ContainerNo.Contains(input.ContainerNo))</v>
      </c>
    </row>
    <row r="11" spans="1:23" customFormat="1" ht="22.5" customHeight="1" x14ac:dyDescent="0.25">
      <c r="A11" s="31" t="s">
        <v>338</v>
      </c>
      <c r="B11" t="s">
        <v>327</v>
      </c>
      <c r="C11" t="s">
        <v>1</v>
      </c>
      <c r="D11" t="str">
        <f>SUBSTITUTE(PROPER(A11),"_","")</f>
        <v>InvoiceNo</v>
      </c>
      <c r="E11" t="str">
        <f t="shared" si="13"/>
        <v>numeric</v>
      </c>
      <c r="F11" s="7"/>
      <c r="G11" t="str">
        <f t="shared" si="14"/>
        <v>10, 2</v>
      </c>
      <c r="H11" t="str">
        <f>+VLOOKUP(E11,'Data Type Mapping'!A:B,2,)</f>
        <v>decimal</v>
      </c>
      <c r="I11" t="str">
        <f t="shared" si="15"/>
        <v/>
      </c>
      <c r="J11" t="str">
        <f t="shared" si="16"/>
        <v xml:space="preserve">		public virtual decimal InvoiceNo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[Index(nameof(InvoiceNo), Name="IX_InvImportByCont_InvoiceNo")]</v>
      </c>
      <c r="M11" t="str">
        <f t="shared" si="17"/>
        <v xml:space="preserve">		public virtual decimal InvoiceNo { get; set; }
</v>
      </c>
      <c r="N11" t="str">
        <f t="shared" si="18"/>
        <v xml:space="preserve">		public virtual decimal InvoiceNo { get; set; }
</v>
      </c>
      <c r="O11" t="str">
        <f t="shared" si="19"/>
        <v/>
      </c>
      <c r="P11" t="str">
        <f t="shared" si="20"/>
        <v xml:space="preserve">							InvoiceNo = o.InvoiceNo,</v>
      </c>
      <c r="T11" s="69" t="str">
        <f t="shared" si="21"/>
        <v xml:space="preserve">								("InvoiceNo"),</v>
      </c>
      <c r="V11" s="70" t="str">
        <f t="shared" si="22"/>
        <v xml:space="preserve">								_ =&gt; _.InvoiceNo,</v>
      </c>
      <c r="W11" s="69" t="str">
        <f t="shared" si="23"/>
        <v/>
      </c>
    </row>
    <row r="12" spans="1:23" customFormat="1" ht="21" customHeight="1" x14ac:dyDescent="0.25">
      <c r="A12" s="31" t="s">
        <v>339</v>
      </c>
      <c r="B12" t="s">
        <v>325</v>
      </c>
      <c r="C12" t="s">
        <v>1</v>
      </c>
      <c r="D12" t="str">
        <f t="shared" ref="D12:D15" si="24">SUBSTITUTE(PROPER(A12),"_","")</f>
        <v>CaseNo</v>
      </c>
      <c r="E12" t="str">
        <f t="shared" si="13"/>
        <v>varchar</v>
      </c>
      <c r="F12" s="7"/>
      <c r="G12" t="str">
        <f t="shared" si="14"/>
        <v>50</v>
      </c>
      <c r="H12" t="str">
        <f>+VLOOKUP(E12,'Data Type Mapping'!A:B,2,)</f>
        <v>string</v>
      </c>
      <c r="I12" t="str">
        <f t="shared" si="15"/>
        <v xml:space="preserve">		public const int MaxCaseNoLength = 50;
</v>
      </c>
      <c r="J12" t="str">
        <f t="shared" si="16"/>
        <v xml:space="preserve">		[StringLength(MaxCaseNoLength)]
		public virtual string CaseNo { get; set; }
</v>
      </c>
      <c r="K12" s="7"/>
      <c r="L12" t="str">
        <f t="shared" ref="L12:L15" si="25"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string CaseNo { get; set; }
</v>
      </c>
      <c r="N12" t="str">
        <f t="shared" si="18"/>
        <v xml:space="preserve">		[StringLength(InvImportByContConsts.MaxCaseNoLength)]
		public virtual string CaseNo { get; set; }
</v>
      </c>
      <c r="O12" t="str">
        <f t="shared" si="19"/>
        <v xml:space="preserve">		public virtual string CaseNo { get; set; }
</v>
      </c>
      <c r="P12" t="str">
        <f t="shared" si="20"/>
        <v xml:space="preserve">							CaseNo = o.CaseNo,</v>
      </c>
      <c r="T12" s="69" t="str">
        <f t="shared" si="21"/>
        <v xml:space="preserve">								("CaseNo"),</v>
      </c>
      <c r="V12" s="70" t="str">
        <f t="shared" si="22"/>
        <v xml:space="preserve">								_ =&gt; _.CaseNo,</v>
      </c>
      <c r="W12" s="69" t="str">
        <f t="shared" si="23"/>
        <v xml:space="preserve">				.WhereIf(!string.IsNullOrWhiteSpace(input.CaseNo), e =&gt; e.CaseNo.Contains(input.CaseNo))</v>
      </c>
    </row>
    <row r="13" spans="1:23" customFormat="1" ht="18.75" customHeight="1" x14ac:dyDescent="0.25">
      <c r="A13" s="31" t="s">
        <v>326</v>
      </c>
      <c r="B13" t="s">
        <v>325</v>
      </c>
      <c r="C13" t="s">
        <v>1</v>
      </c>
      <c r="D13" t="str">
        <f t="shared" si="24"/>
        <v>LotNo</v>
      </c>
      <c r="E13" t="str">
        <f t="shared" si="13"/>
        <v>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MaxLotNoLength = 50;
</v>
      </c>
      <c r="J13" t="str">
        <f t="shared" si="16"/>
        <v xml:space="preserve">		[StringLength(MaxLotNoLength)]
		public virtual string LotNo { get; set; }
</v>
      </c>
      <c r="K13" s="7"/>
      <c r="L13" t="str">
        <f t="shared" si="25"/>
        <v/>
      </c>
      <c r="M13" t="str">
        <f t="shared" si="17"/>
        <v xml:space="preserve">		public virtual string LotNo { get; set; }
</v>
      </c>
      <c r="N13" t="str">
        <f t="shared" si="18"/>
        <v xml:space="preserve">		[StringLength(InvImportByContConsts.MaxLotNoLength)]
		public virtual string LotNo { get; set; }
</v>
      </c>
      <c r="O13" t="str">
        <f t="shared" si="19"/>
        <v xml:space="preserve">		public virtual string LotNo { get; set; }
</v>
      </c>
      <c r="P13" t="str">
        <f t="shared" si="20"/>
        <v xml:space="preserve">							LotNo = o.LotNo,</v>
      </c>
      <c r="T13" s="69" t="str">
        <f t="shared" si="21"/>
        <v xml:space="preserve">								("LotNo"),</v>
      </c>
      <c r="V13" s="70" t="str">
        <f t="shared" si="22"/>
        <v xml:space="preserve">								_ =&gt; _.LotNo,</v>
      </c>
      <c r="W13" s="69" t="str">
        <f t="shared" si="23"/>
        <v xml:space="preserve">				.WhereIf(!string.IsNullOrWhiteSpace(input.LotNo), e =&gt; e.LotNo.Contains(input.LotNo))</v>
      </c>
    </row>
    <row r="14" spans="1:23" customFormat="1" ht="21" customHeight="1" x14ac:dyDescent="0.25">
      <c r="A14" s="31" t="s">
        <v>324</v>
      </c>
      <c r="B14" t="s">
        <v>325</v>
      </c>
      <c r="C14" t="s">
        <v>1</v>
      </c>
      <c r="D14" t="str">
        <f t="shared" si="24"/>
        <v>PartNo</v>
      </c>
      <c r="E14" t="str">
        <f t="shared" si="13"/>
        <v>varchar</v>
      </c>
      <c r="F14" s="7"/>
      <c r="G14" t="str">
        <f t="shared" si="14"/>
        <v>50</v>
      </c>
      <c r="H14" t="str">
        <f>+VLOOKUP(E14,'Data Type Mapping'!A:B,2,)</f>
        <v>string</v>
      </c>
      <c r="I14" t="str">
        <f t="shared" si="15"/>
        <v xml:space="preserve">		public const int MaxPartNoLength = 50;
</v>
      </c>
      <c r="J14" t="str">
        <f t="shared" si="16"/>
        <v xml:space="preserve">		[StringLength(MaxPartNoLength)]
		public virtual string PartNo { get; set; }
</v>
      </c>
      <c r="K14" s="7"/>
      <c r="L14" t="str">
        <f t="shared" si="25"/>
        <v/>
      </c>
      <c r="M14" t="str">
        <f t="shared" si="17"/>
        <v xml:space="preserve">		public virtual string PartNo { get; set; }
</v>
      </c>
      <c r="N14" t="str">
        <f t="shared" si="18"/>
        <v xml:space="preserve">		[StringLength(InvImportByContConsts.MaxPartNoLength)]
		public virtual string PartNo { get; set; }
</v>
      </c>
      <c r="O14" t="str">
        <f t="shared" si="19"/>
        <v xml:space="preserve">		public virtual string PartNo { get; set; }
</v>
      </c>
      <c r="P14" t="str">
        <f t="shared" si="20"/>
        <v xml:space="preserve">							PartNo = o.PartNo,</v>
      </c>
      <c r="T14" s="69" t="str">
        <f t="shared" si="21"/>
        <v xml:space="preserve">								("PartNo"),</v>
      </c>
      <c r="V14" s="70" t="str">
        <f t="shared" si="22"/>
        <v xml:space="preserve">								_ =&gt; _.PartNo,</v>
      </c>
      <c r="W14" s="69" t="str">
        <f t="shared" si="23"/>
        <v xml:space="preserve">				.WhereIf(!string.IsNullOrWhiteSpace(input.PartNo), e =&gt; e.PartNo.Contains(input.PartNo))</v>
      </c>
    </row>
    <row r="15" spans="1:23" customFormat="1" ht="18.75" customHeight="1" x14ac:dyDescent="0.25">
      <c r="A15" s="31" t="s">
        <v>340</v>
      </c>
      <c r="B15" t="s">
        <v>3</v>
      </c>
      <c r="C15" t="s">
        <v>1</v>
      </c>
      <c r="D15" t="str">
        <f t="shared" si="24"/>
        <v>DateIn</v>
      </c>
      <c r="E15" t="str">
        <f t="shared" si="13"/>
        <v>datetime</v>
      </c>
      <c r="F15" s="7"/>
      <c r="G15" t="str">
        <f t="shared" si="14"/>
        <v/>
      </c>
      <c r="H15" t="str">
        <f>+VLOOKUP(E15,'Data Type Mapping'!A:B,2,)</f>
        <v>DateTime</v>
      </c>
      <c r="I15" t="str">
        <f t="shared" si="15"/>
        <v/>
      </c>
      <c r="J15" t="str">
        <f t="shared" si="16"/>
        <v xml:space="preserve">		public virtual DateTime DateIn { get; set; }
</v>
      </c>
      <c r="K15" s="7"/>
      <c r="L15" t="str">
        <f t="shared" si="25"/>
        <v/>
      </c>
      <c r="M15" t="str">
        <f t="shared" si="17"/>
        <v xml:space="preserve">		public virtual DateTime? DateIn { get; set; }
</v>
      </c>
      <c r="N15" t="str">
        <f t="shared" si="18"/>
        <v xml:space="preserve">		public virtual DateTime? DateIn { get; set; }
</v>
      </c>
      <c r="O15" t="str">
        <f t="shared" si="19"/>
        <v xml:space="preserve">		public virtual DateTime? DateIn { get; set; }
</v>
      </c>
      <c r="P15" t="str">
        <f t="shared" si="20"/>
        <v xml:space="preserve">							DateIn = o.DateIn,</v>
      </c>
      <c r="T15" s="69" t="str">
        <f t="shared" si="21"/>
        <v xml:space="preserve">								("DateIn"),</v>
      </c>
      <c r="V15" s="70" t="str">
        <f t="shared" si="22"/>
        <v xml:space="preserve">								_ =&gt; _.DateIn,</v>
      </c>
      <c r="W15" s="69" t="str">
        <f t="shared" si="23"/>
        <v xml:space="preserve">				.WhereIf(input.DateIn.HasValue, t =&gt; t.DateIn == input.DateIn.Value)</v>
      </c>
    </row>
    <row r="16" spans="1:23" customFormat="1" ht="22.5" customHeight="1" x14ac:dyDescent="0.25">
      <c r="A16" s="31" t="s">
        <v>331</v>
      </c>
      <c r="B16" t="s">
        <v>328</v>
      </c>
      <c r="C16" t="s">
        <v>1</v>
      </c>
      <c r="D16" t="str">
        <f>SUBSTITUTE(PROPER(A16),"_","")</f>
        <v>Fob</v>
      </c>
      <c r="E16" t="str">
        <f t="shared" si="13"/>
        <v>numeric</v>
      </c>
      <c r="F16" s="7"/>
      <c r="G16" t="str">
        <f t="shared" si="14"/>
        <v>18, 4</v>
      </c>
      <c r="H16" t="str">
        <f>+VLOOKUP(E16,'Data Type Mapping'!A:B,2,)</f>
        <v>decimal</v>
      </c>
      <c r="I16" t="str">
        <f t="shared" si="15"/>
        <v/>
      </c>
      <c r="J16" t="str">
        <f t="shared" si="16"/>
        <v xml:space="preserve">		public virtual decimal Fob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[Index(nameof(Fob), Name="IX_InvImportByCont_Fob")]</v>
      </c>
      <c r="M16" t="str">
        <f t="shared" si="17"/>
        <v xml:space="preserve">		public virtual decimal Fob { get; set; }
</v>
      </c>
      <c r="N16" t="str">
        <f t="shared" si="18"/>
        <v xml:space="preserve">		public virtual decimal Fob { get; set; }
</v>
      </c>
      <c r="O16" t="str">
        <f t="shared" si="19"/>
        <v/>
      </c>
      <c r="P16" t="str">
        <f t="shared" si="20"/>
        <v xml:space="preserve">							Fob = o.Fob,</v>
      </c>
      <c r="T16" s="69" t="str">
        <f t="shared" si="21"/>
        <v xml:space="preserve">								("Fob"),</v>
      </c>
      <c r="V16" s="70" t="str">
        <f t="shared" si="22"/>
        <v xml:space="preserve">								_ =&gt; _.Fob,</v>
      </c>
      <c r="W16" s="69" t="str">
        <f t="shared" si="23"/>
        <v/>
      </c>
    </row>
    <row r="17" spans="1:23" customFormat="1" ht="21" customHeight="1" x14ac:dyDescent="0.25">
      <c r="A17" s="31" t="s">
        <v>332</v>
      </c>
      <c r="B17" t="s">
        <v>328</v>
      </c>
      <c r="C17" t="s">
        <v>1</v>
      </c>
      <c r="D17" t="str">
        <f t="shared" ref="D17:D18" si="26">SUBSTITUTE(PROPER(A17),"_","")</f>
        <v>Cif</v>
      </c>
      <c r="E17" t="str">
        <f t="shared" ref="E17:E23" si="27">IFERROR(LEFT(B17, FIND("(",B17)-1),B17)</f>
        <v>numeric</v>
      </c>
      <c r="F17" s="7"/>
      <c r="G17" t="str">
        <f t="shared" ref="G17:G23" si="28">IFERROR(MID(B17,FIND("(",B17) +1, FIND(")",B17) - FIND("(",B17) - 1),"")</f>
        <v>18, 4</v>
      </c>
      <c r="H17" t="str">
        <f>+VLOOKUP(E17,'Data Type Mapping'!A:B,2,)</f>
        <v>decimal</v>
      </c>
      <c r="I17" t="str">
        <f t="shared" ref="I17:I23" si="29">IF(H17="string",REPT(CHAR(9),2)&amp;"public const int Max"&amp;D17&amp;"Length = "&amp;G17&amp;";"&amp;$E$3,"" )</f>
        <v/>
      </c>
      <c r="J17" t="str">
        <f t="shared" ref="J17:J23" si="3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decimal Cif { get; set; }
</v>
      </c>
      <c r="K17" s="7"/>
      <c r="L17" t="str">
        <f t="shared" ref="L17:L18" si="31">IF(K17="","",REPT(CHAR(9),1)&amp;"[Index(nameof("&amp;IF(D17="","",""&amp;D17)&amp;")"&amp;", Name="&amp;"""IX_"&amp;$B$7&amp;"_"&amp;D17&amp;""")]")</f>
        <v/>
      </c>
      <c r="M17" t="str">
        <f t="shared" ref="M17:M23" si="32">REPT(CHAR(9),2)&amp;"public virtual "&amp;IF(OR(H17="DateTime",H17="TimeSpan"),H17&amp;"?",H17)&amp;IF(C17="?","? "," ")&amp;D17&amp;" { get; set; }" &amp; "
"</f>
        <v xml:space="preserve">		public virtual decimal Cif { get; set; }
</v>
      </c>
      <c r="N17" t="str">
        <f t="shared" ref="N17:N23" si="33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decimal Cif { get; set; }
</v>
      </c>
      <c r="O17" t="str">
        <f t="shared" ref="O17:O23" si="34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:P23" si="35">REPT(CHAR(9),7)&amp;D17&amp;" = o." &amp;D17 &amp;","</f>
        <v xml:space="preserve">							Cif = o.Cif,</v>
      </c>
      <c r="T17" s="69" t="str">
        <f t="shared" ref="T17:T23" si="36">REPT(CHAR(9),8)&amp;"("""&amp;D17&amp;"""),"</f>
        <v xml:space="preserve">								("Cif"),</v>
      </c>
      <c r="V17" s="70" t="str">
        <f t="shared" ref="V17:V23" si="37">REPT(CHAR(9),8)&amp;"_ =&gt; _."&amp;D17&amp;","</f>
        <v xml:space="preserve">								_ =&gt; _.Cif,</v>
      </c>
      <c r="W17" s="69" t="str">
        <f t="shared" ref="W17:W23" si="3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s="31" t="s">
        <v>341</v>
      </c>
      <c r="B18" t="s">
        <v>328</v>
      </c>
      <c r="C18" t="s">
        <v>1</v>
      </c>
      <c r="D18" t="str">
        <f t="shared" si="26"/>
        <v>ImportTax</v>
      </c>
      <c r="E18" t="str">
        <f t="shared" si="27"/>
        <v>numeric</v>
      </c>
      <c r="F18" s="7"/>
      <c r="G18" t="str">
        <f t="shared" si="28"/>
        <v>18, 4</v>
      </c>
      <c r="H18" t="str">
        <f>+VLOOKUP(E18,'Data Type Mapping'!A:B,2,)</f>
        <v>decimal</v>
      </c>
      <c r="I18" t="str">
        <f t="shared" si="29"/>
        <v/>
      </c>
      <c r="J18" t="str">
        <f t="shared" si="30"/>
        <v xml:space="preserve">		public virtual decimal ImportTax { get; set; }
</v>
      </c>
      <c r="K18" s="7"/>
      <c r="L18" t="str">
        <f t="shared" si="31"/>
        <v/>
      </c>
      <c r="M18" t="str">
        <f t="shared" si="32"/>
        <v xml:space="preserve">		public virtual decimal ImportTax { get; set; }
</v>
      </c>
      <c r="N18" t="str">
        <f t="shared" si="33"/>
        <v xml:space="preserve">		public virtual decimal ImportTax { get; set; }
</v>
      </c>
      <c r="O18" t="str">
        <f t="shared" si="34"/>
        <v/>
      </c>
      <c r="P18" t="str">
        <f t="shared" si="35"/>
        <v xml:space="preserve">							ImportTax = o.ImportTax,</v>
      </c>
      <c r="T18" s="69" t="str">
        <f t="shared" si="36"/>
        <v xml:space="preserve">								("ImportTax"),</v>
      </c>
      <c r="V18" s="70" t="str">
        <f t="shared" si="37"/>
        <v xml:space="preserve">								_ =&gt; _.ImportTax,</v>
      </c>
      <c r="W18" s="69" t="str">
        <f t="shared" si="38"/>
        <v/>
      </c>
    </row>
    <row r="19" spans="1:23" customFormat="1" ht="22.5" customHeight="1" x14ac:dyDescent="0.25">
      <c r="A19" s="31" t="s">
        <v>342</v>
      </c>
      <c r="B19" t="s">
        <v>333</v>
      </c>
      <c r="C19" t="s">
        <v>1</v>
      </c>
      <c r="D19" t="str">
        <f>SUBSTITUTE(PROPER(A19),"_","")</f>
        <v>InlandCharge</v>
      </c>
      <c r="E19" t="str">
        <f t="shared" si="27"/>
        <v>numeric</v>
      </c>
      <c r="F19" s="7"/>
      <c r="G19" t="str">
        <f t="shared" si="28"/>
        <v>18, 8</v>
      </c>
      <c r="H19" t="str">
        <f>+VLOOKUP(E19,'Data Type Mapping'!A:B,2,)</f>
        <v>decimal</v>
      </c>
      <c r="I19" t="str">
        <f t="shared" si="29"/>
        <v/>
      </c>
      <c r="J19" t="str">
        <f t="shared" si="30"/>
        <v xml:space="preserve">		public virtual decimal InlandCharge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[Index(nameof(InlandCharge), Name="IX_InvImportByCont_InlandCharge")]</v>
      </c>
      <c r="M19" t="str">
        <f t="shared" si="32"/>
        <v xml:space="preserve">		public virtual decimal InlandCharge { get; set; }
</v>
      </c>
      <c r="N19" t="str">
        <f t="shared" si="33"/>
        <v xml:space="preserve">		public virtual decimal InlandCharge { get; set; }
</v>
      </c>
      <c r="O19" t="str">
        <f t="shared" si="34"/>
        <v/>
      </c>
      <c r="P19" t="str">
        <f t="shared" si="35"/>
        <v xml:space="preserve">							InlandCharge = o.InlandCharge,</v>
      </c>
      <c r="T19" s="69" t="str">
        <f t="shared" si="36"/>
        <v xml:space="preserve">								("InlandCharge"),</v>
      </c>
      <c r="V19" s="70" t="str">
        <f t="shared" si="37"/>
        <v xml:space="preserve">								_ =&gt; _.InlandCharge,</v>
      </c>
      <c r="W19" s="69" t="str">
        <f t="shared" si="38"/>
        <v/>
      </c>
    </row>
    <row r="20" spans="1:23" customFormat="1" ht="22.5" customHeight="1" x14ac:dyDescent="0.25">
      <c r="A20" s="31" t="s">
        <v>329</v>
      </c>
      <c r="B20" t="s">
        <v>333</v>
      </c>
      <c r="C20" t="s">
        <v>1</v>
      </c>
      <c r="D20" t="str">
        <f>SUBSTITUTE(PROPER(A20),"_","")</f>
        <v>Amount</v>
      </c>
      <c r="E20" t="str">
        <f t="shared" si="27"/>
        <v>numeric</v>
      </c>
      <c r="F20" s="7"/>
      <c r="G20" t="str">
        <f t="shared" si="28"/>
        <v>18, 8</v>
      </c>
      <c r="H20" t="str">
        <f>+VLOOKUP(E20,'Data Type Mapping'!A:B,2,)</f>
        <v>decimal</v>
      </c>
      <c r="I20" t="str">
        <f t="shared" si="29"/>
        <v/>
      </c>
      <c r="J20" t="str">
        <f t="shared" si="30"/>
        <v xml:space="preserve">		public virtual decimal Amount { get; set; }
</v>
      </c>
      <c r="K20" s="7" t="s">
        <v>206</v>
      </c>
      <c r="L20" t="str">
        <f>IF(K20="","",REPT(CHAR(9),1)&amp;"[Index(nameof("&amp;IF(D20="","",""&amp;D20)&amp;")"&amp;", Name="&amp;"""IX_"&amp;$B$7&amp;"_"&amp;D20&amp;""")]")</f>
        <v xml:space="preserve">	[Index(nameof(Amount), Name="IX_InvImportByCont_Amount")]</v>
      </c>
      <c r="M20" t="str">
        <f t="shared" si="32"/>
        <v xml:space="preserve">		public virtual decimal Amount { get; set; }
</v>
      </c>
      <c r="N20" t="str">
        <f t="shared" si="33"/>
        <v xml:space="preserve">		public virtual decimal Amount { get; set; }
</v>
      </c>
      <c r="O20" t="str">
        <f t="shared" si="34"/>
        <v/>
      </c>
      <c r="P20" t="str">
        <f t="shared" si="35"/>
        <v xml:space="preserve">							Amount = o.Amount,</v>
      </c>
      <c r="T20" s="69" t="str">
        <f t="shared" si="36"/>
        <v xml:space="preserve">								("Amount"),</v>
      </c>
      <c r="V20" s="70" t="str">
        <f t="shared" si="37"/>
        <v xml:space="preserve">								_ =&gt; _.Amount,</v>
      </c>
      <c r="W20" s="69" t="str">
        <f t="shared" si="38"/>
        <v/>
      </c>
    </row>
    <row r="21" spans="1:23" customFormat="1" ht="21" customHeight="1" x14ac:dyDescent="0.25">
      <c r="A21" s="31" t="s">
        <v>334</v>
      </c>
      <c r="B21" t="s">
        <v>4</v>
      </c>
      <c r="C21" t="s">
        <v>1</v>
      </c>
      <c r="D21" t="str">
        <f t="shared" ref="D21:D23" si="39">SUBSTITUTE(PROPER(A21),"_","")</f>
        <v>Qty</v>
      </c>
      <c r="E21" t="str">
        <f t="shared" si="27"/>
        <v>int</v>
      </c>
      <c r="F21" s="7"/>
      <c r="G21" t="str">
        <f t="shared" si="28"/>
        <v/>
      </c>
      <c r="H21" t="str">
        <f>+VLOOKUP(E21,'Data Type Mapping'!A:B,2,)</f>
        <v>int</v>
      </c>
      <c r="I21" t="str">
        <f t="shared" si="29"/>
        <v/>
      </c>
      <c r="J21" t="str">
        <f t="shared" si="30"/>
        <v xml:space="preserve">		public virtual int Qty { get; set; }
</v>
      </c>
      <c r="K21" s="7"/>
      <c r="L21" t="str">
        <f t="shared" ref="L21:L23" si="40">IF(K21="","",REPT(CHAR(9),1)&amp;"[Index(nameof("&amp;IF(D21="","",""&amp;D21)&amp;")"&amp;", Name="&amp;"""IX_"&amp;$B$7&amp;"_"&amp;D21&amp;""")]")</f>
        <v/>
      </c>
      <c r="M21" t="str">
        <f t="shared" si="32"/>
        <v xml:space="preserve">		public virtual int Qty { get; set; }
</v>
      </c>
      <c r="N21" t="str">
        <f t="shared" si="33"/>
        <v xml:space="preserve">		public virtual int Qty { get; set; }
</v>
      </c>
      <c r="O21" t="str">
        <f t="shared" si="34"/>
        <v xml:space="preserve">		public virtual int Qty { get; set; }
</v>
      </c>
      <c r="P21" t="str">
        <f t="shared" si="35"/>
        <v xml:space="preserve">							Qty = o.Qty,</v>
      </c>
      <c r="T21" s="69" t="str">
        <f t="shared" si="36"/>
        <v xml:space="preserve">								("Qty"),</v>
      </c>
      <c r="V21" s="70" t="str">
        <f t="shared" si="37"/>
        <v xml:space="preserve">								_ =&gt; _.Qty,</v>
      </c>
      <c r="W21" s="69" t="str">
        <f t="shared" si="38"/>
        <v/>
      </c>
    </row>
    <row r="22" spans="1:23" customFormat="1" ht="18.75" customHeight="1" x14ac:dyDescent="0.25">
      <c r="A22" s="31" t="s">
        <v>335</v>
      </c>
      <c r="B22" t="s">
        <v>333</v>
      </c>
      <c r="C22" t="s">
        <v>1</v>
      </c>
      <c r="D22" t="str">
        <f t="shared" si="39"/>
        <v>Price</v>
      </c>
      <c r="E22" t="str">
        <f t="shared" si="27"/>
        <v>numeric</v>
      </c>
      <c r="F22" s="7"/>
      <c r="G22" t="str">
        <f t="shared" si="28"/>
        <v>18, 8</v>
      </c>
      <c r="H22" t="str">
        <f>+VLOOKUP(E22,'Data Type Mapping'!A:B,2,)</f>
        <v>decimal</v>
      </c>
      <c r="I22" t="str">
        <f t="shared" si="29"/>
        <v/>
      </c>
      <c r="J22" t="str">
        <f t="shared" si="30"/>
        <v xml:space="preserve">		public virtual decimal Price { get; set; }
</v>
      </c>
      <c r="K22" s="7"/>
      <c r="L22" t="str">
        <f t="shared" si="40"/>
        <v/>
      </c>
      <c r="M22" t="str">
        <f t="shared" si="32"/>
        <v xml:space="preserve">		public virtual decimal Price { get; set; }
</v>
      </c>
      <c r="N22" t="str">
        <f t="shared" si="33"/>
        <v xml:space="preserve">		public virtual decimal Price { get; set; }
</v>
      </c>
      <c r="O22" t="str">
        <f t="shared" si="34"/>
        <v/>
      </c>
      <c r="P22" t="str">
        <f t="shared" si="35"/>
        <v xml:space="preserve">							Price = o.Price,</v>
      </c>
      <c r="T22" s="69" t="str">
        <f t="shared" si="36"/>
        <v xml:space="preserve">								("Price"),</v>
      </c>
      <c r="V22" s="70" t="str">
        <f t="shared" si="37"/>
        <v xml:space="preserve">								_ =&gt; _.Price,</v>
      </c>
      <c r="W22" s="69" t="str">
        <f t="shared" si="38"/>
        <v/>
      </c>
    </row>
    <row r="23" spans="1:23" customFormat="1" ht="21" customHeight="1" x14ac:dyDescent="0.25">
      <c r="A23" s="31" t="s">
        <v>343</v>
      </c>
      <c r="B23" t="s">
        <v>328</v>
      </c>
      <c r="C23" t="s">
        <v>1</v>
      </c>
      <c r="D23" t="str">
        <f t="shared" si="39"/>
        <v>FobVn</v>
      </c>
      <c r="E23" t="str">
        <f t="shared" si="27"/>
        <v>numeric</v>
      </c>
      <c r="F23" s="7"/>
      <c r="G23" t="str">
        <f t="shared" si="28"/>
        <v>18, 4</v>
      </c>
      <c r="H23" t="str">
        <f>+VLOOKUP(E23,'Data Type Mapping'!A:B,2,)</f>
        <v>decimal</v>
      </c>
      <c r="I23" t="str">
        <f t="shared" si="29"/>
        <v/>
      </c>
      <c r="J23" t="str">
        <f t="shared" si="30"/>
        <v xml:space="preserve">		public virtual decimal FobVn { get; set; }
</v>
      </c>
      <c r="K23" s="7"/>
      <c r="L23" t="str">
        <f t="shared" si="40"/>
        <v/>
      </c>
      <c r="M23" t="str">
        <f t="shared" si="32"/>
        <v xml:space="preserve">		public virtual decimal FobVn { get; set; }
</v>
      </c>
      <c r="N23" t="str">
        <f t="shared" si="33"/>
        <v xml:space="preserve">		public virtual decimal FobVn { get; set; }
</v>
      </c>
      <c r="O23" t="str">
        <f t="shared" si="34"/>
        <v/>
      </c>
      <c r="P23" t="str">
        <f t="shared" si="35"/>
        <v xml:space="preserve">							FobVn = o.FobVn,</v>
      </c>
      <c r="T23" s="69" t="str">
        <f t="shared" si="36"/>
        <v xml:space="preserve">								("FobVn"),</v>
      </c>
      <c r="V23" s="70" t="str">
        <f t="shared" si="37"/>
        <v xml:space="preserve">								_ =&gt; _.FobVn,</v>
      </c>
      <c r="W23" s="69" t="str">
        <f t="shared" si="38"/>
        <v/>
      </c>
    </row>
    <row r="24" spans="1:23" customFormat="1" ht="22.5" customHeight="1" x14ac:dyDescent="0.25">
      <c r="A24" s="31" t="s">
        <v>344</v>
      </c>
      <c r="B24" t="s">
        <v>328</v>
      </c>
      <c r="C24" t="s">
        <v>1</v>
      </c>
      <c r="D24" t="str">
        <f>SUBSTITUTE(PROPER(A24),"_","")</f>
        <v>CifVn</v>
      </c>
      <c r="E24" t="str">
        <f t="shared" si="13"/>
        <v>numeric</v>
      </c>
      <c r="F24" s="7"/>
      <c r="G24" t="str">
        <f t="shared" si="14"/>
        <v>18, 4</v>
      </c>
      <c r="H24" t="str">
        <f>+VLOOKUP(E24,'Data Type Mapping'!A:B,2,)</f>
        <v>decimal</v>
      </c>
      <c r="I24" t="str">
        <f t="shared" si="15"/>
        <v/>
      </c>
      <c r="J24" t="str">
        <f t="shared" si="16"/>
        <v xml:space="preserve">		public virtual decimal CifVn { get; set; }
</v>
      </c>
      <c r="K24" s="7" t="s">
        <v>206</v>
      </c>
      <c r="L24" t="str">
        <f>IF(K24="","",REPT(CHAR(9),1)&amp;"[Index(nameof("&amp;IF(D24="","",""&amp;D24)&amp;")"&amp;", Name="&amp;"""IX_"&amp;$B$7&amp;"_"&amp;D24&amp;""")]")</f>
        <v xml:space="preserve">	[Index(nameof(CifVn), Name="IX_InvImportByCont_CifVn")]</v>
      </c>
      <c r="M24" t="str">
        <f t="shared" si="17"/>
        <v xml:space="preserve">		public virtual decimal CifVn { get; set; }
</v>
      </c>
      <c r="N24" t="str">
        <f t="shared" si="18"/>
        <v xml:space="preserve">		public virtual decimal CifVn { get; set; }
</v>
      </c>
      <c r="O24" t="str">
        <f t="shared" si="19"/>
        <v/>
      </c>
      <c r="P24" t="str">
        <f t="shared" si="20"/>
        <v xml:space="preserve">							CifVn = o.CifVn,</v>
      </c>
      <c r="T24" s="69" t="str">
        <f t="shared" si="21"/>
        <v xml:space="preserve">								("CifVn"),</v>
      </c>
      <c r="V24" s="70" t="str">
        <f t="shared" si="22"/>
        <v xml:space="preserve">								_ =&gt; _.CifVn,</v>
      </c>
      <c r="W24" s="69" t="str">
        <f t="shared" si="23"/>
        <v/>
      </c>
    </row>
    <row r="25" spans="1:23" customFormat="1" ht="21" customHeight="1" x14ac:dyDescent="0.25">
      <c r="A25" s="31" t="s">
        <v>345</v>
      </c>
      <c r="B25" t="s">
        <v>328</v>
      </c>
      <c r="C25" t="s">
        <v>1</v>
      </c>
      <c r="D25" t="str">
        <f t="shared" ref="D25:D26" si="41">SUBSTITUTE(PROPER(A25),"_","")</f>
        <v>ImportTaxVn</v>
      </c>
      <c r="E25" t="str">
        <f t="shared" si="13"/>
        <v>numeric</v>
      </c>
      <c r="F25" s="7"/>
      <c r="G25" t="str">
        <f t="shared" si="14"/>
        <v>18, 4</v>
      </c>
      <c r="H25" t="str">
        <f>+VLOOKUP(E25,'Data Type Mapping'!A:B,2,)</f>
        <v>decimal</v>
      </c>
      <c r="I25" t="str">
        <f t="shared" si="15"/>
        <v/>
      </c>
      <c r="J25" t="str">
        <f t="shared" si="16"/>
        <v xml:space="preserve">		public virtual decimal ImportTaxVn { get; set; }
</v>
      </c>
      <c r="K25" s="7"/>
      <c r="L25" t="str">
        <f t="shared" ref="L25:L26" si="42">IF(K25="","",REPT(CHAR(9),1)&amp;"[Index(nameof("&amp;IF(D25="","",""&amp;D25)&amp;")"&amp;", Name="&amp;"""IX_"&amp;$B$7&amp;"_"&amp;D25&amp;""")]")</f>
        <v/>
      </c>
      <c r="M25" t="str">
        <f t="shared" si="17"/>
        <v xml:space="preserve">		public virtual decimal ImportTaxVn { get; set; }
</v>
      </c>
      <c r="N25" t="str">
        <f t="shared" si="18"/>
        <v xml:space="preserve">		public virtual decimal ImportTaxVn { get; set; }
</v>
      </c>
      <c r="O25" t="str">
        <f t="shared" si="19"/>
        <v/>
      </c>
      <c r="P25" t="str">
        <f t="shared" si="20"/>
        <v xml:space="preserve">							ImportTaxVn = o.ImportTaxVn,</v>
      </c>
      <c r="T25" s="69" t="str">
        <f t="shared" si="21"/>
        <v xml:space="preserve">								("ImportTaxVn"),</v>
      </c>
      <c r="V25" s="70" t="str">
        <f t="shared" si="22"/>
        <v xml:space="preserve">								_ =&gt; _.ImportTaxVn,</v>
      </c>
      <c r="W25" s="69" t="str">
        <f t="shared" si="23"/>
        <v/>
      </c>
    </row>
    <row r="26" spans="1:23" customFormat="1" ht="18.75" customHeight="1" x14ac:dyDescent="0.25">
      <c r="A26" s="31" t="s">
        <v>346</v>
      </c>
      <c r="B26" t="s">
        <v>333</v>
      </c>
      <c r="C26" t="s">
        <v>1</v>
      </c>
      <c r="D26" t="str">
        <f t="shared" si="41"/>
        <v>InlandChargeVn</v>
      </c>
      <c r="E26" t="str">
        <f t="shared" si="13"/>
        <v>numeric</v>
      </c>
      <c r="F26" s="7"/>
      <c r="G26" t="str">
        <f t="shared" si="14"/>
        <v>18, 8</v>
      </c>
      <c r="H26" t="str">
        <f>+VLOOKUP(E26,'Data Type Mapping'!A:B,2,)</f>
        <v>decimal</v>
      </c>
      <c r="I26" t="str">
        <f t="shared" si="15"/>
        <v/>
      </c>
      <c r="J26" t="str">
        <f t="shared" si="16"/>
        <v xml:space="preserve">		public virtual decimal InlandChargeVn { get; set; }
</v>
      </c>
      <c r="K26" s="7"/>
      <c r="L26" t="str">
        <f t="shared" si="42"/>
        <v/>
      </c>
      <c r="M26" t="str">
        <f t="shared" si="17"/>
        <v xml:space="preserve">		public virtual decimal InlandChargeVn { get; set; }
</v>
      </c>
      <c r="N26" t="str">
        <f t="shared" si="18"/>
        <v xml:space="preserve">		public virtual decimal InlandChargeVn { get; set; }
</v>
      </c>
      <c r="O26" t="str">
        <f t="shared" si="19"/>
        <v/>
      </c>
      <c r="P26" t="str">
        <f t="shared" si="20"/>
        <v xml:space="preserve">							InlandChargeVn = o.InlandChargeVn,</v>
      </c>
      <c r="T26" s="69" t="str">
        <f t="shared" si="21"/>
        <v xml:space="preserve">								("InlandChargeVn"),</v>
      </c>
      <c r="V26" s="70" t="str">
        <f t="shared" si="22"/>
        <v xml:space="preserve">								_ =&gt; _.InlandChargeVn,</v>
      </c>
      <c r="W26" s="69" t="str">
        <f t="shared" si="23"/>
        <v/>
      </c>
    </row>
    <row r="27" spans="1:23" customFormat="1" ht="22.5" customHeight="1" x14ac:dyDescent="0.25">
      <c r="A27" s="31" t="s">
        <v>330</v>
      </c>
      <c r="B27" t="s">
        <v>333</v>
      </c>
      <c r="C27" t="s">
        <v>1</v>
      </c>
      <c r="D27" t="str">
        <f>SUBSTITUTE(PROPER(A27),"_","")</f>
        <v>AmountVn</v>
      </c>
      <c r="E27" t="str">
        <f t="shared" si="1"/>
        <v>numeric</v>
      </c>
      <c r="F27" s="7"/>
      <c r="G27" t="str">
        <f t="shared" si="2"/>
        <v>18, 8</v>
      </c>
      <c r="H27" t="str">
        <f>+VLOOKUP(E27,'Data Type Mapping'!A:B,2,)</f>
        <v>decimal</v>
      </c>
      <c r="I27" t="str">
        <f t="shared" si="3"/>
        <v/>
      </c>
      <c r="J27" t="str">
        <f t="shared" si="4"/>
        <v xml:space="preserve">		public virtual decimal AmountVn { get; set; }
</v>
      </c>
      <c r="K27" s="7" t="s">
        <v>206</v>
      </c>
      <c r="L27" t="str">
        <f>IF(K27="","",REPT(CHAR(9),1)&amp;"[Index(nameof("&amp;IF(D27="","",""&amp;D27)&amp;")"&amp;", Name="&amp;"""IX_"&amp;$B$7&amp;"_"&amp;D27&amp;""")]")</f>
        <v xml:space="preserve">	[Index(nameof(AmountVn), Name="IX_InvImportByCont_AmountVn")]</v>
      </c>
      <c r="M27" t="str">
        <f t="shared" si="6"/>
        <v xml:space="preserve">		public virtual decimal AmountVn { get; set; }
</v>
      </c>
      <c r="N27" t="str">
        <f t="shared" si="7"/>
        <v xml:space="preserve">		public virtual decimal AmountVn { get; set; }
</v>
      </c>
      <c r="O27" t="str">
        <f t="shared" si="8"/>
        <v/>
      </c>
      <c r="P27" t="str">
        <f t="shared" si="9"/>
        <v xml:space="preserve">							AmountVn = o.AmountVn,</v>
      </c>
      <c r="T27" s="69" t="str">
        <f t="shared" si="10"/>
        <v xml:space="preserve">								("AmountVn"),</v>
      </c>
      <c r="V27" s="70" t="str">
        <f t="shared" si="11"/>
        <v xml:space="preserve">								_ =&gt; _.AmountVn,</v>
      </c>
      <c r="W27" s="69" t="str">
        <f t="shared" si="12"/>
        <v/>
      </c>
    </row>
    <row r="28" spans="1:23" customFormat="1" ht="22.5" customHeight="1" x14ac:dyDescent="0.25">
      <c r="A28" s="31" t="s">
        <v>347</v>
      </c>
      <c r="B28" t="s">
        <v>333</v>
      </c>
      <c r="C28" t="s">
        <v>1</v>
      </c>
      <c r="D28" t="str">
        <f>SUBSTITUTE(PROPER(A28),"_","")</f>
        <v>PriceVn</v>
      </c>
      <c r="E28" t="str">
        <f t="shared" si="1"/>
        <v>numeric</v>
      </c>
      <c r="F28" s="7"/>
      <c r="G28" t="str">
        <f t="shared" si="2"/>
        <v>18, 8</v>
      </c>
      <c r="H28" t="str">
        <f>+VLOOKUP(E28,'Data Type Mapping'!A:B,2,)</f>
        <v>decimal</v>
      </c>
      <c r="I28" t="str">
        <f t="shared" si="3"/>
        <v/>
      </c>
      <c r="J28" t="str">
        <f t="shared" si="4"/>
        <v xml:space="preserve">		public virtual decimal PriceVn { get; set; }
</v>
      </c>
      <c r="K28" s="7" t="s">
        <v>206</v>
      </c>
      <c r="L28" t="str">
        <f>IF(K28="","",REPT(CHAR(9),1)&amp;"[Index(nameof("&amp;IF(D28="","",""&amp;D28)&amp;")"&amp;", Name="&amp;"""IX_"&amp;$B$7&amp;"_"&amp;D28&amp;""")]")</f>
        <v xml:space="preserve">	[Index(nameof(PriceVn), Name="IX_InvImportByCont_PriceVn")]</v>
      </c>
      <c r="M28" t="str">
        <f t="shared" si="6"/>
        <v xml:space="preserve">		public virtual decimal PriceVn { get; set; }
</v>
      </c>
      <c r="N28" t="str">
        <f t="shared" si="7"/>
        <v xml:space="preserve">		public virtual decimal PriceVn { get; set; }
</v>
      </c>
      <c r="O28" t="str">
        <f t="shared" si="8"/>
        <v/>
      </c>
      <c r="P28" t="str">
        <f t="shared" si="9"/>
        <v xml:space="preserve">							PriceVn = o.PriceVn,</v>
      </c>
      <c r="T28" s="69" t="str">
        <f t="shared" si="10"/>
        <v xml:space="preserve">								("PriceVn"),</v>
      </c>
      <c r="V28" s="70" t="str">
        <f t="shared" si="11"/>
        <v xml:space="preserve">								_ =&gt; _.PriceVn,</v>
      </c>
      <c r="W28" s="69" t="str">
        <f t="shared" si="12"/>
        <v/>
      </c>
    </row>
    <row r="29" spans="1:23" customFormat="1" ht="21" customHeight="1" x14ac:dyDescent="0.25">
      <c r="A29" s="31" t="s">
        <v>348</v>
      </c>
      <c r="B29" t="s">
        <v>3</v>
      </c>
      <c r="C29" t="s">
        <v>1</v>
      </c>
      <c r="D29" t="str">
        <f t="shared" ref="D29:D30" si="43">SUBSTITUTE(PROPER(A29),"_","")</f>
        <v>InvoiceDate</v>
      </c>
      <c r="E29" t="str">
        <f t="shared" si="1"/>
        <v>datetime</v>
      </c>
      <c r="F29" s="7"/>
      <c r="G29" t="str">
        <f t="shared" si="2"/>
        <v/>
      </c>
      <c r="H29" t="str">
        <f>+VLOOKUP(E29,'Data Type Mapping'!A:B,2,)</f>
        <v>DateTime</v>
      </c>
      <c r="I29" t="str">
        <f t="shared" si="3"/>
        <v/>
      </c>
      <c r="J29" t="str">
        <f t="shared" si="4"/>
        <v xml:space="preserve">		public virtual DateTime InvoiceDate { get; set; }
</v>
      </c>
      <c r="K29" s="7"/>
      <c r="L29" t="str">
        <f t="shared" ref="L29:L30" si="44">IF(K29="","",REPT(CHAR(9),1)&amp;"[Index(nameof("&amp;IF(D29="","",""&amp;D29)&amp;")"&amp;", Name="&amp;"""IX_"&amp;$B$7&amp;"_"&amp;D29&amp;""")]")</f>
        <v/>
      </c>
      <c r="M29" t="str">
        <f t="shared" si="6"/>
        <v xml:space="preserve">		public virtual DateTime? InvoiceDate { get; set; }
</v>
      </c>
      <c r="N29" t="str">
        <f t="shared" si="7"/>
        <v xml:space="preserve">		public virtual DateTime? InvoiceDate { get; set; }
</v>
      </c>
      <c r="O29" t="str">
        <f t="shared" si="8"/>
        <v xml:space="preserve">		public virtual DateTime? InvoiceDate { get; set; }
</v>
      </c>
      <c r="P29" t="str">
        <f t="shared" si="9"/>
        <v xml:space="preserve">							InvoiceDate = o.InvoiceDate,</v>
      </c>
      <c r="T29" s="69" t="str">
        <f t="shared" si="10"/>
        <v xml:space="preserve">								("InvoiceDate"),</v>
      </c>
      <c r="V29" s="70" t="str">
        <f t="shared" si="11"/>
        <v xml:space="preserve">								_ =&gt; _.InvoiceDate,</v>
      </c>
      <c r="W29" s="69" t="str">
        <f t="shared" si="12"/>
        <v xml:space="preserve">				.WhereIf(input.InvoiceDate.HasValue, t =&gt; t.InvoiceDate == input.InvoiceDate.Value)</v>
      </c>
    </row>
    <row r="30" spans="1:23" customFormat="1" ht="18.75" customHeight="1" x14ac:dyDescent="0.25">
      <c r="A30" s="31" t="s">
        <v>349</v>
      </c>
      <c r="B30" t="s">
        <v>3</v>
      </c>
      <c r="C30" t="s">
        <v>1</v>
      </c>
      <c r="D30" t="str">
        <f t="shared" si="43"/>
        <v>ReceiveDate</v>
      </c>
      <c r="E30" t="str">
        <f t="shared" si="1"/>
        <v>datetime</v>
      </c>
      <c r="F30" s="7"/>
      <c r="G30" t="str">
        <f t="shared" si="2"/>
        <v/>
      </c>
      <c r="H30" t="str">
        <f>+VLOOKUP(E30,'Data Type Mapping'!A:B,2,)</f>
        <v>DateTime</v>
      </c>
      <c r="I30" t="str">
        <f t="shared" si="3"/>
        <v/>
      </c>
      <c r="J30" t="str">
        <f t="shared" si="4"/>
        <v xml:space="preserve">		public virtual DateTime ReceiveDate { get; set; }
</v>
      </c>
      <c r="K30" s="7"/>
      <c r="L30" t="str">
        <f t="shared" si="44"/>
        <v/>
      </c>
      <c r="M30" t="str">
        <f t="shared" si="6"/>
        <v xml:space="preserve">		public virtual DateTime? ReceiveDate { get; set; }
</v>
      </c>
      <c r="N30" t="str">
        <f t="shared" si="7"/>
        <v xml:space="preserve">		public virtual DateTime? ReceiveDate { get; set; }
</v>
      </c>
      <c r="O30" t="str">
        <f t="shared" si="8"/>
        <v xml:space="preserve">		public virtual DateTime? ReceiveDate { get; set; }
</v>
      </c>
      <c r="P30" t="str">
        <f t="shared" si="9"/>
        <v xml:space="preserve">							ReceiveDate = o.ReceiveDate,</v>
      </c>
      <c r="T30" s="69" t="str">
        <f t="shared" si="10"/>
        <v xml:space="preserve">								("ReceiveDate"),</v>
      </c>
      <c r="V30" s="70" t="str">
        <f t="shared" si="11"/>
        <v xml:space="preserve">								_ =&gt; _.ReceiveDate,</v>
      </c>
      <c r="W30" s="69" t="str">
        <f t="shared" si="12"/>
        <v xml:space="preserve">				.WhereIf(input.ReceiveDate.HasValue, t =&gt; t.ReceiveDate == input.ReceiveDate.Value)</v>
      </c>
    </row>
    <row r="31" spans="1:23" customFormat="1" ht="22.5" customHeight="1" x14ac:dyDescent="0.25">
      <c r="A31" s="31" t="s">
        <v>350</v>
      </c>
      <c r="B31" t="s">
        <v>4</v>
      </c>
      <c r="C31" t="s">
        <v>1</v>
      </c>
      <c r="D31" t="str">
        <f>SUBSTITUTE(PROPER(A31),"_","")</f>
        <v>ContSize</v>
      </c>
      <c r="E31" t="str">
        <f t="shared" ref="E31:E32" si="45">IFERROR(LEFT(B31, FIND("(",B31)-1),B31)</f>
        <v>int</v>
      </c>
      <c r="F31" s="7"/>
      <c r="G31" t="str">
        <f t="shared" ref="G31:G32" si="46">IFERROR(MID(B31,FIND("(",B31) +1, FIND(")",B31) - FIND("(",B31) - 1),"")</f>
        <v/>
      </c>
      <c r="H31" t="str">
        <f>+VLOOKUP(E31,'Data Type Mapping'!A:B,2,)</f>
        <v>int</v>
      </c>
      <c r="I31" t="str">
        <f t="shared" ref="I31:I32" si="47">IF(H31="string",REPT(CHAR(9),2)&amp;"public const int Max"&amp;D31&amp;"Length = "&amp;G31&amp;";"&amp;$E$3,"" )</f>
        <v/>
      </c>
      <c r="J31" t="str">
        <f t="shared" ref="J31:J32" si="48"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public virtual int ContSize { get; set; }
</v>
      </c>
      <c r="K31" s="7" t="s">
        <v>206</v>
      </c>
      <c r="L31" t="str">
        <f>IF(K31="","",REPT(CHAR(9),1)&amp;"[Index(nameof("&amp;IF(D31="","",""&amp;D31)&amp;")"&amp;", Name="&amp;"""IX_"&amp;$B$7&amp;"_"&amp;D31&amp;""")]")</f>
        <v xml:space="preserve">	[Index(nameof(ContSize), Name="IX_InvImportByCont_ContSize")]</v>
      </c>
      <c r="M31" t="str">
        <f t="shared" ref="M31:M32" si="49">REPT(CHAR(9),2)&amp;"public virtual "&amp;IF(OR(H31="DateTime",H31="TimeSpan"),H31&amp;"?",H31)&amp;IF(C31="?","? "," ")&amp;D31&amp;" { get; set; }" &amp; "
"</f>
        <v xml:space="preserve">		public virtual int ContSize { get; set; }
</v>
      </c>
      <c r="N31" t="str">
        <f t="shared" ref="N31:N32" si="50"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public virtual int ContSize { get; set; }
</v>
      </c>
      <c r="O31" t="str">
        <f t="shared" ref="O31:O32" si="51">IF(OR(H31="string",H31="DateTime",H31="int"),REPT(CHAR(9),2)&amp;"public virtual "&amp;IF(OR(H31="DateTime",H31="TimeSpan"),H31&amp;"?",H31)&amp;IF(C31="?","? "," ")&amp;D31&amp;" { get; set; }"&amp;$E$3,"")</f>
        <v xml:space="preserve">		public virtual int ContSize { get; set; }
</v>
      </c>
      <c r="P31" t="str">
        <f t="shared" ref="P31:P32" si="52">REPT(CHAR(9),7)&amp;D31&amp;" = o." &amp;D31 &amp;","</f>
        <v xml:space="preserve">							ContSize = o.ContSize,</v>
      </c>
      <c r="T31" s="69" t="str">
        <f t="shared" ref="T31:T32" si="53">REPT(CHAR(9),8)&amp;"("""&amp;D31&amp;"""),"</f>
        <v xml:space="preserve">								("ContSize"),</v>
      </c>
      <c r="V31" s="70" t="str">
        <f t="shared" ref="V31:V32" si="54">REPT(CHAR(9),8)&amp;"_ =&gt; _."&amp;D31&amp;","</f>
        <v xml:space="preserve">								_ =&gt; _.ContSize,</v>
      </c>
      <c r="W31" s="69" t="str">
        <f t="shared" ref="W31:W32" si="55"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/>
      </c>
    </row>
    <row r="32" spans="1:23" customFormat="1" ht="21" customHeight="1" x14ac:dyDescent="0.25">
      <c r="A32" s="31" t="s">
        <v>336</v>
      </c>
      <c r="B32" t="s">
        <v>3</v>
      </c>
      <c r="C32" t="s">
        <v>1</v>
      </c>
      <c r="D32" t="str">
        <f t="shared" ref="D32" si="56">SUBSTITUTE(PROPER(A32),"_","")</f>
        <v>Eta</v>
      </c>
      <c r="E32" t="str">
        <f t="shared" si="45"/>
        <v>datetime</v>
      </c>
      <c r="F32" s="7"/>
      <c r="G32" t="str">
        <f t="shared" si="46"/>
        <v/>
      </c>
      <c r="H32" t="str">
        <f>+VLOOKUP(E32,'Data Type Mapping'!A:B,2,)</f>
        <v>DateTime</v>
      </c>
      <c r="I32" t="str">
        <f t="shared" si="47"/>
        <v/>
      </c>
      <c r="J32" t="str">
        <f t="shared" si="48"/>
        <v xml:space="preserve">		public virtual DateTime Eta { get; set; }
</v>
      </c>
      <c r="K32" s="7"/>
      <c r="L32" t="str">
        <f t="shared" ref="L32" si="57">IF(K32="","",REPT(CHAR(9),1)&amp;"[Index(nameof("&amp;IF(D32="","",""&amp;D32)&amp;")"&amp;", Name="&amp;"""IX_"&amp;$B$7&amp;"_"&amp;D32&amp;""")]")</f>
        <v/>
      </c>
      <c r="M32" t="str">
        <f t="shared" si="49"/>
        <v xml:space="preserve">		public virtual DateTime? Eta { get; set; }
</v>
      </c>
      <c r="N32" t="str">
        <f t="shared" si="50"/>
        <v xml:space="preserve">		public virtual DateTime? Eta { get; set; }
</v>
      </c>
      <c r="O32" t="str">
        <f t="shared" si="51"/>
        <v xml:space="preserve">		public virtual DateTime? Eta { get; set; }
</v>
      </c>
      <c r="P32" t="str">
        <f t="shared" si="52"/>
        <v xml:space="preserve">							Eta = o.Eta,</v>
      </c>
      <c r="T32" s="69" t="str">
        <f t="shared" si="53"/>
        <v xml:space="preserve">								("Eta"),</v>
      </c>
      <c r="V32" s="70" t="str">
        <f t="shared" si="54"/>
        <v xml:space="preserve">								_ =&gt; _.Eta,</v>
      </c>
      <c r="W32" s="69" t="str">
        <f t="shared" si="55"/>
        <v xml:space="preserve">				.WhereIf(input.Eta.HasValue, t =&gt; t.Eta == input.Eta.Value)</v>
      </c>
    </row>
    <row r="33" spans="1:23" customFormat="1" ht="21" customHeight="1" x14ac:dyDescent="0.25">
      <c r="A33" s="31" t="s">
        <v>351</v>
      </c>
      <c r="B33" t="s">
        <v>325</v>
      </c>
      <c r="C33" t="s">
        <v>1</v>
      </c>
      <c r="D33" t="str">
        <f t="shared" ref="D33" si="58">SUBSTITUTE(PROPER(A33),"_","")</f>
        <v>SupplierNo</v>
      </c>
      <c r="E33" t="str">
        <f t="shared" ref="E33" si="59">IFERROR(LEFT(B33, FIND("(",B33)-1),B33)</f>
        <v>varchar</v>
      </c>
      <c r="F33" s="7"/>
      <c r="G33" t="str">
        <f t="shared" ref="G33" si="60">IFERROR(MID(B33,FIND("(",B33) +1, FIND(")",B33) - FIND("(",B33) - 1),"")</f>
        <v>50</v>
      </c>
      <c r="H33" t="str">
        <f>+VLOOKUP(E33,'Data Type Mapping'!A:B,2,)</f>
        <v>string</v>
      </c>
      <c r="I33" t="str">
        <f t="shared" ref="I33" si="61">IF(H33="string",REPT(CHAR(9),2)&amp;"public const int Max"&amp;D33&amp;"Length = "&amp;G33&amp;";"&amp;$E$3,"" )</f>
        <v xml:space="preserve">		public const int MaxSupplierNoLength = 50;
</v>
      </c>
      <c r="J33" t="str">
        <f t="shared" ref="J33" si="62">IF(F33="","",REPT(CHAR(9),2)&amp;"[Column(TypeName="""&amp;F33&amp;""")]"&amp;$E$3)&amp;IF(C33="Checked","",$I$3)&amp;IF(H33="string",REPT(CHAR(9),2)&amp;"[StringLength(Max"&amp;D33&amp;"Length"&amp;")]"&amp;$E$3,"")&amp;REPT(CHAR(9),2)&amp;"public virtual "&amp;H33&amp;IF(C33="?","? "," ")&amp;D33&amp;" { get; set; }" &amp; "
"</f>
        <v xml:space="preserve">		[StringLength(MaxSupplierNoLength)]
		public virtual string SupplierNo { get; set; }
</v>
      </c>
      <c r="K33" s="7"/>
      <c r="L33" t="str">
        <f t="shared" ref="L33" si="63">IF(K33="","",REPT(CHAR(9),1)&amp;"[Index(nameof("&amp;IF(D33="","",""&amp;D33)&amp;")"&amp;", Name="&amp;"""IX_"&amp;$B$7&amp;"_"&amp;D33&amp;""")]")</f>
        <v/>
      </c>
      <c r="M33" t="str">
        <f t="shared" ref="M33" si="64">REPT(CHAR(9),2)&amp;"public virtual "&amp;IF(OR(H33="DateTime",H33="TimeSpan"),H33&amp;"?",H33)&amp;IF(C33="?","? "," ")&amp;D33&amp;" { get; set; }" &amp; "
"</f>
        <v xml:space="preserve">		public virtual string SupplierNo { get; set; }
</v>
      </c>
      <c r="N33" t="str">
        <f t="shared" ref="N33" si="65">IF(C33="Checked","",$I$3)&amp;IF(H33="string",REPT(CHAR(9),2)&amp;"[StringLength("&amp;$B$3&amp;"Consts.Max"&amp;D33&amp;"Length"&amp;")]"&amp;$E$3,"")&amp;REPT(CHAR(9),2)&amp;"public virtual "&amp;IF(OR(H33="DateTime",H33="TimeSpan"),H33&amp;"?",H33)&amp;IF(C33="?","? "," ")&amp;D33&amp;" { get; set; }" &amp; "
"</f>
        <v xml:space="preserve">		[StringLength(InvImportByContConsts.MaxSupplierNoLength)]
		public virtual string SupplierNo { get; set; }
</v>
      </c>
      <c r="O33" t="str">
        <f t="shared" ref="O33" si="66">IF(OR(H33="string",H33="DateTime",H33="int"),REPT(CHAR(9),2)&amp;"public virtual "&amp;IF(OR(H33="DateTime",H33="TimeSpan"),H33&amp;"?",H33)&amp;IF(C33="?","? "," ")&amp;D33&amp;" { get; set; }"&amp;$E$3,"")</f>
        <v xml:space="preserve">		public virtual string SupplierNo { get; set; }
</v>
      </c>
      <c r="P33" t="str">
        <f t="shared" ref="P33" si="67">REPT(CHAR(9),7)&amp;D33&amp;" = o." &amp;D33 &amp;","</f>
        <v xml:space="preserve">							SupplierNo = o.SupplierNo,</v>
      </c>
      <c r="T33" s="69" t="str">
        <f t="shared" ref="T33" si="68">REPT(CHAR(9),8)&amp;"("""&amp;D33&amp;"""),"</f>
        <v xml:space="preserve">								("SupplierNo"),</v>
      </c>
      <c r="V33" s="70" t="str">
        <f t="shared" ref="V33" si="69">REPT(CHAR(9),8)&amp;"_ =&gt; _."&amp;D33&amp;","</f>
        <v xml:space="preserve">								_ =&gt; _.SupplierNo,</v>
      </c>
      <c r="W33" s="69" t="str">
        <f t="shared" ref="W33" si="70">IF(H33="string",REPT(CHAR(9),4)&amp;".WhereIf(!string.IsNullOrWhiteSpace(input."&amp;D33&amp;"), e =&gt; e."&amp;D33&amp;".Contains(input."&amp;D33&amp;"))",IF(H33="DateTime",REPT(CHAR(9),4)&amp;".WhereIf(input."&amp;D33&amp;".HasValue, t =&gt; t."&amp;D33&amp;" == input."&amp;D33&amp;".Value)",""))</f>
        <v xml:space="preserve">				.WhereIf(!string.IsNullOrWhiteSpace(input.SupplierNo), e =&gt; e.SupplierNo.Contains(input.SupplierNo))</v>
      </c>
    </row>
    <row r="35" spans="1:23" ht="45.75" customHeight="1" x14ac:dyDescent="0.25">
      <c r="H35" s="12"/>
      <c r="I35" s="34" t="str">
        <f ca="1">TEXTJOIN2("
", TRUE,INDIRECT( $H$1):INDIRECT( $H$3))</f>
        <v xml:space="preserve">		public const int MaxContainerNoLength = 50;
		public const int MaxCaseNoLength = 50;
		public const int MaxLotNoLength = 50;
		public const int MaxPartNoLength = 50;
		public const int MaxSupplierNoLength = 50;
</v>
      </c>
      <c r="J35" s="33" t="str">
        <f ca="1">TEXTJOIN2("
", TRUE,INDIRECT( $F$1):INDIRECT( $F$3))</f>
        <v xml:space="preserve">		public virtual decimal PeriodId { get; set; }
		[StringLength(MaxContainerNoLength)]
		public virtual string ContainerNo { get; set; }
		public virtual decimal InvoiceNo { get; set; }
		[StringLength(MaxCaseNoLength)]
		public virtual string CaseNo { get; set; }
		[StringLength(MaxLotNoLength)]
		public virtual string LotNo { get; set; }
		[StringLength(MaxPartNoLength)]
		public virtual string PartNo { get; set; }
		public virtual DateTime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 InvoiceDate { get; set; }
		public virtual DateTime ReceiveDate { get; set; }
		public virtual int ContSize { get; set; }
		public virtual DateTime Eta { get; set; }
		[StringLength(MaxSupplierNoLength)]
		public virtual string SupplierNo { get; set; }
</v>
      </c>
      <c r="K35" s="35" t="str">
        <f ca="1">TEXTJOIN2("
", TRUE,INDIRECT( $J$1):INDIRECT( $J$3))</f>
        <v xml:space="preserve">	[Index(nameof(ContainerNo), Name="IX_InvImportByCont_ContainerNo")]
	[Index(nameof(InvoiceNo), Name="IX_InvImportByCont_InvoiceNo")]
	[Index(nameof(Fob), Name="IX_InvImportByCont_Fob")]
	[Index(nameof(InlandCharge), Name="IX_InvImportByCont_InlandCharge")]
	[Index(nameof(Amount), Name="IX_InvImportByCont_Amount")]
	[Index(nameof(CifVn), Name="IX_InvImportByCont_CifVn")]
	[Index(nameof(AmountVn), Name="IX_InvImportByCont_AmountVn")]
	[Index(nameof(PriceVn), Name="IX_InvImportByCont_PriceVn")]
	[Index(nameof(ContSize), Name="IX_InvImportByCont_ContSize")]
</v>
      </c>
      <c r="L35" s="13" t="s">
        <v>60</v>
      </c>
      <c r="M35" s="36" t="str">
        <f ca="1">TEXTJOIN2("
",TRUE,INDIRECT( $L$1):INDIRECT($L$3))</f>
        <v xml:space="preserve">		public virtual decimal PeriodId { get; set; }
		public virtual string ContainerNo { get; set; }
		public virtual decimal InvoiceNo { get; set; }
		public virtual string CaseNo { get; set; }
		public virtual string LotNo { get; set; }
		public virtual string PartNo { get; set; }
		public virtual DateTime?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DateTime? InvoiceDate { get; set; }
		public virtual DateTime? ReceiveDate { get; set; }
		public virtual int ContSize { get; set; }
		public virtual DateTime? Eta { get; set; }
		public virtual string SupplierNo { get; set; }
</v>
      </c>
      <c r="N35" s="33" t="str">
        <f ca="1">TEXTJOIN2("
",TRUE,INDIRECT( $M$1):INDIRECT($M$3))</f>
        <v xml:space="preserve">		public virtual decimal PeriodId { get; set; }
		[StringLength(InvImportByContConsts.MaxContainerNoLength)]
		public virtual string ContainerNo { get; set; }
		public virtual decimal InvoiceNo { get; set; }
		[StringLength(InvImportByContConsts.MaxCaseNoLength)]
		public virtual string CaseNo { get; set; }
		[StringLength(InvImportByContConsts.MaxLotNoLength)]
		public virtual string LotNo { get; set; }
		[StringLength(InvImportByContConsts.MaxPartNoLength)]
		public virtual string PartNo { get; set; }
		public virtual DateTime? DateIn { get; set; }
		public virtual decimal Fob { get; set; }
		public virtual decimal Cif { get; set; }
		public virtual decimal ImportTax { get; set; }
		public virtual decimal InlandCharge { get; set; }
		public virtual decimal Amount { get; set; }
		public virtual int Qty { get; set; }
		public virtual decimal Price { get; set; }
		public virtual decimal FobVn { get; set; }
		public virtual decimal CifVn { get; set; }
		public virtual decimal ImportTaxVn { get; set; }
		public virtual decimal InlandChargeVn { get; set; }
		public virtual decimal AmountVn { get; set; }
		public virtual decimal PriceVn { get; set; }
		public virtual DateTime? InvoiceDate { get; set; }
		public virtual DateTime? ReceiveDate { get; set; }
		public virtual int ContSize { get; set; }
		public virtual DateTime? Eta { get; set; }
		[StringLength(InvImportByContConsts.MaxSupplierNoLength)]
		public virtual string SupplierNo { get; set; }
</v>
      </c>
      <c r="O35" s="33" t="str">
        <f ca="1">TEXTJOIN2("
",TRUE,INDIRECT( $N$1):INDIRECT($N$3))</f>
        <v xml:space="preserve">		public virtual string ContainerNo { get; set; }
		public virtual string CaseNo { get; set; }
		public virtual string LotNo { get; set; }
		public virtual string PartNo { get; set; }
		public virtual DateTime? DateIn { get; set; }
		public virtual int Qty { get; set; }
		public virtual DateTime? InvoiceDate { get; set; }
		public virtual DateTime? ReceiveDate { get; set; }
		public virtual int ContSize { get; set; }
		public virtual DateTime? Eta { get; set; }
		public virtual string SupplierNo { get; set; }
</v>
      </c>
      <c r="P35" s="9" t="str">
        <f ca="1">TEXTJOIN2("
",TRUE,INDIRECT( $O$1):INDIRECT($O$3))</f>
        <v xml:space="preserve">							PeriodId = o.PeriodId,
							ContainerNo = o.ContainerNo,
							InvoiceNo = o.InvoiceNo,
							CaseNo = o.CaseNo,
							LotNo = o.LotNo,
							PartNo = o.PartNo,
							DateIn = o.DateIn,
							Fob = o.Fob,
							Cif = o.Cif,
							ImportTax = o.ImportTax,
							InlandCharge = o.InlandCharge,
							Amount = o.Amount,
							Qty = o.Qty,
							Price = o.Price,
							FobVn = o.FobVn,
							CifVn = o.CifVn,
							ImportTaxVn = o.ImportTaxVn,
							InlandChargeVn = o.InlandChargeVn,
							AmountVn = o.AmountVn,
							PriceVn = o.PriceVn,
							InvoiceDate = o.InvoiceDate,
							ReceiveDate = o.ReceiveDate,
							ContSize = o.ContSize,
							Eta = o.Eta,
							SupplierNo = o.SupplierNo,</v>
      </c>
      <c r="T35" s="9" t="str">
        <f ca="1">TEXTJOIN2("
",TRUE,INDIRECT( $T$2):INDIRECT($T$3))</f>
        <v xml:space="preserve">								("PeriodId"),
								("ContainerNo"),
								("InvoiceNo"),
								("CaseNo"),
								("LotNo"),
								("PartNo"),
								("DateIn"),
								("Fob"),
								("Cif"),
								("ImportTax"),
								("InlandCharge"),
								("Amount"),
								("Qty"),
								("Price"),
								("FobVn"),
								("CifVn"),
								("ImportTaxVn"),
								("InlandChargeVn"),
								("AmountVn"),
								("PriceVn"),
								("InvoiceDate"),
								("ReceiveDate"),
								("ContSize"),
								("Eta"),
								("SupplierNo"),</v>
      </c>
      <c r="V35" s="9" t="str">
        <f ca="1">TEXTJOIN2("
",TRUE,INDIRECT( $V$2):INDIRECT($V$3))</f>
        <v xml:space="preserve">								_ =&gt; _.PeriodId,
								_ =&gt; _.ContainerNo,
								_ =&gt; _.InvoiceNo,
								_ =&gt; _.CaseNo,
								_ =&gt; _.LotNo,
								_ =&gt; _.PartNo,
								_ =&gt; _.DateIn,
								_ =&gt; _.Fob,
								_ =&gt; _.Cif,
								_ =&gt; _.ImportTax,
								_ =&gt; _.InlandCharge,
								_ =&gt; _.Amount,
								_ =&gt; _.Qty,
								_ =&gt; _.Price,
								_ =&gt; _.FobVn,
								_ =&gt; _.CifVn,
								_ =&gt; _.ImportTaxVn,
								_ =&gt; _.InlandChargeVn,
								_ =&gt; _.AmountVn,
								_ =&gt; _.PriceVn,
								_ =&gt; _.InvoiceDate,
								_ =&gt; _.ReceiveDate,
								_ =&gt; _.ContSize,
								_ =&gt; _.Eta,
								_ =&gt; _.SupplierNo,</v>
      </c>
      <c r="W35" s="9" t="str">
        <f ca="1">TEXTJOIN2("
",TRUE,INDIRECT( $W$2):INDIRECT($W$3))</f>
        <v xml:space="preserve">				.WhereIf(!string.IsNullOrWhiteSpace(input.ContainerNo), e =&gt; e.ContainerNo.Contains(input.ContainerNo))
				.WhereIf(!string.IsNullOrWhiteSpace(input.CaseNo), e =&gt; e.CaseNo.Contains(input.CaseNo))
				.WhereIf(!string.IsNullOrWhiteSpace(input.LotNo), e =&gt; e.LotNo.Contains(input.LotNo))
				.WhereIf(!string.IsNullOrWhiteSpace(input.PartNo), e =&gt; e.PartNo.Contains(input.PartNo))
				.WhereIf(input.DateIn.HasValue, t =&gt; t.DateIn == input.DateIn.Value)
				.WhereIf(input.InvoiceDate.HasValue, t =&gt; t.InvoiceDate == input.InvoiceDate.Value)
				.WhereIf(input.ReceiveDate.HasValue, t =&gt; t.ReceiveDate == input.ReceiveDate.Value)
				.WhereIf(input.Eta.HasValue, t =&gt; t.Eta == input.Eta.Value)
				.WhereIf(!string.IsNullOrWhiteSpace(input.SupplierNo), e =&gt; e.SupplierNo.Contains(input.SupplierNo))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42"/>
  <sheetViews>
    <sheetView workbookViewId="0">
      <selection activeCell="C18" sqref="C18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248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Inv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inv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>
        <f>A.Backend!Q3</f>
        <v>0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0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InvImportByCont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ImportByCont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importbycont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270</v>
      </c>
      <c r="I9" s="46" t="s">
        <v>271</v>
      </c>
      <c r="J9" s="45" t="s">
        <v>219</v>
      </c>
      <c r="K9" s="47" t="s">
        <v>257</v>
      </c>
      <c r="L9" s="46" t="s">
        <v>261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InvImportByContDto, InvImportByContServiceProxy } from '@shared/service-proxies/service-proxies';
import { finalize } from 'rxjs/internal/operators/finalize';
import { CreateOrEditImportByContModalComponent } from './create-or-edit-importbycont-modal.component';
import { DatePipe } from '@angular/common';
import { FileDownloadService } from '@shared/utils/file-download.service';
import ceil from 'lodash-es/ceil';
import { Paginator } from 'primeng/paginator';
@Component({
    templateUrl: './importbycont.component.html',
    styleUrls: ['./importbycont.component.less'],
})
export class ImportByContComponent extends AppComponentBase implements OnInit {
    @ViewChild('createOrEditModalImportByCont', { static: true }) createOrEditModalImportByCont:| CreateOrEditImportByContModalComponent|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InvImportByContDto = new InvImportByContDto();
    saveSelectedRow: InvImportByContDto = new InvImportByContDto();
    datas: InvImportByContDto = new InvImportByContDto();
    isLoading: boolean = false;
    dataParams: GridParams | undefined;
    rowData: any[] = [];
    gridApi!: GridApi;
    rowSelection = 'multiple';
    filter: string = '';
	pipe = new DatePipe('en-US');
	frameworkComponents: FrameworkComponent;
    periodId
containerNo : string = '' ; 
invoiceNo
caseNo : string = '' ; 
lotNo : string = '' ; 
partNo : string = '' ; 
dateIn : any ;
fob
cif
importTax
inlandCharge
amount
qty : number = 0 ;
price
fobVn
cifVn
importTaxVn
inlandChargeVn
amountVn
priceVn
invoiceDate : any ;
receiveDate : any ;
contSize : number = 0 ;
eta : any ;
supplierNo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InvImportByContServiceProxy,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this.l('Container No'),headerTooltip: this.l('Container No'),field: 'containerNo',flex: 1},
			{headerName: this.l('Invoice No'),headerTooltip: this.l('Invoice No'),field: 'invoiceNo',flex: 1},
			{headerName: this.l('Case No'),headerTooltip: this.l('Case No'),field: 'caseNo',flex: 1},
			{headerName: this.l('Lot No'),headerTooltip: this.l('Lot No'),field: 'lotNo',flex: 1},
			{headerName: this.l('Part No'),headerTooltip: this.l('Part No'),field: 'partNo',flex: 1},
			{headerName: this.l('Date In'),headerTooltip: this.l('Date In'),field: 'dateIn',valueGetter: (params) =&gt; this.pipe.transform(params.data?.dateIn, 'dd/MM/yyyy'),flex: 1},
			{headerName: this.l('Fob'),headerTooltip: this.l('Fob'),field: 'fob',flex: 1},
			{headerName: this.l('Cif'),headerTooltip: this.l('Cif'),field: 'cif',flex: 1},
			{headerName: this.l('Import Tax'),headerTooltip: this.l('Import Tax'),field: 'importTax',flex: 1},
			{headerName: this.l('Inland Charge'),headerTooltip: this.l('Inland Charge'),field: 'inlandCharge',flex: 1},
			{headerName: this.l('Amount'),headerTooltip: this.l('Amount'),field: 'amount',flex: 1},
			{headerName: this.l('Qty'),headerTooltip: this.l('Qty'),field: 'qty',flex: 1},
			{headerName: this.l('Price'),headerTooltip: this.l('Price'),field: 'price',flex: 1},
			{headerName: this.l('Fob Vn'),headerTooltip: this.l('Fob Vn'),field: 'fobVn',flex: 1},
			{headerName: this.l('Cif Vn'),headerTooltip: this.l('Cif Vn'),field: 'cifVn',flex: 1},
			{headerName: this.l('Import Tax Vn'),headerTooltip: this.l('Import Tax Vn'),field: 'importTaxVn',flex: 1},
			{headerName: this.l('Inland Charge Vn'),headerTooltip: this.l('Inland Charge Vn'),field: 'inlandChargeVn',flex: 1},
			{headerName: this.l('Amount Vn'),headerTooltip: this.l('Amount Vn'),field: 'amountVn',flex: 1},
			{headerName: this.l('Price Vn'),headerTooltip: this.l('Price Vn'),field: 'priceVn',flex: 1},
			{headerName: this.l('Invoice Date'),headerTooltip: this.l('Invoice Date'),field: 'invoiceDate',valueGetter: (params) =&gt; this.pipe.transform(params.data?.invoiceDate, 'dd/MM/yyyy'),flex: 1},
			{headerName: this.l('Receive Date'),headerTooltip: this.l('Receive Date'),field: 'receiveDate',valueGetter: (params) =&gt; this.pipe.transform(params.data?.receiveDate, 'dd/MM/yyyy'),flex: 1},
			{headerName: this.l('Cont Size'),headerTooltip: this.l('Cont Size'),field: 'contSize',flex: 1},
			{headerName: this.l('Eta'),headerTooltip: this.l('Eta'),field: 'eta',valueGetter: (params) =&gt; this.pipe.transform(params.data?.eta, 'dd/MM/yyyy'),flex: 1},
			{headerName: this.l('Supplier No'),headerTooltip: this.l('Supplier No'),field: 'supplierNo',flex: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this.containerNo,
			this.invoiceNo,
			this.caseNo,
			this.lotNo,
			this.partNo,
			this.dateIn,
			this.fob,
			this.cif,
			this.importTax,
			this.inlandCharge,
			this.amount,
			this.qty,
			this.price,
			this.fobVn,
			this.cifVn,
			this.importTaxVn,
			this.inlandChargeVn,
			this.amountVn,
			this.priceVn,
			this.invoiceDate,
			this.receiveDate,
			this.contSize,
			this.eta,
			this.supplierNo,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this.containerNo = '',
this.invoiceNo = '',
this.caseNo = '',
this.lotNo = '',
this.partNo = '',
this.dateIn = '',
this.fob = '',
this.cif = '',
this.importTax = '',
this.inlandCharge = '',
this.amount = '',
this.qty = 0,
this.price = '',
this.fobVn = '',
this.cifVn = '',
this.importTaxVn = '',
this.inlandChargeVn = '',
this.amountVn = '',
this.priceVn = '',
this.invoiceDate = '',
this.receiveDate = '',
this.contSize = 0,
this.eta = '',
this.supplierNo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this.containerNo,
			this.invoiceNo,
			this.caseNo,
			this.lotNo,
			this.partNo,
			this.dateIn,
			this.fob,
			this.cif,
			this.importTax,
			this.inlandCharge,
			this.amount,
			this.qty,
			this.price,
			this.fobVn,
			this.cifVn,
			this.importTaxVn,
			this.inlandChargeVn,
			this.amountVn,
			this.priceVn,
			this.invoiceDate,
			this.receiveDate,
			this.contSize,
			this.eta,
			this.supplierNo,
			'',
            this.paginationParams.skipCount,
            this.paginationParams.pageSize
        );
    }
    onChangeRowSelection(params: { api: { getSelectedRows: () =&gt; InvImportByContDto[] } }) {
        this.saveSelectedRow = params.api.getSelectedRows()[0] ?? new InvImportByContDto();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InvImportByContDto):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this._service.getImportByContToExcel(
			this.periodId,
			this.containerNo,
			this.invoiceNo,
			this.caseNo,
			this.lotNo,
			this.partNo,
			this.dateIn,
			this.fob,
			this.cif,
			this.importTax,
			this.inlandCharge,
			this.amount,
			this.qty,
			this.price,
			this.fobVn,
			this.cifVn,
			this.importTaxVn,
			this.inlandChargeVn,
			this.amountVn,
			this.priceVn,
			this.invoiceDate,
			this.receiveDate,
			this.contSize,
			this.eta,
			this.supplierNo,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type='text' [placeholder]="l('Date In')" [(ngModel)]='dateIn' 
									name='dateIn'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[placeholder]="l('Invoice Date')" [(ngModel)]='invoiceDate' 
									name='invoiceDate'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[placeholder]="l('Receive Date')" [(ngModel)]='receiveDate' 
									name='receiveDate'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[placeholder]="l('Eta')" [(ngModel)]='eta' 
									name='eta'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[(ngModel)]='supplierNo' name='supplierNo'
									class='form-control' [placeholder]="l('Supplier No')"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(click)="createOrEditModalImportByCont.show()"&gt;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(click)="createOrEditModalImportByCont.show(selectedRow)"&gt;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&lt;create-or-edit-importbycont-modal
    #createOrEditModalImportByCont
    (modalSave)="callBackDataGrid(dataParams)"
    (modalClose)="onChangeRowSelection(dataParams)"
&gt;
&lt;/create-or-edit-importbycont-modal&gt;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#createOrEditModalImportByCont="bs-modal"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ImportByCont')}}&lt;/h3&gt;
                    &lt;h3 *ngIf="!rowdata.id"&gt;{{('Create New ImportByCont')}}&lt;/h3&gt;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title'&gt;Receive Date&lt;/label&gt;
						&lt;input type='text' class='col-md-10 form-control input-text' name='receiveDate' 
						#datepicker='bsDatepicker' [(ngModel)]='rowdata.receiveDate'  bsDatepicker &gt;
					&lt;/div&gt;
					&lt;div class='col-md-12 form-group row'&gt;
						&lt;label class='col-md-2 form-control title'&gt;Cont Size&lt;/label&gt;
						&lt;input type='number' class='col-md-10 form-control input-text' name='ContSize' [(ngModel)]='rowdata.contSize'&gt;
					&lt;/div&gt;
					&lt;div class='col-md-12 form-group row'&gt;
						&lt;label class='col-md-2 form-control title'&gt;Eta&lt;/label&gt;
						&lt;input type='text' class='col-md-10 form-control input-text' name='eta' 
						#datepicker='bsDatepicker' [(ngModel)]='rowdata.eta'  bsDatepicker 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CreateOrEditInvImportByContDto, InvImportByContServiceProxy } from '@shared/service-proxies/service-proxies';
import { BsDatepickerDirective } from 'ngx-bootstrap/datepicker';
@Component({
    selector: 'create-or-edit-importbycont-modal',
    templateUrl: './create-or-edit-importbycont-modal.component.html',
    styleUrls: ['./create-or-edit-importbycont-modal.component.less']
    })
export class CreateOrEditImportByContModalComponent extends AppComponentBase {
    @ViewChild('createOrEditModalImportByCont',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CreateOrEditInvImportByContDto = new CreateOrEditInvImportByContDto();
    active: boolean = false;
    saving: boolean = false;
    _: boolean;
    constructor(
        injector: Injector,
        private _mstwptImportByContService: InvImportByContServiceProxy,
    ) 
    {
        super(injector);
    }
    show(rowdata?: CreateOrEditInvImportByContDto): void {
        if (!rowdata) this.rowdata = new CreateOrEditInvImportByContDto();
        else this.rowdata = rowdata;
		const dateValue =  this.rowdata.dateIn ? new Date(this.rowdata.dateIn?.toString()) : new Date();
		this.datepicker?.bsValueChange.emit(dateValue);
		const dateValue =  this.rowdata.invoiceDate ? new Date(this.rowdata.invoiceDate?.toString()) : new Date();
		this.datepicker?.bsValueChange.emit(dateValue);
		const dateValue =  this.rowdata.receiveDate ? new Date(this.rowdata.receiveDate?.toString()) : new Date();
		this.datepicker?.bsValueChange.emit(dateValue);
		const dateValue =  this.rowdata.eta ? new Date(this.rowdata.eta?.toString())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this._mstwptImportByContService.createOrEdit(this.rowdata)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ImportByContRoutingModule } from './importbycont-routing.module';
import { ImportByContComponent } from './importbycont.component';
import { CreateOrEditImportByContModalComponent } from './create-or-edit-importbycont-modal.component';
@NgModule({
    declarations: [
       ImportByContComponent, 
        CreateOrEditImportByContModalComponent
    ],
    imports: [
        AppSharedModule, ImportByContRoutingModule]
})
export class ImportByContModule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ImportByContComponent } from './importbycont.component';
const routes: Routes = [{
    path: '',
    component: ImportByContComponent,
    pathMatch: 'full'
}];
@NgModule({
    imports: [RouterModule.forChild(routes)],
    exports: [RouterModule],
})
export class ImportByContRoutingModule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AppMenuItem("ImportByCont", "Pages.Inv.0.ImportByCont", "flaticon-book",   "/app/main/inv/0/importbycont"),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'inv/0/importbycont',
    loadChildren: () =&gt; import('./inv/0/importbycont/importbycont.module').then(m =&gt; m.ImportByContModule),
    data: { permission: 'Pages.Inv.0.ImportByCont' }
},</v>
      </c>
      <c r="R10" s="50" t="str">
        <f>SUBSTITUTE(R9,"MstWptCalendar",$B$6)</f>
        <v>ApiServiceProxies.InvImportByContServiceProxy,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262</v>
      </c>
      <c r="J11" s="31"/>
      <c r="K11" s="31" t="s">
        <v>260</v>
      </c>
      <c r="L11" s="31" t="s">
        <v>263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264</v>
      </c>
      <c r="V11" s="71" t="s">
        <v>266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H39</v>
      </c>
      <c r="I12" s="31" t="str">
        <f>"I"&amp;COUNTA($A:$A)</f>
        <v>I39</v>
      </c>
      <c r="J12" s="31"/>
      <c r="K12" s="31" t="str">
        <f>"K"&amp;COUNTA($A:$A)</f>
        <v>K39</v>
      </c>
      <c r="L12" s="31" t="str">
        <f>"L"&amp;COUNTA($A:$A)</f>
        <v>L39</v>
      </c>
      <c r="M12" s="31"/>
      <c r="N12" s="31"/>
      <c r="O12" s="31"/>
      <c r="P12" s="31"/>
      <c r="Q12" s="31"/>
      <c r="R12" s="31"/>
      <c r="S12" s="31" t="str">
        <f>"S"&amp;COUNTA($A:$A)</f>
        <v>S39</v>
      </c>
      <c r="T12" s="31" t="str">
        <f>"T"&amp;COUNTA($A:$A)</f>
        <v>T39</v>
      </c>
      <c r="U12" s="31" t="str">
        <f>"U"&amp;COUNTA($A:$A)</f>
        <v>U39</v>
      </c>
      <c r="V12" s="31" t="str">
        <f>"V"&amp;COUNTA($A:$A)</f>
        <v>V39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this.l('Period Id'),headerTooltip: this.l('Period Id'),field: 'periodId',flex: 1},
			{headerName: this.l('Container No'),headerTooltip: this.l('Container No'),field: 'containerNo',flex: 1},
			{headerName: this.l('Invoice No'),headerTooltip: this.l('Invoice No'),field: 'invoiceNo',flex: 1},
			{headerName: this.l('Case No'),headerTooltip: this.l('Case No'),field: 'caseNo',flex: 1},
			{headerName: this.l('Lot No'),headerTooltip: this.l('Lot No'),field: 'lotNo',flex: 1},
			{headerName: this.l('Part No'),headerTooltip: this.l('Part No'),field: 'partNo',flex: 1},
			{headerName: this.l('Date In'),headerTooltip: this.l('Date In'),field: 'dateIn',valueGetter: (params) =&gt; this.pipe.transform(params.data?.dateIn, 'dd/MM/yyyy'),flex: 1},
			{headerName: this.l('Fob'),headerTooltip: this.l('Fob'),field: 'fob',flex: 1},
			{headerName: this.l('Cif'),headerTooltip: this.l('Cif'),field: 'cif',flex: 1},
			{headerName: this.l('Import Tax'),headerTooltip: this.l('Import Tax'),field: 'importTax',flex: 1},
			{headerName: this.l('Inland Charge'),headerTooltip: this.l('Inland Charge'),field: 'inlandCharge',flex: 1},
			{headerName: this.l('Amount'),headerTooltip: this.l('Amount'),field: 'amount',flex: 1},
			{headerName: this.l('Qty'),headerTooltip: this.l('Qty'),field: 'qty',flex: 1},
			{headerName: this.l('Price'),headerTooltip: this.l('Price'),field: 'price',flex: 1},
			{headerName: this.l('Fob Vn'),headerTooltip: this.l('Fob Vn'),field: 'fobVn',flex: 1},
			{headerName: this.l('Cif Vn'),headerTooltip: this.l('Cif Vn'),field: 'cifVn',flex: 1},
			{headerName: this.l('Import Tax Vn'),headerTooltip: this.l('Import Tax Vn'),field: 'importTaxVn',flex: 1},
			{headerName: this.l('Inland Charge Vn'),headerTooltip: this.l('Inland Charge Vn'),field: 'inlandChargeVn',flex: 1},
			{headerName: this.l('Amount Vn'),headerTooltip: this.l('Amount Vn'),field: 'amountVn',flex: 1},
			{headerName: this.l('Price Vn'),headerTooltip: this.l('Price Vn'),field: 'priceVn',flex: 1},
			{headerName: this.l('Invoice Date'),headerTooltip: this.l('Invoice Date'),field: 'invoiceDate',valueGetter: (params) =&gt; this.pipe.transform(params.data?.invoiceDate, 'dd/MM/yyyy'),flex: 1},
			{headerName: this.l('Receive Date'),headerTooltip: this.l('Receive Date'),field: 'receiveDate',valueGetter: (params) =&gt; this.pipe.transform(params.data?.receiveDate, 'dd/MM/yyyy'),flex: 1},
			{headerName: this.l('Cont Size'),headerTooltip: this.l('Cont Size'),field: 'contSize',flex: 1},
			{headerName: this.l('Eta'),headerTooltip: this.l('Eta'),field: 'eta',valueGetter: (params) =&gt; this.pipe.transform(params.data?.eta, 'dd/MM/yyyy'),flex: 1},
			{headerName: this.l('Supplier No'),headerTooltip: this.l('Supplier No'),field: 'supplierNo',flex: 1},</v>
      </c>
      <c r="I13" s="38" t="str">
        <f ca="1">TEXTJOIN2("
",TRUE,INDIRECT(I11):INDIRECT(I12))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type='text' [placeholder]="l('Date In')" [(ngModel)]='dateIn' 
									name='dateIn'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[placeholder]="l('Invoice Date')" [(ngModel)]='invoiceDate' 
									name='invoiceDate'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[placeholder]="l('Receive Date')" [(ngModel)]='receiveDate' 
									name='receiveDate'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[placeholder]="l('Eta')" [(ngModel)]='eta' 
									name='eta'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[(ngModel)]='supplierNo' name='supplierNo'
									class='form-control' [placeholder]="l('Supplier No')"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title'&gt;Receive Date&lt;/label&gt;
						&lt;input type='text' class='col-md-10 form-control input-text' name='receiveDate' 
						#datepicker='bsDatepicker' [(ngModel)]='rowdata.receiveDate'  bsDatepicker &gt;
					&lt;/div&gt;
					&lt;div class='col-md-12 form-group row'&gt;
						&lt;label class='col-md-2 form-control title'&gt;Cont Size&lt;/label&gt;
						&lt;input type='number' class='col-md-10 form-control input-text' name='ContSize' [(ngModel)]='rowdata.contSize'&gt;
					&lt;/div&gt;
					&lt;div class='col-md-12 form-group row'&gt;
						&lt;label class='col-md-2 form-control title'&gt;Eta&lt;/label&gt;
						&lt;input type='text' class='col-md-10 form-control input-text' name='eta' 
						#datepicker='bsDatepicker' [(ngModel)]='rowdata.eta'  bsDatepicker 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3" s="60" t="str">
        <f ca="1">TEXTJOIN2("
",TRUE,INDIRECT(L11):INDIRECT(L12))</f>
        <v xml:space="preserve">		const dateValue =  this.rowdata.dateIn ? new Date(this.rowdata.dateIn?.toString()) : new Date();
		this.datepicker?.bsValueChange.emit(dateValue);
		const dateValue =  this.rowdata.invoiceDate ? new Date(this.rowdata.invoiceDate?.toString()) : new Date();
		this.datepicker?.bsValueChange.emit(dateValue);
		const dateValue =  this.rowdata.receiveDate ? new Date(this.rowdata.receiveDate?.toString()) : new Date();
		this.datepicker?.bsValueChange.emit(dateValue);
		const dateValue =  this.rowdata.eta ? new Date(this.rowdata.eta?.toString())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periodId
containerNo : string = '' ; 
invoiceNo
caseNo : string = '' ; 
lotNo : string = '' ; 
partNo : string = '' ; 
dateIn : any ;
fob
cif
importTax
inlandCharge
amount
qty : number = 0 ;
price
fobVn
cifVn
importTaxVn
inlandChargeVn
amountVn
priceVn
invoiceDate : any ;
receiveDate : any ;
contSize : number = 0 ;
eta : any ;
supplierNo : string = '' ; </v>
      </c>
      <c r="T13" s="68" t="str">
        <f ca="1">TEXTJOIN2("
",TRUE,INDIRECT(T11):INDIRECT(T12))</f>
        <v xml:space="preserve">			this.periodId,
			this.containerNo,
			this.invoiceNo,
			this.caseNo,
			this.lotNo,
			this.partNo,
			this.dateIn,
			this.fob,
			this.cif,
			this.importTax,
			this.inlandCharge,
			this.amount,
			this.qty,
			this.price,
			this.fobVn,
			this.cifVn,
			this.importTaxVn,
			this.inlandChargeVn,
			this.amountVn,
			this.priceVn,
			this.invoiceDate,
			this.receiveDate,
			this.contSize,
			this.eta,
			this.supplierNo,</v>
      </c>
      <c r="U13" s="68" t="str">
        <f ca="1">TEXTJOIN2("
",TRUE,INDIRECT(U11):INDIRECT(U12))</f>
        <v>this.periodId = '',
this.containerNo = '',
this.invoiceNo = '',
this.caseNo = '',
this.lotNo = '',
this.partNo = '',
this.dateIn = '',
this.fob = '',
this.cif = '',
this.importTax = '',
this.inlandCharge = '',
this.amount = '',
this.qty = 0,
this.price = '',
this.fobVn = '',
this.cifVn = '',
this.importTaxVn = '',
this.inlandChargeVn = '',
this.amountVn = '',
this.priceVn = '',
this.invoiceDate = '',
this.receiveDate = '',
this.contSize = 0,
this.eta = '',
this.supplierNo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importbycont.component.ts</v>
      </c>
      <c r="I14" s="40" t="str">
        <f>B8&amp;".component.html"</f>
        <v>importbycont.component.html</v>
      </c>
      <c r="J14" s="39" t="str">
        <f>B8&amp;".component.less"</f>
        <v>importbycont.component.less</v>
      </c>
      <c r="K14" s="40" t="str">
        <f>"create-or-edit-"&amp;B8&amp;"-modal.component.html"</f>
        <v>create-or-edit-importbycont-modal.component.html</v>
      </c>
      <c r="L14" s="40" t="str">
        <f>"create-or-edit-"&amp;B8&amp;"-modal.component.ts"</f>
        <v>create-or-edit-importbycont-modal.component.ts</v>
      </c>
      <c r="M14" s="40" t="str">
        <f>"create-or-edit-"&amp;B8&amp;"-modal.component.less"</f>
        <v>create-or-edit-importbycont-modal.component.less</v>
      </c>
      <c r="N14" s="40" t="str">
        <f>B8&amp;".module.ts"</f>
        <v>importbycont.module.ts</v>
      </c>
      <c r="O14" s="40" t="str">
        <f>B8&amp;"-routing.module.ts"</f>
        <v>importbycont-routing.module.ts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265</v>
      </c>
    </row>
    <row r="15" spans="1:22" ht="18" customHeight="1" x14ac:dyDescent="0.25">
      <c r="A15" t="s">
        <v>322</v>
      </c>
      <c r="B15" s="31" t="str">
        <f>SUBSTITUTE(PROPER(A15),"_","")</f>
        <v>PeriodId</v>
      </c>
      <c r="C15" s="31" t="str">
        <f>SUBSTITUTE(PROPER(A15),"_"," ")</f>
        <v>Period Id</v>
      </c>
      <c r="D15" s="31" t="str">
        <f>LOWER(LEFT(B15,1))&amp;RIGHT(B15,LEN(B15) - 1)</f>
        <v>periodId</v>
      </c>
      <c r="E15" s="31" t="str">
        <f>A.Backend!H9</f>
        <v>decimal</v>
      </c>
      <c r="F15" s="31" t="str">
        <f>A.Backend!G9</f>
        <v>19, 0</v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this.l('Period Id'),headerTooltip: this.l('Period Id'),field: 'periodId',flex: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periodId</v>
      </c>
      <c r="T15" s="31" t="str">
        <f>REPT(CHAR(9),3)&amp;"this."&amp;D15&amp;","</f>
        <v xml:space="preserve">			this.periodId,</v>
      </c>
      <c r="U15" s="31" t="str">
        <f>IF(E15="int","this."&amp;D15&amp;" = 0,","this."&amp;D15&amp;" = '',")</f>
        <v>this.periodId = '',</v>
      </c>
      <c r="V15" s="31" t="str">
        <f>IF(AND(E15="string",F15="1"),D15,"")</f>
        <v/>
      </c>
    </row>
    <row r="16" spans="1:22" ht="15" customHeight="1" x14ac:dyDescent="0.25">
      <c r="A16" s="31" t="s">
        <v>337</v>
      </c>
      <c r="B16" s="31" t="str">
        <f t="shared" ref="B16:B39" si="0">SUBSTITUTE(PROPER(A16),"_","")</f>
        <v>ContainerNo</v>
      </c>
      <c r="C16" s="31" t="str">
        <f t="shared" ref="C16:C39" si="1">SUBSTITUTE(PROPER(A16),"_"," ")</f>
        <v>Container No</v>
      </c>
      <c r="D16" s="31" t="str">
        <f t="shared" ref="D16:D39" si="2">LOWER(LEFT(B16,1))&amp;RIGHT(B16,LEN(B16) - 1)</f>
        <v>containerNo</v>
      </c>
      <c r="E16" s="31" t="str">
        <f>A.Backend!H10</f>
        <v>string</v>
      </c>
      <c r="F16" s="31" t="str">
        <f>A.Backend!G10</f>
        <v>50</v>
      </c>
      <c r="G16" s="31" t="str">
        <f t="shared" ref="G16:G39" si="3">IF(E16="string"," : string = '' ; ",IF(OR(E16="DateTime",E16="TimeSpan")," : any ;",IF(E16="int"," : number = 0 ;","")))</f>
        <v xml:space="preserve"> : string = '' ; </v>
      </c>
      <c r="H16" s="38" t="str">
        <f t="shared" ref="H16:H3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this.l('Container No'),headerTooltip: this.l('Container No'),field: 'containerNo',flex: 1},</v>
      </c>
      <c r="I16" s="38" t="str">
        <f t="shared" ref="I16:I3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6" s="31"/>
      <c r="K16" s="38" t="str">
        <f t="shared" ref="K16:K3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6" s="60" t="str">
        <f t="shared" ref="L16:L3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39" si="8">D16&amp;G16</f>
        <v xml:space="preserve">containerNo : string = '' ; </v>
      </c>
      <c r="T16" s="31" t="str">
        <f t="shared" ref="T16:T39" si="9">REPT(CHAR(9),3)&amp;"this."&amp;D16&amp;","</f>
        <v xml:space="preserve">			this.containerNo,</v>
      </c>
      <c r="U16" s="31" t="str">
        <f t="shared" ref="U16:U39" si="10">IF(E16="int","this."&amp;D16&amp;" = 0,","this."&amp;D16&amp;" = '',")</f>
        <v>this.containerNo = '',</v>
      </c>
      <c r="V16" s="31" t="str">
        <f t="shared" ref="V16:V39" si="11">IF(AND(E16="string",F16="1"),D16,"")</f>
        <v/>
      </c>
    </row>
    <row r="17" spans="1:22" ht="18" customHeight="1" x14ac:dyDescent="0.25">
      <c r="A17" s="31" t="s">
        <v>338</v>
      </c>
      <c r="B17" s="31" t="str">
        <f t="shared" si="0"/>
        <v>InvoiceNo</v>
      </c>
      <c r="C17" s="31" t="str">
        <f t="shared" si="1"/>
        <v>Invoice No</v>
      </c>
      <c r="D17" s="31" t="str">
        <f t="shared" si="2"/>
        <v>invoiceNo</v>
      </c>
      <c r="E17" s="31" t="str">
        <f>A.Backend!H11</f>
        <v>decimal</v>
      </c>
      <c r="F17" s="31" t="str">
        <f>A.Backend!G11</f>
        <v>10, 2</v>
      </c>
      <c r="G17" s="31" t="str">
        <f t="shared" si="3"/>
        <v/>
      </c>
      <c r="H17" s="38" t="str">
        <f t="shared" si="4"/>
        <v xml:space="preserve">			{headerName: this.l('Invoice No'),headerTooltip: this.l('Invoice No'),field: 'invoiceNo',flex: 1},</v>
      </c>
      <c r="I17" s="38" t="str">
        <f t="shared" si="5"/>
        <v/>
      </c>
      <c r="J17" s="31"/>
      <c r="K17" s="38" t="str">
        <f t="shared" si="6"/>
        <v/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si="8"/>
        <v>invoiceNo</v>
      </c>
      <c r="T17" s="31" t="str">
        <f t="shared" si="9"/>
        <v xml:space="preserve">			this.invoiceNo,</v>
      </c>
      <c r="U17" s="31" t="str">
        <f t="shared" si="10"/>
        <v>this.invoiceNo = '',</v>
      </c>
      <c r="V17" s="31" t="str">
        <f t="shared" si="11"/>
        <v/>
      </c>
    </row>
    <row r="18" spans="1:22" ht="18" customHeight="1" x14ac:dyDescent="0.25">
      <c r="A18" s="31" t="s">
        <v>339</v>
      </c>
      <c r="B18" s="31" t="str">
        <f t="shared" si="0"/>
        <v>CaseNo</v>
      </c>
      <c r="C18" s="31" t="str">
        <f t="shared" si="1"/>
        <v>Case No</v>
      </c>
      <c r="D18" s="31" t="str">
        <f t="shared" si="2"/>
        <v>caseNo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this.l('Case No'),headerTooltip: this.l('Case No'),field: 'caseNo',flex: 1},</v>
      </c>
      <c r="I18" s="38" t="str">
        <f t="shared" si="5"/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caseNo : string = '' ; </v>
      </c>
      <c r="T18" s="31" t="str">
        <f t="shared" si="9"/>
        <v xml:space="preserve">			this.caseNo,</v>
      </c>
      <c r="U18" s="31" t="str">
        <f t="shared" si="10"/>
        <v>this.caseNo = '',</v>
      </c>
      <c r="V18" s="31" t="str">
        <f t="shared" si="11"/>
        <v/>
      </c>
    </row>
    <row r="19" spans="1:22" ht="15" customHeight="1" x14ac:dyDescent="0.25">
      <c r="A19" s="31" t="s">
        <v>326</v>
      </c>
      <c r="B19" s="31" t="str">
        <f t="shared" si="0"/>
        <v>LotNo</v>
      </c>
      <c r="C19" s="31" t="str">
        <f t="shared" si="1"/>
        <v>Lot No</v>
      </c>
      <c r="D19" s="31" t="str">
        <f t="shared" si="2"/>
        <v>lotNo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this.l('Lot No'),headerTooltip: this.l('Lot No'),field: 'lotNo',flex: 1},</v>
      </c>
      <c r="I19" s="38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8"/>
        <v xml:space="preserve">lotNo : string = '' ; </v>
      </c>
      <c r="T19" s="31" t="str">
        <f t="shared" si="9"/>
        <v xml:space="preserve">			this.lotNo,</v>
      </c>
      <c r="U19" s="31" t="str">
        <f t="shared" si="10"/>
        <v>this.lotNo = '',</v>
      </c>
      <c r="V19" s="31" t="str">
        <f t="shared" si="11"/>
        <v/>
      </c>
    </row>
    <row r="20" spans="1:22" ht="18" customHeight="1" x14ac:dyDescent="0.25">
      <c r="A20" s="31" t="s">
        <v>324</v>
      </c>
      <c r="B20" s="31" t="str">
        <f t="shared" si="0"/>
        <v>PartNo</v>
      </c>
      <c r="C20" s="31" t="str">
        <f t="shared" si="1"/>
        <v>Part No</v>
      </c>
      <c r="D20" s="31" t="str">
        <f t="shared" si="2"/>
        <v>partNo</v>
      </c>
      <c r="E20" s="31" t="str">
        <f>A.Backend!H14</f>
        <v>string</v>
      </c>
      <c r="F20" s="31" t="str">
        <f>A.Backend!G14</f>
        <v>50</v>
      </c>
      <c r="G20" s="31" t="str">
        <f t="shared" si="3"/>
        <v xml:space="preserve"> : string = '' ; </v>
      </c>
      <c r="H20" s="38" t="str">
        <f t="shared" si="4"/>
        <v xml:space="preserve">			{headerName: this.l('Part No'),headerTooltip: this.l('Part No'),field: 'partNo',flex: 1},</v>
      </c>
      <c r="I20" s="38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8"/>
        <v xml:space="preserve">partNo : string = '' ; </v>
      </c>
      <c r="T20" s="31" t="str">
        <f t="shared" si="9"/>
        <v xml:space="preserve">			this.partNo,</v>
      </c>
      <c r="U20" s="31" t="str">
        <f t="shared" si="10"/>
        <v>this.partNo = '',</v>
      </c>
      <c r="V20" s="31" t="str">
        <f t="shared" si="11"/>
        <v/>
      </c>
    </row>
    <row r="21" spans="1:22" ht="15" customHeight="1" x14ac:dyDescent="0.25">
      <c r="A21" s="31" t="s">
        <v>340</v>
      </c>
      <c r="B21" s="31" t="str">
        <f t="shared" si="0"/>
        <v>DateIn</v>
      </c>
      <c r="C21" s="31" t="str">
        <f t="shared" si="1"/>
        <v>Date In</v>
      </c>
      <c r="D21" s="31" t="str">
        <f t="shared" si="2"/>
        <v>dateIn</v>
      </c>
      <c r="E21" s="31" t="str">
        <f>A.Backend!H15</f>
        <v>DateTime</v>
      </c>
      <c r="F21" s="31" t="str">
        <f>A.Backend!G15</f>
        <v/>
      </c>
      <c r="G21" s="31" t="str">
        <f t="shared" si="3"/>
        <v xml:space="preserve"> : any ;</v>
      </c>
      <c r="H21" s="38" t="str">
        <f t="shared" si="4"/>
        <v xml:space="preserve">			{headerName: this.l('Date In'),headerTooltip: this.l('Date In'),field: 'dateIn',valueGetter: (params) =&gt; this.pipe.transform(params.data?.dateIn, 'dd/MM/yyyy'),flex: 1},</v>
      </c>
      <c r="I21" s="38" t="str">
        <f t="shared" si="5"/>
        <v xml:space="preserve">								&lt;div class='input-search'&gt;
									&lt;input type='text' [placeholder]="l('Date In')" [(ngModel)]='dateIn' 
									name='dateIn' (keydown)='searchDatas()' class='form-control' 
									bsDatepicker #d='bsDatepicker' placement='bottom left'&gt;
									&lt;i class='fa fa-calendar-alt' (click)='d.toggle()'&gt;&lt;/i&gt;
								&lt;/div&gt;</v>
      </c>
      <c r="J21" s="31"/>
      <c r="K21" s="38" t="str">
        <f t="shared" si="6"/>
        <v xml:space="preserve">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</v>
      </c>
      <c r="L21" s="60" t="str">
        <f t="shared" si="7"/>
        <v xml:space="preserve">		const dateValue =  this.rowdata.dateIn ? new Date(this.rowdata.dateIn?.toString()) : new Date();
		this.datepicker?.bsValueChange.emit(dateValue);</v>
      </c>
      <c r="M21" s="31"/>
      <c r="N21" s="31"/>
      <c r="O21" s="31"/>
      <c r="P21" s="31"/>
      <c r="Q21" s="31"/>
      <c r="R21" s="31"/>
      <c r="S21" s="31" t="str">
        <f t="shared" si="8"/>
        <v>dateIn : any ;</v>
      </c>
      <c r="T21" s="31" t="str">
        <f t="shared" si="9"/>
        <v xml:space="preserve">			this.dateIn,</v>
      </c>
      <c r="U21" s="31" t="str">
        <f t="shared" si="10"/>
        <v>this.dateIn = '',</v>
      </c>
      <c r="V21" s="31" t="str">
        <f t="shared" si="11"/>
        <v/>
      </c>
    </row>
    <row r="22" spans="1:22" ht="18" customHeight="1" x14ac:dyDescent="0.25">
      <c r="A22" s="31" t="s">
        <v>331</v>
      </c>
      <c r="B22" s="31" t="str">
        <f t="shared" si="0"/>
        <v>Fob</v>
      </c>
      <c r="C22" s="31" t="str">
        <f t="shared" si="1"/>
        <v>Fob</v>
      </c>
      <c r="D22" s="31" t="str">
        <f t="shared" si="2"/>
        <v>fob</v>
      </c>
      <c r="E22" s="31" t="str">
        <f>A.Backend!H16</f>
        <v>decimal</v>
      </c>
      <c r="F22" s="31" t="str">
        <f>A.Backend!G16</f>
        <v>18, 4</v>
      </c>
      <c r="G22" s="31" t="str">
        <f t="shared" si="3"/>
        <v/>
      </c>
      <c r="H22" s="38" t="str">
        <f t="shared" si="4"/>
        <v xml:space="preserve">			{headerName: this.l('Fob'),headerTooltip: this.l('Fob'),field: 'fob',flex: 1},</v>
      </c>
      <c r="I22" s="38" t="str">
        <f t="shared" si="5"/>
        <v/>
      </c>
      <c r="J22" s="31"/>
      <c r="K22" s="38" t="str">
        <f t="shared" si="6"/>
        <v/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si="8"/>
        <v>fob</v>
      </c>
      <c r="T22" s="31" t="str">
        <f t="shared" si="9"/>
        <v xml:space="preserve">			this.fob,</v>
      </c>
      <c r="U22" s="31" t="str">
        <f t="shared" si="10"/>
        <v>this.fob = '',</v>
      </c>
      <c r="V22" s="31" t="str">
        <f t="shared" si="11"/>
        <v/>
      </c>
    </row>
    <row r="23" spans="1:22" ht="18" customHeight="1" x14ac:dyDescent="0.25">
      <c r="A23" s="31" t="s">
        <v>332</v>
      </c>
      <c r="B23" s="31" t="str">
        <f t="shared" si="0"/>
        <v>Cif</v>
      </c>
      <c r="C23" s="31" t="str">
        <f t="shared" si="1"/>
        <v>Cif</v>
      </c>
      <c r="D23" s="31" t="str">
        <f t="shared" si="2"/>
        <v>cif</v>
      </c>
      <c r="E23" s="31" t="str">
        <f>A.Backend!H17</f>
        <v>decimal</v>
      </c>
      <c r="F23" s="31" t="str">
        <f>A.Backend!G17</f>
        <v>18, 4</v>
      </c>
      <c r="G23" s="31" t="str">
        <f t="shared" si="3"/>
        <v/>
      </c>
      <c r="H23" s="38" t="str">
        <f t="shared" si="4"/>
        <v xml:space="preserve">			{headerName: this.l('Cif'),headerTooltip: this.l('Cif'),field: 'cif',flex: 1},</v>
      </c>
      <c r="I23" s="38" t="str">
        <f t="shared" si="5"/>
        <v/>
      </c>
      <c r="J23" s="31"/>
      <c r="K23" s="38" t="str">
        <f t="shared" si="6"/>
        <v/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 t="shared" si="8"/>
        <v>cif</v>
      </c>
      <c r="T23" s="31" t="str">
        <f t="shared" si="9"/>
        <v xml:space="preserve">			this.cif,</v>
      </c>
      <c r="U23" s="31" t="str">
        <f t="shared" si="10"/>
        <v>this.cif = '',</v>
      </c>
      <c r="V23" s="31" t="str">
        <f t="shared" si="11"/>
        <v/>
      </c>
    </row>
    <row r="24" spans="1:22" ht="15" customHeight="1" x14ac:dyDescent="0.25">
      <c r="A24" s="31" t="s">
        <v>341</v>
      </c>
      <c r="B24" s="31" t="str">
        <f t="shared" si="0"/>
        <v>ImportTax</v>
      </c>
      <c r="C24" s="31" t="str">
        <f t="shared" si="1"/>
        <v>Import Tax</v>
      </c>
      <c r="D24" s="31" t="str">
        <f t="shared" si="2"/>
        <v>importTax</v>
      </c>
      <c r="E24" s="31" t="str">
        <f>A.Backend!H18</f>
        <v>decimal</v>
      </c>
      <c r="F24" s="31" t="str">
        <f>A.Backend!G18</f>
        <v>18, 4</v>
      </c>
      <c r="G24" s="31" t="str">
        <f t="shared" si="3"/>
        <v/>
      </c>
      <c r="H24" s="38" t="str">
        <f t="shared" si="4"/>
        <v xml:space="preserve">			{headerName: this.l('Import Tax'),headerTooltip: this.l('Import Tax'),field: 'importTax',flex: 1},</v>
      </c>
      <c r="I24" s="38" t="str">
        <f t="shared" si="5"/>
        <v/>
      </c>
      <c r="J24" s="31"/>
      <c r="K24" s="38" t="str">
        <f t="shared" si="6"/>
        <v/>
      </c>
      <c r="L24" s="60" t="str">
        <f t="shared" si="7"/>
        <v/>
      </c>
      <c r="M24" s="31"/>
      <c r="N24" s="31"/>
      <c r="O24" s="31"/>
      <c r="P24" s="31"/>
      <c r="Q24" s="31"/>
      <c r="R24" s="31"/>
      <c r="S24" s="31" t="str">
        <f t="shared" si="8"/>
        <v>importTax</v>
      </c>
      <c r="T24" s="31" t="str">
        <f t="shared" si="9"/>
        <v xml:space="preserve">			this.importTax,</v>
      </c>
      <c r="U24" s="31" t="str">
        <f t="shared" si="10"/>
        <v>this.importTax = '',</v>
      </c>
      <c r="V24" s="31" t="str">
        <f t="shared" si="11"/>
        <v/>
      </c>
    </row>
    <row r="25" spans="1:22" ht="18" customHeight="1" x14ac:dyDescent="0.25">
      <c r="A25" s="31" t="s">
        <v>342</v>
      </c>
      <c r="B25" s="31" t="str">
        <f t="shared" si="0"/>
        <v>InlandCharge</v>
      </c>
      <c r="C25" s="31" t="str">
        <f t="shared" si="1"/>
        <v>Inland Charge</v>
      </c>
      <c r="D25" s="31" t="str">
        <f t="shared" si="2"/>
        <v>inlandCharge</v>
      </c>
      <c r="E25" s="31" t="str">
        <f>A.Backend!H19</f>
        <v>decimal</v>
      </c>
      <c r="F25" s="31" t="str">
        <f>A.Backend!G19</f>
        <v>18, 8</v>
      </c>
      <c r="G25" s="31" t="str">
        <f t="shared" si="3"/>
        <v/>
      </c>
      <c r="H25" s="38" t="str">
        <f t="shared" si="4"/>
        <v xml:space="preserve">			{headerName: this.l('Inland Charge'),headerTooltip: this.l('Inland Charge'),field: 'inlandCharge',flex: 1},</v>
      </c>
      <c r="I25" s="38" t="str">
        <f t="shared" si="5"/>
        <v/>
      </c>
      <c r="J25" s="31"/>
      <c r="K25" s="38" t="str">
        <f t="shared" si="6"/>
        <v/>
      </c>
      <c r="L25" s="60" t="str">
        <f t="shared" si="7"/>
        <v/>
      </c>
      <c r="M25" s="31"/>
      <c r="N25" s="31"/>
      <c r="O25" s="31"/>
      <c r="P25" s="31"/>
      <c r="Q25" s="31"/>
      <c r="R25" s="31"/>
      <c r="S25" s="31" t="str">
        <f t="shared" si="8"/>
        <v>inlandCharge</v>
      </c>
      <c r="T25" s="31" t="str">
        <f t="shared" si="9"/>
        <v xml:space="preserve">			this.inlandCharge,</v>
      </c>
      <c r="U25" s="31" t="str">
        <f t="shared" si="10"/>
        <v>this.inlandCharge = '',</v>
      </c>
      <c r="V25" s="31" t="str">
        <f t="shared" si="11"/>
        <v/>
      </c>
    </row>
    <row r="26" spans="1:22" ht="18" customHeight="1" x14ac:dyDescent="0.25">
      <c r="A26" s="31" t="s">
        <v>329</v>
      </c>
      <c r="B26" s="31" t="str">
        <f t="shared" si="0"/>
        <v>Amount</v>
      </c>
      <c r="C26" s="31" t="str">
        <f t="shared" si="1"/>
        <v>Amount</v>
      </c>
      <c r="D26" s="31" t="str">
        <f t="shared" si="2"/>
        <v>amount</v>
      </c>
      <c r="E26" s="31" t="str">
        <f>A.Backend!H20</f>
        <v>decimal</v>
      </c>
      <c r="F26" s="31" t="str">
        <f>A.Backend!G20</f>
        <v>18, 8</v>
      </c>
      <c r="G26" s="31" t="str">
        <f t="shared" si="3"/>
        <v/>
      </c>
      <c r="H26" s="38" t="str">
        <f t="shared" si="4"/>
        <v xml:space="preserve">			{headerName: this.l('Amount'),headerTooltip: this.l('Amount'),field: 'amount',flex: 1},</v>
      </c>
      <c r="I26" s="38" t="str">
        <f t="shared" si="5"/>
        <v/>
      </c>
      <c r="J26" s="31"/>
      <c r="K26" s="38" t="str">
        <f t="shared" si="6"/>
        <v/>
      </c>
      <c r="L26" s="60" t="str">
        <f t="shared" si="7"/>
        <v/>
      </c>
      <c r="M26" s="31"/>
      <c r="N26" s="31"/>
      <c r="O26" s="31"/>
      <c r="P26" s="31"/>
      <c r="Q26" s="31"/>
      <c r="R26" s="31"/>
      <c r="S26" s="31" t="str">
        <f t="shared" si="8"/>
        <v>amount</v>
      </c>
      <c r="T26" s="31" t="str">
        <f t="shared" si="9"/>
        <v xml:space="preserve">			this.amount,</v>
      </c>
      <c r="U26" s="31" t="str">
        <f t="shared" si="10"/>
        <v>this.amount = '',</v>
      </c>
      <c r="V26" s="31" t="str">
        <f t="shared" si="11"/>
        <v/>
      </c>
    </row>
    <row r="27" spans="1:22" ht="15" customHeight="1" x14ac:dyDescent="0.25">
      <c r="A27" s="31" t="s">
        <v>334</v>
      </c>
      <c r="B27" s="31" t="str">
        <f t="shared" si="0"/>
        <v>Qty</v>
      </c>
      <c r="C27" s="31" t="str">
        <f t="shared" si="1"/>
        <v>Qty</v>
      </c>
      <c r="D27" s="31" t="str">
        <f t="shared" si="2"/>
        <v>qty</v>
      </c>
      <c r="E27" s="31" t="str">
        <f>A.Backend!H21</f>
        <v>int</v>
      </c>
      <c r="F27" s="31" t="str">
        <f>A.Backend!G21</f>
        <v/>
      </c>
      <c r="G27" s="31" t="str">
        <f t="shared" si="3"/>
        <v xml:space="preserve"> : number = 0 ;</v>
      </c>
      <c r="H27" s="38" t="str">
        <f t="shared" si="4"/>
        <v xml:space="preserve">			{headerName: this.l('Qty'),headerTooltip: this.l('Qty'),field: 'qty',flex: 1},</v>
      </c>
      <c r="I27" s="38" t="str">
        <f t="shared" si="5"/>
        <v/>
      </c>
      <c r="J27" s="31"/>
      <c r="K27" s="38" t="str">
        <f t="shared" si="6"/>
        <v xml:space="preserve">					&lt;div class='col-md-12 form-group row'&gt;
						&lt;label class='col-md-2 form-control title'&gt;Qty&lt;/label&gt;
						&lt;input type='number' class='col-md-10 form-control input-text' name='Qty' [(ngModel)]='rowdata.qty'&gt;
					&lt;/div&gt;</v>
      </c>
      <c r="L27" s="60" t="str">
        <f t="shared" si="7"/>
        <v/>
      </c>
      <c r="M27" s="31"/>
      <c r="N27" s="31"/>
      <c r="O27" s="31"/>
      <c r="P27" s="31"/>
      <c r="Q27" s="31"/>
      <c r="R27" s="31"/>
      <c r="S27" s="31" t="str">
        <f t="shared" si="8"/>
        <v>qty : number = 0 ;</v>
      </c>
      <c r="T27" s="31" t="str">
        <f t="shared" si="9"/>
        <v xml:space="preserve">			this.qty,</v>
      </c>
      <c r="U27" s="31" t="str">
        <f t="shared" si="10"/>
        <v>this.qty = 0,</v>
      </c>
      <c r="V27" s="31" t="str">
        <f t="shared" si="11"/>
        <v/>
      </c>
    </row>
    <row r="28" spans="1:22" ht="18" customHeight="1" x14ac:dyDescent="0.25">
      <c r="A28" s="31" t="s">
        <v>335</v>
      </c>
      <c r="B28" s="31" t="str">
        <f t="shared" si="0"/>
        <v>Price</v>
      </c>
      <c r="C28" s="31" t="str">
        <f t="shared" si="1"/>
        <v>Price</v>
      </c>
      <c r="D28" s="31" t="str">
        <f t="shared" si="2"/>
        <v>price</v>
      </c>
      <c r="E28" s="31" t="str">
        <f>A.Backend!H22</f>
        <v>decimal</v>
      </c>
      <c r="F28" s="31" t="str">
        <f>A.Backend!G22</f>
        <v>18, 8</v>
      </c>
      <c r="G28" s="31" t="str">
        <f t="shared" si="3"/>
        <v/>
      </c>
      <c r="H28" s="38" t="str">
        <f t="shared" si="4"/>
        <v xml:space="preserve">			{headerName: this.l('Price'),headerTooltip: this.l('Price'),field: 'price',flex: 1},</v>
      </c>
      <c r="I28" s="38" t="str">
        <f t="shared" si="5"/>
        <v/>
      </c>
      <c r="J28" s="31"/>
      <c r="K28" s="38" t="str">
        <f t="shared" si="6"/>
        <v/>
      </c>
      <c r="L28" s="60" t="str">
        <f t="shared" si="7"/>
        <v/>
      </c>
      <c r="M28" s="31"/>
      <c r="N28" s="31"/>
      <c r="O28" s="31"/>
      <c r="P28" s="31"/>
      <c r="Q28" s="31"/>
      <c r="R28" s="31"/>
      <c r="S28" s="31" t="str">
        <f t="shared" si="8"/>
        <v>price</v>
      </c>
      <c r="T28" s="31" t="str">
        <f t="shared" si="9"/>
        <v xml:space="preserve">			this.price,</v>
      </c>
      <c r="U28" s="31" t="str">
        <f t="shared" si="10"/>
        <v>this.price = '',</v>
      </c>
      <c r="V28" s="31" t="str">
        <f t="shared" si="11"/>
        <v/>
      </c>
    </row>
    <row r="29" spans="1:22" ht="15" customHeight="1" x14ac:dyDescent="0.25">
      <c r="A29" s="31" t="s">
        <v>343</v>
      </c>
      <c r="B29" s="31" t="str">
        <f t="shared" si="0"/>
        <v>FobVn</v>
      </c>
      <c r="C29" s="31" t="str">
        <f t="shared" si="1"/>
        <v>Fob Vn</v>
      </c>
      <c r="D29" s="31" t="str">
        <f t="shared" si="2"/>
        <v>fobVn</v>
      </c>
      <c r="E29" s="31" t="str">
        <f>A.Backend!H23</f>
        <v>decimal</v>
      </c>
      <c r="F29" s="31" t="str">
        <f>A.Backend!G23</f>
        <v>18, 4</v>
      </c>
      <c r="G29" s="31" t="str">
        <f t="shared" si="3"/>
        <v/>
      </c>
      <c r="H29" s="38" t="str">
        <f t="shared" si="4"/>
        <v xml:space="preserve">			{headerName: this.l('Fob Vn'),headerTooltip: this.l('Fob Vn'),field: 'fobVn',flex: 1},</v>
      </c>
      <c r="I29" s="38" t="str">
        <f t="shared" si="5"/>
        <v/>
      </c>
      <c r="J29" s="31"/>
      <c r="K29" s="38" t="str">
        <f t="shared" si="6"/>
        <v/>
      </c>
      <c r="L29" s="60" t="str">
        <f t="shared" si="7"/>
        <v/>
      </c>
      <c r="M29" s="31"/>
      <c r="N29" s="31"/>
      <c r="O29" s="31"/>
      <c r="P29" s="31"/>
      <c r="Q29" s="31"/>
      <c r="R29" s="31"/>
      <c r="S29" s="31" t="str">
        <f t="shared" si="8"/>
        <v>fobVn</v>
      </c>
      <c r="T29" s="31" t="str">
        <f t="shared" si="9"/>
        <v xml:space="preserve">			this.fobVn,</v>
      </c>
      <c r="U29" s="31" t="str">
        <f t="shared" si="10"/>
        <v>this.fobVn = '',</v>
      </c>
      <c r="V29" s="31" t="str">
        <f t="shared" si="11"/>
        <v/>
      </c>
    </row>
    <row r="30" spans="1:22" ht="18" customHeight="1" x14ac:dyDescent="0.25">
      <c r="A30" s="31" t="s">
        <v>344</v>
      </c>
      <c r="B30" s="31" t="str">
        <f t="shared" si="0"/>
        <v>CifVn</v>
      </c>
      <c r="C30" s="31" t="str">
        <f t="shared" si="1"/>
        <v>Cif Vn</v>
      </c>
      <c r="D30" s="31" t="str">
        <f t="shared" si="2"/>
        <v>cifVn</v>
      </c>
      <c r="E30" s="31" t="str">
        <f>A.Backend!H24</f>
        <v>decimal</v>
      </c>
      <c r="F30" s="31" t="str">
        <f>A.Backend!G24</f>
        <v>18, 4</v>
      </c>
      <c r="G30" s="31" t="str">
        <f t="shared" si="3"/>
        <v/>
      </c>
      <c r="H30" s="38" t="str">
        <f t="shared" si="4"/>
        <v xml:space="preserve">			{headerName: this.l('Cif Vn'),headerTooltip: this.l('Cif Vn'),field: 'cifVn',flex: 1},</v>
      </c>
      <c r="I30" s="38" t="str">
        <f t="shared" si="5"/>
        <v/>
      </c>
      <c r="J30" s="31"/>
      <c r="K30" s="38" t="str">
        <f t="shared" si="6"/>
        <v/>
      </c>
      <c r="L30" s="60" t="str">
        <f t="shared" si="7"/>
        <v/>
      </c>
      <c r="M30" s="31"/>
      <c r="N30" s="31"/>
      <c r="O30" s="31"/>
      <c r="P30" s="31"/>
      <c r="Q30" s="31"/>
      <c r="R30" s="31"/>
      <c r="S30" s="31" t="str">
        <f t="shared" si="8"/>
        <v>cifVn</v>
      </c>
      <c r="T30" s="31" t="str">
        <f t="shared" si="9"/>
        <v xml:space="preserve">			this.cifVn,</v>
      </c>
      <c r="U30" s="31" t="str">
        <f t="shared" si="10"/>
        <v>this.cifVn = '',</v>
      </c>
      <c r="V30" s="31" t="str">
        <f t="shared" si="11"/>
        <v/>
      </c>
    </row>
    <row r="31" spans="1:22" ht="18" customHeight="1" x14ac:dyDescent="0.25">
      <c r="A31" s="31" t="s">
        <v>345</v>
      </c>
      <c r="B31" s="31" t="str">
        <f t="shared" si="0"/>
        <v>ImportTaxVn</v>
      </c>
      <c r="C31" s="31" t="str">
        <f t="shared" si="1"/>
        <v>Import Tax Vn</v>
      </c>
      <c r="D31" s="31" t="str">
        <f t="shared" si="2"/>
        <v>importTaxVn</v>
      </c>
      <c r="E31" s="31" t="str">
        <f>A.Backend!H25</f>
        <v>decimal</v>
      </c>
      <c r="F31" s="31" t="str">
        <f>A.Backend!G25</f>
        <v>18, 4</v>
      </c>
      <c r="G31" s="31" t="str">
        <f t="shared" si="3"/>
        <v/>
      </c>
      <c r="H31" s="38" t="str">
        <f t="shared" si="4"/>
        <v xml:space="preserve">			{headerName: this.l('Import Tax Vn'),headerTooltip: this.l('Import Tax Vn'),field: 'importTaxVn',flex: 1},</v>
      </c>
      <c r="I31" s="38" t="str">
        <f t="shared" si="5"/>
        <v/>
      </c>
      <c r="J31" s="31"/>
      <c r="K31" s="38" t="str">
        <f t="shared" si="6"/>
        <v/>
      </c>
      <c r="L31" s="60" t="str">
        <f t="shared" si="7"/>
        <v/>
      </c>
      <c r="M31" s="31"/>
      <c r="N31" s="31"/>
      <c r="O31" s="31"/>
      <c r="P31" s="31"/>
      <c r="Q31" s="31"/>
      <c r="R31" s="31"/>
      <c r="S31" s="31" t="str">
        <f t="shared" si="8"/>
        <v>importTaxVn</v>
      </c>
      <c r="T31" s="31" t="str">
        <f t="shared" si="9"/>
        <v xml:space="preserve">			this.importTaxVn,</v>
      </c>
      <c r="U31" s="31" t="str">
        <f t="shared" si="10"/>
        <v>this.importTaxVn = '',</v>
      </c>
      <c r="V31" s="31" t="str">
        <f t="shared" si="11"/>
        <v/>
      </c>
    </row>
    <row r="32" spans="1:22" ht="15" customHeight="1" x14ac:dyDescent="0.25">
      <c r="A32" s="31" t="s">
        <v>346</v>
      </c>
      <c r="B32" s="31" t="str">
        <f t="shared" si="0"/>
        <v>InlandChargeVn</v>
      </c>
      <c r="C32" s="31" t="str">
        <f t="shared" si="1"/>
        <v>Inland Charge Vn</v>
      </c>
      <c r="D32" s="31" t="str">
        <f t="shared" si="2"/>
        <v>inlandChargeVn</v>
      </c>
      <c r="E32" s="31" t="str">
        <f>A.Backend!H26</f>
        <v>decimal</v>
      </c>
      <c r="F32" s="31" t="str">
        <f>A.Backend!G26</f>
        <v>18, 8</v>
      </c>
      <c r="G32" s="31" t="str">
        <f t="shared" si="3"/>
        <v/>
      </c>
      <c r="H32" s="38" t="str">
        <f t="shared" si="4"/>
        <v xml:space="preserve">			{headerName: this.l('Inland Charge Vn'),headerTooltip: this.l('Inland Charge Vn'),field: 'inlandChargeVn',flex: 1},</v>
      </c>
      <c r="I32" s="38" t="str">
        <f t="shared" si="5"/>
        <v/>
      </c>
      <c r="J32" s="31"/>
      <c r="K32" s="38" t="str">
        <f t="shared" si="6"/>
        <v/>
      </c>
      <c r="L32" s="60" t="str">
        <f t="shared" si="7"/>
        <v/>
      </c>
      <c r="M32" s="31"/>
      <c r="N32" s="31"/>
      <c r="O32" s="31"/>
      <c r="P32" s="31"/>
      <c r="Q32" s="31"/>
      <c r="R32" s="31"/>
      <c r="S32" s="31" t="str">
        <f t="shared" si="8"/>
        <v>inlandChargeVn</v>
      </c>
      <c r="T32" s="31" t="str">
        <f t="shared" si="9"/>
        <v xml:space="preserve">			this.inlandChargeVn,</v>
      </c>
      <c r="U32" s="31" t="str">
        <f t="shared" si="10"/>
        <v>this.inlandChargeVn = '',</v>
      </c>
      <c r="V32" s="31" t="str">
        <f t="shared" si="11"/>
        <v/>
      </c>
    </row>
    <row r="33" spans="1:22" ht="18" customHeight="1" x14ac:dyDescent="0.25">
      <c r="A33" s="31" t="s">
        <v>330</v>
      </c>
      <c r="B33" s="31" t="str">
        <f t="shared" si="0"/>
        <v>AmountVn</v>
      </c>
      <c r="C33" s="31" t="str">
        <f t="shared" si="1"/>
        <v>Amount Vn</v>
      </c>
      <c r="D33" s="31" t="str">
        <f t="shared" si="2"/>
        <v>amountVn</v>
      </c>
      <c r="E33" s="31" t="str">
        <f>A.Backend!H27</f>
        <v>decimal</v>
      </c>
      <c r="F33" s="31" t="str">
        <f>A.Backend!G27</f>
        <v>18, 8</v>
      </c>
      <c r="G33" s="31" t="str">
        <f t="shared" si="3"/>
        <v/>
      </c>
      <c r="H33" s="38" t="str">
        <f t="shared" si="4"/>
        <v xml:space="preserve">			{headerName: this.l('Amount Vn'),headerTooltip: this.l('Amount Vn'),field: 'amountVn',flex: 1},</v>
      </c>
      <c r="I33" s="38" t="str">
        <f t="shared" si="5"/>
        <v/>
      </c>
      <c r="J33" s="31"/>
      <c r="K33" s="38" t="str">
        <f t="shared" si="6"/>
        <v/>
      </c>
      <c r="L33" s="60" t="str">
        <f t="shared" si="7"/>
        <v/>
      </c>
      <c r="M33" s="31"/>
      <c r="N33" s="31"/>
      <c r="O33" s="31"/>
      <c r="P33" s="31"/>
      <c r="Q33" s="31"/>
      <c r="R33" s="31"/>
      <c r="S33" s="31" t="str">
        <f t="shared" si="8"/>
        <v>amountVn</v>
      </c>
      <c r="T33" s="31" t="str">
        <f t="shared" si="9"/>
        <v xml:space="preserve">			this.amountVn,</v>
      </c>
      <c r="U33" s="31" t="str">
        <f t="shared" si="10"/>
        <v>this.amountVn = '',</v>
      </c>
      <c r="V33" s="31" t="str">
        <f t="shared" si="11"/>
        <v/>
      </c>
    </row>
    <row r="34" spans="1:22" ht="14.25" customHeight="1" x14ac:dyDescent="0.25">
      <c r="A34" s="31" t="s">
        <v>347</v>
      </c>
      <c r="B34" s="31" t="str">
        <f t="shared" si="0"/>
        <v>PriceVn</v>
      </c>
      <c r="C34" s="31" t="str">
        <f t="shared" si="1"/>
        <v>Price Vn</v>
      </c>
      <c r="D34" s="31" t="str">
        <f t="shared" si="2"/>
        <v>priceVn</v>
      </c>
      <c r="E34" s="31" t="str">
        <f>A.Backend!H28</f>
        <v>decimal</v>
      </c>
      <c r="F34" s="31" t="str">
        <f>A.Backend!G28</f>
        <v>18, 8</v>
      </c>
      <c r="G34" s="31" t="str">
        <f t="shared" si="3"/>
        <v/>
      </c>
      <c r="H34" s="38" t="str">
        <f t="shared" si="4"/>
        <v xml:space="preserve">			{headerName: this.l('Price Vn'),headerTooltip: this.l('Price Vn'),field: 'priceVn',flex: 1},</v>
      </c>
      <c r="I34" s="38" t="str">
        <f t="shared" si="5"/>
        <v/>
      </c>
      <c r="J34" s="31"/>
      <c r="K34" s="38" t="str">
        <f t="shared" si="6"/>
        <v/>
      </c>
      <c r="L34" s="60" t="str">
        <f t="shared" si="7"/>
        <v/>
      </c>
      <c r="M34" s="31"/>
      <c r="N34" s="31"/>
      <c r="O34" s="31"/>
      <c r="P34" s="31"/>
      <c r="Q34" s="31"/>
      <c r="R34" s="31"/>
      <c r="S34" s="31" t="str">
        <f t="shared" si="8"/>
        <v>priceVn</v>
      </c>
      <c r="T34" s="31" t="str">
        <f t="shared" si="9"/>
        <v xml:space="preserve">			this.priceVn,</v>
      </c>
      <c r="U34" s="31" t="str">
        <f t="shared" si="10"/>
        <v>this.priceVn = '',</v>
      </c>
      <c r="V34" s="31" t="str">
        <f t="shared" si="11"/>
        <v/>
      </c>
    </row>
    <row r="35" spans="1:22" ht="18" customHeight="1" x14ac:dyDescent="0.25">
      <c r="A35" s="31" t="s">
        <v>348</v>
      </c>
      <c r="B35" s="31" t="str">
        <f t="shared" si="0"/>
        <v>InvoiceDate</v>
      </c>
      <c r="C35" s="31" t="str">
        <f t="shared" si="1"/>
        <v>Invoice Date</v>
      </c>
      <c r="D35" s="31" t="str">
        <f t="shared" si="2"/>
        <v>invoiceDate</v>
      </c>
      <c r="E35" s="31" t="str">
        <f>A.Backend!H29</f>
        <v>DateTime</v>
      </c>
      <c r="F35" s="31" t="str">
        <f>A.Backend!G29</f>
        <v/>
      </c>
      <c r="G35" s="31" t="str">
        <f t="shared" si="3"/>
        <v xml:space="preserve"> : any ;</v>
      </c>
      <c r="H35" s="38" t="str">
        <f t="shared" si="4"/>
        <v xml:space="preserve">			{headerName: this.l('Invoice Date'),headerTooltip: this.l('Invoice Date'),field: 'invoiceDate',valueGetter: (params) =&gt; this.pipe.transform(params.data?.invoiceDate, 'dd/MM/yyyy'),flex: 1},</v>
      </c>
      <c r="I35" s="38" t="str">
        <f t="shared" si="5"/>
        <v xml:space="preserve">								&lt;div class='input-search'&gt;
									&lt;input type='text' [placeholder]="l('Invoice Date')" [(ngModel)]='invoiceDate' 
									name='invoiceDate' (keydown)='searchDatas()' class='form-control' 
									bsDatepicker #d='bsDatepicker' placement='bottom left'&gt;
									&lt;i class='fa fa-calendar-alt' (click)='d.toggle()'&gt;&lt;/i&gt;
								&lt;/div&gt;</v>
      </c>
      <c r="J35" s="31"/>
      <c r="K35" s="38" t="str">
        <f t="shared" si="6"/>
        <v xml:space="preserve">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</v>
      </c>
      <c r="L35" s="60" t="str">
        <f t="shared" si="7"/>
        <v xml:space="preserve">		const dateValue =  this.rowdata.invoiceDate ? new Date(this.rowdata.invoiceDate?.toString()) : new Date();
		this.datepicker?.bsValueChange.emit(dateValue);</v>
      </c>
      <c r="M35" s="31"/>
      <c r="N35" s="31"/>
      <c r="O35" s="31"/>
      <c r="P35" s="31"/>
      <c r="Q35" s="31"/>
      <c r="R35" s="31"/>
      <c r="S35" s="31" t="str">
        <f t="shared" si="8"/>
        <v>invoiceDate : any ;</v>
      </c>
      <c r="T35" s="31" t="str">
        <f t="shared" si="9"/>
        <v xml:space="preserve">			this.invoiceDate,</v>
      </c>
      <c r="U35" s="31" t="str">
        <f t="shared" si="10"/>
        <v>this.invoiceDate = '',</v>
      </c>
      <c r="V35" s="31" t="str">
        <f t="shared" si="11"/>
        <v/>
      </c>
    </row>
    <row r="36" spans="1:22" ht="15" customHeight="1" x14ac:dyDescent="0.25">
      <c r="A36" s="31" t="s">
        <v>349</v>
      </c>
      <c r="B36" s="31" t="str">
        <f t="shared" si="0"/>
        <v>ReceiveDate</v>
      </c>
      <c r="C36" s="31" t="str">
        <f t="shared" si="1"/>
        <v>Receive Date</v>
      </c>
      <c r="D36" s="31" t="str">
        <f t="shared" si="2"/>
        <v>receiveDate</v>
      </c>
      <c r="E36" s="31" t="str">
        <f>A.Backend!H30</f>
        <v>DateTime</v>
      </c>
      <c r="F36" s="31" t="str">
        <f>A.Backend!G30</f>
        <v/>
      </c>
      <c r="G36" s="31" t="str">
        <f t="shared" si="3"/>
        <v xml:space="preserve"> : any ;</v>
      </c>
      <c r="H36" s="38" t="str">
        <f t="shared" si="4"/>
        <v xml:space="preserve">			{headerName: this.l('Receive Date'),headerTooltip: this.l('Receive Date'),field: 'receiveDate',valueGetter: (params) =&gt; this.pipe.transform(params.data?.receiveDate, 'dd/MM/yyyy'),flex: 1},</v>
      </c>
      <c r="I36" s="38" t="str">
        <f t="shared" si="5"/>
        <v xml:space="preserve">								&lt;div class='input-search'&gt;
									&lt;input type='text' [placeholder]="l('Receive Date')" [(ngModel)]='receiveDate' 
									name='receiveDate' (keydown)='searchDatas()' class='form-control' 
									bsDatepicker #d='bsDatepicker' placement='bottom left'&gt;
									&lt;i class='fa fa-calendar-alt' (click)='d.toggle()'&gt;&lt;/i&gt;
								&lt;/div&gt;</v>
      </c>
      <c r="J36" s="31"/>
      <c r="K36" s="38" t="str">
        <f t="shared" si="6"/>
        <v xml:space="preserve">					&lt;div class='col-md-12 form-group row'&gt;
						&lt;label class='col-md-2 form-control title'&gt;Receive Date&lt;/label&gt;
						&lt;input type='text' class='col-md-10 form-control input-text' name='receiveDate' 
						#datepicker='bsDatepicker' [(ngModel)]='rowdata.receiveDate'  bsDatepicker &gt;
					&lt;/div&gt;</v>
      </c>
      <c r="L36" s="60" t="str">
        <f t="shared" si="7"/>
        <v xml:space="preserve">		const dateValue =  this.rowdata.receiveDate ? new Date(this.rowdata.receiveDate?.toString()) : new Date();
		this.datepicker?.bsValueChange.emit(dateValue);</v>
      </c>
      <c r="M36" s="31"/>
      <c r="N36" s="31"/>
      <c r="O36" s="31"/>
      <c r="P36" s="31"/>
      <c r="Q36" s="31"/>
      <c r="R36" s="31"/>
      <c r="S36" s="31" t="str">
        <f t="shared" si="8"/>
        <v>receiveDate : any ;</v>
      </c>
      <c r="T36" s="31" t="str">
        <f t="shared" si="9"/>
        <v xml:space="preserve">			this.receiveDate,</v>
      </c>
      <c r="U36" s="31" t="str">
        <f t="shared" si="10"/>
        <v>this.receiveDate = '',</v>
      </c>
      <c r="V36" s="31" t="str">
        <f t="shared" si="11"/>
        <v/>
      </c>
    </row>
    <row r="37" spans="1:22" ht="18" customHeight="1" x14ac:dyDescent="0.25">
      <c r="A37" s="31" t="s">
        <v>350</v>
      </c>
      <c r="B37" s="31" t="str">
        <f t="shared" si="0"/>
        <v>ContSize</v>
      </c>
      <c r="C37" s="31" t="str">
        <f t="shared" si="1"/>
        <v>Cont Size</v>
      </c>
      <c r="D37" s="31" t="str">
        <f t="shared" si="2"/>
        <v>contSize</v>
      </c>
      <c r="E37" s="31" t="str">
        <f>A.Backend!H31</f>
        <v>int</v>
      </c>
      <c r="F37" s="31" t="str">
        <f>A.Backend!G31</f>
        <v/>
      </c>
      <c r="G37" s="31" t="str">
        <f t="shared" si="3"/>
        <v xml:space="preserve"> : number = 0 ;</v>
      </c>
      <c r="H37" s="38" t="str">
        <f t="shared" si="4"/>
        <v xml:space="preserve">			{headerName: this.l('Cont Size'),headerTooltip: this.l('Cont Size'),field: 'contSize',flex: 1},</v>
      </c>
      <c r="I37" s="38" t="str">
        <f t="shared" si="5"/>
        <v/>
      </c>
      <c r="J37" s="31"/>
      <c r="K37" s="38" t="str">
        <f t="shared" si="6"/>
        <v xml:space="preserve">					&lt;div class='col-md-12 form-group row'&gt;
						&lt;label class='col-md-2 form-control title'&gt;Cont Size&lt;/label&gt;
						&lt;input type='number' class='col-md-10 form-control input-text' name='ContSize' [(ngModel)]='rowdata.contSize'&gt;
					&lt;/div&gt;</v>
      </c>
      <c r="L37" s="60" t="str">
        <f t="shared" si="7"/>
        <v/>
      </c>
      <c r="M37" s="31"/>
      <c r="N37" s="31"/>
      <c r="O37" s="31"/>
      <c r="P37" s="31"/>
      <c r="Q37" s="31"/>
      <c r="R37" s="31"/>
      <c r="S37" s="31" t="str">
        <f t="shared" si="8"/>
        <v>contSize : number = 0 ;</v>
      </c>
      <c r="T37" s="31" t="str">
        <f t="shared" si="9"/>
        <v xml:space="preserve">			this.contSize,</v>
      </c>
      <c r="U37" s="31" t="str">
        <f t="shared" si="10"/>
        <v>this.contSize = 0,</v>
      </c>
      <c r="V37" s="31" t="str">
        <f t="shared" si="11"/>
        <v/>
      </c>
    </row>
    <row r="38" spans="1:22" ht="18" customHeight="1" x14ac:dyDescent="0.25">
      <c r="A38" s="31" t="s">
        <v>336</v>
      </c>
      <c r="B38" s="31" t="str">
        <f t="shared" si="0"/>
        <v>Eta</v>
      </c>
      <c r="C38" s="31" t="str">
        <f t="shared" si="1"/>
        <v>Eta</v>
      </c>
      <c r="D38" s="31" t="str">
        <f t="shared" si="2"/>
        <v>eta</v>
      </c>
      <c r="E38" s="31" t="str">
        <f>A.Backend!H32</f>
        <v>DateTime</v>
      </c>
      <c r="F38" s="31" t="str">
        <f>A.Backend!G32</f>
        <v/>
      </c>
      <c r="G38" s="31" t="str">
        <f t="shared" si="3"/>
        <v xml:space="preserve"> : any ;</v>
      </c>
      <c r="H38" s="38" t="str">
        <f t="shared" si="4"/>
        <v xml:space="preserve">			{headerName: this.l('Eta'),headerTooltip: this.l('Eta'),field: 'eta',valueGetter: (params) =&gt; this.pipe.transform(params.data?.eta, 'dd/MM/yyyy'),flex: 1},</v>
      </c>
      <c r="I38" s="38" t="str">
        <f t="shared" si="5"/>
        <v xml:space="preserve">								&lt;div class='input-search'&gt;
									&lt;input type='text' [placeholder]="l('Eta')" [(ngModel)]='eta' 
									name='eta' (keydown)='searchDatas()' class='form-control' 
									bsDatepicker #d='bsDatepicker' placement='bottom left'&gt;
									&lt;i class='fa fa-calendar-alt' (click)='d.toggle()'&gt;&lt;/i&gt;
								&lt;/div&gt;</v>
      </c>
      <c r="J38" s="31"/>
      <c r="K38" s="38" t="str">
        <f t="shared" si="6"/>
        <v xml:space="preserve">					&lt;div class='col-md-12 form-group row'&gt;
						&lt;label class='col-md-2 form-control title'&gt;Eta&lt;/label&gt;
						&lt;input type='text' class='col-md-10 form-control input-text' name='eta' 
						#datepicker='bsDatepicker' [(ngModel)]='rowdata.eta'  bsDatepicker &gt;
					&lt;/div&gt;</v>
      </c>
      <c r="L38" s="60" t="str">
        <f t="shared" si="7"/>
        <v xml:space="preserve">		const dateValue =  this.rowdata.eta ? new Date(this.rowdata.eta?.toString()) : new Date();
		this.datepicker?.bsValueChange.emit(dateValue);</v>
      </c>
      <c r="M38" s="31"/>
      <c r="N38" s="31"/>
      <c r="O38" s="31"/>
      <c r="P38" s="31"/>
      <c r="Q38" s="31"/>
      <c r="R38" s="31"/>
      <c r="S38" s="31" t="str">
        <f t="shared" si="8"/>
        <v>eta : any ;</v>
      </c>
      <c r="T38" s="31" t="str">
        <f t="shared" si="9"/>
        <v xml:space="preserve">			this.eta,</v>
      </c>
      <c r="U38" s="31" t="str">
        <f t="shared" si="10"/>
        <v>this.eta = '',</v>
      </c>
      <c r="V38" s="31" t="str">
        <f t="shared" si="11"/>
        <v/>
      </c>
    </row>
    <row r="39" spans="1:22" ht="15" customHeight="1" x14ac:dyDescent="0.25">
      <c r="A39" s="31" t="s">
        <v>351</v>
      </c>
      <c r="B39" s="31" t="str">
        <f t="shared" si="0"/>
        <v>SupplierNo</v>
      </c>
      <c r="C39" s="31" t="str">
        <f t="shared" si="1"/>
        <v>Supplier No</v>
      </c>
      <c r="D39" s="31" t="str">
        <f t="shared" si="2"/>
        <v>supplierNo</v>
      </c>
      <c r="E39" s="31" t="str">
        <f>A.Backend!H33</f>
        <v>string</v>
      </c>
      <c r="F39" s="31" t="str">
        <f>A.Backend!G33</f>
        <v>50</v>
      </c>
      <c r="G39" s="31" t="str">
        <f t="shared" si="3"/>
        <v xml:space="preserve"> : string = '' ; </v>
      </c>
      <c r="H39" s="38" t="str">
        <f t="shared" si="4"/>
        <v xml:space="preserve">			{headerName: this.l('Supplier No'),headerTooltip: this.l('Supplier No'),field: 'supplierNo',flex: 1},</v>
      </c>
      <c r="I39" s="38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39" s="31"/>
      <c r="K39" s="38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39" s="60" t="str">
        <f t="shared" si="7"/>
        <v/>
      </c>
      <c r="M39" s="31"/>
      <c r="N39" s="31"/>
      <c r="O39" s="31"/>
      <c r="P39" s="31"/>
      <c r="Q39" s="31"/>
      <c r="R39" s="31"/>
      <c r="S39" s="31" t="str">
        <f t="shared" si="8"/>
        <v xml:space="preserve">supplierNo : string = '' ; </v>
      </c>
      <c r="T39" s="31" t="str">
        <f t="shared" si="9"/>
        <v xml:space="preserve">			this.supplierNo,</v>
      </c>
      <c r="U39" s="31" t="str">
        <f t="shared" si="10"/>
        <v>this.supplierNo = '',</v>
      </c>
      <c r="V39" s="31" t="str">
        <f t="shared" si="11"/>
        <v/>
      </c>
    </row>
    <row r="4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268</v>
      </c>
      <c r="B20" t="s">
        <v>269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2022-10-04T03:01:43Z</dcterms:modified>
</cp:coreProperties>
</file>
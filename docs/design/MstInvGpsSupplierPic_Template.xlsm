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7" i="5" l="1"/>
  <c r="E57" i="5"/>
  <c r="T57" i="5" s="1"/>
  <c r="C57" i="5"/>
  <c r="B57" i="5"/>
  <c r="D57" i="5" s="1"/>
  <c r="F56" i="5"/>
  <c r="E56" i="5"/>
  <c r="T56" i="5" s="1"/>
  <c r="C56" i="5"/>
  <c r="B56" i="5"/>
  <c r="D56" i="5" s="1"/>
  <c r="F55" i="5"/>
  <c r="E55" i="5"/>
  <c r="C55" i="5"/>
  <c r="B55" i="5"/>
  <c r="D55" i="5" s="1"/>
  <c r="G54" i="5"/>
  <c r="F54" i="5"/>
  <c r="E54" i="5"/>
  <c r="C54" i="5"/>
  <c r="B54" i="5"/>
  <c r="D54" i="5" s="1"/>
  <c r="F53" i="5"/>
  <c r="E53" i="5"/>
  <c r="C53" i="5"/>
  <c r="B53" i="5"/>
  <c r="D53" i="5" s="1"/>
  <c r="F52" i="5"/>
  <c r="E52" i="5"/>
  <c r="C52" i="5"/>
  <c r="B52" i="5"/>
  <c r="D52" i="5" s="1"/>
  <c r="F51" i="5"/>
  <c r="E51" i="5"/>
  <c r="C51" i="5"/>
  <c r="B51" i="5"/>
  <c r="D51" i="5" s="1"/>
  <c r="F50" i="5"/>
  <c r="E50" i="5"/>
  <c r="G50" i="5" s="1"/>
  <c r="C50" i="5"/>
  <c r="B50" i="5"/>
  <c r="D50" i="5" s="1"/>
  <c r="F49" i="5"/>
  <c r="E49" i="5"/>
  <c r="C49" i="5"/>
  <c r="B49" i="5"/>
  <c r="D49" i="5" s="1"/>
  <c r="F48" i="5"/>
  <c r="E48" i="5"/>
  <c r="C48" i="5"/>
  <c r="B48" i="5"/>
  <c r="D48" i="5" s="1"/>
  <c r="F47" i="5"/>
  <c r="E47" i="5"/>
  <c r="C47" i="5"/>
  <c r="B47" i="5"/>
  <c r="D47" i="5" s="1"/>
  <c r="F46" i="5"/>
  <c r="E46" i="5"/>
  <c r="C46" i="5"/>
  <c r="B46" i="5"/>
  <c r="D46" i="5" s="1"/>
  <c r="F45" i="5"/>
  <c r="E45" i="5"/>
  <c r="C45" i="5"/>
  <c r="B45" i="5"/>
  <c r="D45" i="5" s="1"/>
  <c r="F44" i="5"/>
  <c r="E44" i="5"/>
  <c r="C44" i="5"/>
  <c r="B44" i="5"/>
  <c r="D44" i="5" s="1"/>
  <c r="F43" i="5"/>
  <c r="E43" i="5"/>
  <c r="C43" i="5"/>
  <c r="B43" i="5"/>
  <c r="D43" i="5" s="1"/>
  <c r="F42" i="5"/>
  <c r="E42" i="5"/>
  <c r="L42" i="5" s="1"/>
  <c r="C42" i="5"/>
  <c r="B42" i="5"/>
  <c r="D42" i="5" s="1"/>
  <c r="F41" i="5"/>
  <c r="E41" i="5"/>
  <c r="D41" i="5"/>
  <c r="C41" i="5"/>
  <c r="B41" i="5"/>
  <c r="F40" i="5"/>
  <c r="E40" i="5"/>
  <c r="L40" i="5" s="1"/>
  <c r="C40" i="5"/>
  <c r="B40" i="5"/>
  <c r="D40" i="5" s="1"/>
  <c r="F39" i="5"/>
  <c r="E39" i="5"/>
  <c r="C39" i="5"/>
  <c r="B39" i="5"/>
  <c r="D39" i="5" s="1"/>
  <c r="L38" i="5"/>
  <c r="F38" i="5"/>
  <c r="E38" i="5"/>
  <c r="G38" i="5" s="1"/>
  <c r="C38" i="5"/>
  <c r="B38" i="5"/>
  <c r="D38" i="5" s="1"/>
  <c r="F37" i="5"/>
  <c r="E37" i="5"/>
  <c r="C37" i="5"/>
  <c r="B37" i="5"/>
  <c r="D37" i="5" s="1"/>
  <c r="F36" i="5"/>
  <c r="E36" i="5"/>
  <c r="C36" i="5"/>
  <c r="B36" i="5"/>
  <c r="D36" i="5" s="1"/>
  <c r="F35" i="5"/>
  <c r="E35" i="5"/>
  <c r="C35" i="5"/>
  <c r="B35" i="5"/>
  <c r="D35" i="5" s="1"/>
  <c r="F34" i="5"/>
  <c r="E34" i="5"/>
  <c r="C34" i="5"/>
  <c r="B34" i="5"/>
  <c r="D34" i="5" s="1"/>
  <c r="F33" i="5"/>
  <c r="E33" i="5"/>
  <c r="C33" i="5"/>
  <c r="B33" i="5"/>
  <c r="D33" i="5" s="1"/>
  <c r="F32" i="5"/>
  <c r="E32" i="5"/>
  <c r="V32" i="5" s="1"/>
  <c r="C32" i="5"/>
  <c r="B32" i="5"/>
  <c r="D32" i="5" s="1"/>
  <c r="F31" i="5"/>
  <c r="E31" i="5"/>
  <c r="C31" i="5"/>
  <c r="B31" i="5"/>
  <c r="D31" i="5" s="1"/>
  <c r="F30" i="5"/>
  <c r="E30" i="5"/>
  <c r="C30" i="5"/>
  <c r="B30" i="5"/>
  <c r="D30" i="5" s="1"/>
  <c r="F29" i="5"/>
  <c r="E29" i="5"/>
  <c r="C29" i="5"/>
  <c r="B29" i="5"/>
  <c r="D29" i="5" s="1"/>
  <c r="F28" i="5"/>
  <c r="E28" i="5"/>
  <c r="C28" i="5"/>
  <c r="B28" i="5"/>
  <c r="D28" i="5" s="1"/>
  <c r="F27" i="5"/>
  <c r="E27" i="5"/>
  <c r="C27" i="5"/>
  <c r="B27" i="5"/>
  <c r="D27" i="5" s="1"/>
  <c r="F26" i="5"/>
  <c r="E26" i="5"/>
  <c r="C26" i="5"/>
  <c r="B26" i="5"/>
  <c r="D26" i="5" s="1"/>
  <c r="F25" i="5"/>
  <c r="E25" i="5"/>
  <c r="C25" i="5"/>
  <c r="B25" i="5"/>
  <c r="D25" i="5" s="1"/>
  <c r="F24" i="5"/>
  <c r="E24" i="5"/>
  <c r="L24" i="5" s="1"/>
  <c r="C24" i="5"/>
  <c r="B24" i="5"/>
  <c r="D24" i="5" s="1"/>
  <c r="F23" i="5"/>
  <c r="E23" i="5"/>
  <c r="C23" i="5"/>
  <c r="B23" i="5"/>
  <c r="D23" i="5" s="1"/>
  <c r="F22" i="5"/>
  <c r="E22" i="5"/>
  <c r="G22" i="5" s="1"/>
  <c r="C22" i="5"/>
  <c r="B22" i="5"/>
  <c r="D22" i="5" s="1"/>
  <c r="F21" i="5"/>
  <c r="E21" i="5"/>
  <c r="C21" i="5"/>
  <c r="B21" i="5"/>
  <c r="D21" i="5" s="1"/>
  <c r="L51" i="1"/>
  <c r="G51" i="1"/>
  <c r="E51" i="1"/>
  <c r="H51" i="1" s="1"/>
  <c r="D51" i="1"/>
  <c r="T51" i="1" s="1"/>
  <c r="L50" i="1"/>
  <c r="G50" i="1"/>
  <c r="E50" i="1"/>
  <c r="H50" i="1" s="1"/>
  <c r="D50" i="1"/>
  <c r="V50" i="1" s="1"/>
  <c r="L49" i="1"/>
  <c r="G49" i="1"/>
  <c r="E49" i="1"/>
  <c r="H49" i="1" s="1"/>
  <c r="M49" i="1" s="1"/>
  <c r="D49" i="1"/>
  <c r="T49" i="1" s="1"/>
  <c r="L48" i="1"/>
  <c r="G48" i="1"/>
  <c r="E48" i="1"/>
  <c r="H48" i="1" s="1"/>
  <c r="D48" i="1"/>
  <c r="V48" i="1" s="1"/>
  <c r="L47" i="1"/>
  <c r="H47" i="1"/>
  <c r="M47" i="1" s="1"/>
  <c r="G47" i="1"/>
  <c r="E47" i="1"/>
  <c r="D47" i="1"/>
  <c r="T47" i="1" s="1"/>
  <c r="L46" i="1"/>
  <c r="G46" i="1"/>
  <c r="E46" i="1"/>
  <c r="H46" i="1" s="1"/>
  <c r="D46" i="1"/>
  <c r="V46" i="1" s="1"/>
  <c r="L45" i="1"/>
  <c r="G45" i="1"/>
  <c r="E45" i="1"/>
  <c r="H45" i="1" s="1"/>
  <c r="D45" i="1"/>
  <c r="V45" i="1" s="1"/>
  <c r="L44" i="1"/>
  <c r="H44" i="1"/>
  <c r="M44" i="1" s="1"/>
  <c r="G44" i="1"/>
  <c r="E44" i="1"/>
  <c r="D44" i="1"/>
  <c r="T44" i="1" s="1"/>
  <c r="L43" i="1"/>
  <c r="G43" i="1"/>
  <c r="E43" i="1"/>
  <c r="H43" i="1" s="1"/>
  <c r="D43" i="1"/>
  <c r="V43" i="1" s="1"/>
  <c r="L42" i="1"/>
  <c r="G42" i="1"/>
  <c r="E42" i="1"/>
  <c r="H42" i="1" s="1"/>
  <c r="M42" i="1" s="1"/>
  <c r="D42" i="1"/>
  <c r="T42" i="1" s="1"/>
  <c r="L41" i="1"/>
  <c r="G41" i="1"/>
  <c r="E41" i="1"/>
  <c r="H41" i="1" s="1"/>
  <c r="D41" i="1"/>
  <c r="V41" i="1" s="1"/>
  <c r="L40" i="1"/>
  <c r="G40" i="1"/>
  <c r="E40" i="1"/>
  <c r="H40" i="1" s="1"/>
  <c r="M40" i="1" s="1"/>
  <c r="D40" i="1"/>
  <c r="T40" i="1" s="1"/>
  <c r="L39" i="1"/>
  <c r="G39" i="1"/>
  <c r="E39" i="1"/>
  <c r="H39" i="1" s="1"/>
  <c r="D39" i="1"/>
  <c r="V39" i="1" s="1"/>
  <c r="L38" i="1"/>
  <c r="H38" i="1"/>
  <c r="M38" i="1" s="1"/>
  <c r="G38" i="1"/>
  <c r="E38" i="1"/>
  <c r="D38" i="1"/>
  <c r="T38" i="1" s="1"/>
  <c r="L37" i="1"/>
  <c r="G37" i="1"/>
  <c r="E37" i="1"/>
  <c r="H37" i="1" s="1"/>
  <c r="D37" i="1"/>
  <c r="V37" i="1" s="1"/>
  <c r="L36" i="1"/>
  <c r="G36" i="1"/>
  <c r="E36" i="1"/>
  <c r="H36" i="1" s="1"/>
  <c r="M36" i="1" s="1"/>
  <c r="D36" i="1"/>
  <c r="T36" i="1" s="1"/>
  <c r="L35" i="1"/>
  <c r="G35" i="1"/>
  <c r="E35" i="1"/>
  <c r="H35" i="1" s="1"/>
  <c r="D35" i="1"/>
  <c r="V35" i="1" s="1"/>
  <c r="L34" i="1"/>
  <c r="H34" i="1"/>
  <c r="M34" i="1" s="1"/>
  <c r="G34" i="1"/>
  <c r="E34" i="1"/>
  <c r="D34" i="1"/>
  <c r="T34" i="1" s="1"/>
  <c r="L33" i="1"/>
  <c r="G33" i="1"/>
  <c r="E33" i="1"/>
  <c r="H33" i="1" s="1"/>
  <c r="D33" i="1"/>
  <c r="V33" i="1" s="1"/>
  <c r="L32" i="1"/>
  <c r="G32" i="1"/>
  <c r="E32" i="1"/>
  <c r="H32" i="1" s="1"/>
  <c r="D32" i="1"/>
  <c r="T32" i="1" s="1"/>
  <c r="L31" i="1"/>
  <c r="G31" i="1"/>
  <c r="E31" i="1"/>
  <c r="H31" i="1" s="1"/>
  <c r="D31" i="1"/>
  <c r="V31" i="1" s="1"/>
  <c r="L30" i="1"/>
  <c r="G30" i="1"/>
  <c r="E30" i="1"/>
  <c r="H30" i="1" s="1"/>
  <c r="D30" i="1"/>
  <c r="T30" i="1" s="1"/>
  <c r="L29" i="1"/>
  <c r="G29" i="1"/>
  <c r="E29" i="1"/>
  <c r="H29" i="1" s="1"/>
  <c r="D29" i="1"/>
  <c r="V29" i="1" s="1"/>
  <c r="T28" i="1"/>
  <c r="L28" i="1"/>
  <c r="G28" i="1"/>
  <c r="E28" i="1"/>
  <c r="H28" i="1" s="1"/>
  <c r="M28" i="1" s="1"/>
  <c r="D28" i="1"/>
  <c r="V28" i="1" s="1"/>
  <c r="L27" i="1"/>
  <c r="G27" i="1"/>
  <c r="E27" i="1"/>
  <c r="H27" i="1" s="1"/>
  <c r="D27" i="1"/>
  <c r="V27" i="1" s="1"/>
  <c r="L26" i="1"/>
  <c r="G26" i="1"/>
  <c r="E26" i="1"/>
  <c r="H26" i="1" s="1"/>
  <c r="D26" i="1"/>
  <c r="V26" i="1" s="1"/>
  <c r="L25" i="1"/>
  <c r="G25" i="1"/>
  <c r="E25" i="1"/>
  <c r="H25" i="1" s="1"/>
  <c r="D25" i="1"/>
  <c r="V25" i="1" s="1"/>
  <c r="L24" i="1"/>
  <c r="G24" i="1"/>
  <c r="E24" i="1"/>
  <c r="H24" i="1" s="1"/>
  <c r="M24" i="1" s="1"/>
  <c r="D24" i="1"/>
  <c r="V24" i="1" s="1"/>
  <c r="L23" i="1"/>
  <c r="G23" i="1"/>
  <c r="E23" i="1"/>
  <c r="H23" i="1" s="1"/>
  <c r="D23" i="1"/>
  <c r="T23" i="1" s="1"/>
  <c r="L22" i="1"/>
  <c r="G22" i="1"/>
  <c r="E22" i="1"/>
  <c r="H22" i="1" s="1"/>
  <c r="D22" i="1"/>
  <c r="V22" i="1" s="1"/>
  <c r="L21" i="1"/>
  <c r="G21" i="1"/>
  <c r="E21" i="1"/>
  <c r="H21" i="1" s="1"/>
  <c r="D21" i="1"/>
  <c r="T21" i="1" s="1"/>
  <c r="L20" i="1"/>
  <c r="G20" i="1"/>
  <c r="E20" i="1"/>
  <c r="H20" i="1" s="1"/>
  <c r="D20" i="1"/>
  <c r="V20" i="1" s="1"/>
  <c r="L19" i="1"/>
  <c r="G19" i="1"/>
  <c r="E19" i="1"/>
  <c r="H19" i="1" s="1"/>
  <c r="D19" i="1"/>
  <c r="V19" i="1" s="1"/>
  <c r="L18" i="1"/>
  <c r="G18" i="1"/>
  <c r="E18" i="1"/>
  <c r="H18" i="1" s="1"/>
  <c r="D18" i="1"/>
  <c r="T18" i="1" s="1"/>
  <c r="L17" i="1"/>
  <c r="G17" i="1"/>
  <c r="E17" i="1"/>
  <c r="H17" i="1" s="1"/>
  <c r="D17" i="1"/>
  <c r="V17" i="1" s="1"/>
  <c r="L16" i="1"/>
  <c r="G16" i="1"/>
  <c r="E16" i="1"/>
  <c r="H16" i="1" s="1"/>
  <c r="D16" i="1"/>
  <c r="T16" i="1" s="1"/>
  <c r="L15" i="1"/>
  <c r="G15" i="1"/>
  <c r="E15" i="1"/>
  <c r="H15" i="1" s="1"/>
  <c r="D15" i="1"/>
  <c r="V15" i="1" s="1"/>
  <c r="V50" i="5" l="1"/>
  <c r="L50" i="5"/>
  <c r="V39" i="5"/>
  <c r="H54" i="5"/>
  <c r="T52" i="5"/>
  <c r="U55" i="5"/>
  <c r="H39" i="5"/>
  <c r="G40" i="5"/>
  <c r="S40" i="5" s="1"/>
  <c r="G52" i="5"/>
  <c r="S52" i="5" s="1"/>
  <c r="G56" i="5"/>
  <c r="T48" i="5"/>
  <c r="T49" i="5"/>
  <c r="S50" i="5"/>
  <c r="K26" i="5"/>
  <c r="V37" i="5"/>
  <c r="V42" i="5"/>
  <c r="I47" i="5"/>
  <c r="V48" i="5"/>
  <c r="T51" i="5"/>
  <c r="L52" i="5"/>
  <c r="T54" i="5"/>
  <c r="L54" i="5"/>
  <c r="T55" i="5"/>
  <c r="H56" i="5"/>
  <c r="G42" i="5"/>
  <c r="S42" i="5" s="1"/>
  <c r="G48" i="5"/>
  <c r="S48" i="5" s="1"/>
  <c r="K53" i="5"/>
  <c r="V54" i="5"/>
  <c r="S54" i="5"/>
  <c r="L56" i="5"/>
  <c r="T53" i="5"/>
  <c r="H37" i="5"/>
  <c r="V43" i="5"/>
  <c r="T44" i="5"/>
  <c r="H45" i="5"/>
  <c r="H47" i="5"/>
  <c r="L48" i="5"/>
  <c r="T50" i="5"/>
  <c r="V52" i="5"/>
  <c r="V56" i="5"/>
  <c r="S56" i="5"/>
  <c r="S57" i="5"/>
  <c r="S53" i="5"/>
  <c r="U38" i="5"/>
  <c r="H48" i="5"/>
  <c r="H28" i="5"/>
  <c r="V34" i="5"/>
  <c r="V36" i="5"/>
  <c r="V41" i="5"/>
  <c r="T42" i="5"/>
  <c r="I48" i="5"/>
  <c r="G49" i="5"/>
  <c r="U49" i="5" s="1"/>
  <c r="L49" i="5"/>
  <c r="V49" i="5"/>
  <c r="I50" i="5"/>
  <c r="G51" i="5"/>
  <c r="S51" i="5" s="1"/>
  <c r="L51" i="5"/>
  <c r="V51" i="5"/>
  <c r="I52" i="5"/>
  <c r="G53" i="5"/>
  <c r="U53" i="5" s="1"/>
  <c r="L53" i="5"/>
  <c r="V53" i="5"/>
  <c r="I54" i="5"/>
  <c r="G55" i="5"/>
  <c r="L55" i="5"/>
  <c r="V55" i="5"/>
  <c r="I56" i="5"/>
  <c r="G57" i="5"/>
  <c r="L57" i="5"/>
  <c r="V57" i="5"/>
  <c r="T46" i="5"/>
  <c r="K49" i="5"/>
  <c r="H50" i="5"/>
  <c r="K51" i="5"/>
  <c r="H52" i="5"/>
  <c r="K57" i="5"/>
  <c r="U57" i="5"/>
  <c r="T40" i="5"/>
  <c r="G44" i="5"/>
  <c r="S44" i="5" s="1"/>
  <c r="G46" i="5"/>
  <c r="S46" i="5" s="1"/>
  <c r="K48" i="5"/>
  <c r="H49" i="5"/>
  <c r="S49" i="5"/>
  <c r="K50" i="5"/>
  <c r="U50" i="5"/>
  <c r="H51" i="5"/>
  <c r="K52" i="5"/>
  <c r="U52" i="5"/>
  <c r="H53" i="5"/>
  <c r="K54" i="5"/>
  <c r="U54" i="5"/>
  <c r="H55" i="5"/>
  <c r="S55" i="5"/>
  <c r="K56" i="5"/>
  <c r="U56" i="5"/>
  <c r="H57" i="5"/>
  <c r="K55" i="5"/>
  <c r="V26" i="5"/>
  <c r="V30" i="5"/>
  <c r="H34" i="5"/>
  <c r="T38" i="5"/>
  <c r="K42" i="5"/>
  <c r="H43" i="5"/>
  <c r="L44" i="5"/>
  <c r="V45" i="5"/>
  <c r="L46" i="5"/>
  <c r="V47" i="5"/>
  <c r="I49" i="5"/>
  <c r="I51" i="5"/>
  <c r="I53" i="5"/>
  <c r="I55" i="5"/>
  <c r="I57" i="5"/>
  <c r="T31" i="5"/>
  <c r="K22" i="5"/>
  <c r="H23" i="5"/>
  <c r="V38" i="5"/>
  <c r="V40" i="5"/>
  <c r="I41" i="5"/>
  <c r="T41" i="5"/>
  <c r="V44" i="5"/>
  <c r="I45" i="5"/>
  <c r="T45" i="5"/>
  <c r="V46" i="5"/>
  <c r="T47" i="5"/>
  <c r="T27" i="5"/>
  <c r="K31" i="5"/>
  <c r="K37" i="5"/>
  <c r="H38" i="5"/>
  <c r="S38" i="5"/>
  <c r="K39" i="5"/>
  <c r="H40" i="5"/>
  <c r="K41" i="5"/>
  <c r="H42" i="5"/>
  <c r="K43" i="5"/>
  <c r="H44" i="5"/>
  <c r="K45" i="5"/>
  <c r="H46" i="5"/>
  <c r="K47" i="5"/>
  <c r="K38" i="5"/>
  <c r="K40" i="5"/>
  <c r="H41" i="5"/>
  <c r="K44" i="5"/>
  <c r="K46" i="5"/>
  <c r="T33" i="5"/>
  <c r="I37" i="5"/>
  <c r="T37" i="5"/>
  <c r="I39" i="5"/>
  <c r="T39" i="5"/>
  <c r="I43" i="5"/>
  <c r="T43" i="5"/>
  <c r="T22" i="5"/>
  <c r="G24" i="5"/>
  <c r="U24" i="5" s="1"/>
  <c r="H25" i="5"/>
  <c r="H26" i="5"/>
  <c r="V28" i="5"/>
  <c r="T29" i="5"/>
  <c r="T35" i="5"/>
  <c r="G37" i="5"/>
  <c r="U37" i="5" s="1"/>
  <c r="L37" i="5"/>
  <c r="I38" i="5"/>
  <c r="G39" i="5"/>
  <c r="S39" i="5" s="1"/>
  <c r="L39" i="5"/>
  <c r="I40" i="5"/>
  <c r="G41" i="5"/>
  <c r="S41" i="5" s="1"/>
  <c r="L41" i="5"/>
  <c r="I42" i="5"/>
  <c r="G43" i="5"/>
  <c r="S43" i="5" s="1"/>
  <c r="L43" i="5"/>
  <c r="I44" i="5"/>
  <c r="G45" i="5"/>
  <c r="S45" i="5" s="1"/>
  <c r="L45" i="5"/>
  <c r="I46" i="5"/>
  <c r="G47" i="5"/>
  <c r="S47" i="5" s="1"/>
  <c r="L47" i="5"/>
  <c r="K27" i="5"/>
  <c r="K29" i="5"/>
  <c r="H30" i="5"/>
  <c r="H32" i="5"/>
  <c r="K33" i="5"/>
  <c r="K35" i="5"/>
  <c r="H36" i="5"/>
  <c r="H21" i="5"/>
  <c r="L22" i="5"/>
  <c r="I26" i="5"/>
  <c r="T26" i="5"/>
  <c r="G27" i="5"/>
  <c r="S27" i="5" s="1"/>
  <c r="L27" i="5"/>
  <c r="V27" i="5"/>
  <c r="I28" i="5"/>
  <c r="T28" i="5"/>
  <c r="G29" i="5"/>
  <c r="S29" i="5" s="1"/>
  <c r="L29" i="5"/>
  <c r="V29" i="5"/>
  <c r="I30" i="5"/>
  <c r="T30" i="5"/>
  <c r="G31" i="5"/>
  <c r="U31" i="5" s="1"/>
  <c r="L31" i="5"/>
  <c r="V31" i="5"/>
  <c r="I32" i="5"/>
  <c r="T32" i="5"/>
  <c r="G33" i="5"/>
  <c r="S33" i="5" s="1"/>
  <c r="L33" i="5"/>
  <c r="V33" i="5"/>
  <c r="I34" i="5"/>
  <c r="T34" i="5"/>
  <c r="G35" i="5"/>
  <c r="S35" i="5" s="1"/>
  <c r="L35" i="5"/>
  <c r="V35" i="5"/>
  <c r="I36" i="5"/>
  <c r="T36" i="5"/>
  <c r="T24" i="5"/>
  <c r="H27" i="5"/>
  <c r="K28" i="5"/>
  <c r="H29" i="5"/>
  <c r="K30" i="5"/>
  <c r="H31" i="5"/>
  <c r="K32" i="5"/>
  <c r="H33" i="5"/>
  <c r="K34" i="5"/>
  <c r="H35" i="5"/>
  <c r="K36" i="5"/>
  <c r="V22" i="5"/>
  <c r="V24" i="5"/>
  <c r="G26" i="5"/>
  <c r="U26" i="5" s="1"/>
  <c r="L26" i="5"/>
  <c r="I27" i="5"/>
  <c r="G28" i="5"/>
  <c r="U28" i="5" s="1"/>
  <c r="L28" i="5"/>
  <c r="I29" i="5"/>
  <c r="G30" i="5"/>
  <c r="S30" i="5" s="1"/>
  <c r="L30" i="5"/>
  <c r="I31" i="5"/>
  <c r="G32" i="5"/>
  <c r="S32" i="5" s="1"/>
  <c r="L32" i="5"/>
  <c r="I33" i="5"/>
  <c r="G34" i="5"/>
  <c r="U34" i="5" s="1"/>
  <c r="L34" i="5"/>
  <c r="I35" i="5"/>
  <c r="G36" i="5"/>
  <c r="U36" i="5" s="1"/>
  <c r="L36" i="5"/>
  <c r="T23" i="5"/>
  <c r="T25" i="5"/>
  <c r="K21" i="5"/>
  <c r="H22" i="5"/>
  <c r="S22" i="5"/>
  <c r="K23" i="5"/>
  <c r="H24" i="5"/>
  <c r="S24" i="5"/>
  <c r="K25" i="5"/>
  <c r="G21" i="5"/>
  <c r="S21" i="5" s="1"/>
  <c r="L21" i="5"/>
  <c r="V21" i="5"/>
  <c r="I22" i="5"/>
  <c r="G23" i="5"/>
  <c r="U23" i="5" s="1"/>
  <c r="L23" i="5"/>
  <c r="V23" i="5"/>
  <c r="I24" i="5"/>
  <c r="G25" i="5"/>
  <c r="U25" i="5" s="1"/>
  <c r="L25" i="5"/>
  <c r="V25" i="5"/>
  <c r="K24" i="5"/>
  <c r="U22" i="5"/>
  <c r="I21" i="5"/>
  <c r="I23" i="5"/>
  <c r="I25" i="5"/>
  <c r="M51" i="1"/>
  <c r="T26" i="1"/>
  <c r="M30" i="1"/>
  <c r="M20" i="1"/>
  <c r="P26" i="1"/>
  <c r="P28" i="1"/>
  <c r="P50" i="1"/>
  <c r="P48" i="1"/>
  <c r="P46" i="1"/>
  <c r="W50" i="1"/>
  <c r="O50" i="1"/>
  <c r="J50" i="1"/>
  <c r="N50" i="1"/>
  <c r="I50" i="1"/>
  <c r="M50" i="1"/>
  <c r="W48" i="1"/>
  <c r="O48" i="1"/>
  <c r="J48" i="1"/>
  <c r="N48" i="1"/>
  <c r="I48" i="1"/>
  <c r="M48" i="1"/>
  <c r="W46" i="1"/>
  <c r="O46" i="1"/>
  <c r="J46" i="1"/>
  <c r="N46" i="1"/>
  <c r="I46" i="1"/>
  <c r="M46" i="1"/>
  <c r="I49" i="1"/>
  <c r="N51" i="1"/>
  <c r="T46" i="1"/>
  <c r="J47" i="1"/>
  <c r="O47" i="1"/>
  <c r="W47" i="1"/>
  <c r="T48" i="1"/>
  <c r="J49" i="1"/>
  <c r="O49" i="1"/>
  <c r="W49" i="1"/>
  <c r="T50" i="1"/>
  <c r="J51" i="1"/>
  <c r="O51" i="1"/>
  <c r="W51" i="1"/>
  <c r="I47" i="1"/>
  <c r="V47" i="1"/>
  <c r="P47" i="1"/>
  <c r="P49" i="1"/>
  <c r="P51" i="1"/>
  <c r="N47" i="1"/>
  <c r="N49" i="1"/>
  <c r="V49" i="1"/>
  <c r="I51" i="1"/>
  <c r="V51" i="1"/>
  <c r="P45" i="1"/>
  <c r="P43" i="1"/>
  <c r="P41" i="1"/>
  <c r="P39" i="1"/>
  <c r="P37" i="1"/>
  <c r="P35" i="1"/>
  <c r="P33" i="1"/>
  <c r="M32" i="1"/>
  <c r="P31" i="1"/>
  <c r="W37" i="1"/>
  <c r="O37" i="1"/>
  <c r="J37" i="1"/>
  <c r="N37" i="1"/>
  <c r="I37" i="1"/>
  <c r="M37" i="1"/>
  <c r="W45" i="1"/>
  <c r="O45" i="1"/>
  <c r="J45" i="1"/>
  <c r="N45" i="1"/>
  <c r="I45" i="1"/>
  <c r="M45" i="1"/>
  <c r="W31" i="1"/>
  <c r="O31" i="1"/>
  <c r="J31" i="1"/>
  <c r="N31" i="1"/>
  <c r="I31" i="1"/>
  <c r="M31" i="1"/>
  <c r="W35" i="1"/>
  <c r="O35" i="1"/>
  <c r="J35" i="1"/>
  <c r="N35" i="1"/>
  <c r="I35" i="1"/>
  <c r="M35" i="1"/>
  <c r="W39" i="1"/>
  <c r="O39" i="1"/>
  <c r="J39" i="1"/>
  <c r="N39" i="1"/>
  <c r="I39" i="1"/>
  <c r="M39" i="1"/>
  <c r="W43" i="1"/>
  <c r="O43" i="1"/>
  <c r="J43" i="1"/>
  <c r="N43" i="1"/>
  <c r="I43" i="1"/>
  <c r="M43" i="1"/>
  <c r="W33" i="1"/>
  <c r="O33" i="1"/>
  <c r="J33" i="1"/>
  <c r="N33" i="1"/>
  <c r="I33" i="1"/>
  <c r="M33" i="1"/>
  <c r="W41" i="1"/>
  <c r="O41" i="1"/>
  <c r="J41" i="1"/>
  <c r="N41" i="1"/>
  <c r="I41" i="1"/>
  <c r="M41" i="1"/>
  <c r="N32" i="1"/>
  <c r="V32" i="1"/>
  <c r="N34" i="1"/>
  <c r="I38" i="1"/>
  <c r="N38" i="1"/>
  <c r="V38" i="1"/>
  <c r="I40" i="1"/>
  <c r="N40" i="1"/>
  <c r="V40" i="1"/>
  <c r="I42" i="1"/>
  <c r="N42" i="1"/>
  <c r="I44" i="1"/>
  <c r="N44" i="1"/>
  <c r="V44" i="1"/>
  <c r="J30" i="1"/>
  <c r="O30" i="1"/>
  <c r="W30" i="1"/>
  <c r="T31" i="1"/>
  <c r="J32" i="1"/>
  <c r="O32" i="1"/>
  <c r="W32" i="1"/>
  <c r="T33" i="1"/>
  <c r="J34" i="1"/>
  <c r="O34" i="1"/>
  <c r="W34" i="1"/>
  <c r="T35" i="1"/>
  <c r="J36" i="1"/>
  <c r="O36" i="1"/>
  <c r="W36" i="1"/>
  <c r="T37" i="1"/>
  <c r="J38" i="1"/>
  <c r="O38" i="1"/>
  <c r="W38" i="1"/>
  <c r="T39" i="1"/>
  <c r="J40" i="1"/>
  <c r="O40" i="1"/>
  <c r="W40" i="1"/>
  <c r="T41" i="1"/>
  <c r="J42" i="1"/>
  <c r="O42" i="1"/>
  <c r="W42" i="1"/>
  <c r="T43" i="1"/>
  <c r="J44" i="1"/>
  <c r="O44" i="1"/>
  <c r="W44" i="1"/>
  <c r="T45" i="1"/>
  <c r="I30" i="1"/>
  <c r="N30" i="1"/>
  <c r="V30" i="1"/>
  <c r="I32" i="1"/>
  <c r="I34" i="1"/>
  <c r="V34" i="1"/>
  <c r="I36" i="1"/>
  <c r="N36" i="1"/>
  <c r="V36" i="1"/>
  <c r="V42" i="1"/>
  <c r="P30" i="1"/>
  <c r="P32" i="1"/>
  <c r="P34" i="1"/>
  <c r="P36" i="1"/>
  <c r="P38" i="1"/>
  <c r="P40" i="1"/>
  <c r="P42" i="1"/>
  <c r="P44" i="1"/>
  <c r="W26" i="1"/>
  <c r="P24" i="1"/>
  <c r="T24" i="1"/>
  <c r="P22" i="1"/>
  <c r="T22" i="1"/>
  <c r="M22" i="1"/>
  <c r="P20" i="1"/>
  <c r="T20" i="1"/>
  <c r="N23" i="1"/>
  <c r="M23" i="1"/>
  <c r="I23" i="1"/>
  <c r="W23" i="1"/>
  <c r="O23" i="1"/>
  <c r="J23" i="1"/>
  <c r="W29" i="1"/>
  <c r="O29" i="1"/>
  <c r="J29" i="1"/>
  <c r="N29" i="1"/>
  <c r="I29" i="1"/>
  <c r="M29" i="1"/>
  <c r="W21" i="1"/>
  <c r="O21" i="1"/>
  <c r="J21" i="1"/>
  <c r="M21" i="1"/>
  <c r="N21" i="1"/>
  <c r="I21" i="1"/>
  <c r="W27" i="1"/>
  <c r="O27" i="1"/>
  <c r="J27" i="1"/>
  <c r="N27" i="1"/>
  <c r="I27" i="1"/>
  <c r="M27" i="1"/>
  <c r="N25" i="1"/>
  <c r="I25" i="1"/>
  <c r="M25" i="1"/>
  <c r="O25" i="1"/>
  <c r="J25" i="1"/>
  <c r="W25" i="1"/>
  <c r="V21" i="1"/>
  <c r="I20" i="1"/>
  <c r="N20" i="1"/>
  <c r="P21" i="1"/>
  <c r="I22" i="1"/>
  <c r="N22" i="1"/>
  <c r="P23" i="1"/>
  <c r="I24" i="1"/>
  <c r="N24" i="1"/>
  <c r="P25" i="1"/>
  <c r="I26" i="1"/>
  <c r="N26" i="1"/>
  <c r="P27" i="1"/>
  <c r="I28" i="1"/>
  <c r="N28" i="1"/>
  <c r="P29" i="1"/>
  <c r="V23" i="1"/>
  <c r="M26" i="1"/>
  <c r="J20" i="1"/>
  <c r="O20" i="1"/>
  <c r="W20" i="1"/>
  <c r="J22" i="1"/>
  <c r="O22" i="1"/>
  <c r="W22" i="1"/>
  <c r="J24" i="1"/>
  <c r="O24" i="1"/>
  <c r="W24" i="1"/>
  <c r="T25" i="1"/>
  <c r="J26" i="1"/>
  <c r="O26" i="1"/>
  <c r="T27" i="1"/>
  <c r="J28" i="1"/>
  <c r="O28" i="1"/>
  <c r="W28" i="1"/>
  <c r="T29" i="1"/>
  <c r="P19" i="1"/>
  <c r="M18" i="1"/>
  <c r="P17" i="1"/>
  <c r="M16" i="1"/>
  <c r="P15" i="1"/>
  <c r="W19" i="1"/>
  <c r="O19" i="1"/>
  <c r="J19" i="1"/>
  <c r="N19" i="1"/>
  <c r="I19" i="1"/>
  <c r="M19" i="1"/>
  <c r="W17" i="1"/>
  <c r="O17" i="1"/>
  <c r="J17" i="1"/>
  <c r="N17" i="1"/>
  <c r="I17" i="1"/>
  <c r="M17" i="1"/>
  <c r="W15" i="1"/>
  <c r="O15" i="1"/>
  <c r="J15" i="1"/>
  <c r="N15" i="1"/>
  <c r="I15" i="1"/>
  <c r="M15" i="1"/>
  <c r="I16" i="1"/>
  <c r="I18" i="1"/>
  <c r="N18" i="1"/>
  <c r="V18" i="1"/>
  <c r="T15" i="1"/>
  <c r="J16" i="1"/>
  <c r="O16" i="1"/>
  <c r="W16" i="1"/>
  <c r="T17" i="1"/>
  <c r="J18" i="1"/>
  <c r="O18" i="1"/>
  <c r="W18" i="1"/>
  <c r="T19" i="1"/>
  <c r="P16" i="1"/>
  <c r="P18" i="1"/>
  <c r="N16" i="1"/>
  <c r="V16" i="1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B20" i="5"/>
  <c r="D20" i="5" s="1"/>
  <c r="T21" i="5" s="1"/>
  <c r="C20" i="5"/>
  <c r="U40" i="5" l="1"/>
  <c r="U42" i="5"/>
  <c r="U46" i="5"/>
  <c r="S28" i="5"/>
  <c r="U44" i="5"/>
  <c r="U48" i="5"/>
  <c r="U43" i="5"/>
  <c r="S37" i="5"/>
  <c r="U51" i="5"/>
  <c r="U32" i="5"/>
  <c r="U45" i="5"/>
  <c r="S31" i="5"/>
  <c r="S36" i="5"/>
  <c r="U47" i="5"/>
  <c r="U41" i="5"/>
  <c r="U39" i="5"/>
  <c r="S26" i="5"/>
  <c r="U30" i="5"/>
  <c r="U35" i="5"/>
  <c r="U27" i="5"/>
  <c r="S34" i="5"/>
  <c r="S25" i="5"/>
  <c r="U33" i="5"/>
  <c r="U29" i="5"/>
  <c r="S23" i="5"/>
  <c r="U21" i="5"/>
  <c r="B7" i="5" l="1"/>
  <c r="B6" i="5"/>
  <c r="B2" i="5"/>
  <c r="B8" i="5" l="1"/>
  <c r="B3" i="5"/>
  <c r="L14" i="1"/>
  <c r="G14" i="1"/>
  <c r="F20" i="5" s="1"/>
  <c r="E14" i="1"/>
  <c r="H14" i="1" s="1"/>
  <c r="E20" i="5" s="1"/>
  <c r="D14" i="1"/>
  <c r="T14" i="1" s="1"/>
  <c r="G20" i="5" l="1"/>
  <c r="S20" i="5" s="1"/>
  <c r="I20" i="5"/>
  <c r="V20" i="5"/>
  <c r="K20" i="5"/>
  <c r="T20" i="5"/>
  <c r="H20" i="5"/>
  <c r="L20" i="5"/>
  <c r="M14" i="1"/>
  <c r="I14" i="1"/>
  <c r="N14" i="1"/>
  <c r="V14" i="1"/>
  <c r="J14" i="1"/>
  <c r="O14" i="1"/>
  <c r="W14" i="1"/>
  <c r="P14" i="1"/>
  <c r="U20" i="5" l="1"/>
  <c r="B6" i="1"/>
  <c r="G13" i="1"/>
  <c r="F19" i="5" s="1"/>
  <c r="E13" i="1"/>
  <c r="H13" i="1" s="1"/>
  <c r="E19" i="5" s="1"/>
  <c r="D13" i="1"/>
  <c r="V13" i="1" s="1"/>
  <c r="G19" i="5" l="1"/>
  <c r="U19" i="5" s="1"/>
  <c r="K19" i="5"/>
  <c r="T19" i="5"/>
  <c r="S19" i="5"/>
  <c r="I19" i="5"/>
  <c r="V19" i="5"/>
  <c r="H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G18" i="5" l="1"/>
  <c r="U18" i="5" s="1"/>
  <c r="K18" i="5"/>
  <c r="T18" i="5"/>
  <c r="V18" i="5"/>
  <c r="I18" i="5"/>
  <c r="H18" i="5"/>
  <c r="G17" i="5"/>
  <c r="U17" i="5" s="1"/>
  <c r="K17" i="5"/>
  <c r="V17" i="5"/>
  <c r="I17" i="5"/>
  <c r="T17" i="5"/>
  <c r="H17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S17" i="5" l="1"/>
  <c r="S18" i="5"/>
  <c r="G9" i="1"/>
  <c r="F15" i="5" s="1"/>
  <c r="E9" i="1"/>
  <c r="H9" i="1" s="1"/>
  <c r="E15" i="5" s="1"/>
  <c r="D9" i="1"/>
  <c r="V9" i="1" s="1"/>
  <c r="I15" i="5" l="1"/>
  <c r="T15" i="5"/>
  <c r="K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K16" i="5"/>
  <c r="S16" i="5"/>
  <c r="I16" i="5"/>
  <c r="G16" i="5"/>
  <c r="V16" i="5"/>
  <c r="U16" i="5"/>
  <c r="T16" i="5"/>
  <c r="L16" i="5"/>
  <c r="P10" i="1"/>
  <c r="V10" i="1"/>
  <c r="W10" i="1"/>
  <c r="J10" i="1"/>
  <c r="I10" i="1"/>
  <c r="O10" i="1"/>
  <c r="N10" i="1"/>
  <c r="M10" i="1"/>
  <c r="W3" i="1" l="1"/>
  <c r="V3" i="1"/>
  <c r="W53" i="1"/>
  <c r="V53" i="1"/>
  <c r="U7" i="1" l="1"/>
  <c r="T3" i="1" l="1"/>
  <c r="F3" i="1"/>
  <c r="T53" i="1"/>
  <c r="J5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O53" i="1"/>
  <c r="P53" i="1"/>
  <c r="N53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7" i="1" l="1"/>
  <c r="G6" i="1" l="1"/>
  <c r="S13" i="5"/>
  <c r="L13" i="5"/>
  <c r="K13" i="5"/>
  <c r="I13" i="5"/>
  <c r="U13" i="5"/>
  <c r="H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I53" i="1"/>
  <c r="M53" i="1"/>
  <c r="C6" i="1" l="1"/>
  <c r="P7" i="1" s="1"/>
  <c r="S3" i="1"/>
  <c r="S7" i="1" s="1"/>
  <c r="E6" i="1"/>
  <c r="F69" i="3"/>
  <c r="I3" i="1" l="1"/>
  <c r="B7" i="1"/>
  <c r="L9" i="1" l="1"/>
  <c r="L10" i="1"/>
  <c r="C7" i="1"/>
  <c r="K53" i="1"/>
  <c r="Q7" i="1" l="1"/>
  <c r="M69" i="3" s="1"/>
  <c r="L7" i="1"/>
  <c r="G69" i="3" s="1"/>
  <c r="K69" i="3"/>
  <c r="J69" i="3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<sst xmlns="http://schemas.openxmlformats.org/spreadsheetml/2006/main" count="607" uniqueCount="418">
  <si>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</si>
  <si>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</si>
  <si>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</si>
  <si>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</si>
  <si>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</si>
  <si>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</si>
  <si>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</si>
  <si>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</si>
  <si>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</si>
  <si>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</si>
  <si>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</si>
  <si>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</si>
  <si>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</si>
  <si>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</si>
  <si>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</si>
  <si>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</si>
  <si>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</si>
  <si>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</si>
  <si>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</si>
  <si>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</si>
  <si>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</si>
  <si>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</si>
  <si>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</si>
  <si>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</si>
  <si>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</si>
  <si>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</si>
  <si>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</si>
  <si>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</si>
  <si>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</si>
  <si>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</si>
  <si>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</si>
  <si>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</si>
  <si>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</si>
  <si>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</si>
  <si>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</si>
  <si>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</si>
  <si>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</si>
  <si>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</si>
  <si>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</si>
  <si>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</si>
  <si>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</si>
  <si>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</si>
  <si>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</si>
  <si>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</si>
  <si>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</si>
  <si>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</si>
  <si>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</si>
  <si>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</si>
  <si>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</si>
  <si>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</si>
  <si>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</si>
  <si>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</si>
  <si>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</si>
  <si>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</si>
  <si>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</si>
  <si>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</si>
  <si>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</si>
  <si>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</si>
  <si>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</si>
  <si>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</si>
  <si>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</si>
  <si>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</si>
  <si>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</si>
  <si>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</si>
  <si>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</si>
  <si>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</si>
  <si>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</si>
  <si>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</si>
  <si>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</si>
  <si>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</si>
  <si>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</si>
  <si>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</si>
  <si>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</si>
  <si>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</si>
  <si>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</si>
  <si>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</si>
  <si>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</si>
  <si>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</si>
  <si>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</si>
  <si>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</si>
  <si>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</si>
  <si>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</si>
  <si>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</si>
  <si>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</si>
  <si>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</si>
  <si>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</si>
  <si>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</si>
  <si>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</si>
  <si>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</si>
  <si>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</si>
  <si>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</si>
  <si>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</si>
  <si>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</si>
  <si>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</si>
  <si>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</si>
  <si>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</si>
  <si>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</si>
  <si>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</si>
  <si>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</si>
  <si>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</si>
  <si>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</si>
  <si>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</si>
  <si>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</si>
  <si>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</si>
  <si>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</si>
  <si>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</si>
  <si>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</si>
  <si>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</si>
  <si>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</si>
  <si>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</si>
  <si>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</si>
  <si>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</si>
  <si>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</si>
  <si>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</si>
  <si>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</si>
  <si>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</si>
  <si>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</si>
  <si>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</si>
  <si>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</si>
  <si>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</si>
  <si>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</si>
  <si>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</si>
  <si>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</si>
  <si>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</si>
  <si>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</si>
  <si>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</si>
  <si>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</si>
  <si>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</si>
  <si>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</si>
  <si>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</si>
  <si>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</si>
  <si>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</si>
  <si>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</si>
  <si>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</si>
  <si>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</si>
  <si>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</si>
  <si>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</si>
  <si>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</si>
  <si>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</si>
  <si>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</si>
  <si>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</si>
  <si>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</si>
  <si>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</si>
  <si>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</si>
  <si>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</si>
  <si>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</si>
  <si>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</si>
  <si>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</si>
  <si>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</si>
  <si>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</si>
  <si>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</si>
  <si>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</si>
  <si>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</si>
  <si>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</si>
  <si>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</si>
  <si>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</si>
  <si>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</si>
  <si>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</si>
  <si>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</si>
  <si>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</si>
  <si>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</si>
  <si>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</si>
  <si>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</si>
  <si>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</si>
  <si>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</si>
  <si>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</si>
  <si>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</si>
  <si>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</si>
  <si>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</si>
  <si>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</si>
  <si>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</si>
  <si>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</si>
  <si>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</si>
  <si>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</si>
  <si>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</si>
  <si>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</si>
  <si>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</si>
  <si>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</si>
  <si>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</si>
  <si>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</si>
  <si>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</si>
  <si>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</si>
  <si>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</si>
  <si>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</si>
  <si>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</si>
  <si>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</si>
  <si>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</si>
  <si>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</si>
  <si>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</si>
  <si>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</si>
  <si>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</si>
  <si>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</si>
  <si>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</si>
  <si>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</si>
  <si>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</si>
  <si>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</si>
  <si>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</si>
  <si>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</si>
  <si>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</si>
  <si>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</si>
  <si>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</si>
  <si>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</si>
  <si>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</si>
  <si>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</si>
  <si>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</si>
  <si>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</si>
  <si>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</si>
  <si>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</si>
  <si>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</si>
  <si>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</si>
  <si>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</si>
  <si>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</si>
  <si>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</si>
  <si>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</si>
  <si>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</si>
  <si>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</si>
  <si>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</si>
  <si>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</si>
  <si>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</si>
  <si>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</si>
  <si>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</si>
  <si>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</si>
  <si>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</si>
  <si>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</si>
  <si>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</si>
  <si>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</si>
  <si>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</si>
  <si>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</si>
  <si>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</si>
  <si>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</si>
  <si>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</si>
  <si>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</si>
  <si>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</si>
  <si>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</si>
  <si>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</si>
  <si>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</si>
  <si>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</si>
  <si>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</si>
  <si>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</si>
  <si>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</si>
  <si>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</si>
  <si>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</si>
  <si>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</si>
  <si>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</si>
  <si>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</si>
  <si>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</si>
  <si>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</si>
  <si>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</si>
  <si>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</si>
  <si>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</si>
  <si>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</si>
  <si>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</si>
  <si>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</si>
  <si>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</si>
  <si>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</si>
  <si>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</si>
  <si>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</si>
  <si>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</si>
  <si>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</si>
  <si>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</si>
  <si>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</si>
  <si>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</si>
  <si>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</si>
  <si>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</si>
  <si>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</si>
  <si>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</si>
  <si>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</si>
  <si>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</si>
  <si>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</si>
  <si>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</si>
  <si>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</si>
  <si>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</si>
  <si>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</si>
  <si>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</si>
  <si>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</si>
  <si>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</si>
  <si>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</si>
  <si>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</si>
  <si>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</si>
  <si>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</si>
  <si>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</si>
  <si>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</si>
  <si>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</si>
  <si>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</si>
  <si>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</si>
  <si>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</si>
  <si>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</si>
  <si>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</si>
  <si>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</si>
  <si>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</si>
  <si>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</si>
  <si>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</si>
  <si>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</si>
  <si>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</si>
  <si>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</si>
  <si>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</si>
  <si>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</si>
  <si>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</si>
  <si>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</si>
  <si>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</si>
  <si>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</si>
  <si>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</si>
  <si>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</si>
  <si>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</si>
  <si>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</si>
  <si>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</si>
  <si>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</si>
  <si>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</si>
  <si>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</si>
  <si>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</si>
  <si>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</si>
  <si>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</si>
  <si>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</si>
  <si>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</si>
  <si>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</si>
  <si>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</si>
  <si>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</si>
  <si>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</si>
  <si>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</si>
  <si>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</si>
  <si>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</si>
  <si>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</si>
  <si>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</si>
  <si>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</si>
  <si>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</si>
  <si>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</si>
  <si>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</si>
  <si>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</si>
  <si>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</si>
  <si>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</si>
  <si>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</si>
  <si>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</si>
  <si>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</si>
  <si>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</si>
  <si>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</si>
  <si>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</si>
  <si>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</si>
  <si>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</si>
  <si>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</si>
  <si>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</si>
  <si>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</si>
  <si>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</si>
  <si>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</si>
  <si>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</si>
  <si>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</si>
  <si>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</si>
  <si>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</si>
  <si>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</si>
  <si>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</si>
  <si>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</si>
  <si>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</si>
  <si>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nvarchar(40)</t>
  </si>
  <si>
    <t>CPS</t>
  </si>
  <si>
    <t>Cps</t>
  </si>
  <si>
    <t>InvCps</t>
  </si>
  <si>
    <t>IHP</t>
  </si>
  <si>
    <t>Ihp</t>
  </si>
  <si>
    <t>InvIhp</t>
  </si>
  <si>
    <t>Inhouse Part</t>
  </si>
  <si>
    <t>NATION</t>
  </si>
  <si>
    <t>nvarchar(1)</t>
  </si>
  <si>
    <t>BUSINESS_PARTNER_CATEGORY</t>
  </si>
  <si>
    <t>BUSINESS_PARTNER_GROUP</t>
  </si>
  <si>
    <t>BUSINESS_PARTNER_ROLE</t>
  </si>
  <si>
    <t>nvarchar(4)</t>
  </si>
  <si>
    <t>nvarchar(6)</t>
  </si>
  <si>
    <t>BUSINESS_PARTNER_CD</t>
  </si>
  <si>
    <t>EMAIL_ADDRESS_1</t>
  </si>
  <si>
    <t>SUPP_SEARCG_TERM</t>
  </si>
  <si>
    <t>BUSINESS_PARTNER_NAME_1</t>
  </si>
  <si>
    <t>BUSINESS_PARTNER_NAME_2</t>
  </si>
  <si>
    <t>BUSINESS_PARTNER_NAME_3</t>
  </si>
  <si>
    <t>BUSINESS_PARTNER_NAME_4</t>
  </si>
  <si>
    <t>ADDRESS_1</t>
  </si>
  <si>
    <t>nvarchar(10)</t>
  </si>
  <si>
    <t>nvarchar(241)</t>
  </si>
  <si>
    <t>nvarchar(20)</t>
  </si>
  <si>
    <t>nvarchar(35)</t>
  </si>
  <si>
    <t>ADDRESS_2</t>
  </si>
  <si>
    <t>ADDRESS_3</t>
  </si>
  <si>
    <t>DISTRICT</t>
  </si>
  <si>
    <t>CITY</t>
  </si>
  <si>
    <t>POSTAL_CD</t>
  </si>
  <si>
    <t>COUNTRY</t>
  </si>
  <si>
    <t>PHONE_NO</t>
  </si>
  <si>
    <t>FAX_NO</t>
  </si>
  <si>
    <t>TAX_NO</t>
  </si>
  <si>
    <t>nvarchar(3)</t>
  </si>
  <si>
    <t>nvarchar(30)</t>
  </si>
  <si>
    <t>TAX_CATE</t>
  </si>
  <si>
    <t>COMPANY_CODE</t>
  </si>
  <si>
    <t>PAYMENT_METHOD_CD</t>
  </si>
  <si>
    <t>PAYMENT_METHOD_NM</t>
  </si>
  <si>
    <t>PAYMENT_TERM_CD</t>
  </si>
  <si>
    <t>PAYMENT_TERM_NM</t>
  </si>
  <si>
    <t>nvarchar(50)</t>
  </si>
  <si>
    <t>ORDER_CURRENCY</t>
  </si>
  <si>
    <t>TYPE_OF_INDUSTRY</t>
  </si>
  <si>
    <t>PREVIOUS_MASTER_RECORD_NUMBER</t>
  </si>
  <si>
    <t>TEXT_ID_TITLE</t>
  </si>
  <si>
    <t>UNIQUE_BANK_ID</t>
  </si>
  <si>
    <t>SUPP_BANK_KEY</t>
  </si>
  <si>
    <t>nvarchar(15)</t>
  </si>
  <si>
    <t>SUPP_BANK_COUNTRY</t>
  </si>
  <si>
    <t>SUPP_ACCOUNT</t>
  </si>
  <si>
    <t>ACCOUNT_HOLDER</t>
  </si>
  <si>
    <t>ACCNAME</t>
  </si>
  <si>
    <t>nvarchar(18)</t>
  </si>
  <si>
    <t>nvarchar(60)</t>
  </si>
  <si>
    <t>PARTNER_BANK_NAME</t>
  </si>
  <si>
    <t>EXTERNAL_ID</t>
  </si>
  <si>
    <t>STATUS_FLAG_AB</t>
  </si>
  <si>
    <t>STATUS_FLAG_CB</t>
  </si>
  <si>
    <t>STATUS_FLAG_AD</t>
  </si>
  <si>
    <t>STATUS_FLAG_CD</t>
  </si>
  <si>
    <t>Master.Cmm</t>
  </si>
  <si>
    <t>MstCmmBusinessParter</t>
  </si>
  <si>
    <t>BusinessParter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</si>
</sst>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zoomScaleNormal="100" workbookViewId="0">
      <selection activeCell="H46" sqref="H46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355</v>
      </c>
      <c r="F46" s="1" t="s">
        <v>356</v>
      </c>
      <c r="G46" t="s">
        <v>357</v>
      </c>
      <c r="H46" t="s">
        <v>358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352</v>
      </c>
      <c r="F51" s="1" t="s">
        <v>353</v>
      </c>
      <c r="G51" t="s">
        <v>354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[Table("MstCmmBusinessParter")]
	public class MstCmmBusinessParter: FullAuditedEntity&lt;long&gt;, IEntity&lt;long&gt;	
	{
		public const int MaxNationLength = 1;
		public const int MaxBusinessPartnerCategoryLength = 1;
		public const int MaxBusinessPartnerGroupLength = 4;
		public const int MaxBusinessPartnerRoleLength = 6;
		public const int MaxBusinessPartnerCdLength = 10;
		public const int MaxEmailAddress1Length = 241;
		public const int MaxSuppSearcgTermLength = 20;
		public const int MaxBusinessPartnerName1Length = 35;
		public const int MaxBusinessPartnerName2Length = 35;
		public const int MaxBusinessPartnerName3Length = 35;
		public const int MaxBusinessPartnerName4Length = 35;
		public const int MaxAddress1Length = 35;
		public const int MaxAddress2Length = 35;
		public const int MaxAddress3Length = 35;
		public const int MaxDistrictLength = 40;
		public const int MaxCityLength = 40;
		public const int MaxPostalCdLength = 10;
		public const int MaxCountryLength = 3;
		public const int MaxPhoneNoLength = 30;
		public const int MaxFaxNoLength = 30;
		public const int MaxTaxNoLength = 20;
		public const int MaxTaxCateLength = 4;
		public const int MaxCompanyCodeLength = 4;
		public const int MaxPaymentMethodCdLength = 10;
		public const int MaxPaymentMethodNmLength = 30;
		public const int MaxPaymentTermCdLength = 4;
		public const int MaxPaymentTermNmLength = 50;
		public const int MaxOrderCurrencyLength = 3;
		public const int MaxTypeOfIndustryLength = 30;
		public const int MaxPreviousMasterRecordNumberLength = 10;
		public const int MaxTextIdTitleLength = 40;
		public const int MaxUniqueBankIdLength = 4;
		public const int MaxSuppBankKeyLength = 15;
		public const int MaxSuppBankCountryLength = 3;
		public const int MaxSuppAccountLength = 18;
		public const int MaxAccountHolderLength = 60;
		public const int MaxAccnameLength = 40;
		public const int MaxPartnerBankNameLength = 30;
		public const int MaxExternalIdLength = 10;
		public const int MaxStatusFlagAbLength = 1;
		public const int MaxStatusFlagCbLength = 1;
		public const int MaxStatusFlagAdLength = 1;
		public const int MaxStatusFlagCdLength = 1;
		[StringLength(MaxNationLength)]
		public virtual string Nation { get; set; }
		[StringLength(MaxBusinessPartnerCategoryLength)]
		public virtual string BusinessPartnerCategory { get; set; }
		[StringLength(MaxBusinessPartnerGroupLength)]
		public virtual string BusinessPartnerGroup { get; set; }
		[StringLength(MaxBusinessPartnerRoleLength)]
		public virtual string BusinessPartnerRole { get; set; }
		[StringLength(MaxBusinessPartnerCdLength)]
		public virtual string BusinessPartnerCd { get; set; }
		[StringLength(MaxEmailAddress1Length)]
		public virtual string EmailAddress1 { get; set; }
		[StringLength(MaxSuppSearcgTermLength)]
		public virtual string SuppSearcgTerm { get; set; }
		[StringLength(MaxBusinessPartnerName1Length)]
		public virtual string BusinessPartnerName1 { get; set; }
		[StringLength(MaxBusinessPartnerName2Length)]
		public virtual string BusinessPartnerName2 { get; set; }
		[StringLength(MaxBusinessPartnerName3Length)]
		public virtual string BusinessPartnerName3 { get; set; }
		[StringLength(MaxBusinessPartnerName4Length)]
		public virtual string BusinessPartnerName4 { get; set; }
		[StringLength(MaxAddress1Length)]
		public virtual string Address1 { get; set; }
		[StringLength(MaxAddress2Length)]
		public virtual string Address2 { get; set; }
		[StringLength(MaxAddress3Length)]
		public virtual string Address3 { get; set; }
		[StringLength(MaxDistrictLength)]
		public virtual string District { get; set; }
		[StringLength(MaxCityLength)]
		public virtual string City { get; set; }
		[StringLength(MaxPostalCdLength)]
		public virtual string PostalCd { get; set; }
		[StringLength(MaxCountryLength)]
		public virtual string Country { get; set; }
		[StringLength(MaxPhoneNoLength)]
		public virtual string PhoneNo { get; set; }
		[StringLength(MaxFaxNoLength)]
		public virtual string FaxNo { get; set; }
		[StringLength(MaxTaxNoLength)]
		public virtual string TaxNo { get; set; }
		[StringLength(MaxTaxCateLength)]
		public virtual string TaxCate { get; set; }
		[StringLength(MaxCompanyCodeLength)]
		public virtual string CompanyCode { get; set; }
		[StringLength(MaxPaymentMethodCdLength)]
		public virtual string PaymentMethodCd { get; set; }
		[StringLength(MaxPaymentMethodNmLength)]
		public virtual string PaymentMethodNm { get; set; }
		[StringLength(MaxPaymentTermCdLength)]
		public virtual string PaymentTermCd { get; set; }
		[StringLength(MaxPaymentTermNmLength)]
		public virtual string PaymentTermNm { get; set; }
		[StringLength(MaxOrderCurrencyLength)]
		public virtual string OrderCurrency { get; set; }
		[StringLength(MaxTypeOfIndustryLength)]
		public virtual string TypeOfIndustry { get; set; }
		[StringLength(MaxPreviousMasterRecordNumberLength)]
		public virtual string PreviousMasterRecordNumber { get; set; }
		[StringLength(MaxTextIdTitleLength)]
		public virtual string TextIdTitle { get; set; }
		[StringLength(MaxUniqueBankIdLength)]
		public virtual string UniqueBankId { get; set; }
		[StringLength(MaxSuppBankKeyLength)]
		public virtual string SuppBankKey { get; set; }
		[StringLength(MaxSuppBankCountryLength)]
		public virtual string SuppBankCountry { get; set; }
		[StringLength(MaxSuppAccountLength)]
		public virtual string SuppAccount { get; set; }
		[StringLength(MaxAccountHolderLength)]
		public virtual string AccountHolder { get; set; }
		[StringLength(MaxAccnameLength)]
		public virtual string Accname { get; set; }
		[StringLength(MaxPartnerBankNameLength)]
		public virtual string PartnerBankName { get; set; }
		[StringLength(MaxExternalIdLength)]
		public virtual string ExternalId { get; set; }
		[StringLength(MaxStatusFlagAbLength)]
		public virtual string StatusFlagAb { get; set; }
		[StringLength(MaxStatusFlagCbLength)]
		public virtual string StatusFlagCb { get; set; }
		[StringLength(MaxStatusFlagAdLength)]
		public virtual string StatusFlagAd { get; set; }
		[StringLength(MaxStatusFlagCdLength)]
		public virtual string StatusFlagCd { get; set; }
	}
}
</v>
      </c>
      <c r="D69" s="48" t="str">
        <f>A.Backend!O7</f>
        <v xml:space="preserve">		public const string Pages_Master_Cmm_BusinessParter = "Pages.Master.Cmm.BusinessParter";
		public const string Pages_Master_Cmm_BusinessParter_CreateEdit = "Pages.Master.Cmm.BusinessParter.CreateEdit";
		public const string Pages_Master_Cmm_BusinessParter_Delete = "Pages.Master.Cmm.BusinessParter.Delete";
</v>
      </c>
      <c r="E69" s="48" t="str">
        <f>A.Backend!N7</f>
        <v xml:space="preserve">		var perMstCmmBusinessParter = PARENTS.CreateChildPermission(AppPermissions.Pages_Master_Cmm_BusinessParter, L( "MasterCmmBusinessParter"), multiTenancySides: MultiTenancySides.Tenant);
		perMstCmmBusinessParter.CreateChildPermission(AppPermissions.Pages_Master_Cmm_BusinessParter_CreateEdit, L( "MasterCmmBusinessParterCreateEdit"), multiTenancySides: MultiTenancySides.Tenant);
		perMstCmmBusinessParter.CreateChildPermission(AppPermissions.Pages_Master_Cmm_BusinessParter_Delete, L( "MasterCmmBusinessParterDelete"), multiTenancySides: MultiTenancySides.Tenant);</v>
      </c>
      <c r="F69" s="48" t="str">
        <f>A.Backend!K7</f>
        <v>public virtual DbSet&lt;MstCmmBusinessParter&gt; MstCmmBusinessParters { get; set; }</v>
      </c>
      <c r="G69" s="48" t="str">
        <f ca="1">A.Backend!L7</f>
        <v xml:space="preserve">namespace prod.Master.Cmm
{
	public class MstCmmBusinessParterConsts	
	{
		public const int MaxNationLength = 1;
		public const int MaxBusinessPartnerCategoryLength = 1;
		public const int MaxBusinessPartnerGroupLength = 4;
		public const int MaxBusinessPartnerRoleLength = 6;
		public const int MaxBusinessPartnerCdLength = 10;
		public const int MaxEmailAddress1Length = 241;
		public const int MaxSuppSearcgTermLength = 20;
		public const int MaxBusinessPartnerName1Length = 35;
		public const int MaxBusinessPartnerName2Length = 35;
		public const int MaxBusinessPartnerName3Length = 35;
		public const int MaxBusinessPartnerName4Length = 35;
		public const int MaxAddress1Length = 35;
		public const int MaxAddress2Length = 35;
		public const int MaxAddress3Length = 35;
		public const int MaxDistrictLength = 40;
		public const int MaxCityLength = 40;
		public const int MaxPostalCdLength = 10;
		public const int MaxCountryLength = 3;
		public const int MaxPhoneNoLength = 30;
		public const int MaxFaxNoLength = 30;
		public const int MaxTaxNoLength = 20;
		public const int MaxTaxCateLength = 4;
		public const int MaxCompanyCodeLength = 4;
		public const int MaxPaymentMethodCdLength = 10;
		public const int MaxPaymentMethodNmLength = 30;
		public const int MaxPaymentTermCdLength = 4;
		public const int MaxPaymentTermNmLength = 50;
		public const int MaxOrderCurrencyLength = 3;
		public const int MaxTypeOfIndustryLength = 30;
		public const int MaxPreviousMasterRecordNumberLength = 10;
		public const int MaxTextIdTitleLength = 40;
		public const int MaxUniqueBankIdLength = 4;
		public const int MaxSuppBankKeyLength = 15;
		public const int MaxSuppBankCountryLength = 3;
		public const int MaxSuppAccountLength = 18;
		public const int MaxAccountHolderLength = 60;
		public const int MaxAccnameLength = 40;
		public const int MaxPartnerBankNameLength = 30;
		public const int MaxExternalIdLength = 10;
		public const int MaxStatusFlagAbLength = 1;
		public const int MaxStatusFlagCbLength = 1;
		public const int MaxStatusFlagAdLength = 1;
		public const int MaxStatusFlagCdLength = 1;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prod.Master.Cmm.Dto
{
	public class MstCmmBusinessParterDto : EntityDto&lt;long?&gt;	
	{
		public virtual string Nation { get; set; }
		public virtual string BusinessPartnerCategory { get; set; }
		public virtual string BusinessPartnerGroup { get; set; }
		public virtual string BusinessPartnerRole { get; set; }
		public virtual string BusinessPartnerCd { get; set; }
		public virtual string EmailAddress1 { get; set; }
		public virtual string SuppSearcgTerm { get; set; }
		public virtual string BusinessPartnerName1 { get; set; }
		public virtual string BusinessPartnerName2 { get; set; }
		public virtual string BusinessPartnerName3 { get; set; }
		public virtual string BusinessPartnerName4 { get; set; }
		public virtual string Address1 { get; set; }
		public virtual string Address2 { get; set; }
		public virtual string Address3 { get; set; }
		public virtual string District { get; set; }
		public virtual string City { get; set; }
		public virtual string PostalCd { get; set; }
		public virtual string Country { get; set; }
		public virtual string PhoneNo { get; set; }
		public virtual string FaxNo { get; set; }
		public virtual string TaxNo { get; set; }
		public virtual string TaxCate { get; set; }
		public virtual string CompanyCode { get; set; }
		public virtual string PaymentMethodCd { get; set; }
		public virtual string PaymentMethodNm { get; set; }
		public virtual string PaymentTermCd { get; set; }
		public virtual string PaymentTermNm { get; set; }
		public virtual string OrderCurrency { get; set; }
		public virtual string TypeOfIndustry { get; set; }
		public virtual string PreviousMasterRecordNumber { get; set; }
		public virtual string TextIdTitle { get; set; }
		public virtual string UniqueBankId { get; set; }
		public virtual string SuppBankKey { get; set; }
		public virtual string SuppBankCountry { get; set; }
		public virtual string SuppAccount { get; set; }
		public virtual string AccountHolder { get; set; }
		public virtual string Accname { get; set; }
		public virtual string PartnerBankName { get; set; }
		public virtual string ExternalId { get; set; }
		public virtual string StatusFlagAb { get; set; }
		public virtual string StatusFlagCb { get; set; }
		public virtual string StatusFlagAd { get; set; }
		public virtual string StatusFlagCd { get; set; }
	}
	public class CreateOrEditMstCmmBusinessParterDto : EntityDto&lt;long?&gt;	
	{
		[StringLength(MstCmmBusinessParterConsts.MaxNationLength)]
		public virtual string Nation { get; set; }
		[StringLength(MstCmmBusinessParterConsts.MaxBusinessPartnerCategoryLength)]
		public virtual string BusinessPartnerCategory { get; set; }
		[StringLength(MstCmmBusinessParterConsts.MaxBusinessPartnerGroupLength)]
		public virtual string BusinessPartnerGroup { get; set; }
		[StringLength(MstCmmBusinessParterConsts.MaxBusinessPartnerRoleLength)]
		public virtual string BusinessPartnerRole { get; set; }
		[StringLength(MstCmmBusinessParterConsts.MaxBusinessPartnerCdLength)]
		public virtual string BusinessPartnerCd { get; set; }
		[StringLength(MstCmmBusinessParterConsts.MaxEmailAddress1Length)]
		public virtual string EmailAddress1 { get; set; }
		[StringLength(MstCmmBusinessParterConsts.MaxSuppSearcgTermLength)]
		public virtual string SuppSearcgTerm { get; set; }
		[StringLength(MstCmmBusinessParterConsts.MaxBusinessPartnerName1Length)]
		public virtual string BusinessPartnerName1 { get; set; }
		[StringLength(MstCmmBusinessParterConsts.MaxBusinessPartnerName2Length)]
		public virtual string BusinessPartnerName2 { get; set; }
		[StringLength(MstCmmBusinessParterConsts.MaxBusinessPartnerName3Length)]
		public virtual string BusinessPartnerName3 { get; set; }
		[StringLength(MstCmmBusinessParterConsts.MaxBusinessPartnerName4Length)]
		public virtual string BusinessPartnerName4 { get; set; }
		[StringLength(MstCmmBusinessParterConsts.MaxAddress1Length)]
		public virtual string Address1 { get; set; }
		[StringLength(MstCmmBusinessParterConsts.MaxAddress2Length)]
		public virtual string Address2 { get; set; }
		[StringLength(MstCmmBusinessParterConsts.MaxAddress3Length)]
		public virtual string Address3 { get; set; }
		[StringLength(MstCmmBusinessParterConsts.MaxDistrictLength)]
		public virtual string District { get; set; }
		[StringLength(MstCmmBusinessParterConsts.MaxCityLength)]
		public virtual string City { get; set; }
		[StringLength(MstCmmBusinessParterConsts.MaxPostalCdLength)]
		public virtual string PostalCd { get; set; }
		[StringLength(MstCmmBusinessParterConsts.MaxCountryLength)]
		public virtual string Country { get; set; }
		[StringLength(MstCmmBusinessParterConsts.MaxPhoneNoLength)]
		public virtual string PhoneNo { get; set; }
		[StringLength(MstCmmBusinessParterConsts.MaxFaxNoLength)]
		public virtual string FaxNo { get; set; }
		[StringLength(MstCmmBusinessParterConsts.MaxTaxNoLength)]
		public virtual string TaxNo { get; set; }
		[StringLength(MstCmmBusinessParterConsts.MaxTaxCateLength)]
		public virtual string TaxCate { get; set; }
		[StringLength(MstCmmBusinessParterConsts.MaxCompanyCodeLength)]
		public virtual string CompanyCode { get; set; }
		[StringLength(MstCmmBusinessParterConsts.MaxPaymentMethodCdLength)]
		public virtual string PaymentMethodCd { get; set; }
		[StringLength(MstCmmBusinessParterConsts.MaxPaymentMethodNmLength)]
		public virtual string PaymentMethodNm { get; set; }
		[StringLength(MstCmmBusinessParterConsts.MaxPaymentTermCdLength)]
		public virtual string PaymentTermCd { get; set; }
		[StringLength(MstCmmBusinessParterConsts.MaxPaymentTermNmLength)]
		public virtual string PaymentTermNm { get; set; }
		[StringLength(MstCmmBusinessParterConsts.MaxOrderCurrencyLength)]
		public virtual string OrderCurrency { get; set; }
		[StringLength(MstCmmBusinessParterConsts.MaxTypeOfIndustryLength)]
		public virtual string TypeOfIndustry { get; set; }
		[StringLength(MstCmmBusinessParterConsts.MaxPreviousMasterRecordNumberLength)]
		public virtual string PreviousMasterRecordNumber { get; set; }
		[StringLength(MstCmmBusinessParterConsts.MaxTextIdTitleLength)]
		public virtual string TextIdTitle { get; set; }
		[StringLength(MstCmmBusinessParterConsts.MaxUniqueBankIdLength)]
		public virtual string UniqueBankId { get; set; }
		[StringLength(MstCmmBusinessParterConsts.MaxSuppBankKeyLength)]
		public virtual string SuppBankKey { get; set; }
		[StringLength(MstCmmBusinessParterConsts.MaxSuppBankCountryLength)]
		public virtual string SuppBankCountry { get; set; }
		[StringLength(MstCmmBusinessParterConsts.MaxSuppAccountLength)]
		public virtual string SuppAccount { get; set; }
		[StringLength(MstCmmBusinessParterConsts.MaxAccountHolderLength)]
		public virtual string AccountHolder { get; set; }
		[StringLength(MstCmmBusinessParterConsts.MaxAccnameLength)]
		public virtual string Accname { get; set; }
		[StringLength(MstCmmBusinessParterConsts.MaxPartnerBankNameLength)]
		public virtual string PartnerBankName { get; set; }
		[StringLength(MstCmmBusinessParterConsts.MaxExternalIdLength)]
		public virtual string ExternalId { get; set; }
		[StringLength(MstCmmBusinessParterConsts.MaxStatusFlagAbLength)]
		public virtual string StatusFlagAb { get; set; }
		[StringLength(MstCmmBusinessParterConsts.MaxStatusFlagCbLength)]
		public virtual string StatusFlagCb { get; set; }
		[StringLength(MstCmmBusinessParterConsts.MaxStatusFlagAdLength)]
		public virtual string StatusFlagAd { get; set; }
		[StringLength(MstCmmBusinessParterConsts.MaxStatusFlagCdLength)]
		public virtual string StatusFlagCd { get; set; }
	}
	public class GetMstCmmBusinessParterInput : PagedAndSortedResultRequestDto	
	{
		public virtual string Nation { get; set; }
		public virtual string BusinessPartnerCategory { get; set; }
		public virtual string BusinessPartnerGroup { get; set; }
		public virtual string BusinessPartnerRole { get; set; }
		public virtual string BusinessPartnerCd { get; set; }
		public virtual string EmailAddress1 { get; set; }
		public virtual string SuppSearcgTerm { get; set; }
		public virtual string BusinessPartnerName1 { get; set; }
		public virtual string BusinessPartnerName2 { get; set; }
		public virtual string BusinessPartnerName3 { get; set; }
		public virtual string BusinessPartnerName4 { get; set; }
		public virtual string Address1 { get; set; }
		public virtual string Address2 { get; set; }
		public virtual string Address3 { get; set; }
		public virtual string District { get; set; }
		public virtual string City { get; set; }
		public virtual string PostalCd { get; set; }
		public virtual string Country { get; set; }
		public virtual string PhoneNo { get; set; }
		public virtual string FaxNo { get; set; }
		public virtual string TaxNo { get; set; }
		public virtual string TaxCate { get; set; }
		public virtual string CompanyCode { get; set; }
		public virtual string PaymentMethodCd { get; set; }
		public virtual string PaymentMethodNm { get; set; }
		public virtual string PaymentTermCd { get; set; }
		public virtual string PaymentTermNm { get; set; }
		public virtual string OrderCurrency { get; set; }
		public virtual string TypeOfIndustry { get; set; }
		public virtual string PreviousMasterRecordNumber { get; set; }
		public virtual string TextIdTitle { get; set; }
		public virtual string UniqueBankId { get; set; }
		public virtual string SuppBankKey { get; set; }
		public virtual string SuppBankCountry { get; set; }
		public virtual string SuppAccount { get; set; }
		public virtual string AccountHolder { get; set; }
		public virtual string Accname { get; set; }
		public virtual string PartnerBankName { get; set; }
		public virtual string ExternalId { get; set; }
		public virtual string StatusFlagAb { get; set; }
		public virtual string StatusFlagCb { get; set; }
		public virtual string StatusFlagAd { get; set; }
		public virtual string StatusFlagCd { get; set; }
	}
}
</v>
      </c>
      <c r="I69" s="48" t="str">
        <f ca="1">A.Backend!R7</f>
        <v xml:space="preserve">using Abp.Application.Services.Dto;
using System;
using System.ComponentModel.DataAnnotations;
namespace prod.Master.Cmm.Dto
{
	public class MstCmmBusinessParterExportInput{
		public virtual string Nation { get; set; }
		public virtual string BusinessPartnerCategory { get; set; }
		public virtual string BusinessPartnerGroup { get; set; }
		public virtual string BusinessPartnerRole { get; set; }
		public virtual string BusinessPartnerCd { get; set; }
		public virtual string EmailAddress1 { get; set; }
		public virtual string SuppSearcgTerm { get; set; }
		public virtual string BusinessPartnerName1 { get; set; }
		public virtual string BusinessPartnerName2 { get; set; }
		public virtual string BusinessPartnerName3 { get; set; }
		public virtual string BusinessPartnerName4 { get; set; }
		public virtual string Address1 { get; set; }
		public virtual string Address2 { get; set; }
		public virtual string Address3 { get; set; }
		public virtual string District { get; set; }
		public virtual string City { get; set; }
		public virtual string PostalCd { get; set; }
		public virtual string Country { get; set; }
		public virtual string PhoneNo { get; set; }
		public virtual string FaxNo { get; set; }
		public virtual string TaxNo { get; set; }
		public virtual string TaxCate { get; set; }
		public virtual string CompanyCode { get; set; }
		public virtual string PaymentMethodCd { get; set; }
		public virtual string PaymentMethodNm { get; set; }
		public virtual string PaymentTermCd { get; set; }
		public virtual string PaymentTermNm { get; set; }
		public virtual string OrderCurrency { get; set; }
		public virtual string TypeOfIndustry { get; set; }
		public virtual string PreviousMasterRecordNumber { get; set; }
		public virtual string TextIdTitle { get; set; }
		public virtual string UniqueBankId { get; set; }
		public virtual string SuppBankKey { get; set; }
		public virtual string SuppBankCountry { get; set; }
		public virtual string SuppAccount { get; set; }
		public virtual string AccountHolder { get; set; }
		public virtual string Accname { get; set; }
		public virtual string PartnerBankName { get; set; }
		public virtual string ExternalId { get; set; }
		public virtual string StatusFlagAb { get; set; }
		public virtual string StatusFlagCb { get; set; }
		public virtual string StatusFlagAd { get; set; }
		public virtual string StatusFlagCd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vovina.Master.Cmm.Dto;
namespace prod.Master.Cmm
{
	public interface IMstCmmBusinessParterAppService : IApplicationService
	{
		Task&lt;PagedResultDto&lt;MstCmmBusinessParterDto&gt;&gt; GetAll(GetMstCmmBusinessParterInput input);
		Task CreateOrEdit(CreateOrEditMstCmmBusinessParterDto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vovina.Master.Cmm.Dto;
namespace prod.Master.Cmm.Exporting
{
	public interface IMstCmmBusinessParterExcelExporter : IApplicationService
	{
		FileDto ExportToFile(List&lt;MstCmmBusinessParterDto&gt; mstcmmbusinessparter);
	}
}
</v>
      </c>
      <c r="L69" s="48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MstCmmBusinessParterExcelExporter : NpoiExcelExporterBase, IMstCmmBusinessParterExcelExporter
    {
        public MstCmmBusinessParterExcelExporter(ITempFileCacheManager tempFileCacheManager) : base(tempFileCacheManager) { }
        public FileDto ExportToFile(List&lt;MstCmmBusinessParterDto&gt; businessparter)
        {
            return CreateExcelPackage(
				"MasterCmmBusinessParter.xlsx",
				excelPackage =&gt;
				 {
					var sheet = excelPackage.CreateSheet("BusinessParter");
					AddHeader(
								sheet,
								("Nation"),
								("BusinessPartnerCategory"),
								("BusinessPartnerGroup"),
								("BusinessPartnerRole"),
								("BusinessPartnerCd"),
								("EmailAddress1"),
								("SuppSearcgTerm"),
								("BusinessPartnerName1"),
								("BusinessPartnerName2"),
								("BusinessPartnerName3"),
								("BusinessPartnerName4"),
								("Address1"),
								("Address2"),
								("Address3"),
								("District"),
								("City"),
								("PostalCd"),
								("Country"),
								("PhoneNo"),
								("FaxNo"),
								("TaxNo"),
								("TaxCate"),
								("CompanyCode"),
								("PaymentMethodCd"),
								("PaymentMethodNm"),
								("PaymentTermCd"),
								("PaymentTermNm"),
								("OrderCurrency"),
								("TypeOfIndustry"),
								("PreviousMasterRecordNumber"),
								("TextIdTitle"),
								("UniqueBankId"),
								("SuppBankKey"),
								("SuppBankCountry"),
								("SuppAccount"),
								("AccountHolder"),
								("Accname"),
								("PartnerBankName"),
								("ExternalId"),
								("StatusFlagAb"),
								("StatusFlagCb"),
								("StatusFlagAd"),
								("StatusFlagCd"),
							   );
					AddObjects(
						 sheet, 1, businessparter,                                       
								_ =&gt; _.Nation,
								_ =&gt; _.BusinessPartnerCategory,
								_ =&gt; _.BusinessPartnerGroup,
								_ =&gt; _.BusinessPartnerRole,
								_ =&gt; _.BusinessPartnerCd,
								_ =&gt; _.EmailAddress1,
								_ =&gt; _.SuppSearcgTerm,
								_ =&gt; _.BusinessPartnerName1,
								_ =&gt; _.BusinessPartnerName2,
								_ =&gt; _.BusinessPartnerName3,
								_ =&gt; _.BusinessPartnerName4,
								_ =&gt; _.Address1,
								_ =&gt; _.Address2,
								_ =&gt; _.Address3,
								_ =&gt; _.District,
								_ =&gt; _.City,
								_ =&gt; _.PostalCd,
								_ =&gt; _.Country,
								_ =&gt; _.PhoneNo,
								_ =&gt; _.FaxNo,
								_ =&gt; _.TaxNo,
								_ =&gt; _.TaxCate,
								_ =&gt; _.CompanyCode,
								_ =&gt; _.PaymentMethodCd,
								_ =&gt; _.PaymentMethodNm,
								_ =&gt; _.PaymentTermCd,
								_ =&gt; _.PaymentTermNm,
								_ =&gt; _.OrderCurrency,
								_ =&gt; _.TypeOfIndustry,
								_ =&gt; _.PreviousMasterRecordNumber,
								_ =&gt; _.TextIdTitle,
								_ =&gt; _.UniqueBankId,
								_ =&gt; _.SuppBankKey,
								_ =&gt; _.SuppBankCountry,
								_ =&gt; _.SuppAccount,
								_ =&gt; _.AccountHolder,
								_ =&gt; _.Accname,
								_ =&gt; _.PartnerBankName,
								_ =&gt; _.ExternalId,
								_ =&gt; _.StatusFlagAb,
								_ =&gt; _.StatusFlagCb,
								_ =&gt; _.StatusFlagAd,
								_ =&gt; _.StatusFlagCd,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[AbpAuthorize(AppPermissions.Pages_Master_Cmm_BusinessParter)]
    public class MstCmmBusinessParterAppService : vovinaAppServiceBase, IMstCmmBusinessParterAppService
    {
        private readonly IDapperRepository&lt;MstCmmBusinessParter, long&gt; _dapperRepo;
        private readonly IRepository&lt;MstCmmBusinessParter, long&gt; _repo;
        private readonly IMstCmmBusinessParterExcelExporter _calendarListExcelExporter;
        public MstCmmBusinessParterAppService(IRepository&lt;MstCmmBusinessParter,long&gt; repo, 
                                         IDapperRepository&lt;MstCmmBusinessParter,long&gt; dapperRepo,
                                        IMstCmmBusinessParterExcelExporter calendarListExcelExporter
            )
        {
            _repo = repo;
            _dapperRepo = dapperRepo;
            _calendarListExcelExporter = calendarListExcelExporter;
        }
        [AbpAuthorize(AppPermissions.Pages_Master_Cmm_BusinessParter_CreateEdit)]
        public async Task CreateOrEdit(CreateOrEditMstCmmBusinessParterDto input)
        {
            if (input.Id == null) await Create(input);
            else await Update(input);
        }
        //CREATE
        private async Task Create(CreateOrEditMstCmmBusinessParterDto input)
        {          
            var mainObj = ObjectMapper.Map&lt;MstCmmBusinessParter&gt;(input);
            await CurrentUnitOfWork.GetDbContext&lt;vovinaDbContext&gt;().AddAsync(mainObj);
        }
        // EDIT
        private async Task Update(CreateOrEditMstCmmBusinessParterDto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[AbpAuthorize(AppPermissions.Pages_Master_Cmm_BusinessParter_Delete)]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Task&lt;PagedResultDto&lt;MstCmmBusinessParterDto&gt;&gt; GetAll(GetMstCmmBusinessParterInput input)
        {
            var filtered = _repo.GetAll()
				.WhereIf(!string.IsNullOrWhiteSpace(input.Nation), e =&gt; e.Nation.Contains(input.Nation))
				.WhereIf(!string.IsNullOrWhiteSpace(input.BusinessPartnerCategory), e =&gt; e.BusinessPartnerCategory.Contains(input.BusinessPartnerCategory))
				.WhereIf(!string.IsNullOrWhiteSpace(input.BusinessPartnerGroup), e =&gt; e.BusinessPartnerGroup.Contains(input.BusinessPartnerGroup))
				.WhereIf(!string.IsNullOrWhiteSpace(input.BusinessPartnerRole), e =&gt; e.BusinessPartnerRole.Contains(input.BusinessPartnerRole))
				.WhereIf(!string.IsNullOrWhiteSpace(input.BusinessPartnerCd), e =&gt; e.BusinessPartnerCd.Contains(input.BusinessPartnerCd))
				.WhereIf(!string.IsNullOrWhiteSpace(input.EmailAddress1), e =&gt; e.EmailAddress1.Contains(input.EmailAddress1))
				.WhereIf(!string.IsNullOrWhiteSpace(input.SuppSearcgTerm), e =&gt; e.SuppSearcgTerm.Contains(input.SuppSearcgTerm))
				.WhereIf(!string.IsNullOrWhiteSpace(input.BusinessPartnerName1), e =&gt; e.BusinessPartnerName1.Contains(input.BusinessPartnerName1))
				.WhereIf(!string.IsNullOrWhiteSpace(input.BusinessPartnerName2), e =&gt; e.BusinessPartnerName2.Contains(input.BusinessPartnerName2))
				.WhereIf(!string.IsNullOrWhiteSpace(input.BusinessPartnerName3), e =&gt; e.BusinessPartnerName3.Contains(input.BusinessPartnerName3))
				.WhereIf(!string.IsNullOrWhiteSpace(input.BusinessPartnerName4), e =&gt; e.BusinessPartnerName4.Contains(input.BusinessPartnerName4))
				.WhereIf(!string.IsNullOrWhiteSpace(input.Address1), e =&gt; e.Address1.Contains(input.Address1))
				.WhereIf(!string.IsNullOrWhiteSpace(input.Address2), e =&gt; e.Address2.Contains(input.Address2))
				.WhereIf(!string.IsNullOrWhiteSpace(input.Address3), e =&gt; e.Address3.Contains(input.Address3))
				.WhereIf(!string.IsNullOrWhiteSpace(input.District), e =&gt; e.District.Contains(input.District))
				.WhereIf(!string.IsNullOrWhiteSpace(input.City), e =&gt; e.City.Contains(input.City))
				.WhereIf(!string.IsNullOrWhiteSpace(input.PostalCd), e =&gt; e.PostalCd.Contains(input.PostalCd))
				.WhereIf(!string.IsNullOrWhiteSpace(input.Country), e =&gt; e.Country.Contains(input.Country))
				.WhereIf(!string.IsNullOrWhiteSpace(input.PhoneNo), e =&gt; e.PhoneNo.Contains(input.PhoneNo))
				.WhereIf(!string.IsNullOrWhiteSpace(input.FaxNo), e =&gt; e.FaxNo.Contains(input.FaxNo))
				.WhereIf(!string.IsNullOrWhiteSpace(input.TaxNo), e =&gt; e.TaxNo.Contains(input.TaxNo))
				.WhereIf(!string.IsNullOrWhiteSpace(input.TaxCate), e =&gt; e.TaxCate.Contains(input.TaxCate))
				.WhereIf(!string.IsNullOrWhiteSpace(input.CompanyCode), e =&gt; e.CompanyCode.Contains(input.CompanyCode))
				.WhereIf(!string.IsNullOrWhiteSpace(input.PaymentMethodCd), e =&gt; e.PaymentMethodCd.Contains(input.PaymentMethodCd))
				.WhereIf(!string.IsNullOrWhiteSpace(input.PaymentMethodNm), e =&gt; e.PaymentMethodNm.Contains(input.PaymentMethodNm))
				.WhereIf(!string.IsNullOrWhiteSpace(input.PaymentTermCd), e =&gt; e.PaymentTermCd.Contains(input.PaymentTermCd))
				.WhereIf(!string.IsNullOrWhiteSpace(input.PaymentTermNm), e =&gt; e.PaymentTermNm.Contains(input.PaymentTermNm))
				.WhereIf(!string.IsNullOrWhiteSpace(input.OrderCurrency), e =&gt; e.OrderCurrency.Contains(input.OrderCurrency))
				.WhereIf(!string.IsNullOrWhiteSpace(input.TypeOfIndustry), e =&gt; e.TypeOfIndustry.Contains(input.TypeOfIndustry))
				.WhereIf(!string.IsNullOrWhiteSpace(input.PreviousMasterRecordNumber), e =&gt; e.PreviousMasterRecordNumber.Contains(input.PreviousMasterRecordNumber))
				.WhereIf(!string.IsNullOrWhiteSpace(input.TextIdTitle), e =&gt; e.TextIdTitle.Contains(input.TextIdTitle))
				.WhereIf(!string.IsNullOrWhiteSpace(input.UniqueBankId), e =&gt; e.UniqueBankId.Contains(input.UniqueBankId))
				.WhereIf(!string.IsNullOrWhiteSpace(input.SuppBankKey), e =&gt; e.SuppBankKey.Contains(input.SuppBankKey))
				.WhereIf(!string.IsNullOrWhiteSpace(input.SuppBankCountry), e =&gt; e.SuppBankCountry.Contains(input.SuppBankCountry))
				.WhereIf(!string.IsNullOrWhiteSpace(input.SuppAccount), e =&gt; e.SuppAccount.Contains(input.SuppAccount))
				.WhereIf(!string.IsNullOrWhiteSpace(input.AccountHolder), e =&gt; e.AccountHolder.Contains(input.AccountHolder))
				.WhereIf(!string.IsNullOrWhiteSpace(input.Accname), e =&gt; e.Accname.Contains(input.Accname))
				.WhereIf(!string.IsNullOrWhiteSpace(input.PartnerBankName), e =&gt; e.PartnerBankName.Contains(input.PartnerBankName))
				.WhereIf(!string.IsNullOrWhiteSpace(input.ExternalId), e =&gt; e.ExternalId.Contains(input.ExternalId))
				.WhereIf(!string.IsNullOrWhiteSpace(input.StatusFlagAb), e =&gt; e.StatusFlagAb.Contains(input.StatusFlagAb))
				.WhereIf(!string.IsNullOrWhiteSpace(input.StatusFlagCb), e =&gt; e.StatusFlagCb.Contains(input.StatusFlagCb))
				.WhereIf(!string.IsNullOrWhiteSpace(input.StatusFlagAd), e =&gt; e.StatusFlagAd.Contains(input.StatusFlagAd))
				.WhereIf(!string.IsNullOrWhiteSpace(input.StatusFlagCd), e =&gt; e.StatusFlagCd.Contains(input.StatusFlagCd))                   
				;
            var pageAndFiltered = filtered.OrderBy(s =&gt; s.Id);
            var system = from o in pageAndFiltered
                         select new MstCmmBusinessParterDto
                        {
							Id = o.Id,
							Nation = o.Nation,
							BusinessPartnerCategory = o.BusinessPartnerCategory,
							BusinessPartnerGroup = o.BusinessPartnerGroup,
							BusinessPartnerRole = o.BusinessPartnerRole,
							BusinessPartnerCd = o.BusinessPartnerCd,
							EmailAddress1 = o.EmailAddress1,
							SuppSearcgTerm = o.SuppSearcgTerm,
							BusinessPartnerName1 = o.BusinessPartnerName1,
							BusinessPartnerName2 = o.BusinessPartnerName2,
							BusinessPartnerName3 = o.BusinessPartnerName3,
							BusinessPartnerName4 = o.BusinessPartnerName4,
							Address1 = o.Address1,
							Address2 = o.Address2,
							Address3 = o.Address3,
							District = o.District,
							City = o.City,
							PostalCd = o.PostalCd,
							Country = o.Country,
							PhoneNo = o.PhoneNo,
							FaxNo = o.FaxNo,
							TaxNo = o.TaxNo,
							TaxCate = o.TaxCate,
							CompanyCode = o.CompanyCode,
							PaymentMethodCd = o.PaymentMethodCd,
							PaymentMethodNm = o.PaymentMethodNm,
							PaymentTermCd = o.PaymentTermCd,
							PaymentTermNm = o.PaymentTermNm,
							OrderCurrency = o.OrderCurrency,
							TypeOfIndustry = o.TypeOfIndustry,
							PreviousMasterRecordNumber = o.PreviousMasterRecordNumber,
							TextIdTitle = o.TextIdTitle,
							UniqueBankId = o.UniqueBankId,
							SuppBankKey = o.SuppBankKey,
							SuppBankCountry = o.SuppBankCountry,
							SuppAccount = o.SuppAccount,
							AccountHolder = o.AccountHolder,
							Accname = o.Accname,
							PartnerBankName = o.PartnerBankName,
							ExternalId = o.ExternalId,
							StatusFlagAb = o.StatusFlagAb,
							StatusFlagCb = o.StatusFlagCb,
							StatusFlagAd = o.StatusFlagAd,
							StatusFlagCd = o.StatusFlagCd,
                        };
            var totalCount = await filtered.CountAsync();
			var paged = system.PageBy(input);
            return new PagedResultDto&lt;MstCmmBusinessParterDto&gt;(
                totalCount,
                 await paged.ToListAsync()
            );
        }
        public async Task&lt;FileDto&gt; GetBusinessParterToExcel(MstCmmBusinessParterExportInput input)
        {
            var query = from o in _repo.GetAll()
                        select new MstCmmBusinessParterDto
                        {
							Id = o.Id,
							Nation = o.Nation,
							BusinessPartnerCategory = o.BusinessPartnerCategory,
							BusinessPartnerGroup = o.BusinessPartnerGroup,
							BusinessPartnerRole = o.BusinessPartnerRole,
							BusinessPartnerCd = o.BusinessPartnerCd,
							EmailAddress1 = o.EmailAddress1,
							SuppSearcgTerm = o.SuppSearcgTerm,
							BusinessPartnerName1 = o.BusinessPartnerName1,
							BusinessPartnerName2 = o.BusinessPartnerName2,
							BusinessPartnerName3 = o.BusinessPartnerName3,
							BusinessPartnerName4 = o.BusinessPartnerName4,
							Address1 = o.Address1,
							Address2 = o.Address2,
							Address3 = o.Address3,
							District = o.District,
							City = o.City,
							PostalCd = o.PostalCd,
							Country = o.Country,
							PhoneNo = o.PhoneNo,
							FaxNo = o.FaxNo,
							TaxNo = o.TaxNo,
							TaxCate = o.TaxCate,
							CompanyCode = o.CompanyCode,
							PaymentMethodCd = o.PaymentMethodCd,
							PaymentMethodNm = o.PaymentMethodNm,
							PaymentTermCd = o.PaymentTermCd,
							PaymentTermNm = o.PaymentTermNm,
							OrderCurrency = o.OrderCurrency,
							TypeOfIndustry = o.TypeOfIndustry,
							PreviousMasterRecordNumber = o.PreviousMasterRecordNumber,
							TextIdTitle = o.TextIdTitle,
							UniqueBankId = o.UniqueBankId,
							SuppBankKey = o.SuppBankKey,
							SuppBankCountry = o.SuppBankCountry,
							SuppAccount = o.SuppAccount,
							AccountHolder = o.AccountHolder,
							Accname = o.Accname,
							PartnerBankName = o.PartnerBankName,
							ExternalId = o.ExternalId,
							StatusFlagAb = o.StatusFlagAb,
							StatusFlagCb = o.StatusFlagCb,
							StatusFlagAd = o.StatusFlagAd,
							StatusFlagCd = o.StatusFlagCd,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_dapperRepo.ExecuteAsync(MstCmmBusinessParterConsts.SP_MST_WPT_CALENDAR_GENERATE);
       // }
    }
}</v>
      </c>
      <c r="N69" s="58" t="str">
        <f>A.Backend!U7</f>
        <v xml:space="preserve">  configuration.CreateMap&lt;MstCmmBusinessParterDto, MstCmmBusinessParter&gt;();
  configuration.CreateMap&lt;MstCmmBusinessParter, MstCmmBusinessParterDto&gt;();
  configuration.CreateMap&lt;CreateOrEditMstCmmBusinessParterDto, MstCmmBusinessParter&gt;();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businessparter</v>
      </c>
      <c r="C74" s="66" t="str">
        <f>"create folder " &amp;B74</f>
        <v>create folder businessparter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businessparter.component.ts</v>
      </c>
      <c r="D75" s="28" t="str">
        <f>B.Frontend!I14</f>
        <v>businessparter.component.html</v>
      </c>
      <c r="E75" s="28" t="str">
        <f>B.Frontend!J14</f>
        <v>businessparter.component.less</v>
      </c>
      <c r="F75" s="28" t="str">
        <f>B.Frontend!K14</f>
        <v>create-or-edit-businessparter-modal.component.html</v>
      </c>
      <c r="G75" s="28" t="str">
        <f>B.Frontend!L14</f>
        <v>create-or-edit-businessparter-modal.component.ts</v>
      </c>
      <c r="H75" s="28" t="str">
        <f>B.Frontend!M14</f>
        <v>create-or-edit-businessparter-modal.component.less</v>
      </c>
      <c r="I75" s="28" t="str">
        <f>B.Frontend!N14</f>
        <v>businessparter.module.ts</v>
      </c>
      <c r="J75" s="28" t="str">
        <f>B.Frontend!O14</f>
        <v>businessparter-routing.module.ts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MstCmmBusinessParterDto, MstCmmBusinessParterServiceProxy } from '@shared/service-proxies/service-proxies';
import { finalize } from 'rxjs/internal/operators/finalize';
import { CreateOrEditBusinessParterModalComponent } from './create-or-edit-businessparter-modal.component';
import { DatePipe } from '@angular/common';
import { FileDownloadService } from '@shared/utils/file-download.service';
import ceil from 'lodash-es/ceil';
import { Paginator } from 'primeng/paginator';
@Component({
    templateUrl: './businessparter.component.html',
    styleUrls: ['./businessparter.component.less'],
})
export class BusinessParterComponent extends AppComponentBase implements OnInit {
    @ViewChild('createOrEditModalBusinessParter', { static: true }) createOrEditModalBusinessParter:| CreateOrEditBusinessParterModalComponent|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MstCmmBusinessParterDto = new MstCmmBusinessParterDto();
    saveSelectedRow: MstCmmBusinessParterDto = new MstCmmBusinessParterDto();
    datas: MstCmmBusinessParterDto = new MstCmmBusinessParterDto();
    isLoading: boolean = false;
    dataParams: GridParams | undefined;
    rowData: any[] = [];
    gridApi!: GridApi;
    rowSelection = 'multiple';
    filter: string = '';
	pipe = new DatePipe('en-US');
	frameworkComponents: FrameworkComponent;
    	businessPartnerGroup : string = '' ; 
	businessPartnerRole : string = '' ; 
	businessPartnerCd : string = '' ; 
	emailAddress1 : string = '' ; 
	suppSearcgTerm : string = '' ; 
	businessPartnerName1 : string = '' ; 
	businessPartnerName2 : string = '' ; 
	businessPartnerName3 : string = '' ; 
	businessPartnerName4 : string = '' ; 
	address1 : string = '' ; 
	address2 : string = '' ; 
	address3 : string = '' ; 
	district : string = '' ; 
	city : string = '' ; 
	postalCd : string = '' ; 
	country : string = '' ; 
	phoneNo : string = '' ; 
	faxNo : string = '' ; 
	taxNo : string = '' ; 
	taxCate : string = '' ; 
	companyCode : string = '' ; 
	paymentMethodCd : string = '' ; 
	paymentMethodNm : string = '' ; 
	paymentTermCd : string = '' ; 
	paymentTermNm : string = '' ; 
	orderCurrency : string = '' ; 
	typeOfIndustry : string = '' ; 
	previousMasterRecordNumber : string = '' ; 
	textIdTitle : string = '' ; 
	uniqueBankId : string = '' ; 
	suppBankKey : string = '' ; 
	suppBankCountry : string = '' ; 
	suppAccount : string = '' ; 
	accountHolder : string = '' ; 
	accname : string = '' ; 
	partnerBankName : string = '' ; 
	externalId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MstCmmBusinessParterServiceProxy,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this.l('Nation'),headerTooltip: this.l('Nation'),field:  'nation', cellClass: ['text-center'], width: 120, cellRenderer: 'agCellButtonComponent',
buttonDefTwo: { text: params =&gt; (params.data?.'nation' == 'Y') ? 'Active' : 'Inactive',iconName: 'fa fa-circle',className: params =&gt; (params.data?.'nation' == 'Y') ? 'btnActive' : 'btnInActive',},}
			{headerName: this.l('Business Partner Category'),headerTooltip: this.l('Business Partner Category'),field:  'businessPartnerCategory', cellClass: ['text-center'], width: 120, cellRenderer: 'agCellButtonComponent',
buttonDefTwo: { text: params =&gt; (params.data?.'businessPartnerCategory' == 'Y') ? 'Active' : 'Inactive',iconName: 'fa fa-circle',className: params =&gt; (params.data?.'businessPartnerCategory' == 'Y') ? 'btnActive' : 'btnInActive',},}
			{headerName: this.l('Business Partner Group'),headerTooltip: this.l('Business Partner Group'),field: 'businessPartnerGroup',flex: 1},
			{headerName: this.l('Business Partner Role'),headerTooltip: this.l('Business Partner Role'),field: 'businessPartnerRole',flex: 1},
			{headerName: this.l('Business Partner Cd'),headerTooltip: this.l('Business Partner Cd'),field: 'businessPartnerCd',flex: 1},
			{headerName: this.l('Email Address 1'),headerTooltip: this.l('Email Address 1'),field: 'emailAddress1',flex: 1},
			{headerName: this.l('Supp Searcg Term'),headerTooltip: this.l('Supp Searcg Term'),field: 'suppSearcgTerm',flex: 1},
			{headerName: this.l('Business Partner Name 1'),headerTooltip: this.l('Business Partner Name 1'),field: 'businessPartnerName1',flex: 1},
			{headerName: this.l('Business Partner Name 2'),headerTooltip: this.l('Business Partner Name 2'),field: 'businessPartnerName2',flex: 1},
			{headerName: this.l('Business Partner Name 3'),headerTooltip: this.l('Business Partner Name 3'),field: 'businessPartnerName3',flex: 1},
			{headerName: this.l('Business Partner Name 4'),headerTooltip: this.l('Business Partner Name 4'),field: 'businessPartnerName4',flex: 1},
			{headerName: this.l('Address 1'),headerTooltip: this.l('Address 1'),field: 'address1',flex: 1},
			{headerName: this.l('Address 2'),headerTooltip: this.l('Address 2'),field: 'address2',flex: 1},
			{headerName: this.l('Address 3'),headerTooltip: this.l('Address 3'),field: 'address3',flex: 1},
			{headerName: this.l('District'),headerTooltip: this.l('District'),field: 'district',flex: 1},
			{headerName: this.l('City'),headerTooltip: this.l('City'),field: 'city',flex: 1},
			{headerName: this.l('Postal Cd'),headerTooltip: this.l('Postal Cd'),field: 'postalCd',flex: 1},
			{headerName: this.l('Country'),headerTooltip: this.l('Country'),field: 'country',flex: 1},
			{headerName: this.l('Phone No'),headerTooltip: this.l('Phone No'),field: 'phoneNo',flex: 1},
			{headerName: this.l('Fax No'),headerTooltip: this.l('Fax No'),field: 'faxNo',flex: 1},
			{headerName: this.l('Tax No'),headerTooltip: this.l('Tax No'),field: 'taxNo',flex: 1},
			{headerName: this.l('Tax Cate'),headerTooltip: this.l('Tax Cate'),field: 'taxCate',flex: 1},
			{headerName: this.l('Company Code'),headerTooltip: this.l('Company Code'),field: 'companyCode',flex: 1},
			{headerName: this.l('Payment Method Cd'),headerTooltip: this.l('Payment Method Cd'),field: 'paymentMethodCd',flex: 1},
			{headerName: this.l('Payment Method Nm'),headerTooltip: this.l('Payment Method Nm'),field: 'paymentMethodNm',flex: 1},
			{headerName: this.l('Payment Term Cd'),headerTooltip: this.l('Payment Term Cd'),field: 'paymentTermCd',flex: 1},
			{headerName: this.l('Payment Term Nm'),headerTooltip: this.l('Payment Term Nm'),field: 'paymentTermNm',flex: 1},
			{headerName: this.l('Order Currency'),headerTooltip: this.l('Order Currency'),field: 'orderCurrency',flex: 1},
			{headerName: this.l('Type Of Industry'),headerTooltip: this.l('Type Of Industry'),field: 'typeOfIndustry',flex: 1},
			{headerName: this.l('Previous Master Record Number'),headerTooltip: this.l('Previous Master Record Number'),field: 'previousMasterRecordNumber',flex: 1},
			{headerName: this.l('Text Id Title'),headerTooltip: this.l('Text Id Title'),field: 'textIdTitle',flex: 1},
			{headerName: this.l('Unique Bank Id'),headerTooltip: this.l('Unique Bank Id'),field: 'uniqueBankId',flex: 1},
			{headerName: this.l('Supp Bank Key'),headerTooltip: this.l('Supp Bank Key'),field: 'suppBankKey',flex: 1},
			{headerName: this.l('Supp Bank Country'),headerTooltip: this.l('Supp Bank Country'),field: 'suppBankCountry',flex: 1},
			{headerName: this.l('Supp Account'),headerTooltip: this.l('Supp Account'),field: 'suppAccount',flex: 1},
			{headerName: this.l('Account Holder'),headerTooltip: this.l('Account Holder'),field: 'accountHolder',flex: 1},
			{headerName: this.l('Accname'),headerTooltip: this.l('Accname'),field: 'accname',flex: 1},
			{headerName: this.l('Partner Bank Name'),headerTooltip: this.l('Partner Bank Name'),field: 'partnerBankName',flex: 1},
			{headerName: this.l('External Id'),headerTooltip: this.l('External Id'),field: 'externalId',flex: 1},
			{headerName: this.l('Status Flag Ab'),headerTooltip: this.l('Status Flag Ab'),field:  'statusFlagAb', cellClass: ['text-center'], width: 120, cellRenderer: 'agCellButtonComponent',
buttonDefTwo: { text: params =&gt; (params.data?.'statusFlagAb' == 'Y') ? 'Active' : 'Inactive',iconName: 'fa fa-circle',className: params =&gt; (params.data?.'statusFlagAb' == 'Y') ? 'btnActive' : 'btnInActive',},}
			{headerName: this.l('Status Flag Cb'),headerTooltip: this.l('Status Flag Cb'),field:  'statusFlagCb', cellClass: ['text-center'], width: 120, cellRenderer: 'agCellButtonComponent',
buttonDefTwo: { text: params =&gt; (params.data?.'statusFlagCb' == 'Y') ? 'Active' : 'Inactive',iconName: 'fa fa-circle',className: params =&gt; (params.data?.'statusFlagCb' == 'Y') ? 'btnActive' : 'btnInActive',},}
			{headerName: this.l('Status Flag Ad'),headerTooltip: this.l('Status Flag Ad'),field:  'statusFlagAd', cellClass: ['text-center'], width: 120, cellRenderer: 'agCellButtonComponent',
buttonDefTwo: { text: params =&gt; (params.data?.'statusFlagAd' == 'Y') ? 'Active' : 'Inactive',iconName: 'fa fa-circle',className: params =&gt; (params.data?.'statusFlagAd' == 'Y') ? 'btnActive' : 'btnInActive',},}
			{headerName: this.l('Status Flag Cd'),headerTooltip: this.l('Status Flag Cd'),field:  'statusFlagCd', cellClass: ['text-center'], width: 120, cellRenderer: 'agCellButtonComponent',
buttonDefTwo: { text: params =&gt; (params.data?.'statusFlagCd' == 'Y') ? 'Active' : 'Inactive',iconName: 'fa fa-circle',className: params =&gt; (params.data?.'statusFlagCd'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this.businessPartnerCategory,
			this.businessPartnerGroup,
			this.businessPartnerRole,
			this.businessPartnerCd,
			this.emailAddress1,
			this.suppSearcgTerm,
			this.businessPartnerName1,
			this.businessPartnerName2,
			this.businessPartnerName3,
			this.businessPartnerName4,
			this.address1,
			this.address2,
			this.address3,
			this.district,
			this.city,
			this.postalCd,
			this.country,
			this.phoneNo,
			this.faxNo,
			this.taxNo,
			this.taxCate,
			this.companyCode,
			this.paymentMethodCd,
			this.paymentMethodNm,
			this.paymentTermCd,
			this.paymentTermNm,
			this.orderCurrency,
			this.typeOfIndustry,
			this.previousMasterRecordNumber,
			this.textIdTitle,
			this.uniqueBankId,
			this.suppBankKey,
			this.suppBankCountry,
			this.suppAccount,
			this.accountHolder,
			this.accname,
			this.partnerBankName,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businessPartnerGroup : string = '' ; 
	businessPartnerRole : string = '' ; 
	businessPartnerCd : string = '' ; 
	emailAddress1 : string = '' ; 
	suppSearcgTerm : string = '' ; 
	businessPartnerName1 : string = '' ; 
	businessPartnerName2 : string = '' ; 
	businessPartnerName3 : string = '' ; 
	businessPartnerName4 : string = '' ; 
	address1 : string = '' ; 
	address2 : string = '' ; 
	address3 : string = '' ; 
	district : string = '' ; 
	city : string = '' ; 
	postalCd : string = '' ; 
	country : string = '' ; 
	phoneNo : string = '' ; 
	faxNo : string = '' ; 
	taxNo : string = '' ; 
	taxCate : string = '' ; 
	companyCode : string = '' ; 
	paymentMethodCd : string = '' ; 
	paymentMethodNm : string = '' ; 
	paymentTermCd : string = '' ; 
	paymentTermNm : string = '' ; 
	orderCurrency : string = '' ; 
	typeOfIndustry : string = '' ; 
	previousMasterRecordNumber : string = '' ; 
	textIdTitle : string = '' ; 
	uniqueBankId : string = '' ; 
	suppBankKey : string = '' ; 
	suppBankCountry : string = '' ; 
	suppAccount : string = '' ; 
	accountHolder : string = '' ; 
	accname : string = '' ; 
	partnerBankName : string = '' ; 
	externalId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this.businessPartnerCategory,
			this.businessPartnerGroup,
			this.businessPartnerRole,
			this.businessPartnerCd,
			this.emailAddress1,
			this.suppSearcgTerm,
			this.businessPartnerName1,
			this.businessPartnerName2,
			this.businessPartnerName3,
			this.businessPartnerName4,
			this.address1,
			this.address2,
			this.address3,
			this.district,
			this.city,
			this.postalCd,
			this.country,
			this.phoneNo,
			this.faxNo,
			this.taxNo,
			this.taxCate,
			this.companyCode,
			this.paymentMethodCd,
			this.paymentMethodNm,
			this.paymentTermCd,
			this.paymentTermNm,
			this.orderCurrency,
			this.typeOfIndustry,
			this.previousMasterRecordNumber,
			this.textIdTitle,
			this.uniqueBankId,
			this.suppBankKey,
			this.suppBankCountry,
			this.suppAccount,
			this.accountHolder,
			this.accname,
			this.partnerBankName,
			'',
            this.paginationParams.skipCount,
            this.paginationParams.pageSize
        );
    }
    onChangeRowSelection(params: { api: { getSelectedRows: () =&gt; MstCmmBusinessParterDto[] } }) {
        this.saveSelectedRow = params.api.getSelectedRows()[0] ?? new MstCmmBusinessParterDto();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MstCmmBusinessParterDto):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this._service.getBusinessParterToExcel(
			this.businessPartnerCategory,
			this.businessPartnerGroup,
			this.businessPartnerRole,
			this.businessPartnerCd,
			this.emailAddress1,
			this.suppSearcgTerm,
			this.businessPartnerName1,
			this.businessPartnerName2,
			this.businessPartnerName3,
			this.businessPartnerName4,
			this.address1,
			this.address2,
			this.address3,
			this.district,
			this.city,
			this.postalCd,
			this.country,
			this.phoneNo,
			this.faxNo,
			this.taxNo,
			this.taxCate,
			this.companyCode,
			this.paymentMethodCd,
			this.paymentMethodNm,
			this.paymentTermCd,
			this.paymentTermNm,
			this.orderCurrency,
			this.typeOfIndustry,
			this.previousMasterRecordNumber,
			this.textIdTitle,
			this.uniqueBankId,
			this.suppBankKey,
			this.suppBankCountry,
			this.suppAccount,
			this.accountHolder,
			this.accname,
			this.partnerBankName,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BusinessParter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[(ngModel)]='businessPartnerGroup' name='businessPartnerGroup'
									class='form-control' [placeholder]="l('Business Partner Group')"
									type='text' (keyup.enter)='searchDatas()'&gt;
								&lt;/div&gt;
								&lt;div class='input-search'&gt;
									&lt;input [(ngModel)]='businessPartnerRole' name='businessPartnerRole'
									class='form-control' [placeholder]="l('Business Partner Role')"
									type='text' (keyup.enter)='searchDatas()'&gt;
								&lt;/div&gt;
								&lt;div class='input-search'&gt;
									&lt;input [(ngModel)]='businessPartnerCd' name='businessPartnerCd'
									class='form-control' [placeholder]="l('Business Partner Cd')"
									type='text' (keyup.enter)='searchDatas()'&gt;
								&lt;/div&gt;
								&lt;div class='input-search'&gt;
									&lt;input [(ngModel)]='emailAddress1' name='emailAddress1'
									class='form-control' [placeholder]="l('Email Address 1')"
									type='text' (keyup.enter)='searchDatas()'&gt;
								&lt;/div&gt;
								&lt;div class='input-search'&gt;
									&lt;input [(ngModel)]='suppSearcgTerm' name='suppSearcgTerm'
									class='form-control' [placeholder]="l('Supp Searcg Term')"
									type='text' (keyup.enter)='searchDatas()'&gt;
								&lt;/div&gt;
								&lt;div class='input-search'&gt;
									&lt;input [(ngModel)]='businessPartnerName1' name='businessPartnerName1'
									class='form-control' [placeholder]="l('Business Partner Name 1')"
									type='text' (keyup.enter)='searchDatas()'&gt;
								&lt;/div&gt;
								&lt;div class='input-search'&gt;
									&lt;input [(ngModel)]='businessPartnerName2' name='businessPartnerName2'
									class='form-control' [placeholder]="l('Business Partner Name 2')"
									type='text' (keyup.enter)='searchDatas()'&gt;
								&lt;/div&gt;
								&lt;div class='input-search'&gt;
									&lt;input [(ngModel)]='businessPartnerName3' name='businessPartnerName3'
									class='form-control' [placeholder]="l('Business Partner Name 3')"
									type='text' (keyup.enter)='searchDatas()'&gt;
								&lt;/div&gt;
								&lt;div class='input-search'&gt;
									&lt;input [(ngModel)]='businessPartnerName4' name='businessPartnerName4'
									class='form-control' [placeholder]="l('Business Partner Name 4')"
									type='text' (keyup.enter)='searchDatas()'&gt;
								&lt;/div&gt;
								&lt;div class='input-search'&gt;
									&lt;input [(ngModel)]='address1' name='address1'
									class='form-control' [placeholder]="l('Address 1')"
									type='text' (keyup.enter)='searchDatas()'&gt;
								&lt;/div&gt;
								&lt;div class='input-search'&gt;
									&lt;input [(ngModel)]='address2' name='address2'
									class='form-control' [placeholder]="l('Address 2')"
									type='text' (keyup.enter)='searchDatas()'&gt;
								&lt;/div&gt;
								&lt;div class='input-search'&gt;
									&lt;input [(ngModel)]='address3' name='address3'
									class='form-control' [placeholder]="l('Address 3')"
									type='text' (keyup.enter)='searchDatas()'&gt;
								&lt;/div&gt;
								&lt;div class='input-search'&gt;
									&lt;input [(ngModel)]='district' name='district'
									class='form-control' [placeholder]="l('District')"
									type='text' (keyup.enter)='searchDatas()'&gt;
								&lt;/div&gt;
								&lt;div class='input-search'&gt;
									&lt;input [(ngModel)]='city' name='city'
									class='form-control' [placeholder]="l('City')"
									type='text' (keyup.enter)='searchDatas()'&gt;
								&lt;/div&gt;
								&lt;div class='input-search'&gt;
									&lt;input [(ngModel)]='postalCd' name='postalCd'
									class='form-control' [placeholder]="l('Postal Cd')"
									type='text' (keyup.enter)='searchDatas()'&gt;
								&lt;/div&gt;
								&lt;div class='input-search'&gt;
									&lt;input [(ngModel)]='country' name='country'
									class='form-control' [placeholder]="l('Country')"
									type='text' (keyup.enter)='searchDatas()'&gt;
								&lt;/div&gt;
								&lt;div class='input-search'&gt;
									&lt;input [(ngModel)]='phoneNo' name='phoneNo'
									class='form-control' [placeholder]="l('Phone No')"
									type='text' (keyup.enter)='searchDatas()'&gt;
								&lt;/div&gt;
								&lt;div class='input-search'&gt;
									&lt;input [(ngModel)]='faxNo' name='faxNo'
									class='form-control' [placeholder]="l('Fax No')"
									type='text' (keyup.enter)='searchDatas()'&gt;
								&lt;/div&gt;
								&lt;div class='input-search'&gt;
									&lt;input [(ngModel)]='taxNo' name='taxNo'
									class='form-control' [placeholder]="l('Tax No')"
									type='text' (keyup.enter)='searchDatas()'&gt;
								&lt;/div&gt;
								&lt;div class='input-search'&gt;
									&lt;input [(ngModel)]='taxCate' name='taxCate'
									class='form-control' [placeholder]="l('Tax Cate')"
									type='text' (keyup.enter)='searchDatas()'&gt;
								&lt;/div&gt;
								&lt;div class='input-search'&gt;
									&lt;input [(ngModel)]='companyCode' name='companyCode'
									class='form-control' [placeholder]="l('Company Code')"
									type='text' (keyup.enter)='searchDatas()'&gt;
								&lt;/div&gt;
								&lt;div class='input-search'&gt;
									&lt;input [(ngModel)]='paymentMethodCd' name='paymentMethodCd'
									class='form-control' [placeholder]="l('Payment Method Cd')"
									type='text' (keyup.enter)='searchDatas()'&gt;
								&lt;/div&gt;
								&lt;div class='input-search'&gt;
									&lt;input [(ngModel)]='paymentMethodNm' name='paymentMethodNm'
									class='form-control' [placeholder]="l('Payment Method Nm')"
									type='text' (keyup.enter)='searchDatas()'&gt;
								&lt;/div&gt;
								&lt;div class='input-search'&gt;
									&lt;input [(ngModel)]='paymentTermCd' name='paymentTermCd'
									class='form-control' [placeholder]="l('Payment Term Cd')"
									type='text' (keyup.enter)='searchDatas()'&gt;
								&lt;/div&gt;
								&lt;div class='input-search'&gt;
									&lt;input [(ngModel)]='paymentTermNm' name='paymentTermNm'
									class='form-control' [placeholder]="l('Payment Term Nm')"
									type='text' (keyup.enter)='searchDatas()'&gt;
								&lt;/div&gt;
								&lt;div class='input-search'&gt;
									&lt;input [(ngModel)]='orderCurrency' name='orderCurrency'
									class='form-control' [placeholder]="l('Order Currency')"
									type='text' (keyup.enter)='searchDatas()'&gt;
								&lt;/div&gt;
								&lt;div class='input-search'&gt;
									&lt;input [(ngModel)]='typeOfIndustry' name='typeOfIndustry'
									class='form-control' [placeholder]="l('Type Of Industry')"
									type='text' (keyup.enter)='searchDatas()'&gt;
								&lt;/div&gt;
								&lt;div class='input-search'&gt;
									&lt;input [(ngModel)]='previousMasterRecordNumber' name='previousMasterRecordNumber'
									class='form-control' [placeholder]="l('Previous Master Record Number')"
									type='text' (keyup.enter)='searchDatas()'&gt;
								&lt;/div&gt;
								&lt;div class='input-search'&gt;
									&lt;input [(ngModel)]='textIdTitle' name='textIdTitle'
									class='form-control' [placeholder]="l('Text Id Title')"
									type='text' (keyup.enter)='searchDatas()'&gt;
								&lt;/div&gt;
								&lt;div class='input-search'&gt;
									&lt;input [(ngModel)]='uniqueBankId' name='uniqueBankId'
									class='form-control' [placeholder]="l('Unique Bank Id')"
									type='text' (keyup.enter)='searchDatas()'&gt;
								&lt;/div&gt;
								&lt;div class='input-search'&gt;
									&lt;input [(ngModel)]='suppBankKey' name='suppBankKey'
									class='form-control' [placeholder]="l('Supp Bank Key')"
									type='text' (keyup.enter)='searchDatas()'&gt;
								&lt;/div&gt;
								&lt;div class='input-search'&gt;
									&lt;input [(ngModel)]='suppBankCountry' name='suppBankCountry'
									class='form-control' [placeholder]="l('Supp Bank Country')"
									type='text' (keyup.enter)='searchDatas()'&gt;
								&lt;/div&gt;
								&lt;div class='input-search'&gt;
									&lt;input [(ngModel)]='suppAccount' name='suppAccount'
									class='form-control' [placeholder]="l('Supp Account')"
									type='text' (keyup.enter)='searchDatas()'&gt;
								&lt;/div&gt;
								&lt;div class='input-search'&gt;
									&lt;input [(ngModel)]='accountHolder' name='accountHolder'
									class='form-control' [placeholder]="l('Account Holder')"
									type='text' (keyup.enter)='searchDatas()'&gt;
								&lt;/div&gt;
								&lt;div class='input-search'&gt;
									&lt;input [(ngModel)]='accname' name='accname'
									class='form-control' [placeholder]="l('Accname')"
									type='text' (keyup.enter)='searchDatas()'&gt;
								&lt;/div&gt;
								&lt;div class='input-search'&gt;
									&lt;input [(ngModel)]='partnerBankName' name='partnerBankName'
									class='form-control' [placeholder]="l('Partner Bank Name')"
									type='text' (keyup.enter)='searchDatas()'&gt;
								&lt;/div&gt;
								&lt;div class='input-search'&gt;
									&lt;input [(ngModel)]='externalId' name='externalId'
									class='form-control' [placeholder]="l('External Id')"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(click)="createOrEditModalBusinessParter.show()"&gt;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(click)="createOrEditModalBusinessParter.show(selectedRow)"&gt;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&lt;create-or-edit-businessparter-modal
    #createOrEditModalBusinessParter
    (modalSave)="callBackDataGrid(dataParams)"
    (modalClose)="onChangeRowSelection(dataParams)"
&gt;
&lt;/create-or-edit-businessparter-modal&gt;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#createOrEditModalBusinessParter="bs-modal"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BusinessParter')}}&lt;/h3&gt;
                    &lt;h3 *ngIf="!rowdata.id"&gt;{{('Create New BusinessParter')}}&lt;/h3&gt;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title'&gt;Nation&lt;/label&gt;
						&lt;new-checkbox [(ngModel)]='_nation' name='nation' className='col-md-10' &gt; &lt;/new-checkbox&gt;
					&lt;/div&gt;
					&lt;div class='col-md-12 form-group row'&gt;
						&lt;label class='col-md-2 form-control title'&gt;Business Partner Category&lt;/label&gt;
						&lt;new-checkbox [(ngModel)]='_businessPartnerCategory' name='businessPartnerCategory' className='col-md-10' &gt; &lt;/new-checkbox&gt;
					&lt;/div&gt;
					&lt;div class='col-md-12 form-group row'&gt;
						&lt;label class='col-md-2 form-control title'&gt;Business Partner Group&lt;/label&gt;
						&lt;input type='text' class='col-md-10 form-control input-text' name='BusinessPartnerGroup' [(ngModel)]='rowdata.businessPartnerGroup'&gt;
					&lt;/div&gt;
					&lt;div class='col-md-12 form-group row'&gt;
						&lt;label class='col-md-2 form-control title'&gt;Business Partner Role&lt;/label&gt;
						&lt;input type='text' class='col-md-10 form-control input-text' name='BusinessPartnerRole' [(ngModel)]='rowdata.businessPartnerRole'&gt;
					&lt;/div&gt;
					&lt;div class='col-md-12 form-group row'&gt;
						&lt;label class='col-md-2 form-control title'&gt;Business Partner Cd&lt;/label&gt;
						&lt;input type='text' class='col-md-10 form-control input-text' name='BusinessPartnerCd' [(ngModel)]='rowdata.businessPartnerCd'&gt;
					&lt;/div&gt;
					&lt;div class='col-md-12 form-group row'&gt;
						&lt;label class='col-md-2 form-control title'&gt;Email Address 1&lt;/label&gt;
						&lt;input type='text' class='col-md-10 form-control input-text' name='EmailAddress1' [(ngModel)]='rowdata.emailAddress1'&gt;
					&lt;/div&gt;
					&lt;div class='col-md-12 form-group row'&gt;
						&lt;label class='col-md-2 form-control title'&gt;Supp Searcg Term&lt;/label&gt;
						&lt;input type='text' class='col-md-10 form-control input-text' name='SuppSearcgTerm' [(ngModel)]='rowdata.suppSearcgTerm'&gt;
					&lt;/div&gt;
					&lt;div class='col-md-12 form-group row'&gt;
						&lt;label class='col-md-2 form-control title'&gt;Business Partner Name 1&lt;/label&gt;
						&lt;input type='text' class='col-md-10 form-control input-text' name='BusinessPartnerName1' [(ngModel)]='rowdata.businessPartnerName1'&gt;
					&lt;/div&gt;
					&lt;div class='col-md-12 form-group row'&gt;
						&lt;label class='col-md-2 form-control title'&gt;Business Partner Name 2&lt;/label&gt;
						&lt;input type='text' class='col-md-10 form-control input-text' name='BusinessPartnerName2' [(ngModel)]='rowdata.businessPartnerName2'&gt;
					&lt;/div&gt;
					&lt;div class='col-md-12 form-group row'&gt;
						&lt;label class='col-md-2 form-control title'&gt;Business Partner Name 3&lt;/label&gt;
						&lt;input type='text' class='col-md-10 form-control input-text' name='BusinessPartnerName3' [(ngModel)]='rowdata.businessPartnerName3'&gt;
					&lt;/div&gt;
					&lt;div class='col-md-12 form-group row'&gt;
						&lt;label class='col-md-2 form-control title'&gt;Business Partner Name 4&lt;/label&gt;
						&lt;input type='text' class='col-md-10 form-control input-text' name='BusinessPartnerName4' [(ngModel)]='rowdata.businessPartnerName4'&gt;
					&lt;/div&gt;
					&lt;div class='col-md-12 form-group row'&gt;
						&lt;label class='col-md-2 form-control title'&gt;Address 1&lt;/label&gt;
						&lt;input type='text' class='col-md-10 form-control input-text' name='Address1' [(ngModel)]='rowdata.address1'&gt;
					&lt;/div&gt;
					&lt;div class='col-md-12 form-group row'&gt;
						&lt;label class='col-md-2 form-control title'&gt;Address 2&lt;/label&gt;
						&lt;input type='text' class='col-md-10 form-control input-text' name='Address2' [(ngModel)]='rowdata.address2'&gt;
					&lt;/div&gt;
					&lt;div class='col-md-12 form-group row'&gt;
						&lt;label class='col-md-2 form-control title'&gt;Address 3&lt;/label&gt;
						&lt;input type='text' class='col-md-10 form-control input-text' name='Address3' [(ngModel)]='rowdata.address3'&gt;
					&lt;/div&gt;
					&lt;div class='col-md-12 form-group row'&gt;
						&lt;label class='col-md-2 form-control title'&gt;District&lt;/label&gt;
						&lt;input type='text' class='col-md-10 form-control input-text' name='District' [(ngModel)]='rowdata.district'&gt;
					&lt;/div&gt;
					&lt;div class='col-md-12 form-group row'&gt;
						&lt;label class='col-md-2 form-control title'&gt;City&lt;/label&gt;
						&lt;input type='text' class='col-md-10 form-control input-text' name='City' [(ngModel)]='rowdata.city'&gt;
					&lt;/div&gt;
					&lt;div class='col-md-12 form-group row'&gt;
						&lt;label class='col-md-2 form-control title'&gt;Postal Cd&lt;/label&gt;
						&lt;input type='text' class='col-md-10 form-control input-text' name='PostalCd' [(ngModel)]='rowdata.postalCd'&gt;
					&lt;/div&gt;
					&lt;div class='col-md-12 form-group row'&gt;
						&lt;label class='col-md-2 form-control title'&gt;Country&lt;/label&gt;
						&lt;input type='text' class='col-md-10 form-control input-text' name='Country' [(ngModel)]='rowdata.country'&gt;
					&lt;/div&gt;
					&lt;div class='col-md-12 form-group row'&gt;
						&lt;label class='col-md-2 form-control title'&gt;Phone No&lt;/label&gt;
						&lt;input type='text' class='col-md-10 form-control input-text' name='PhoneNo' [(ngModel)]='rowdata.phoneNo'&gt;
					&lt;/div&gt;
					&lt;div class='col-md-12 form-group row'&gt;
						&lt;label class='col-md-2 form-control title'&gt;Fax No&lt;/label&gt;
						&lt;input type='text' class='col-md-10 form-control input-text' name='FaxNo' [(ngModel)]='rowdata.faxNo'&gt;
					&lt;/div&gt;
					&lt;div class='col-md-12 form-group row'&gt;
						&lt;label class='col-md-2 form-control title'&gt;Tax No&lt;/label&gt;
						&lt;input type='text' class='col-md-10 form-control input-text' name='TaxNo' [(ngModel)]='rowdata.taxNo'&gt;
					&lt;/div&gt;
					&lt;div class='col-md-12 form-group row'&gt;
						&lt;label class='col-md-2 form-control title'&gt;Tax Cate&lt;/label&gt;
						&lt;input type='text' class='col-md-10 form-control input-text' name='TaxCate' [(ngModel)]='rowdata.taxCate'&gt;
					&lt;/div&gt;
					&lt;div class='col-md-12 form-group row'&gt;
						&lt;label class='col-md-2 form-control title'&gt;Company Code&lt;/label&gt;
						&lt;input type='text' class='col-md-10 form-control input-text' name='CompanyCode' [(ngModel)]='rowdata.companyCode'&gt;
					&lt;/div&gt;
					&lt;div class='col-md-12 form-group row'&gt;
						&lt;label class='col-md-2 form-control title'&gt;Payment Method Cd&lt;/label&gt;
						&lt;input type='text' class='col-md-10 form-control input-text' name='PaymentMethodCd' [(ngModel)]='rowdata.paymentMethodCd'&gt;
					&lt;/div&gt;
					&lt;div class='col-md-12 form-group row'&gt;
						&lt;label class='col-md-2 form-control title'&gt;Payment Method Nm&lt;/label&gt;
						&lt;input type='text' class='col-md-10 form-control input-text' name='PaymentMethodNm' [(ngModel)]='rowdata.paymentMethodNm'&gt;
					&lt;/div&gt;
					&lt;div class='col-md-12 form-group row'&gt;
						&lt;label class='col-md-2 form-control title'&gt;Payment Term Cd&lt;/label&gt;
						&lt;input type='text' class='col-md-10 form-control input-text' name='PaymentTermCd' [(ngModel)]='rowdata.paymentTermCd'&gt;
					&lt;/div&gt;
					&lt;div class='col-md-12 form-group row'&gt;
						&lt;label class='col-md-2 form-control title'&gt;Payment Term Nm&lt;/label&gt;
						&lt;input type='text' class='col-md-10 form-control input-text' name='PaymentTermNm' [(ngModel)]='rowdata.paymentTermNm'&gt;
					&lt;/div&gt;
					&lt;div class='col-md-12 form-group row'&gt;
						&lt;label class='col-md-2 form-control title'&gt;Order Currency&lt;/label&gt;
						&lt;input type='text' class='col-md-10 form-control input-text' name='OrderCurrency' [(ngModel)]='rowdata.orderCurrency'&gt;
					&lt;/div&gt;
					&lt;div class='col-md-12 form-group row'&gt;
						&lt;label class='col-md-2 form-control title'&gt;Type Of Industry&lt;/label&gt;
						&lt;input type='text' class='col-md-10 form-control input-text' name='TypeOfIndustry' [(ngModel)]='rowdata.typeOfIndustry'&gt;
					&lt;/div&gt;
					&lt;div class='col-md-12 form-group row'&gt;
						&lt;label class='col-md-2 form-control title'&gt;Previous Master Record Number&lt;/label&gt;
						&lt;input type='text' class='col-md-10 form-control input-text' name='PreviousMasterRecordNumber' [(ngModel)]='rowdata.previousMasterRecordNumber'&gt;
					&lt;/div&gt;
					&lt;div class='col-md-12 form-group row'&gt;
						&lt;label class='col-md-2 form-control title'&gt;Text Id Title&lt;/label&gt;
						&lt;input type='text' class='col-md-10 form-control input-text' name='TextIdTitle' [(ngModel)]='rowdata.textIdTitle'&gt;
					&lt;/div&gt;
					&lt;div class='col-md-12 form-group row'&gt;
						&lt;label class='col-md-2 form-control title'&gt;Unique Bank Id&lt;/label&gt;
						&lt;input type='text' class='col-md-10 form-control input-text' name='UniqueBankId' [(ngModel)]='rowdata.uniqueBankId'&gt;
					&lt;/div&gt;
					&lt;div class='col-md-12 form-group row'&gt;
						&lt;label class='col-md-2 form-control title'&gt;Supp Bank Key&lt;/label&gt;
						&lt;input type='text' class='col-md-10 form-control input-text' name='SuppBankKey' [(ngModel)]='rowdata.suppBankKey'&gt;
					&lt;/div&gt;
					&lt;div class='col-md-12 form-group row'&gt;
						&lt;label class='col-md-2 form-control title'&gt;Supp Bank Country&lt;/label&gt;
						&lt;input type='text' class='col-md-10 form-control input-text' name='SuppBankCountry' [(ngModel)]='rowdata.suppBankCountry'&gt;
					&lt;/div&gt;
					&lt;div class='col-md-12 form-group row'&gt;
						&lt;label class='col-md-2 form-control title'&gt;Supp Account&lt;/label&gt;
						&lt;input type='text' class='col-md-10 form-control input-text' name='SuppAccount' [(ngModel)]='rowdata.suppAccount'&gt;
					&lt;/div&gt;
					&lt;div class='col-md-12 form-group row'&gt;
						&lt;label class='col-md-2 form-control title'&gt;Account Holder&lt;/label&gt;
						&lt;input type='text' class='col-md-10 form-control input-text' name='AccountHolder' [(ngModel)]='rowdata.accountHolder'&gt;
					&lt;/div&gt;
					&lt;div class='col-md-12 form-group row'&gt;
						&lt;label class='col-md-2 form-control title'&gt;Accname&lt;/label&gt;
						&lt;input type='text' class='col-md-10 form-control input-text' name='Accname' [(ngModel)]='rowdata.accname'&gt;
					&lt;/div&gt;
					&lt;div class='col-md-12 form-group row'&gt;
						&lt;label class='col-md-2 form-control title'&gt;Partner Bank Name&lt;/label&gt;
						&lt;input type='text' class='col-md-10 form-control input-text' name='PartnerBankName' [(ngModel)]='rowdata.partnerBankName'&gt;
					&lt;/div&gt;
					&lt;div class='col-md-12 form-group row'&gt;
						&lt;label class='col-md-2 form-control title'&gt;External Id&lt;/label&gt;
						&lt;input type='text' class='col-md-10 form-control input-text' name='ExternalId' [(ngModel)]='rowdata.externalId'&gt;
					&lt;/div&gt;
					&lt;div class='col-md-12 form-group row'&gt;
						&lt;label class='col-md-2 form-control title'&gt;Status Flag Ab&lt;/label&gt;
						&lt;new-checkbox [(ngModel)]='_statusFlagAb' name='statusFlagAb' className='col-md-10' &gt; &lt;/new-checkbox&gt;
					&lt;/div&gt;
					&lt;div class='col-md-12 form-group row'&gt;
						&lt;label class='col-md-2 form-control title'&gt;Status Flag Cb&lt;/label&gt;
						&lt;new-checkbox [(ngModel)]='_statusFlagCb' name='statusFlagCb' className='col-md-10' &gt; &lt;/new-checkbox&gt;
					&lt;/div&gt;
					&lt;div class='col-md-12 form-group row'&gt;
						&lt;label class='col-md-2 form-control title'&gt;Status Flag Ad&lt;/label&gt;
						&lt;new-checkbox [(ngModel)]='_statusFlagAd' name='statusFlagAd' className='col-md-10' &gt; &lt;/new-checkbox&gt;
					&lt;/div&gt;
					&lt;div class='col-md-12 form-group row'&gt;
						&lt;label class='col-md-2 form-control title'&gt;Status Flag Cd&lt;/label&gt;
						&lt;new-checkbox [(ngModel)]='_statusFlagCd' name='statusFlagCd'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CreateOrEditMstCmmBusinessParterDto, MstCmmBusinessParterServiceProxy } from '@shared/service-proxies/service-proxies';
import { BsDatepickerDirective } from 'ngx-bootstrap/datepicker';
@Component({
    selector: 'create-or-edit-businessparter-modal',
    templateUrl: './create-or-edit-businessparter-modal.component.html',
    styleUrls: ['./create-or-edit-businessparter-modal.component.less']
    })
export class CreateOrEditBusinessParterModalComponent extends AppComponentBase {
    @ViewChild('createOrEditModalBusinessParter',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CreateOrEditMstCmmBusinessParterDto = new CreateOrEditMstCmmBusinessParterDto();
    active: boolean = false;
    saving: boolean = false;
    _nation
businessPartnerCategory
statusFlagAb
statusFlagCb
statusFlagAd
statusFlagCd: boolean;
    constructor(
        injector: Injector,
        private _mstwptBusinessParterService: MstCmmBusinessParterServiceProxy,
    ) 
    {
        super(injector);
    }
    show(rowdata?: CreateOrEditMstCmmBusinessParterDto): void {
        if (!rowdata) this.rowdata = new CreateOrEditMstCmmBusinessParterDto();
        else this.rowdata = rowdata;
        this._nation
businessPartnerCategory
statusFlagAb
statusFlagCb
statusFlagAd
statusFlagCd = (this.rowdata.nation
businessPartnerCategory
statusFlagAb
statusFlagCb
statusFlagAd
statusFlagCd == "N")? false: true;
        this.active = true;
        this.modal.show();
    } 
    changeActive(event){
        this._nation
businessPartnerCategory
statusFlagAb
statusFlagCb
statusFlagAd
statusFlagCd = event.target.checked;
    }
    save(): void {
    this.saving = true; 
    this.rowdata.nation
businessPartnerCategory
statusFlagAb
statusFlagCb
statusFlagAd
statusFlagCd = (this._nation
businessPartnerCategory
statusFlagAb
statusFlagCb
statusFlagAd
statusFlagCd == true) ? 'Y' : 'N'
    this._mstwptBusinessParterService.createOrEdit(this.rowdata)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BusinessParterRoutingModule } from './businessparter-routing.module';
import { BusinessParterComponent } from './businessparter.component';
import { CreateOrEditBusinessParterModalComponent } from './create-or-edit-businessparter-modal.component';
@NgModule({
    declarations: [
       BusinessParterComponent, 
        CreateOrEditBusinessParterModalComponent
    ],
    imports: [
        AppSharedModule, BusinessParterRoutingModule]
})
export class BusinessParterModule {}</v>
      </c>
      <c r="J76" s="46" t="str">
        <f>B.Frontend!O10</f>
        <v>import {NgModule} from '@angular/core';
import {RouterModule, Routes} from '@angular/router';
import { BusinessParterComponent } from './businessparter.component';
const routes: Routes = [{
    path: '',
    component: BusinessParterComponent,
    pathMatch: 'full'
}];
@NgModule({
    imports: [RouterModule.forChild(routes)],
    exports: [RouterModule],
})
export class BusinessParterRoutingModule {}</v>
      </c>
      <c r="K76" s="46" t="str">
        <f>B.Frontend!P10</f>
        <v xml:space="preserve"> new AppMenuItem("BusinessParter", "Pages.Master.Cmm.BusinessParter", "flaticon-book",   "/app/main/master/cmm/businessparter"),</v>
      </c>
      <c r="L76" s="47" t="str">
        <f>B.Frontend!Q10</f>
        <v>{
    path: 'master/cmm/businessparter',
    loadChildren: () =&gt; import('./master/cmm/businessparter/businessparter.module').then(m =&gt; m.BusinessParterModule),
    data: { permission: 'Pages.Master.Cmm.BusinessParter' }
},</v>
      </c>
      <c r="M76" s="45" t="str">
        <f>B.Frontend!R10</f>
        <v>ApiServiceProxies.MstCmmBusinessParterServiceProxy,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53"/>
  <sheetViews>
    <sheetView tabSelected="1" workbookViewId="0">
      <pane xSplit="1" topLeftCell="B1" activePane="topRight" state="frozen"/>
      <selection pane="topRight" activeCell="B3" sqref="B3"/>
    </sheetView>
  </sheetViews>
  <sheetFormatPr defaultColWidth="9.140625" defaultRowHeight="15" x14ac:dyDescent="0.25"/>
  <cols>
    <col min="1" max="1" width="41.85546875" style="7" customWidth="1"/>
    <col min="2" max="2" width="24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415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416</v>
      </c>
      <c r="C3" s="9" t="s">
        <v>40</v>
      </c>
      <c r="D3" s="9" t="s">
        <v>41</v>
      </c>
      <c r="E3" s="9" t="s">
        <v>36</v>
      </c>
      <c r="F3" s="10" t="str">
        <f>"J"&amp;COUNTA($A:$A)</f>
        <v>J51</v>
      </c>
      <c r="G3" s="4" t="s">
        <v>53</v>
      </c>
      <c r="H3" s="9" t="str">
        <f>"I"&amp;COUNTA($A:$A)</f>
        <v>I51</v>
      </c>
      <c r="I3" s="9" t="str">
        <f>REPT(CHAR(9),2)&amp;"[Required]"&amp;"
"</f>
        <v xml:space="preserve">		[Required]
</v>
      </c>
      <c r="J3" s="10" t="str">
        <f>"L"&amp;COUNTA($A:$A)</f>
        <v>L51</v>
      </c>
      <c r="K3" s="5" t="s">
        <v>52</v>
      </c>
      <c r="L3" s="10" t="str">
        <f>"M"&amp;COUNTA($A:$A)</f>
        <v>M51</v>
      </c>
      <c r="M3" s="10" t="str">
        <f>"N"&amp;COUNTA($A:$A)</f>
        <v>N51</v>
      </c>
      <c r="N3" s="10" t="str">
        <f>"O"&amp;COUNTA($A:$A)</f>
        <v>O51</v>
      </c>
      <c r="O3" s="10" t="str">
        <f>"P"&amp;COUNTA($A:$A)</f>
        <v>P51</v>
      </c>
      <c r="Q3" s="10" t="str">
        <f>RIGHT(B2,(LEN(B2)-FIND(".",B2,1)))</f>
        <v>Cmm</v>
      </c>
      <c r="R3" s="29" t="str">
        <f>REPT(CHAR(9),1)&amp;"public class "&amp;B3&amp;"ExportInput"&amp;C3</f>
        <v xml:space="preserve">	public class MstCmmBusinessParterExportInput{
</v>
      </c>
      <c r="S3" s="10" t="str">
        <f>"namespace "&amp;$B$6&amp;".Exporting
"&amp;$C$3</f>
        <v xml:space="preserve">namespace prod.Master.Cmm.Exporting
{
</v>
      </c>
      <c r="T3" s="10" t="str">
        <f>"T"&amp;COUNTA($A:$A)</f>
        <v>T51</v>
      </c>
      <c r="V3" s="10" t="str">
        <f>"V"&amp;COUNTA($A:$A)</f>
        <v>V51</v>
      </c>
      <c r="W3" s="9" t="str">
        <f>"W"&amp;COUNTA($A:$A)</f>
        <v>W51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417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prod.Master.Cmm</v>
      </c>
      <c r="C6" s="10" t="str">
        <f>"namespace "&amp;$B$6&amp;"
"&amp;$C$3</f>
        <v xml:space="preserve">namespace prod.Master.Cmm
{
</v>
      </c>
      <c r="D6" s="10" t="str">
        <f>REPT(CHAR(9),1)&amp;"public class "&amp;B3&amp;G3&amp;REPT(CHAR(9),1)&amp;"
"&amp;REPT(CHAR(9),1)&amp;C3</f>
        <v xml:space="preserve">	public class MstCmmBusinessParter: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MstCmmBusinessParterConsts	
	{
</v>
      </c>
      <c r="F6" s="10" t="str">
        <f>REPT(CHAR(9),1)&amp;"public class "&amp;B3&amp;"Dto"&amp;K3&amp;REPT(CHAR(9),1)&amp;"
"&amp;REPT(CHAR(9),1)&amp;C3</f>
        <v xml:space="preserve">	public class MstCmmBusinessParterDto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CreateOrEditMstCmmBusinessParterDto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GetMstCmmBusinessParterInput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MstCmmBusinessParter</v>
      </c>
      <c r="C7" s="10" t="str">
        <f>REPT(CHAR(9),1)&amp;"[Table("""&amp;B7&amp;""")]"&amp;"
"</f>
        <v xml:space="preserve">	[Table("MstCmmBusinessParter")]
</v>
      </c>
      <c r="D7" s="10"/>
      <c r="E7" s="10"/>
      <c r="F7" s="10"/>
      <c r="G7" s="10"/>
      <c r="H7" s="10"/>
      <c r="I7" s="10"/>
      <c r="J7" t="str">
        <f ca="1">SUBSTITUTE(SUBSTITUTE((B1&amp;C6&amp;C7&amp;K53&amp;D6&amp;I53&amp;E3&amp;J53&amp;""&amp;REPT(CHAR(9),1)&amp;D3&amp;D3),"WorkingPattern",$Q$3),"Master",$B$4)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[Table("MstCmmBusinessParter")]
	public class MstCmmBusinessParter: FullAuditedEntity&lt;long&gt;, IEntity&lt;long&gt;	
	{
		public const int MaxNationLength = 1;
		public const int MaxBusinessPartnerCategoryLength = 1;
		public const int MaxBusinessPartnerGroupLength = 4;
		public const int MaxBusinessPartnerRoleLength = 6;
		public const int MaxBusinessPartnerCdLength = 10;
		public const int MaxEmailAddress1Length = 241;
		public const int MaxSuppSearcgTermLength = 20;
		public const int MaxBusinessPartnerName1Length = 35;
		public const int MaxBusinessPartnerName2Length = 35;
		public const int MaxBusinessPartnerName3Length = 35;
		public const int MaxBusinessPartnerName4Length = 35;
		public const int MaxAddress1Length = 35;
		public const int MaxAddress2Length = 35;
		public const int MaxAddress3Length = 35;
		public const int MaxDistrictLength = 40;
		public const int MaxCityLength = 40;
		public const int MaxPostalCdLength = 10;
		public const int MaxCountryLength = 3;
		public const int MaxPhoneNoLength = 30;
		public const int MaxFaxNoLength = 30;
		public const int MaxTaxNoLength = 20;
		public const int MaxTaxCateLength = 4;
		public const int MaxCompanyCodeLength = 4;
		public const int MaxPaymentMethodCdLength = 10;
		public const int MaxPaymentMethodNmLength = 30;
		public const int MaxPaymentTermCdLength = 4;
		public const int MaxPaymentTermNmLength = 50;
		public const int MaxOrderCurrencyLength = 3;
		public const int MaxTypeOfIndustryLength = 30;
		public const int MaxPreviousMasterRecordNumberLength = 10;
		public const int MaxTextIdTitleLength = 40;
		public const int MaxUniqueBankIdLength = 4;
		public const int MaxSuppBankKeyLength = 15;
		public const int MaxSuppBankCountryLength = 3;
		public const int MaxSuppAccountLength = 18;
		public const int MaxAccountHolderLength = 60;
		public const int MaxAccnameLength = 40;
		public const int MaxPartnerBankNameLength = 30;
		public const int MaxExternalIdLength = 10;
		public const int MaxStatusFlagAbLength = 1;
		public const int MaxStatusFlagCbLength = 1;
		public const int MaxStatusFlagAdLength = 1;
		public const int MaxStatusFlagCdLength = 1;
		[StringLength(MaxNationLength)]
		public virtual string Nation { get; set; }
		[StringLength(MaxBusinessPartnerCategoryLength)]
		public virtual string BusinessPartnerCategory { get; set; }
		[StringLength(MaxBusinessPartnerGroupLength)]
		public virtual string BusinessPartnerGroup { get; set; }
		[StringLength(MaxBusinessPartnerRoleLength)]
		public virtual string BusinessPartnerRole { get; set; }
		[StringLength(MaxBusinessPartnerCdLength)]
		public virtual string BusinessPartnerCd { get; set; }
		[StringLength(MaxEmailAddress1Length)]
		public virtual string EmailAddress1 { get; set; }
		[StringLength(MaxSuppSearcgTermLength)]
		public virtual string SuppSearcgTerm { get; set; }
		[StringLength(MaxBusinessPartnerName1Length)]
		public virtual string BusinessPartnerName1 { get; set; }
		[StringLength(MaxBusinessPartnerName2Length)]
		public virtual string BusinessPartnerName2 { get; set; }
		[StringLength(MaxBusinessPartnerName3Length)]
		public virtual string BusinessPartnerName3 { get; set; }
		[StringLength(MaxBusinessPartnerName4Length)]
		public virtual string BusinessPartnerName4 { get; set; }
		[StringLength(MaxAddress1Length)]
		public virtual string Address1 { get; set; }
		[StringLength(MaxAddress2Length)]
		public virtual string Address2 { get; set; }
		[StringLength(MaxAddress3Length)]
		public virtual string Address3 { get; set; }
		[StringLength(MaxDistrictLength)]
		public virtual string District { get; set; }
		[StringLength(MaxCityLength)]
		public virtual string City { get; set; }
		[StringLength(MaxPostalCdLength)]
		public virtual string PostalCd { get; set; }
		[StringLength(MaxCountryLength)]
		public virtual string Country { get; set; }
		[StringLength(MaxPhoneNoLength)]
		public virtual string PhoneNo { get; set; }
		[StringLength(MaxFaxNoLength)]
		public virtual string FaxNo { get; set; }
		[StringLength(MaxTaxNoLength)]
		public virtual string TaxNo { get; set; }
		[StringLength(MaxTaxCateLength)]
		public virtual string TaxCate { get; set; }
		[StringLength(MaxCompanyCodeLength)]
		public virtual string CompanyCode { get; set; }
		[StringLength(MaxPaymentMethodCdLength)]
		public virtual string PaymentMethodCd { get; set; }
		[StringLength(MaxPaymentMethodNmLength)]
		public virtual string PaymentMethodNm { get; set; }
		[StringLength(MaxPaymentTermCdLength)]
		public virtual string PaymentTermCd { get; set; }
		[StringLength(MaxPaymentTermNmLength)]
		public virtual string PaymentTermNm { get; set; }
		[StringLength(MaxOrderCurrencyLength)]
		public virtual string OrderCurrency { get; set; }
		[StringLength(MaxTypeOfIndustryLength)]
		public virtual string TypeOfIndustry { get; set; }
		[StringLength(MaxPreviousMasterRecordNumberLength)]
		public virtual string PreviousMasterRecordNumber { get; set; }
		[StringLength(MaxTextIdTitleLength)]
		public virtual string TextIdTitle { get; set; }
		[StringLength(MaxUniqueBankIdLength)]
		public virtual string UniqueBankId { get; set; }
		[StringLength(MaxSuppBankKeyLength)]
		public virtual string SuppBankKey { get; set; }
		[StringLength(MaxSuppBankCountryLength)]
		public virtual string SuppBankCountry { get; set; }
		[StringLength(MaxSuppAccountLength)]
		public virtual string SuppAccount { get; set; }
		[StringLength(MaxAccountHolderLength)]
		public virtual string AccountHolder { get; set; }
		[StringLength(MaxAccnameLength)]
		public virtual string Accname { get; set; }
		[StringLength(MaxPartnerBankNameLength)]
		public virtual string PartnerBankName { get; set; }
		[StringLength(MaxExternalIdLength)]
		public virtual string ExternalId { get; set; }
		[StringLength(MaxStatusFlagAbLength)]
		public virtual string StatusFlagAb { get; set; }
		[StringLength(MaxStatusFlagCbLength)]
		public virtual string StatusFlagCb { get; set; }
		[StringLength(MaxStatusFlagAdLength)]
		public virtual string StatusFlagAd { get; set; }
		[StringLength(MaxStatusFlagCdLength)]
		public virtual string StatusFlagCd { get; set; }
	}
}
</v>
      </c>
      <c r="K7" t="str">
        <f>SUBSTITUTE(SUBSTITUTE(("public virtual DbSet&lt;"&amp;B3&amp;"&gt; "&amp;B3&amp;"s { get; set; }"),"WorkingPattern",$Q$3),"Master",$B$4)</f>
        <v>public virtual DbSet&lt;MstCmmBusinessParter&gt; MstCmmBusinessParters { get; set; }</v>
      </c>
      <c r="L7" t="str">
        <f ca="1">SUBSTITUTE(SUBSTITUTE((C6&amp;E6&amp;I53&amp;"
"&amp;REPT(CHAR(9),2)&amp;"// Define Store Name: Format SP_ + &lt;Store Name&gt; = &lt;Store Name&gt;
"&amp;E3&amp;REPT(CHAR(9),1)&amp;D3&amp;D3),"WorkingPattern",$Q$3),"Master",$B$4)</f>
        <v xml:space="preserve">namespace prod.Master.Cmm
{
	public class MstCmmBusinessParterConsts	
	{
		public const int MaxNationLength = 1;
		public const int MaxBusinessPartnerCategoryLength = 1;
		public const int MaxBusinessPartnerGroupLength = 4;
		public const int MaxBusinessPartnerRoleLength = 6;
		public const int MaxBusinessPartnerCdLength = 10;
		public const int MaxEmailAddress1Length = 241;
		public const int MaxSuppSearcgTermLength = 20;
		public const int MaxBusinessPartnerName1Length = 35;
		public const int MaxBusinessPartnerName2Length = 35;
		public const int MaxBusinessPartnerName3Length = 35;
		public const int MaxBusinessPartnerName4Length = 35;
		public const int MaxAddress1Length = 35;
		public const int MaxAddress2Length = 35;
		public const int MaxAddress3Length = 35;
		public const int MaxDistrictLength = 40;
		public const int MaxCityLength = 40;
		public const int MaxPostalCdLength = 10;
		public const int MaxCountryLength = 3;
		public const int MaxPhoneNoLength = 30;
		public const int MaxFaxNoLength = 30;
		public const int MaxTaxNoLength = 20;
		public const int MaxTaxCateLength = 4;
		public const int MaxCompanyCodeLength = 4;
		public const int MaxPaymentMethodCdLength = 10;
		public const int MaxPaymentMethodNmLength = 30;
		public const int MaxPaymentTermCdLength = 4;
		public const int MaxPaymentTermNmLength = 50;
		public const int MaxOrderCurrencyLength = 3;
		public const int MaxTypeOfIndustryLength = 30;
		public const int MaxPreviousMasterRecordNumberLength = 10;
		public const int MaxTextIdTitleLength = 40;
		public const int MaxUniqueBankIdLength = 4;
		public const int MaxSuppBankKeyLength = 15;
		public const int MaxSuppBankCountryLength = 3;
		public const int MaxSuppAccountLength = 18;
		public const int MaxAccountHolderLength = 60;
		public const int MaxAccnameLength = 40;
		public const int MaxPartnerBankNameLength = 30;
		public const int MaxExternalIdLength = 10;
		public const int MaxStatusFlagAbLength = 1;
		public const int MaxStatusFlagCbLength = 1;
		public const int MaxStatusFlagAdLength = 1;
		public const int MaxStatusFlagCdLength = 1;
		// Define Store Name: Format SP_ + &lt;Store Name&gt; = &lt;Store Name&gt;
	}
}
</v>
      </c>
      <c r="M7" t="str">
        <f ca="1">SUBSTITUTE(SUBSTITUTE((C1&amp;"namespace "&amp;B6&amp;".Dto"&amp;E3&amp;C3&amp;F6&amp;M53&amp;E3&amp;REPT(CHAR(9),1)&amp;D3&amp;G6&amp;N53&amp;REPT(CHAR(9),1)&amp;D3&amp;H6&amp;O53&amp;"
"&amp;REPT(CHAR(9),1)&amp;D3&amp;D3),"WorkingPattern",$Q$3),"Master",$B$4)</f>
        <v xml:space="preserve">using Abp.Application.Services.Dto;
using System;
using System.ComponentModel.DataAnnotations;
namespace prod.Master.Cmm.Dto
{
	public class MstCmmBusinessParterDto : EntityDto&lt;long?&gt;	
	{
		public virtual string Nation { get; set; }
		public virtual string BusinessPartnerCategory { get; set; }
		public virtual string BusinessPartnerGroup { get; set; }
		public virtual string BusinessPartnerRole { get; set; }
		public virtual string BusinessPartnerCd { get; set; }
		public virtual string EmailAddress1 { get; set; }
		public virtual string SuppSearcgTerm { get; set; }
		public virtual string BusinessPartnerName1 { get; set; }
		public virtual string BusinessPartnerName2 { get; set; }
		public virtual string BusinessPartnerName3 { get; set; }
		public virtual string BusinessPartnerName4 { get; set; }
		public virtual string Address1 { get; set; }
		public virtual string Address2 { get; set; }
		public virtual string Address3 { get; set; }
		public virtual string District { get; set; }
		public virtual string City { get; set; }
		public virtual string PostalCd { get; set; }
		public virtual string Country { get; set; }
		public virtual string PhoneNo { get; set; }
		public virtual string FaxNo { get; set; }
		public virtual string TaxNo { get; set; }
		public virtual string TaxCate { get; set; }
		public virtual string CompanyCode { get; set; }
		public virtual string PaymentMethodCd { get; set; }
		public virtual string PaymentMethodNm { get; set; }
		public virtual string PaymentTermCd { get; set; }
		public virtual string PaymentTermNm { get; set; }
		public virtual string OrderCurrency { get; set; }
		public virtual string TypeOfIndustry { get; set; }
		public virtual string PreviousMasterRecordNumber { get; set; }
		public virtual string TextIdTitle { get; set; }
		public virtual string UniqueBankId { get; set; }
		public virtual string SuppBankKey { get; set; }
		public virtual string SuppBankCountry { get; set; }
		public virtual string SuppAccount { get; set; }
		public virtual string AccountHolder { get; set; }
		public virtual string Accname { get; set; }
		public virtual string PartnerBankName { get; set; }
		public virtual string ExternalId { get; set; }
		public virtual string StatusFlagAb { get; set; }
		public virtual string StatusFlagCb { get; set; }
		public virtual string StatusFlagAd { get; set; }
		public virtual string StatusFlagCd { get; set; }
	}
	public class CreateOrEditMstCmmBusinessParterDto : EntityDto&lt;long?&gt;	
	{
		[StringLength(MstCmmBusinessParterConsts.MaxNationLength)]
		public virtual string Nation { get; set; }
		[StringLength(MstCmmBusinessParterConsts.MaxBusinessPartnerCategoryLength)]
		public virtual string BusinessPartnerCategory { get; set; }
		[StringLength(MstCmmBusinessParterConsts.MaxBusinessPartnerGroupLength)]
		public virtual string BusinessPartnerGroup { get; set; }
		[StringLength(MstCmmBusinessParterConsts.MaxBusinessPartnerRoleLength)]
		public virtual string BusinessPartnerRole { get; set; }
		[StringLength(MstCmmBusinessParterConsts.MaxBusinessPartnerCdLength)]
		public virtual string BusinessPartnerCd { get; set; }
		[StringLength(MstCmmBusinessParterConsts.MaxEmailAddress1Length)]
		public virtual string EmailAddress1 { get; set; }
		[StringLength(MstCmmBusinessParterConsts.MaxSuppSearcgTermLength)]
		public virtual string SuppSearcgTerm { get; set; }
		[StringLength(MstCmmBusinessParterConsts.MaxBusinessPartnerName1Length)]
		public virtual string BusinessPartnerName1 { get; set; }
		[StringLength(MstCmmBusinessParterConsts.MaxBusinessPartnerName2Length)]
		public virtual string BusinessPartnerName2 { get; set; }
		[StringLength(MstCmmBusinessParterConsts.MaxBusinessPartnerName3Length)]
		public virtual string BusinessPartnerName3 { get; set; }
		[StringLength(MstCmmBusinessParterConsts.MaxBusinessPartnerName4Length)]
		public virtual string BusinessPartnerName4 { get; set; }
		[StringLength(MstCmmBusinessParterConsts.MaxAddress1Length)]
		public virtual string Address1 { get; set; }
		[StringLength(MstCmmBusinessParterConsts.MaxAddress2Length)]
		public virtual string Address2 { get; set; }
		[StringLength(MstCmmBusinessParterConsts.MaxAddress3Length)]
		public virtual string Address3 { get; set; }
		[StringLength(MstCmmBusinessParterConsts.MaxDistrictLength)]
		public virtual string District { get; set; }
		[StringLength(MstCmmBusinessParterConsts.MaxCityLength)]
		public virtual string City { get; set; }
		[StringLength(MstCmmBusinessParterConsts.MaxPostalCdLength)]
		public virtual string PostalCd { get; set; }
		[StringLength(MstCmmBusinessParterConsts.MaxCountryLength)]
		public virtual string Country { get; set; }
		[StringLength(MstCmmBusinessParterConsts.MaxPhoneNoLength)]
		public virtual string PhoneNo { get; set; }
		[StringLength(MstCmmBusinessParterConsts.MaxFaxNoLength)]
		public virtual string FaxNo { get; set; }
		[StringLength(MstCmmBusinessParterConsts.MaxTaxNoLength)]
		public virtual string TaxNo { get; set; }
		[StringLength(MstCmmBusinessParterConsts.MaxTaxCateLength)]
		public virtual string TaxCate { get; set; }
		[StringLength(MstCmmBusinessParterConsts.MaxCompanyCodeLength)]
		public virtual string CompanyCode { get; set; }
		[StringLength(MstCmmBusinessParterConsts.MaxPaymentMethodCdLength)]
		public virtual string PaymentMethodCd { get; set; }
		[StringLength(MstCmmBusinessParterConsts.MaxPaymentMethodNmLength)]
		public virtual string PaymentMethodNm { get; set; }
		[StringLength(MstCmmBusinessParterConsts.MaxPaymentTermCdLength)]
		public virtual string PaymentTermCd { get; set; }
		[StringLength(MstCmmBusinessParterConsts.MaxPaymentTermNmLength)]
		public virtual string PaymentTermNm { get; set; }
		[StringLength(MstCmmBusinessParterConsts.MaxOrderCurrencyLength)]
		public virtual string OrderCurrency { get; set; }
		[StringLength(MstCmmBusinessParterConsts.MaxTypeOfIndustryLength)]
		public virtual string TypeOfIndustry { get; set; }
		[StringLength(MstCmmBusinessParterConsts.MaxPreviousMasterRecordNumberLength)]
		public virtual string PreviousMasterRecordNumber { get; set; }
		[StringLength(MstCmmBusinessParterConsts.MaxTextIdTitleLength)]
		public virtual string TextIdTitle { get; set; }
		[StringLength(MstCmmBusinessParterConsts.MaxUniqueBankIdLength)]
		public virtual string UniqueBankId { get; set; }
		[StringLength(MstCmmBusinessParterConsts.MaxSuppBankKeyLength)]
		public virtual string SuppBankKey { get; set; }
		[StringLength(MstCmmBusinessParterConsts.MaxSuppBankCountryLength)]
		public virtual string SuppBankCountry { get; set; }
		[StringLength(MstCmmBusinessParterConsts.MaxSuppAccountLength)]
		public virtual string SuppAccount { get; set; }
		[StringLength(MstCmmBusinessParterConsts.MaxAccountHolderLength)]
		public virtual string AccountHolder { get; set; }
		[StringLength(MstCmmBusinessParterConsts.MaxAccnameLength)]
		public virtual string Accname { get; set; }
		[StringLength(MstCmmBusinessParterConsts.MaxPartnerBankNameLength)]
		public virtual string PartnerBankName { get; set; }
		[StringLength(MstCmmBusinessParterConsts.MaxExternalIdLength)]
		public virtual string ExternalId { get; set; }
		[StringLength(MstCmmBusinessParterConsts.MaxStatusFlagAbLength)]
		public virtual string StatusFlagAb { get; set; }
		[StringLength(MstCmmBusinessParterConsts.MaxStatusFlagCbLength)]
		public virtual string StatusFlagCb { get; set; }
		[StringLength(MstCmmBusinessParterConsts.MaxStatusFlagAdLength)]
		public virtual string StatusFlagAd { get; set; }
		[StringLength(MstCmmBusinessParterConsts.MaxStatusFlagCdLength)]
		public virtual string StatusFlagCd { get; set; }
	}
	public class GetMstCmmBusinessParterInput : PagedAndSortedResultRequestDto	
	{
		public virtual string Nation { get; set; }
		public virtual string BusinessPartnerCategory { get; set; }
		public virtual string BusinessPartnerGroup { get; set; }
		public virtual string BusinessPartnerRole { get; set; }
		public virtual string BusinessPartnerCd { get; set; }
		public virtual string EmailAddress1 { get; set; }
		public virtual string SuppSearcgTerm { get; set; }
		public virtual string BusinessPartnerName1 { get; set; }
		public virtual string BusinessPartnerName2 { get; set; }
		public virtual string BusinessPartnerName3 { get; set; }
		public virtual string BusinessPartnerName4 { get; set; }
		public virtual string Address1 { get; set; }
		public virtual string Address2 { get; set; }
		public virtual string Address3 { get; set; }
		public virtual string District { get; set; }
		public virtual string City { get; set; }
		public virtual string PostalCd { get; set; }
		public virtual string Country { get; set; }
		public virtual string PhoneNo { get; set; }
		public virtual string FaxNo { get; set; }
		public virtual string TaxNo { get; set; }
		public virtual string TaxCate { get; set; }
		public virtual string CompanyCode { get; set; }
		public virtual string PaymentMethodCd { get; set; }
		public virtual string PaymentMethodNm { get; set; }
		public virtual string PaymentTermCd { get; set; }
		public virtual string PaymentTermNm { get; set; }
		public virtual string OrderCurrency { get; set; }
		public virtual string TypeOfIndustry { get; set; }
		public virtual string PreviousMasterRecordNumber { get; set; }
		public virtual string TextIdTitle { get; set; }
		public virtual string UniqueBankId { get; set; }
		public virtual string SuppBankKey { get; set; }
		public virtual string SuppBankCountry { get; set; }
		public virtual string SuppAccount { get; set; }
		public virtual string AccountHolder { get; set; }
		public virtual string Accname { get; set; }
		public virtual string PartnerBankName { get; set; }
		public virtual string ExternalId { get; set; }
		public virtual string StatusFlagAb { get; set; }
		public virtual string StatusFlagCb { get; set; }
		public virtual string StatusFlagAd { get; set; }
		public virtual string StatusFlagCd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perMstCmmBusinessParter = PARENTS.CreateChildPermission(AppPermissions.Pages_Master_Cmm_BusinessParter, L( "MasterCmmBusinessParter"), multiTenancySides: MultiTenancySides.Tenant);
		perMstCmmBusinessParter.CreateChildPermission(AppPermissions.Pages_Master_Cmm_BusinessParter_CreateEdit, L( "MasterCmmBusinessParterCreateEdit"), multiTenancySides: MultiTenancySides.Tenant);
		perMstCmmBusinessParter.CreateChildPermission(AppPermissions.Pages_Master_Cmm_BusinessParter_Delete, L( "MasterCmmBusinessParterDelete"),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Pages_Master_Cmm_BusinessParter = "Pages.Master.Cmm.BusinessParter";
		public const string Pages_Master_Cmm_BusinessParter_CreateEdit = "Pages.Master.Cmm.BusinessParter.CreateEdit";
		public const string Pages_Master_Cmm_BusinessParter_Delete = "Pages.Master.Cmm.BusinessParter.Delete";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
{
	public interface IMstCmmBusinessParterAppService : IApplicationService
	{
		Task&lt;PagedResultDto&lt;MstCmmBusinessParterDto&gt;&gt; GetAll(GetMstCmmBusinessParterInput input);
		Task CreateOrEdit(CreateOrEditMstCmmBusinessParterDto input);
		Task Delete(EntityDto input);
	}
}
</v>
      </c>
      <c r="Q7" t="str">
        <f ca="1">SUBSTITUTE(SUBSTITUTE(SUBSTITUTE(SUBSTITUTE(SUBSTITUTE(SUBSTITUTE(E1,"MstWptCalendar",$B$3),"&lt;PROPERTIES&gt;",P53),"Calendar",$B$5),"WorkingPattern",$Q$3),"Master",$B$4),"&lt;PARAMS_SEARCH&gt;",$W$53)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[AbpAuthorize(AppPermissions.Pages_Master_Cmm_BusinessParter)]
    public class MstCmmBusinessParterAppService : vovinaAppServiceBase, IMstCmmBusinessParterAppService
    {
        private readonly IDapperRepository&lt;MstCmmBusinessParter, long&gt; _dapperRepo;
        private readonly IRepository&lt;MstCmmBusinessParter, long&gt; _repo;
        private readonly IMstCmmBusinessParterExcelExporter _calendarListExcelExporter;
        public MstCmmBusinessParterAppService(IRepository&lt;MstCmmBusinessParter,long&gt; repo, 
                                         IDapperRepository&lt;MstCmmBusinessParter,long&gt; dapperRepo,
                                        IMstCmmBusinessParterExcelExporter calendarListExcelExporter
            )
        {
            _repo = repo;
            _dapperRepo = dapperRepo;
            _calendarListExcelExporter = calendarListExcelExporter;
        }
        [AbpAuthorize(AppPermissions.Pages_Master_Cmm_BusinessParter_CreateEdit)]
        public async Task CreateOrEdit(CreateOrEditMstCmmBusinessParterDto input)
        {
            if (input.Id == null) await Create(input);
            else await Update(input);
        }
        //CREATE
        private async Task Create(CreateOrEditMstCmmBusinessParterDto input)
        {          
            var mainObj = ObjectMapper.Map&lt;MstCmmBusinessParter&gt;(input);
            await CurrentUnitOfWork.GetDbContext&lt;vovinaDbContext&gt;().AddAsync(mainObj);
        }
        // EDIT
        private async Task Update(CreateOrEditMstCmmBusinessParterDto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[AbpAuthorize(AppPermissions.Pages_Master_Cmm_BusinessParter_Delete)]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Task&lt;PagedResultDto&lt;MstCmmBusinessParterDto&gt;&gt; GetAll(GetMstCmmBusinessParterInput input)
        {
            var filtered = _repo.GetAll()
				.WhereIf(!string.IsNullOrWhiteSpace(input.Nation), e =&gt; e.Nation.Contains(input.Nation))
				.WhereIf(!string.IsNullOrWhiteSpace(input.BusinessPartnerCategory), e =&gt; e.BusinessPartnerCategory.Contains(input.BusinessPartnerCategory))
				.WhereIf(!string.IsNullOrWhiteSpace(input.BusinessPartnerGroup), e =&gt; e.BusinessPartnerGroup.Contains(input.BusinessPartnerGroup))
				.WhereIf(!string.IsNullOrWhiteSpace(input.BusinessPartnerRole), e =&gt; e.BusinessPartnerRole.Contains(input.BusinessPartnerRole))
				.WhereIf(!string.IsNullOrWhiteSpace(input.BusinessPartnerCd), e =&gt; e.BusinessPartnerCd.Contains(input.BusinessPartnerCd))
				.WhereIf(!string.IsNullOrWhiteSpace(input.EmailAddress1), e =&gt; e.EmailAddress1.Contains(input.EmailAddress1))
				.WhereIf(!string.IsNullOrWhiteSpace(input.SuppSearcgTerm), e =&gt; e.SuppSearcgTerm.Contains(input.SuppSearcgTerm))
				.WhereIf(!string.IsNullOrWhiteSpace(input.BusinessPartnerName1), e =&gt; e.BusinessPartnerName1.Contains(input.BusinessPartnerName1))
				.WhereIf(!string.IsNullOrWhiteSpace(input.BusinessPartnerName2), e =&gt; e.BusinessPartnerName2.Contains(input.BusinessPartnerName2))
				.WhereIf(!string.IsNullOrWhiteSpace(input.BusinessPartnerName3), e =&gt; e.BusinessPartnerName3.Contains(input.BusinessPartnerName3))
				.WhereIf(!string.IsNullOrWhiteSpace(input.BusinessPartnerName4), e =&gt; e.BusinessPartnerName4.Contains(input.BusinessPartnerName4))
				.WhereIf(!string.IsNullOrWhiteSpace(input.Address1), e =&gt; e.Address1.Contains(input.Address1))
				.WhereIf(!string.IsNullOrWhiteSpace(input.Address2), e =&gt; e.Address2.Contains(input.Address2))
				.WhereIf(!string.IsNullOrWhiteSpace(input.Address3), e =&gt; e.Address3.Contains(input.Address3))
				.WhereIf(!string.IsNullOrWhiteSpace(input.District), e =&gt; e.District.Contains(input.District))
				.WhereIf(!string.IsNullOrWhiteSpace(input.City), e =&gt; e.City.Contains(input.City))
				.WhereIf(!string.IsNullOrWhiteSpace(input.PostalCd), e =&gt; e.PostalCd.Contains(input.PostalCd))
				.WhereIf(!string.IsNullOrWhiteSpace(input.Country), e =&gt; e.Country.Contains(input.Country))
				.WhereIf(!string.IsNullOrWhiteSpace(input.PhoneNo), e =&gt; e.PhoneNo.Contains(input.PhoneNo))
				.WhereIf(!string.IsNullOrWhiteSpace(input.FaxNo), e =&gt; e.FaxNo.Contains(input.FaxNo))
				.WhereIf(!string.IsNullOrWhiteSpace(input.TaxNo), e =&gt; e.TaxNo.Contains(input.TaxNo))
				.WhereIf(!string.IsNullOrWhiteSpace(input.TaxCate), e =&gt; e.TaxCate.Contains(input.TaxCate))
				.WhereIf(!string.IsNullOrWhiteSpace(input.CompanyCode), e =&gt; e.CompanyCode.Contains(input.CompanyCode))
				.WhereIf(!string.IsNullOrWhiteSpace(input.PaymentMethodCd), e =&gt; e.PaymentMethodCd.Contains(input.PaymentMethodCd))
				.WhereIf(!string.IsNullOrWhiteSpace(input.PaymentMethodNm), e =&gt; e.PaymentMethodNm.Contains(input.PaymentMethodNm))
				.WhereIf(!string.IsNullOrWhiteSpace(input.PaymentTermCd), e =&gt; e.PaymentTermCd.Contains(input.PaymentTermCd))
				.WhereIf(!string.IsNullOrWhiteSpace(input.PaymentTermNm), e =&gt; e.PaymentTermNm.Contains(input.PaymentTermNm))
				.WhereIf(!string.IsNullOrWhiteSpace(input.OrderCurrency), e =&gt; e.OrderCurrency.Contains(input.OrderCurrency))
				.WhereIf(!string.IsNullOrWhiteSpace(input.TypeOfIndustry), e =&gt; e.TypeOfIndustry.Contains(input.TypeOfIndustry))
				.WhereIf(!string.IsNullOrWhiteSpace(input.PreviousMasterRecordNumber), e =&gt; e.PreviousMasterRecordNumber.Contains(input.PreviousMasterRecordNumber))
				.WhereIf(!string.IsNullOrWhiteSpace(input.TextIdTitle), e =&gt; e.TextIdTitle.Contains(input.TextIdTitle))
				.WhereIf(!string.IsNullOrWhiteSpace(input.UniqueBankId), e =&gt; e.UniqueBankId.Contains(input.UniqueBankId))
				.WhereIf(!string.IsNullOrWhiteSpace(input.SuppBankKey), e =&gt; e.SuppBankKey.Contains(input.SuppBankKey))
				.WhereIf(!string.IsNullOrWhiteSpace(input.SuppBankCountry), e =&gt; e.SuppBankCountry.Contains(input.SuppBankCountry))
				.WhereIf(!string.IsNullOrWhiteSpace(input.SuppAccount), e =&gt; e.SuppAccount.Contains(input.SuppAccount))
				.WhereIf(!string.IsNullOrWhiteSpace(input.AccountHolder), e =&gt; e.AccountHolder.Contains(input.AccountHolder))
				.WhereIf(!string.IsNullOrWhiteSpace(input.Accname), e =&gt; e.Accname.Contains(input.Accname))
				.WhereIf(!string.IsNullOrWhiteSpace(input.PartnerBankName), e =&gt; e.PartnerBankName.Contains(input.PartnerBankName))
				.WhereIf(!string.IsNullOrWhiteSpace(input.ExternalId), e =&gt; e.ExternalId.Contains(input.ExternalId))
				.WhereIf(!string.IsNullOrWhiteSpace(input.StatusFlagAb), e =&gt; e.StatusFlagAb.Contains(input.StatusFlagAb))
				.WhereIf(!string.IsNullOrWhiteSpace(input.StatusFlagCb), e =&gt; e.StatusFlagCb.Contains(input.StatusFlagCb))
				.WhereIf(!string.IsNullOrWhiteSpace(input.StatusFlagAd), e =&gt; e.StatusFlagAd.Contains(input.StatusFlagAd))
				.WhereIf(!string.IsNullOrWhiteSpace(input.StatusFlagCd), e =&gt; e.StatusFlagCd.Contains(input.StatusFlagCd))                   
				;
            var pageAndFiltered = filtered.OrderBy(s =&gt; s.Id);
            var system = from o in pageAndFiltered
                         select new MstCmmBusinessParterDto
                        {
							Id = o.Id,
							Nation = o.Nation,
							BusinessPartnerCategory = o.BusinessPartnerCategory,
							BusinessPartnerGroup = o.BusinessPartnerGroup,
							BusinessPartnerRole = o.BusinessPartnerRole,
							BusinessPartnerCd = o.BusinessPartnerCd,
							EmailAddress1 = o.EmailAddress1,
							SuppSearcgTerm = o.SuppSearcgTerm,
							BusinessPartnerName1 = o.BusinessPartnerName1,
							BusinessPartnerName2 = o.BusinessPartnerName2,
							BusinessPartnerName3 = o.BusinessPartnerName3,
							BusinessPartnerName4 = o.BusinessPartnerName4,
							Address1 = o.Address1,
							Address2 = o.Address2,
							Address3 = o.Address3,
							District = o.District,
							City = o.City,
							PostalCd = o.PostalCd,
							Country = o.Country,
							PhoneNo = o.PhoneNo,
							FaxNo = o.FaxNo,
							TaxNo = o.TaxNo,
							TaxCate = o.TaxCate,
							CompanyCode = o.CompanyCode,
							PaymentMethodCd = o.PaymentMethodCd,
							PaymentMethodNm = o.PaymentMethodNm,
							PaymentTermCd = o.PaymentTermCd,
							PaymentTermNm = o.PaymentTermNm,
							OrderCurrency = o.OrderCurrency,
							TypeOfIndustry = o.TypeOfIndustry,
							PreviousMasterRecordNumber = o.PreviousMasterRecordNumber,
							TextIdTitle = o.TextIdTitle,
							UniqueBankId = o.UniqueBankId,
							SuppBankKey = o.SuppBankKey,
							SuppBankCountry = o.SuppBankCountry,
							SuppAccount = o.SuppAccount,
							AccountHolder = o.AccountHolder,
							Accname = o.Accname,
							PartnerBankName = o.PartnerBankName,
							ExternalId = o.ExternalId,
							StatusFlagAb = o.StatusFlagAb,
							StatusFlagCb = o.StatusFlagCb,
							StatusFlagAd = o.StatusFlagAd,
							StatusFlagCd = o.StatusFlagCd,
                        };
            var totalCount = await filtered.CountAsync();
			var paged = system.PageBy(input);
            return new PagedResultDto&lt;MstCmmBusinessParterDto&gt;(
                totalCount,
                 await paged.ToListAsync()
            );
        }
        public async Task&lt;FileDto&gt; GetBusinessParterToExcel(MstCmmBusinessParterExportInput input)
        {
            var query = from o in _repo.GetAll()
                        select new MstCmmBusinessParterDto
                        {
							Id = o.Id,
							Nation = o.Nation,
							BusinessPartnerCategory = o.BusinessPartnerCategory,
							BusinessPartnerGroup = o.BusinessPartnerGroup,
							BusinessPartnerRole = o.BusinessPartnerRole,
							BusinessPartnerCd = o.BusinessPartnerCd,
							EmailAddress1 = o.EmailAddress1,
							SuppSearcgTerm = o.SuppSearcgTerm,
							BusinessPartnerName1 = o.BusinessPartnerName1,
							BusinessPartnerName2 = o.BusinessPartnerName2,
							BusinessPartnerName3 = o.BusinessPartnerName3,
							BusinessPartnerName4 = o.BusinessPartnerName4,
							Address1 = o.Address1,
							Address2 = o.Address2,
							Address3 = o.Address3,
							District = o.District,
							City = o.City,
							PostalCd = o.PostalCd,
							Country = o.Country,
							PhoneNo = o.PhoneNo,
							FaxNo = o.FaxNo,
							TaxNo = o.TaxNo,
							TaxCate = o.TaxCate,
							CompanyCode = o.CompanyCode,
							PaymentMethodCd = o.PaymentMethodCd,
							PaymentMethodNm = o.PaymentMethodNm,
							PaymentTermCd = o.PaymentTermCd,
							PaymentTermNm = o.PaymentTermNm,
							OrderCurrency = o.OrderCurrency,
							TypeOfIndustry = o.TypeOfIndustry,
							PreviousMasterRecordNumber = o.PreviousMasterRecordNumber,
							TextIdTitle = o.TextIdTitle,
							UniqueBankId = o.UniqueBankId,
							SuppBankKey = o.SuppBankKey,
							SuppBankCountry = o.SuppBankCountry,
							SuppAccount = o.SuppAccount,
							AccountHolder = o.AccountHolder,
							Accname = o.Accname,
							PartnerBankName = o.PartnerBankName,
							ExternalId = o.ExternalId,
							StatusFlagAb = o.StatusFlagAb,
							StatusFlagCb = o.StatusFlagCb,
							StatusFlagAd = o.StatusFlagAd,
							StatusFlagCd = o.StatusFlagCd,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_dapperRepo.ExecuteAsync(MstCmmBusinessParterConsts.SP_MST_WPT_CALENDAR_GENERATE);
       // }
    }
}</v>
      </c>
      <c r="R7" t="str">
        <f ca="1">SUBSTITUTE(SUBSTITUTE((C1&amp;"namespace "&amp;B6&amp;".Dto"&amp;E3&amp;C3&amp;R3&amp;M53&amp;E3&amp;REPT(CHAR(9),1)&amp;D3&amp;D3),"WorkingPattern",$Q$3),"Master",$B$4)</f>
        <v xml:space="preserve">using Abp.Application.Services.Dto;
using System;
using System.ComponentModel.DataAnnotations;
namespace prod.Master.Cmm.Dto
{
	public class MstCmmBusinessParterExportInput{
		public virtual string Nation { get; set; }
		public virtual string BusinessPartnerCategory { get; set; }
		public virtual string BusinessPartnerGroup { get; set; }
		public virtual string BusinessPartnerRole { get; set; }
		public virtual string BusinessPartnerCd { get; set; }
		public virtual string EmailAddress1 { get; set; }
		public virtual string SuppSearcgTerm { get; set; }
		public virtual string BusinessPartnerName1 { get; set; }
		public virtual string BusinessPartnerName2 { get; set; }
		public virtual string BusinessPartnerName3 { get; set; }
		public virtual string BusinessPartnerName4 { get; set; }
		public virtual string Address1 { get; set; }
		public virtual string Address2 { get; set; }
		public virtual string Address3 { get; set; }
		public virtual string District { get; set; }
		public virtual string City { get; set; }
		public virtual string PostalCd { get; set; }
		public virtual string Country { get; set; }
		public virtual string PhoneNo { get; set; }
		public virtual string FaxNo { get; set; }
		public virtual string TaxNo { get; set; }
		public virtual string TaxCate { get; set; }
		public virtual string CompanyCode { get; set; }
		public virtual string PaymentMethodCd { get; set; }
		public virtual string PaymentMethodNm { get; set; }
		public virtual string PaymentTermCd { get; set; }
		public virtual string PaymentTermNm { get; set; }
		public virtual string OrderCurrency { get; set; }
		public virtual string TypeOfIndustry { get; set; }
		public virtual string PreviousMasterRecordNumber { get; set; }
		public virtual string TextIdTitle { get; set; }
		public virtual string UniqueBankId { get; set; }
		public virtual string SuppBankKey { get; set; }
		public virtual string SuppBankCountry { get; set; }
		public virtual string SuppAccount { get; set; }
		public virtual string AccountHolder { get; set; }
		public virtual string Accname { get; set; }
		public virtual string PartnerBankName { get; set; }
		public virtual string ExternalId { get; set; }
		public virtual string StatusFlagAb { get; set; }
		public virtual string StatusFlagCb { get; set; }
		public virtual string StatusFlagAd { get; set; }
		public virtual string StatusFlagCd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prod.Master.Cmm.Exporting
{
	public interface IMstCmmBusinessParterExcelExporter : IApplicationService
	{
		FileDto ExportToFile(List&lt;MstCmmBusinessParterDto&gt; mstcmmbusinessparter);
	}
}
</v>
      </c>
      <c r="T7" s="26" t="str">
        <f ca="1">SUBSTITUTE(SUBSTITUTE(SUBSTITUTE(SUBSTITUTE(SUBSTITUTE(SUBSTITUTE(SUBSTITUTE(T1,"MstWptCalendar",$B$3),"&lt;PROPERTIES1&gt;",V53),"&lt;PROPERTIES&gt;",T53),"Calendar",$B$5),"calendar",LOWER(B5)),"WorkingPattern",$Q$3),"Master",$B$4)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MstCmmBusinessParterExcelExporter : NpoiExcelExporterBase, IMstCmmBusinessParterExcelExporter
    {
        public MstCmmBusinessParterExcelExporter(ITempFileCacheManager tempFileCacheManager) : base(tempFileCacheManager) { }
        public FileDto ExportToFile(List&lt;MstCmmBusinessParterDto&gt; businessparter)
        {
            return CreateExcelPackage(
				"MasterCmmBusinessParter.xlsx",
				excelPackage =&gt;
				 {
					var sheet = excelPackage.CreateSheet("BusinessParter");
					AddHeader(
								sheet,
								("Nation"),
								("BusinessPartnerCategory"),
								("BusinessPartnerGroup"),
								("BusinessPartnerRole"),
								("BusinessPartnerCd"),
								("EmailAddress1"),
								("SuppSearcgTerm"),
								("BusinessPartnerName1"),
								("BusinessPartnerName2"),
								("BusinessPartnerName3"),
								("BusinessPartnerName4"),
								("Address1"),
								("Address2"),
								("Address3"),
								("District"),
								("City"),
								("PostalCd"),
								("Country"),
								("PhoneNo"),
								("FaxNo"),
								("TaxNo"),
								("TaxCate"),
								("CompanyCode"),
								("PaymentMethodCd"),
								("PaymentMethodNm"),
								("PaymentTermCd"),
								("PaymentTermNm"),
								("OrderCurrency"),
								("TypeOfIndustry"),
								("PreviousMasterRecordNumber"),
								("TextIdTitle"),
								("UniqueBankId"),
								("SuppBankKey"),
								("SuppBankCountry"),
								("SuppAccount"),
								("AccountHolder"),
								("Accname"),
								("PartnerBankName"),
								("ExternalId"),
								("StatusFlagAb"),
								("StatusFlagCb"),
								("StatusFlagAd"),
								("StatusFlagCd"),
							   );
					AddObjects(
						 sheet, 1, businessparter,                                       
								_ =&gt; _.Nation,
								_ =&gt; _.BusinessPartnerCategory,
								_ =&gt; _.BusinessPartnerGroup,
								_ =&gt; _.BusinessPartnerRole,
								_ =&gt; _.BusinessPartnerCd,
								_ =&gt; _.EmailAddress1,
								_ =&gt; _.SuppSearcgTerm,
								_ =&gt; _.BusinessPartnerName1,
								_ =&gt; _.BusinessPartnerName2,
								_ =&gt; _.BusinessPartnerName3,
								_ =&gt; _.BusinessPartnerName4,
								_ =&gt; _.Address1,
								_ =&gt; _.Address2,
								_ =&gt; _.Address3,
								_ =&gt; _.District,
								_ =&gt; _.City,
								_ =&gt; _.PostalCd,
								_ =&gt; _.Country,
								_ =&gt; _.PhoneNo,
								_ =&gt; _.FaxNo,
								_ =&gt; _.TaxNo,
								_ =&gt; _.TaxCate,
								_ =&gt; _.CompanyCode,
								_ =&gt; _.PaymentMethodCd,
								_ =&gt; _.PaymentMethodNm,
								_ =&gt; _.PaymentTermCd,
								_ =&gt; _.PaymentTermNm,
								_ =&gt; _.OrderCurrency,
								_ =&gt; _.TypeOfIndustry,
								_ =&gt; _.PreviousMasterRecordNumber,
								_ =&gt; _.TextIdTitle,
								_ =&gt; _.UniqueBankId,
								_ =&gt; _.SuppBankKey,
								_ =&gt; _.SuppBankCountry,
								_ =&gt; _.SuppAccount,
								_ =&gt; _.AccountHolder,
								_ =&gt; _.Accname,
								_ =&gt; _.PartnerBankName,
								_ =&gt; _.ExternalId,
								_ =&gt; _.StatusFlagAb,
								_ =&gt; _.StatusFlagCb,
								_ =&gt; _.StatusFlagAd,
								_ =&gt; _.StatusFlagCd,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configuration.CreateMap&lt;MstCmmBusinessParterDto, MstCmmBusinessParter&gt;();
  configuration.CreateMap&lt;MstCmmBusinessParter, MstCmmBusinessParterDto&gt;();
  configuration.CreateMap&lt;CreateOrEditMstCmmBusinessParterDto, MstCmmBusinessParter&gt;();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359</v>
      </c>
      <c r="B9" s="28" t="s">
        <v>360</v>
      </c>
      <c r="C9" t="s">
        <v>1</v>
      </c>
      <c r="D9" t="str">
        <f t="shared" ref="D9" si="0">SUBSTITUTE(PROPER(A9),"_","")</f>
        <v>Nation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1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MaxNationLength = 1;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[StringLength(MaxNationLength)]
		public virtual string Nation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Nation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[StringLength(MstCmmBusinessParterConsts.MaxNationLength)]
		public virtual string Nation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Nation { get; set; }
</v>
      </c>
      <c r="P9" t="str">
        <f t="shared" ref="P9" si="9">REPT(CHAR(9),7)&amp;D9&amp;" = o." &amp;D9 &amp;","</f>
        <v xml:space="preserve">							Nation = o.Nation,</v>
      </c>
      <c r="T9" s="63" t="str">
        <f t="shared" ref="T9" si="10">REPT(CHAR(9),8)&amp;"("""&amp;D9&amp;"""),"</f>
        <v xml:space="preserve">								("Nation"),</v>
      </c>
      <c r="V9" s="64" t="str">
        <f t="shared" ref="V9" si="11">REPT(CHAR(9),8)&amp;"_ =&gt; _."&amp;D9&amp;","</f>
        <v xml:space="preserve">								_ =&gt; _.Nation,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.WhereIf(!string.IsNullOrWhiteSpace(input.Nation), e =&gt; e.Nation.Contains(input.Nation))</v>
      </c>
    </row>
    <row r="10" spans="1:23" customFormat="1" ht="18.75" customHeight="1" x14ac:dyDescent="0.25">
      <c r="A10" s="28" t="s">
        <v>361</v>
      </c>
      <c r="B10" s="28" t="s">
        <v>360</v>
      </c>
      <c r="C10" t="s">
        <v>1</v>
      </c>
      <c r="D10" t="str">
        <f t="shared" ref="D10:D11" si="13">SUBSTITUTE(PROPER(A10),"_","")</f>
        <v>BusinessPartnerCategory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1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MaxBusinessPartnerCategoryLength = 1;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[StringLength(MaxBusinessPartnerCategoryLength)]
		public virtual string BusinessPartnerCategory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BusinessPartnerCategory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[StringLength(MstCmmBusinessParterConsts.MaxBusinessPartnerCategoryLength)]
		public virtual string BusinessPartnerCategory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BusinessPartnerCategory { get; set; }
</v>
      </c>
      <c r="P10" t="str">
        <f t="shared" ref="P10:P11" si="22">REPT(CHAR(9),7)&amp;D10&amp;" = o." &amp;D10 &amp;","</f>
        <v xml:space="preserve">							BusinessPartnerCategory = o.BusinessPartnerCategory,</v>
      </c>
      <c r="T10" s="63" t="str">
        <f t="shared" ref="T10:T11" si="23">REPT(CHAR(9),8)&amp;"("""&amp;D10&amp;"""),"</f>
        <v xml:space="preserve">								("BusinessPartnerCategory"),</v>
      </c>
      <c r="V10" s="64" t="str">
        <f t="shared" ref="V10:V11" si="24">REPT(CHAR(9),8)&amp;"_ =&gt; _."&amp;D10&amp;","</f>
        <v xml:space="preserve">								_ =&gt; _.BusinessPartnerCategory,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.WhereIf(!string.IsNullOrWhiteSpace(input.BusinessPartnerCategory), e =&gt; e.BusinessPartnerCategory.Contains(input.BusinessPartnerCategory))</v>
      </c>
    </row>
    <row r="11" spans="1:23" customFormat="1" ht="18.75" customHeight="1" x14ac:dyDescent="0.25">
      <c r="A11" s="28" t="s">
        <v>362</v>
      </c>
      <c r="B11" s="28" t="s">
        <v>364</v>
      </c>
      <c r="C11" t="s">
        <v>1</v>
      </c>
      <c r="D11" t="str">
        <f t="shared" si="13"/>
        <v>BusinessPartnerGroup</v>
      </c>
      <c r="E11" t="str">
        <f t="shared" si="14"/>
        <v>nvarchar</v>
      </c>
      <c r="F11" s="6"/>
      <c r="G11" t="str">
        <f t="shared" si="15"/>
        <v>4</v>
      </c>
      <c r="H11" t="str">
        <f>+VLOOKUP(E11,'Data Type Mapping'!A:B,2,)</f>
        <v>string</v>
      </c>
      <c r="I11" t="str">
        <f t="shared" si="16"/>
        <v xml:space="preserve">		public const int MaxBusinessPartnerGroupLength = 4;
</v>
      </c>
      <c r="J11" t="str">
        <f t="shared" si="17"/>
        <v xml:space="preserve">		[StringLength(MaxBusinessPartnerGroupLength)]
		public virtual string BusinessPartnerGroup { get; set; }
</v>
      </c>
      <c r="K11" s="6"/>
      <c r="L11" t="str">
        <f t="shared" si="18"/>
        <v/>
      </c>
      <c r="M11" t="str">
        <f t="shared" si="19"/>
        <v xml:space="preserve">		public virtual string BusinessPartnerGroup { get; set; }
</v>
      </c>
      <c r="N11" t="str">
        <f t="shared" si="20"/>
        <v xml:space="preserve">		[StringLength(MstCmmBusinessParterConsts.MaxBusinessPartnerGroupLength)]
		public virtual string BusinessPartnerGroup { get; set; }
</v>
      </c>
      <c r="O11" t="str">
        <f t="shared" si="21"/>
        <v xml:space="preserve">		public virtual string BusinessPartnerGroup { get; set; }
</v>
      </c>
      <c r="P11" t="str">
        <f t="shared" si="22"/>
        <v xml:space="preserve">							BusinessPartnerGroup = o.BusinessPartnerGroup,</v>
      </c>
      <c r="T11" s="63" t="str">
        <f t="shared" si="23"/>
        <v xml:space="preserve">								("BusinessPartnerGroup"),</v>
      </c>
      <c r="V11" s="64" t="str">
        <f t="shared" si="24"/>
        <v xml:space="preserve">								_ =&gt; _.BusinessPartnerGroup,</v>
      </c>
      <c r="W11" s="63" t="str">
        <f t="shared" si="25"/>
        <v xml:space="preserve">				.WhereIf(!string.IsNullOrWhiteSpace(input.BusinessPartnerGroup), e =&gt; e.BusinessPartnerGroup.Contains(input.BusinessPartnerGroup))</v>
      </c>
    </row>
    <row r="12" spans="1:23" customFormat="1" ht="18.75" customHeight="1" x14ac:dyDescent="0.25">
      <c r="A12" s="28" t="s">
        <v>363</v>
      </c>
      <c r="B12" s="28" t="s">
        <v>365</v>
      </c>
      <c r="C12" t="s">
        <v>1</v>
      </c>
      <c r="D12" t="str">
        <f t="shared" ref="D12:D13" si="26">SUBSTITUTE(PROPER(A12),"_","")</f>
        <v>BusinessPartnerRole</v>
      </c>
      <c r="E12" t="str">
        <f t="shared" ref="E12:E13" si="27">IFERROR(LEFT(B12, FIND("(",B12)-1),B12)</f>
        <v>nvarchar</v>
      </c>
      <c r="F12" s="6"/>
      <c r="G12" t="str">
        <f t="shared" ref="G12:G13" si="28">IFERROR(MID(B12,FIND("(",B12) +1, FIND(")",B12) - FIND("(",B12) - 1),"")</f>
        <v>6</v>
      </c>
      <c r="H1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MaxBusinessPartnerRoleLength = 6;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[StringLength(MaxBusinessPartnerRoleLength)]
		public virtual string BusinessPartnerRole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BusinessPartnerRole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[StringLength(MstCmmBusinessParterConsts.MaxBusinessPartnerRoleLength)]
		public virtual string BusinessPartnerRole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BusinessPartnerRole { get; set; }
</v>
      </c>
      <c r="P12" t="str">
        <f t="shared" ref="P12:P13" si="35">REPT(CHAR(9),7)&amp;D12&amp;" = o." &amp;D12 &amp;","</f>
        <v xml:space="preserve">							BusinessPartnerRole = o.BusinessPartnerRole,</v>
      </c>
      <c r="T12" s="63" t="str">
        <f t="shared" ref="T12:T13" si="36">REPT(CHAR(9),8)&amp;"("""&amp;D12&amp;"""),"</f>
        <v xml:space="preserve">								("BusinessPartnerRole"),</v>
      </c>
      <c r="V12" s="64" t="str">
        <f t="shared" ref="V12:V13" si="37">REPT(CHAR(9),8)&amp;"_ =&gt; _."&amp;D12&amp;","</f>
        <v xml:space="preserve">								_ =&gt; _.BusinessPartnerRole,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.WhereIf(!string.IsNullOrWhiteSpace(input.BusinessPartnerRole), e =&gt; e.BusinessPartnerRole.Contains(input.BusinessPartnerRole))</v>
      </c>
    </row>
    <row r="13" spans="1:23" customFormat="1" ht="18.75" customHeight="1" x14ac:dyDescent="0.25">
      <c r="A13" s="28" t="s">
        <v>366</v>
      </c>
      <c r="B13" s="28" t="s">
        <v>374</v>
      </c>
      <c r="C13" t="s">
        <v>1</v>
      </c>
      <c r="D13" t="str">
        <f t="shared" si="26"/>
        <v>BusinessPartnerCd</v>
      </c>
      <c r="E13" t="str">
        <f t="shared" si="27"/>
        <v>nvarchar</v>
      </c>
      <c r="F13" s="6"/>
      <c r="G13" t="str">
        <f t="shared" si="28"/>
        <v>10</v>
      </c>
      <c r="H13" t="str">
        <f>+VLOOKUP(E13,'Data Type Mapping'!A:B,2,)</f>
        <v>string</v>
      </c>
      <c r="I13" t="str">
        <f t="shared" si="29"/>
        <v xml:space="preserve">		public const int MaxBusinessPartnerCdLength = 10;
</v>
      </c>
      <c r="J13" t="str">
        <f t="shared" si="30"/>
        <v xml:space="preserve">		[StringLength(MaxBusinessPartnerCdLength)]
		public virtual string BusinessPartnerCd { get; set; }
</v>
      </c>
      <c r="K13" s="6"/>
      <c r="L13" t="str">
        <f t="shared" si="31"/>
        <v/>
      </c>
      <c r="M13" t="str">
        <f t="shared" si="32"/>
        <v xml:space="preserve">		public virtual string BusinessPartnerCd { get; set; }
</v>
      </c>
      <c r="N13" t="str">
        <f t="shared" si="33"/>
        <v xml:space="preserve">		[StringLength(MstCmmBusinessParterConsts.MaxBusinessPartnerCdLength)]
		public virtual string BusinessPartnerCd { get; set; }
</v>
      </c>
      <c r="O13" t="str">
        <f t="shared" si="34"/>
        <v xml:space="preserve">		public virtual string BusinessPartnerCd { get; set; }
</v>
      </c>
      <c r="P13" t="str">
        <f t="shared" si="35"/>
        <v xml:space="preserve">							BusinessPartnerCd = o.BusinessPartnerCd,</v>
      </c>
      <c r="T13" s="63" t="str">
        <f t="shared" si="36"/>
        <v xml:space="preserve">								("BusinessPartnerCd"),</v>
      </c>
      <c r="V13" s="64" t="str">
        <f t="shared" si="37"/>
        <v xml:space="preserve">								_ =&gt; _.BusinessPartnerCd,</v>
      </c>
      <c r="W13" s="63" t="str">
        <f t="shared" si="38"/>
        <v xml:space="preserve">				.WhereIf(!string.IsNullOrWhiteSpace(input.BusinessPartnerCd), e =&gt; e.BusinessPartnerCd.Contains(input.BusinessPartnerCd))</v>
      </c>
    </row>
    <row r="14" spans="1:23" customFormat="1" ht="18.75" customHeight="1" x14ac:dyDescent="0.25">
      <c r="A14" s="28" t="s">
        <v>367</v>
      </c>
      <c r="B14" s="28" t="s">
        <v>375</v>
      </c>
      <c r="C14" t="s">
        <v>1</v>
      </c>
      <c r="D14" t="str">
        <f t="shared" ref="D14:D18" si="39">SUBSTITUTE(PROPER(A14),"_","")</f>
        <v>EmailAddress1</v>
      </c>
      <c r="E14" t="str">
        <f t="shared" ref="E14:E18" si="40">IFERROR(LEFT(B14, FIND("(",B14)-1),B14)</f>
        <v>nvarchar</v>
      </c>
      <c r="F14" s="6"/>
      <c r="G14" t="str">
        <f t="shared" ref="G14:G18" si="41">IFERROR(MID(B14,FIND("(",B14) +1, FIND(")",B14) - FIND("(",B14) - 1),"")</f>
        <v>241</v>
      </c>
      <c r="H14" t="str">
        <f>+VLOOKUP(E14,'Data Type Mapping'!A:B,2,)</f>
        <v>string</v>
      </c>
      <c r="I14" t="str">
        <f t="shared" ref="I14:I18" si="42">IF(H14="string",REPT(CHAR(9),2)&amp;"public const int Max"&amp;D14&amp;"Length = "&amp;G14&amp;";"&amp;$E$3,"" )</f>
        <v xml:space="preserve">		public const int MaxEmailAddress1Length = 241;
</v>
      </c>
      <c r="J14" t="str">
        <f t="shared" ref="J14:J18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[StringLength(MaxEmailAddress1Length)]
		public virtual string EmailAddress1 { get; set; }
</v>
      </c>
      <c r="K14" s="6"/>
      <c r="L14" t="str">
        <f t="shared" ref="L14:L18" si="44">IF(K14="","",REPT(CHAR(9),1)&amp;"[Index(nameof("&amp;IF(D14="","",""&amp;D14)&amp;")"&amp;", Name="&amp;"""IX_"&amp;$B$7&amp;"_"&amp;D14&amp;""")]")</f>
        <v/>
      </c>
      <c r="M14" t="str">
        <f t="shared" ref="M14:M18" si="45">REPT(CHAR(9),2)&amp;"public virtual "&amp;IF(OR(H14="DateTime",H14="TimeSpan"),H14&amp;"?",H14)&amp;IF(C14="?","? "," ")&amp;D14&amp;" { get; set; }" &amp; "
"</f>
        <v xml:space="preserve">		public virtual string EmailAddress1 { get; set; }
</v>
      </c>
      <c r="N14" t="str">
        <f t="shared" ref="N14:N18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[StringLength(MstCmmBusinessParterConsts.MaxEmailAddress1Length)]
		public virtual string EmailAddress1 { get; set; }
</v>
      </c>
      <c r="O14" t="str">
        <f t="shared" ref="O14:O18" si="47">IF(OR(H14="string",H14="DateTime",H14="int"),REPT(CHAR(9),2)&amp;"public virtual "&amp;IF(OR(H14="DateTime",H14="TimeSpan"),H14&amp;"?",H14)&amp;IF(C14="?","? "," ")&amp;D14&amp;" { get; set; }"&amp;$E$3,"")</f>
        <v xml:space="preserve">		public virtual string EmailAddress1 { get; set; }
</v>
      </c>
      <c r="P14" t="str">
        <f t="shared" ref="P14:P18" si="48">REPT(CHAR(9),7)&amp;D14&amp;" = o." &amp;D14 &amp;","</f>
        <v xml:space="preserve">							EmailAddress1 = o.EmailAddress1,</v>
      </c>
      <c r="T14" s="63" t="str">
        <f t="shared" ref="T14:T18" si="49">REPT(CHAR(9),8)&amp;"("""&amp;D14&amp;"""),"</f>
        <v xml:space="preserve">								("EmailAddress1"),</v>
      </c>
      <c r="V14" s="64" t="str">
        <f t="shared" ref="V14:V18" si="50">REPT(CHAR(9),8)&amp;"_ =&gt; _."&amp;D14&amp;","</f>
        <v xml:space="preserve">								_ =&gt; _.EmailAddress1,</v>
      </c>
      <c r="W14" s="63" t="str">
        <f t="shared" ref="W14:W18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.WhereIf(!string.IsNullOrWhiteSpace(input.EmailAddress1), e =&gt; e.EmailAddress1.Contains(input.EmailAddress1))</v>
      </c>
    </row>
    <row r="15" spans="1:23" customFormat="1" ht="18.75" customHeight="1" x14ac:dyDescent="0.25">
      <c r="A15" s="28" t="s">
        <v>368</v>
      </c>
      <c r="B15" s="28" t="s">
        <v>376</v>
      </c>
      <c r="C15" t="s">
        <v>1</v>
      </c>
      <c r="D15" t="str">
        <f t="shared" si="39"/>
        <v>SuppSearcgTerm</v>
      </c>
      <c r="E15" t="str">
        <f t="shared" si="40"/>
        <v>nvarchar</v>
      </c>
      <c r="F15" s="6"/>
      <c r="G15" t="str">
        <f t="shared" si="41"/>
        <v>20</v>
      </c>
      <c r="H15" t="str">
        <f>+VLOOKUP(E15,'Data Type Mapping'!A:B,2,)</f>
        <v>string</v>
      </c>
      <c r="I15" t="str">
        <f t="shared" si="42"/>
        <v xml:space="preserve">		public const int MaxSuppSearcgTermLength = 20;
</v>
      </c>
      <c r="J15" t="str">
        <f t="shared" si="43"/>
        <v xml:space="preserve">		[StringLength(MaxSuppSearcgTermLength)]
		public virtual string SuppSearcgTerm { get; set; }
</v>
      </c>
      <c r="K15" s="6"/>
      <c r="L15" t="str">
        <f t="shared" si="44"/>
        <v/>
      </c>
      <c r="M15" t="str">
        <f t="shared" si="45"/>
        <v xml:space="preserve">		public virtual string SuppSearcgTerm { get; set; }
</v>
      </c>
      <c r="N15" t="str">
        <f t="shared" si="46"/>
        <v xml:space="preserve">		[StringLength(MstCmmBusinessParterConsts.MaxSuppSearcgTermLength)]
		public virtual string SuppSearcgTerm { get; set; }
</v>
      </c>
      <c r="O15" t="str">
        <f t="shared" si="47"/>
        <v xml:space="preserve">		public virtual string SuppSearcgTerm { get; set; }
</v>
      </c>
      <c r="P15" t="str">
        <f t="shared" si="48"/>
        <v xml:space="preserve">							SuppSearcgTerm = o.SuppSearcgTerm,</v>
      </c>
      <c r="T15" s="63" t="str">
        <f t="shared" si="49"/>
        <v xml:space="preserve">								("SuppSearcgTerm"),</v>
      </c>
      <c r="V15" s="64" t="str">
        <f t="shared" si="50"/>
        <v xml:space="preserve">								_ =&gt; _.SuppSearcgTerm,</v>
      </c>
      <c r="W15" s="63" t="str">
        <f t="shared" si="51"/>
        <v xml:space="preserve">				.WhereIf(!string.IsNullOrWhiteSpace(input.SuppSearcgTerm), e =&gt; e.SuppSearcgTerm.Contains(input.SuppSearcgTerm))</v>
      </c>
    </row>
    <row r="16" spans="1:23" customFormat="1" ht="18.75" customHeight="1" x14ac:dyDescent="0.25">
      <c r="A16" s="28" t="s">
        <v>369</v>
      </c>
      <c r="B16" s="28" t="s">
        <v>377</v>
      </c>
      <c r="C16" t="s">
        <v>1</v>
      </c>
      <c r="D16" t="str">
        <f t="shared" si="39"/>
        <v>BusinessPartnerName1</v>
      </c>
      <c r="E16" t="str">
        <f t="shared" si="40"/>
        <v>nvarchar</v>
      </c>
      <c r="F16" s="6"/>
      <c r="G16" t="str">
        <f t="shared" si="41"/>
        <v>35</v>
      </c>
      <c r="H16" t="str">
        <f>+VLOOKUP(E16,'Data Type Mapping'!A:B,2,)</f>
        <v>string</v>
      </c>
      <c r="I16" t="str">
        <f t="shared" si="42"/>
        <v xml:space="preserve">		public const int MaxBusinessPartnerName1Length = 35;
</v>
      </c>
      <c r="J16" t="str">
        <f t="shared" si="43"/>
        <v xml:space="preserve">		[StringLength(MaxBusinessPartnerName1Length)]
		public virtual string BusinessPartnerName1 { get; set; }
</v>
      </c>
      <c r="K16" s="6"/>
      <c r="L16" t="str">
        <f t="shared" si="44"/>
        <v/>
      </c>
      <c r="M16" t="str">
        <f t="shared" si="45"/>
        <v xml:space="preserve">		public virtual string BusinessPartnerName1 { get; set; }
</v>
      </c>
      <c r="N16" t="str">
        <f t="shared" si="46"/>
        <v xml:space="preserve">		[StringLength(MstCmmBusinessParterConsts.MaxBusinessPartnerName1Length)]
		public virtual string BusinessPartnerName1 { get; set; }
</v>
      </c>
      <c r="O16" t="str">
        <f t="shared" si="47"/>
        <v xml:space="preserve">		public virtual string BusinessPartnerName1 { get; set; }
</v>
      </c>
      <c r="P16" t="str">
        <f t="shared" si="48"/>
        <v xml:space="preserve">							BusinessPartnerName1 = o.BusinessPartnerName1,</v>
      </c>
      <c r="T16" s="63" t="str">
        <f t="shared" si="49"/>
        <v xml:space="preserve">								("BusinessPartnerName1"),</v>
      </c>
      <c r="V16" s="64" t="str">
        <f t="shared" si="50"/>
        <v xml:space="preserve">								_ =&gt; _.BusinessPartnerName1,</v>
      </c>
      <c r="W16" s="63" t="str">
        <f t="shared" si="51"/>
        <v xml:space="preserve">				.WhereIf(!string.IsNullOrWhiteSpace(input.BusinessPartnerName1), e =&gt; e.BusinessPartnerName1.Contains(input.BusinessPartnerName1))</v>
      </c>
    </row>
    <row r="17" spans="1:23" customFormat="1" ht="18.75" customHeight="1" x14ac:dyDescent="0.25">
      <c r="A17" s="28" t="s">
        <v>370</v>
      </c>
      <c r="B17" s="28" t="s">
        <v>377</v>
      </c>
      <c r="C17" t="s">
        <v>1</v>
      </c>
      <c r="D17" t="str">
        <f t="shared" si="39"/>
        <v>BusinessPartnerName2</v>
      </c>
      <c r="E17" t="str">
        <f t="shared" si="40"/>
        <v>nvarchar</v>
      </c>
      <c r="F17" s="6"/>
      <c r="G17" t="str">
        <f t="shared" si="41"/>
        <v>35</v>
      </c>
      <c r="H17" t="str">
        <f>+VLOOKUP(E17,'Data Type Mapping'!A:B,2,)</f>
        <v>string</v>
      </c>
      <c r="I17" t="str">
        <f t="shared" si="42"/>
        <v xml:space="preserve">		public const int MaxBusinessPartnerName2Length = 35;
</v>
      </c>
      <c r="J17" t="str">
        <f t="shared" si="43"/>
        <v xml:space="preserve">		[StringLength(MaxBusinessPartnerName2Length)]
		public virtual string BusinessPartnerName2 { get; set; }
</v>
      </c>
      <c r="K17" s="6"/>
      <c r="L17" t="str">
        <f t="shared" si="44"/>
        <v/>
      </c>
      <c r="M17" t="str">
        <f t="shared" si="45"/>
        <v xml:space="preserve">		public virtual string BusinessPartnerName2 { get; set; }
</v>
      </c>
      <c r="N17" t="str">
        <f t="shared" si="46"/>
        <v xml:space="preserve">		[StringLength(MstCmmBusinessParterConsts.MaxBusinessPartnerName2Length)]
		public virtual string BusinessPartnerName2 { get; set; }
</v>
      </c>
      <c r="O17" t="str">
        <f t="shared" si="47"/>
        <v xml:space="preserve">		public virtual string BusinessPartnerName2 { get; set; }
</v>
      </c>
      <c r="P17" t="str">
        <f t="shared" si="48"/>
        <v xml:space="preserve">							BusinessPartnerName2 = o.BusinessPartnerName2,</v>
      </c>
      <c r="T17" s="63" t="str">
        <f t="shared" si="49"/>
        <v xml:space="preserve">								("BusinessPartnerName2"),</v>
      </c>
      <c r="V17" s="64" t="str">
        <f t="shared" si="50"/>
        <v xml:space="preserve">								_ =&gt; _.BusinessPartnerName2,</v>
      </c>
      <c r="W17" s="63" t="str">
        <f t="shared" si="51"/>
        <v xml:space="preserve">				.WhereIf(!string.IsNullOrWhiteSpace(input.BusinessPartnerName2), e =&gt; e.BusinessPartnerName2.Contains(input.BusinessPartnerName2))</v>
      </c>
    </row>
    <row r="18" spans="1:23" customFormat="1" ht="18.75" customHeight="1" x14ac:dyDescent="0.25">
      <c r="A18" s="28" t="s">
        <v>371</v>
      </c>
      <c r="B18" s="28" t="s">
        <v>377</v>
      </c>
      <c r="C18" t="s">
        <v>1</v>
      </c>
      <c r="D18" t="str">
        <f t="shared" si="39"/>
        <v>BusinessPartnerName3</v>
      </c>
      <c r="E18" t="str">
        <f t="shared" si="40"/>
        <v>nvarchar</v>
      </c>
      <c r="F18" s="6"/>
      <c r="G18" t="str">
        <f t="shared" si="41"/>
        <v>35</v>
      </c>
      <c r="H18" t="str">
        <f>+VLOOKUP(E18,'Data Type Mapping'!A:B,2,)</f>
        <v>string</v>
      </c>
      <c r="I18" t="str">
        <f t="shared" si="42"/>
        <v xml:space="preserve">		public const int MaxBusinessPartnerName3Length = 35;
</v>
      </c>
      <c r="J18" t="str">
        <f t="shared" si="43"/>
        <v xml:space="preserve">		[StringLength(MaxBusinessPartnerName3Length)]
		public virtual string BusinessPartnerName3 { get; set; }
</v>
      </c>
      <c r="K18" s="6"/>
      <c r="L18" t="str">
        <f t="shared" si="44"/>
        <v/>
      </c>
      <c r="M18" t="str">
        <f t="shared" si="45"/>
        <v xml:space="preserve">		public virtual string BusinessPartnerName3 { get; set; }
</v>
      </c>
      <c r="N18" t="str">
        <f t="shared" si="46"/>
        <v xml:space="preserve">		[StringLength(MstCmmBusinessParterConsts.MaxBusinessPartnerName3Length)]
		public virtual string BusinessPartnerName3 { get; set; }
</v>
      </c>
      <c r="O18" t="str">
        <f t="shared" si="47"/>
        <v xml:space="preserve">		public virtual string BusinessPartnerName3 { get; set; }
</v>
      </c>
      <c r="P18" t="str">
        <f t="shared" si="48"/>
        <v xml:space="preserve">							BusinessPartnerName3 = o.BusinessPartnerName3,</v>
      </c>
      <c r="T18" s="63" t="str">
        <f t="shared" si="49"/>
        <v xml:space="preserve">								("BusinessPartnerName3"),</v>
      </c>
      <c r="V18" s="64" t="str">
        <f t="shared" si="50"/>
        <v xml:space="preserve">								_ =&gt; _.BusinessPartnerName3,</v>
      </c>
      <c r="W18" s="63" t="str">
        <f t="shared" si="51"/>
        <v xml:space="preserve">				.WhereIf(!string.IsNullOrWhiteSpace(input.BusinessPartnerName3), e =&gt; e.BusinessPartnerName3.Contains(input.BusinessPartnerName3))</v>
      </c>
    </row>
    <row r="19" spans="1:23" customFormat="1" ht="18.75" customHeight="1" x14ac:dyDescent="0.25">
      <c r="A19" s="28" t="s">
        <v>372</v>
      </c>
      <c r="B19" s="28" t="s">
        <v>377</v>
      </c>
      <c r="C19" t="s">
        <v>1</v>
      </c>
      <c r="D19" t="str">
        <f t="shared" ref="D19:D28" si="52">SUBSTITUTE(PROPER(A19),"_","")</f>
        <v>BusinessPartnerName4</v>
      </c>
      <c r="E19" t="str">
        <f t="shared" ref="E19:E28" si="53">IFERROR(LEFT(B19, FIND("(",B19)-1),B19)</f>
        <v>nvarchar</v>
      </c>
      <c r="F19" s="6"/>
      <c r="G19" t="str">
        <f t="shared" ref="G19:G28" si="54">IFERROR(MID(B19,FIND("(",B19) +1, FIND(")",B19) - FIND("(",B19) - 1),"")</f>
        <v>35</v>
      </c>
      <c r="H19" t="str">
        <f>+VLOOKUP(E19,'Data Type Mapping'!A:B,2,)</f>
        <v>string</v>
      </c>
      <c r="I19" t="str">
        <f t="shared" ref="I19:I28" si="55">IF(H19="string",REPT(CHAR(9),2)&amp;"public const int Max"&amp;D19&amp;"Length = "&amp;G19&amp;";"&amp;$E$3,"" )</f>
        <v xml:space="preserve">		public const int MaxBusinessPartnerName4Length = 35;
</v>
      </c>
      <c r="J19" t="str">
        <f t="shared" ref="J19:J28" si="56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[StringLength(MaxBusinessPartnerName4Length)]
		public virtual string BusinessPartnerName4 { get; set; }
</v>
      </c>
      <c r="K19" s="6"/>
      <c r="L19" t="str">
        <f t="shared" ref="L19:L28" si="57">IF(K19="","",REPT(CHAR(9),1)&amp;"[Index(nameof("&amp;IF(D19="","",""&amp;D19)&amp;")"&amp;", Name="&amp;"""IX_"&amp;$B$7&amp;"_"&amp;D19&amp;""")]")</f>
        <v/>
      </c>
      <c r="M19" t="str">
        <f t="shared" ref="M19:M28" si="58">REPT(CHAR(9),2)&amp;"public virtual "&amp;IF(OR(H19="DateTime",H19="TimeSpan"),H19&amp;"?",H19)&amp;IF(C19="?","? "," ")&amp;D19&amp;" { get; set; }" &amp; "
"</f>
        <v xml:space="preserve">		public virtual string BusinessPartnerName4 { get; set; }
</v>
      </c>
      <c r="N19" t="str">
        <f t="shared" ref="N19:N28" si="59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[StringLength(MstCmmBusinessParterConsts.MaxBusinessPartnerName4Length)]
		public virtual string BusinessPartnerName4 { get; set; }
</v>
      </c>
      <c r="O19" t="str">
        <f t="shared" ref="O19:O28" si="60">IF(OR(H19="string",H19="DateTime",H19="int"),REPT(CHAR(9),2)&amp;"public virtual "&amp;IF(OR(H19="DateTime",H19="TimeSpan"),H19&amp;"?",H19)&amp;IF(C19="?","? "," ")&amp;D19&amp;" { get; set; }"&amp;$E$3,"")</f>
        <v xml:space="preserve">		public virtual string BusinessPartnerName4 { get; set; }
</v>
      </c>
      <c r="P19" t="str">
        <f t="shared" ref="P19:P28" si="61">REPT(CHAR(9),7)&amp;D19&amp;" = o." &amp;D19 &amp;","</f>
        <v xml:space="preserve">							BusinessPartnerName4 = o.BusinessPartnerName4,</v>
      </c>
      <c r="T19" s="63" t="str">
        <f t="shared" ref="T19:T28" si="62">REPT(CHAR(9),8)&amp;"("""&amp;D19&amp;"""),"</f>
        <v xml:space="preserve">								("BusinessPartnerName4"),</v>
      </c>
      <c r="V19" s="64" t="str">
        <f t="shared" ref="V19:V28" si="63">REPT(CHAR(9),8)&amp;"_ =&gt; _."&amp;D19&amp;","</f>
        <v xml:space="preserve">								_ =&gt; _.BusinessPartnerName4,</v>
      </c>
      <c r="W19" s="63" t="str">
        <f t="shared" ref="W19:W28" si="64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.WhereIf(!string.IsNullOrWhiteSpace(input.BusinessPartnerName4), e =&gt; e.BusinessPartnerName4.Contains(input.BusinessPartnerName4))</v>
      </c>
    </row>
    <row r="20" spans="1:23" customFormat="1" ht="18.75" customHeight="1" x14ac:dyDescent="0.25">
      <c r="A20" s="28" t="s">
        <v>373</v>
      </c>
      <c r="B20" s="28" t="s">
        <v>377</v>
      </c>
      <c r="C20" t="s">
        <v>1</v>
      </c>
      <c r="D20" t="str">
        <f t="shared" si="52"/>
        <v>Address1</v>
      </c>
      <c r="E20" t="str">
        <f t="shared" si="53"/>
        <v>nvarchar</v>
      </c>
      <c r="F20" s="6"/>
      <c r="G20" t="str">
        <f t="shared" si="54"/>
        <v>35</v>
      </c>
      <c r="H20" t="str">
        <f>+VLOOKUP(E20,'Data Type Mapping'!A:B,2,)</f>
        <v>string</v>
      </c>
      <c r="I20" t="str">
        <f t="shared" si="55"/>
        <v xml:space="preserve">		public const int MaxAddress1Length = 35;
</v>
      </c>
      <c r="J20" t="str">
        <f t="shared" si="56"/>
        <v xml:space="preserve">		[StringLength(MaxAddress1Length)]
		public virtual string Address1 { get; set; }
</v>
      </c>
      <c r="K20" s="6"/>
      <c r="L20" t="str">
        <f t="shared" si="57"/>
        <v/>
      </c>
      <c r="M20" t="str">
        <f t="shared" si="58"/>
        <v xml:space="preserve">		public virtual string Address1 { get; set; }
</v>
      </c>
      <c r="N20" t="str">
        <f t="shared" si="59"/>
        <v xml:space="preserve">		[StringLength(MstCmmBusinessParterConsts.MaxAddress1Length)]
		public virtual string Address1 { get; set; }
</v>
      </c>
      <c r="O20" t="str">
        <f t="shared" si="60"/>
        <v xml:space="preserve">		public virtual string Address1 { get; set; }
</v>
      </c>
      <c r="P20" t="str">
        <f t="shared" si="61"/>
        <v xml:space="preserve">							Address1 = o.Address1,</v>
      </c>
      <c r="T20" s="63" t="str">
        <f t="shared" si="62"/>
        <v xml:space="preserve">								("Address1"),</v>
      </c>
      <c r="V20" s="64" t="str">
        <f t="shared" si="63"/>
        <v xml:space="preserve">								_ =&gt; _.Address1,</v>
      </c>
      <c r="W20" s="63" t="str">
        <f t="shared" si="64"/>
        <v xml:space="preserve">				.WhereIf(!string.IsNullOrWhiteSpace(input.Address1), e =&gt; e.Address1.Contains(input.Address1))</v>
      </c>
    </row>
    <row r="21" spans="1:23" customFormat="1" ht="18.75" customHeight="1" x14ac:dyDescent="0.25">
      <c r="A21" s="28" t="s">
        <v>378</v>
      </c>
      <c r="B21" s="28" t="s">
        <v>377</v>
      </c>
      <c r="C21" t="s">
        <v>1</v>
      </c>
      <c r="D21" t="str">
        <f t="shared" si="52"/>
        <v>Address2</v>
      </c>
      <c r="E21" t="str">
        <f t="shared" si="53"/>
        <v>nvarchar</v>
      </c>
      <c r="F21" s="6"/>
      <c r="G21" t="str">
        <f t="shared" si="54"/>
        <v>35</v>
      </c>
      <c r="H21" t="str">
        <f>+VLOOKUP(E21,'Data Type Mapping'!A:B,2,)</f>
        <v>string</v>
      </c>
      <c r="I21" t="str">
        <f t="shared" si="55"/>
        <v xml:space="preserve">		public const int MaxAddress2Length = 35;
</v>
      </c>
      <c r="J21" t="str">
        <f t="shared" si="56"/>
        <v xml:space="preserve">		[StringLength(MaxAddress2Length)]
		public virtual string Address2 { get; set; }
</v>
      </c>
      <c r="K21" s="6"/>
      <c r="L21" t="str">
        <f t="shared" si="57"/>
        <v/>
      </c>
      <c r="M21" t="str">
        <f t="shared" si="58"/>
        <v xml:space="preserve">		public virtual string Address2 { get; set; }
</v>
      </c>
      <c r="N21" t="str">
        <f t="shared" si="59"/>
        <v xml:space="preserve">		[StringLength(MstCmmBusinessParterConsts.MaxAddress2Length)]
		public virtual string Address2 { get; set; }
</v>
      </c>
      <c r="O21" t="str">
        <f t="shared" si="60"/>
        <v xml:space="preserve">		public virtual string Address2 { get; set; }
</v>
      </c>
      <c r="P21" t="str">
        <f t="shared" si="61"/>
        <v xml:space="preserve">							Address2 = o.Address2,</v>
      </c>
      <c r="T21" s="63" t="str">
        <f t="shared" si="62"/>
        <v xml:space="preserve">								("Address2"),</v>
      </c>
      <c r="V21" s="64" t="str">
        <f t="shared" si="63"/>
        <v xml:space="preserve">								_ =&gt; _.Address2,</v>
      </c>
      <c r="W21" s="63" t="str">
        <f t="shared" si="64"/>
        <v xml:space="preserve">				.WhereIf(!string.IsNullOrWhiteSpace(input.Address2), e =&gt; e.Address2.Contains(input.Address2))</v>
      </c>
    </row>
    <row r="22" spans="1:23" customFormat="1" ht="18.75" customHeight="1" x14ac:dyDescent="0.25">
      <c r="A22" s="28" t="s">
        <v>379</v>
      </c>
      <c r="B22" s="28" t="s">
        <v>377</v>
      </c>
      <c r="C22" t="s">
        <v>1</v>
      </c>
      <c r="D22" t="str">
        <f t="shared" si="52"/>
        <v>Address3</v>
      </c>
      <c r="E22" t="str">
        <f t="shared" si="53"/>
        <v>nvarchar</v>
      </c>
      <c r="F22" s="6"/>
      <c r="G22" t="str">
        <f t="shared" si="54"/>
        <v>35</v>
      </c>
      <c r="H22" t="str">
        <f>+VLOOKUP(E22,'Data Type Mapping'!A:B,2,)</f>
        <v>string</v>
      </c>
      <c r="I22" t="str">
        <f t="shared" si="55"/>
        <v xml:space="preserve">		public const int MaxAddress3Length = 35;
</v>
      </c>
      <c r="J22" t="str">
        <f t="shared" si="56"/>
        <v xml:space="preserve">		[StringLength(MaxAddress3Length)]
		public virtual string Address3 { get; set; }
</v>
      </c>
      <c r="K22" s="6"/>
      <c r="L22" t="str">
        <f t="shared" si="57"/>
        <v/>
      </c>
      <c r="M22" t="str">
        <f t="shared" si="58"/>
        <v xml:space="preserve">		public virtual string Address3 { get; set; }
</v>
      </c>
      <c r="N22" t="str">
        <f t="shared" si="59"/>
        <v xml:space="preserve">		[StringLength(MstCmmBusinessParterConsts.MaxAddress3Length)]
		public virtual string Address3 { get; set; }
</v>
      </c>
      <c r="O22" t="str">
        <f t="shared" si="60"/>
        <v xml:space="preserve">		public virtual string Address3 { get; set; }
</v>
      </c>
      <c r="P22" t="str">
        <f t="shared" si="61"/>
        <v xml:space="preserve">							Address3 = o.Address3,</v>
      </c>
      <c r="T22" s="63" t="str">
        <f t="shared" si="62"/>
        <v xml:space="preserve">								("Address3"),</v>
      </c>
      <c r="V22" s="64" t="str">
        <f t="shared" si="63"/>
        <v xml:space="preserve">								_ =&gt; _.Address3,</v>
      </c>
      <c r="W22" s="63" t="str">
        <f t="shared" si="64"/>
        <v xml:space="preserve">				.WhereIf(!string.IsNullOrWhiteSpace(input.Address3), e =&gt; e.Address3.Contains(input.Address3))</v>
      </c>
    </row>
    <row r="23" spans="1:23" customFormat="1" ht="18.75" customHeight="1" x14ac:dyDescent="0.25">
      <c r="A23" s="28" t="s">
        <v>380</v>
      </c>
      <c r="B23" s="28" t="s">
        <v>351</v>
      </c>
      <c r="C23" t="s">
        <v>1</v>
      </c>
      <c r="D23" t="str">
        <f t="shared" si="52"/>
        <v>District</v>
      </c>
      <c r="E23" t="str">
        <f t="shared" si="53"/>
        <v>nvarchar</v>
      </c>
      <c r="F23" s="6"/>
      <c r="G23" t="str">
        <f t="shared" si="54"/>
        <v>40</v>
      </c>
      <c r="H23" t="str">
        <f>+VLOOKUP(E23,'Data Type Mapping'!A:B,2,)</f>
        <v>string</v>
      </c>
      <c r="I23" t="str">
        <f t="shared" si="55"/>
        <v xml:space="preserve">		public const int MaxDistrictLength = 40;
</v>
      </c>
      <c r="J23" t="str">
        <f t="shared" si="56"/>
        <v xml:space="preserve">		[StringLength(MaxDistrictLength)]
		public virtual string District { get; set; }
</v>
      </c>
      <c r="K23" s="6"/>
      <c r="L23" t="str">
        <f t="shared" si="57"/>
        <v/>
      </c>
      <c r="M23" t="str">
        <f t="shared" si="58"/>
        <v xml:space="preserve">		public virtual string District { get; set; }
</v>
      </c>
      <c r="N23" t="str">
        <f t="shared" si="59"/>
        <v xml:space="preserve">		[StringLength(MstCmmBusinessParterConsts.MaxDistrictLength)]
		public virtual string District { get; set; }
</v>
      </c>
      <c r="O23" t="str">
        <f t="shared" si="60"/>
        <v xml:space="preserve">		public virtual string District { get; set; }
</v>
      </c>
      <c r="P23" t="str">
        <f t="shared" si="61"/>
        <v xml:space="preserve">							District = o.District,</v>
      </c>
      <c r="T23" s="63" t="str">
        <f t="shared" si="62"/>
        <v xml:space="preserve">								("District"),</v>
      </c>
      <c r="V23" s="64" t="str">
        <f t="shared" si="63"/>
        <v xml:space="preserve">								_ =&gt; _.District,</v>
      </c>
      <c r="W23" s="63" t="str">
        <f t="shared" si="64"/>
        <v xml:space="preserve">				.WhereIf(!string.IsNullOrWhiteSpace(input.District), e =&gt; e.District.Contains(input.District))</v>
      </c>
    </row>
    <row r="24" spans="1:23" customFormat="1" ht="18.75" customHeight="1" x14ac:dyDescent="0.25">
      <c r="A24" s="28" t="s">
        <v>381</v>
      </c>
      <c r="B24" s="28" t="s">
        <v>351</v>
      </c>
      <c r="C24" t="s">
        <v>1</v>
      </c>
      <c r="D24" t="str">
        <f t="shared" si="52"/>
        <v>City</v>
      </c>
      <c r="E24" t="str">
        <f t="shared" si="53"/>
        <v>nvarchar</v>
      </c>
      <c r="F24" s="6"/>
      <c r="G24" t="str">
        <f t="shared" si="54"/>
        <v>40</v>
      </c>
      <c r="H24" t="str">
        <f>+VLOOKUP(E24,'Data Type Mapping'!A:B,2,)</f>
        <v>string</v>
      </c>
      <c r="I24" t="str">
        <f t="shared" si="55"/>
        <v xml:space="preserve">		public const int MaxCityLength = 40;
</v>
      </c>
      <c r="J24" t="str">
        <f t="shared" si="56"/>
        <v xml:space="preserve">		[StringLength(MaxCityLength)]
		public virtual string City { get; set; }
</v>
      </c>
      <c r="K24" s="6"/>
      <c r="L24" t="str">
        <f t="shared" si="57"/>
        <v/>
      </c>
      <c r="M24" t="str">
        <f t="shared" si="58"/>
        <v xml:space="preserve">		public virtual string City { get; set; }
</v>
      </c>
      <c r="N24" t="str">
        <f t="shared" si="59"/>
        <v xml:space="preserve">		[StringLength(MstCmmBusinessParterConsts.MaxCityLength)]
		public virtual string City { get; set; }
</v>
      </c>
      <c r="O24" t="str">
        <f t="shared" si="60"/>
        <v xml:space="preserve">		public virtual string City { get; set; }
</v>
      </c>
      <c r="P24" t="str">
        <f t="shared" si="61"/>
        <v xml:space="preserve">							City = o.City,</v>
      </c>
      <c r="T24" s="63" t="str">
        <f t="shared" si="62"/>
        <v xml:space="preserve">								("City"),</v>
      </c>
      <c r="V24" s="64" t="str">
        <f t="shared" si="63"/>
        <v xml:space="preserve">								_ =&gt; _.City,</v>
      </c>
      <c r="W24" s="63" t="str">
        <f t="shared" si="64"/>
        <v xml:space="preserve">				.WhereIf(!string.IsNullOrWhiteSpace(input.City), e =&gt; e.City.Contains(input.City))</v>
      </c>
    </row>
    <row r="25" spans="1:23" customFormat="1" ht="18.75" customHeight="1" x14ac:dyDescent="0.25">
      <c r="A25" s="28" t="s">
        <v>382</v>
      </c>
      <c r="B25" s="28" t="s">
        <v>374</v>
      </c>
      <c r="C25" t="s">
        <v>1</v>
      </c>
      <c r="D25" t="str">
        <f t="shared" si="52"/>
        <v>PostalCd</v>
      </c>
      <c r="E25" t="str">
        <f t="shared" si="53"/>
        <v>nvarchar</v>
      </c>
      <c r="F25" s="6"/>
      <c r="G25" t="str">
        <f t="shared" si="54"/>
        <v>10</v>
      </c>
      <c r="H25" t="str">
        <f>+VLOOKUP(E25,'Data Type Mapping'!A:B,2,)</f>
        <v>string</v>
      </c>
      <c r="I25" t="str">
        <f t="shared" si="55"/>
        <v xml:space="preserve">		public const int MaxPostalCdLength = 10;
</v>
      </c>
      <c r="J25" t="str">
        <f t="shared" si="56"/>
        <v xml:space="preserve">		[StringLength(MaxPostalCdLength)]
		public virtual string PostalCd { get; set; }
</v>
      </c>
      <c r="K25" s="6"/>
      <c r="L25" t="str">
        <f t="shared" si="57"/>
        <v/>
      </c>
      <c r="M25" t="str">
        <f t="shared" si="58"/>
        <v xml:space="preserve">		public virtual string PostalCd { get; set; }
</v>
      </c>
      <c r="N25" t="str">
        <f t="shared" si="59"/>
        <v xml:space="preserve">		[StringLength(MstCmmBusinessParterConsts.MaxPostalCdLength)]
		public virtual string PostalCd { get; set; }
</v>
      </c>
      <c r="O25" t="str">
        <f t="shared" si="60"/>
        <v xml:space="preserve">		public virtual string PostalCd { get; set; }
</v>
      </c>
      <c r="P25" t="str">
        <f t="shared" si="61"/>
        <v xml:space="preserve">							PostalCd = o.PostalCd,</v>
      </c>
      <c r="T25" s="63" t="str">
        <f t="shared" si="62"/>
        <v xml:space="preserve">								("PostalCd"),</v>
      </c>
      <c r="V25" s="64" t="str">
        <f t="shared" si="63"/>
        <v xml:space="preserve">								_ =&gt; _.PostalCd,</v>
      </c>
      <c r="W25" s="63" t="str">
        <f t="shared" si="64"/>
        <v xml:space="preserve">				.WhereIf(!string.IsNullOrWhiteSpace(input.PostalCd), e =&gt; e.PostalCd.Contains(input.PostalCd))</v>
      </c>
    </row>
    <row r="26" spans="1:23" customFormat="1" ht="18.75" customHeight="1" x14ac:dyDescent="0.25">
      <c r="A26" s="28" t="s">
        <v>383</v>
      </c>
      <c r="B26" s="28" t="s">
        <v>387</v>
      </c>
      <c r="C26" t="s">
        <v>1</v>
      </c>
      <c r="D26" t="str">
        <f t="shared" si="52"/>
        <v>Country</v>
      </c>
      <c r="E26" t="str">
        <f t="shared" si="53"/>
        <v>nvarchar</v>
      </c>
      <c r="F26" s="6"/>
      <c r="G26" t="str">
        <f t="shared" si="54"/>
        <v>3</v>
      </c>
      <c r="H26" t="str">
        <f>+VLOOKUP(E26,'Data Type Mapping'!A:B,2,)</f>
        <v>string</v>
      </c>
      <c r="I26" t="str">
        <f t="shared" si="55"/>
        <v xml:space="preserve">		public const int MaxCountryLength = 3;
</v>
      </c>
      <c r="J26" t="str">
        <f t="shared" si="56"/>
        <v xml:space="preserve">		[StringLength(MaxCountryLength)]
		public virtual string Country { get; set; }
</v>
      </c>
      <c r="K26" s="6"/>
      <c r="L26" t="str">
        <f t="shared" si="57"/>
        <v/>
      </c>
      <c r="M26" t="str">
        <f t="shared" si="58"/>
        <v xml:space="preserve">		public virtual string Country { get; set; }
</v>
      </c>
      <c r="N26" t="str">
        <f t="shared" si="59"/>
        <v xml:space="preserve">		[StringLength(MstCmmBusinessParterConsts.MaxCountryLength)]
		public virtual string Country { get; set; }
</v>
      </c>
      <c r="O26" t="str">
        <f t="shared" si="60"/>
        <v xml:space="preserve">		public virtual string Country { get; set; }
</v>
      </c>
      <c r="P26" t="str">
        <f t="shared" si="61"/>
        <v xml:space="preserve">							Country = o.Country,</v>
      </c>
      <c r="T26" s="63" t="str">
        <f t="shared" si="62"/>
        <v xml:space="preserve">								("Country"),</v>
      </c>
      <c r="V26" s="64" t="str">
        <f t="shared" si="63"/>
        <v xml:space="preserve">								_ =&gt; _.Country,</v>
      </c>
      <c r="W26" s="63" t="str">
        <f t="shared" si="64"/>
        <v xml:space="preserve">				.WhereIf(!string.IsNullOrWhiteSpace(input.Country), e =&gt; e.Country.Contains(input.Country))</v>
      </c>
    </row>
    <row r="27" spans="1:23" customFormat="1" ht="18.75" customHeight="1" x14ac:dyDescent="0.25">
      <c r="A27" s="28" t="s">
        <v>384</v>
      </c>
      <c r="B27" s="28" t="s">
        <v>388</v>
      </c>
      <c r="C27" t="s">
        <v>1</v>
      </c>
      <c r="D27" t="str">
        <f t="shared" si="52"/>
        <v>PhoneNo</v>
      </c>
      <c r="E27" t="str">
        <f t="shared" si="53"/>
        <v>nvarchar</v>
      </c>
      <c r="F27" s="6"/>
      <c r="G27" t="str">
        <f t="shared" si="54"/>
        <v>30</v>
      </c>
      <c r="H27" t="str">
        <f>+VLOOKUP(E27,'Data Type Mapping'!A:B,2,)</f>
        <v>string</v>
      </c>
      <c r="I27" t="str">
        <f t="shared" si="55"/>
        <v xml:space="preserve">		public const int MaxPhoneNoLength = 30;
</v>
      </c>
      <c r="J27" t="str">
        <f t="shared" si="56"/>
        <v xml:space="preserve">		[StringLength(MaxPhoneNoLength)]
		public virtual string PhoneNo { get; set; }
</v>
      </c>
      <c r="K27" s="6"/>
      <c r="L27" t="str">
        <f t="shared" si="57"/>
        <v/>
      </c>
      <c r="M27" t="str">
        <f t="shared" si="58"/>
        <v xml:space="preserve">		public virtual string PhoneNo { get; set; }
</v>
      </c>
      <c r="N27" t="str">
        <f t="shared" si="59"/>
        <v xml:space="preserve">		[StringLength(MstCmmBusinessParterConsts.MaxPhoneNoLength)]
		public virtual string PhoneNo { get; set; }
</v>
      </c>
      <c r="O27" t="str">
        <f t="shared" si="60"/>
        <v xml:space="preserve">		public virtual string PhoneNo { get; set; }
</v>
      </c>
      <c r="P27" t="str">
        <f t="shared" si="61"/>
        <v xml:space="preserve">							PhoneNo = o.PhoneNo,</v>
      </c>
      <c r="T27" s="63" t="str">
        <f t="shared" si="62"/>
        <v xml:space="preserve">								("PhoneNo"),</v>
      </c>
      <c r="V27" s="64" t="str">
        <f t="shared" si="63"/>
        <v xml:space="preserve">								_ =&gt; _.PhoneNo,</v>
      </c>
      <c r="W27" s="63" t="str">
        <f t="shared" si="64"/>
        <v xml:space="preserve">				.WhereIf(!string.IsNullOrWhiteSpace(input.PhoneNo), e =&gt; e.PhoneNo.Contains(input.PhoneNo))</v>
      </c>
    </row>
    <row r="28" spans="1:23" customFormat="1" ht="18.75" customHeight="1" x14ac:dyDescent="0.25">
      <c r="A28" s="28" t="s">
        <v>385</v>
      </c>
      <c r="B28" s="28" t="s">
        <v>388</v>
      </c>
      <c r="C28" t="s">
        <v>1</v>
      </c>
      <c r="D28" t="str">
        <f t="shared" si="52"/>
        <v>FaxNo</v>
      </c>
      <c r="E28" t="str">
        <f t="shared" si="53"/>
        <v>nvarchar</v>
      </c>
      <c r="F28" s="6"/>
      <c r="G28" t="str">
        <f t="shared" si="54"/>
        <v>30</v>
      </c>
      <c r="H28" t="str">
        <f>+VLOOKUP(E28,'Data Type Mapping'!A:B,2,)</f>
        <v>string</v>
      </c>
      <c r="I28" t="str">
        <f t="shared" si="55"/>
        <v xml:space="preserve">		public const int MaxFaxNoLength = 30;
</v>
      </c>
      <c r="J28" t="str">
        <f t="shared" si="56"/>
        <v xml:space="preserve">		[StringLength(MaxFaxNoLength)]
		public virtual string FaxNo { get; set; }
</v>
      </c>
      <c r="K28" s="6"/>
      <c r="L28" t="str">
        <f t="shared" si="57"/>
        <v/>
      </c>
      <c r="M28" t="str">
        <f t="shared" si="58"/>
        <v xml:space="preserve">		public virtual string FaxNo { get; set; }
</v>
      </c>
      <c r="N28" t="str">
        <f t="shared" si="59"/>
        <v xml:space="preserve">		[StringLength(MstCmmBusinessParterConsts.MaxFaxNoLength)]
		public virtual string FaxNo { get; set; }
</v>
      </c>
      <c r="O28" t="str">
        <f t="shared" si="60"/>
        <v xml:space="preserve">		public virtual string FaxNo { get; set; }
</v>
      </c>
      <c r="P28" t="str">
        <f t="shared" si="61"/>
        <v xml:space="preserve">							FaxNo = o.FaxNo,</v>
      </c>
      <c r="T28" s="63" t="str">
        <f t="shared" si="62"/>
        <v xml:space="preserve">								("FaxNo"),</v>
      </c>
      <c r="V28" s="64" t="str">
        <f t="shared" si="63"/>
        <v xml:space="preserve">								_ =&gt; _.FaxNo,</v>
      </c>
      <c r="W28" s="63" t="str">
        <f t="shared" si="64"/>
        <v xml:space="preserve">				.WhereIf(!string.IsNullOrWhiteSpace(input.FaxNo), e =&gt; e.FaxNo.Contains(input.FaxNo))</v>
      </c>
    </row>
    <row r="29" spans="1:23" customFormat="1" ht="18.75" customHeight="1" x14ac:dyDescent="0.25">
      <c r="A29" s="28" t="s">
        <v>386</v>
      </c>
      <c r="B29" s="28" t="s">
        <v>376</v>
      </c>
      <c r="C29" t="s">
        <v>1</v>
      </c>
      <c r="D29" t="str">
        <f t="shared" ref="D29:D44" si="65">SUBSTITUTE(PROPER(A29),"_","")</f>
        <v>TaxNo</v>
      </c>
      <c r="E29" t="str">
        <f t="shared" ref="E29:E44" si="66">IFERROR(LEFT(B29, FIND("(",B29)-1),B29)</f>
        <v>nvarchar</v>
      </c>
      <c r="F29" s="6"/>
      <c r="G29" t="str">
        <f t="shared" ref="G29:G44" si="67">IFERROR(MID(B29,FIND("(",B29) +1, FIND(")",B29) - FIND("(",B29) - 1),"")</f>
        <v>20</v>
      </c>
      <c r="H29" t="str">
        <f>+VLOOKUP(E29,'Data Type Mapping'!A:B,2,)</f>
        <v>string</v>
      </c>
      <c r="I29" t="str">
        <f t="shared" ref="I29:I44" si="68">IF(H29="string",REPT(CHAR(9),2)&amp;"public const int Max"&amp;D29&amp;"Length = "&amp;G29&amp;";"&amp;$E$3,"" )</f>
        <v xml:space="preserve">		public const int MaxTaxNoLength = 20;
</v>
      </c>
      <c r="J29" t="str">
        <f t="shared" ref="J29:J44" si="69">IF(F29="","",REPT(CHAR(9),2)&amp;"[Column(TypeName="""&amp;F29&amp;""")]"&amp;$E$3)&amp;IF(C29="Checked","",$I$3)&amp;IF(H29="string",REPT(CHAR(9),2)&amp;"[StringLength(Max"&amp;D29&amp;"Length"&amp;")]"&amp;$E$3,"")&amp;REPT(CHAR(9),2)&amp;"public virtual "&amp;H29&amp;IF(C29="?","? "," ")&amp;D29&amp;" { get; set; }" &amp; "
"</f>
        <v xml:space="preserve">		[StringLength(MaxTaxNoLength)]
		public virtual string TaxNo { get; set; }
</v>
      </c>
      <c r="K29" s="6"/>
      <c r="L29" t="str">
        <f t="shared" ref="L29:L44" si="70">IF(K29="","",REPT(CHAR(9),1)&amp;"[Index(nameof("&amp;IF(D29="","",""&amp;D29)&amp;")"&amp;", Name="&amp;"""IX_"&amp;$B$7&amp;"_"&amp;D29&amp;""")]")</f>
        <v/>
      </c>
      <c r="M29" t="str">
        <f t="shared" ref="M29:M44" si="71">REPT(CHAR(9),2)&amp;"public virtual "&amp;IF(OR(H29="DateTime",H29="TimeSpan"),H29&amp;"?",H29)&amp;IF(C29="?","? "," ")&amp;D29&amp;" { get; set; }" &amp; "
"</f>
        <v xml:space="preserve">		public virtual string TaxNo { get; set; }
</v>
      </c>
      <c r="N29" t="str">
        <f t="shared" ref="N29:N44" si="72">IF(C29="Checked","",$I$3)&amp;IF(H29="string",REPT(CHAR(9),2)&amp;"[StringLength("&amp;$B$3&amp;"Consts.Max"&amp;D29&amp;"Length"&amp;")]"&amp;$E$3,"")&amp;REPT(CHAR(9),2)&amp;"public virtual "&amp;IF(OR(H29="DateTime",H29="TimeSpan"),H29&amp;"?",H29)&amp;IF(C29="?","? "," ")&amp;D29&amp;" { get; set; }" &amp; "
"</f>
        <v xml:space="preserve">		[StringLength(MstCmmBusinessParterConsts.MaxTaxNoLength)]
		public virtual string TaxNo { get; set; }
</v>
      </c>
      <c r="O29" t="str">
        <f t="shared" ref="O29:O44" si="73">IF(OR(H29="string",H29="DateTime",H29="int"),REPT(CHAR(9),2)&amp;"public virtual "&amp;IF(OR(H29="DateTime",H29="TimeSpan"),H29&amp;"?",H29)&amp;IF(C29="?","? "," ")&amp;D29&amp;" { get; set; }"&amp;$E$3,"")</f>
        <v xml:space="preserve">		public virtual string TaxNo { get; set; }
</v>
      </c>
      <c r="P29" t="str">
        <f t="shared" ref="P29:P44" si="74">REPT(CHAR(9),7)&amp;D29&amp;" = o." &amp;D29 &amp;","</f>
        <v xml:space="preserve">							TaxNo = o.TaxNo,</v>
      </c>
      <c r="T29" s="63" t="str">
        <f t="shared" ref="T29:T44" si="75">REPT(CHAR(9),8)&amp;"("""&amp;D29&amp;"""),"</f>
        <v xml:space="preserve">								("TaxNo"),</v>
      </c>
      <c r="V29" s="64" t="str">
        <f t="shared" ref="V29:V44" si="76">REPT(CHAR(9),8)&amp;"_ =&gt; _."&amp;D29&amp;","</f>
        <v xml:space="preserve">								_ =&gt; _.TaxNo,</v>
      </c>
      <c r="W29" s="63" t="str">
        <f t="shared" ref="W29:W44" si="77">IF(H29="string",REPT(CHAR(9),4)&amp;".WhereIf(!string.IsNullOrWhiteSpace(input."&amp;D29&amp;"), e =&gt; e."&amp;D29&amp;".Contains(input."&amp;D29&amp;"))",IF(H29="DateTime",REPT(CHAR(9),4)&amp;".WhereIf(input."&amp;D29&amp;".HasValue, t =&gt; t."&amp;D29&amp;" == input."&amp;D29&amp;".Value)",""))</f>
        <v xml:space="preserve">				.WhereIf(!string.IsNullOrWhiteSpace(input.TaxNo), e =&gt; e.TaxNo.Contains(input.TaxNo))</v>
      </c>
    </row>
    <row r="30" spans="1:23" customFormat="1" ht="18.75" customHeight="1" x14ac:dyDescent="0.25">
      <c r="A30" s="28" t="s">
        <v>389</v>
      </c>
      <c r="B30" s="28" t="s">
        <v>364</v>
      </c>
      <c r="C30" t="s">
        <v>1</v>
      </c>
      <c r="D30" t="str">
        <f t="shared" si="65"/>
        <v>TaxCate</v>
      </c>
      <c r="E30" t="str">
        <f t="shared" si="66"/>
        <v>nvarchar</v>
      </c>
      <c r="F30" s="6"/>
      <c r="G30" t="str">
        <f t="shared" si="67"/>
        <v>4</v>
      </c>
      <c r="H30" t="str">
        <f>+VLOOKUP(E30,'Data Type Mapping'!A:B,2,)</f>
        <v>string</v>
      </c>
      <c r="I30" t="str">
        <f t="shared" si="68"/>
        <v xml:space="preserve">		public const int MaxTaxCateLength = 4;
</v>
      </c>
      <c r="J30" t="str">
        <f t="shared" si="69"/>
        <v xml:space="preserve">		[StringLength(MaxTaxCateLength)]
		public virtual string TaxCate { get; set; }
</v>
      </c>
      <c r="K30" s="6"/>
      <c r="L30" t="str">
        <f t="shared" si="70"/>
        <v/>
      </c>
      <c r="M30" t="str">
        <f t="shared" si="71"/>
        <v xml:space="preserve">		public virtual string TaxCate { get; set; }
</v>
      </c>
      <c r="N30" t="str">
        <f t="shared" si="72"/>
        <v xml:space="preserve">		[StringLength(MstCmmBusinessParterConsts.MaxTaxCateLength)]
		public virtual string TaxCate { get; set; }
</v>
      </c>
      <c r="O30" t="str">
        <f t="shared" si="73"/>
        <v xml:space="preserve">		public virtual string TaxCate { get; set; }
</v>
      </c>
      <c r="P30" t="str">
        <f t="shared" si="74"/>
        <v xml:space="preserve">							TaxCate = o.TaxCate,</v>
      </c>
      <c r="T30" s="63" t="str">
        <f t="shared" si="75"/>
        <v xml:space="preserve">								("TaxCate"),</v>
      </c>
      <c r="V30" s="64" t="str">
        <f t="shared" si="76"/>
        <v xml:space="preserve">								_ =&gt; _.TaxCate,</v>
      </c>
      <c r="W30" s="63" t="str">
        <f t="shared" si="77"/>
        <v xml:space="preserve">				.WhereIf(!string.IsNullOrWhiteSpace(input.TaxCate), e =&gt; e.TaxCate.Contains(input.TaxCate))</v>
      </c>
    </row>
    <row r="31" spans="1:23" customFormat="1" ht="18.75" customHeight="1" x14ac:dyDescent="0.25">
      <c r="A31" s="28" t="s">
        <v>390</v>
      </c>
      <c r="B31" s="28" t="s">
        <v>364</v>
      </c>
      <c r="C31" t="s">
        <v>1</v>
      </c>
      <c r="D31" t="str">
        <f t="shared" si="65"/>
        <v>CompanyCode</v>
      </c>
      <c r="E31" t="str">
        <f t="shared" si="66"/>
        <v>nvarchar</v>
      </c>
      <c r="F31" s="6"/>
      <c r="G31" t="str">
        <f t="shared" si="67"/>
        <v>4</v>
      </c>
      <c r="H31" t="str">
        <f>+VLOOKUP(E31,'Data Type Mapping'!A:B,2,)</f>
        <v>string</v>
      </c>
      <c r="I31" t="str">
        <f t="shared" si="68"/>
        <v xml:space="preserve">		public const int MaxCompanyCodeLength = 4;
</v>
      </c>
      <c r="J31" t="str">
        <f t="shared" si="69"/>
        <v xml:space="preserve">		[StringLength(MaxCompanyCodeLength)]
		public virtual string CompanyCode { get; set; }
</v>
      </c>
      <c r="K31" s="6"/>
      <c r="L31" t="str">
        <f t="shared" si="70"/>
        <v/>
      </c>
      <c r="M31" t="str">
        <f t="shared" si="71"/>
        <v xml:space="preserve">		public virtual string CompanyCode { get; set; }
</v>
      </c>
      <c r="N31" t="str">
        <f t="shared" si="72"/>
        <v xml:space="preserve">		[StringLength(MstCmmBusinessParterConsts.MaxCompanyCodeLength)]
		public virtual string CompanyCode { get; set; }
</v>
      </c>
      <c r="O31" t="str">
        <f t="shared" si="73"/>
        <v xml:space="preserve">		public virtual string CompanyCode { get; set; }
</v>
      </c>
      <c r="P31" t="str">
        <f t="shared" si="74"/>
        <v xml:space="preserve">							CompanyCode = o.CompanyCode,</v>
      </c>
      <c r="T31" s="63" t="str">
        <f t="shared" si="75"/>
        <v xml:space="preserve">								("CompanyCode"),</v>
      </c>
      <c r="V31" s="64" t="str">
        <f t="shared" si="76"/>
        <v xml:space="preserve">								_ =&gt; _.CompanyCode,</v>
      </c>
      <c r="W31" s="63" t="str">
        <f t="shared" si="77"/>
        <v xml:space="preserve">				.WhereIf(!string.IsNullOrWhiteSpace(input.CompanyCode), e =&gt; e.CompanyCode.Contains(input.CompanyCode))</v>
      </c>
    </row>
    <row r="32" spans="1:23" customFormat="1" ht="18.75" customHeight="1" x14ac:dyDescent="0.25">
      <c r="A32" s="28" t="s">
        <v>391</v>
      </c>
      <c r="B32" s="28" t="s">
        <v>374</v>
      </c>
      <c r="C32" t="s">
        <v>1</v>
      </c>
      <c r="D32" t="str">
        <f t="shared" si="65"/>
        <v>PaymentMethodCd</v>
      </c>
      <c r="E32" t="str">
        <f t="shared" si="66"/>
        <v>nvarchar</v>
      </c>
      <c r="F32" s="6"/>
      <c r="G32" t="str">
        <f t="shared" si="67"/>
        <v>10</v>
      </c>
      <c r="H32" t="str">
        <f>+VLOOKUP(E32,'Data Type Mapping'!A:B,2,)</f>
        <v>string</v>
      </c>
      <c r="I32" t="str">
        <f t="shared" si="68"/>
        <v xml:space="preserve">		public const int MaxPaymentMethodCdLength = 10;
</v>
      </c>
      <c r="J32" t="str">
        <f t="shared" si="69"/>
        <v xml:space="preserve">		[StringLength(MaxPaymentMethodCdLength)]
		public virtual string PaymentMethodCd { get; set; }
</v>
      </c>
      <c r="K32" s="6"/>
      <c r="L32" t="str">
        <f t="shared" si="70"/>
        <v/>
      </c>
      <c r="M32" t="str">
        <f t="shared" si="71"/>
        <v xml:space="preserve">		public virtual string PaymentMethodCd { get; set; }
</v>
      </c>
      <c r="N32" t="str">
        <f t="shared" si="72"/>
        <v xml:space="preserve">		[StringLength(MstCmmBusinessParterConsts.MaxPaymentMethodCdLength)]
		public virtual string PaymentMethodCd { get; set; }
</v>
      </c>
      <c r="O32" t="str">
        <f t="shared" si="73"/>
        <v xml:space="preserve">		public virtual string PaymentMethodCd { get; set; }
</v>
      </c>
      <c r="P32" t="str">
        <f t="shared" si="74"/>
        <v xml:space="preserve">							PaymentMethodCd = o.PaymentMethodCd,</v>
      </c>
      <c r="T32" s="63" t="str">
        <f t="shared" si="75"/>
        <v xml:space="preserve">								("PaymentMethodCd"),</v>
      </c>
      <c r="V32" s="64" t="str">
        <f t="shared" si="76"/>
        <v xml:space="preserve">								_ =&gt; _.PaymentMethodCd,</v>
      </c>
      <c r="W32" s="63" t="str">
        <f t="shared" si="77"/>
        <v xml:space="preserve">				.WhereIf(!string.IsNullOrWhiteSpace(input.PaymentMethodCd), e =&gt; e.PaymentMethodCd.Contains(input.PaymentMethodCd))</v>
      </c>
    </row>
    <row r="33" spans="1:23" customFormat="1" ht="18.75" customHeight="1" x14ac:dyDescent="0.25">
      <c r="A33" s="28" t="s">
        <v>392</v>
      </c>
      <c r="B33" s="28" t="s">
        <v>388</v>
      </c>
      <c r="C33" t="s">
        <v>1</v>
      </c>
      <c r="D33" t="str">
        <f t="shared" si="65"/>
        <v>PaymentMethodNm</v>
      </c>
      <c r="E33" t="str">
        <f t="shared" si="66"/>
        <v>nvarchar</v>
      </c>
      <c r="F33" s="6"/>
      <c r="G33" t="str">
        <f t="shared" si="67"/>
        <v>30</v>
      </c>
      <c r="H33" t="str">
        <f>+VLOOKUP(E33,'Data Type Mapping'!A:B,2,)</f>
        <v>string</v>
      </c>
      <c r="I33" t="str">
        <f t="shared" si="68"/>
        <v xml:space="preserve">		public const int MaxPaymentMethodNmLength = 30;
</v>
      </c>
      <c r="J33" t="str">
        <f t="shared" si="69"/>
        <v xml:space="preserve">		[StringLength(MaxPaymentMethodNmLength)]
		public virtual string PaymentMethodNm { get; set; }
</v>
      </c>
      <c r="K33" s="6"/>
      <c r="L33" t="str">
        <f t="shared" si="70"/>
        <v/>
      </c>
      <c r="M33" t="str">
        <f t="shared" si="71"/>
        <v xml:space="preserve">		public virtual string PaymentMethodNm { get; set; }
</v>
      </c>
      <c r="N33" t="str">
        <f t="shared" si="72"/>
        <v xml:space="preserve">		[StringLength(MstCmmBusinessParterConsts.MaxPaymentMethodNmLength)]
		public virtual string PaymentMethodNm { get; set; }
</v>
      </c>
      <c r="O33" t="str">
        <f t="shared" si="73"/>
        <v xml:space="preserve">		public virtual string PaymentMethodNm { get; set; }
</v>
      </c>
      <c r="P33" t="str">
        <f t="shared" si="74"/>
        <v xml:space="preserve">							PaymentMethodNm = o.PaymentMethodNm,</v>
      </c>
      <c r="T33" s="63" t="str">
        <f t="shared" si="75"/>
        <v xml:space="preserve">								("PaymentMethodNm"),</v>
      </c>
      <c r="V33" s="64" t="str">
        <f t="shared" si="76"/>
        <v xml:space="preserve">								_ =&gt; _.PaymentMethodNm,</v>
      </c>
      <c r="W33" s="63" t="str">
        <f t="shared" si="77"/>
        <v xml:space="preserve">				.WhereIf(!string.IsNullOrWhiteSpace(input.PaymentMethodNm), e =&gt; e.PaymentMethodNm.Contains(input.PaymentMethodNm))</v>
      </c>
    </row>
    <row r="34" spans="1:23" customFormat="1" ht="18.75" customHeight="1" x14ac:dyDescent="0.25">
      <c r="A34" s="28" t="s">
        <v>393</v>
      </c>
      <c r="B34" s="28" t="s">
        <v>364</v>
      </c>
      <c r="C34" t="s">
        <v>1</v>
      </c>
      <c r="D34" t="str">
        <f t="shared" si="65"/>
        <v>PaymentTermCd</v>
      </c>
      <c r="E34" t="str">
        <f t="shared" si="66"/>
        <v>nvarchar</v>
      </c>
      <c r="F34" s="6"/>
      <c r="G34" t="str">
        <f t="shared" si="67"/>
        <v>4</v>
      </c>
      <c r="H34" t="str">
        <f>+VLOOKUP(E34,'Data Type Mapping'!A:B,2,)</f>
        <v>string</v>
      </c>
      <c r="I34" t="str">
        <f t="shared" si="68"/>
        <v xml:space="preserve">		public const int MaxPaymentTermCdLength = 4;
</v>
      </c>
      <c r="J34" t="str">
        <f t="shared" si="69"/>
        <v xml:space="preserve">		[StringLength(MaxPaymentTermCdLength)]
		public virtual string PaymentTermCd { get; set; }
</v>
      </c>
      <c r="K34" s="6"/>
      <c r="L34" t="str">
        <f t="shared" si="70"/>
        <v/>
      </c>
      <c r="M34" t="str">
        <f t="shared" si="71"/>
        <v xml:space="preserve">		public virtual string PaymentTermCd { get; set; }
</v>
      </c>
      <c r="N34" t="str">
        <f t="shared" si="72"/>
        <v xml:space="preserve">		[StringLength(MstCmmBusinessParterConsts.MaxPaymentTermCdLength)]
		public virtual string PaymentTermCd { get; set; }
</v>
      </c>
      <c r="O34" t="str">
        <f t="shared" si="73"/>
        <v xml:space="preserve">		public virtual string PaymentTermCd { get; set; }
</v>
      </c>
      <c r="P34" t="str">
        <f t="shared" si="74"/>
        <v xml:space="preserve">							PaymentTermCd = o.PaymentTermCd,</v>
      </c>
      <c r="T34" s="63" t="str">
        <f t="shared" si="75"/>
        <v xml:space="preserve">								("PaymentTermCd"),</v>
      </c>
      <c r="V34" s="64" t="str">
        <f t="shared" si="76"/>
        <v xml:space="preserve">								_ =&gt; _.PaymentTermCd,</v>
      </c>
      <c r="W34" s="63" t="str">
        <f t="shared" si="77"/>
        <v xml:space="preserve">				.WhereIf(!string.IsNullOrWhiteSpace(input.PaymentTermCd), e =&gt; e.PaymentTermCd.Contains(input.PaymentTermCd))</v>
      </c>
    </row>
    <row r="35" spans="1:23" customFormat="1" ht="18.75" customHeight="1" x14ac:dyDescent="0.25">
      <c r="A35" s="28" t="s">
        <v>394</v>
      </c>
      <c r="B35" s="28" t="s">
        <v>395</v>
      </c>
      <c r="C35" t="s">
        <v>1</v>
      </c>
      <c r="D35" t="str">
        <f t="shared" si="65"/>
        <v>PaymentTermNm</v>
      </c>
      <c r="E35" t="str">
        <f t="shared" si="66"/>
        <v>nvarchar</v>
      </c>
      <c r="F35" s="6"/>
      <c r="G35" t="str">
        <f t="shared" si="67"/>
        <v>50</v>
      </c>
      <c r="H35" t="str">
        <f>+VLOOKUP(E35,'Data Type Mapping'!A:B,2,)</f>
        <v>string</v>
      </c>
      <c r="I35" t="str">
        <f t="shared" si="68"/>
        <v xml:space="preserve">		public const int MaxPaymentTermNmLength = 50;
</v>
      </c>
      <c r="J35" t="str">
        <f t="shared" si="69"/>
        <v xml:space="preserve">		[StringLength(MaxPaymentTermNmLength)]
		public virtual string PaymentTermNm { get; set; }
</v>
      </c>
      <c r="K35" s="6"/>
      <c r="L35" t="str">
        <f t="shared" si="70"/>
        <v/>
      </c>
      <c r="M35" t="str">
        <f t="shared" si="71"/>
        <v xml:space="preserve">		public virtual string PaymentTermNm { get; set; }
</v>
      </c>
      <c r="N35" t="str">
        <f t="shared" si="72"/>
        <v xml:space="preserve">		[StringLength(MstCmmBusinessParterConsts.MaxPaymentTermNmLength)]
		public virtual string PaymentTermNm { get; set; }
</v>
      </c>
      <c r="O35" t="str">
        <f t="shared" si="73"/>
        <v xml:space="preserve">		public virtual string PaymentTermNm { get; set; }
</v>
      </c>
      <c r="P35" t="str">
        <f t="shared" si="74"/>
        <v xml:space="preserve">							PaymentTermNm = o.PaymentTermNm,</v>
      </c>
      <c r="T35" s="63" t="str">
        <f t="shared" si="75"/>
        <v xml:space="preserve">								("PaymentTermNm"),</v>
      </c>
      <c r="V35" s="64" t="str">
        <f t="shared" si="76"/>
        <v xml:space="preserve">								_ =&gt; _.PaymentTermNm,</v>
      </c>
      <c r="W35" s="63" t="str">
        <f t="shared" si="77"/>
        <v xml:space="preserve">				.WhereIf(!string.IsNullOrWhiteSpace(input.PaymentTermNm), e =&gt; e.PaymentTermNm.Contains(input.PaymentTermNm))</v>
      </c>
    </row>
    <row r="36" spans="1:23" customFormat="1" ht="18.75" customHeight="1" x14ac:dyDescent="0.25">
      <c r="A36" s="28" t="s">
        <v>396</v>
      </c>
      <c r="B36" s="28" t="s">
        <v>387</v>
      </c>
      <c r="C36" t="s">
        <v>1</v>
      </c>
      <c r="D36" t="str">
        <f t="shared" si="65"/>
        <v>OrderCurrency</v>
      </c>
      <c r="E36" t="str">
        <f t="shared" si="66"/>
        <v>nvarchar</v>
      </c>
      <c r="F36" s="6"/>
      <c r="G36" t="str">
        <f t="shared" si="67"/>
        <v>3</v>
      </c>
      <c r="H36" t="str">
        <f>+VLOOKUP(E36,'Data Type Mapping'!A:B,2,)</f>
        <v>string</v>
      </c>
      <c r="I36" t="str">
        <f t="shared" si="68"/>
        <v xml:space="preserve">		public const int MaxOrderCurrencyLength = 3;
</v>
      </c>
      <c r="J36" t="str">
        <f t="shared" si="69"/>
        <v xml:space="preserve">		[StringLength(MaxOrderCurrencyLength)]
		public virtual string OrderCurrency { get; set; }
</v>
      </c>
      <c r="K36" s="6"/>
      <c r="L36" t="str">
        <f t="shared" si="70"/>
        <v/>
      </c>
      <c r="M36" t="str">
        <f t="shared" si="71"/>
        <v xml:space="preserve">		public virtual string OrderCurrency { get; set; }
</v>
      </c>
      <c r="N36" t="str">
        <f t="shared" si="72"/>
        <v xml:space="preserve">		[StringLength(MstCmmBusinessParterConsts.MaxOrderCurrencyLength)]
		public virtual string OrderCurrency { get; set; }
</v>
      </c>
      <c r="O36" t="str">
        <f t="shared" si="73"/>
        <v xml:space="preserve">		public virtual string OrderCurrency { get; set; }
</v>
      </c>
      <c r="P36" t="str">
        <f t="shared" si="74"/>
        <v xml:space="preserve">							OrderCurrency = o.OrderCurrency,</v>
      </c>
      <c r="T36" s="63" t="str">
        <f t="shared" si="75"/>
        <v xml:space="preserve">								("OrderCurrency"),</v>
      </c>
      <c r="V36" s="64" t="str">
        <f t="shared" si="76"/>
        <v xml:space="preserve">								_ =&gt; _.OrderCurrency,</v>
      </c>
      <c r="W36" s="63" t="str">
        <f t="shared" si="77"/>
        <v xml:space="preserve">				.WhereIf(!string.IsNullOrWhiteSpace(input.OrderCurrency), e =&gt; e.OrderCurrency.Contains(input.OrderCurrency))</v>
      </c>
    </row>
    <row r="37" spans="1:23" customFormat="1" ht="18.75" customHeight="1" x14ac:dyDescent="0.25">
      <c r="A37" s="28" t="s">
        <v>397</v>
      </c>
      <c r="B37" s="28" t="s">
        <v>388</v>
      </c>
      <c r="C37" t="s">
        <v>1</v>
      </c>
      <c r="D37" t="str">
        <f t="shared" si="65"/>
        <v>TypeOfIndustry</v>
      </c>
      <c r="E37" t="str">
        <f t="shared" si="66"/>
        <v>nvarchar</v>
      </c>
      <c r="F37" s="6"/>
      <c r="G37" t="str">
        <f t="shared" si="67"/>
        <v>30</v>
      </c>
      <c r="H37" t="str">
        <f>+VLOOKUP(E37,'Data Type Mapping'!A:B,2,)</f>
        <v>string</v>
      </c>
      <c r="I37" t="str">
        <f t="shared" si="68"/>
        <v xml:space="preserve">		public const int MaxTypeOfIndustryLength = 30;
</v>
      </c>
      <c r="J37" t="str">
        <f t="shared" si="69"/>
        <v xml:space="preserve">		[StringLength(MaxTypeOfIndustryLength)]
		public virtual string TypeOfIndustry { get; set; }
</v>
      </c>
      <c r="K37" s="6"/>
      <c r="L37" t="str">
        <f t="shared" si="70"/>
        <v/>
      </c>
      <c r="M37" t="str">
        <f t="shared" si="71"/>
        <v xml:space="preserve">		public virtual string TypeOfIndustry { get; set; }
</v>
      </c>
      <c r="N37" t="str">
        <f t="shared" si="72"/>
        <v xml:space="preserve">		[StringLength(MstCmmBusinessParterConsts.MaxTypeOfIndustryLength)]
		public virtual string TypeOfIndustry { get; set; }
</v>
      </c>
      <c r="O37" t="str">
        <f t="shared" si="73"/>
        <v xml:space="preserve">		public virtual string TypeOfIndustry { get; set; }
</v>
      </c>
      <c r="P37" t="str">
        <f t="shared" si="74"/>
        <v xml:space="preserve">							TypeOfIndustry = o.TypeOfIndustry,</v>
      </c>
      <c r="T37" s="63" t="str">
        <f t="shared" si="75"/>
        <v xml:space="preserve">								("TypeOfIndustry"),</v>
      </c>
      <c r="V37" s="64" t="str">
        <f t="shared" si="76"/>
        <v xml:space="preserve">								_ =&gt; _.TypeOfIndustry,</v>
      </c>
      <c r="W37" s="63" t="str">
        <f t="shared" si="77"/>
        <v xml:space="preserve">				.WhereIf(!string.IsNullOrWhiteSpace(input.TypeOfIndustry), e =&gt; e.TypeOfIndustry.Contains(input.TypeOfIndustry))</v>
      </c>
    </row>
    <row r="38" spans="1:23" customFormat="1" ht="18.75" customHeight="1" x14ac:dyDescent="0.25">
      <c r="A38" s="28" t="s">
        <v>398</v>
      </c>
      <c r="B38" s="28" t="s">
        <v>374</v>
      </c>
      <c r="C38" t="s">
        <v>1</v>
      </c>
      <c r="D38" t="str">
        <f t="shared" si="65"/>
        <v>PreviousMasterRecordNumber</v>
      </c>
      <c r="E38" t="str">
        <f t="shared" si="66"/>
        <v>nvarchar</v>
      </c>
      <c r="F38" s="6"/>
      <c r="G38" t="str">
        <f t="shared" si="67"/>
        <v>10</v>
      </c>
      <c r="H38" t="str">
        <f>+VLOOKUP(E38,'Data Type Mapping'!A:B,2,)</f>
        <v>string</v>
      </c>
      <c r="I38" t="str">
        <f t="shared" si="68"/>
        <v xml:space="preserve">		public const int MaxPreviousMasterRecordNumberLength = 10;
</v>
      </c>
      <c r="J38" t="str">
        <f t="shared" si="69"/>
        <v xml:space="preserve">		[StringLength(MaxPreviousMasterRecordNumberLength)]
		public virtual string PreviousMasterRecordNumber { get; set; }
</v>
      </c>
      <c r="K38" s="6"/>
      <c r="L38" t="str">
        <f t="shared" si="70"/>
        <v/>
      </c>
      <c r="M38" t="str">
        <f t="shared" si="71"/>
        <v xml:space="preserve">		public virtual string PreviousMasterRecordNumber { get; set; }
</v>
      </c>
      <c r="N38" t="str">
        <f t="shared" si="72"/>
        <v xml:space="preserve">		[StringLength(MstCmmBusinessParterConsts.MaxPreviousMasterRecordNumberLength)]
		public virtual string PreviousMasterRecordNumber { get; set; }
</v>
      </c>
      <c r="O38" t="str">
        <f t="shared" si="73"/>
        <v xml:space="preserve">		public virtual string PreviousMasterRecordNumber { get; set; }
</v>
      </c>
      <c r="P38" t="str">
        <f t="shared" si="74"/>
        <v xml:space="preserve">							PreviousMasterRecordNumber = o.PreviousMasterRecordNumber,</v>
      </c>
      <c r="T38" s="63" t="str">
        <f t="shared" si="75"/>
        <v xml:space="preserve">								("PreviousMasterRecordNumber"),</v>
      </c>
      <c r="V38" s="64" t="str">
        <f t="shared" si="76"/>
        <v xml:space="preserve">								_ =&gt; _.PreviousMasterRecordNumber,</v>
      </c>
      <c r="W38" s="63" t="str">
        <f t="shared" si="77"/>
        <v xml:space="preserve">				.WhereIf(!string.IsNullOrWhiteSpace(input.PreviousMasterRecordNumber), e =&gt; e.PreviousMasterRecordNumber.Contains(input.PreviousMasterRecordNumber))</v>
      </c>
    </row>
    <row r="39" spans="1:23" customFormat="1" ht="18.75" customHeight="1" x14ac:dyDescent="0.25">
      <c r="A39" s="28" t="s">
        <v>399</v>
      </c>
      <c r="B39" s="28" t="s">
        <v>351</v>
      </c>
      <c r="C39" t="s">
        <v>1</v>
      </c>
      <c r="D39" t="str">
        <f t="shared" si="65"/>
        <v>TextIdTitle</v>
      </c>
      <c r="E39" t="str">
        <f t="shared" si="66"/>
        <v>nvarchar</v>
      </c>
      <c r="F39" s="6"/>
      <c r="G39" t="str">
        <f t="shared" si="67"/>
        <v>40</v>
      </c>
      <c r="H39" t="str">
        <f>+VLOOKUP(E39,'Data Type Mapping'!A:B,2,)</f>
        <v>string</v>
      </c>
      <c r="I39" t="str">
        <f t="shared" si="68"/>
        <v xml:space="preserve">		public const int MaxTextIdTitleLength = 40;
</v>
      </c>
      <c r="J39" t="str">
        <f t="shared" si="69"/>
        <v xml:space="preserve">		[StringLength(MaxTextIdTitleLength)]
		public virtual string TextIdTitle { get; set; }
</v>
      </c>
      <c r="K39" s="6"/>
      <c r="L39" t="str">
        <f t="shared" si="70"/>
        <v/>
      </c>
      <c r="M39" t="str">
        <f t="shared" si="71"/>
        <v xml:space="preserve">		public virtual string TextIdTitle { get; set; }
</v>
      </c>
      <c r="N39" t="str">
        <f t="shared" si="72"/>
        <v xml:space="preserve">		[StringLength(MstCmmBusinessParterConsts.MaxTextIdTitleLength)]
		public virtual string TextIdTitle { get; set; }
</v>
      </c>
      <c r="O39" t="str">
        <f t="shared" si="73"/>
        <v xml:space="preserve">		public virtual string TextIdTitle { get; set; }
</v>
      </c>
      <c r="P39" t="str">
        <f t="shared" si="74"/>
        <v xml:space="preserve">							TextIdTitle = o.TextIdTitle,</v>
      </c>
      <c r="T39" s="63" t="str">
        <f t="shared" si="75"/>
        <v xml:space="preserve">								("TextIdTitle"),</v>
      </c>
      <c r="V39" s="64" t="str">
        <f t="shared" si="76"/>
        <v xml:space="preserve">								_ =&gt; _.TextIdTitle,</v>
      </c>
      <c r="W39" s="63" t="str">
        <f t="shared" si="77"/>
        <v xml:space="preserve">				.WhereIf(!string.IsNullOrWhiteSpace(input.TextIdTitle), e =&gt; e.TextIdTitle.Contains(input.TextIdTitle))</v>
      </c>
    </row>
    <row r="40" spans="1:23" customFormat="1" ht="18.75" customHeight="1" x14ac:dyDescent="0.25">
      <c r="A40" s="28" t="s">
        <v>400</v>
      </c>
      <c r="B40" s="28" t="s">
        <v>364</v>
      </c>
      <c r="C40" t="s">
        <v>1</v>
      </c>
      <c r="D40" t="str">
        <f t="shared" si="65"/>
        <v>UniqueBankId</v>
      </c>
      <c r="E40" t="str">
        <f t="shared" si="66"/>
        <v>nvarchar</v>
      </c>
      <c r="F40" s="6"/>
      <c r="G40" t="str">
        <f t="shared" si="67"/>
        <v>4</v>
      </c>
      <c r="H40" t="str">
        <f>+VLOOKUP(E40,'Data Type Mapping'!A:B,2,)</f>
        <v>string</v>
      </c>
      <c r="I40" t="str">
        <f t="shared" si="68"/>
        <v xml:space="preserve">		public const int MaxUniqueBankIdLength = 4;
</v>
      </c>
      <c r="J40" t="str">
        <f t="shared" si="69"/>
        <v xml:space="preserve">		[StringLength(MaxUniqueBankIdLength)]
		public virtual string UniqueBankId { get; set; }
</v>
      </c>
      <c r="K40" s="6"/>
      <c r="L40" t="str">
        <f t="shared" si="70"/>
        <v/>
      </c>
      <c r="M40" t="str">
        <f t="shared" si="71"/>
        <v xml:space="preserve">		public virtual string UniqueBankId { get; set; }
</v>
      </c>
      <c r="N40" t="str">
        <f t="shared" si="72"/>
        <v xml:space="preserve">		[StringLength(MstCmmBusinessParterConsts.MaxUniqueBankIdLength)]
		public virtual string UniqueBankId { get; set; }
</v>
      </c>
      <c r="O40" t="str">
        <f t="shared" si="73"/>
        <v xml:space="preserve">		public virtual string UniqueBankId { get; set; }
</v>
      </c>
      <c r="P40" t="str">
        <f t="shared" si="74"/>
        <v xml:space="preserve">							UniqueBankId = o.UniqueBankId,</v>
      </c>
      <c r="T40" s="63" t="str">
        <f t="shared" si="75"/>
        <v xml:space="preserve">								("UniqueBankId"),</v>
      </c>
      <c r="V40" s="64" t="str">
        <f t="shared" si="76"/>
        <v xml:space="preserve">								_ =&gt; _.UniqueBankId,</v>
      </c>
      <c r="W40" s="63" t="str">
        <f t="shared" si="77"/>
        <v xml:space="preserve">				.WhereIf(!string.IsNullOrWhiteSpace(input.UniqueBankId), e =&gt; e.UniqueBankId.Contains(input.UniqueBankId))</v>
      </c>
    </row>
    <row r="41" spans="1:23" customFormat="1" ht="18.75" customHeight="1" x14ac:dyDescent="0.25">
      <c r="A41" s="28" t="s">
        <v>401</v>
      </c>
      <c r="B41" s="28" t="s">
        <v>402</v>
      </c>
      <c r="C41" t="s">
        <v>1</v>
      </c>
      <c r="D41" t="str">
        <f t="shared" si="65"/>
        <v>SuppBankKey</v>
      </c>
      <c r="E41" t="str">
        <f t="shared" si="66"/>
        <v>nvarchar</v>
      </c>
      <c r="F41" s="6"/>
      <c r="G41" t="str">
        <f t="shared" si="67"/>
        <v>15</v>
      </c>
      <c r="H41" t="str">
        <f>+VLOOKUP(E41,'Data Type Mapping'!A:B,2,)</f>
        <v>string</v>
      </c>
      <c r="I41" t="str">
        <f t="shared" si="68"/>
        <v xml:space="preserve">		public const int MaxSuppBankKeyLength = 15;
</v>
      </c>
      <c r="J41" t="str">
        <f t="shared" si="69"/>
        <v xml:space="preserve">		[StringLength(MaxSuppBankKeyLength)]
		public virtual string SuppBankKey { get; set; }
</v>
      </c>
      <c r="K41" s="6"/>
      <c r="L41" t="str">
        <f t="shared" si="70"/>
        <v/>
      </c>
      <c r="M41" t="str">
        <f t="shared" si="71"/>
        <v xml:space="preserve">		public virtual string SuppBankKey { get; set; }
</v>
      </c>
      <c r="N41" t="str">
        <f t="shared" si="72"/>
        <v xml:space="preserve">		[StringLength(MstCmmBusinessParterConsts.MaxSuppBankKeyLength)]
		public virtual string SuppBankKey { get; set; }
</v>
      </c>
      <c r="O41" t="str">
        <f t="shared" si="73"/>
        <v xml:space="preserve">		public virtual string SuppBankKey { get; set; }
</v>
      </c>
      <c r="P41" t="str">
        <f t="shared" si="74"/>
        <v xml:space="preserve">							SuppBankKey = o.SuppBankKey,</v>
      </c>
      <c r="T41" s="63" t="str">
        <f t="shared" si="75"/>
        <v xml:space="preserve">								("SuppBankKey"),</v>
      </c>
      <c r="V41" s="64" t="str">
        <f t="shared" si="76"/>
        <v xml:space="preserve">								_ =&gt; _.SuppBankKey,</v>
      </c>
      <c r="W41" s="63" t="str">
        <f t="shared" si="77"/>
        <v xml:space="preserve">				.WhereIf(!string.IsNullOrWhiteSpace(input.SuppBankKey), e =&gt; e.SuppBankKey.Contains(input.SuppBankKey))</v>
      </c>
    </row>
    <row r="42" spans="1:23" customFormat="1" ht="18.75" customHeight="1" x14ac:dyDescent="0.25">
      <c r="A42" s="28" t="s">
        <v>403</v>
      </c>
      <c r="B42" s="28" t="s">
        <v>387</v>
      </c>
      <c r="C42" t="s">
        <v>1</v>
      </c>
      <c r="D42" t="str">
        <f t="shared" si="65"/>
        <v>SuppBankCountry</v>
      </c>
      <c r="E42" t="str">
        <f t="shared" si="66"/>
        <v>nvarchar</v>
      </c>
      <c r="F42" s="6"/>
      <c r="G42" t="str">
        <f t="shared" si="67"/>
        <v>3</v>
      </c>
      <c r="H42" t="str">
        <f>+VLOOKUP(E42,'Data Type Mapping'!A:B,2,)</f>
        <v>string</v>
      </c>
      <c r="I42" t="str">
        <f t="shared" si="68"/>
        <v xml:space="preserve">		public const int MaxSuppBankCountryLength = 3;
</v>
      </c>
      <c r="J42" t="str">
        <f t="shared" si="69"/>
        <v xml:space="preserve">		[StringLength(MaxSuppBankCountryLength)]
		public virtual string SuppBankCountry { get; set; }
</v>
      </c>
      <c r="K42" s="6"/>
      <c r="L42" t="str">
        <f t="shared" si="70"/>
        <v/>
      </c>
      <c r="M42" t="str">
        <f t="shared" si="71"/>
        <v xml:space="preserve">		public virtual string SuppBankCountry { get; set; }
</v>
      </c>
      <c r="N42" t="str">
        <f t="shared" si="72"/>
        <v xml:space="preserve">		[StringLength(MstCmmBusinessParterConsts.MaxSuppBankCountryLength)]
		public virtual string SuppBankCountry { get; set; }
</v>
      </c>
      <c r="O42" t="str">
        <f t="shared" si="73"/>
        <v xml:space="preserve">		public virtual string SuppBankCountry { get; set; }
</v>
      </c>
      <c r="P42" t="str">
        <f t="shared" si="74"/>
        <v xml:space="preserve">							SuppBankCountry = o.SuppBankCountry,</v>
      </c>
      <c r="T42" s="63" t="str">
        <f t="shared" si="75"/>
        <v xml:space="preserve">								("SuppBankCountry"),</v>
      </c>
      <c r="V42" s="64" t="str">
        <f t="shared" si="76"/>
        <v xml:space="preserve">								_ =&gt; _.SuppBankCountry,</v>
      </c>
      <c r="W42" s="63" t="str">
        <f t="shared" si="77"/>
        <v xml:space="preserve">				.WhereIf(!string.IsNullOrWhiteSpace(input.SuppBankCountry), e =&gt; e.SuppBankCountry.Contains(input.SuppBankCountry))</v>
      </c>
    </row>
    <row r="43" spans="1:23" customFormat="1" ht="18.75" customHeight="1" x14ac:dyDescent="0.25">
      <c r="A43" s="28" t="s">
        <v>404</v>
      </c>
      <c r="B43" s="28" t="s">
        <v>407</v>
      </c>
      <c r="C43" t="s">
        <v>1</v>
      </c>
      <c r="D43" t="str">
        <f t="shared" si="65"/>
        <v>SuppAccount</v>
      </c>
      <c r="E43" t="str">
        <f t="shared" si="66"/>
        <v>nvarchar</v>
      </c>
      <c r="F43" s="6"/>
      <c r="G43" t="str">
        <f t="shared" si="67"/>
        <v>18</v>
      </c>
      <c r="H43" t="str">
        <f>+VLOOKUP(E43,'Data Type Mapping'!A:B,2,)</f>
        <v>string</v>
      </c>
      <c r="I43" t="str">
        <f t="shared" si="68"/>
        <v xml:space="preserve">		public const int MaxSuppAccountLength = 18;
</v>
      </c>
      <c r="J43" t="str">
        <f t="shared" si="69"/>
        <v xml:space="preserve">		[StringLength(MaxSuppAccountLength)]
		public virtual string SuppAccount { get; set; }
</v>
      </c>
      <c r="K43" s="6"/>
      <c r="L43" t="str">
        <f t="shared" si="70"/>
        <v/>
      </c>
      <c r="M43" t="str">
        <f t="shared" si="71"/>
        <v xml:space="preserve">		public virtual string SuppAccount { get; set; }
</v>
      </c>
      <c r="N43" t="str">
        <f t="shared" si="72"/>
        <v xml:space="preserve">		[StringLength(MstCmmBusinessParterConsts.MaxSuppAccountLength)]
		public virtual string SuppAccount { get; set; }
</v>
      </c>
      <c r="O43" t="str">
        <f t="shared" si="73"/>
        <v xml:space="preserve">		public virtual string SuppAccount { get; set; }
</v>
      </c>
      <c r="P43" t="str">
        <f t="shared" si="74"/>
        <v xml:space="preserve">							SuppAccount = o.SuppAccount,</v>
      </c>
      <c r="T43" s="63" t="str">
        <f t="shared" si="75"/>
        <v xml:space="preserve">								("SuppAccount"),</v>
      </c>
      <c r="V43" s="64" t="str">
        <f t="shared" si="76"/>
        <v xml:space="preserve">								_ =&gt; _.SuppAccount,</v>
      </c>
      <c r="W43" s="63" t="str">
        <f t="shared" si="77"/>
        <v xml:space="preserve">				.WhereIf(!string.IsNullOrWhiteSpace(input.SuppAccount), e =&gt; e.SuppAccount.Contains(input.SuppAccount))</v>
      </c>
    </row>
    <row r="44" spans="1:23" customFormat="1" ht="18.75" customHeight="1" x14ac:dyDescent="0.25">
      <c r="A44" s="28" t="s">
        <v>405</v>
      </c>
      <c r="B44" s="28" t="s">
        <v>408</v>
      </c>
      <c r="C44" t="s">
        <v>1</v>
      </c>
      <c r="D44" t="str">
        <f t="shared" si="65"/>
        <v>AccountHolder</v>
      </c>
      <c r="E44" t="str">
        <f t="shared" si="66"/>
        <v>nvarchar</v>
      </c>
      <c r="F44" s="6"/>
      <c r="G44" t="str">
        <f t="shared" si="67"/>
        <v>60</v>
      </c>
      <c r="H44" t="str">
        <f>+VLOOKUP(E44,'Data Type Mapping'!A:B,2,)</f>
        <v>string</v>
      </c>
      <c r="I44" t="str">
        <f t="shared" si="68"/>
        <v xml:space="preserve">		public const int MaxAccountHolderLength = 60;
</v>
      </c>
      <c r="J44" t="str">
        <f t="shared" si="69"/>
        <v xml:space="preserve">		[StringLength(MaxAccountHolderLength)]
		public virtual string AccountHolder { get; set; }
</v>
      </c>
      <c r="K44" s="6"/>
      <c r="L44" t="str">
        <f t="shared" si="70"/>
        <v/>
      </c>
      <c r="M44" t="str">
        <f t="shared" si="71"/>
        <v xml:space="preserve">		public virtual string AccountHolder { get; set; }
</v>
      </c>
      <c r="N44" t="str">
        <f t="shared" si="72"/>
        <v xml:space="preserve">		[StringLength(MstCmmBusinessParterConsts.MaxAccountHolderLength)]
		public virtual string AccountHolder { get; set; }
</v>
      </c>
      <c r="O44" t="str">
        <f t="shared" si="73"/>
        <v xml:space="preserve">		public virtual string AccountHolder { get; set; }
</v>
      </c>
      <c r="P44" t="str">
        <f t="shared" si="74"/>
        <v xml:space="preserve">							AccountHolder = o.AccountHolder,</v>
      </c>
      <c r="T44" s="63" t="str">
        <f t="shared" si="75"/>
        <v xml:space="preserve">								("AccountHolder"),</v>
      </c>
      <c r="V44" s="64" t="str">
        <f t="shared" si="76"/>
        <v xml:space="preserve">								_ =&gt; _.AccountHolder,</v>
      </c>
      <c r="W44" s="63" t="str">
        <f t="shared" si="77"/>
        <v xml:space="preserve">				.WhereIf(!string.IsNullOrWhiteSpace(input.AccountHolder), e =&gt; e.AccountHolder.Contains(input.AccountHolder))</v>
      </c>
    </row>
    <row r="45" spans="1:23" customFormat="1" ht="18.75" customHeight="1" x14ac:dyDescent="0.25">
      <c r="A45" s="28" t="s">
        <v>406</v>
      </c>
      <c r="B45" s="28" t="s">
        <v>351</v>
      </c>
      <c r="C45" t="s">
        <v>1</v>
      </c>
      <c r="D45" t="str">
        <f t="shared" ref="D45:D51" si="78">SUBSTITUTE(PROPER(A45),"_","")</f>
        <v>Accname</v>
      </c>
      <c r="E45" t="str">
        <f t="shared" ref="E45:E51" si="79">IFERROR(LEFT(B45, FIND("(",B45)-1),B45)</f>
        <v>nvarchar</v>
      </c>
      <c r="F45" s="6"/>
      <c r="G45" t="str">
        <f t="shared" ref="G45:G51" si="80">IFERROR(MID(B45,FIND("(",B45) +1, FIND(")",B45) - FIND("(",B45) - 1),"")</f>
        <v>40</v>
      </c>
      <c r="H45" t="str">
        <f>+VLOOKUP(E45,'Data Type Mapping'!A:B,2,)</f>
        <v>string</v>
      </c>
      <c r="I45" t="str">
        <f t="shared" ref="I45:I51" si="81">IF(H45="string",REPT(CHAR(9),2)&amp;"public const int Max"&amp;D45&amp;"Length = "&amp;G45&amp;";"&amp;$E$3,"" )</f>
        <v xml:space="preserve">		public const int MaxAccnameLength = 40;
</v>
      </c>
      <c r="J45" t="str">
        <f t="shared" ref="J45:J51" si="82">IF(F45="","",REPT(CHAR(9),2)&amp;"[Column(TypeName="""&amp;F45&amp;""")]"&amp;$E$3)&amp;IF(C45="Checked","",$I$3)&amp;IF(H45="string",REPT(CHAR(9),2)&amp;"[StringLength(Max"&amp;D45&amp;"Length"&amp;")]"&amp;$E$3,"")&amp;REPT(CHAR(9),2)&amp;"public virtual "&amp;H45&amp;IF(C45="?","? "," ")&amp;D45&amp;" { get; set; }" &amp; "
"</f>
        <v xml:space="preserve">		[StringLength(MaxAccnameLength)]
		public virtual string Accname { get; set; }
</v>
      </c>
      <c r="K45" s="6"/>
      <c r="L45" t="str">
        <f t="shared" ref="L45:L51" si="83">IF(K45="","",REPT(CHAR(9),1)&amp;"[Index(nameof("&amp;IF(D45="","",""&amp;D45)&amp;")"&amp;", Name="&amp;"""IX_"&amp;$B$7&amp;"_"&amp;D45&amp;""")]")</f>
        <v/>
      </c>
      <c r="M45" t="str">
        <f t="shared" ref="M45:M51" si="84">REPT(CHAR(9),2)&amp;"public virtual "&amp;IF(OR(H45="DateTime",H45="TimeSpan"),H45&amp;"?",H45)&amp;IF(C45="?","? "," ")&amp;D45&amp;" { get; set; }" &amp; "
"</f>
        <v xml:space="preserve">		public virtual string Accname { get; set; }
</v>
      </c>
      <c r="N45" t="str">
        <f t="shared" ref="N45:N51" si="85">IF(C45="Checked","",$I$3)&amp;IF(H45="string",REPT(CHAR(9),2)&amp;"[StringLength("&amp;$B$3&amp;"Consts.Max"&amp;D45&amp;"Length"&amp;")]"&amp;$E$3,"")&amp;REPT(CHAR(9),2)&amp;"public virtual "&amp;IF(OR(H45="DateTime",H45="TimeSpan"),H45&amp;"?",H45)&amp;IF(C45="?","? "," ")&amp;D45&amp;" { get; set; }" &amp; "
"</f>
        <v xml:space="preserve">		[StringLength(MstCmmBusinessParterConsts.MaxAccnameLength)]
		public virtual string Accname { get; set; }
</v>
      </c>
      <c r="O45" t="str">
        <f t="shared" ref="O45:O51" si="86">IF(OR(H45="string",H45="DateTime",H45="int"),REPT(CHAR(9),2)&amp;"public virtual "&amp;IF(OR(H45="DateTime",H45="TimeSpan"),H45&amp;"?",H45)&amp;IF(C45="?","? "," ")&amp;D45&amp;" { get; set; }"&amp;$E$3,"")</f>
        <v xml:space="preserve">		public virtual string Accname { get; set; }
</v>
      </c>
      <c r="P45" t="str">
        <f t="shared" ref="P45:P51" si="87">REPT(CHAR(9),7)&amp;D45&amp;" = o." &amp;D45 &amp;","</f>
        <v xml:space="preserve">							Accname = o.Accname,</v>
      </c>
      <c r="T45" s="63" t="str">
        <f t="shared" ref="T45:T51" si="88">REPT(CHAR(9),8)&amp;"("""&amp;D45&amp;"""),"</f>
        <v xml:space="preserve">								("Accname"),</v>
      </c>
      <c r="V45" s="64" t="str">
        <f t="shared" ref="V45:V51" si="89">REPT(CHAR(9),8)&amp;"_ =&gt; _."&amp;D45&amp;","</f>
        <v xml:space="preserve">								_ =&gt; _.Accname,</v>
      </c>
      <c r="W45" s="63" t="str">
        <f t="shared" ref="W45:W51" si="90">IF(H45="string",REPT(CHAR(9),4)&amp;".WhereIf(!string.IsNullOrWhiteSpace(input."&amp;D45&amp;"), e =&gt; e."&amp;D45&amp;".Contains(input."&amp;D45&amp;"))",IF(H45="DateTime",REPT(CHAR(9),4)&amp;".WhereIf(input."&amp;D45&amp;".HasValue, t =&gt; t."&amp;D45&amp;" == input."&amp;D45&amp;".Value)",""))</f>
        <v xml:space="preserve">				.WhereIf(!string.IsNullOrWhiteSpace(input.Accname), e =&gt; e.Accname.Contains(input.Accname))</v>
      </c>
    </row>
    <row r="46" spans="1:23" customFormat="1" ht="18.75" customHeight="1" x14ac:dyDescent="0.25">
      <c r="A46" s="28" t="s">
        <v>409</v>
      </c>
      <c r="B46" s="28" t="s">
        <v>388</v>
      </c>
      <c r="C46" t="s">
        <v>1</v>
      </c>
      <c r="D46" t="str">
        <f t="shared" si="78"/>
        <v>PartnerBankName</v>
      </c>
      <c r="E46" t="str">
        <f t="shared" si="79"/>
        <v>nvarchar</v>
      </c>
      <c r="F46" s="6"/>
      <c r="G46" t="str">
        <f t="shared" si="80"/>
        <v>30</v>
      </c>
      <c r="H46" t="str">
        <f>+VLOOKUP(E46,'Data Type Mapping'!A:B,2,)</f>
        <v>string</v>
      </c>
      <c r="I46" t="str">
        <f t="shared" si="81"/>
        <v xml:space="preserve">		public const int MaxPartnerBankNameLength = 30;
</v>
      </c>
      <c r="J46" t="str">
        <f t="shared" si="82"/>
        <v xml:space="preserve">		[StringLength(MaxPartnerBankNameLength)]
		public virtual string PartnerBankName { get; set; }
</v>
      </c>
      <c r="K46" s="6"/>
      <c r="L46" t="str">
        <f t="shared" si="83"/>
        <v/>
      </c>
      <c r="M46" t="str">
        <f t="shared" si="84"/>
        <v xml:space="preserve">		public virtual string PartnerBankName { get; set; }
</v>
      </c>
      <c r="N46" t="str">
        <f t="shared" si="85"/>
        <v xml:space="preserve">		[StringLength(MstCmmBusinessParterConsts.MaxPartnerBankNameLength)]
		public virtual string PartnerBankName { get; set; }
</v>
      </c>
      <c r="O46" t="str">
        <f t="shared" si="86"/>
        <v xml:space="preserve">		public virtual string PartnerBankName { get; set; }
</v>
      </c>
      <c r="P46" t="str">
        <f t="shared" si="87"/>
        <v xml:space="preserve">							PartnerBankName = o.PartnerBankName,</v>
      </c>
      <c r="T46" s="63" t="str">
        <f t="shared" si="88"/>
        <v xml:space="preserve">								("PartnerBankName"),</v>
      </c>
      <c r="V46" s="64" t="str">
        <f t="shared" si="89"/>
        <v xml:space="preserve">								_ =&gt; _.PartnerBankName,</v>
      </c>
      <c r="W46" s="63" t="str">
        <f t="shared" si="90"/>
        <v xml:space="preserve">				.WhereIf(!string.IsNullOrWhiteSpace(input.PartnerBankName), e =&gt; e.PartnerBankName.Contains(input.PartnerBankName))</v>
      </c>
    </row>
    <row r="47" spans="1:23" customFormat="1" ht="18.75" customHeight="1" x14ac:dyDescent="0.25">
      <c r="A47" s="28" t="s">
        <v>410</v>
      </c>
      <c r="B47" s="28" t="s">
        <v>374</v>
      </c>
      <c r="C47" t="s">
        <v>1</v>
      </c>
      <c r="D47" t="str">
        <f t="shared" si="78"/>
        <v>ExternalId</v>
      </c>
      <c r="E47" t="str">
        <f t="shared" si="79"/>
        <v>nvarchar</v>
      </c>
      <c r="F47" s="6"/>
      <c r="G47" t="str">
        <f t="shared" si="80"/>
        <v>10</v>
      </c>
      <c r="H47" t="str">
        <f>+VLOOKUP(E47,'Data Type Mapping'!A:B,2,)</f>
        <v>string</v>
      </c>
      <c r="I47" t="str">
        <f t="shared" si="81"/>
        <v xml:space="preserve">		public const int MaxExternalIdLength = 10;
</v>
      </c>
      <c r="J47" t="str">
        <f t="shared" si="82"/>
        <v xml:space="preserve">		[StringLength(MaxExternalIdLength)]
		public virtual string ExternalId { get; set; }
</v>
      </c>
      <c r="K47" s="6"/>
      <c r="L47" t="str">
        <f t="shared" si="83"/>
        <v/>
      </c>
      <c r="M47" t="str">
        <f t="shared" si="84"/>
        <v xml:space="preserve">		public virtual string ExternalId { get; set; }
</v>
      </c>
      <c r="N47" t="str">
        <f t="shared" si="85"/>
        <v xml:space="preserve">		[StringLength(MstCmmBusinessParterConsts.MaxExternalIdLength)]
		public virtual string ExternalId { get; set; }
</v>
      </c>
      <c r="O47" t="str">
        <f t="shared" si="86"/>
        <v xml:space="preserve">		public virtual string ExternalId { get; set; }
</v>
      </c>
      <c r="P47" t="str">
        <f t="shared" si="87"/>
        <v xml:space="preserve">							ExternalId = o.ExternalId,</v>
      </c>
      <c r="T47" s="63" t="str">
        <f t="shared" si="88"/>
        <v xml:space="preserve">								("ExternalId"),</v>
      </c>
      <c r="V47" s="64" t="str">
        <f t="shared" si="89"/>
        <v xml:space="preserve">								_ =&gt; _.ExternalId,</v>
      </c>
      <c r="W47" s="63" t="str">
        <f t="shared" si="90"/>
        <v xml:space="preserve">				.WhereIf(!string.IsNullOrWhiteSpace(input.ExternalId), e =&gt; e.ExternalId.Contains(input.ExternalId))</v>
      </c>
    </row>
    <row r="48" spans="1:23" customFormat="1" ht="18.75" customHeight="1" x14ac:dyDescent="0.25">
      <c r="A48" s="28" t="s">
        <v>411</v>
      </c>
      <c r="B48" s="28" t="s">
        <v>360</v>
      </c>
      <c r="C48" t="s">
        <v>1</v>
      </c>
      <c r="D48" t="str">
        <f t="shared" si="78"/>
        <v>StatusFlagAb</v>
      </c>
      <c r="E48" t="str">
        <f t="shared" si="79"/>
        <v>nvarchar</v>
      </c>
      <c r="F48" s="6"/>
      <c r="G48" t="str">
        <f t="shared" si="80"/>
        <v>1</v>
      </c>
      <c r="H48" t="str">
        <f>+VLOOKUP(E48,'Data Type Mapping'!A:B,2,)</f>
        <v>string</v>
      </c>
      <c r="I48" t="str">
        <f t="shared" si="81"/>
        <v xml:space="preserve">		public const int MaxStatusFlagAbLength = 1;
</v>
      </c>
      <c r="J48" t="str">
        <f t="shared" si="82"/>
        <v xml:space="preserve">		[StringLength(MaxStatusFlagAbLength)]
		public virtual string StatusFlagAb { get; set; }
</v>
      </c>
      <c r="K48" s="6"/>
      <c r="L48" t="str">
        <f t="shared" si="83"/>
        <v/>
      </c>
      <c r="M48" t="str">
        <f t="shared" si="84"/>
        <v xml:space="preserve">		public virtual string StatusFlagAb { get; set; }
</v>
      </c>
      <c r="N48" t="str">
        <f t="shared" si="85"/>
        <v xml:space="preserve">		[StringLength(MstCmmBusinessParterConsts.MaxStatusFlagAbLength)]
		public virtual string StatusFlagAb { get; set; }
</v>
      </c>
      <c r="O48" t="str">
        <f t="shared" si="86"/>
        <v xml:space="preserve">		public virtual string StatusFlagAb { get; set; }
</v>
      </c>
      <c r="P48" t="str">
        <f t="shared" si="87"/>
        <v xml:space="preserve">							StatusFlagAb = o.StatusFlagAb,</v>
      </c>
      <c r="T48" s="63" t="str">
        <f t="shared" si="88"/>
        <v xml:space="preserve">								("StatusFlagAb"),</v>
      </c>
      <c r="V48" s="64" t="str">
        <f t="shared" si="89"/>
        <v xml:space="preserve">								_ =&gt; _.StatusFlagAb,</v>
      </c>
      <c r="W48" s="63" t="str">
        <f t="shared" si="90"/>
        <v xml:space="preserve">				.WhereIf(!string.IsNullOrWhiteSpace(input.StatusFlagAb), e =&gt; e.StatusFlagAb.Contains(input.StatusFlagAb))</v>
      </c>
    </row>
    <row r="49" spans="1:23" customFormat="1" ht="18.75" customHeight="1" x14ac:dyDescent="0.25">
      <c r="A49" s="28" t="s">
        <v>412</v>
      </c>
      <c r="B49" s="28" t="s">
        <v>360</v>
      </c>
      <c r="C49" t="s">
        <v>1</v>
      </c>
      <c r="D49" t="str">
        <f t="shared" si="78"/>
        <v>StatusFlagCb</v>
      </c>
      <c r="E49" t="str">
        <f t="shared" si="79"/>
        <v>nvarchar</v>
      </c>
      <c r="F49" s="6"/>
      <c r="G49" t="str">
        <f t="shared" si="80"/>
        <v>1</v>
      </c>
      <c r="H49" t="str">
        <f>+VLOOKUP(E49,'Data Type Mapping'!A:B,2,)</f>
        <v>string</v>
      </c>
      <c r="I49" t="str">
        <f t="shared" si="81"/>
        <v xml:space="preserve">		public const int MaxStatusFlagCbLength = 1;
</v>
      </c>
      <c r="J49" t="str">
        <f t="shared" si="82"/>
        <v xml:space="preserve">		[StringLength(MaxStatusFlagCbLength)]
		public virtual string StatusFlagCb { get; set; }
</v>
      </c>
      <c r="K49" s="6"/>
      <c r="L49" t="str">
        <f t="shared" si="83"/>
        <v/>
      </c>
      <c r="M49" t="str">
        <f t="shared" si="84"/>
        <v xml:space="preserve">		public virtual string StatusFlagCb { get; set; }
</v>
      </c>
      <c r="N49" t="str">
        <f t="shared" si="85"/>
        <v xml:space="preserve">		[StringLength(MstCmmBusinessParterConsts.MaxStatusFlagCbLength)]
		public virtual string StatusFlagCb { get; set; }
</v>
      </c>
      <c r="O49" t="str">
        <f t="shared" si="86"/>
        <v xml:space="preserve">		public virtual string StatusFlagCb { get; set; }
</v>
      </c>
      <c r="P49" t="str">
        <f t="shared" si="87"/>
        <v xml:space="preserve">							StatusFlagCb = o.StatusFlagCb,</v>
      </c>
      <c r="T49" s="63" t="str">
        <f t="shared" si="88"/>
        <v xml:space="preserve">								("StatusFlagCb"),</v>
      </c>
      <c r="V49" s="64" t="str">
        <f t="shared" si="89"/>
        <v xml:space="preserve">								_ =&gt; _.StatusFlagCb,</v>
      </c>
      <c r="W49" s="63" t="str">
        <f t="shared" si="90"/>
        <v xml:space="preserve">				.WhereIf(!string.IsNullOrWhiteSpace(input.StatusFlagCb), e =&gt; e.StatusFlagCb.Contains(input.StatusFlagCb))</v>
      </c>
    </row>
    <row r="50" spans="1:23" customFormat="1" ht="18.75" customHeight="1" x14ac:dyDescent="0.25">
      <c r="A50" s="28" t="s">
        <v>413</v>
      </c>
      <c r="B50" s="28" t="s">
        <v>360</v>
      </c>
      <c r="C50" t="s">
        <v>1</v>
      </c>
      <c r="D50" t="str">
        <f t="shared" si="78"/>
        <v>StatusFlagAd</v>
      </c>
      <c r="E50" t="str">
        <f t="shared" si="79"/>
        <v>nvarchar</v>
      </c>
      <c r="F50" s="6"/>
      <c r="G50" t="str">
        <f t="shared" si="80"/>
        <v>1</v>
      </c>
      <c r="H50" t="str">
        <f>+VLOOKUP(E50,'Data Type Mapping'!A:B,2,)</f>
        <v>string</v>
      </c>
      <c r="I50" t="str">
        <f t="shared" si="81"/>
        <v xml:space="preserve">		public const int MaxStatusFlagAdLength = 1;
</v>
      </c>
      <c r="J50" t="str">
        <f t="shared" si="82"/>
        <v xml:space="preserve">		[StringLength(MaxStatusFlagAdLength)]
		public virtual string StatusFlagAd { get; set; }
</v>
      </c>
      <c r="K50" s="6"/>
      <c r="L50" t="str">
        <f t="shared" si="83"/>
        <v/>
      </c>
      <c r="M50" t="str">
        <f t="shared" si="84"/>
        <v xml:space="preserve">		public virtual string StatusFlagAd { get; set; }
</v>
      </c>
      <c r="N50" t="str">
        <f t="shared" si="85"/>
        <v xml:space="preserve">		[StringLength(MstCmmBusinessParterConsts.MaxStatusFlagAdLength)]
		public virtual string StatusFlagAd { get; set; }
</v>
      </c>
      <c r="O50" t="str">
        <f t="shared" si="86"/>
        <v xml:space="preserve">		public virtual string StatusFlagAd { get; set; }
</v>
      </c>
      <c r="P50" t="str">
        <f t="shared" si="87"/>
        <v xml:space="preserve">							StatusFlagAd = o.StatusFlagAd,</v>
      </c>
      <c r="T50" s="63" t="str">
        <f t="shared" si="88"/>
        <v xml:space="preserve">								("StatusFlagAd"),</v>
      </c>
      <c r="V50" s="64" t="str">
        <f t="shared" si="89"/>
        <v xml:space="preserve">								_ =&gt; _.StatusFlagAd,</v>
      </c>
      <c r="W50" s="63" t="str">
        <f t="shared" si="90"/>
        <v xml:space="preserve">				.WhereIf(!string.IsNullOrWhiteSpace(input.StatusFlagAd), e =&gt; e.StatusFlagAd.Contains(input.StatusFlagAd))</v>
      </c>
    </row>
    <row r="51" spans="1:23" customFormat="1" ht="18.75" customHeight="1" x14ac:dyDescent="0.25">
      <c r="A51" s="28" t="s">
        <v>414</v>
      </c>
      <c r="B51" s="28" t="s">
        <v>360</v>
      </c>
      <c r="C51" t="s">
        <v>1</v>
      </c>
      <c r="D51" t="str">
        <f t="shared" si="78"/>
        <v>StatusFlagCd</v>
      </c>
      <c r="E51" t="str">
        <f t="shared" si="79"/>
        <v>nvarchar</v>
      </c>
      <c r="F51" s="6"/>
      <c r="G51" t="str">
        <f t="shared" si="80"/>
        <v>1</v>
      </c>
      <c r="H51" t="str">
        <f>+VLOOKUP(E51,'Data Type Mapping'!A:B,2,)</f>
        <v>string</v>
      </c>
      <c r="I51" t="str">
        <f t="shared" si="81"/>
        <v xml:space="preserve">		public const int MaxStatusFlagCdLength = 1;
</v>
      </c>
      <c r="J51" t="str">
        <f t="shared" si="82"/>
        <v xml:space="preserve">		[StringLength(MaxStatusFlagCdLength)]
		public virtual string StatusFlagCd { get; set; }
</v>
      </c>
      <c r="K51" s="6"/>
      <c r="L51" t="str">
        <f t="shared" si="83"/>
        <v/>
      </c>
      <c r="M51" t="str">
        <f t="shared" si="84"/>
        <v xml:space="preserve">		public virtual string StatusFlagCd { get; set; }
</v>
      </c>
      <c r="N51" t="str">
        <f t="shared" si="85"/>
        <v xml:space="preserve">		[StringLength(MstCmmBusinessParterConsts.MaxStatusFlagCdLength)]
		public virtual string StatusFlagCd { get; set; }
</v>
      </c>
      <c r="O51" t="str">
        <f t="shared" si="86"/>
        <v xml:space="preserve">		public virtual string StatusFlagCd { get; set; }
</v>
      </c>
      <c r="P51" t="str">
        <f t="shared" si="87"/>
        <v xml:space="preserve">							StatusFlagCd = o.StatusFlagCd,</v>
      </c>
      <c r="T51" s="63" t="str">
        <f t="shared" si="88"/>
        <v xml:space="preserve">								("StatusFlagCd"),</v>
      </c>
      <c r="V51" s="64" t="str">
        <f t="shared" si="89"/>
        <v xml:space="preserve">								_ =&gt; _.StatusFlagCd,</v>
      </c>
      <c r="W51" s="63" t="str">
        <f t="shared" si="90"/>
        <v xml:space="preserve">				.WhereIf(!string.IsNullOrWhiteSpace(input.StatusFlagCd), e =&gt; e.StatusFlagCd.Contains(input.StatusFlagCd))</v>
      </c>
    </row>
    <row r="53" spans="1:23" ht="45.75" customHeight="1" x14ac:dyDescent="0.25">
      <c r="H53" s="11"/>
      <c r="I53" s="31" t="str">
        <f ca="1">TEXTJOIN2("
", TRUE,INDIRECT( $H$1):INDIRECT( $H$3))</f>
        <v xml:space="preserve">		public const int MaxNationLength = 1;
		public const int MaxBusinessPartnerCategoryLength = 1;
		public const int MaxBusinessPartnerGroupLength = 4;
		public const int MaxBusinessPartnerRoleLength = 6;
		public const int MaxBusinessPartnerCdLength = 10;
		public const int MaxEmailAddress1Length = 241;
		public const int MaxSuppSearcgTermLength = 20;
		public const int MaxBusinessPartnerName1Length = 35;
		public const int MaxBusinessPartnerName2Length = 35;
		public const int MaxBusinessPartnerName3Length = 35;
		public const int MaxBusinessPartnerName4Length = 35;
		public const int MaxAddress1Length = 35;
		public const int MaxAddress2Length = 35;
		public const int MaxAddress3Length = 35;
		public const int MaxDistrictLength = 40;
		public const int MaxCityLength = 40;
		public const int MaxPostalCdLength = 10;
		public const int MaxCountryLength = 3;
		public const int MaxPhoneNoLength = 30;
		public const int MaxFaxNoLength = 30;
		public const int MaxTaxNoLength = 20;
		public const int MaxTaxCateLength = 4;
		public const int MaxCompanyCodeLength = 4;
		public const int MaxPaymentMethodCdLength = 10;
		public const int MaxPaymentMethodNmLength = 30;
		public const int MaxPaymentTermCdLength = 4;
		public const int MaxPaymentTermNmLength = 50;
		public const int MaxOrderCurrencyLength = 3;
		public const int MaxTypeOfIndustryLength = 30;
		public const int MaxPreviousMasterRecordNumberLength = 10;
		public const int MaxTextIdTitleLength = 40;
		public const int MaxUniqueBankIdLength = 4;
		public const int MaxSuppBankKeyLength = 15;
		public const int MaxSuppBankCountryLength = 3;
		public const int MaxSuppAccountLength = 18;
		public const int MaxAccountHolderLength = 60;
		public const int MaxAccnameLength = 40;
		public const int MaxPartnerBankNameLength = 30;
		public const int MaxExternalIdLength = 10;
		public const int MaxStatusFlagAbLength = 1;
		public const int MaxStatusFlagCbLength = 1;
		public const int MaxStatusFlagAdLength = 1;
		public const int MaxStatusFlagCdLength = 1;
</v>
      </c>
      <c r="J53" s="30" t="str">
        <f ca="1">TEXTJOIN2("
", TRUE,INDIRECT( $F$1):INDIRECT( $F$3))</f>
        <v xml:space="preserve">		[StringLength(MaxNationLength)]
		public virtual string Nation { get; set; }
		[StringLength(MaxBusinessPartnerCategoryLength)]
		public virtual string BusinessPartnerCategory { get; set; }
		[StringLength(MaxBusinessPartnerGroupLength)]
		public virtual string BusinessPartnerGroup { get; set; }
		[StringLength(MaxBusinessPartnerRoleLength)]
		public virtual string BusinessPartnerRole { get; set; }
		[StringLength(MaxBusinessPartnerCdLength)]
		public virtual string BusinessPartnerCd { get; set; }
		[StringLength(MaxEmailAddress1Length)]
		public virtual string EmailAddress1 { get; set; }
		[StringLength(MaxSuppSearcgTermLength)]
		public virtual string SuppSearcgTerm { get; set; }
		[StringLength(MaxBusinessPartnerName1Length)]
		public virtual string BusinessPartnerName1 { get; set; }
		[StringLength(MaxBusinessPartnerName2Length)]
		public virtual string BusinessPartnerName2 { get; set; }
		[StringLength(MaxBusinessPartnerName3Length)]
		public virtual string BusinessPartnerName3 { get; set; }
		[StringLength(MaxBusinessPartnerName4Length)]
		public virtual string BusinessPartnerName4 { get; set; }
		[StringLength(MaxAddress1Length)]
		public virtual string Address1 { get; set; }
		[StringLength(MaxAddress2Length)]
		public virtual string Address2 { get; set; }
		[StringLength(MaxAddress3Length)]
		public virtual string Address3 { get; set; }
		[StringLength(MaxDistrictLength)]
		public virtual string District { get; set; }
		[StringLength(MaxCityLength)]
		public virtual string City { get; set; }
		[StringLength(MaxPostalCdLength)]
		public virtual string PostalCd { get; set; }
		[StringLength(MaxCountryLength)]
		public virtual string Country { get; set; }
		[StringLength(MaxPhoneNoLength)]
		public virtual string PhoneNo { get; set; }
		[StringLength(MaxFaxNoLength)]
		public virtual string FaxNo { get; set; }
		[StringLength(MaxTaxNoLength)]
		public virtual string TaxNo { get; set; }
		[StringLength(MaxTaxCateLength)]
		public virtual string TaxCate { get; set; }
		[StringLength(MaxCompanyCodeLength)]
		public virtual string CompanyCode { get; set; }
		[StringLength(MaxPaymentMethodCdLength)]
		public virtual string PaymentMethodCd { get; set; }
		[StringLength(MaxPaymentMethodNmLength)]
		public virtual string PaymentMethodNm { get; set; }
		[StringLength(MaxPaymentTermCdLength)]
		public virtual string PaymentTermCd { get; set; }
		[StringLength(MaxPaymentTermNmLength)]
		public virtual string PaymentTermNm { get; set; }
		[StringLength(MaxOrderCurrencyLength)]
		public virtual string OrderCurrency { get; set; }
		[StringLength(MaxTypeOfIndustryLength)]
		public virtual string TypeOfIndustry { get; set; }
		[StringLength(MaxPreviousMasterRecordNumberLength)]
		public virtual string PreviousMasterRecordNumber { get; set; }
		[StringLength(MaxTextIdTitleLength)]
		public virtual string TextIdTitle { get; set; }
		[StringLength(MaxUniqueBankIdLength)]
		public virtual string UniqueBankId { get; set; }
		[StringLength(MaxSuppBankKeyLength)]
		public virtual string SuppBankKey { get; set; }
		[StringLength(MaxSuppBankCountryLength)]
		public virtual string SuppBankCountry { get; set; }
		[StringLength(MaxSuppAccountLength)]
		public virtual string SuppAccount { get; set; }
		[StringLength(MaxAccountHolderLength)]
		public virtual string AccountHolder { get; set; }
		[StringLength(MaxAccnameLength)]
		public virtual string Accname { get; set; }
		[StringLength(MaxPartnerBankNameLength)]
		public virtual string PartnerBankName { get; set; }
		[StringLength(MaxExternalIdLength)]
		public virtual string ExternalId { get; set; }
		[StringLength(MaxStatusFlagAbLength)]
		public virtual string StatusFlagAb { get; set; }
		[StringLength(MaxStatusFlagCbLength)]
		public virtual string StatusFlagCb { get; set; }
		[StringLength(MaxStatusFlagAdLength)]
		public virtual string StatusFlagAd { get; set; }
		[StringLength(MaxStatusFlagCdLength)]
		public virtual string StatusFlagCd { get; set; }
</v>
      </c>
      <c r="K53" s="32" t="str">
        <f ca="1">TEXTJOIN2("
", TRUE,INDIRECT( $J$1):INDIRECT( $J$3))</f>
        <v/>
      </c>
      <c r="L53" s="12" t="s">
        <v>56</v>
      </c>
      <c r="M53" s="33" t="str">
        <f ca="1">TEXTJOIN2("
",TRUE,INDIRECT( $L$1):INDIRECT($L$3))</f>
        <v xml:space="preserve">		public virtual string Nation { get; set; }
		public virtual string BusinessPartnerCategory { get; set; }
		public virtual string BusinessPartnerGroup { get; set; }
		public virtual string BusinessPartnerRole { get; set; }
		public virtual string BusinessPartnerCd { get; set; }
		public virtual string EmailAddress1 { get; set; }
		public virtual string SuppSearcgTerm { get; set; }
		public virtual string BusinessPartnerName1 { get; set; }
		public virtual string BusinessPartnerName2 { get; set; }
		public virtual string BusinessPartnerName3 { get; set; }
		public virtual string BusinessPartnerName4 { get; set; }
		public virtual string Address1 { get; set; }
		public virtual string Address2 { get; set; }
		public virtual string Address3 { get; set; }
		public virtual string District { get; set; }
		public virtual string City { get; set; }
		public virtual string PostalCd { get; set; }
		public virtual string Country { get; set; }
		public virtual string PhoneNo { get; set; }
		public virtual string FaxNo { get; set; }
		public virtual string TaxNo { get; set; }
		public virtual string TaxCate { get; set; }
		public virtual string CompanyCode { get; set; }
		public virtual string PaymentMethodCd { get; set; }
		public virtual string PaymentMethodNm { get; set; }
		public virtual string PaymentTermCd { get; set; }
		public virtual string PaymentTermNm { get; set; }
		public virtual string OrderCurrency { get; set; }
		public virtual string TypeOfIndustry { get; set; }
		public virtual string PreviousMasterRecordNumber { get; set; }
		public virtual string TextIdTitle { get; set; }
		public virtual string UniqueBankId { get; set; }
		public virtual string SuppBankKey { get; set; }
		public virtual string SuppBankCountry { get; set; }
		public virtual string SuppAccount { get; set; }
		public virtual string AccountHolder { get; set; }
		public virtual string Accname { get; set; }
		public virtual string PartnerBankName { get; set; }
		public virtual string ExternalId { get; set; }
		public virtual string StatusFlagAb { get; set; }
		public virtual string StatusFlagCb { get; set; }
		public virtual string StatusFlagAd { get; set; }
		public virtual string StatusFlagCd { get; set; }
</v>
      </c>
      <c r="N53" s="30" t="str">
        <f ca="1">TEXTJOIN2("
",TRUE,INDIRECT( $M$1):INDIRECT($M$3))</f>
        <v xml:space="preserve">		[StringLength(MstCmmBusinessParterConsts.MaxNationLength)]
		public virtual string Nation { get; set; }
		[StringLength(MstCmmBusinessParterConsts.MaxBusinessPartnerCategoryLength)]
		public virtual string BusinessPartnerCategory { get; set; }
		[StringLength(MstCmmBusinessParterConsts.MaxBusinessPartnerGroupLength)]
		public virtual string BusinessPartnerGroup { get; set; }
		[StringLength(MstCmmBusinessParterConsts.MaxBusinessPartnerRoleLength)]
		public virtual string BusinessPartnerRole { get; set; }
		[StringLength(MstCmmBusinessParterConsts.MaxBusinessPartnerCdLength)]
		public virtual string BusinessPartnerCd { get; set; }
		[StringLength(MstCmmBusinessParterConsts.MaxEmailAddress1Length)]
		public virtual string EmailAddress1 { get; set; }
		[StringLength(MstCmmBusinessParterConsts.MaxSuppSearcgTermLength)]
		public virtual string SuppSearcgTerm { get; set; }
		[StringLength(MstCmmBusinessParterConsts.MaxBusinessPartnerName1Length)]
		public virtual string BusinessPartnerName1 { get; set; }
		[StringLength(MstCmmBusinessParterConsts.MaxBusinessPartnerName2Length)]
		public virtual string BusinessPartnerName2 { get; set; }
		[StringLength(MstCmmBusinessParterConsts.MaxBusinessPartnerName3Length)]
		public virtual string BusinessPartnerName3 { get; set; }
		[StringLength(MstCmmBusinessParterConsts.MaxBusinessPartnerName4Length)]
		public virtual string BusinessPartnerName4 { get; set; }
		[StringLength(MstCmmBusinessParterConsts.MaxAddress1Length)]
		public virtual string Address1 { get; set; }
		[StringLength(MstCmmBusinessParterConsts.MaxAddress2Length)]
		public virtual string Address2 { get; set; }
		[StringLength(MstCmmBusinessParterConsts.MaxAddress3Length)]
		public virtual string Address3 { get; set; }
		[StringLength(MstCmmBusinessParterConsts.MaxDistrictLength)]
		public virtual string District { get; set; }
		[StringLength(MstCmmBusinessParterConsts.MaxCityLength)]
		public virtual string City { get; set; }
		[StringLength(MstCmmBusinessParterConsts.MaxPostalCdLength)]
		public virtual string PostalCd { get; set; }
		[StringLength(MstCmmBusinessParterConsts.MaxCountryLength)]
		public virtual string Country { get; set; }
		[StringLength(MstCmmBusinessParterConsts.MaxPhoneNoLength)]
		public virtual string PhoneNo { get; set; }
		[StringLength(MstCmmBusinessParterConsts.MaxFaxNoLength)]
		public virtual string FaxNo { get; set; }
		[StringLength(MstCmmBusinessParterConsts.MaxTaxNoLength)]
		public virtual string TaxNo { get; set; }
		[StringLength(MstCmmBusinessParterConsts.MaxTaxCateLength)]
		public virtual string TaxCate { get; set; }
		[StringLength(MstCmmBusinessParterConsts.MaxCompanyCodeLength)]
		public virtual string CompanyCode { get; set; }
		[StringLength(MstCmmBusinessParterConsts.MaxPaymentMethodCdLength)]
		public virtual string PaymentMethodCd { get; set; }
		[StringLength(MstCmmBusinessParterConsts.MaxPaymentMethodNmLength)]
		public virtual string PaymentMethodNm { get; set; }
		[StringLength(MstCmmBusinessParterConsts.MaxPaymentTermCdLength)]
		public virtual string PaymentTermCd { get; set; }
		[StringLength(MstCmmBusinessParterConsts.MaxPaymentTermNmLength)]
		public virtual string PaymentTermNm { get; set; }
		[StringLength(MstCmmBusinessParterConsts.MaxOrderCurrencyLength)]
		public virtual string OrderCurrency { get; set; }
		[StringLength(MstCmmBusinessParterConsts.MaxTypeOfIndustryLength)]
		public virtual string TypeOfIndustry { get; set; }
		[StringLength(MstCmmBusinessParterConsts.MaxPreviousMasterRecordNumberLength)]
		public virtual string PreviousMasterRecordNumber { get; set; }
		[StringLength(MstCmmBusinessParterConsts.MaxTextIdTitleLength)]
		public virtual string TextIdTitle { get; set; }
		[StringLength(MstCmmBusinessParterConsts.MaxUniqueBankIdLength)]
		public virtual string UniqueBankId { get; set; }
		[StringLength(MstCmmBusinessParterConsts.MaxSuppBankKeyLength)]
		public virtual string SuppBankKey { get; set; }
		[StringLength(MstCmmBusinessParterConsts.MaxSuppBankCountryLength)]
		public virtual string SuppBankCountry { get; set; }
		[StringLength(MstCmmBusinessParterConsts.MaxSuppAccountLength)]
		public virtual string SuppAccount { get; set; }
		[StringLength(MstCmmBusinessParterConsts.MaxAccountHolderLength)]
		public virtual string AccountHolder { get; set; }
		[StringLength(MstCmmBusinessParterConsts.MaxAccnameLength)]
		public virtual string Accname { get; set; }
		[StringLength(MstCmmBusinessParterConsts.MaxPartnerBankNameLength)]
		public virtual string PartnerBankName { get; set; }
		[StringLength(MstCmmBusinessParterConsts.MaxExternalIdLength)]
		public virtual string ExternalId { get; set; }
		[StringLength(MstCmmBusinessParterConsts.MaxStatusFlagAbLength)]
		public virtual string StatusFlagAb { get; set; }
		[StringLength(MstCmmBusinessParterConsts.MaxStatusFlagCbLength)]
		public virtual string StatusFlagCb { get; set; }
		[StringLength(MstCmmBusinessParterConsts.MaxStatusFlagAdLength)]
		public virtual string StatusFlagAd { get; set; }
		[StringLength(MstCmmBusinessParterConsts.MaxStatusFlagCdLength)]
		public virtual string StatusFlagCd { get; set; }
</v>
      </c>
      <c r="O53" s="30" t="str">
        <f ca="1">TEXTJOIN2("
",TRUE,INDIRECT( $N$1):INDIRECT($N$3))</f>
        <v xml:space="preserve">		public virtual string Nation { get; set; }
		public virtual string BusinessPartnerCategory { get; set; }
		public virtual string BusinessPartnerGroup { get; set; }
		public virtual string BusinessPartnerRole { get; set; }
		public virtual string BusinessPartnerCd { get; set; }
		public virtual string EmailAddress1 { get; set; }
		public virtual string SuppSearcgTerm { get; set; }
		public virtual string BusinessPartnerName1 { get; set; }
		public virtual string BusinessPartnerName2 { get; set; }
		public virtual string BusinessPartnerName3 { get; set; }
		public virtual string BusinessPartnerName4 { get; set; }
		public virtual string Address1 { get; set; }
		public virtual string Address2 { get; set; }
		public virtual string Address3 { get; set; }
		public virtual string District { get; set; }
		public virtual string City { get; set; }
		public virtual string PostalCd { get; set; }
		public virtual string Country { get; set; }
		public virtual string PhoneNo { get; set; }
		public virtual string FaxNo { get; set; }
		public virtual string TaxNo { get; set; }
		public virtual string TaxCate { get; set; }
		public virtual string CompanyCode { get; set; }
		public virtual string PaymentMethodCd { get; set; }
		public virtual string PaymentMethodNm { get; set; }
		public virtual string PaymentTermCd { get; set; }
		public virtual string PaymentTermNm { get; set; }
		public virtual string OrderCurrency { get; set; }
		public virtual string TypeOfIndustry { get; set; }
		public virtual string PreviousMasterRecordNumber { get; set; }
		public virtual string TextIdTitle { get; set; }
		public virtual string UniqueBankId { get; set; }
		public virtual string SuppBankKey { get; set; }
		public virtual string SuppBankCountry { get; set; }
		public virtual string SuppAccount { get; set; }
		public virtual string AccountHolder { get; set; }
		public virtual string Accname { get; set; }
		public virtual string PartnerBankName { get; set; }
		public virtual string ExternalId { get; set; }
		public virtual string StatusFlagAb { get; set; }
		public virtual string StatusFlagCb { get; set; }
		public virtual string StatusFlagAd { get; set; }
		public virtual string StatusFlagCd { get; set; }
</v>
      </c>
      <c r="P53" s="8" t="str">
        <f ca="1">TEXTJOIN2("
",TRUE,INDIRECT( $O$1):INDIRECT($O$3))</f>
        <v xml:space="preserve">							Nation = o.Nation,
							BusinessPartnerCategory = o.BusinessPartnerCategory,
							BusinessPartnerGroup = o.BusinessPartnerGroup,
							BusinessPartnerRole = o.BusinessPartnerRole,
							BusinessPartnerCd = o.BusinessPartnerCd,
							EmailAddress1 = o.EmailAddress1,
							SuppSearcgTerm = o.SuppSearcgTerm,
							BusinessPartnerName1 = o.BusinessPartnerName1,
							BusinessPartnerName2 = o.BusinessPartnerName2,
							BusinessPartnerName3 = o.BusinessPartnerName3,
							BusinessPartnerName4 = o.BusinessPartnerName4,
							Address1 = o.Address1,
							Address2 = o.Address2,
							Address3 = o.Address3,
							District = o.District,
							City = o.City,
							PostalCd = o.PostalCd,
							Country = o.Country,
							PhoneNo = o.PhoneNo,
							FaxNo = o.FaxNo,
							TaxNo = o.TaxNo,
							TaxCate = o.TaxCate,
							CompanyCode = o.CompanyCode,
							PaymentMethodCd = o.PaymentMethodCd,
							PaymentMethodNm = o.PaymentMethodNm,
							PaymentTermCd = o.PaymentTermCd,
							PaymentTermNm = o.PaymentTermNm,
							OrderCurrency = o.OrderCurrency,
							TypeOfIndustry = o.TypeOfIndustry,
							PreviousMasterRecordNumber = o.PreviousMasterRecordNumber,
							TextIdTitle = o.TextIdTitle,
							UniqueBankId = o.UniqueBankId,
							SuppBankKey = o.SuppBankKey,
							SuppBankCountry = o.SuppBankCountry,
							SuppAccount = o.SuppAccount,
							AccountHolder = o.AccountHolder,
							Accname = o.Accname,
							PartnerBankName = o.PartnerBankName,
							ExternalId = o.ExternalId,
							StatusFlagAb = o.StatusFlagAb,
							StatusFlagCb = o.StatusFlagCb,
							StatusFlagAd = o.StatusFlagAd,
							StatusFlagCd = o.StatusFlagCd,</v>
      </c>
      <c r="T53" s="8" t="str">
        <f ca="1">TEXTJOIN2("
",TRUE,INDIRECT( $T$2):INDIRECT($T$3))</f>
        <v xml:space="preserve">								("Nation"),
								("BusinessPartnerCategory"),
								("BusinessPartnerGroup"),
								("BusinessPartnerRole"),
								("BusinessPartnerCd"),
								("EmailAddress1"),
								("SuppSearcgTerm"),
								("BusinessPartnerName1"),
								("BusinessPartnerName2"),
								("BusinessPartnerName3"),
								("BusinessPartnerName4"),
								("Address1"),
								("Address2"),
								("Address3"),
								("District"),
								("City"),
								("PostalCd"),
								("Country"),
								("PhoneNo"),
								("FaxNo"),
								("TaxNo"),
								("TaxCate"),
								("CompanyCode"),
								("PaymentMethodCd"),
								("PaymentMethodNm"),
								("PaymentTermCd"),
								("PaymentTermNm"),
								("OrderCurrency"),
								("TypeOfIndustry"),
								("PreviousMasterRecordNumber"),
								("TextIdTitle"),
								("UniqueBankId"),
								("SuppBankKey"),
								("SuppBankCountry"),
								("SuppAccount"),
								("AccountHolder"),
								("Accname"),
								("PartnerBankName"),
								("ExternalId"),
								("StatusFlagAb"),
								("StatusFlagCb"),
								("StatusFlagAd"),
								("StatusFlagCd"),</v>
      </c>
      <c r="V53" s="8" t="str">
        <f ca="1">TEXTJOIN2("
",TRUE,INDIRECT( $V$2):INDIRECT($V$3))</f>
        <v xml:space="preserve">								_ =&gt; _.Nation,
								_ =&gt; _.BusinessPartnerCategory,
								_ =&gt; _.BusinessPartnerGroup,
								_ =&gt; _.BusinessPartnerRole,
								_ =&gt; _.BusinessPartnerCd,
								_ =&gt; _.EmailAddress1,
								_ =&gt; _.SuppSearcgTerm,
								_ =&gt; _.BusinessPartnerName1,
								_ =&gt; _.BusinessPartnerName2,
								_ =&gt; _.BusinessPartnerName3,
								_ =&gt; _.BusinessPartnerName4,
								_ =&gt; _.Address1,
								_ =&gt; _.Address2,
								_ =&gt; _.Address3,
								_ =&gt; _.District,
								_ =&gt; _.City,
								_ =&gt; _.PostalCd,
								_ =&gt; _.Country,
								_ =&gt; _.PhoneNo,
								_ =&gt; _.FaxNo,
								_ =&gt; _.TaxNo,
								_ =&gt; _.TaxCate,
								_ =&gt; _.CompanyCode,
								_ =&gt; _.PaymentMethodCd,
								_ =&gt; _.PaymentMethodNm,
								_ =&gt; _.PaymentTermCd,
								_ =&gt; _.PaymentTermNm,
								_ =&gt; _.OrderCurrency,
								_ =&gt; _.TypeOfIndustry,
								_ =&gt; _.PreviousMasterRecordNumber,
								_ =&gt; _.TextIdTitle,
								_ =&gt; _.UniqueBankId,
								_ =&gt; _.SuppBankKey,
								_ =&gt; _.SuppBankCountry,
								_ =&gt; _.SuppAccount,
								_ =&gt; _.AccountHolder,
								_ =&gt; _.Accname,
								_ =&gt; _.PartnerBankName,
								_ =&gt; _.ExternalId,
								_ =&gt; _.StatusFlagAb,
								_ =&gt; _.StatusFlagCb,
								_ =&gt; _.StatusFlagAd,
								_ =&gt; _.StatusFlagCd,</v>
      </c>
      <c r="W53" s="8" t="str">
        <f ca="1">TEXTJOIN2("
",TRUE,INDIRECT( $W$2):INDIRECT($W$3))</f>
        <v xml:space="preserve">				.WhereIf(!string.IsNullOrWhiteSpace(input.Nation), e =&gt; e.Nation.Contains(input.Nation))
				.WhereIf(!string.IsNullOrWhiteSpace(input.BusinessPartnerCategory), e =&gt; e.BusinessPartnerCategory.Contains(input.BusinessPartnerCategory))
				.WhereIf(!string.IsNullOrWhiteSpace(input.BusinessPartnerGroup), e =&gt; e.BusinessPartnerGroup.Contains(input.BusinessPartnerGroup))
				.WhereIf(!string.IsNullOrWhiteSpace(input.BusinessPartnerRole), e =&gt; e.BusinessPartnerRole.Contains(input.BusinessPartnerRole))
				.WhereIf(!string.IsNullOrWhiteSpace(input.BusinessPartnerCd), e =&gt; e.BusinessPartnerCd.Contains(input.BusinessPartnerCd))
				.WhereIf(!string.IsNullOrWhiteSpace(input.EmailAddress1), e =&gt; e.EmailAddress1.Contains(input.EmailAddress1))
				.WhereIf(!string.IsNullOrWhiteSpace(input.SuppSearcgTerm), e =&gt; e.SuppSearcgTerm.Contains(input.SuppSearcgTerm))
				.WhereIf(!string.IsNullOrWhiteSpace(input.BusinessPartnerName1), e =&gt; e.BusinessPartnerName1.Contains(input.BusinessPartnerName1))
				.WhereIf(!string.IsNullOrWhiteSpace(input.BusinessPartnerName2), e =&gt; e.BusinessPartnerName2.Contains(input.BusinessPartnerName2))
				.WhereIf(!string.IsNullOrWhiteSpace(input.BusinessPartnerName3), e =&gt; e.BusinessPartnerName3.Contains(input.BusinessPartnerName3))
				.WhereIf(!string.IsNullOrWhiteSpace(input.BusinessPartnerName4), e =&gt; e.BusinessPartnerName4.Contains(input.BusinessPartnerName4))
				.WhereIf(!string.IsNullOrWhiteSpace(input.Address1), e =&gt; e.Address1.Contains(input.Address1))
				.WhereIf(!string.IsNullOrWhiteSpace(input.Address2), e =&gt; e.Address2.Contains(input.Address2))
				.WhereIf(!string.IsNullOrWhiteSpace(input.Address3), e =&gt; e.Address3.Contains(input.Address3))
				.WhereIf(!string.IsNullOrWhiteSpace(input.District), e =&gt; e.District.Contains(input.District))
				.WhereIf(!string.IsNullOrWhiteSpace(input.City), e =&gt; e.City.Contains(input.City))
				.WhereIf(!string.IsNullOrWhiteSpace(input.PostalCd), e =&gt; e.PostalCd.Contains(input.PostalCd))
				.WhereIf(!string.IsNullOrWhiteSpace(input.Country), e =&gt; e.Country.Contains(input.Country))
				.WhereIf(!string.IsNullOrWhiteSpace(input.PhoneNo), e =&gt; e.PhoneNo.Contains(input.PhoneNo))
				.WhereIf(!string.IsNullOrWhiteSpace(input.FaxNo), e =&gt; e.FaxNo.Contains(input.FaxNo))
				.WhereIf(!string.IsNullOrWhiteSpace(input.TaxNo), e =&gt; e.TaxNo.Contains(input.TaxNo))
				.WhereIf(!string.IsNullOrWhiteSpace(input.TaxCate), e =&gt; e.TaxCate.Contains(input.TaxCate))
				.WhereIf(!string.IsNullOrWhiteSpace(input.CompanyCode), e =&gt; e.CompanyCode.Contains(input.CompanyCode))
				.WhereIf(!string.IsNullOrWhiteSpace(input.PaymentMethodCd), e =&gt; e.PaymentMethodCd.Contains(input.PaymentMethodCd))
				.WhereIf(!string.IsNullOrWhiteSpace(input.PaymentMethodNm), e =&gt; e.PaymentMethodNm.Contains(input.PaymentMethodNm))
				.WhereIf(!string.IsNullOrWhiteSpace(input.PaymentTermCd), e =&gt; e.PaymentTermCd.Contains(input.PaymentTermCd))
				.WhereIf(!string.IsNullOrWhiteSpace(input.PaymentTermNm), e =&gt; e.PaymentTermNm.Contains(input.PaymentTermNm))
				.WhereIf(!string.IsNullOrWhiteSpace(input.OrderCurrency), e =&gt; e.OrderCurrency.Contains(input.OrderCurrency))
				.WhereIf(!string.IsNullOrWhiteSpace(input.TypeOfIndustry), e =&gt; e.TypeOfIndustry.Contains(input.TypeOfIndustry))
				.WhereIf(!string.IsNullOrWhiteSpace(input.PreviousMasterRecordNumber), e =&gt; e.PreviousMasterRecordNumber.Contains(input.PreviousMasterRecordNumber))
				.WhereIf(!string.IsNullOrWhiteSpace(input.TextIdTitle), e =&gt; e.TextIdTitle.Contains(input.TextIdTitle))
				.WhereIf(!string.IsNullOrWhiteSpace(input.UniqueBankId), e =&gt; e.UniqueBankId.Contains(input.UniqueBankId))
				.WhereIf(!string.IsNullOrWhiteSpace(input.SuppBankKey), e =&gt; e.SuppBankKey.Contains(input.SuppBankKey))
				.WhereIf(!string.IsNullOrWhiteSpace(input.SuppBankCountry), e =&gt; e.SuppBankCountry.Contains(input.SuppBankCountry))
				.WhereIf(!string.IsNullOrWhiteSpace(input.SuppAccount), e =&gt; e.SuppAccount.Contains(input.SuppAccount))
				.WhereIf(!string.IsNullOrWhiteSpace(input.AccountHolder), e =&gt; e.AccountHolder.Contains(input.AccountHolder))
				.WhereIf(!string.IsNullOrWhiteSpace(input.Accname), e =&gt; e.Accname.Contains(input.Accname))
				.WhereIf(!string.IsNullOrWhiteSpace(input.PartnerBankName), e =&gt; e.PartnerBankName.Contains(input.PartnerBankName))
				.WhereIf(!string.IsNullOrWhiteSpace(input.ExternalId), e =&gt; e.ExternalId.Contains(input.ExternalId))
				.WhereIf(!string.IsNullOrWhiteSpace(input.StatusFlagAb), e =&gt; e.StatusFlagAb.Contains(input.StatusFlagAb))
				.WhereIf(!string.IsNullOrWhiteSpace(input.StatusFlagCb), e =&gt; e.StatusFlagCb.Contains(input.StatusFlagCb))
				.WhereIf(!string.IsNullOrWhiteSpace(input.StatusFlagAd), e =&gt; e.StatusFlagAd.Contains(input.StatusFlagAd))
				.WhereIf(!string.IsNullOrWhiteSpace(input.StatusFlagCd), e =&gt; e.StatusFlagCd.Contains(input.StatusFlagCd))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59"/>
  <sheetViews>
    <sheetView workbookViewId="0">
      <selection activeCell="C14" sqref="C14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417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Cmm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cmm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MstCmmBusinessParter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BusinessParter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businessparter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MstCmmBusinessParterDto, MstCmmBusinessParterServiceProxy } from '@shared/service-proxies/service-proxies';
import { finalize } from 'rxjs/internal/operators/finalize';
import { CreateOrEditBusinessParterModalComponent } from './create-or-edit-businessparter-modal.component';
import { DatePipe } from '@angular/common';
import { FileDownloadService } from '@shared/utils/file-download.service';
import ceil from 'lodash-es/ceil';
import { Paginator } from 'primeng/paginator';
@Component({
    templateUrl: './businessparter.component.html',
    styleUrls: ['./businessparter.component.less'],
})
export class BusinessParterComponent extends AppComponentBase implements OnInit {
    @ViewChild('createOrEditModalBusinessParter', { static: true }) createOrEditModalBusinessParter:| CreateOrEditBusinessParterModalComponent|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MstCmmBusinessParterDto = new MstCmmBusinessParterDto();
    saveSelectedRow: MstCmmBusinessParterDto = new MstCmmBusinessParterDto();
    datas: MstCmmBusinessParterDto = new MstCmmBusinessParterDto();
    isLoading: boolean = false;
    dataParams: GridParams | undefined;
    rowData: any[] = [];
    gridApi!: GridApi;
    rowSelection = 'multiple';
    filter: string = '';
	pipe = new DatePipe('en-US');
	frameworkComponents: FrameworkComponent;
    	businessPartnerGroup : string = '' ; 
	businessPartnerRole : string = '' ; 
	businessPartnerCd : string = '' ; 
	emailAddress1 : string = '' ; 
	suppSearcgTerm : string = '' ; 
	businessPartnerName1 : string = '' ; 
	businessPartnerName2 : string = '' ; 
	businessPartnerName3 : string = '' ; 
	businessPartnerName4 : string = '' ; 
	address1 : string = '' ; 
	address2 : string = '' ; 
	address3 : string = '' ; 
	district : string = '' ; 
	city : string = '' ; 
	postalCd : string = '' ; 
	country : string = '' ; 
	phoneNo : string = '' ; 
	faxNo : string = '' ; 
	taxNo : string = '' ; 
	taxCate : string = '' ; 
	companyCode : string = '' ; 
	paymentMethodCd : string = '' ; 
	paymentMethodNm : string = '' ; 
	paymentTermCd : string = '' ; 
	paymentTermNm : string = '' ; 
	orderCurrency : string = '' ; 
	typeOfIndustry : string = '' ; 
	previousMasterRecordNumber : string = '' ; 
	textIdTitle : string = '' ; 
	uniqueBankId : string = '' ; 
	suppBankKey : string = '' ; 
	suppBankCountry : string = '' ; 
	suppAccount : string = '' ; 
	accountHolder : string = '' ; 
	accname : string = '' ; 
	partnerBankName : string = '' ; 
	externalId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MstCmmBusinessParterServiceProxy,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this.l('Nation'),headerTooltip: this.l('Nation'),field:  'nation', cellClass: ['text-center'], width: 120, cellRenderer: 'agCellButtonComponent',
buttonDefTwo: { text: params =&gt; (params.data?.'nation' == 'Y') ? 'Active' : 'Inactive',iconName: 'fa fa-circle',className: params =&gt; (params.data?.'nation' == 'Y') ? 'btnActive' : 'btnInActive',},}
			{headerName: this.l('Business Partner Category'),headerTooltip: this.l('Business Partner Category'),field:  'businessPartnerCategory', cellClass: ['text-center'], width: 120, cellRenderer: 'agCellButtonComponent',
buttonDefTwo: { text: params =&gt; (params.data?.'businessPartnerCategory' == 'Y') ? 'Active' : 'Inactive',iconName: 'fa fa-circle',className: params =&gt; (params.data?.'businessPartnerCategory' == 'Y') ? 'btnActive' : 'btnInActive',},}
			{headerName: this.l('Business Partner Group'),headerTooltip: this.l('Business Partner Group'),field: 'businessPartnerGroup',flex: 1},
			{headerName: this.l('Business Partner Role'),headerTooltip: this.l('Business Partner Role'),field: 'businessPartnerRole',flex: 1},
			{headerName: this.l('Business Partner Cd'),headerTooltip: this.l('Business Partner Cd'),field: 'businessPartnerCd',flex: 1},
			{headerName: this.l('Email Address 1'),headerTooltip: this.l('Email Address 1'),field: 'emailAddress1',flex: 1},
			{headerName: this.l('Supp Searcg Term'),headerTooltip: this.l('Supp Searcg Term'),field: 'suppSearcgTerm',flex: 1},
			{headerName: this.l('Business Partner Name 1'),headerTooltip: this.l('Business Partner Name 1'),field: 'businessPartnerName1',flex: 1},
			{headerName: this.l('Business Partner Name 2'),headerTooltip: this.l('Business Partner Name 2'),field: 'businessPartnerName2',flex: 1},
			{headerName: this.l('Business Partner Name 3'),headerTooltip: this.l('Business Partner Name 3'),field: 'businessPartnerName3',flex: 1},
			{headerName: this.l('Business Partner Name 4'),headerTooltip: this.l('Business Partner Name 4'),field: 'businessPartnerName4',flex: 1},
			{headerName: this.l('Address 1'),headerTooltip: this.l('Address 1'),field: 'address1',flex: 1},
			{headerName: this.l('Address 2'),headerTooltip: this.l('Address 2'),field: 'address2',flex: 1},
			{headerName: this.l('Address 3'),headerTooltip: this.l('Address 3'),field: 'address3',flex: 1},
			{headerName: this.l('District'),headerTooltip: this.l('District'),field: 'district',flex: 1},
			{headerName: this.l('City'),headerTooltip: this.l('City'),field: 'city',flex: 1},
			{headerName: this.l('Postal Cd'),headerTooltip: this.l('Postal Cd'),field: 'postalCd',flex: 1},
			{headerName: this.l('Country'),headerTooltip: this.l('Country'),field: 'country',flex: 1},
			{headerName: this.l('Phone No'),headerTooltip: this.l('Phone No'),field: 'phoneNo',flex: 1},
			{headerName: this.l('Fax No'),headerTooltip: this.l('Fax No'),field: 'faxNo',flex: 1},
			{headerName: this.l('Tax No'),headerTooltip: this.l('Tax No'),field: 'taxNo',flex: 1},
			{headerName: this.l('Tax Cate'),headerTooltip: this.l('Tax Cate'),field: 'taxCate',flex: 1},
			{headerName: this.l('Company Code'),headerTooltip: this.l('Company Code'),field: 'companyCode',flex: 1},
			{headerName: this.l('Payment Method Cd'),headerTooltip: this.l('Payment Method Cd'),field: 'paymentMethodCd',flex: 1},
			{headerName: this.l('Payment Method Nm'),headerTooltip: this.l('Payment Method Nm'),field: 'paymentMethodNm',flex: 1},
			{headerName: this.l('Payment Term Cd'),headerTooltip: this.l('Payment Term Cd'),field: 'paymentTermCd',flex: 1},
			{headerName: this.l('Payment Term Nm'),headerTooltip: this.l('Payment Term Nm'),field: 'paymentTermNm',flex: 1},
			{headerName: this.l('Order Currency'),headerTooltip: this.l('Order Currency'),field: 'orderCurrency',flex: 1},
			{headerName: this.l('Type Of Industry'),headerTooltip: this.l('Type Of Industry'),field: 'typeOfIndustry',flex: 1},
			{headerName: this.l('Previous Master Record Number'),headerTooltip: this.l('Previous Master Record Number'),field: 'previousMasterRecordNumber',flex: 1},
			{headerName: this.l('Text Id Title'),headerTooltip: this.l('Text Id Title'),field: 'textIdTitle',flex: 1},
			{headerName: this.l('Unique Bank Id'),headerTooltip: this.l('Unique Bank Id'),field: 'uniqueBankId',flex: 1},
			{headerName: this.l('Supp Bank Key'),headerTooltip: this.l('Supp Bank Key'),field: 'suppBankKey',flex: 1},
			{headerName: this.l('Supp Bank Country'),headerTooltip: this.l('Supp Bank Country'),field: 'suppBankCountry',flex: 1},
			{headerName: this.l('Supp Account'),headerTooltip: this.l('Supp Account'),field: 'suppAccount',flex: 1},
			{headerName: this.l('Account Holder'),headerTooltip: this.l('Account Holder'),field: 'accountHolder',flex: 1},
			{headerName: this.l('Accname'),headerTooltip: this.l('Accname'),field: 'accname',flex: 1},
			{headerName: this.l('Partner Bank Name'),headerTooltip: this.l('Partner Bank Name'),field: 'partnerBankName',flex: 1},
			{headerName: this.l('External Id'),headerTooltip: this.l('External Id'),field: 'externalId',flex: 1},
			{headerName: this.l('Status Flag Ab'),headerTooltip: this.l('Status Flag Ab'),field:  'statusFlagAb', cellClass: ['text-center'], width: 120, cellRenderer: 'agCellButtonComponent',
buttonDefTwo: { text: params =&gt; (params.data?.'statusFlagAb' == 'Y') ? 'Active' : 'Inactive',iconName: 'fa fa-circle',className: params =&gt; (params.data?.'statusFlagAb' == 'Y') ? 'btnActive' : 'btnInActive',},}
			{headerName: this.l('Status Flag Cb'),headerTooltip: this.l('Status Flag Cb'),field:  'statusFlagCb', cellClass: ['text-center'], width: 120, cellRenderer: 'agCellButtonComponent',
buttonDefTwo: { text: params =&gt; (params.data?.'statusFlagCb' == 'Y') ? 'Active' : 'Inactive',iconName: 'fa fa-circle',className: params =&gt; (params.data?.'statusFlagCb' == 'Y') ? 'btnActive' : 'btnInActive',},}
			{headerName: this.l('Status Flag Ad'),headerTooltip: this.l('Status Flag Ad'),field:  'statusFlagAd', cellClass: ['text-center'], width: 120, cellRenderer: 'agCellButtonComponent',
buttonDefTwo: { text: params =&gt; (params.data?.'statusFlagAd' == 'Y') ? 'Active' : 'Inactive',iconName: 'fa fa-circle',className: params =&gt; (params.data?.'statusFlagAd' == 'Y') ? 'btnActive' : 'btnInActive',},}
			{headerName: this.l('Status Flag Cd'),headerTooltip: this.l('Status Flag Cd'),field:  'statusFlagCd', cellClass: ['text-center'], width: 120, cellRenderer: 'agCellButtonComponent',
buttonDefTwo: { text: params =&gt; (params.data?.'statusFlagCd' == 'Y') ? 'Active' : 'Inactive',iconName: 'fa fa-circle',className: params =&gt; (params.data?.'statusFlagCd'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this.businessPartnerCategory,
			this.businessPartnerGroup,
			this.businessPartnerRole,
			this.businessPartnerCd,
			this.emailAddress1,
			this.suppSearcgTerm,
			this.businessPartnerName1,
			this.businessPartnerName2,
			this.businessPartnerName3,
			this.businessPartnerName4,
			this.address1,
			this.address2,
			this.address3,
			this.district,
			this.city,
			this.postalCd,
			this.country,
			this.phoneNo,
			this.faxNo,
			this.taxNo,
			this.taxCate,
			this.companyCode,
			this.paymentMethodCd,
			this.paymentMethodNm,
			this.paymentTermCd,
			this.paymentTermNm,
			this.orderCurrency,
			this.typeOfIndustry,
			this.previousMasterRecordNumber,
			this.textIdTitle,
			this.uniqueBankId,
			this.suppBankKey,
			this.suppBankCountry,
			this.suppAccount,
			this.accountHolder,
			this.accname,
			this.partnerBankName,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businessPartnerGroup : string = '' ; 
	businessPartnerRole : string = '' ; 
	businessPartnerCd : string = '' ; 
	emailAddress1 : string = '' ; 
	suppSearcgTerm : string = '' ; 
	businessPartnerName1 : string = '' ; 
	businessPartnerName2 : string = '' ; 
	businessPartnerName3 : string = '' ; 
	businessPartnerName4 : string = '' ; 
	address1 : string = '' ; 
	address2 : string = '' ; 
	address3 : string = '' ; 
	district : string = '' ; 
	city : string = '' ; 
	postalCd : string = '' ; 
	country : string = '' ; 
	phoneNo : string = '' ; 
	faxNo : string = '' ; 
	taxNo : string = '' ; 
	taxCate : string = '' ; 
	companyCode : string = '' ; 
	paymentMethodCd : string = '' ; 
	paymentMethodNm : string = '' ; 
	paymentTermCd : string = '' ; 
	paymentTermNm : string = '' ; 
	orderCurrency : string = '' ; 
	typeOfIndustry : string = '' ; 
	previousMasterRecordNumber : string = '' ; 
	textIdTitle : string = '' ; 
	uniqueBankId : string = '' ; 
	suppBankKey : string = '' ; 
	suppBankCountry : string = '' ; 
	suppAccount : string = '' ; 
	accountHolder : string = '' ; 
	accname : string = '' ; 
	partnerBankName : string = '' ; 
	externalId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this.businessPartnerCategory,
			this.businessPartnerGroup,
			this.businessPartnerRole,
			this.businessPartnerCd,
			this.emailAddress1,
			this.suppSearcgTerm,
			this.businessPartnerName1,
			this.businessPartnerName2,
			this.businessPartnerName3,
			this.businessPartnerName4,
			this.address1,
			this.address2,
			this.address3,
			this.district,
			this.city,
			this.postalCd,
			this.country,
			this.phoneNo,
			this.faxNo,
			this.taxNo,
			this.taxCate,
			this.companyCode,
			this.paymentMethodCd,
			this.paymentMethodNm,
			this.paymentTermCd,
			this.paymentTermNm,
			this.orderCurrency,
			this.typeOfIndustry,
			this.previousMasterRecordNumber,
			this.textIdTitle,
			this.uniqueBankId,
			this.suppBankKey,
			this.suppBankCountry,
			this.suppAccount,
			this.accountHolder,
			this.accname,
			this.partnerBankName,
			'',
            this.paginationParams.skipCount,
            this.paginationParams.pageSize
        );
    }
    onChangeRowSelection(params: { api: { getSelectedRows: () =&gt; MstCmmBusinessParterDto[] } }) {
        this.saveSelectedRow = params.api.getSelectedRows()[0] ?? new MstCmmBusinessParterDto();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MstCmmBusinessParterDto):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this._service.getBusinessParterToExcel(
			this.businessPartnerCategory,
			this.businessPartnerGroup,
			this.businessPartnerRole,
			this.businessPartnerCd,
			this.emailAddress1,
			this.suppSearcgTerm,
			this.businessPartnerName1,
			this.businessPartnerName2,
			this.businessPartnerName3,
			this.businessPartnerName4,
			this.address1,
			this.address2,
			this.address3,
			this.district,
			this.city,
			this.postalCd,
			this.country,
			this.phoneNo,
			this.faxNo,
			this.taxNo,
			this.taxCate,
			this.companyCode,
			this.paymentMethodCd,
			this.paymentMethodNm,
			this.paymentTermCd,
			this.paymentTermNm,
			this.orderCurrency,
			this.typeOfIndustry,
			this.previousMasterRecordNumber,
			this.textIdTitle,
			this.uniqueBankId,
			this.suppBankKey,
			this.suppBankCountry,
			this.suppAccount,
			this.accountHolder,
			this.accname,
			this.partnerBankName,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BusinessParter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[(ngModel)]='businessPartnerGroup' name='businessPartnerGroup'
									class='form-control' [placeholder]="l('Business Partner Group')"
									type='text' (keyup.enter)='searchDatas()'&gt;
								&lt;/div&gt;
								&lt;div class='input-search'&gt;
									&lt;input [(ngModel)]='businessPartnerRole' name='businessPartnerRole'
									class='form-control' [placeholder]="l('Business Partner Role')"
									type='text' (keyup.enter)='searchDatas()'&gt;
								&lt;/div&gt;
								&lt;div class='input-search'&gt;
									&lt;input [(ngModel)]='businessPartnerCd' name='businessPartnerCd'
									class='form-control' [placeholder]="l('Business Partner Cd')"
									type='text' (keyup.enter)='searchDatas()'&gt;
								&lt;/div&gt;
								&lt;div class='input-search'&gt;
									&lt;input [(ngModel)]='emailAddress1' name='emailAddress1'
									class='form-control' [placeholder]="l('Email Address 1')"
									type='text' (keyup.enter)='searchDatas()'&gt;
								&lt;/div&gt;
								&lt;div class='input-search'&gt;
									&lt;input [(ngModel)]='suppSearcgTerm' name='suppSearcgTerm'
									class='form-control' [placeholder]="l('Supp Searcg Term')"
									type='text' (keyup.enter)='searchDatas()'&gt;
								&lt;/div&gt;
								&lt;div class='input-search'&gt;
									&lt;input [(ngModel)]='businessPartnerName1' name='businessPartnerName1'
									class='form-control' [placeholder]="l('Business Partner Name 1')"
									type='text' (keyup.enter)='searchDatas()'&gt;
								&lt;/div&gt;
								&lt;div class='input-search'&gt;
									&lt;input [(ngModel)]='businessPartnerName2' name='businessPartnerName2'
									class='form-control' [placeholder]="l('Business Partner Name 2')"
									type='text' (keyup.enter)='searchDatas()'&gt;
								&lt;/div&gt;
								&lt;div class='input-search'&gt;
									&lt;input [(ngModel)]='businessPartnerName3' name='businessPartnerName3'
									class='form-control' [placeholder]="l('Business Partner Name 3')"
									type='text' (keyup.enter)='searchDatas()'&gt;
								&lt;/div&gt;
								&lt;div class='input-search'&gt;
									&lt;input [(ngModel)]='businessPartnerName4' name='businessPartnerName4'
									class='form-control' [placeholder]="l('Business Partner Name 4')"
									type='text' (keyup.enter)='searchDatas()'&gt;
								&lt;/div&gt;
								&lt;div class='input-search'&gt;
									&lt;input [(ngModel)]='address1' name='address1'
									class='form-control' [placeholder]="l('Address 1')"
									type='text' (keyup.enter)='searchDatas()'&gt;
								&lt;/div&gt;
								&lt;div class='input-search'&gt;
									&lt;input [(ngModel)]='address2' name='address2'
									class='form-control' [placeholder]="l('Address 2')"
									type='text' (keyup.enter)='searchDatas()'&gt;
								&lt;/div&gt;
								&lt;div class='input-search'&gt;
									&lt;input [(ngModel)]='address3' name='address3'
									class='form-control' [placeholder]="l('Address 3')"
									type='text' (keyup.enter)='searchDatas()'&gt;
								&lt;/div&gt;
								&lt;div class='input-search'&gt;
									&lt;input [(ngModel)]='district' name='district'
									class='form-control' [placeholder]="l('District')"
									type='text' (keyup.enter)='searchDatas()'&gt;
								&lt;/div&gt;
								&lt;div class='input-search'&gt;
									&lt;input [(ngModel)]='city' name='city'
									class='form-control' [placeholder]="l('City')"
									type='text' (keyup.enter)='searchDatas()'&gt;
								&lt;/div&gt;
								&lt;div class='input-search'&gt;
									&lt;input [(ngModel)]='postalCd' name='postalCd'
									class='form-control' [placeholder]="l('Postal Cd')"
									type='text' (keyup.enter)='searchDatas()'&gt;
								&lt;/div&gt;
								&lt;div class='input-search'&gt;
									&lt;input [(ngModel)]='country' name='country'
									class='form-control' [placeholder]="l('Country')"
									type='text' (keyup.enter)='searchDatas()'&gt;
								&lt;/div&gt;
								&lt;div class='input-search'&gt;
									&lt;input [(ngModel)]='phoneNo' name='phoneNo'
									class='form-control' [placeholder]="l('Phone No')"
									type='text' (keyup.enter)='searchDatas()'&gt;
								&lt;/div&gt;
								&lt;div class='input-search'&gt;
									&lt;input [(ngModel)]='faxNo' name='faxNo'
									class='form-control' [placeholder]="l('Fax No')"
									type='text' (keyup.enter)='searchDatas()'&gt;
								&lt;/div&gt;
								&lt;div class='input-search'&gt;
									&lt;input [(ngModel)]='taxNo' name='taxNo'
									class='form-control' [placeholder]="l('Tax No')"
									type='text' (keyup.enter)='searchDatas()'&gt;
								&lt;/div&gt;
								&lt;div class='input-search'&gt;
									&lt;input [(ngModel)]='taxCate' name='taxCate'
									class='form-control' [placeholder]="l('Tax Cate')"
									type='text' (keyup.enter)='searchDatas()'&gt;
								&lt;/div&gt;
								&lt;div class='input-search'&gt;
									&lt;input [(ngModel)]='companyCode' name='companyCode'
									class='form-control' [placeholder]="l('Company Code')"
									type='text' (keyup.enter)='searchDatas()'&gt;
								&lt;/div&gt;
								&lt;div class='input-search'&gt;
									&lt;input [(ngModel)]='paymentMethodCd' name='paymentMethodCd'
									class='form-control' [placeholder]="l('Payment Method Cd')"
									type='text' (keyup.enter)='searchDatas()'&gt;
								&lt;/div&gt;
								&lt;div class='input-search'&gt;
									&lt;input [(ngModel)]='paymentMethodNm' name='paymentMethodNm'
									class='form-control' [placeholder]="l('Payment Method Nm')"
									type='text' (keyup.enter)='searchDatas()'&gt;
								&lt;/div&gt;
								&lt;div class='input-search'&gt;
									&lt;input [(ngModel)]='paymentTermCd' name='paymentTermCd'
									class='form-control' [placeholder]="l('Payment Term Cd')"
									type='text' (keyup.enter)='searchDatas()'&gt;
								&lt;/div&gt;
								&lt;div class='input-search'&gt;
									&lt;input [(ngModel)]='paymentTermNm' name='paymentTermNm'
									class='form-control' [placeholder]="l('Payment Term Nm')"
									type='text' (keyup.enter)='searchDatas()'&gt;
								&lt;/div&gt;
								&lt;div class='input-search'&gt;
									&lt;input [(ngModel)]='orderCurrency' name='orderCurrency'
									class='form-control' [placeholder]="l('Order Currency')"
									type='text' (keyup.enter)='searchDatas()'&gt;
								&lt;/div&gt;
								&lt;div class='input-search'&gt;
									&lt;input [(ngModel)]='typeOfIndustry' name='typeOfIndustry'
									class='form-control' [placeholder]="l('Type Of Industry')"
									type='text' (keyup.enter)='searchDatas()'&gt;
								&lt;/div&gt;
								&lt;div class='input-search'&gt;
									&lt;input [(ngModel)]='previousMasterRecordNumber' name='previousMasterRecordNumber'
									class='form-control' [placeholder]="l('Previous Master Record Number')"
									type='text' (keyup.enter)='searchDatas()'&gt;
								&lt;/div&gt;
								&lt;div class='input-search'&gt;
									&lt;input [(ngModel)]='textIdTitle' name='textIdTitle'
									class='form-control' [placeholder]="l('Text Id Title')"
									type='text' (keyup.enter)='searchDatas()'&gt;
								&lt;/div&gt;
								&lt;div class='input-search'&gt;
									&lt;input [(ngModel)]='uniqueBankId' name='uniqueBankId'
									class='form-control' [placeholder]="l('Unique Bank Id')"
									type='text' (keyup.enter)='searchDatas()'&gt;
								&lt;/div&gt;
								&lt;div class='input-search'&gt;
									&lt;input [(ngModel)]='suppBankKey' name='suppBankKey'
									class='form-control' [placeholder]="l('Supp Bank Key')"
									type='text' (keyup.enter)='searchDatas()'&gt;
								&lt;/div&gt;
								&lt;div class='input-search'&gt;
									&lt;input [(ngModel)]='suppBankCountry' name='suppBankCountry'
									class='form-control' [placeholder]="l('Supp Bank Country')"
									type='text' (keyup.enter)='searchDatas()'&gt;
								&lt;/div&gt;
								&lt;div class='input-search'&gt;
									&lt;input [(ngModel)]='suppAccount' name='suppAccount'
									class='form-control' [placeholder]="l('Supp Account')"
									type='text' (keyup.enter)='searchDatas()'&gt;
								&lt;/div&gt;
								&lt;div class='input-search'&gt;
									&lt;input [(ngModel)]='accountHolder' name='accountHolder'
									class='form-control' [placeholder]="l('Account Holder')"
									type='text' (keyup.enter)='searchDatas()'&gt;
								&lt;/div&gt;
								&lt;div class='input-search'&gt;
									&lt;input [(ngModel)]='accname' name='accname'
									class='form-control' [placeholder]="l('Accname')"
									type='text' (keyup.enter)='searchDatas()'&gt;
								&lt;/div&gt;
								&lt;div class='input-search'&gt;
									&lt;input [(ngModel)]='partnerBankName' name='partnerBankName'
									class='form-control' [placeholder]="l('Partner Bank Name')"
									type='text' (keyup.enter)='searchDatas()'&gt;
								&lt;/div&gt;
								&lt;div class='input-search'&gt;
									&lt;input [(ngModel)]='externalId' name='externalId'
									class='form-control' [placeholder]="l('External Id')"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(click)="createOrEditModalBusinessParter.show()"&gt;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(click)="createOrEditModalBusinessParter.show(selectedRow)"&gt;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&lt;create-or-edit-businessparter-modal
    #createOrEditModalBusinessParter
    (modalSave)="callBackDataGrid(dataParams)"
    (modalClose)="onChangeRowSelection(dataParams)"
&gt;
&lt;/create-or-edit-businessparter-modal&gt;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#createOrEditModalBusinessParter="bs-modal"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BusinessParter')}}&lt;/h3&gt;
                    &lt;h3 *ngIf="!rowdata.id"&gt;{{('Create New BusinessParter')}}&lt;/h3&gt;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title'&gt;Nation&lt;/label&gt;
						&lt;new-checkbox [(ngModel)]='_nation' name='nation' className='col-md-10' &gt; &lt;/new-checkbox&gt;
					&lt;/div&gt;
					&lt;div class='col-md-12 form-group row'&gt;
						&lt;label class='col-md-2 form-control title'&gt;Business Partner Category&lt;/label&gt;
						&lt;new-checkbox [(ngModel)]='_businessPartnerCategory' name='businessPartnerCategory' className='col-md-10' &gt; &lt;/new-checkbox&gt;
					&lt;/div&gt;
					&lt;div class='col-md-12 form-group row'&gt;
						&lt;label class='col-md-2 form-control title'&gt;Business Partner Group&lt;/label&gt;
						&lt;input type='text' class='col-md-10 form-control input-text' name='BusinessPartnerGroup' [(ngModel)]='rowdata.businessPartnerGroup'&gt;
					&lt;/div&gt;
					&lt;div class='col-md-12 form-group row'&gt;
						&lt;label class='col-md-2 form-control title'&gt;Business Partner Role&lt;/label&gt;
						&lt;input type='text' class='col-md-10 form-control input-text' name='BusinessPartnerRole' [(ngModel)]='rowdata.businessPartnerRole'&gt;
					&lt;/div&gt;
					&lt;div class='col-md-12 form-group row'&gt;
						&lt;label class='col-md-2 form-control title'&gt;Business Partner Cd&lt;/label&gt;
						&lt;input type='text' class='col-md-10 form-control input-text' name='BusinessPartnerCd' [(ngModel)]='rowdata.businessPartnerCd'&gt;
					&lt;/div&gt;
					&lt;div class='col-md-12 form-group row'&gt;
						&lt;label class='col-md-2 form-control title'&gt;Email Address 1&lt;/label&gt;
						&lt;input type='text' class='col-md-10 form-control input-text' name='EmailAddress1' [(ngModel)]='rowdata.emailAddress1'&gt;
					&lt;/div&gt;
					&lt;div class='col-md-12 form-group row'&gt;
						&lt;label class='col-md-2 form-control title'&gt;Supp Searcg Term&lt;/label&gt;
						&lt;input type='text' class='col-md-10 form-control input-text' name='SuppSearcgTerm' [(ngModel)]='rowdata.suppSearcgTerm'&gt;
					&lt;/div&gt;
					&lt;div class='col-md-12 form-group row'&gt;
						&lt;label class='col-md-2 form-control title'&gt;Business Partner Name 1&lt;/label&gt;
						&lt;input type='text' class='col-md-10 form-control input-text' name='BusinessPartnerName1' [(ngModel)]='rowdata.businessPartnerName1'&gt;
					&lt;/div&gt;
					&lt;div class='col-md-12 form-group row'&gt;
						&lt;label class='col-md-2 form-control title'&gt;Business Partner Name 2&lt;/label&gt;
						&lt;input type='text' class='col-md-10 form-control input-text' name='BusinessPartnerName2' [(ngModel)]='rowdata.businessPartnerName2'&gt;
					&lt;/div&gt;
					&lt;div class='col-md-12 form-group row'&gt;
						&lt;label class='col-md-2 form-control title'&gt;Business Partner Name 3&lt;/label&gt;
						&lt;input type='text' class='col-md-10 form-control input-text' name='BusinessPartnerName3' [(ngModel)]='rowdata.businessPartnerName3'&gt;
					&lt;/div&gt;
					&lt;div class='col-md-12 form-group row'&gt;
						&lt;label class='col-md-2 form-control title'&gt;Business Partner Name 4&lt;/label&gt;
						&lt;input type='text' class='col-md-10 form-control input-text' name='BusinessPartnerName4' [(ngModel)]='rowdata.businessPartnerName4'&gt;
					&lt;/div&gt;
					&lt;div class='col-md-12 form-group row'&gt;
						&lt;label class='col-md-2 form-control title'&gt;Address 1&lt;/label&gt;
						&lt;input type='text' class='col-md-10 form-control input-text' name='Address1' [(ngModel)]='rowdata.address1'&gt;
					&lt;/div&gt;
					&lt;div class='col-md-12 form-group row'&gt;
						&lt;label class='col-md-2 form-control title'&gt;Address 2&lt;/label&gt;
						&lt;input type='text' class='col-md-10 form-control input-text' name='Address2' [(ngModel)]='rowdata.address2'&gt;
					&lt;/div&gt;
					&lt;div class='col-md-12 form-group row'&gt;
						&lt;label class='col-md-2 form-control title'&gt;Address 3&lt;/label&gt;
						&lt;input type='text' class='col-md-10 form-control input-text' name='Address3' [(ngModel)]='rowdata.address3'&gt;
					&lt;/div&gt;
					&lt;div class='col-md-12 form-group row'&gt;
						&lt;label class='col-md-2 form-control title'&gt;District&lt;/label&gt;
						&lt;input type='text' class='col-md-10 form-control input-text' name='District' [(ngModel)]='rowdata.district'&gt;
					&lt;/div&gt;
					&lt;div class='col-md-12 form-group row'&gt;
						&lt;label class='col-md-2 form-control title'&gt;City&lt;/label&gt;
						&lt;input type='text' class='col-md-10 form-control input-text' name='City' [(ngModel)]='rowdata.city'&gt;
					&lt;/div&gt;
					&lt;div class='col-md-12 form-group row'&gt;
						&lt;label class='col-md-2 form-control title'&gt;Postal Cd&lt;/label&gt;
						&lt;input type='text' class='col-md-10 form-control input-text' name='PostalCd' [(ngModel)]='rowdata.postalCd'&gt;
					&lt;/div&gt;
					&lt;div class='col-md-12 form-group row'&gt;
						&lt;label class='col-md-2 form-control title'&gt;Country&lt;/label&gt;
						&lt;input type='text' class='col-md-10 form-control input-text' name='Country' [(ngModel)]='rowdata.country'&gt;
					&lt;/div&gt;
					&lt;div class='col-md-12 form-group row'&gt;
						&lt;label class='col-md-2 form-control title'&gt;Phone No&lt;/label&gt;
						&lt;input type='text' class='col-md-10 form-control input-text' name='PhoneNo' [(ngModel)]='rowdata.phoneNo'&gt;
					&lt;/div&gt;
					&lt;div class='col-md-12 form-group row'&gt;
						&lt;label class='col-md-2 form-control title'&gt;Fax No&lt;/label&gt;
						&lt;input type='text' class='col-md-10 form-control input-text' name='FaxNo' [(ngModel)]='rowdata.faxNo'&gt;
					&lt;/div&gt;
					&lt;div class='col-md-12 form-group row'&gt;
						&lt;label class='col-md-2 form-control title'&gt;Tax No&lt;/label&gt;
						&lt;input type='text' class='col-md-10 form-control input-text' name='TaxNo' [(ngModel)]='rowdata.taxNo'&gt;
					&lt;/div&gt;
					&lt;div class='col-md-12 form-group row'&gt;
						&lt;label class='col-md-2 form-control title'&gt;Tax Cate&lt;/label&gt;
						&lt;input type='text' class='col-md-10 form-control input-text' name='TaxCate' [(ngModel)]='rowdata.taxCate'&gt;
					&lt;/div&gt;
					&lt;div class='col-md-12 form-group row'&gt;
						&lt;label class='col-md-2 form-control title'&gt;Company Code&lt;/label&gt;
						&lt;input type='text' class='col-md-10 form-control input-text' name='CompanyCode' [(ngModel)]='rowdata.companyCode'&gt;
					&lt;/div&gt;
					&lt;div class='col-md-12 form-group row'&gt;
						&lt;label class='col-md-2 form-control title'&gt;Payment Method Cd&lt;/label&gt;
						&lt;input type='text' class='col-md-10 form-control input-text' name='PaymentMethodCd' [(ngModel)]='rowdata.paymentMethodCd'&gt;
					&lt;/div&gt;
					&lt;div class='col-md-12 form-group row'&gt;
						&lt;label class='col-md-2 form-control title'&gt;Payment Method Nm&lt;/label&gt;
						&lt;input type='text' class='col-md-10 form-control input-text' name='PaymentMethodNm' [(ngModel)]='rowdata.paymentMethodNm'&gt;
					&lt;/div&gt;
					&lt;div class='col-md-12 form-group row'&gt;
						&lt;label class='col-md-2 form-control title'&gt;Payment Term Cd&lt;/label&gt;
						&lt;input type='text' class='col-md-10 form-control input-text' name='PaymentTermCd' [(ngModel)]='rowdata.paymentTermCd'&gt;
					&lt;/div&gt;
					&lt;div class='col-md-12 form-group row'&gt;
						&lt;label class='col-md-2 form-control title'&gt;Payment Term Nm&lt;/label&gt;
						&lt;input type='text' class='col-md-10 form-control input-text' name='PaymentTermNm' [(ngModel)]='rowdata.paymentTermNm'&gt;
					&lt;/div&gt;
					&lt;div class='col-md-12 form-group row'&gt;
						&lt;label class='col-md-2 form-control title'&gt;Order Currency&lt;/label&gt;
						&lt;input type='text' class='col-md-10 form-control input-text' name='OrderCurrency' [(ngModel)]='rowdata.orderCurrency'&gt;
					&lt;/div&gt;
					&lt;div class='col-md-12 form-group row'&gt;
						&lt;label class='col-md-2 form-control title'&gt;Type Of Industry&lt;/label&gt;
						&lt;input type='text' class='col-md-10 form-control input-text' name='TypeOfIndustry' [(ngModel)]='rowdata.typeOfIndustry'&gt;
					&lt;/div&gt;
					&lt;div class='col-md-12 form-group row'&gt;
						&lt;label class='col-md-2 form-control title'&gt;Previous Master Record Number&lt;/label&gt;
						&lt;input type='text' class='col-md-10 form-control input-text' name='PreviousMasterRecordNumber' [(ngModel)]='rowdata.previousMasterRecordNumber'&gt;
					&lt;/div&gt;
					&lt;div class='col-md-12 form-group row'&gt;
						&lt;label class='col-md-2 form-control title'&gt;Text Id Title&lt;/label&gt;
						&lt;input type='text' class='col-md-10 form-control input-text' name='TextIdTitle' [(ngModel)]='rowdata.textIdTitle'&gt;
					&lt;/div&gt;
					&lt;div class='col-md-12 form-group row'&gt;
						&lt;label class='col-md-2 form-control title'&gt;Unique Bank Id&lt;/label&gt;
						&lt;input type='text' class='col-md-10 form-control input-text' name='UniqueBankId' [(ngModel)]='rowdata.uniqueBankId'&gt;
					&lt;/div&gt;
					&lt;div class='col-md-12 form-group row'&gt;
						&lt;label class='col-md-2 form-control title'&gt;Supp Bank Key&lt;/label&gt;
						&lt;input type='text' class='col-md-10 form-control input-text' name='SuppBankKey' [(ngModel)]='rowdata.suppBankKey'&gt;
					&lt;/div&gt;
					&lt;div class='col-md-12 form-group row'&gt;
						&lt;label class='col-md-2 form-control title'&gt;Supp Bank Country&lt;/label&gt;
						&lt;input type='text' class='col-md-10 form-control input-text' name='SuppBankCountry' [(ngModel)]='rowdata.suppBankCountry'&gt;
					&lt;/div&gt;
					&lt;div class='col-md-12 form-group row'&gt;
						&lt;label class='col-md-2 form-control title'&gt;Supp Account&lt;/label&gt;
						&lt;input type='text' class='col-md-10 form-control input-text' name='SuppAccount' [(ngModel)]='rowdata.suppAccount'&gt;
					&lt;/div&gt;
					&lt;div class='col-md-12 form-group row'&gt;
						&lt;label class='col-md-2 form-control title'&gt;Account Holder&lt;/label&gt;
						&lt;input type='text' class='col-md-10 form-control input-text' name='AccountHolder' [(ngModel)]='rowdata.accountHolder'&gt;
					&lt;/div&gt;
					&lt;div class='col-md-12 form-group row'&gt;
						&lt;label class='col-md-2 form-control title'&gt;Accname&lt;/label&gt;
						&lt;input type='text' class='col-md-10 form-control input-text' name='Accname' [(ngModel)]='rowdata.accname'&gt;
					&lt;/div&gt;
					&lt;div class='col-md-12 form-group row'&gt;
						&lt;label class='col-md-2 form-control title'&gt;Partner Bank Name&lt;/label&gt;
						&lt;input type='text' class='col-md-10 form-control input-text' name='PartnerBankName' [(ngModel)]='rowdata.partnerBankName'&gt;
					&lt;/div&gt;
					&lt;div class='col-md-12 form-group row'&gt;
						&lt;label class='col-md-2 form-control title'&gt;External Id&lt;/label&gt;
						&lt;input type='text' class='col-md-10 form-control input-text' name='ExternalId' [(ngModel)]='rowdata.externalId'&gt;
					&lt;/div&gt;
					&lt;div class='col-md-12 form-group row'&gt;
						&lt;label class='col-md-2 form-control title'&gt;Status Flag Ab&lt;/label&gt;
						&lt;new-checkbox [(ngModel)]='_statusFlagAb' name='statusFlagAb' className='col-md-10' &gt; &lt;/new-checkbox&gt;
					&lt;/div&gt;
					&lt;div class='col-md-12 form-group row'&gt;
						&lt;label class='col-md-2 form-control title'&gt;Status Flag Cb&lt;/label&gt;
						&lt;new-checkbox [(ngModel)]='_statusFlagCb' name='statusFlagCb' className='col-md-10' &gt; &lt;/new-checkbox&gt;
					&lt;/div&gt;
					&lt;div class='col-md-12 form-group row'&gt;
						&lt;label class='col-md-2 form-control title'&gt;Status Flag Ad&lt;/label&gt;
						&lt;new-checkbox [(ngModel)]='_statusFlagAd' name='statusFlagAd' className='col-md-10' &gt; &lt;/new-checkbox&gt;
					&lt;/div&gt;
					&lt;div class='col-md-12 form-group row'&gt;
						&lt;label class='col-md-2 form-control title'&gt;Status Flag Cd&lt;/label&gt;
						&lt;new-checkbox [(ngModel)]='_statusFlagCd' name='statusFlagCd'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CreateOrEditMstCmmBusinessParterDto, MstCmmBusinessParterServiceProxy } from '@shared/service-proxies/service-proxies';
import { BsDatepickerDirective } from 'ngx-bootstrap/datepicker';
@Component({
    selector: 'create-or-edit-businessparter-modal',
    templateUrl: './create-or-edit-businessparter-modal.component.html',
    styleUrls: ['./create-or-edit-businessparter-modal.component.less']
    })
export class CreateOrEditBusinessParterModalComponent extends AppComponentBase {
    @ViewChild('createOrEditModalBusinessParter',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CreateOrEditMstCmmBusinessParterDto = new CreateOrEditMstCmmBusinessParterDto();
    active: boolean = false;
    saving: boolean = false;
    _nation
businessPartnerCategory
statusFlagAb
statusFlagCb
statusFlagAd
statusFlagCd: boolean;
    constructor(
        injector: Injector,
        private _mstwptBusinessParterService: MstCmmBusinessParterServiceProxy,
    ) 
    {
        super(injector);
    }
    show(rowdata?: CreateOrEditMstCmmBusinessParterDto): void {
        if (!rowdata) this.rowdata = new CreateOrEditMstCmmBusinessParterDto();
        else this.rowdata = rowdata;
        this._nation
businessPartnerCategory
statusFlagAb
statusFlagCb
statusFlagAd
statusFlagCd = (this.rowdata.nation
businessPartnerCategory
statusFlagAb
statusFlagCb
statusFlagAd
statusFlagCd == "N")? false: true;
        this.active = true;
        this.modal.show();
    } 
    changeActive(event){
        this._nation
businessPartnerCategory
statusFlagAb
statusFlagCb
statusFlagAd
statusFlagCd = event.target.checked;
    }
    save(): void {
    this.saving = true; 
    this.rowdata.nation
businessPartnerCategory
statusFlagAb
statusFlagCb
statusFlagAd
statusFlagCd = (this._nation
businessPartnerCategory
statusFlagAb
statusFlagCb
statusFlagAd
statusFlagCd == true) ? 'Y' : 'N'
    this._mstwptBusinessParterService.createOrEdit(this.rowdata)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BusinessParterRoutingModule } from './businessparter-routing.module';
import { BusinessParterComponent } from './businessparter.component';
import { CreateOrEditBusinessParterModalComponent } from './create-or-edit-businessparter-modal.component';
@NgModule({
    declarations: [
       BusinessParterComponent, 
        CreateOrEditBusinessParterModalComponent
    ],
    imports: [
        AppSharedModule, BusinessParterRoutingModule]
})
export class BusinessParterModule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BusinessParterComponent } from './businessparter.component';
const routes: Routes = [{
    path: '',
    component: BusinessParterComponent,
    pathMatch: 'full'
}];
@NgModule({
    imports: [RouterModule.forChild(routes)],
    exports: [RouterModule],
})
export class BusinessParterRoutingModule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AppMenuItem("BusinessParter", "Pages.Master.Cmm.BusinessParter", "flaticon-book",   "/app/main/master/cmm/businessparter"),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'master/cmm/businessparter',
    loadChildren: () =&gt; import('./master/cmm/businessparter/businessparter.module').then(m =&gt; m.BusinessParterModule),
    data: { permission: 'Pages.Master.Cmm.BusinessParter' }
},</v>
      </c>
      <c r="R10" s="47" t="str">
        <f>SUBSTITUTE(R9,"MstWptCalendar",$B$6)</f>
        <v>ApiServiceProxies.MstCmmBusinessParterServiceProxy,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H57</v>
      </c>
      <c r="I12" s="28" t="str">
        <f>"I"&amp;COUNTA($A:$A)</f>
        <v>I57</v>
      </c>
      <c r="J12" s="28"/>
      <c r="K12" s="28" t="str">
        <f>"K"&amp;COUNTA($A:$A)</f>
        <v>K57</v>
      </c>
      <c r="L12" s="28" t="str">
        <f>"L"&amp;COUNTA($A:$A)</f>
        <v>L57</v>
      </c>
      <c r="M12" s="28"/>
      <c r="N12" s="28"/>
      <c r="O12" s="28"/>
      <c r="P12" s="28"/>
      <c r="Q12" s="28"/>
      <c r="R12" s="28"/>
      <c r="S12" s="28" t="str">
        <f>"S"&amp;COUNTA($A:$A)</f>
        <v>S57</v>
      </c>
      <c r="T12" s="28" t="str">
        <f>"T"&amp;COUNTA($A:$A)</f>
        <v>T57</v>
      </c>
      <c r="U12" s="28" t="str">
        <f>"U"&amp;COUNTA($A:$A)</f>
        <v>U57</v>
      </c>
      <c r="V12" s="28" t="str">
        <f>"V"&amp;COUNTA($A:$A)</f>
        <v>V57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this.l('Nation'),headerTooltip: this.l('Nation'),field:  'nation', cellClass: ['text-center'], width: 120, cellRenderer: 'agCellButtonComponent',
buttonDefTwo: { text: params =&gt; (params.data?.'nation' == 'Y') ? 'Active' : 'Inactive',iconName: 'fa fa-circle',className: params =&gt; (params.data?.'nation' == 'Y') ? 'btnActive' : 'btnInActive',},}
			{headerName: this.l('Business Partner Category'),headerTooltip: this.l('Business Partner Category'),field:  'businessPartnerCategory', cellClass: ['text-center'], width: 120, cellRenderer: 'agCellButtonComponent',
buttonDefTwo: { text: params =&gt; (params.data?.'businessPartnerCategory' == 'Y') ? 'Active' : 'Inactive',iconName: 'fa fa-circle',className: params =&gt; (params.data?.'businessPartnerCategory' == 'Y') ? 'btnActive' : 'btnInActive',},}
			{headerName: this.l('Business Partner Group'),headerTooltip: this.l('Business Partner Group'),field: 'businessPartnerGroup',flex: 1},
			{headerName: this.l('Business Partner Role'),headerTooltip: this.l('Business Partner Role'),field: 'businessPartnerRole',flex: 1},
			{headerName: this.l('Business Partner Cd'),headerTooltip: this.l('Business Partner Cd'),field: 'businessPartnerCd',flex: 1},
			{headerName: this.l('Email Address 1'),headerTooltip: this.l('Email Address 1'),field: 'emailAddress1',flex: 1},
			{headerName: this.l('Supp Searcg Term'),headerTooltip: this.l('Supp Searcg Term'),field: 'suppSearcgTerm',flex: 1},
			{headerName: this.l('Business Partner Name 1'),headerTooltip: this.l('Business Partner Name 1'),field: 'businessPartnerName1',flex: 1},
			{headerName: this.l('Business Partner Name 2'),headerTooltip: this.l('Business Partner Name 2'),field: 'businessPartnerName2',flex: 1},
			{headerName: this.l('Business Partner Name 3'),headerTooltip: this.l('Business Partner Name 3'),field: 'businessPartnerName3',flex: 1},
			{headerName: this.l('Business Partner Name 4'),headerTooltip: this.l('Business Partner Name 4'),field: 'businessPartnerName4',flex: 1},
			{headerName: this.l('Address 1'),headerTooltip: this.l('Address 1'),field: 'address1',flex: 1},
			{headerName: this.l('Address 2'),headerTooltip: this.l('Address 2'),field: 'address2',flex: 1},
			{headerName: this.l('Address 3'),headerTooltip: this.l('Address 3'),field: 'address3',flex: 1},
			{headerName: this.l('District'),headerTooltip: this.l('District'),field: 'district',flex: 1},
			{headerName: this.l('City'),headerTooltip: this.l('City'),field: 'city',flex: 1},
			{headerName: this.l('Postal Cd'),headerTooltip: this.l('Postal Cd'),field: 'postalCd',flex: 1},
			{headerName: this.l('Country'),headerTooltip: this.l('Country'),field: 'country',flex: 1},
			{headerName: this.l('Phone No'),headerTooltip: this.l('Phone No'),field: 'phoneNo',flex: 1},
			{headerName: this.l('Fax No'),headerTooltip: this.l('Fax No'),field: 'faxNo',flex: 1},
			{headerName: this.l('Tax No'),headerTooltip: this.l('Tax No'),field: 'taxNo',flex: 1},
			{headerName: this.l('Tax Cate'),headerTooltip: this.l('Tax Cate'),field: 'taxCate',flex: 1},
			{headerName: this.l('Company Code'),headerTooltip: this.l('Company Code'),field: 'companyCode',flex: 1},
			{headerName: this.l('Payment Method Cd'),headerTooltip: this.l('Payment Method Cd'),field: 'paymentMethodCd',flex: 1},
			{headerName: this.l('Payment Method Nm'),headerTooltip: this.l('Payment Method Nm'),field: 'paymentMethodNm',flex: 1},
			{headerName: this.l('Payment Term Cd'),headerTooltip: this.l('Payment Term Cd'),field: 'paymentTermCd',flex: 1},
			{headerName: this.l('Payment Term Nm'),headerTooltip: this.l('Payment Term Nm'),field: 'paymentTermNm',flex: 1},
			{headerName: this.l('Order Currency'),headerTooltip: this.l('Order Currency'),field: 'orderCurrency',flex: 1},
			{headerName: this.l('Type Of Industry'),headerTooltip: this.l('Type Of Industry'),field: 'typeOfIndustry',flex: 1},
			{headerName: this.l('Previous Master Record Number'),headerTooltip: this.l('Previous Master Record Number'),field: 'previousMasterRecordNumber',flex: 1},
			{headerName: this.l('Text Id Title'),headerTooltip: this.l('Text Id Title'),field: 'textIdTitle',flex: 1},
			{headerName: this.l('Unique Bank Id'),headerTooltip: this.l('Unique Bank Id'),field: 'uniqueBankId',flex: 1},
			{headerName: this.l('Supp Bank Key'),headerTooltip: this.l('Supp Bank Key'),field: 'suppBankKey',flex: 1},
			{headerName: this.l('Supp Bank Country'),headerTooltip: this.l('Supp Bank Country'),field: 'suppBankCountry',flex: 1},
			{headerName: this.l('Supp Account'),headerTooltip: this.l('Supp Account'),field: 'suppAccount',flex: 1},
			{headerName: this.l('Account Holder'),headerTooltip: this.l('Account Holder'),field: 'accountHolder',flex: 1},
			{headerName: this.l('Accname'),headerTooltip: this.l('Accname'),field: 'accname',flex: 1},
			{headerName: this.l('Partner Bank Name'),headerTooltip: this.l('Partner Bank Name'),field: 'partnerBankName',flex: 1},
			{headerName: this.l('External Id'),headerTooltip: this.l('External Id'),field: 'externalId',flex: 1},
			{headerName: this.l('Status Flag Ab'),headerTooltip: this.l('Status Flag Ab'),field:  'statusFlagAb', cellClass: ['text-center'], width: 120, cellRenderer: 'agCellButtonComponent',
buttonDefTwo: { text: params =&gt; (params.data?.'statusFlagAb' == 'Y') ? 'Active' : 'Inactive',iconName: 'fa fa-circle',className: params =&gt; (params.data?.'statusFlagAb' == 'Y') ? 'btnActive' : 'btnInActive',},}
			{headerName: this.l('Status Flag Cb'),headerTooltip: this.l('Status Flag Cb'),field:  'statusFlagCb', cellClass: ['text-center'], width: 120, cellRenderer: 'agCellButtonComponent',
buttonDefTwo: { text: params =&gt; (params.data?.'statusFlagCb' == 'Y') ? 'Active' : 'Inactive',iconName: 'fa fa-circle',className: params =&gt; (params.data?.'statusFlagCb' == 'Y') ? 'btnActive' : 'btnInActive',},}
			{headerName: this.l('Status Flag Ad'),headerTooltip: this.l('Status Flag Ad'),field:  'statusFlagAd', cellClass: ['text-center'], width: 120, cellRenderer: 'agCellButtonComponent',
buttonDefTwo: { text: params =&gt; (params.data?.'statusFlagAd' == 'Y') ? 'Active' : 'Inactive',iconName: 'fa fa-circle',className: params =&gt; (params.data?.'statusFlagAd' == 'Y') ? 'btnActive' : 'btnInActive',},}
			{headerName: this.l('Status Flag Cd'),headerTooltip: this.l('Status Flag Cd'),field:  'statusFlagCd', cellClass: ['text-center'], width: 120, cellRenderer: 'agCellButtonComponent',
buttonDefTwo: { text: params =&gt; (params.data?.'statusFlagCd' == 'Y') ? 'Active' : 'Inactive',iconName: 'fa fa-circle',className: params =&gt; (params.data?.'statusFlagCd' == 'Y') ? 'btnActive' : 'btnInActive',},}</v>
      </c>
      <c r="I13" s="35" t="str">
        <f ca="1">TEXTJOIN2("
",TRUE,INDIRECT(I11):INDIRECT(I12))</f>
        <v xml:space="preserve">								&lt;div class='input-search'&gt;
									&lt;input [(ngModel)]='businessPartnerGroup' name='businessPartnerGroup'
									class='form-control' [placeholder]="l('Business Partner Group')"
									type='text' (keyup.enter)='searchDatas()'&gt;
								&lt;/div&gt;
								&lt;div class='input-search'&gt;
									&lt;input [(ngModel)]='businessPartnerRole' name='businessPartnerRole'
									class='form-control' [placeholder]="l('Business Partner Role')"
									type='text' (keyup.enter)='searchDatas()'&gt;
								&lt;/div&gt;
								&lt;div class='input-search'&gt;
									&lt;input [(ngModel)]='businessPartnerCd' name='businessPartnerCd'
									class='form-control' [placeholder]="l('Business Partner Cd')"
									type='text' (keyup.enter)='searchDatas()'&gt;
								&lt;/div&gt;
								&lt;div class='input-search'&gt;
									&lt;input [(ngModel)]='emailAddress1' name='emailAddress1'
									class='form-control' [placeholder]="l('Email Address 1')"
									type='text' (keyup.enter)='searchDatas()'&gt;
								&lt;/div&gt;
								&lt;div class='input-search'&gt;
									&lt;input [(ngModel)]='suppSearcgTerm' name='suppSearcgTerm'
									class='form-control' [placeholder]="l('Supp Searcg Term')"
									type='text' (keyup.enter)='searchDatas()'&gt;
								&lt;/div&gt;
								&lt;div class='input-search'&gt;
									&lt;input [(ngModel)]='businessPartnerName1' name='businessPartnerName1'
									class='form-control' [placeholder]="l('Business Partner Name 1')"
									type='text' (keyup.enter)='searchDatas()'&gt;
								&lt;/div&gt;
								&lt;div class='input-search'&gt;
									&lt;input [(ngModel)]='businessPartnerName2' name='businessPartnerName2'
									class='form-control' [placeholder]="l('Business Partner Name 2')"
									type='text' (keyup.enter)='searchDatas()'&gt;
								&lt;/div&gt;
								&lt;div class='input-search'&gt;
									&lt;input [(ngModel)]='businessPartnerName3' name='businessPartnerName3'
									class='form-control' [placeholder]="l('Business Partner Name 3')"
									type='text' (keyup.enter)='searchDatas()'&gt;
								&lt;/div&gt;
								&lt;div class='input-search'&gt;
									&lt;input [(ngModel)]='businessPartnerName4' name='businessPartnerName4'
									class='form-control' [placeholder]="l('Business Partner Name 4')"
									type='text' (keyup.enter)='searchDatas()'&gt;
								&lt;/div&gt;
								&lt;div class='input-search'&gt;
									&lt;input [(ngModel)]='address1' name='address1'
									class='form-control' [placeholder]="l('Address 1')"
									type='text' (keyup.enter)='searchDatas()'&gt;
								&lt;/div&gt;
								&lt;div class='input-search'&gt;
									&lt;input [(ngModel)]='address2' name='address2'
									class='form-control' [placeholder]="l('Address 2')"
									type='text' (keyup.enter)='searchDatas()'&gt;
								&lt;/div&gt;
								&lt;div class='input-search'&gt;
									&lt;input [(ngModel)]='address3' name='address3'
									class='form-control' [placeholder]="l('Address 3')"
									type='text' (keyup.enter)='searchDatas()'&gt;
								&lt;/div&gt;
								&lt;div class='input-search'&gt;
									&lt;input [(ngModel)]='district' name='district'
									class='form-control' [placeholder]="l('District')"
									type='text' (keyup.enter)='searchDatas()'&gt;
								&lt;/div&gt;
								&lt;div class='input-search'&gt;
									&lt;input [(ngModel)]='city' name='city'
									class='form-control' [placeholder]="l('City')"
									type='text' (keyup.enter)='searchDatas()'&gt;
								&lt;/div&gt;
								&lt;div class='input-search'&gt;
									&lt;input [(ngModel)]='postalCd' name='postalCd'
									class='form-control' [placeholder]="l('Postal Cd')"
									type='text' (keyup.enter)='searchDatas()'&gt;
								&lt;/div&gt;
								&lt;div class='input-search'&gt;
									&lt;input [(ngModel)]='country' name='country'
									class='form-control' [placeholder]="l('Country')"
									type='text' (keyup.enter)='searchDatas()'&gt;
								&lt;/div&gt;
								&lt;div class='input-search'&gt;
									&lt;input [(ngModel)]='phoneNo' name='phoneNo'
									class='form-control' [placeholder]="l('Phone No')"
									type='text' (keyup.enter)='searchDatas()'&gt;
								&lt;/div&gt;
								&lt;div class='input-search'&gt;
									&lt;input [(ngModel)]='faxNo' name='faxNo'
									class='form-control' [placeholder]="l('Fax No')"
									type='text' (keyup.enter)='searchDatas()'&gt;
								&lt;/div&gt;
								&lt;div class='input-search'&gt;
									&lt;input [(ngModel)]='taxNo' name='taxNo'
									class='form-control' [placeholder]="l('Tax No')"
									type='text' (keyup.enter)='searchDatas()'&gt;
								&lt;/div&gt;
								&lt;div class='input-search'&gt;
									&lt;input [(ngModel)]='taxCate' name='taxCate'
									class='form-control' [placeholder]="l('Tax Cate')"
									type='text' (keyup.enter)='searchDatas()'&gt;
								&lt;/div&gt;
								&lt;div class='input-search'&gt;
									&lt;input [(ngModel)]='companyCode' name='companyCode'
									class='form-control' [placeholder]="l('Company Code')"
									type='text' (keyup.enter)='searchDatas()'&gt;
								&lt;/div&gt;
								&lt;div class='input-search'&gt;
									&lt;input [(ngModel)]='paymentMethodCd' name='paymentMethodCd'
									class='form-control' [placeholder]="l('Payment Method Cd')"
									type='text' (keyup.enter)='searchDatas()'&gt;
								&lt;/div&gt;
								&lt;div class='input-search'&gt;
									&lt;input [(ngModel)]='paymentMethodNm' name='paymentMethodNm'
									class='form-control' [placeholder]="l('Payment Method Nm')"
									type='text' (keyup.enter)='searchDatas()'&gt;
								&lt;/div&gt;
								&lt;div class='input-search'&gt;
									&lt;input [(ngModel)]='paymentTermCd' name='paymentTermCd'
									class='form-control' [placeholder]="l('Payment Term Cd')"
									type='text' (keyup.enter)='searchDatas()'&gt;
								&lt;/div&gt;
								&lt;div class='input-search'&gt;
									&lt;input [(ngModel)]='paymentTermNm' name='paymentTermNm'
									class='form-control' [placeholder]="l('Payment Term Nm')"
									type='text' (keyup.enter)='searchDatas()'&gt;
								&lt;/div&gt;
								&lt;div class='input-search'&gt;
									&lt;input [(ngModel)]='orderCurrency' name='orderCurrency'
									class='form-control' [placeholder]="l('Order Currency')"
									type='text' (keyup.enter)='searchDatas()'&gt;
								&lt;/div&gt;
								&lt;div class='input-search'&gt;
									&lt;input [(ngModel)]='typeOfIndustry' name='typeOfIndustry'
									class='form-control' [placeholder]="l('Type Of Industry')"
									type='text' (keyup.enter)='searchDatas()'&gt;
								&lt;/div&gt;
								&lt;div class='input-search'&gt;
									&lt;input [(ngModel)]='previousMasterRecordNumber' name='previousMasterRecordNumber'
									class='form-control' [placeholder]="l('Previous Master Record Number')"
									type='text' (keyup.enter)='searchDatas()'&gt;
								&lt;/div&gt;
								&lt;div class='input-search'&gt;
									&lt;input [(ngModel)]='textIdTitle' name='textIdTitle'
									class='form-control' [placeholder]="l('Text Id Title')"
									type='text' (keyup.enter)='searchDatas()'&gt;
								&lt;/div&gt;
								&lt;div class='input-search'&gt;
									&lt;input [(ngModel)]='uniqueBankId' name='uniqueBankId'
									class='form-control' [placeholder]="l('Unique Bank Id')"
									type='text' (keyup.enter)='searchDatas()'&gt;
								&lt;/div&gt;
								&lt;div class='input-search'&gt;
									&lt;input [(ngModel)]='suppBankKey' name='suppBankKey'
									class='form-control' [placeholder]="l('Supp Bank Key')"
									type='text' (keyup.enter)='searchDatas()'&gt;
								&lt;/div&gt;
								&lt;div class='input-search'&gt;
									&lt;input [(ngModel)]='suppBankCountry' name='suppBankCountry'
									class='form-control' [placeholder]="l('Supp Bank Country')"
									type='text' (keyup.enter)='searchDatas()'&gt;
								&lt;/div&gt;
								&lt;div class='input-search'&gt;
									&lt;input [(ngModel)]='suppAccount' name='suppAccount'
									class='form-control' [placeholder]="l('Supp Account')"
									type='text' (keyup.enter)='searchDatas()'&gt;
								&lt;/div&gt;
								&lt;div class='input-search'&gt;
									&lt;input [(ngModel)]='accountHolder' name='accountHolder'
									class='form-control' [placeholder]="l('Account Holder')"
									type='text' (keyup.enter)='searchDatas()'&gt;
								&lt;/div&gt;
								&lt;div class='input-search'&gt;
									&lt;input [(ngModel)]='accname' name='accname'
									class='form-control' [placeholder]="l('Accname')"
									type='text' (keyup.enter)='searchDatas()'&gt;
								&lt;/div&gt;
								&lt;div class='input-search'&gt;
									&lt;input [(ngModel)]='partnerBankName' name='partnerBankName'
									class='form-control' [placeholder]="l('Partner Bank Name')"
									type='text' (keyup.enter)='searchDatas()'&gt;
								&lt;/div&gt;
								&lt;div class='input-search'&gt;
									&lt;input [(ngModel)]='externalId' name='externalId'
									class='form-control' [placeholder]="l('External Id')"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title'&gt;Nation&lt;/label&gt;
						&lt;new-checkbox [(ngModel)]='_nation' name='nation' className='col-md-10' &gt; &lt;/new-checkbox&gt;
					&lt;/div&gt;
					&lt;div class='col-md-12 form-group row'&gt;
						&lt;label class='col-md-2 form-control title'&gt;Business Partner Category&lt;/label&gt;
						&lt;new-checkbox [(ngModel)]='_businessPartnerCategory' name='businessPartnerCategory' className='col-md-10' &gt; &lt;/new-checkbox&gt;
					&lt;/div&gt;
					&lt;div class='col-md-12 form-group row'&gt;
						&lt;label class='col-md-2 form-control title'&gt;Business Partner Group&lt;/label&gt;
						&lt;input type='text' class='col-md-10 form-control input-text' name='BusinessPartnerGroup' [(ngModel)]='rowdata.businessPartnerGroup'&gt;
					&lt;/div&gt;
					&lt;div class='col-md-12 form-group row'&gt;
						&lt;label class='col-md-2 form-control title'&gt;Business Partner Role&lt;/label&gt;
						&lt;input type='text' class='col-md-10 form-control input-text' name='BusinessPartnerRole' [(ngModel)]='rowdata.businessPartnerRole'&gt;
					&lt;/div&gt;
					&lt;div class='col-md-12 form-group row'&gt;
						&lt;label class='col-md-2 form-control title'&gt;Business Partner Cd&lt;/label&gt;
						&lt;input type='text' class='col-md-10 form-control input-text' name='BusinessPartnerCd' [(ngModel)]='rowdata.businessPartnerCd'&gt;
					&lt;/div&gt;
					&lt;div class='col-md-12 form-group row'&gt;
						&lt;label class='col-md-2 form-control title'&gt;Email Address 1&lt;/label&gt;
						&lt;input type='text' class='col-md-10 form-control input-text' name='EmailAddress1' [(ngModel)]='rowdata.emailAddress1'&gt;
					&lt;/div&gt;
					&lt;div class='col-md-12 form-group row'&gt;
						&lt;label class='col-md-2 form-control title'&gt;Supp Searcg Term&lt;/label&gt;
						&lt;input type='text' class='col-md-10 form-control input-text' name='SuppSearcgTerm' [(ngModel)]='rowdata.suppSearcgTerm'&gt;
					&lt;/div&gt;
					&lt;div class='col-md-12 form-group row'&gt;
						&lt;label class='col-md-2 form-control title'&gt;Business Partner Name 1&lt;/label&gt;
						&lt;input type='text' class='col-md-10 form-control input-text' name='BusinessPartnerName1' [(ngModel)]='rowdata.businessPartnerName1'&gt;
					&lt;/div&gt;
					&lt;div class='col-md-12 form-group row'&gt;
						&lt;label class='col-md-2 form-control title'&gt;Business Partner Name 2&lt;/label&gt;
						&lt;input type='text' class='col-md-10 form-control input-text' name='BusinessPartnerName2' [(ngModel)]='rowdata.businessPartnerName2'&gt;
					&lt;/div&gt;
					&lt;div class='col-md-12 form-group row'&gt;
						&lt;label class='col-md-2 form-control title'&gt;Business Partner Name 3&lt;/label&gt;
						&lt;input type='text' class='col-md-10 form-control input-text' name='BusinessPartnerName3' [(ngModel)]='rowdata.businessPartnerName3'&gt;
					&lt;/div&gt;
					&lt;div class='col-md-12 form-group row'&gt;
						&lt;label class='col-md-2 form-control title'&gt;Business Partner Name 4&lt;/label&gt;
						&lt;input type='text' class='col-md-10 form-control input-text' name='BusinessPartnerName4' [(ngModel)]='rowdata.businessPartnerName4'&gt;
					&lt;/div&gt;
					&lt;div class='col-md-12 form-group row'&gt;
						&lt;label class='col-md-2 form-control title'&gt;Address 1&lt;/label&gt;
						&lt;input type='text' class='col-md-10 form-control input-text' name='Address1' [(ngModel)]='rowdata.address1'&gt;
					&lt;/div&gt;
					&lt;div class='col-md-12 form-group row'&gt;
						&lt;label class='col-md-2 form-control title'&gt;Address 2&lt;/label&gt;
						&lt;input type='text' class='col-md-10 form-control input-text' name='Address2' [(ngModel)]='rowdata.address2'&gt;
					&lt;/div&gt;
					&lt;div class='col-md-12 form-group row'&gt;
						&lt;label class='col-md-2 form-control title'&gt;Address 3&lt;/label&gt;
						&lt;input type='text' class='col-md-10 form-control input-text' name='Address3' [(ngModel)]='rowdata.address3'&gt;
					&lt;/div&gt;
					&lt;div class='col-md-12 form-group row'&gt;
						&lt;label class='col-md-2 form-control title'&gt;District&lt;/label&gt;
						&lt;input type='text' class='col-md-10 form-control input-text' name='District' [(ngModel)]='rowdata.district'&gt;
					&lt;/div&gt;
					&lt;div class='col-md-12 form-group row'&gt;
						&lt;label class='col-md-2 form-control title'&gt;City&lt;/label&gt;
						&lt;input type='text' class='col-md-10 form-control input-text' name='City' [(ngModel)]='rowdata.city'&gt;
					&lt;/div&gt;
					&lt;div class='col-md-12 form-group row'&gt;
						&lt;label class='col-md-2 form-control title'&gt;Postal Cd&lt;/label&gt;
						&lt;input type='text' class='col-md-10 form-control input-text' name='PostalCd' [(ngModel)]='rowdata.postalCd'&gt;
					&lt;/div&gt;
					&lt;div class='col-md-12 form-group row'&gt;
						&lt;label class='col-md-2 form-control title'&gt;Country&lt;/label&gt;
						&lt;input type='text' class='col-md-10 form-control input-text' name='Country' [(ngModel)]='rowdata.country'&gt;
					&lt;/div&gt;
					&lt;div class='col-md-12 form-group row'&gt;
						&lt;label class='col-md-2 form-control title'&gt;Phone No&lt;/label&gt;
						&lt;input type='text' class='col-md-10 form-control input-text' name='PhoneNo' [(ngModel)]='rowdata.phoneNo'&gt;
					&lt;/div&gt;
					&lt;div class='col-md-12 form-group row'&gt;
						&lt;label class='col-md-2 form-control title'&gt;Fax No&lt;/label&gt;
						&lt;input type='text' class='col-md-10 form-control input-text' name='FaxNo' [(ngModel)]='rowdata.faxNo'&gt;
					&lt;/div&gt;
					&lt;div class='col-md-12 form-group row'&gt;
						&lt;label class='col-md-2 form-control title'&gt;Tax No&lt;/label&gt;
						&lt;input type='text' class='col-md-10 form-control input-text' name='TaxNo' [(ngModel)]='rowdata.taxNo'&gt;
					&lt;/div&gt;
					&lt;div class='col-md-12 form-group row'&gt;
						&lt;label class='col-md-2 form-control title'&gt;Tax Cate&lt;/label&gt;
						&lt;input type='text' class='col-md-10 form-control input-text' name='TaxCate' [(ngModel)]='rowdata.taxCate'&gt;
					&lt;/div&gt;
					&lt;div class='col-md-12 form-group row'&gt;
						&lt;label class='col-md-2 form-control title'&gt;Company Code&lt;/label&gt;
						&lt;input type='text' class='col-md-10 form-control input-text' name='CompanyCode' [(ngModel)]='rowdata.companyCode'&gt;
					&lt;/div&gt;
					&lt;div class='col-md-12 form-group row'&gt;
						&lt;label class='col-md-2 form-control title'&gt;Payment Method Cd&lt;/label&gt;
						&lt;input type='text' class='col-md-10 form-control input-text' name='PaymentMethodCd' [(ngModel)]='rowdata.paymentMethodCd'&gt;
					&lt;/div&gt;
					&lt;div class='col-md-12 form-group row'&gt;
						&lt;label class='col-md-2 form-control title'&gt;Payment Method Nm&lt;/label&gt;
						&lt;input type='text' class='col-md-10 form-control input-text' name='PaymentMethodNm' [(ngModel)]='rowdata.paymentMethodNm'&gt;
					&lt;/div&gt;
					&lt;div class='col-md-12 form-group row'&gt;
						&lt;label class='col-md-2 form-control title'&gt;Payment Term Cd&lt;/label&gt;
						&lt;input type='text' class='col-md-10 form-control input-text' name='PaymentTermCd' [(ngModel)]='rowdata.paymentTermCd'&gt;
					&lt;/div&gt;
					&lt;div class='col-md-12 form-group row'&gt;
						&lt;label class='col-md-2 form-control title'&gt;Payment Term Nm&lt;/label&gt;
						&lt;input type='text' class='col-md-10 form-control input-text' name='PaymentTermNm' [(ngModel)]='rowdata.paymentTermNm'&gt;
					&lt;/div&gt;
					&lt;div class='col-md-12 form-group row'&gt;
						&lt;label class='col-md-2 form-control title'&gt;Order Currency&lt;/label&gt;
						&lt;input type='text' class='col-md-10 form-control input-text' name='OrderCurrency' [(ngModel)]='rowdata.orderCurrency'&gt;
					&lt;/div&gt;
					&lt;div class='col-md-12 form-group row'&gt;
						&lt;label class='col-md-2 form-control title'&gt;Type Of Industry&lt;/label&gt;
						&lt;input type='text' class='col-md-10 form-control input-text' name='TypeOfIndustry' [(ngModel)]='rowdata.typeOfIndustry'&gt;
					&lt;/div&gt;
					&lt;div class='col-md-12 form-group row'&gt;
						&lt;label class='col-md-2 form-control title'&gt;Previous Master Record Number&lt;/label&gt;
						&lt;input type='text' class='col-md-10 form-control input-text' name='PreviousMasterRecordNumber' [(ngModel)]='rowdata.previousMasterRecordNumber'&gt;
					&lt;/div&gt;
					&lt;div class='col-md-12 form-group row'&gt;
						&lt;label class='col-md-2 form-control title'&gt;Text Id Title&lt;/label&gt;
						&lt;input type='text' class='col-md-10 form-control input-text' name='TextIdTitle' [(ngModel)]='rowdata.textIdTitle'&gt;
					&lt;/div&gt;
					&lt;div class='col-md-12 form-group row'&gt;
						&lt;label class='col-md-2 form-control title'&gt;Unique Bank Id&lt;/label&gt;
						&lt;input type='text' class='col-md-10 form-control input-text' name='UniqueBankId' [(ngModel)]='rowdata.uniqueBankId'&gt;
					&lt;/div&gt;
					&lt;div class='col-md-12 form-group row'&gt;
						&lt;label class='col-md-2 form-control title'&gt;Supp Bank Key&lt;/label&gt;
						&lt;input type='text' class='col-md-10 form-control input-text' name='SuppBankKey' [(ngModel)]='rowdata.suppBankKey'&gt;
					&lt;/div&gt;
					&lt;div class='col-md-12 form-group row'&gt;
						&lt;label class='col-md-2 form-control title'&gt;Supp Bank Country&lt;/label&gt;
						&lt;input type='text' class='col-md-10 form-control input-text' name='SuppBankCountry' [(ngModel)]='rowdata.suppBankCountry'&gt;
					&lt;/div&gt;
					&lt;div class='col-md-12 form-group row'&gt;
						&lt;label class='col-md-2 form-control title'&gt;Supp Account&lt;/label&gt;
						&lt;input type='text' class='col-md-10 form-control input-text' name='SuppAccount' [(ngModel)]='rowdata.suppAccount'&gt;
					&lt;/div&gt;
					&lt;div class='col-md-12 form-group row'&gt;
						&lt;label class='col-md-2 form-control title'&gt;Account Holder&lt;/label&gt;
						&lt;input type='text' class='col-md-10 form-control input-text' name='AccountHolder' [(ngModel)]='rowdata.accountHolder'&gt;
					&lt;/div&gt;
					&lt;div class='col-md-12 form-group row'&gt;
						&lt;label class='col-md-2 form-control title'&gt;Accname&lt;/label&gt;
						&lt;input type='text' class='col-md-10 form-control input-text' name='Accname' [(ngModel)]='rowdata.accname'&gt;
					&lt;/div&gt;
					&lt;div class='col-md-12 form-group row'&gt;
						&lt;label class='col-md-2 form-control title'&gt;Partner Bank Name&lt;/label&gt;
						&lt;input type='text' class='col-md-10 form-control input-text' name='PartnerBankName' [(ngModel)]='rowdata.partnerBankName'&gt;
					&lt;/div&gt;
					&lt;div class='col-md-12 form-group row'&gt;
						&lt;label class='col-md-2 form-control title'&gt;External Id&lt;/label&gt;
						&lt;input type='text' class='col-md-10 form-control input-text' name='ExternalId' [(ngModel)]='rowdata.externalId'&gt;
					&lt;/div&gt;
					&lt;div class='col-md-12 form-group row'&gt;
						&lt;label class='col-md-2 form-control title'&gt;Status Flag Ab&lt;/label&gt;
						&lt;new-checkbox [(ngModel)]='_statusFlagAb' name='statusFlagAb' className='col-md-10' &gt; &lt;/new-checkbox&gt;
					&lt;/div&gt;
					&lt;div class='col-md-12 form-group row'&gt;
						&lt;label class='col-md-2 form-control title'&gt;Status Flag Cb&lt;/label&gt;
						&lt;new-checkbox [(ngModel)]='_statusFlagCb' name='statusFlagCb' className='col-md-10' &gt; &lt;/new-checkbox&gt;
					&lt;/div&gt;
					&lt;div class='col-md-12 form-group row'&gt;
						&lt;label class='col-md-2 form-control title'&gt;Status Flag Ad&lt;/label&gt;
						&lt;new-checkbox [(ngModel)]='_statusFlagAd' name='statusFlagAd' className='col-md-10' &gt; &lt;/new-checkbox&gt;
					&lt;/div&gt;
					&lt;div class='col-md-12 form-group row'&gt;
						&lt;label class='col-md-2 form-control title'&gt;Status Flag Cd&lt;/label&gt;
						&lt;new-checkbox [(ngModel)]='_statusFlagCd' name='statusFlagCd'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businessPartnerGroup : string = '' ; 
	businessPartnerRole : string = '' ; 
	businessPartnerCd : string = '' ; 
	emailAddress1 : string = '' ; 
	suppSearcgTerm : string = '' ; 
	businessPartnerName1 : string = '' ; 
	businessPartnerName2 : string = '' ; 
	businessPartnerName3 : string = '' ; 
	businessPartnerName4 : string = '' ; 
	address1 : string = '' ; 
	address2 : string = '' ; 
	address3 : string = '' ; 
	district : string = '' ; 
	city : string = '' ; 
	postalCd : string = '' ; 
	country : string = '' ; 
	phoneNo : string = '' ; 
	faxNo : string = '' ; 
	taxNo : string = '' ; 
	taxCate : string = '' ; 
	companyCode : string = '' ; 
	paymentMethodCd : string = '' ; 
	paymentMethodNm : string = '' ; 
	paymentTermCd : string = '' ; 
	paymentTermNm : string = '' ; 
	orderCurrency : string = '' ; 
	typeOfIndustry : string = '' ; 
	previousMasterRecordNumber : string = '' ; 
	textIdTitle : string = '' ; 
	uniqueBankId : string = '' ; 
	suppBankKey : string = '' ; 
	suppBankCountry : string = '' ; 
	suppAccount : string = '' ; 
	accountHolder : string = '' ; 
	accname : string = '' ; 
	partnerBankName : string = '' ; 
	externalId : string = '' ; 
</v>
      </c>
      <c r="T13" s="62" t="str">
        <f ca="1">TEXTJOIN2("
",TRUE,INDIRECT(T11):INDIRECT(T12))</f>
        <v xml:space="preserve">			this.businessPartnerCategory,
			this.businessPartnerGroup,
			this.businessPartnerRole,
			this.businessPartnerCd,
			this.emailAddress1,
			this.suppSearcgTerm,
			this.businessPartnerName1,
			this.businessPartnerName2,
			this.businessPartnerName3,
			this.businessPartnerName4,
			this.address1,
			this.address2,
			this.address3,
			this.district,
			this.city,
			this.postalCd,
			this.country,
			this.phoneNo,
			this.faxNo,
			this.taxNo,
			this.taxCate,
			this.companyCode,
			this.paymentMethodCd,
			this.paymentMethodNm,
			this.paymentTermCd,
			this.paymentTermNm,
			this.orderCurrency,
			this.typeOfIndustry,
			this.previousMasterRecordNumber,
			this.textIdTitle,
			this.uniqueBankId,
			this.suppBankKey,
			this.suppBankCountry,
			this.suppAccount,
			this.accountHolder,
			this.accname,
			this.partnerBankName,
</v>
      </c>
      <c r="U13" s="62" t="str">
        <f ca="1">TEXTJOIN2("
",TRUE,INDIRECT(U11):INDIRECT(U12))</f>
        <v xml:space="preserve">	businessPartnerGroup : string = '' ; 
	businessPartnerRole : string = '' ; 
	businessPartnerCd : string = '' ; 
	emailAddress1 : string = '' ; 
	suppSearcgTerm : string = '' ; 
	businessPartnerName1 : string = '' ; 
	businessPartnerName2 : string = '' ; 
	businessPartnerName3 : string = '' ; 
	businessPartnerName4 : string = '' ; 
	address1 : string = '' ; 
	address2 : string = '' ; 
	address3 : string = '' ; 
	district : string = '' ; 
	city : string = '' ; 
	postalCd : string = '' ; 
	country : string = '' ; 
	phoneNo : string = '' ; 
	faxNo : string = '' ; 
	taxNo : string = '' ; 
	taxCate : string = '' ; 
	companyCode : string = '' ; 
	paymentMethodCd : string = '' ; 
	paymentMethodNm : string = '' ; 
	paymentTermCd : string = '' ; 
	paymentTermNm : string = '' ; 
	orderCurrency : string = '' ; 
	typeOfIndustry : string = '' ; 
	previousMasterRecordNumber : string = '' ; 
	textIdTitle : string = '' ; 
	uniqueBankId : string = '' ; 
	suppBankKey : string = '' ; 
	suppBankCountry : string = '' ; 
	suppAccount : string = '' ; 
	accountHolder : string = '' ; 
	accname : string = '' ; 
	partnerBankName : string = '' ; 
	externalId : string = '' ; 
</v>
      </c>
      <c r="V13" s="28" t="str">
        <f ca="1">TEXTJOIN2("
",TRUE,INDIRECT(V11):INDIRECT(V12))</f>
        <v>nation
businessPartnerCategory
statusFlagAb
statusFlagCb
statusFlagAd
statusFlagCd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businessparter.component.ts</v>
      </c>
      <c r="I14" s="37" t="str">
        <f>B8&amp;".component.html"</f>
        <v>businessparter.component.html</v>
      </c>
      <c r="J14" s="36" t="str">
        <f>B8&amp;".component.less"</f>
        <v>businessparter.component.less</v>
      </c>
      <c r="K14" s="37" t="str">
        <f>"create-or-edit-"&amp;B8&amp;"-modal.component.html"</f>
        <v>create-or-edit-businessparter-modal.component.html</v>
      </c>
      <c r="L14" s="37" t="str">
        <f>"create-or-edit-"&amp;B8&amp;"-modal.component.ts"</f>
        <v>create-or-edit-businessparter-modal.component.ts</v>
      </c>
      <c r="M14" s="37" t="str">
        <f>"create-or-edit-"&amp;B8&amp;"-modal.component.less"</f>
        <v>create-or-edit-businessparter-modal.component.less</v>
      </c>
      <c r="N14" s="37" t="str">
        <f>B8&amp;".module.ts"</f>
        <v>businessparter.module.ts</v>
      </c>
      <c r="O14" s="37" t="str">
        <f>B8&amp;"-routing.module.ts"</f>
        <v>businessparter-routing.module.ts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359</v>
      </c>
      <c r="B15" s="28" t="str">
        <f t="shared" ref="B15" si="0">SUBSTITUTE(PROPER(A15),"_","")</f>
        <v>Nation</v>
      </c>
      <c r="C15" s="28" t="str">
        <f t="shared" ref="C15" si="1">SUBSTITUTE(PROPER(A15),"_"," ")</f>
        <v>Nation</v>
      </c>
      <c r="D15" s="28" t="str">
        <f t="shared" ref="D15" si="2">LOWER(LEFT(B15,1))&amp;RIGHT(B15,LEN(B15) - 1)</f>
        <v>nation</v>
      </c>
      <c r="E15" s="28" t="str">
        <f>A.Backend!H9</f>
        <v>string</v>
      </c>
      <c r="F15" s="28" t="str">
        <f>A.Backend!G9</f>
        <v>1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this.l('Nation'),headerTooltip: this.l('Nation'),field:  'nation', cellClass: ['text-center'], width: 120, cellRenderer: 'agCellButtonComponent',
buttonDefTwo: { text: params =&gt; (params.data?.'nation' == 'Y') ? 'Active' : 'Inactive',iconName: 'fa fa-circle',className: params =&gt; (params.data?.'nation' == 'Y') ? 'btnActive' : 'btnInActive',},}</v>
      </c>
      <c r="I15" s="35" t="str">
        <f t="shared" ref="I15:I20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title'&gt;Nation&lt;/label&gt;
						&lt;new-checkbox [(ngModel)]='_nation' name='nation' className='col-md-10' &gt; &lt;/new-checkbox&gt;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/>
      </c>
      <c r="T15" s="28" t="str">
        <f>IF(AND(E15="string",F15 &lt;&gt;"1"),(REPT(CHAR(9),3)&amp;"this."&amp;D14&amp;","),"")</f>
        <v/>
      </c>
      <c r="U15" s="28" t="str">
        <f>IF(AND(E15="string",F15 &lt;&gt;"1"),(REPT(CHAR(9),1)&amp;D15&amp;G15),"")</f>
        <v/>
      </c>
      <c r="V15" s="28" t="str">
        <f t="shared" ref="V15" si="7">IF(AND(E15="string",F15="1"),D15,"")</f>
        <v>nation</v>
      </c>
    </row>
    <row r="16" spans="1:22" ht="18" customHeight="1" x14ac:dyDescent="0.25">
      <c r="A16" t="s">
        <v>361</v>
      </c>
      <c r="B16" s="28" t="str">
        <f t="shared" ref="B16:B21" si="8">SUBSTITUTE(PROPER(A16),"_","")</f>
        <v>BusinessPartnerCategory</v>
      </c>
      <c r="C16" s="28" t="str">
        <f t="shared" ref="C16:C21" si="9">SUBSTITUTE(PROPER(A16),"_"," ")</f>
        <v>Business Partner Category</v>
      </c>
      <c r="D16" s="28" t="str">
        <f t="shared" ref="D16:D21" si="10">LOWER(LEFT(B16,1))&amp;RIGHT(B16,LEN(B16) - 1)</f>
        <v>businessPartnerCategory</v>
      </c>
      <c r="E16" s="28" t="str">
        <f>A.Backend!H10</f>
        <v>string</v>
      </c>
      <c r="F16" s="28" t="str">
        <f>A.Backend!G10</f>
        <v>1</v>
      </c>
      <c r="G16" s="28" t="str">
        <f t="shared" ref="G16:G21" si="11">IF(E16="string"," : string = '' ; ",IF(OR(E16="DateTime",E16="TimeSpan")," : any ;",IF(E16="int"," : number = 0 ;","")))</f>
        <v xml:space="preserve"> : string = '' ; </v>
      </c>
      <c r="H16" s="35" t="str">
        <f t="shared" ref="H16:H21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this.l('Business Partner Category'),headerTooltip: this.l('Business Partner Category'),field:  'businessPartnerCategory', cellClass: ['text-center'], width: 120, cellRenderer: 'agCellButtonComponent',
buttonDefTwo: { text: params =&gt; (params.data?.'businessPartnerCategory' == 'Y') ? 'Active' : 'Inactive',iconName: 'fa fa-circle',className: params =&gt; (params.data?.'businessPartnerCategory' == 'Y') ? 'btnActive' : 'btnInActive',},}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28"/>
      <c r="K16" s="35" t="str">
        <f t="shared" ref="K16:K20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title'&gt;Business Partner Category&lt;/label&gt;
						&lt;new-checkbox [(ngModel)]='_businessPartnerCategory' name='businessPartnerCategory' className='col-md-10' &gt; &lt;/new-checkbox&gt;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0" si="15">IF(AND(E16="string",F16 &lt;&gt;"1"),(REPT(CHAR(9),1)&amp;D16&amp;G16),"")</f>
        <v/>
      </c>
      <c r="T16" s="28" t="str">
        <f>IF(AND(E16="string",F16 &lt;&gt;"1"),(REPT(CHAR(9),3)&amp;"this."&amp;D15&amp;","),"")</f>
        <v/>
      </c>
      <c r="U16" s="28" t="str">
        <f t="shared" ref="U16:U20" si="16">IF(AND(E16="string",F16 &lt;&gt;"1"),(REPT(CHAR(9),1)&amp;D16&amp;G16),"")</f>
        <v/>
      </c>
      <c r="V16" s="28" t="str">
        <f t="shared" ref="V16:V21" si="17">IF(AND(E16="string",F16="1"),D16,"")</f>
        <v>businessPartnerCategory</v>
      </c>
    </row>
    <row r="17" spans="1:22" ht="18" customHeight="1" x14ac:dyDescent="0.25">
      <c r="A17" t="s">
        <v>362</v>
      </c>
      <c r="B17" s="28" t="str">
        <f t="shared" si="8"/>
        <v>BusinessPartnerGroup</v>
      </c>
      <c r="C17" s="28" t="str">
        <f t="shared" si="9"/>
        <v>Business Partner Group</v>
      </c>
      <c r="D17" s="28" t="str">
        <f t="shared" si="10"/>
        <v>businessPartnerGroup</v>
      </c>
      <c r="E17" s="28" t="str">
        <f>A.Backend!H11</f>
        <v>string</v>
      </c>
      <c r="F17" s="28" t="str">
        <f>A.Backend!G11</f>
        <v>4</v>
      </c>
      <c r="G17" s="28" t="str">
        <f t="shared" si="11"/>
        <v xml:space="preserve"> : string = '' ; </v>
      </c>
      <c r="H17" s="35" t="str">
        <f t="shared" si="12"/>
        <v xml:space="preserve">			{headerName: this.l('Business Partner Group'),headerTooltip: this.l('Business Partner Group'),field: 'businessPartnerGroup',flex: 1},</v>
      </c>
      <c r="I17" s="35" t="str">
        <f t="shared" si="5"/>
        <v xml:space="preserve">								&lt;div class='input-search'&gt;
									&lt;input [(ngModel)]='businessPartnerGroup' name='businessPartnerGroup'
									class='form-control' [placeholder]="l('Business Partner Group')"
									type='text' (keyup.enter)='searchDatas()'&gt;
								&lt;/div&gt;</v>
      </c>
      <c r="J17" s="28"/>
      <c r="K17" s="35" t="str">
        <f t="shared" si="13"/>
        <v xml:space="preserve">					&lt;div class='col-md-12 form-group row'&gt;
						&lt;label class='col-md-2 form-control title'&gt;Business Partner Group&lt;/label&gt;
						&lt;input type='text' class='col-md-10 form-control input-text' name='BusinessPartnerGroup' [(ngModel)]='rowdata.businessPartnerGroup'&gt;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 xml:space="preserve">	businessPartnerGroup : string = '' ; </v>
      </c>
      <c r="T17" s="28" t="str">
        <f t="shared" ref="T17:T20" si="18">IF(AND(E17="string",F17 &lt;&gt;"1"),(REPT(CHAR(9),3)&amp;"this."&amp;D16&amp;","),"")</f>
        <v xml:space="preserve">			this.businessPartnerCategory,</v>
      </c>
      <c r="U17" s="28" t="str">
        <f t="shared" si="16"/>
        <v xml:space="preserve">	businessPartnerGroup : string = '' ; </v>
      </c>
      <c r="V17" s="28" t="str">
        <f t="shared" si="17"/>
        <v/>
      </c>
    </row>
    <row r="18" spans="1:22" ht="15" customHeight="1" x14ac:dyDescent="0.25">
      <c r="A18" t="s">
        <v>363</v>
      </c>
      <c r="B18" s="28" t="str">
        <f t="shared" si="8"/>
        <v>BusinessPartnerRole</v>
      </c>
      <c r="C18" s="28" t="str">
        <f t="shared" si="9"/>
        <v>Business Partner Role</v>
      </c>
      <c r="D18" s="28" t="str">
        <f t="shared" si="10"/>
        <v>businessPartnerRole</v>
      </c>
      <c r="E18" s="28" t="str">
        <f>A.Backend!H12</f>
        <v>string</v>
      </c>
      <c r="F18" s="28" t="str">
        <f>A.Backend!G12</f>
        <v>6</v>
      </c>
      <c r="G18" s="28" t="str">
        <f t="shared" si="11"/>
        <v xml:space="preserve"> : string = '' ; </v>
      </c>
      <c r="H18" s="35" t="str">
        <f t="shared" si="12"/>
        <v xml:space="preserve">			{headerName: this.l('Business Partner Role'),headerTooltip: this.l('Business Partner Role'),field: 'businessPartnerRole',flex: 1},</v>
      </c>
      <c r="I18" s="35" t="str">
        <f t="shared" si="5"/>
        <v xml:space="preserve">								&lt;div class='input-search'&gt;
									&lt;input [(ngModel)]='businessPartnerRole' name='businessPartnerRole'
									class='form-control' [placeholder]="l('Business Partner Role')"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title'&gt;Business Partner Role&lt;/label&gt;
						&lt;input type='text' class='col-md-10 form-control input-text' name='BusinessPartnerRole' [(ngModel)]='rowdata.businessPartnerRole'&gt;
					&lt;/div&gt;</v>
      </c>
      <c r="L18" s="56" t="str">
        <f t="shared" ref="L18:L22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businessPartnerRole : string = '' ; </v>
      </c>
      <c r="T18" s="28" t="str">
        <f t="shared" si="18"/>
        <v xml:space="preserve">			this.businessPartnerGroup,</v>
      </c>
      <c r="U18" s="28" t="str">
        <f t="shared" si="16"/>
        <v xml:space="preserve">	businessPartnerRole : string = '' ; </v>
      </c>
      <c r="V18" s="28" t="str">
        <f t="shared" si="17"/>
        <v/>
      </c>
    </row>
    <row r="19" spans="1:22" ht="18" customHeight="1" x14ac:dyDescent="0.25">
      <c r="A19" t="s">
        <v>366</v>
      </c>
      <c r="B19" s="28" t="str">
        <f t="shared" si="8"/>
        <v>BusinessPartnerCd</v>
      </c>
      <c r="C19" s="28" t="str">
        <f t="shared" si="9"/>
        <v>Business Partner Cd</v>
      </c>
      <c r="D19" s="28" t="str">
        <f t="shared" si="10"/>
        <v>businessPartnerCd</v>
      </c>
      <c r="E19" s="28" t="str">
        <f>A.Backend!H13</f>
        <v>string</v>
      </c>
      <c r="F19" s="28" t="str">
        <f>A.Backend!G13</f>
        <v>10</v>
      </c>
      <c r="G19" s="28" t="str">
        <f t="shared" si="11"/>
        <v xml:space="preserve"> : string = '' ; </v>
      </c>
      <c r="H19" s="35" t="str">
        <f t="shared" si="12"/>
        <v xml:space="preserve">			{headerName: this.l('Business Partner Cd'),headerTooltip: this.l('Business Partner Cd'),field: 'businessPartnerCd',flex: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[(ngModel)]='businessPartnerCd' name='businessPartnerCd'
									class='form-control' [placeholder]="l('Business Partner Cd')"
									type='text' (keyup.enter)='searchDatas()'&gt;
								&lt;/div&gt;</v>
      </c>
      <c r="J19" s="28"/>
      <c r="K19" s="35" t="str">
        <f t="shared" si="13"/>
        <v xml:space="preserve">					&lt;div class='col-md-12 form-group row'&gt;
						&lt;label class='col-md-2 form-control title'&gt;Business Partner Cd&lt;/label&gt;
						&lt;input type='text' class='col-md-10 form-control input-text' name='BusinessPartnerCd' [(ngModel)]='rowdata.businessPartnerCd'&gt;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 xml:space="preserve">	businessPartnerCd : string = '' ; </v>
      </c>
      <c r="T19" s="28" t="str">
        <f t="shared" si="18"/>
        <v xml:space="preserve">			this.businessPartnerRole,</v>
      </c>
      <c r="U19" s="28" t="str">
        <f t="shared" si="16"/>
        <v xml:space="preserve">	businessPartnerCd : string = '' ; </v>
      </c>
      <c r="V19" s="28" t="str">
        <f t="shared" si="17"/>
        <v/>
      </c>
    </row>
    <row r="20" spans="1:22" ht="15" customHeight="1" x14ac:dyDescent="0.25">
      <c r="A20" t="s">
        <v>367</v>
      </c>
      <c r="B20" s="28" t="str">
        <f t="shared" si="8"/>
        <v>EmailAddress1</v>
      </c>
      <c r="C20" s="28" t="str">
        <f t="shared" si="9"/>
        <v>Email Address 1</v>
      </c>
      <c r="D20" s="28" t="str">
        <f t="shared" si="10"/>
        <v>emailAddress1</v>
      </c>
      <c r="E20" s="28" t="str">
        <f>A.Backend!H14</f>
        <v>string</v>
      </c>
      <c r="F20" s="28" t="str">
        <f>A.Backend!G14</f>
        <v>241</v>
      </c>
      <c r="G20" s="28" t="str">
        <f t="shared" si="11"/>
        <v xml:space="preserve"> : string = '' ; </v>
      </c>
      <c r="H20" s="35" t="str">
        <f t="shared" si="12"/>
        <v xml:space="preserve">			{headerName: this.l('Email Address 1'),headerTooltip: this.l('Email Address 1'),field: 'emailAddress1',flex: 1},</v>
      </c>
      <c r="I20" s="35" t="str">
        <f t="shared" si="5"/>
        <v xml:space="preserve">								&lt;div class='input-search'&gt;
									&lt;input [(ngModel)]='emailAddress1' name='emailAddress1'
									class='form-control' [placeholder]="l('Email Address 1')"
									type='text' (keyup.enter)='searchDatas()'&gt;
								&lt;/div&gt;</v>
      </c>
      <c r="J20" s="28"/>
      <c r="K20" s="35" t="str">
        <f t="shared" si="13"/>
        <v xml:space="preserve">					&lt;div class='col-md-12 form-group row'&gt;
						&lt;label class='col-md-2 form-control title'&gt;Email Address 1&lt;/label&gt;
						&lt;input type='text' class='col-md-10 form-control input-text' name='EmailAddress1' [(ngModel)]='rowdata.emailAddress1'&gt;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5"/>
        <v xml:space="preserve">	emailAddress1 : string = '' ; </v>
      </c>
      <c r="T20" s="28" t="str">
        <f t="shared" si="18"/>
        <v xml:space="preserve">			this.businessPartnerCd,</v>
      </c>
      <c r="U20" s="28" t="str">
        <f t="shared" si="16"/>
        <v xml:space="preserve">	emailAddress1 : string = '' ; </v>
      </c>
      <c r="V20" s="28" t="str">
        <f t="shared" si="17"/>
        <v/>
      </c>
    </row>
    <row r="21" spans="1:22" ht="15" customHeight="1" x14ac:dyDescent="0.25">
      <c r="A21" t="s">
        <v>368</v>
      </c>
      <c r="B21" s="28" t="str">
        <f t="shared" si="8"/>
        <v>SuppSearcgTerm</v>
      </c>
      <c r="C21" s="28" t="str">
        <f t="shared" si="9"/>
        <v>Supp Searcg Term</v>
      </c>
      <c r="D21" s="28" t="str">
        <f t="shared" si="10"/>
        <v>suppSearcgTerm</v>
      </c>
      <c r="E21" s="28" t="str">
        <f>A.Backend!H15</f>
        <v>string</v>
      </c>
      <c r="F21" s="28" t="str">
        <f>A.Backend!G15</f>
        <v>20</v>
      </c>
      <c r="G21" s="28" t="str">
        <f t="shared" si="11"/>
        <v xml:space="preserve"> : string = '' ; </v>
      </c>
      <c r="H21" s="35" t="str">
        <f t="shared" si="12"/>
        <v xml:space="preserve">			{headerName: this.l('Supp Searcg Term'),headerTooltip: this.l('Supp Searcg Term'),field: 'suppSearcgTerm',flex: 1},</v>
      </c>
      <c r="I21" s="35" t="str">
        <f t="shared" ref="I21" si="20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[(ngModel)]='suppSearcgTerm' name='suppSearcgTerm'
									class='form-control' [placeholder]="l('Supp Searcg Term')"
									type='text' (keyup.enter)='searchDatas()'&gt;
								&lt;/div&gt;</v>
      </c>
      <c r="J21" s="28"/>
      <c r="K21" s="35" t="str">
        <f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title'&gt;Supp Searcg Term&lt;/label&gt;
						&lt;input type='text' class='col-md-10 form-control input-text' name='SuppSearcgTerm' [(ngModel)]='rowdata.suppSearcgTerm'&gt;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>IF(AND(E21="string",F21 &lt;&gt;"1"),(REPT(CHAR(9),1)&amp;D21&amp;G21),"")</f>
        <v xml:space="preserve">	suppSearcgTerm : string = '' ; </v>
      </c>
      <c r="T21" s="28" t="str">
        <f>IF(AND(E21="string",F21 &lt;&gt;"1"),(REPT(CHAR(9),3)&amp;"this."&amp;D20&amp;","),"")</f>
        <v xml:space="preserve">			this.emailAddress1,</v>
      </c>
      <c r="U21" s="28" t="str">
        <f>IF(AND(E21="string",F21 &lt;&gt;"1"),(REPT(CHAR(9),1)&amp;D21&amp;G21),"")</f>
        <v xml:space="preserve">	suppSearcgTerm : string = '' ; </v>
      </c>
      <c r="V21" s="28" t="str">
        <f t="shared" si="17"/>
        <v/>
      </c>
    </row>
    <row r="22" spans="1:22" ht="18" customHeight="1" x14ac:dyDescent="0.25">
      <c r="A22" t="s">
        <v>369</v>
      </c>
      <c r="B22" s="28" t="str">
        <f t="shared" ref="B22:B32" si="21">SUBSTITUTE(PROPER(A22),"_","")</f>
        <v>BusinessPartnerName1</v>
      </c>
      <c r="C22" s="28" t="str">
        <f t="shared" ref="C22:C32" si="22">SUBSTITUTE(PROPER(A22),"_"," ")</f>
        <v>Business Partner Name 1</v>
      </c>
      <c r="D22" s="28" t="str">
        <f t="shared" ref="D22:D32" si="23">LOWER(LEFT(B22,1))&amp;RIGHT(B22,LEN(B22) - 1)</f>
        <v>businessPartnerName1</v>
      </c>
      <c r="E22" s="28" t="str">
        <f>A.Backend!H16</f>
        <v>string</v>
      </c>
      <c r="F22" s="28" t="str">
        <f>A.Backend!G16</f>
        <v>35</v>
      </c>
      <c r="G22" s="28" t="str">
        <f t="shared" ref="G22:G32" si="24">IF(E22="string"," : string = '' ; ",IF(OR(E22="DateTime",E22="TimeSpan")," : any ;",IF(E22="int"," : number = 0 ;","")))</f>
        <v xml:space="preserve"> : string = '' ; </v>
      </c>
      <c r="H22" s="35" t="str">
        <f t="shared" ref="H22:H32" si="25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this.l('Business Partner Name 1'),headerTooltip: this.l('Business Partner Name 1'),field: 'businessPartnerName1',flex: 1},</v>
      </c>
      <c r="I22" s="35" t="str">
        <f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[(ngModel)]='businessPartnerName1' name='businessPartnerName1'
									class='form-control' [placeholder]="l('Business Partner Name 1')"
									type='text' (keyup.enter)='searchDatas()'&gt;
								&lt;/div&gt;</v>
      </c>
      <c r="J22" s="28"/>
      <c r="K22" s="35" t="str">
        <f t="shared" ref="K22:K25" si="26">IF(OR(E22="DateTime?",E22="TimeSpan?"),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IF(OR(E22="int?",E22="long?"),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title'&gt;Business Partner Name 1&lt;/label&gt;
						&lt;input type='text' class='col-md-10 form-control input-text' name='BusinessPartnerName1' [(ngModel)]='rowdata.businessPartnerName1'&gt;
					&lt;/div&gt;</v>
      </c>
      <c r="L22" s="56" t="str">
        <f t="shared" si="19"/>
        <v/>
      </c>
      <c r="M22" s="28"/>
      <c r="N22" s="28"/>
      <c r="O22" s="28"/>
      <c r="P22" s="28"/>
      <c r="Q22" s="28"/>
      <c r="R22" s="28"/>
      <c r="S22" s="28" t="str">
        <f t="shared" ref="S22:S25" si="27">IF(AND(E22="string",F22 &lt;&gt;"1"),(REPT(CHAR(9),1)&amp;D22&amp;G22),"")</f>
        <v xml:space="preserve">	businessPartnerName1 : string = '' ; </v>
      </c>
      <c r="T22" s="28" t="str">
        <f>IF(AND(E22="string",F22 &lt;&gt;"1"),(REPT(CHAR(9),3)&amp;"this."&amp;D21&amp;","),"")</f>
        <v xml:space="preserve">			this.suppSearcgTerm,</v>
      </c>
      <c r="U22" s="28" t="str">
        <f t="shared" ref="U22:U25" si="28">IF(AND(E22="string",F22 &lt;&gt;"1"),(REPT(CHAR(9),1)&amp;D22&amp;G22),"")</f>
        <v xml:space="preserve">	businessPartnerName1 : string = '' ; </v>
      </c>
      <c r="V22" s="28" t="str">
        <f t="shared" ref="V22:V32" si="29">IF(AND(E22="string",F22="1"),D22,"")</f>
        <v/>
      </c>
    </row>
    <row r="23" spans="1:22" ht="18" customHeight="1" x14ac:dyDescent="0.25">
      <c r="A23" t="s">
        <v>370</v>
      </c>
      <c r="B23" s="28" t="str">
        <f t="shared" si="21"/>
        <v>BusinessPartnerName2</v>
      </c>
      <c r="C23" s="28" t="str">
        <f t="shared" si="22"/>
        <v>Business Partner Name 2</v>
      </c>
      <c r="D23" s="28" t="str">
        <f t="shared" si="23"/>
        <v>businessPartnerName2</v>
      </c>
      <c r="E23" s="28" t="str">
        <f>A.Backend!H17</f>
        <v>string</v>
      </c>
      <c r="F23" s="28" t="str">
        <f>A.Backend!G17</f>
        <v>35</v>
      </c>
      <c r="G23" s="28" t="str">
        <f t="shared" si="24"/>
        <v xml:space="preserve"> : string = '' ; </v>
      </c>
      <c r="H23" s="35" t="str">
        <f t="shared" si="25"/>
        <v xml:space="preserve">			{headerName: this.l('Business Partner Name 2'),headerTooltip: this.l('Business Partner Name 2'),field: 'businessPartnerName2',flex: 1},</v>
      </c>
      <c r="I23" s="35" t="str">
        <f t="shared" ref="I23:I24" si="30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IF(AND(E23="string",F23 &lt;&gt;"1"),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[(ngModel)]='businessPartnerName2' name='businessPartnerName2'
									class='form-control' [placeholder]="l('Business Partner Name 2')"
									type='text' (keyup.enter)='searchDatas()'&gt;
								&lt;/div&gt;</v>
      </c>
      <c r="J23" s="28"/>
      <c r="K23" s="35" t="str">
        <f t="shared" si="26"/>
        <v xml:space="preserve">					&lt;div class='col-md-12 form-group row'&gt;
						&lt;label class='col-md-2 form-control title'&gt;Business Partner Name 2&lt;/label&gt;
						&lt;input type='text' class='col-md-10 form-control input-text' name='BusinessPartnerName2' [(ngModel)]='rowdata.businessPartnerName2'&gt;
					&lt;/div&gt;</v>
      </c>
      <c r="L23" s="56" t="str">
        <f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27"/>
        <v xml:space="preserve">	businessPartnerName2 : string = '' ; </v>
      </c>
      <c r="T23" s="28" t="str">
        <f t="shared" ref="T23:T25" si="31">IF(AND(E23="string",F23 &lt;&gt;"1"),(REPT(CHAR(9),3)&amp;"this."&amp;D22&amp;","),"")</f>
        <v xml:space="preserve">			this.businessPartnerName1,</v>
      </c>
      <c r="U23" s="28" t="str">
        <f t="shared" si="28"/>
        <v xml:space="preserve">	businessPartnerName2 : string = '' ; </v>
      </c>
      <c r="V23" s="28" t="str">
        <f t="shared" si="29"/>
        <v/>
      </c>
    </row>
    <row r="24" spans="1:22" ht="15" customHeight="1" x14ac:dyDescent="0.25">
      <c r="A24" t="s">
        <v>371</v>
      </c>
      <c r="B24" s="28" t="str">
        <f t="shared" si="21"/>
        <v>BusinessPartnerName3</v>
      </c>
      <c r="C24" s="28" t="str">
        <f t="shared" si="22"/>
        <v>Business Partner Name 3</v>
      </c>
      <c r="D24" s="28" t="str">
        <f t="shared" si="23"/>
        <v>businessPartnerName3</v>
      </c>
      <c r="E24" s="28" t="str">
        <f>A.Backend!H18</f>
        <v>string</v>
      </c>
      <c r="F24" s="28" t="str">
        <f>A.Backend!G18</f>
        <v>35</v>
      </c>
      <c r="G24" s="28" t="str">
        <f t="shared" si="24"/>
        <v xml:space="preserve"> : string = '' ; </v>
      </c>
      <c r="H24" s="35" t="str">
        <f t="shared" si="25"/>
        <v xml:space="preserve">			{headerName: this.l('Business Partner Name 3'),headerTooltip: this.l('Business Partner Name 3'),field: 'businessPartnerName3',flex: 1},</v>
      </c>
      <c r="I24" s="35" t="str">
        <f t="shared" si="30"/>
        <v xml:space="preserve">								&lt;div class='input-search'&gt;
									&lt;input [(ngModel)]='businessPartnerName3' name='businessPartnerName3'
									class='form-control' [placeholder]="l('Business Partner Name 3')"
									type='text' (keyup.enter)='searchDatas()'&gt;
								&lt;/div&gt;</v>
      </c>
      <c r="J24" s="28"/>
      <c r="K24" s="35" t="str">
        <f t="shared" si="26"/>
        <v xml:space="preserve">					&lt;div class='col-md-12 form-group row'&gt;
						&lt;label class='col-md-2 form-control title'&gt;Business Partner Name 3&lt;/label&gt;
						&lt;input type='text' class='col-md-10 form-control input-text' name='BusinessPartnerName3' [(ngModel)]='rowdata.businessPartnerName3'&gt;
					&lt;/div&gt;</v>
      </c>
      <c r="L24" s="56" t="str">
        <f t="shared" ref="L24:L27" si="32"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28"/>
      <c r="N24" s="28"/>
      <c r="O24" s="28"/>
      <c r="P24" s="28"/>
      <c r="Q24" s="28"/>
      <c r="R24" s="28"/>
      <c r="S24" s="28" t="str">
        <f t="shared" si="27"/>
        <v xml:space="preserve">	businessPartnerName3 : string = '' ; </v>
      </c>
      <c r="T24" s="28" t="str">
        <f t="shared" si="31"/>
        <v xml:space="preserve">			this.businessPartnerName2,</v>
      </c>
      <c r="U24" s="28" t="str">
        <f t="shared" si="28"/>
        <v xml:space="preserve">	businessPartnerName3 : string = '' ; </v>
      </c>
      <c r="V24" s="28" t="str">
        <f t="shared" si="29"/>
        <v/>
      </c>
    </row>
    <row r="25" spans="1:22" ht="18" customHeight="1" x14ac:dyDescent="0.25">
      <c r="A25" t="s">
        <v>372</v>
      </c>
      <c r="B25" s="28" t="str">
        <f t="shared" si="21"/>
        <v>BusinessPartnerName4</v>
      </c>
      <c r="C25" s="28" t="str">
        <f t="shared" si="22"/>
        <v>Business Partner Name 4</v>
      </c>
      <c r="D25" s="28" t="str">
        <f t="shared" si="23"/>
        <v>businessPartnerName4</v>
      </c>
      <c r="E25" s="28" t="str">
        <f>A.Backend!H19</f>
        <v>string</v>
      </c>
      <c r="F25" s="28" t="str">
        <f>A.Backend!G19</f>
        <v>35</v>
      </c>
      <c r="G25" s="28" t="str">
        <f t="shared" si="24"/>
        <v xml:space="preserve"> : string = '' ; </v>
      </c>
      <c r="H25" s="35" t="str">
        <f t="shared" si="25"/>
        <v xml:space="preserve">			{headerName: this.l('Business Partner Name 4'),headerTooltip: this.l('Business Partner Name 4'),field: 'businessPartnerName4',flex: 1},</v>
      </c>
      <c r="I25" s="35" t="str">
        <f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IF(AND(E25="string",F25 &lt;&gt;"1"),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[(ngModel)]='businessPartnerName4' name='businessPartnerName4'
									class='form-control' [placeholder]="l('Business Partner Name 4')"
									type='text' (keyup.enter)='searchDatas()'&gt;
								&lt;/div&gt;</v>
      </c>
      <c r="J25" s="28"/>
      <c r="K25" s="35" t="str">
        <f t="shared" si="26"/>
        <v xml:space="preserve">					&lt;div class='col-md-12 form-group row'&gt;
						&lt;label class='col-md-2 form-control title'&gt;Business Partner Name 4&lt;/label&gt;
						&lt;input type='text' class='col-md-10 form-control input-text' name='BusinessPartnerName4' [(ngModel)]='rowdata.businessPartnerName4'&gt;
					&lt;/div&gt;</v>
      </c>
      <c r="L25" s="56" t="str">
        <f t="shared" si="32"/>
        <v/>
      </c>
      <c r="M25" s="28"/>
      <c r="N25" s="28"/>
      <c r="O25" s="28"/>
      <c r="P25" s="28"/>
      <c r="Q25" s="28"/>
      <c r="R25" s="28"/>
      <c r="S25" s="28" t="str">
        <f t="shared" si="27"/>
        <v xml:space="preserve">	businessPartnerName4 : string = '' ; </v>
      </c>
      <c r="T25" s="28" t="str">
        <f t="shared" si="31"/>
        <v xml:space="preserve">			this.businessPartnerName3,</v>
      </c>
      <c r="U25" s="28" t="str">
        <f t="shared" si="28"/>
        <v xml:space="preserve">	businessPartnerName4 : string = '' ; </v>
      </c>
      <c r="V25" s="28" t="str">
        <f t="shared" si="29"/>
        <v/>
      </c>
    </row>
    <row r="26" spans="1:22" ht="15" customHeight="1" x14ac:dyDescent="0.25">
      <c r="A26" t="s">
        <v>373</v>
      </c>
      <c r="B26" s="28" t="str">
        <f t="shared" si="21"/>
        <v>Address1</v>
      </c>
      <c r="C26" s="28" t="str">
        <f t="shared" si="22"/>
        <v>Address 1</v>
      </c>
      <c r="D26" s="28" t="str">
        <f t="shared" si="23"/>
        <v>address1</v>
      </c>
      <c r="E26" s="28" t="str">
        <f>A.Backend!H20</f>
        <v>string</v>
      </c>
      <c r="F26" s="28" t="str">
        <f>A.Backend!G20</f>
        <v>35</v>
      </c>
      <c r="G26" s="28" t="str">
        <f t="shared" si="24"/>
        <v xml:space="preserve"> : string = '' ; </v>
      </c>
      <c r="H26" s="35" t="str">
        <f t="shared" si="25"/>
        <v xml:space="preserve">			{headerName: this.l('Address 1'),headerTooltip: this.l('Address 1'),field: 'address1',flex: 1},</v>
      </c>
      <c r="I26" s="35" t="str">
        <f t="shared" ref="I26" si="33"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IF(AND(E26="string",F26 &lt;&gt;"1"),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 xml:space="preserve">								&lt;div class='input-search'&gt;
									&lt;input [(ngModel)]='address1' name='address1'
									class='form-control' [placeholder]="l('Address 1')"
									type='text' (keyup.enter)='searchDatas()'&gt;
								&lt;/div&gt;</v>
      </c>
      <c r="J26" s="28"/>
      <c r="K26" s="35" t="str">
        <f>IF(OR(E26="DateTime?",E26="TimeSpan?"),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IF(OR(E26="int?",E26="long?"),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title'&gt;Address 1&lt;/label&gt;
						&lt;input type='text' class='col-md-10 form-control input-text' name='Address1' [(ngModel)]='rowdata.address1'&gt;
					&lt;/div&gt;</v>
      </c>
      <c r="L26" s="56" t="str">
        <f t="shared" si="32"/>
        <v/>
      </c>
      <c r="M26" s="28"/>
      <c r="N26" s="28"/>
      <c r="O26" s="28"/>
      <c r="P26" s="28"/>
      <c r="Q26" s="28"/>
      <c r="R26" s="28"/>
      <c r="S26" s="28" t="str">
        <f>IF(AND(E26="string",F26 &lt;&gt;"1"),(REPT(CHAR(9),1)&amp;D26&amp;G26),"")</f>
        <v xml:space="preserve">	address1 : string = '' ; </v>
      </c>
      <c r="T26" s="28" t="str">
        <f>IF(AND(E26="string",F26 &lt;&gt;"1"),(REPT(CHAR(9),3)&amp;"this."&amp;D25&amp;","),"")</f>
        <v xml:space="preserve">			this.businessPartnerName4,</v>
      </c>
      <c r="U26" s="28" t="str">
        <f>IF(AND(E26="string",F26 &lt;&gt;"1"),(REPT(CHAR(9),1)&amp;D26&amp;G26),"")</f>
        <v xml:space="preserve">	address1 : string = '' ; </v>
      </c>
      <c r="V26" s="28" t="str">
        <f t="shared" si="29"/>
        <v/>
      </c>
    </row>
    <row r="27" spans="1:22" ht="18" customHeight="1" x14ac:dyDescent="0.25">
      <c r="A27" t="s">
        <v>378</v>
      </c>
      <c r="B27" s="28" t="str">
        <f t="shared" si="21"/>
        <v>Address2</v>
      </c>
      <c r="C27" s="28" t="str">
        <f t="shared" si="22"/>
        <v>Address 2</v>
      </c>
      <c r="D27" s="28" t="str">
        <f t="shared" si="23"/>
        <v>address2</v>
      </c>
      <c r="E27" s="28" t="str">
        <f>A.Backend!H21</f>
        <v>string</v>
      </c>
      <c r="F27" s="28" t="str">
        <f>A.Backend!G21</f>
        <v>35</v>
      </c>
      <c r="G27" s="28" t="str">
        <f t="shared" si="24"/>
        <v xml:space="preserve"> : string = '' ; </v>
      </c>
      <c r="H27" s="35" t="str">
        <f t="shared" si="25"/>
        <v xml:space="preserve">			{headerName: this.l('Address 2'),headerTooltip: this.l('Address 2'),field: 'address2',flex: 1},</v>
      </c>
      <c r="I27" s="35" t="str">
        <f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IF(AND(E27="string",F27 &lt;&gt;"1"),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 xml:space="preserve">								&lt;div class='input-search'&gt;
									&lt;input [(ngModel)]='address2' name='address2'
									class='form-control' [placeholder]="l('Address 2')"
									type='text' (keyup.enter)='searchDatas()'&gt;
								&lt;/div&gt;</v>
      </c>
      <c r="J27" s="28"/>
      <c r="K27" s="35" t="str">
        <f t="shared" ref="K27:K31" si="34">IF(OR(E27="DateTime?",E27="TimeSpan?"),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IF(OR(E27="int?",E27="long?"),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 xml:space="preserve">					&lt;div class='col-md-12 form-group row'&gt;
						&lt;label class='col-md-2 form-control title'&gt;Address 2&lt;/label&gt;
						&lt;input type='text' class='col-md-10 form-control input-text' name='Address2' [(ngModel)]='rowdata.address2'&gt;
					&lt;/div&gt;</v>
      </c>
      <c r="L27" s="56" t="str">
        <f t="shared" si="32"/>
        <v/>
      </c>
      <c r="M27" s="28"/>
      <c r="N27" s="28"/>
      <c r="O27" s="28"/>
      <c r="P27" s="28"/>
      <c r="Q27" s="28"/>
      <c r="R27" s="28"/>
      <c r="S27" s="28" t="str">
        <f t="shared" ref="S27:S31" si="35">IF(AND(E27="string",F27 &lt;&gt;"1"),(REPT(CHAR(9),1)&amp;D27&amp;G27),"")</f>
        <v xml:space="preserve">	address2 : string = '' ; </v>
      </c>
      <c r="T27" s="28" t="str">
        <f>IF(AND(E27="string",F27 &lt;&gt;"1"),(REPT(CHAR(9),3)&amp;"this."&amp;D26&amp;","),"")</f>
        <v xml:space="preserve">			this.address1,</v>
      </c>
      <c r="U27" s="28" t="str">
        <f t="shared" ref="U27:U31" si="36">IF(AND(E27="string",F27 &lt;&gt;"1"),(REPT(CHAR(9),1)&amp;D27&amp;G27),"")</f>
        <v xml:space="preserve">	address2 : string = '' ; </v>
      </c>
      <c r="V27" s="28" t="str">
        <f t="shared" si="29"/>
        <v/>
      </c>
    </row>
    <row r="28" spans="1:22" ht="18" customHeight="1" x14ac:dyDescent="0.25">
      <c r="A28" t="s">
        <v>379</v>
      </c>
      <c r="B28" s="28" t="str">
        <f t="shared" si="21"/>
        <v>Address3</v>
      </c>
      <c r="C28" s="28" t="str">
        <f t="shared" si="22"/>
        <v>Address 3</v>
      </c>
      <c r="D28" s="28" t="str">
        <f t="shared" si="23"/>
        <v>address3</v>
      </c>
      <c r="E28" s="28" t="str">
        <f>A.Backend!H22</f>
        <v>string</v>
      </c>
      <c r="F28" s="28" t="str">
        <f>A.Backend!G22</f>
        <v>35</v>
      </c>
      <c r="G28" s="28" t="str">
        <f t="shared" si="24"/>
        <v xml:space="preserve"> : string = '' ; </v>
      </c>
      <c r="H28" s="35" t="str">
        <f t="shared" si="25"/>
        <v xml:space="preserve">			{headerName: this.l('Address 3'),headerTooltip: this.l('Address 3'),field: 'address3',flex: 1},</v>
      </c>
      <c r="I28" s="35" t="str">
        <f t="shared" ref="I28:I29" si="37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IF(AND(E28="string",F28 &lt;&gt;"1"),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 xml:space="preserve">								&lt;div class='input-search'&gt;
									&lt;input [(ngModel)]='address3' name='address3'
									class='form-control' [placeholder]="l('Address 3')"
									type='text' (keyup.enter)='searchDatas()'&gt;
								&lt;/div&gt;</v>
      </c>
      <c r="J28" s="28"/>
      <c r="K28" s="35" t="str">
        <f t="shared" si="34"/>
        <v xml:space="preserve">					&lt;div class='col-md-12 form-group row'&gt;
						&lt;label class='col-md-2 form-control title'&gt;Address 3&lt;/label&gt;
						&lt;input type='text' class='col-md-10 form-control input-text' name='Address3' [(ngModel)]='rowdata.address3'&gt;
					&lt;/div&gt;</v>
      </c>
      <c r="L28" s="56" t="str">
        <f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35"/>
        <v xml:space="preserve">	address3 : string = '' ; </v>
      </c>
      <c r="T28" s="28" t="str">
        <f t="shared" ref="T28:T31" si="38">IF(AND(E28="string",F28 &lt;&gt;"1"),(REPT(CHAR(9),3)&amp;"this."&amp;D27&amp;","),"")</f>
        <v xml:space="preserve">			this.address2,</v>
      </c>
      <c r="U28" s="28" t="str">
        <f t="shared" si="36"/>
        <v xml:space="preserve">	address3 : string = '' ; </v>
      </c>
      <c r="V28" s="28" t="str">
        <f t="shared" si="29"/>
        <v/>
      </c>
    </row>
    <row r="29" spans="1:22" ht="15" customHeight="1" x14ac:dyDescent="0.25">
      <c r="A29" t="s">
        <v>380</v>
      </c>
      <c r="B29" s="28" t="str">
        <f t="shared" si="21"/>
        <v>District</v>
      </c>
      <c r="C29" s="28" t="str">
        <f t="shared" si="22"/>
        <v>District</v>
      </c>
      <c r="D29" s="28" t="str">
        <f t="shared" si="23"/>
        <v>district</v>
      </c>
      <c r="E29" s="28" t="str">
        <f>A.Backend!H23</f>
        <v>string</v>
      </c>
      <c r="F29" s="28" t="str">
        <f>A.Backend!G23</f>
        <v>40</v>
      </c>
      <c r="G29" s="28" t="str">
        <f t="shared" si="24"/>
        <v xml:space="preserve"> : string = '' ; </v>
      </c>
      <c r="H29" s="35" t="str">
        <f t="shared" si="25"/>
        <v xml:space="preserve">			{headerName: this.l('District'),headerTooltip: this.l('District'),field: 'district',flex: 1},</v>
      </c>
      <c r="I29" s="35" t="str">
        <f t="shared" si="37"/>
        <v xml:space="preserve">								&lt;div class='input-search'&gt;
									&lt;input [(ngModel)]='district' name='district'
									class='form-control' [placeholder]="l('District')"
									type='text' (keyup.enter)='searchDatas()'&gt;
								&lt;/div&gt;</v>
      </c>
      <c r="J29" s="28"/>
      <c r="K29" s="35" t="str">
        <f t="shared" si="34"/>
        <v xml:space="preserve">					&lt;div class='col-md-12 form-group row'&gt;
						&lt;label class='col-md-2 form-control title'&gt;District&lt;/label&gt;
						&lt;input type='text' class='col-md-10 form-control input-text' name='District' [(ngModel)]='rowdata.district'&gt;
					&lt;/div&gt;</v>
      </c>
      <c r="L29" s="56" t="str">
        <f t="shared" ref="L29:L33" si="39">IF(E29="DateTime",
REPT(CHAR(9),2)&amp;"const dateValue =  this.rowdata."&amp;D29&amp;" ? new Date(this.rowdata."&amp;D29&amp;"?.toString()) : new Date();
"&amp;REPT(CHAR(9),2)&amp;"this.datepicker?.bsValueChange.emit(dateValue);","")</f>
        <v/>
      </c>
      <c r="M29" s="28"/>
      <c r="N29" s="28"/>
      <c r="O29" s="28"/>
      <c r="P29" s="28"/>
      <c r="Q29" s="28"/>
      <c r="R29" s="28"/>
      <c r="S29" s="28" t="str">
        <f t="shared" si="35"/>
        <v xml:space="preserve">	district : string = '' ; </v>
      </c>
      <c r="T29" s="28" t="str">
        <f t="shared" si="38"/>
        <v xml:space="preserve">			this.address3,</v>
      </c>
      <c r="U29" s="28" t="str">
        <f t="shared" si="36"/>
        <v xml:space="preserve">	district : string = '' ; </v>
      </c>
      <c r="V29" s="28" t="str">
        <f t="shared" si="29"/>
        <v/>
      </c>
    </row>
    <row r="30" spans="1:22" ht="18" customHeight="1" x14ac:dyDescent="0.25">
      <c r="A30" t="s">
        <v>381</v>
      </c>
      <c r="B30" s="28" t="str">
        <f t="shared" si="21"/>
        <v>City</v>
      </c>
      <c r="C30" s="28" t="str">
        <f t="shared" si="22"/>
        <v>City</v>
      </c>
      <c r="D30" s="28" t="str">
        <f t="shared" si="23"/>
        <v>city</v>
      </c>
      <c r="E30" s="28" t="str">
        <f>A.Backend!H24</f>
        <v>string</v>
      </c>
      <c r="F30" s="28" t="str">
        <f>A.Backend!G24</f>
        <v>40</v>
      </c>
      <c r="G30" s="28" t="str">
        <f t="shared" si="24"/>
        <v xml:space="preserve"> : string = '' ; </v>
      </c>
      <c r="H30" s="35" t="str">
        <f t="shared" si="25"/>
        <v xml:space="preserve">			{headerName: this.l('City'),headerTooltip: this.l('City'),field: 'city',flex: 1},</v>
      </c>
      <c r="I30" s="35" t="str">
        <f>IF(E30="DateTime",
REPT(CHAR(9),8)&amp;"&lt;div class='input-search'&gt;
"&amp;REPT(CHAR(9),9)&amp;"&lt;input type='text' [placeholder]=""l('"&amp;C30&amp;"')"" [(ngModel)]='"&amp;D30&amp;"' 
"&amp;REPT(CHAR(9),9)&amp;"name='"&amp;D30&amp;"'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IF(AND(E30="string",F30 &lt;&gt;"1"),
REPT(CHAR(9),8)&amp;"&lt;div class='input-search'&gt;
"&amp;REPT(CHAR(9),9)&amp;"&lt;input [(ngModel)]='"&amp;D30&amp;"' name='"&amp;D30&amp;"'
"&amp;REPT(CHAR(9),9)&amp;"class='form-control' [placeholder]=""l('"&amp;C30&amp;"')""
"&amp;REPT(CHAR(9),9)&amp;"type='text' (keyup.enter)='searchDatas()'&gt;
"&amp;REPT(CHAR(9),8)&amp;"&lt;/div&gt;",""))</f>
        <v xml:space="preserve">								&lt;div class='input-search'&gt;
									&lt;input [(ngModel)]='city' name='city'
									class='form-control' [placeholder]="l('City')"
									type='text' (keyup.enter)='searchDatas()'&gt;
								&lt;/div&gt;</v>
      </c>
      <c r="J30" s="28"/>
      <c r="K30" s="35" t="str">
        <f t="shared" si="34"/>
        <v xml:space="preserve">					&lt;div class='col-md-12 form-group row'&gt;
						&lt;label class='col-md-2 form-control title'&gt;City&lt;/label&gt;
						&lt;input type='text' class='col-md-10 form-control input-text' name='City' [(ngModel)]='rowdata.city'&gt;
					&lt;/div&gt;</v>
      </c>
      <c r="L30" s="56" t="str">
        <f t="shared" si="39"/>
        <v/>
      </c>
      <c r="M30" s="28"/>
      <c r="N30" s="28"/>
      <c r="O30" s="28"/>
      <c r="P30" s="28"/>
      <c r="Q30" s="28"/>
      <c r="R30" s="28"/>
      <c r="S30" s="28" t="str">
        <f t="shared" si="35"/>
        <v xml:space="preserve">	city : string = '' ; </v>
      </c>
      <c r="T30" s="28" t="str">
        <f t="shared" si="38"/>
        <v xml:space="preserve">			this.district,</v>
      </c>
      <c r="U30" s="28" t="str">
        <f t="shared" si="36"/>
        <v xml:space="preserve">	city : string = '' ; </v>
      </c>
      <c r="V30" s="28" t="str">
        <f t="shared" si="29"/>
        <v/>
      </c>
    </row>
    <row r="31" spans="1:22" ht="15" customHeight="1" x14ac:dyDescent="0.25">
      <c r="A31" t="s">
        <v>382</v>
      </c>
      <c r="B31" s="28" t="str">
        <f t="shared" si="21"/>
        <v>PostalCd</v>
      </c>
      <c r="C31" s="28" t="str">
        <f t="shared" si="22"/>
        <v>Postal Cd</v>
      </c>
      <c r="D31" s="28" t="str">
        <f t="shared" si="23"/>
        <v>postalCd</v>
      </c>
      <c r="E31" s="28" t="str">
        <f>A.Backend!H25</f>
        <v>string</v>
      </c>
      <c r="F31" s="28" t="str">
        <f>A.Backend!G25</f>
        <v>10</v>
      </c>
      <c r="G31" s="28" t="str">
        <f t="shared" si="24"/>
        <v xml:space="preserve"> : string = '' ; </v>
      </c>
      <c r="H31" s="35" t="str">
        <f t="shared" si="25"/>
        <v xml:space="preserve">			{headerName: this.l('Postal Cd'),headerTooltip: this.l('Postal Cd'),field: 'postalCd',flex: 1},</v>
      </c>
      <c r="I31" s="35" t="str">
        <f t="shared" ref="I31:I32" si="40"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IF(AND(E31="string",F31 &lt;&gt;"1"),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 xml:space="preserve">								&lt;div class='input-search'&gt;
									&lt;input [(ngModel)]='postalCd' name='postalCd'
									class='form-control' [placeholder]="l('Postal Cd')"
									type='text' (keyup.enter)='searchDatas()'&gt;
								&lt;/div&gt;</v>
      </c>
      <c r="J31" s="28"/>
      <c r="K31" s="35" t="str">
        <f t="shared" si="34"/>
        <v xml:space="preserve">					&lt;div class='col-md-12 form-group row'&gt;
						&lt;label class='col-md-2 form-control title'&gt;Postal Cd&lt;/label&gt;
						&lt;input type='text' class='col-md-10 form-control input-text' name='PostalCd' [(ngModel)]='rowdata.postalCd'&gt;
					&lt;/div&gt;</v>
      </c>
      <c r="L31" s="56" t="str">
        <f t="shared" si="39"/>
        <v/>
      </c>
      <c r="M31" s="28"/>
      <c r="N31" s="28"/>
      <c r="O31" s="28"/>
      <c r="P31" s="28"/>
      <c r="Q31" s="28"/>
      <c r="R31" s="28"/>
      <c r="S31" s="28" t="str">
        <f t="shared" si="35"/>
        <v xml:space="preserve">	postalCd : string = '' ; </v>
      </c>
      <c r="T31" s="28" t="str">
        <f t="shared" si="38"/>
        <v xml:space="preserve">			this.city,</v>
      </c>
      <c r="U31" s="28" t="str">
        <f t="shared" si="36"/>
        <v xml:space="preserve">	postalCd : string = '' ; </v>
      </c>
      <c r="V31" s="28" t="str">
        <f t="shared" si="29"/>
        <v/>
      </c>
    </row>
    <row r="32" spans="1:22" ht="15" customHeight="1" x14ac:dyDescent="0.25">
      <c r="A32" t="s">
        <v>383</v>
      </c>
      <c r="B32" s="28" t="str">
        <f t="shared" si="21"/>
        <v>Country</v>
      </c>
      <c r="C32" s="28" t="str">
        <f t="shared" si="22"/>
        <v>Country</v>
      </c>
      <c r="D32" s="28" t="str">
        <f t="shared" si="23"/>
        <v>country</v>
      </c>
      <c r="E32" s="28" t="str">
        <f>A.Backend!H26</f>
        <v>string</v>
      </c>
      <c r="F32" s="28" t="str">
        <f>A.Backend!G26</f>
        <v>3</v>
      </c>
      <c r="G32" s="28" t="str">
        <f t="shared" si="24"/>
        <v xml:space="preserve"> : string = '' ; </v>
      </c>
      <c r="H32" s="35" t="str">
        <f t="shared" si="25"/>
        <v xml:space="preserve">			{headerName: this.l('Country'),headerTooltip: this.l('Country'),field: 'country',flex: 1},</v>
      </c>
      <c r="I32" s="35" t="str">
        <f t="shared" si="40"/>
        <v xml:space="preserve">								&lt;div class='input-search'&gt;
									&lt;input [(ngModel)]='country' name='country'
									class='form-control' [placeholder]="l('Country')"
									type='text' (keyup.enter)='searchDatas()'&gt;
								&lt;/div&gt;</v>
      </c>
      <c r="J32" s="28"/>
      <c r="K32" s="35" t="str">
        <f>IF(OR(E32="DateTime?",E32="TimeSpan?"),
REPT(CHAR(9),5)&amp;"&lt;div class='col-md-12 form-group row'&gt;
"&amp;REPT(CHAR(9),6)&amp;"&lt;label class='col-md-2 form-control title'&gt;"&amp;C32&amp;"&lt;/label&gt;
"&amp;REPT(CHAR(9),6)&amp;"&lt;input type='text' class='col-md-10 form-control input-text' name='"&amp;D32&amp;"' 
"&amp;REPT(CHAR(9),6)&amp;"#datepicker='bsDatepicker' [(ngModel)]='rowdata."&amp;D32&amp;"'  bsDatepicker &gt;
"&amp;REPT(CHAR(9),5)&amp;"&lt;/div&gt;",
IF(AND(E32="string",F32="1"),
REPT(CHAR(9),5)&amp;"&lt;div class='col-md-12 form-group row'&gt;
"&amp;REPT(CHAR(9),6)&amp;"&lt;label class='col-md-2 form-control title'&gt;"&amp;C32&amp;"&lt;/label&gt;
"&amp;REPT(CHAR(9),6)&amp;"&lt;new-checkbox [(ngModel)]='_"&amp;D32&amp;"' name='"&amp;D32&amp;"' className='col-md-10' &gt; &lt;/new-checkbox&gt;
"&amp;REPT(CHAR(9),5)&amp;"&lt;/div&gt;",
IF(E32="string",
REPT(CHAR(9),5)&amp;"&lt;div class='col-md-12 form-group row'&gt;
"&amp;REPT(CHAR(9),6)&amp;"&lt;label class='col-md-2 form-control title'&gt;"&amp;C32&amp;"&lt;/label&gt;
"&amp;REPT(CHAR(9),6)&amp;"&lt;input type='text' class='col-md-10 form-control input-text' name='"&amp;B32&amp;"' [(ngModel)]='rowdata."&amp;D32&amp;"'&gt;
"&amp;REPT(CHAR(9),5)&amp;"&lt;/div&gt;",
IF(OR(E32="int?",E32="long?"),
REPT(CHAR(9),5)&amp;"&lt;div class='col-md-12 form-group row'&gt;
"&amp;REPT(CHAR(9),6)&amp;"&lt;label class='col-md-2 form-control title'&gt;"&amp;C32&amp;"&lt;/label&gt;
"&amp;REPT(CHAR(9),6)&amp;"&lt;input type='number' class='col-md-10 form-control input-text' name='"&amp;B32&amp;"' [(ngModel)]='rowdata."&amp;D32&amp;"'&gt;
"&amp;REPT(CHAR(9),5)&amp;"&lt;/div&gt;",""))))</f>
        <v xml:space="preserve">					&lt;div class='col-md-12 form-group row'&gt;
						&lt;label class='col-md-2 form-control title'&gt;Country&lt;/label&gt;
						&lt;input type='text' class='col-md-10 form-control input-text' name='Country' [(ngModel)]='rowdata.country'&gt;
					&lt;/div&gt;</v>
      </c>
      <c r="L32" s="56" t="str">
        <f t="shared" si="39"/>
        <v/>
      </c>
      <c r="M32" s="28"/>
      <c r="N32" s="28"/>
      <c r="O32" s="28"/>
      <c r="P32" s="28"/>
      <c r="Q32" s="28"/>
      <c r="R32" s="28"/>
      <c r="S32" s="28" t="str">
        <f>IF(AND(E32="string",F32 &lt;&gt;"1"),(REPT(CHAR(9),1)&amp;D32&amp;G32),"")</f>
        <v xml:space="preserve">	country : string = '' ; </v>
      </c>
      <c r="T32" s="28" t="str">
        <f>IF(AND(E32="string",F32 &lt;&gt;"1"),(REPT(CHAR(9),3)&amp;"this."&amp;D31&amp;","),"")</f>
        <v xml:space="preserve">			this.postalCd,</v>
      </c>
      <c r="U32" s="28" t="str">
        <f>IF(AND(E32="string",F32 &lt;&gt;"1"),(REPT(CHAR(9),1)&amp;D32&amp;G32),"")</f>
        <v xml:space="preserve">	country : string = '' ; </v>
      </c>
      <c r="V32" s="28" t="str">
        <f t="shared" si="29"/>
        <v/>
      </c>
    </row>
    <row r="33" spans="1:22" ht="18" customHeight="1" x14ac:dyDescent="0.25">
      <c r="A33" t="s">
        <v>384</v>
      </c>
      <c r="B33" s="28" t="str">
        <f t="shared" ref="B33:B43" si="41">SUBSTITUTE(PROPER(A33),"_","")</f>
        <v>PhoneNo</v>
      </c>
      <c r="C33" s="28" t="str">
        <f t="shared" ref="C33:C43" si="42">SUBSTITUTE(PROPER(A33),"_"," ")</f>
        <v>Phone No</v>
      </c>
      <c r="D33" s="28" t="str">
        <f t="shared" ref="D33:D43" si="43">LOWER(LEFT(B33,1))&amp;RIGHT(B33,LEN(B33) - 1)</f>
        <v>phoneNo</v>
      </c>
      <c r="E33" s="28" t="str">
        <f>A.Backend!H27</f>
        <v>string</v>
      </c>
      <c r="F33" s="28" t="str">
        <f>A.Backend!G27</f>
        <v>30</v>
      </c>
      <c r="G33" s="28" t="str">
        <f t="shared" ref="G33:G43" si="44">IF(E33="string"," : string = '' ; ",IF(OR(E33="DateTime",E33="TimeSpan")," : any ;",IF(E33="int"," : number = 0 ;","")))</f>
        <v xml:space="preserve"> : string = '' ; </v>
      </c>
      <c r="H33" s="35" t="str">
        <f t="shared" ref="H33:H43" si="45">IF(E33="DateTime",
REPT(CHAR(9),3)&amp;"{headerName: this.l('"&amp;C33&amp;"'),headerTooltip: this.l('"&amp;C33&amp;"'),field: '"&amp;D33&amp;"',valueGetter: (params) =&gt; this.pipe.transform(params.data?."&amp;D33&amp;", 'dd/MM/yyyy'),flex: 1},",
IF(AND(E33="string",F33="1"),
REPT(CHAR(9),3)&amp;"{headerName: this.l('"&amp;C33&amp;"'),headerTooltip: this.l('"&amp;C33&amp;"'),field:  '"&amp;D33&amp;"', cellClass: ['text-center'], width: 120, cellRenderer: 'agCellButtonComponent',
buttonDefTwo: { text: params =&gt; (params.data?.'"&amp;D33&amp;"' == 'Y') ? 'Active' : 'Inactive',iconName: 'fa fa-circle',className: params =&gt; (params.data?.'"&amp;D33&amp;"' == 'Y') ? 'btnActive' : 'btnInActive',},}",
REPT(CHAR(9),3)&amp;"{headerName: this.l('"&amp;C33&amp;"'),headerTooltip: this.l('"&amp;C33&amp;"'),field: '"&amp;D33&amp;"',flex: 1},"))</f>
        <v xml:space="preserve">			{headerName: this.l('Phone No'),headerTooltip: this.l('Phone No'),field: 'phoneNo',flex: 1},</v>
      </c>
      <c r="I33" s="35" t="str">
        <f>IF(E33="DateTime",
REPT(CHAR(9),8)&amp;"&lt;div class='input-search'&gt;
"&amp;REPT(CHAR(9),9)&amp;"&lt;input type='text' [placeholder]=""l('"&amp;C33&amp;"')"" [(ngModel)]='"&amp;D33&amp;"' 
"&amp;REPT(CHAR(9),9)&amp;"name='"&amp;D33&amp;"'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IF(AND(E33="string",F33 &lt;&gt;"1"),
REPT(CHAR(9),8)&amp;"&lt;div class='input-search'&gt;
"&amp;REPT(CHAR(9),9)&amp;"&lt;input [(ngModel)]='"&amp;D33&amp;"' name='"&amp;D33&amp;"'
"&amp;REPT(CHAR(9),9)&amp;"class='form-control' [placeholder]=""l('"&amp;C33&amp;"')""
"&amp;REPT(CHAR(9),9)&amp;"type='text' (keyup.enter)='searchDatas()'&gt;
"&amp;REPT(CHAR(9),8)&amp;"&lt;/div&gt;",""))</f>
        <v xml:space="preserve">								&lt;div class='input-search'&gt;
									&lt;input [(ngModel)]='phoneNo' name='phoneNo'
									class='form-control' [placeholder]="l('Phone No')"
									type='text' (keyup.enter)='searchDatas()'&gt;
								&lt;/div&gt;</v>
      </c>
      <c r="J33" s="28"/>
      <c r="K33" s="35" t="str">
        <f t="shared" ref="K33:K36" si="46">IF(OR(E33="DateTime?",E33="TimeSpan?"),
REPT(CHAR(9),5)&amp;"&lt;div class='col-md-12 form-group row'&gt;
"&amp;REPT(CHAR(9),6)&amp;"&lt;label class='col-md-2 form-control title'&gt;"&amp;C33&amp;"&lt;/label&gt;
"&amp;REPT(CHAR(9),6)&amp;"&lt;input type='text' class='col-md-10 form-control input-text' name='"&amp;D33&amp;"' 
"&amp;REPT(CHAR(9),6)&amp;"#datepicker='bsDatepicker' [(ngModel)]='rowdata."&amp;D33&amp;"'  bsDatepicker &gt;
"&amp;REPT(CHAR(9),5)&amp;"&lt;/div&gt;",
IF(AND(E33="string",F33="1"),
REPT(CHAR(9),5)&amp;"&lt;div class='col-md-12 form-group row'&gt;
"&amp;REPT(CHAR(9),6)&amp;"&lt;label class='col-md-2 form-control title'&gt;"&amp;C33&amp;"&lt;/label&gt;
"&amp;REPT(CHAR(9),6)&amp;"&lt;new-checkbox [(ngModel)]='_"&amp;D33&amp;"' name='"&amp;D33&amp;"' className='col-md-10' &gt; &lt;/new-checkbox&gt;
"&amp;REPT(CHAR(9),5)&amp;"&lt;/div&gt;",
IF(E33="string",
REPT(CHAR(9),5)&amp;"&lt;div class='col-md-12 form-group row'&gt;
"&amp;REPT(CHAR(9),6)&amp;"&lt;label class='col-md-2 form-control title'&gt;"&amp;C33&amp;"&lt;/label&gt;
"&amp;REPT(CHAR(9),6)&amp;"&lt;input type='text' class='col-md-10 form-control input-text' name='"&amp;B33&amp;"' [(ngModel)]='rowdata."&amp;D33&amp;"'&gt;
"&amp;REPT(CHAR(9),5)&amp;"&lt;/div&gt;",
IF(OR(E33="int?",E33="long?"),
REPT(CHAR(9),5)&amp;"&lt;div class='col-md-12 form-group row'&gt;
"&amp;REPT(CHAR(9),6)&amp;"&lt;label class='col-md-2 form-control title'&gt;"&amp;C33&amp;"&lt;/label&gt;
"&amp;REPT(CHAR(9),6)&amp;"&lt;input type='number' class='col-md-10 form-control input-text' name='"&amp;B33&amp;"' [(ngModel)]='rowdata."&amp;D33&amp;"'&gt;
"&amp;REPT(CHAR(9),5)&amp;"&lt;/div&gt;",""))))</f>
        <v xml:space="preserve">					&lt;div class='col-md-12 form-group row'&gt;
						&lt;label class='col-md-2 form-control title'&gt;Phone No&lt;/label&gt;
						&lt;input type='text' class='col-md-10 form-control input-text' name='PhoneNo' [(ngModel)]='rowdata.phoneNo'&gt;
					&lt;/div&gt;</v>
      </c>
      <c r="L33" s="56" t="str">
        <f t="shared" si="39"/>
        <v/>
      </c>
      <c r="M33" s="28"/>
      <c r="N33" s="28"/>
      <c r="O33" s="28"/>
      <c r="P33" s="28"/>
      <c r="Q33" s="28"/>
      <c r="R33" s="28"/>
      <c r="S33" s="28" t="str">
        <f t="shared" ref="S33:S36" si="47">IF(AND(E33="string",F33 &lt;&gt;"1"),(REPT(CHAR(9),1)&amp;D33&amp;G33),"")</f>
        <v xml:space="preserve">	phoneNo : string = '' ; </v>
      </c>
      <c r="T33" s="28" t="str">
        <f>IF(AND(E33="string",F33 &lt;&gt;"1"),(REPT(CHAR(9),3)&amp;"this."&amp;D32&amp;","),"")</f>
        <v xml:space="preserve">			this.country,</v>
      </c>
      <c r="U33" s="28" t="str">
        <f t="shared" ref="U33:U36" si="48">IF(AND(E33="string",F33 &lt;&gt;"1"),(REPT(CHAR(9),1)&amp;D33&amp;G33),"")</f>
        <v xml:space="preserve">	phoneNo : string = '' ; </v>
      </c>
      <c r="V33" s="28" t="str">
        <f t="shared" ref="V33:V43" si="49">IF(AND(E33="string",F33="1"),D33,"")</f>
        <v/>
      </c>
    </row>
    <row r="34" spans="1:22" ht="18" customHeight="1" x14ac:dyDescent="0.25">
      <c r="A34" t="s">
        <v>385</v>
      </c>
      <c r="B34" s="28" t="str">
        <f t="shared" si="41"/>
        <v>FaxNo</v>
      </c>
      <c r="C34" s="28" t="str">
        <f t="shared" si="42"/>
        <v>Fax No</v>
      </c>
      <c r="D34" s="28" t="str">
        <f t="shared" si="43"/>
        <v>faxNo</v>
      </c>
      <c r="E34" s="28" t="str">
        <f>A.Backend!H28</f>
        <v>string</v>
      </c>
      <c r="F34" s="28" t="str">
        <f>A.Backend!G28</f>
        <v>30</v>
      </c>
      <c r="G34" s="28" t="str">
        <f t="shared" si="44"/>
        <v xml:space="preserve"> : string = '' ; </v>
      </c>
      <c r="H34" s="35" t="str">
        <f t="shared" si="45"/>
        <v xml:space="preserve">			{headerName: this.l('Fax No'),headerTooltip: this.l('Fax No'),field: 'faxNo',flex: 1},</v>
      </c>
      <c r="I34" s="35" t="str">
        <f t="shared" ref="I34:I35" si="50">IF(E34="DateTime",
REPT(CHAR(9),8)&amp;"&lt;div class='input-search'&gt;
"&amp;REPT(CHAR(9),9)&amp;"&lt;input type='text' [placeholder]=""l('"&amp;C34&amp;"')"" [(ngModel)]='"&amp;D34&amp;"' 
"&amp;REPT(CHAR(9),9)&amp;"name='"&amp;D34&amp;"'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IF(AND(E34="string",F34 &lt;&gt;"1"),
REPT(CHAR(9),8)&amp;"&lt;div class='input-search'&gt;
"&amp;REPT(CHAR(9),9)&amp;"&lt;input [(ngModel)]='"&amp;D34&amp;"' name='"&amp;D34&amp;"'
"&amp;REPT(CHAR(9),9)&amp;"class='form-control' [placeholder]=""l('"&amp;C34&amp;"')""
"&amp;REPT(CHAR(9),9)&amp;"type='text' (keyup.enter)='searchDatas()'&gt;
"&amp;REPT(CHAR(9),8)&amp;"&lt;/div&gt;",""))</f>
        <v xml:space="preserve">								&lt;div class='input-search'&gt;
									&lt;input [(ngModel)]='faxNo' name='faxNo'
									class='form-control' [placeholder]="l('Fax No')"
									type='text' (keyup.enter)='searchDatas()'&gt;
								&lt;/div&gt;</v>
      </c>
      <c r="J34" s="28"/>
      <c r="K34" s="35" t="str">
        <f t="shared" si="46"/>
        <v xml:space="preserve">					&lt;div class='col-md-12 form-group row'&gt;
						&lt;label class='col-md-2 form-control title'&gt;Fax No&lt;/label&gt;
						&lt;input type='text' class='col-md-10 form-control input-text' name='FaxNo' [(ngModel)]='rowdata.faxNo'&gt;
					&lt;/div&gt;</v>
      </c>
      <c r="L34" s="56" t="str">
        <f>IF(E34="DateTime",
REPT(CHAR(9),2)&amp;"const dateValue =  this.rowdata."&amp;D34&amp;" ? new Date(this.rowdata."&amp;D34&amp;"?.toString()) : new Date();
"&amp;REPT(CHAR(9),2)&amp;"this.datepicker?.bsValueChange.emit(dateValue);","")</f>
        <v/>
      </c>
      <c r="M34" s="28"/>
      <c r="N34" s="28"/>
      <c r="O34" s="28"/>
      <c r="P34" s="28"/>
      <c r="Q34" s="28"/>
      <c r="R34" s="28"/>
      <c r="S34" s="28" t="str">
        <f t="shared" si="47"/>
        <v xml:space="preserve">	faxNo : string = '' ; </v>
      </c>
      <c r="T34" s="28" t="str">
        <f t="shared" ref="T34:T36" si="51">IF(AND(E34="string",F34 &lt;&gt;"1"),(REPT(CHAR(9),3)&amp;"this."&amp;D33&amp;","),"")</f>
        <v xml:space="preserve">			this.phoneNo,</v>
      </c>
      <c r="U34" s="28" t="str">
        <f t="shared" si="48"/>
        <v xml:space="preserve">	faxNo : string = '' ; </v>
      </c>
      <c r="V34" s="28" t="str">
        <f t="shared" si="49"/>
        <v/>
      </c>
    </row>
    <row r="35" spans="1:22" ht="15" customHeight="1" x14ac:dyDescent="0.25">
      <c r="A35" t="s">
        <v>386</v>
      </c>
      <c r="B35" s="28" t="str">
        <f t="shared" si="41"/>
        <v>TaxNo</v>
      </c>
      <c r="C35" s="28" t="str">
        <f t="shared" si="42"/>
        <v>Tax No</v>
      </c>
      <c r="D35" s="28" t="str">
        <f t="shared" si="43"/>
        <v>taxNo</v>
      </c>
      <c r="E35" s="28" t="str">
        <f>A.Backend!H29</f>
        <v>string</v>
      </c>
      <c r="F35" s="28" t="str">
        <f>A.Backend!G29</f>
        <v>20</v>
      </c>
      <c r="G35" s="28" t="str">
        <f t="shared" si="44"/>
        <v xml:space="preserve"> : string = '' ; </v>
      </c>
      <c r="H35" s="35" t="str">
        <f t="shared" si="45"/>
        <v xml:space="preserve">			{headerName: this.l('Tax No'),headerTooltip: this.l('Tax No'),field: 'taxNo',flex: 1},</v>
      </c>
      <c r="I35" s="35" t="str">
        <f t="shared" si="50"/>
        <v xml:space="preserve">								&lt;div class='input-search'&gt;
									&lt;input [(ngModel)]='taxNo' name='taxNo'
									class='form-control' [placeholder]="l('Tax No')"
									type='text' (keyup.enter)='searchDatas()'&gt;
								&lt;/div&gt;</v>
      </c>
      <c r="J35" s="28"/>
      <c r="K35" s="35" t="str">
        <f t="shared" si="46"/>
        <v xml:space="preserve">					&lt;div class='col-md-12 form-group row'&gt;
						&lt;label class='col-md-2 form-control title'&gt;Tax No&lt;/label&gt;
						&lt;input type='text' class='col-md-10 form-control input-text' name='TaxNo' [(ngModel)]='rowdata.taxNo'&gt;
					&lt;/div&gt;</v>
      </c>
      <c r="L35" s="56" t="str">
        <f t="shared" ref="L35:L38" si="52"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28"/>
      <c r="N35" s="28"/>
      <c r="O35" s="28"/>
      <c r="P35" s="28"/>
      <c r="Q35" s="28"/>
      <c r="R35" s="28"/>
      <c r="S35" s="28" t="str">
        <f t="shared" si="47"/>
        <v xml:space="preserve">	taxNo : string = '' ; </v>
      </c>
      <c r="T35" s="28" t="str">
        <f t="shared" si="51"/>
        <v xml:space="preserve">			this.faxNo,</v>
      </c>
      <c r="U35" s="28" t="str">
        <f t="shared" si="48"/>
        <v xml:space="preserve">	taxNo : string = '' ; </v>
      </c>
      <c r="V35" s="28" t="str">
        <f t="shared" si="49"/>
        <v/>
      </c>
    </row>
    <row r="36" spans="1:22" ht="18" customHeight="1" x14ac:dyDescent="0.25">
      <c r="A36" t="s">
        <v>389</v>
      </c>
      <c r="B36" s="28" t="str">
        <f t="shared" si="41"/>
        <v>TaxCate</v>
      </c>
      <c r="C36" s="28" t="str">
        <f t="shared" si="42"/>
        <v>Tax Cate</v>
      </c>
      <c r="D36" s="28" t="str">
        <f t="shared" si="43"/>
        <v>taxCate</v>
      </c>
      <c r="E36" s="28" t="str">
        <f>A.Backend!H30</f>
        <v>string</v>
      </c>
      <c r="F36" s="28" t="str">
        <f>A.Backend!G30</f>
        <v>4</v>
      </c>
      <c r="G36" s="28" t="str">
        <f t="shared" si="44"/>
        <v xml:space="preserve"> : string = '' ; </v>
      </c>
      <c r="H36" s="35" t="str">
        <f t="shared" si="45"/>
        <v xml:space="preserve">			{headerName: this.l('Tax Cate'),headerTooltip: this.l('Tax Cate'),field: 'taxCate',flex: 1},</v>
      </c>
      <c r="I36" s="35" t="str">
        <f>IF(E36="DateTime",
REPT(CHAR(9),8)&amp;"&lt;div class='input-search'&gt;
"&amp;REPT(CHAR(9),9)&amp;"&lt;input type='text' [placeholder]=""l('"&amp;C36&amp;"')"" [(ngModel)]='"&amp;D36&amp;"' 
"&amp;REPT(CHAR(9),9)&amp;"name='"&amp;D36&amp;"'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IF(AND(E36="string",F36 &lt;&gt;"1"),
REPT(CHAR(9),8)&amp;"&lt;div class='input-search'&gt;
"&amp;REPT(CHAR(9),9)&amp;"&lt;input [(ngModel)]='"&amp;D36&amp;"' name='"&amp;D36&amp;"'
"&amp;REPT(CHAR(9),9)&amp;"class='form-control' [placeholder]=""l('"&amp;C36&amp;"')""
"&amp;REPT(CHAR(9),9)&amp;"type='text' (keyup.enter)='searchDatas()'&gt;
"&amp;REPT(CHAR(9),8)&amp;"&lt;/div&gt;",""))</f>
        <v xml:space="preserve">								&lt;div class='input-search'&gt;
									&lt;input [(ngModel)]='taxCate' name='taxCate'
									class='form-control' [placeholder]="l('Tax Cate')"
									type='text' (keyup.enter)='searchDatas()'&gt;
								&lt;/div&gt;</v>
      </c>
      <c r="J36" s="28"/>
      <c r="K36" s="35" t="str">
        <f t="shared" si="46"/>
        <v xml:space="preserve">					&lt;div class='col-md-12 form-group row'&gt;
						&lt;label class='col-md-2 form-control title'&gt;Tax Cate&lt;/label&gt;
						&lt;input type='text' class='col-md-10 form-control input-text' name='TaxCate' [(ngModel)]='rowdata.taxCate'&gt;
					&lt;/div&gt;</v>
      </c>
      <c r="L36" s="56" t="str">
        <f t="shared" si="52"/>
        <v/>
      </c>
      <c r="M36" s="28"/>
      <c r="N36" s="28"/>
      <c r="O36" s="28"/>
      <c r="P36" s="28"/>
      <c r="Q36" s="28"/>
      <c r="R36" s="28"/>
      <c r="S36" s="28" t="str">
        <f t="shared" si="47"/>
        <v xml:space="preserve">	taxCate : string = '' ; </v>
      </c>
      <c r="T36" s="28" t="str">
        <f t="shared" si="51"/>
        <v xml:space="preserve">			this.taxNo,</v>
      </c>
      <c r="U36" s="28" t="str">
        <f t="shared" si="48"/>
        <v xml:space="preserve">	taxCate : string = '' ; </v>
      </c>
      <c r="V36" s="28" t="str">
        <f t="shared" si="49"/>
        <v/>
      </c>
    </row>
    <row r="37" spans="1:22" ht="15" customHeight="1" x14ac:dyDescent="0.25">
      <c r="A37" t="s">
        <v>390</v>
      </c>
      <c r="B37" s="28" t="str">
        <f t="shared" si="41"/>
        <v>CompanyCode</v>
      </c>
      <c r="C37" s="28" t="str">
        <f t="shared" si="42"/>
        <v>Company Code</v>
      </c>
      <c r="D37" s="28" t="str">
        <f t="shared" si="43"/>
        <v>companyCode</v>
      </c>
      <c r="E37" s="28" t="str">
        <f>A.Backend!H31</f>
        <v>string</v>
      </c>
      <c r="F37" s="28" t="str">
        <f>A.Backend!G31</f>
        <v>4</v>
      </c>
      <c r="G37" s="28" t="str">
        <f t="shared" si="44"/>
        <v xml:space="preserve"> : string = '' ; </v>
      </c>
      <c r="H37" s="35" t="str">
        <f t="shared" si="45"/>
        <v xml:space="preserve">			{headerName: this.l('Company Code'),headerTooltip: this.l('Company Code'),field: 'companyCode',flex: 1},</v>
      </c>
      <c r="I37" s="35" t="str">
        <f t="shared" ref="I37" si="53">IF(E37="DateTime",
REPT(CHAR(9),8)&amp;"&lt;div class='input-search'&gt;
"&amp;REPT(CHAR(9),9)&amp;"&lt;input type='text' [placeholder]=""l('"&amp;C37&amp;"')"" [(ngModel)]='"&amp;D37&amp;"' 
"&amp;REPT(CHAR(9),9)&amp;"name='"&amp;D37&amp;"'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IF(AND(E37="string",F37 &lt;&gt;"1"),
REPT(CHAR(9),8)&amp;"&lt;div class='input-search'&gt;
"&amp;REPT(CHAR(9),9)&amp;"&lt;input [(ngModel)]='"&amp;D37&amp;"' name='"&amp;D37&amp;"'
"&amp;REPT(CHAR(9),9)&amp;"class='form-control' [placeholder]=""l('"&amp;C37&amp;"')""
"&amp;REPT(CHAR(9),9)&amp;"type='text' (keyup.enter)='searchDatas()'&gt;
"&amp;REPT(CHAR(9),8)&amp;"&lt;/div&gt;",""))</f>
        <v xml:space="preserve">								&lt;div class='input-search'&gt;
									&lt;input [(ngModel)]='companyCode' name='companyCode'
									class='form-control' [placeholder]="l('Company Code')"
									type='text' (keyup.enter)='searchDatas()'&gt;
								&lt;/div&gt;</v>
      </c>
      <c r="J37" s="28"/>
      <c r="K37" s="35" t="str">
        <f>IF(OR(E37="DateTime?",E37="TimeSpan?"),
REPT(CHAR(9),5)&amp;"&lt;div class='col-md-12 form-group row'&gt;
"&amp;REPT(CHAR(9),6)&amp;"&lt;label class='col-md-2 form-control title'&gt;"&amp;C37&amp;"&lt;/label&gt;
"&amp;REPT(CHAR(9),6)&amp;"&lt;input type='text' class='col-md-10 form-control input-text' name='"&amp;D37&amp;"' 
"&amp;REPT(CHAR(9),6)&amp;"#datepicker='bsDatepicker' [(ngModel)]='rowdata."&amp;D37&amp;"'  bsDatepicker &gt;
"&amp;REPT(CHAR(9),5)&amp;"&lt;/div&gt;",
IF(AND(E37="string",F37="1"),
REPT(CHAR(9),5)&amp;"&lt;div class='col-md-12 form-group row'&gt;
"&amp;REPT(CHAR(9),6)&amp;"&lt;label class='col-md-2 form-control title'&gt;"&amp;C37&amp;"&lt;/label&gt;
"&amp;REPT(CHAR(9),6)&amp;"&lt;new-checkbox [(ngModel)]='_"&amp;D37&amp;"' name='"&amp;D37&amp;"' className='col-md-10' &gt; &lt;/new-checkbox&gt;
"&amp;REPT(CHAR(9),5)&amp;"&lt;/div&gt;",
IF(E37="string",
REPT(CHAR(9),5)&amp;"&lt;div class='col-md-12 form-group row'&gt;
"&amp;REPT(CHAR(9),6)&amp;"&lt;label class='col-md-2 form-control title'&gt;"&amp;C37&amp;"&lt;/label&gt;
"&amp;REPT(CHAR(9),6)&amp;"&lt;input type='text' class='col-md-10 form-control input-text' name='"&amp;B37&amp;"' [(ngModel)]='rowdata."&amp;D37&amp;"'&gt;
"&amp;REPT(CHAR(9),5)&amp;"&lt;/div&gt;",
IF(OR(E37="int?",E37="long?"),
REPT(CHAR(9),5)&amp;"&lt;div class='col-md-12 form-group row'&gt;
"&amp;REPT(CHAR(9),6)&amp;"&lt;label class='col-md-2 form-control title'&gt;"&amp;C37&amp;"&lt;/label&gt;
"&amp;REPT(CHAR(9),6)&amp;"&lt;input type='number' class='col-md-10 form-control input-text' name='"&amp;B37&amp;"' [(ngModel)]='rowdata."&amp;D37&amp;"'&gt;
"&amp;REPT(CHAR(9),5)&amp;"&lt;/div&gt;",""))))</f>
        <v xml:space="preserve">					&lt;div class='col-md-12 form-group row'&gt;
						&lt;label class='col-md-2 form-control title'&gt;Company Code&lt;/label&gt;
						&lt;input type='text' class='col-md-10 form-control input-text' name='CompanyCode' [(ngModel)]='rowdata.companyCode'&gt;
					&lt;/div&gt;</v>
      </c>
      <c r="L37" s="56" t="str">
        <f t="shared" si="52"/>
        <v/>
      </c>
      <c r="M37" s="28"/>
      <c r="N37" s="28"/>
      <c r="O37" s="28"/>
      <c r="P37" s="28"/>
      <c r="Q37" s="28"/>
      <c r="R37" s="28"/>
      <c r="S37" s="28" t="str">
        <f>IF(AND(E37="string",F37 &lt;&gt;"1"),(REPT(CHAR(9),1)&amp;D37&amp;G37),"")</f>
        <v xml:space="preserve">	companyCode : string = '' ; </v>
      </c>
      <c r="T37" s="28" t="str">
        <f>IF(AND(E37="string",F37 &lt;&gt;"1"),(REPT(CHAR(9),3)&amp;"this."&amp;D36&amp;","),"")</f>
        <v xml:space="preserve">			this.taxCate,</v>
      </c>
      <c r="U37" s="28" t="str">
        <f>IF(AND(E37="string",F37 &lt;&gt;"1"),(REPT(CHAR(9),1)&amp;D37&amp;G37),"")</f>
        <v xml:space="preserve">	companyCode : string = '' ; </v>
      </c>
      <c r="V37" s="28" t="str">
        <f t="shared" si="49"/>
        <v/>
      </c>
    </row>
    <row r="38" spans="1:22" ht="18" customHeight="1" x14ac:dyDescent="0.25">
      <c r="A38" t="s">
        <v>391</v>
      </c>
      <c r="B38" s="28" t="str">
        <f t="shared" si="41"/>
        <v>PaymentMethodCd</v>
      </c>
      <c r="C38" s="28" t="str">
        <f t="shared" si="42"/>
        <v>Payment Method Cd</v>
      </c>
      <c r="D38" s="28" t="str">
        <f t="shared" si="43"/>
        <v>paymentMethodCd</v>
      </c>
      <c r="E38" s="28" t="str">
        <f>A.Backend!H32</f>
        <v>string</v>
      </c>
      <c r="F38" s="28" t="str">
        <f>A.Backend!G32</f>
        <v>10</v>
      </c>
      <c r="G38" s="28" t="str">
        <f t="shared" si="44"/>
        <v xml:space="preserve"> : string = '' ; </v>
      </c>
      <c r="H38" s="35" t="str">
        <f t="shared" si="45"/>
        <v xml:space="preserve">			{headerName: this.l('Payment Method Cd'),headerTooltip: this.l('Payment Method Cd'),field: 'paymentMethodCd',flex: 1},</v>
      </c>
      <c r="I38" s="35" t="str">
        <f>IF(E38="DateTime",
REPT(CHAR(9),8)&amp;"&lt;div class='input-search'&gt;
"&amp;REPT(CHAR(9),9)&amp;"&lt;input type='text' [placeholder]=""l('"&amp;C38&amp;"')"" [(ngModel)]='"&amp;D38&amp;"' 
"&amp;REPT(CHAR(9),9)&amp;"name='"&amp;D38&amp;"'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IF(AND(E38="string",F38 &lt;&gt;"1"),
REPT(CHAR(9),8)&amp;"&lt;div class='input-search'&gt;
"&amp;REPT(CHAR(9),9)&amp;"&lt;input [(ngModel)]='"&amp;D38&amp;"' name='"&amp;D38&amp;"'
"&amp;REPT(CHAR(9),9)&amp;"class='form-control' [placeholder]=""l('"&amp;C38&amp;"')""
"&amp;REPT(CHAR(9),9)&amp;"type='text' (keyup.enter)='searchDatas()'&gt;
"&amp;REPT(CHAR(9),8)&amp;"&lt;/div&gt;",""))</f>
        <v xml:space="preserve">								&lt;div class='input-search'&gt;
									&lt;input [(ngModel)]='paymentMethodCd' name='paymentMethodCd'
									class='form-control' [placeholder]="l('Payment Method Cd')"
									type='text' (keyup.enter)='searchDatas()'&gt;
								&lt;/div&gt;</v>
      </c>
      <c r="J38" s="28"/>
      <c r="K38" s="35" t="str">
        <f t="shared" ref="K38:K42" si="54">IF(OR(E38="DateTime?",E38="TimeSpan?"),
REPT(CHAR(9),5)&amp;"&lt;div class='col-md-12 form-group row'&gt;
"&amp;REPT(CHAR(9),6)&amp;"&lt;label class='col-md-2 form-control title'&gt;"&amp;C38&amp;"&lt;/label&gt;
"&amp;REPT(CHAR(9),6)&amp;"&lt;input type='text' class='col-md-10 form-control input-text' name='"&amp;D38&amp;"' 
"&amp;REPT(CHAR(9),6)&amp;"#datepicker='bsDatepicker' [(ngModel)]='rowdata."&amp;D38&amp;"'  bsDatepicker &gt;
"&amp;REPT(CHAR(9),5)&amp;"&lt;/div&gt;",
IF(AND(E38="string",F38="1"),
REPT(CHAR(9),5)&amp;"&lt;div class='col-md-12 form-group row'&gt;
"&amp;REPT(CHAR(9),6)&amp;"&lt;label class='col-md-2 form-control title'&gt;"&amp;C38&amp;"&lt;/label&gt;
"&amp;REPT(CHAR(9),6)&amp;"&lt;new-checkbox [(ngModel)]='_"&amp;D38&amp;"' name='"&amp;D38&amp;"' className='col-md-10' &gt; &lt;/new-checkbox&gt;
"&amp;REPT(CHAR(9),5)&amp;"&lt;/div&gt;",
IF(E38="string",
REPT(CHAR(9),5)&amp;"&lt;div class='col-md-12 form-group row'&gt;
"&amp;REPT(CHAR(9),6)&amp;"&lt;label class='col-md-2 form-control title'&gt;"&amp;C38&amp;"&lt;/label&gt;
"&amp;REPT(CHAR(9),6)&amp;"&lt;input type='text' class='col-md-10 form-control input-text' name='"&amp;B38&amp;"' [(ngModel)]='rowdata."&amp;D38&amp;"'&gt;
"&amp;REPT(CHAR(9),5)&amp;"&lt;/div&gt;",
IF(OR(E38="int?",E38="long?"),
REPT(CHAR(9),5)&amp;"&lt;div class='col-md-12 form-group row'&gt;
"&amp;REPT(CHAR(9),6)&amp;"&lt;label class='col-md-2 form-control title'&gt;"&amp;C38&amp;"&lt;/label&gt;
"&amp;REPT(CHAR(9),6)&amp;"&lt;input type='number' class='col-md-10 form-control input-text' name='"&amp;B38&amp;"' [(ngModel)]='rowdata."&amp;D38&amp;"'&gt;
"&amp;REPT(CHAR(9),5)&amp;"&lt;/div&gt;",""))))</f>
        <v xml:space="preserve">					&lt;div class='col-md-12 form-group row'&gt;
						&lt;label class='col-md-2 form-control title'&gt;Payment Method Cd&lt;/label&gt;
						&lt;input type='text' class='col-md-10 form-control input-text' name='PaymentMethodCd' [(ngModel)]='rowdata.paymentMethodCd'&gt;
					&lt;/div&gt;</v>
      </c>
      <c r="L38" s="56" t="str">
        <f t="shared" si="52"/>
        <v/>
      </c>
      <c r="M38" s="28"/>
      <c r="N38" s="28"/>
      <c r="O38" s="28"/>
      <c r="P38" s="28"/>
      <c r="Q38" s="28"/>
      <c r="R38" s="28"/>
      <c r="S38" s="28" t="str">
        <f t="shared" ref="S38:S42" si="55">IF(AND(E38="string",F38 &lt;&gt;"1"),(REPT(CHAR(9),1)&amp;D38&amp;G38),"")</f>
        <v xml:space="preserve">	paymentMethodCd : string = '' ; </v>
      </c>
      <c r="T38" s="28" t="str">
        <f>IF(AND(E38="string",F38 &lt;&gt;"1"),(REPT(CHAR(9),3)&amp;"this."&amp;D37&amp;","),"")</f>
        <v xml:space="preserve">			this.companyCode,</v>
      </c>
      <c r="U38" s="28" t="str">
        <f t="shared" ref="U38:U42" si="56">IF(AND(E38="string",F38 &lt;&gt;"1"),(REPT(CHAR(9),1)&amp;D38&amp;G38),"")</f>
        <v xml:space="preserve">	paymentMethodCd : string = '' ; </v>
      </c>
      <c r="V38" s="28" t="str">
        <f t="shared" si="49"/>
        <v/>
      </c>
    </row>
    <row r="39" spans="1:22" ht="18" customHeight="1" x14ac:dyDescent="0.25">
      <c r="A39" t="s">
        <v>392</v>
      </c>
      <c r="B39" s="28" t="str">
        <f t="shared" si="41"/>
        <v>PaymentMethodNm</v>
      </c>
      <c r="C39" s="28" t="str">
        <f t="shared" si="42"/>
        <v>Payment Method Nm</v>
      </c>
      <c r="D39" s="28" t="str">
        <f t="shared" si="43"/>
        <v>paymentMethodNm</v>
      </c>
      <c r="E39" s="28" t="str">
        <f>A.Backend!H33</f>
        <v>string</v>
      </c>
      <c r="F39" s="28" t="str">
        <f>A.Backend!G33</f>
        <v>30</v>
      </c>
      <c r="G39" s="28" t="str">
        <f t="shared" si="44"/>
        <v xml:space="preserve"> : string = '' ; </v>
      </c>
      <c r="H39" s="35" t="str">
        <f t="shared" si="45"/>
        <v xml:space="preserve">			{headerName: this.l('Payment Method Nm'),headerTooltip: this.l('Payment Method Nm'),field: 'paymentMethodNm',flex: 1},</v>
      </c>
      <c r="I39" s="35" t="str">
        <f t="shared" ref="I39:I40" si="57">IF(E39="DateTime",
REPT(CHAR(9),8)&amp;"&lt;div class='input-search'&gt;
"&amp;REPT(CHAR(9),9)&amp;"&lt;input type='text' [placeholder]=""l('"&amp;C39&amp;"')"" [(ngModel)]='"&amp;D39&amp;"' 
"&amp;REPT(CHAR(9),9)&amp;"name='"&amp;D39&amp;"'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IF(AND(E39="string",F39 &lt;&gt;"1"),
REPT(CHAR(9),8)&amp;"&lt;div class='input-search'&gt;
"&amp;REPT(CHAR(9),9)&amp;"&lt;input [(ngModel)]='"&amp;D39&amp;"' name='"&amp;D39&amp;"'
"&amp;REPT(CHAR(9),9)&amp;"class='form-control' [placeholder]=""l('"&amp;C39&amp;"')""
"&amp;REPT(CHAR(9),9)&amp;"type='text' (keyup.enter)='searchDatas()'&gt;
"&amp;REPT(CHAR(9),8)&amp;"&lt;/div&gt;",""))</f>
        <v xml:space="preserve">								&lt;div class='input-search'&gt;
									&lt;input [(ngModel)]='paymentMethodNm' name='paymentMethodNm'
									class='form-control' [placeholder]="l('Payment Method Nm')"
									type='text' (keyup.enter)='searchDatas()'&gt;
								&lt;/div&gt;</v>
      </c>
      <c r="J39" s="28"/>
      <c r="K39" s="35" t="str">
        <f t="shared" si="54"/>
        <v xml:space="preserve">					&lt;div class='col-md-12 form-group row'&gt;
						&lt;label class='col-md-2 form-control title'&gt;Payment Method Nm&lt;/label&gt;
						&lt;input type='text' class='col-md-10 form-control input-text' name='PaymentMethodNm' [(ngModel)]='rowdata.paymentMethodNm'&gt;
					&lt;/div&gt;</v>
      </c>
      <c r="L39" s="56" t="str">
        <f>IF(E39="DateTime",
REPT(CHAR(9),2)&amp;"const dateValue =  this.rowdata."&amp;D39&amp;" ? new Date(this.rowdata."&amp;D39&amp;"?.toString()) : new Date();
"&amp;REPT(CHAR(9),2)&amp;"this.datepicker?.bsValueChange.emit(dateValue);","")</f>
        <v/>
      </c>
      <c r="M39" s="28"/>
      <c r="N39" s="28"/>
      <c r="O39" s="28"/>
      <c r="P39" s="28"/>
      <c r="Q39" s="28"/>
      <c r="R39" s="28"/>
      <c r="S39" s="28" t="str">
        <f t="shared" si="55"/>
        <v xml:space="preserve">	paymentMethodNm : string = '' ; </v>
      </c>
      <c r="T39" s="28" t="str">
        <f t="shared" ref="T39:T42" si="58">IF(AND(E39="string",F39 &lt;&gt;"1"),(REPT(CHAR(9),3)&amp;"this."&amp;D38&amp;","),"")</f>
        <v xml:space="preserve">			this.paymentMethodCd,</v>
      </c>
      <c r="U39" s="28" t="str">
        <f t="shared" si="56"/>
        <v xml:space="preserve">	paymentMethodNm : string = '' ; </v>
      </c>
      <c r="V39" s="28" t="str">
        <f t="shared" si="49"/>
        <v/>
      </c>
    </row>
    <row r="40" spans="1:22" ht="15" customHeight="1" x14ac:dyDescent="0.25">
      <c r="A40" t="s">
        <v>393</v>
      </c>
      <c r="B40" s="28" t="str">
        <f t="shared" si="41"/>
        <v>PaymentTermCd</v>
      </c>
      <c r="C40" s="28" t="str">
        <f t="shared" si="42"/>
        <v>Payment Term Cd</v>
      </c>
      <c r="D40" s="28" t="str">
        <f t="shared" si="43"/>
        <v>paymentTermCd</v>
      </c>
      <c r="E40" s="28" t="str">
        <f>A.Backend!H34</f>
        <v>string</v>
      </c>
      <c r="F40" s="28" t="str">
        <f>A.Backend!G34</f>
        <v>4</v>
      </c>
      <c r="G40" s="28" t="str">
        <f t="shared" si="44"/>
        <v xml:space="preserve"> : string = '' ; </v>
      </c>
      <c r="H40" s="35" t="str">
        <f t="shared" si="45"/>
        <v xml:space="preserve">			{headerName: this.l('Payment Term Cd'),headerTooltip: this.l('Payment Term Cd'),field: 'paymentTermCd',flex: 1},</v>
      </c>
      <c r="I40" s="35" t="str">
        <f t="shared" si="57"/>
        <v xml:space="preserve">								&lt;div class='input-search'&gt;
									&lt;input [(ngModel)]='paymentTermCd' name='paymentTermCd'
									class='form-control' [placeholder]="l('Payment Term Cd')"
									type='text' (keyup.enter)='searchDatas()'&gt;
								&lt;/div&gt;</v>
      </c>
      <c r="J40" s="28"/>
      <c r="K40" s="35" t="str">
        <f t="shared" si="54"/>
        <v xml:space="preserve">					&lt;div class='col-md-12 form-group row'&gt;
						&lt;label class='col-md-2 form-control title'&gt;Payment Term Cd&lt;/label&gt;
						&lt;input type='text' class='col-md-10 form-control input-text' name='PaymentTermCd' [(ngModel)]='rowdata.paymentTermCd'&gt;
					&lt;/div&gt;</v>
      </c>
      <c r="L40" s="56" t="str">
        <f t="shared" ref="L40:L44" si="59">IF(E40="DateTime",
REPT(CHAR(9),2)&amp;"const dateValue =  this.rowdata."&amp;D40&amp;" ? new Date(this.rowdata."&amp;D40&amp;"?.toString()) : new Date();
"&amp;REPT(CHAR(9),2)&amp;"this.datepicker?.bsValueChange.emit(dateValue);","")</f>
        <v/>
      </c>
      <c r="M40" s="28"/>
      <c r="N40" s="28"/>
      <c r="O40" s="28"/>
      <c r="P40" s="28"/>
      <c r="Q40" s="28"/>
      <c r="R40" s="28"/>
      <c r="S40" s="28" t="str">
        <f t="shared" si="55"/>
        <v xml:space="preserve">	paymentTermCd : string = '' ; </v>
      </c>
      <c r="T40" s="28" t="str">
        <f t="shared" si="58"/>
        <v xml:space="preserve">			this.paymentMethodNm,</v>
      </c>
      <c r="U40" s="28" t="str">
        <f t="shared" si="56"/>
        <v xml:space="preserve">	paymentTermCd : string = '' ; </v>
      </c>
      <c r="V40" s="28" t="str">
        <f t="shared" si="49"/>
        <v/>
      </c>
    </row>
    <row r="41" spans="1:22" ht="18" customHeight="1" x14ac:dyDescent="0.25">
      <c r="A41" t="s">
        <v>394</v>
      </c>
      <c r="B41" s="28" t="str">
        <f t="shared" si="41"/>
        <v>PaymentTermNm</v>
      </c>
      <c r="C41" s="28" t="str">
        <f t="shared" si="42"/>
        <v>Payment Term Nm</v>
      </c>
      <c r="D41" s="28" t="str">
        <f t="shared" si="43"/>
        <v>paymentTermNm</v>
      </c>
      <c r="E41" s="28" t="str">
        <f>A.Backend!H35</f>
        <v>string</v>
      </c>
      <c r="F41" s="28" t="str">
        <f>A.Backend!G35</f>
        <v>50</v>
      </c>
      <c r="G41" s="28" t="str">
        <f t="shared" si="44"/>
        <v xml:space="preserve"> : string = '' ; </v>
      </c>
      <c r="H41" s="35" t="str">
        <f t="shared" si="45"/>
        <v xml:space="preserve">			{headerName: this.l('Payment Term Nm'),headerTooltip: this.l('Payment Term Nm'),field: 'paymentTermNm',flex: 1},</v>
      </c>
      <c r="I41" s="35" t="str">
        <f>IF(E41="DateTime",
REPT(CHAR(9),8)&amp;"&lt;div class='input-search'&gt;
"&amp;REPT(CHAR(9),9)&amp;"&lt;input type='text' [placeholder]=""l('"&amp;C41&amp;"')"" [(ngModel)]='"&amp;D41&amp;"' 
"&amp;REPT(CHAR(9),9)&amp;"name='"&amp;D41&amp;"'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IF(AND(E41="string",F41 &lt;&gt;"1"),
REPT(CHAR(9),8)&amp;"&lt;div class='input-search'&gt;
"&amp;REPT(CHAR(9),9)&amp;"&lt;input [(ngModel)]='"&amp;D41&amp;"' name='"&amp;D41&amp;"'
"&amp;REPT(CHAR(9),9)&amp;"class='form-control' [placeholder]=""l('"&amp;C41&amp;"')""
"&amp;REPT(CHAR(9),9)&amp;"type='text' (keyup.enter)='searchDatas()'&gt;
"&amp;REPT(CHAR(9),8)&amp;"&lt;/div&gt;",""))</f>
        <v xml:space="preserve">								&lt;div class='input-search'&gt;
									&lt;input [(ngModel)]='paymentTermNm' name='paymentTermNm'
									class='form-control' [placeholder]="l('Payment Term Nm')"
									type='text' (keyup.enter)='searchDatas()'&gt;
								&lt;/div&gt;</v>
      </c>
      <c r="J41" s="28"/>
      <c r="K41" s="35" t="str">
        <f t="shared" si="54"/>
        <v xml:space="preserve">					&lt;div class='col-md-12 form-group row'&gt;
						&lt;label class='col-md-2 form-control title'&gt;Payment Term Nm&lt;/label&gt;
						&lt;input type='text' class='col-md-10 form-control input-text' name='PaymentTermNm' [(ngModel)]='rowdata.paymentTermNm'&gt;
					&lt;/div&gt;</v>
      </c>
      <c r="L41" s="56" t="str">
        <f t="shared" si="59"/>
        <v/>
      </c>
      <c r="M41" s="28"/>
      <c r="N41" s="28"/>
      <c r="O41" s="28"/>
      <c r="P41" s="28"/>
      <c r="Q41" s="28"/>
      <c r="R41" s="28"/>
      <c r="S41" s="28" t="str">
        <f t="shared" si="55"/>
        <v xml:space="preserve">	paymentTermNm : string = '' ; </v>
      </c>
      <c r="T41" s="28" t="str">
        <f t="shared" si="58"/>
        <v xml:space="preserve">			this.paymentTermCd,</v>
      </c>
      <c r="U41" s="28" t="str">
        <f t="shared" si="56"/>
        <v xml:space="preserve">	paymentTermNm : string = '' ; </v>
      </c>
      <c r="V41" s="28" t="str">
        <f t="shared" si="49"/>
        <v/>
      </c>
    </row>
    <row r="42" spans="1:22" ht="15" customHeight="1" x14ac:dyDescent="0.25">
      <c r="A42" t="s">
        <v>396</v>
      </c>
      <c r="B42" s="28" t="str">
        <f t="shared" si="41"/>
        <v>OrderCurrency</v>
      </c>
      <c r="C42" s="28" t="str">
        <f t="shared" si="42"/>
        <v>Order Currency</v>
      </c>
      <c r="D42" s="28" t="str">
        <f t="shared" si="43"/>
        <v>orderCurrency</v>
      </c>
      <c r="E42" s="28" t="str">
        <f>A.Backend!H36</f>
        <v>string</v>
      </c>
      <c r="F42" s="28" t="str">
        <f>A.Backend!G36</f>
        <v>3</v>
      </c>
      <c r="G42" s="28" t="str">
        <f t="shared" si="44"/>
        <v xml:space="preserve"> : string = '' ; </v>
      </c>
      <c r="H42" s="35" t="str">
        <f t="shared" si="45"/>
        <v xml:space="preserve">			{headerName: this.l('Order Currency'),headerTooltip: this.l('Order Currency'),field: 'orderCurrency',flex: 1},</v>
      </c>
      <c r="I42" s="35" t="str">
        <f t="shared" ref="I42:I43" si="60">IF(E42="DateTime",
REPT(CHAR(9),8)&amp;"&lt;div class='input-search'&gt;
"&amp;REPT(CHAR(9),9)&amp;"&lt;input type='text' [placeholder]=""l('"&amp;C42&amp;"')"" [(ngModel)]='"&amp;D42&amp;"' 
"&amp;REPT(CHAR(9),9)&amp;"name='"&amp;D42&amp;"'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IF(AND(E42="string",F42 &lt;&gt;"1"),
REPT(CHAR(9),8)&amp;"&lt;div class='input-search'&gt;
"&amp;REPT(CHAR(9),9)&amp;"&lt;input [(ngModel)]='"&amp;D42&amp;"' name='"&amp;D42&amp;"'
"&amp;REPT(CHAR(9),9)&amp;"class='form-control' [placeholder]=""l('"&amp;C42&amp;"')""
"&amp;REPT(CHAR(9),9)&amp;"type='text' (keyup.enter)='searchDatas()'&gt;
"&amp;REPT(CHAR(9),8)&amp;"&lt;/div&gt;",""))</f>
        <v xml:space="preserve">								&lt;div class='input-search'&gt;
									&lt;input [(ngModel)]='orderCurrency' name='orderCurrency'
									class='form-control' [placeholder]="l('Order Currency')"
									type='text' (keyup.enter)='searchDatas()'&gt;
								&lt;/div&gt;</v>
      </c>
      <c r="J42" s="28"/>
      <c r="K42" s="35" t="str">
        <f t="shared" si="54"/>
        <v xml:space="preserve">					&lt;div class='col-md-12 form-group row'&gt;
						&lt;label class='col-md-2 form-control title'&gt;Order Currency&lt;/label&gt;
						&lt;input type='text' class='col-md-10 form-control input-text' name='OrderCurrency' [(ngModel)]='rowdata.orderCurrency'&gt;
					&lt;/div&gt;</v>
      </c>
      <c r="L42" s="56" t="str">
        <f t="shared" si="59"/>
        <v/>
      </c>
      <c r="M42" s="28"/>
      <c r="N42" s="28"/>
      <c r="O42" s="28"/>
      <c r="P42" s="28"/>
      <c r="Q42" s="28"/>
      <c r="R42" s="28"/>
      <c r="S42" s="28" t="str">
        <f t="shared" si="55"/>
        <v xml:space="preserve">	orderCurrency : string = '' ; </v>
      </c>
      <c r="T42" s="28" t="str">
        <f t="shared" si="58"/>
        <v xml:space="preserve">			this.paymentTermNm,</v>
      </c>
      <c r="U42" s="28" t="str">
        <f t="shared" si="56"/>
        <v xml:space="preserve">	orderCurrency : string = '' ; </v>
      </c>
      <c r="V42" s="28" t="str">
        <f t="shared" si="49"/>
        <v/>
      </c>
    </row>
    <row r="43" spans="1:22" ht="15" customHeight="1" x14ac:dyDescent="0.25">
      <c r="A43" t="s">
        <v>397</v>
      </c>
      <c r="B43" s="28" t="str">
        <f t="shared" si="41"/>
        <v>TypeOfIndustry</v>
      </c>
      <c r="C43" s="28" t="str">
        <f t="shared" si="42"/>
        <v>Type Of Industry</v>
      </c>
      <c r="D43" s="28" t="str">
        <f t="shared" si="43"/>
        <v>typeOfIndustry</v>
      </c>
      <c r="E43" s="28" t="str">
        <f>A.Backend!H37</f>
        <v>string</v>
      </c>
      <c r="F43" s="28" t="str">
        <f>A.Backend!G37</f>
        <v>30</v>
      </c>
      <c r="G43" s="28" t="str">
        <f t="shared" si="44"/>
        <v xml:space="preserve"> : string = '' ; </v>
      </c>
      <c r="H43" s="35" t="str">
        <f t="shared" si="45"/>
        <v xml:space="preserve">			{headerName: this.l('Type Of Industry'),headerTooltip: this.l('Type Of Industry'),field: 'typeOfIndustry',flex: 1},</v>
      </c>
      <c r="I43" s="35" t="str">
        <f t="shared" si="60"/>
        <v xml:space="preserve">								&lt;div class='input-search'&gt;
									&lt;input [(ngModel)]='typeOfIndustry' name='typeOfIndustry'
									class='form-control' [placeholder]="l('Type Of Industry')"
									type='text' (keyup.enter)='searchDatas()'&gt;
								&lt;/div&gt;</v>
      </c>
      <c r="J43" s="28"/>
      <c r="K43" s="35" t="str">
        <f>IF(OR(E43="DateTime?",E43="TimeSpan?"),
REPT(CHAR(9),5)&amp;"&lt;div class='col-md-12 form-group row'&gt;
"&amp;REPT(CHAR(9),6)&amp;"&lt;label class='col-md-2 form-control title'&gt;"&amp;C43&amp;"&lt;/label&gt;
"&amp;REPT(CHAR(9),6)&amp;"&lt;input type='text' class='col-md-10 form-control input-text' name='"&amp;D43&amp;"' 
"&amp;REPT(CHAR(9),6)&amp;"#datepicker='bsDatepicker' [(ngModel)]='rowdata."&amp;D43&amp;"'  bsDatepicker &gt;
"&amp;REPT(CHAR(9),5)&amp;"&lt;/div&gt;",
IF(AND(E43="string",F43="1"),
REPT(CHAR(9),5)&amp;"&lt;div class='col-md-12 form-group row'&gt;
"&amp;REPT(CHAR(9),6)&amp;"&lt;label class='col-md-2 form-control title'&gt;"&amp;C43&amp;"&lt;/label&gt;
"&amp;REPT(CHAR(9),6)&amp;"&lt;new-checkbox [(ngModel)]='_"&amp;D43&amp;"' name='"&amp;D43&amp;"' className='col-md-10' &gt; &lt;/new-checkbox&gt;
"&amp;REPT(CHAR(9),5)&amp;"&lt;/div&gt;",
IF(E43="string",
REPT(CHAR(9),5)&amp;"&lt;div class='col-md-12 form-group row'&gt;
"&amp;REPT(CHAR(9),6)&amp;"&lt;label class='col-md-2 form-control title'&gt;"&amp;C43&amp;"&lt;/label&gt;
"&amp;REPT(CHAR(9),6)&amp;"&lt;input type='text' class='col-md-10 form-control input-text' name='"&amp;B43&amp;"' [(ngModel)]='rowdata."&amp;D43&amp;"'&gt;
"&amp;REPT(CHAR(9),5)&amp;"&lt;/div&gt;",
IF(OR(E43="int?",E43="long?"),
REPT(CHAR(9),5)&amp;"&lt;div class='col-md-12 form-group row'&gt;
"&amp;REPT(CHAR(9),6)&amp;"&lt;label class='col-md-2 form-control title'&gt;"&amp;C43&amp;"&lt;/label&gt;
"&amp;REPT(CHAR(9),6)&amp;"&lt;input type='number' class='col-md-10 form-control input-text' name='"&amp;B43&amp;"' [(ngModel)]='rowdata."&amp;D43&amp;"'&gt;
"&amp;REPT(CHAR(9),5)&amp;"&lt;/div&gt;",""))))</f>
        <v xml:space="preserve">					&lt;div class='col-md-12 form-group row'&gt;
						&lt;label class='col-md-2 form-control title'&gt;Type Of Industry&lt;/label&gt;
						&lt;input type='text' class='col-md-10 form-control input-text' name='TypeOfIndustry' [(ngModel)]='rowdata.typeOfIndustry'&gt;
					&lt;/div&gt;</v>
      </c>
      <c r="L43" s="56" t="str">
        <f t="shared" si="59"/>
        <v/>
      </c>
      <c r="M43" s="28"/>
      <c r="N43" s="28"/>
      <c r="O43" s="28"/>
      <c r="P43" s="28"/>
      <c r="Q43" s="28"/>
      <c r="R43" s="28"/>
      <c r="S43" s="28" t="str">
        <f>IF(AND(E43="string",F43 &lt;&gt;"1"),(REPT(CHAR(9),1)&amp;D43&amp;G43),"")</f>
        <v xml:space="preserve">	typeOfIndustry : string = '' ; </v>
      </c>
      <c r="T43" s="28" t="str">
        <f>IF(AND(E43="string",F43 &lt;&gt;"1"),(REPT(CHAR(9),3)&amp;"this."&amp;D42&amp;","),"")</f>
        <v xml:space="preserve">			this.orderCurrency,</v>
      </c>
      <c r="U43" s="28" t="str">
        <f>IF(AND(E43="string",F43 &lt;&gt;"1"),(REPT(CHAR(9),1)&amp;D43&amp;G43),"")</f>
        <v xml:space="preserve">	typeOfIndustry : string = '' ; </v>
      </c>
      <c r="V43" s="28" t="str">
        <f t="shared" si="49"/>
        <v/>
      </c>
    </row>
    <row r="44" spans="1:22" ht="18" customHeight="1" x14ac:dyDescent="0.25">
      <c r="A44" t="s">
        <v>398</v>
      </c>
      <c r="B44" s="28" t="str">
        <f t="shared" ref="B44:B54" si="61">SUBSTITUTE(PROPER(A44),"_","")</f>
        <v>PreviousMasterRecordNumber</v>
      </c>
      <c r="C44" s="28" t="str">
        <f t="shared" ref="C44:C54" si="62">SUBSTITUTE(PROPER(A44),"_"," ")</f>
        <v>Previous Master Record Number</v>
      </c>
      <c r="D44" s="28" t="str">
        <f t="shared" ref="D44:D54" si="63">LOWER(LEFT(B44,1))&amp;RIGHT(B44,LEN(B44) - 1)</f>
        <v>previousMasterRecordNumber</v>
      </c>
      <c r="E44" s="28" t="str">
        <f>A.Backend!H38</f>
        <v>string</v>
      </c>
      <c r="F44" s="28" t="str">
        <f>A.Backend!G38</f>
        <v>10</v>
      </c>
      <c r="G44" s="28" t="str">
        <f t="shared" ref="G44:G54" si="64">IF(E44="string"," : string = '' ; ",IF(OR(E44="DateTime",E44="TimeSpan")," : any ;",IF(E44="int"," : number = 0 ;","")))</f>
        <v xml:space="preserve"> : string = '' ; </v>
      </c>
      <c r="H44" s="35" t="str">
        <f t="shared" ref="H44:H54" si="65">IF(E44="DateTime",
REPT(CHAR(9),3)&amp;"{headerName: this.l('"&amp;C44&amp;"'),headerTooltip: this.l('"&amp;C44&amp;"'),field: '"&amp;D44&amp;"',valueGetter: (params) =&gt; this.pipe.transform(params.data?."&amp;D44&amp;", 'dd/MM/yyyy'),flex: 1},",
IF(AND(E44="string",F44="1"),
REPT(CHAR(9),3)&amp;"{headerName: this.l('"&amp;C44&amp;"'),headerTooltip: this.l('"&amp;C44&amp;"'),field:  '"&amp;D44&amp;"', cellClass: ['text-center'], width: 120, cellRenderer: 'agCellButtonComponent',
buttonDefTwo: { text: params =&gt; (params.data?.'"&amp;D44&amp;"' == 'Y') ? 'Active' : 'Inactive',iconName: 'fa fa-circle',className: params =&gt; (params.data?.'"&amp;D44&amp;"' == 'Y') ? 'btnActive' : 'btnInActive',},}",
REPT(CHAR(9),3)&amp;"{headerName: this.l('"&amp;C44&amp;"'),headerTooltip: this.l('"&amp;C44&amp;"'),field: '"&amp;D44&amp;"',flex: 1},"))</f>
        <v xml:space="preserve">			{headerName: this.l('Previous Master Record Number'),headerTooltip: this.l('Previous Master Record Number'),field: 'previousMasterRecordNumber',flex: 1},</v>
      </c>
      <c r="I44" s="35" t="str">
        <f>IF(E44="DateTime",
REPT(CHAR(9),8)&amp;"&lt;div class='input-search'&gt;
"&amp;REPT(CHAR(9),9)&amp;"&lt;input type='text' [placeholder]=""l('"&amp;C44&amp;"')"" [(ngModel)]='"&amp;D44&amp;"' 
"&amp;REPT(CHAR(9),9)&amp;"name='"&amp;D44&amp;"'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IF(AND(E44="string",F44 &lt;&gt;"1"),
REPT(CHAR(9),8)&amp;"&lt;div class='input-search'&gt;
"&amp;REPT(CHAR(9),9)&amp;"&lt;input [(ngModel)]='"&amp;D44&amp;"' name='"&amp;D44&amp;"'
"&amp;REPT(CHAR(9),9)&amp;"class='form-control' [placeholder]=""l('"&amp;C44&amp;"')""
"&amp;REPT(CHAR(9),9)&amp;"type='text' (keyup.enter)='searchDatas()'&gt;
"&amp;REPT(CHAR(9),8)&amp;"&lt;/div&gt;",""))</f>
        <v xml:space="preserve">								&lt;div class='input-search'&gt;
									&lt;input [(ngModel)]='previousMasterRecordNumber' name='previousMasterRecordNumber'
									class='form-control' [placeholder]="l('Previous Master Record Number')"
									type='text' (keyup.enter)='searchDatas()'&gt;
								&lt;/div&gt;</v>
      </c>
      <c r="J44" s="28"/>
      <c r="K44" s="35" t="str">
        <f t="shared" ref="K44:K47" si="66">IF(OR(E44="DateTime?",E44="TimeSpan?"),
REPT(CHAR(9),5)&amp;"&lt;div class='col-md-12 form-group row'&gt;
"&amp;REPT(CHAR(9),6)&amp;"&lt;label class='col-md-2 form-control title'&gt;"&amp;C44&amp;"&lt;/label&gt;
"&amp;REPT(CHAR(9),6)&amp;"&lt;input type='text' class='col-md-10 form-control input-text' name='"&amp;D44&amp;"' 
"&amp;REPT(CHAR(9),6)&amp;"#datepicker='bsDatepicker' [(ngModel)]='rowdata."&amp;D44&amp;"'  bsDatepicker &gt;
"&amp;REPT(CHAR(9),5)&amp;"&lt;/div&gt;",
IF(AND(E44="string",F44="1"),
REPT(CHAR(9),5)&amp;"&lt;div class='col-md-12 form-group row'&gt;
"&amp;REPT(CHAR(9),6)&amp;"&lt;label class='col-md-2 form-control title'&gt;"&amp;C44&amp;"&lt;/label&gt;
"&amp;REPT(CHAR(9),6)&amp;"&lt;new-checkbox [(ngModel)]='_"&amp;D44&amp;"' name='"&amp;D44&amp;"' className='col-md-10' &gt; &lt;/new-checkbox&gt;
"&amp;REPT(CHAR(9),5)&amp;"&lt;/div&gt;",
IF(E44="string",
REPT(CHAR(9),5)&amp;"&lt;div class='col-md-12 form-group row'&gt;
"&amp;REPT(CHAR(9),6)&amp;"&lt;label class='col-md-2 form-control title'&gt;"&amp;C44&amp;"&lt;/label&gt;
"&amp;REPT(CHAR(9),6)&amp;"&lt;input type='text' class='col-md-10 form-control input-text' name='"&amp;B44&amp;"' [(ngModel)]='rowdata."&amp;D44&amp;"'&gt;
"&amp;REPT(CHAR(9),5)&amp;"&lt;/div&gt;",
IF(OR(E44="int?",E44="long?"),
REPT(CHAR(9),5)&amp;"&lt;div class='col-md-12 form-group row'&gt;
"&amp;REPT(CHAR(9),6)&amp;"&lt;label class='col-md-2 form-control title'&gt;"&amp;C44&amp;"&lt;/label&gt;
"&amp;REPT(CHAR(9),6)&amp;"&lt;input type='number' class='col-md-10 form-control input-text' name='"&amp;B44&amp;"' [(ngModel)]='rowdata."&amp;D44&amp;"'&gt;
"&amp;REPT(CHAR(9),5)&amp;"&lt;/div&gt;",""))))</f>
        <v xml:space="preserve">					&lt;div class='col-md-12 form-group row'&gt;
						&lt;label class='col-md-2 form-control title'&gt;Previous Master Record Number&lt;/label&gt;
						&lt;input type='text' class='col-md-10 form-control input-text' name='PreviousMasterRecordNumber' [(ngModel)]='rowdata.previousMasterRecordNumber'&gt;
					&lt;/div&gt;</v>
      </c>
      <c r="L44" s="56" t="str">
        <f t="shared" si="59"/>
        <v/>
      </c>
      <c r="M44" s="28"/>
      <c r="N44" s="28"/>
      <c r="O44" s="28"/>
      <c r="P44" s="28"/>
      <c r="Q44" s="28"/>
      <c r="R44" s="28"/>
      <c r="S44" s="28" t="str">
        <f t="shared" ref="S44:S47" si="67">IF(AND(E44="string",F44 &lt;&gt;"1"),(REPT(CHAR(9),1)&amp;D44&amp;G44),"")</f>
        <v xml:space="preserve">	previousMasterRecordNumber : string = '' ; </v>
      </c>
      <c r="T44" s="28" t="str">
        <f>IF(AND(E44="string",F44 &lt;&gt;"1"),(REPT(CHAR(9),3)&amp;"this."&amp;D43&amp;","),"")</f>
        <v xml:space="preserve">			this.typeOfIndustry,</v>
      </c>
      <c r="U44" s="28" t="str">
        <f t="shared" ref="U44:U47" si="68">IF(AND(E44="string",F44 &lt;&gt;"1"),(REPT(CHAR(9),1)&amp;D44&amp;G44),"")</f>
        <v xml:space="preserve">	previousMasterRecordNumber : string = '' ; </v>
      </c>
      <c r="V44" s="28" t="str">
        <f t="shared" ref="V44:V54" si="69">IF(AND(E44="string",F44="1"),D44,"")</f>
        <v/>
      </c>
    </row>
    <row r="45" spans="1:22" ht="18" customHeight="1" x14ac:dyDescent="0.25">
      <c r="A45" t="s">
        <v>399</v>
      </c>
      <c r="B45" s="28" t="str">
        <f t="shared" si="61"/>
        <v>TextIdTitle</v>
      </c>
      <c r="C45" s="28" t="str">
        <f t="shared" si="62"/>
        <v>Text Id Title</v>
      </c>
      <c r="D45" s="28" t="str">
        <f t="shared" si="63"/>
        <v>textIdTitle</v>
      </c>
      <c r="E45" s="28" t="str">
        <f>A.Backend!H39</f>
        <v>string</v>
      </c>
      <c r="F45" s="28" t="str">
        <f>A.Backend!G39</f>
        <v>40</v>
      </c>
      <c r="G45" s="28" t="str">
        <f t="shared" si="64"/>
        <v xml:space="preserve"> : string = '' ; </v>
      </c>
      <c r="H45" s="35" t="str">
        <f t="shared" si="65"/>
        <v xml:space="preserve">			{headerName: this.l('Text Id Title'),headerTooltip: this.l('Text Id Title'),field: 'textIdTitle',flex: 1},</v>
      </c>
      <c r="I45" s="35" t="str">
        <f t="shared" ref="I45:I46" si="70">IF(E45="DateTime",
REPT(CHAR(9),8)&amp;"&lt;div class='input-search'&gt;
"&amp;REPT(CHAR(9),9)&amp;"&lt;input type='text' [placeholder]=""l('"&amp;C45&amp;"')"" [(ngModel)]='"&amp;D45&amp;"' 
"&amp;REPT(CHAR(9),9)&amp;"name='"&amp;D45&amp;"'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IF(AND(E45="string",F45 &lt;&gt;"1"),
REPT(CHAR(9),8)&amp;"&lt;div class='input-search'&gt;
"&amp;REPT(CHAR(9),9)&amp;"&lt;input [(ngModel)]='"&amp;D45&amp;"' name='"&amp;D45&amp;"'
"&amp;REPT(CHAR(9),9)&amp;"class='form-control' [placeholder]=""l('"&amp;C45&amp;"')""
"&amp;REPT(CHAR(9),9)&amp;"type='text' (keyup.enter)='searchDatas()'&gt;
"&amp;REPT(CHAR(9),8)&amp;"&lt;/div&gt;",""))</f>
        <v xml:space="preserve">								&lt;div class='input-search'&gt;
									&lt;input [(ngModel)]='textIdTitle' name='textIdTitle'
									class='form-control' [placeholder]="l('Text Id Title')"
									type='text' (keyup.enter)='searchDatas()'&gt;
								&lt;/div&gt;</v>
      </c>
      <c r="J45" s="28"/>
      <c r="K45" s="35" t="str">
        <f t="shared" si="66"/>
        <v xml:space="preserve">					&lt;div class='col-md-12 form-group row'&gt;
						&lt;label class='col-md-2 form-control title'&gt;Text Id Title&lt;/label&gt;
						&lt;input type='text' class='col-md-10 form-control input-text' name='TextIdTitle' [(ngModel)]='rowdata.textIdTitle'&gt;
					&lt;/div&gt;</v>
      </c>
      <c r="L45" s="56" t="str">
        <f>IF(E45="DateTime",
REPT(CHAR(9),2)&amp;"const dateValue =  this.rowdata."&amp;D45&amp;" ? new Date(this.rowdata."&amp;D45&amp;"?.toString()) : new Date();
"&amp;REPT(CHAR(9),2)&amp;"this.datepicker?.bsValueChange.emit(dateValue);","")</f>
        <v/>
      </c>
      <c r="M45" s="28"/>
      <c r="N45" s="28"/>
      <c r="O45" s="28"/>
      <c r="P45" s="28"/>
      <c r="Q45" s="28"/>
      <c r="R45" s="28"/>
      <c r="S45" s="28" t="str">
        <f t="shared" si="67"/>
        <v xml:space="preserve">	textIdTitle : string = '' ; </v>
      </c>
      <c r="T45" s="28" t="str">
        <f t="shared" ref="T45:T47" si="71">IF(AND(E45="string",F45 &lt;&gt;"1"),(REPT(CHAR(9),3)&amp;"this."&amp;D44&amp;","),"")</f>
        <v xml:space="preserve">			this.previousMasterRecordNumber,</v>
      </c>
      <c r="U45" s="28" t="str">
        <f t="shared" si="68"/>
        <v xml:space="preserve">	textIdTitle : string = '' ; </v>
      </c>
      <c r="V45" s="28" t="str">
        <f t="shared" si="69"/>
        <v/>
      </c>
    </row>
    <row r="46" spans="1:22" ht="15" customHeight="1" x14ac:dyDescent="0.25">
      <c r="A46" t="s">
        <v>400</v>
      </c>
      <c r="B46" s="28" t="str">
        <f t="shared" si="61"/>
        <v>UniqueBankId</v>
      </c>
      <c r="C46" s="28" t="str">
        <f t="shared" si="62"/>
        <v>Unique Bank Id</v>
      </c>
      <c r="D46" s="28" t="str">
        <f t="shared" si="63"/>
        <v>uniqueBankId</v>
      </c>
      <c r="E46" s="28" t="str">
        <f>A.Backend!H40</f>
        <v>string</v>
      </c>
      <c r="F46" s="28" t="str">
        <f>A.Backend!G40</f>
        <v>4</v>
      </c>
      <c r="G46" s="28" t="str">
        <f t="shared" si="64"/>
        <v xml:space="preserve"> : string = '' ; </v>
      </c>
      <c r="H46" s="35" t="str">
        <f t="shared" si="65"/>
        <v xml:space="preserve">			{headerName: this.l('Unique Bank Id'),headerTooltip: this.l('Unique Bank Id'),field: 'uniqueBankId',flex: 1},</v>
      </c>
      <c r="I46" s="35" t="str">
        <f t="shared" si="70"/>
        <v xml:space="preserve">								&lt;div class='input-search'&gt;
									&lt;input [(ngModel)]='uniqueBankId' name='uniqueBankId'
									class='form-control' [placeholder]="l('Unique Bank Id')"
									type='text' (keyup.enter)='searchDatas()'&gt;
								&lt;/div&gt;</v>
      </c>
      <c r="J46" s="28"/>
      <c r="K46" s="35" t="str">
        <f t="shared" si="66"/>
        <v xml:space="preserve">					&lt;div class='col-md-12 form-group row'&gt;
						&lt;label class='col-md-2 form-control title'&gt;Unique Bank Id&lt;/label&gt;
						&lt;input type='text' class='col-md-10 form-control input-text' name='UniqueBankId' [(ngModel)]='rowdata.uniqueBankId'&gt;
					&lt;/div&gt;</v>
      </c>
      <c r="L46" s="56" t="str">
        <f t="shared" ref="L46:L49" si="72">IF(E46="DateTime",
REPT(CHAR(9),2)&amp;"const dateValue =  this.rowdata."&amp;D46&amp;" ? new Date(this.rowdata."&amp;D46&amp;"?.toString()) : new Date();
"&amp;REPT(CHAR(9),2)&amp;"this.datepicker?.bsValueChange.emit(dateValue);","")</f>
        <v/>
      </c>
      <c r="M46" s="28"/>
      <c r="N46" s="28"/>
      <c r="O46" s="28"/>
      <c r="P46" s="28"/>
      <c r="Q46" s="28"/>
      <c r="R46" s="28"/>
      <c r="S46" s="28" t="str">
        <f t="shared" si="67"/>
        <v xml:space="preserve">	uniqueBankId : string = '' ; </v>
      </c>
      <c r="T46" s="28" t="str">
        <f t="shared" si="71"/>
        <v xml:space="preserve">			this.textIdTitle,</v>
      </c>
      <c r="U46" s="28" t="str">
        <f t="shared" si="68"/>
        <v xml:space="preserve">	uniqueBankId : string = '' ; </v>
      </c>
      <c r="V46" s="28" t="str">
        <f t="shared" si="69"/>
        <v/>
      </c>
    </row>
    <row r="47" spans="1:22" ht="18" customHeight="1" x14ac:dyDescent="0.25">
      <c r="A47" t="s">
        <v>401</v>
      </c>
      <c r="B47" s="28" t="str">
        <f t="shared" si="61"/>
        <v>SuppBankKey</v>
      </c>
      <c r="C47" s="28" t="str">
        <f t="shared" si="62"/>
        <v>Supp Bank Key</v>
      </c>
      <c r="D47" s="28" t="str">
        <f t="shared" si="63"/>
        <v>suppBankKey</v>
      </c>
      <c r="E47" s="28" t="str">
        <f>A.Backend!H41</f>
        <v>string</v>
      </c>
      <c r="F47" s="28" t="str">
        <f>A.Backend!G41</f>
        <v>15</v>
      </c>
      <c r="G47" s="28" t="str">
        <f t="shared" si="64"/>
        <v xml:space="preserve"> : string = '' ; </v>
      </c>
      <c r="H47" s="35" t="str">
        <f t="shared" si="65"/>
        <v xml:space="preserve">			{headerName: this.l('Supp Bank Key'),headerTooltip: this.l('Supp Bank Key'),field: 'suppBankKey',flex: 1},</v>
      </c>
      <c r="I47" s="35" t="str">
        <f>IF(E47="DateTime",
REPT(CHAR(9),8)&amp;"&lt;div class='input-search'&gt;
"&amp;REPT(CHAR(9),9)&amp;"&lt;input type='text' [placeholder]=""l('"&amp;C47&amp;"')"" [(ngModel)]='"&amp;D47&amp;"' 
"&amp;REPT(CHAR(9),9)&amp;"name='"&amp;D47&amp;"'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IF(AND(E47="string",F47 &lt;&gt;"1"),
REPT(CHAR(9),8)&amp;"&lt;div class='input-search'&gt;
"&amp;REPT(CHAR(9),9)&amp;"&lt;input [(ngModel)]='"&amp;D47&amp;"' name='"&amp;D47&amp;"'
"&amp;REPT(CHAR(9),9)&amp;"class='form-control' [placeholder]=""l('"&amp;C47&amp;"')""
"&amp;REPT(CHAR(9),9)&amp;"type='text' (keyup.enter)='searchDatas()'&gt;
"&amp;REPT(CHAR(9),8)&amp;"&lt;/div&gt;",""))</f>
        <v xml:space="preserve">								&lt;div class='input-search'&gt;
									&lt;input [(ngModel)]='suppBankKey' name='suppBankKey'
									class='form-control' [placeholder]="l('Supp Bank Key')"
									type='text' (keyup.enter)='searchDatas()'&gt;
								&lt;/div&gt;</v>
      </c>
      <c r="J47" s="28"/>
      <c r="K47" s="35" t="str">
        <f t="shared" si="66"/>
        <v xml:space="preserve">					&lt;div class='col-md-12 form-group row'&gt;
						&lt;label class='col-md-2 form-control title'&gt;Supp Bank Key&lt;/label&gt;
						&lt;input type='text' class='col-md-10 form-control input-text' name='SuppBankKey' [(ngModel)]='rowdata.suppBankKey'&gt;
					&lt;/div&gt;</v>
      </c>
      <c r="L47" s="56" t="str">
        <f t="shared" si="72"/>
        <v/>
      </c>
      <c r="M47" s="28"/>
      <c r="N47" s="28"/>
      <c r="O47" s="28"/>
      <c r="P47" s="28"/>
      <c r="Q47" s="28"/>
      <c r="R47" s="28"/>
      <c r="S47" s="28" t="str">
        <f t="shared" si="67"/>
        <v xml:space="preserve">	suppBankKey : string = '' ; </v>
      </c>
      <c r="T47" s="28" t="str">
        <f t="shared" si="71"/>
        <v xml:space="preserve">			this.uniqueBankId,</v>
      </c>
      <c r="U47" s="28" t="str">
        <f t="shared" si="68"/>
        <v xml:space="preserve">	suppBankKey : string = '' ; </v>
      </c>
      <c r="V47" s="28" t="str">
        <f t="shared" si="69"/>
        <v/>
      </c>
    </row>
    <row r="48" spans="1:22" ht="15" customHeight="1" x14ac:dyDescent="0.25">
      <c r="A48" t="s">
        <v>403</v>
      </c>
      <c r="B48" s="28" t="str">
        <f t="shared" si="61"/>
        <v>SuppBankCountry</v>
      </c>
      <c r="C48" s="28" t="str">
        <f t="shared" si="62"/>
        <v>Supp Bank Country</v>
      </c>
      <c r="D48" s="28" t="str">
        <f t="shared" si="63"/>
        <v>suppBankCountry</v>
      </c>
      <c r="E48" s="28" t="str">
        <f>A.Backend!H42</f>
        <v>string</v>
      </c>
      <c r="F48" s="28" t="str">
        <f>A.Backend!G42</f>
        <v>3</v>
      </c>
      <c r="G48" s="28" t="str">
        <f t="shared" si="64"/>
        <v xml:space="preserve"> : string = '' ; </v>
      </c>
      <c r="H48" s="35" t="str">
        <f t="shared" si="65"/>
        <v xml:space="preserve">			{headerName: this.l('Supp Bank Country'),headerTooltip: this.l('Supp Bank Country'),field: 'suppBankCountry',flex: 1},</v>
      </c>
      <c r="I48" s="35" t="str">
        <f t="shared" ref="I48" si="73">IF(E48="DateTime",
REPT(CHAR(9),8)&amp;"&lt;div class='input-search'&gt;
"&amp;REPT(CHAR(9),9)&amp;"&lt;input type='text' [placeholder]=""l('"&amp;C48&amp;"')"" [(ngModel)]='"&amp;D48&amp;"' 
"&amp;REPT(CHAR(9),9)&amp;"name='"&amp;D48&amp;"'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IF(AND(E48="string",F48 &lt;&gt;"1"),
REPT(CHAR(9),8)&amp;"&lt;div class='input-search'&gt;
"&amp;REPT(CHAR(9),9)&amp;"&lt;input [(ngModel)]='"&amp;D48&amp;"' name='"&amp;D48&amp;"'
"&amp;REPT(CHAR(9),9)&amp;"class='form-control' [placeholder]=""l('"&amp;C48&amp;"')""
"&amp;REPT(CHAR(9),9)&amp;"type='text' (keyup.enter)='searchDatas()'&gt;
"&amp;REPT(CHAR(9),8)&amp;"&lt;/div&gt;",""))</f>
        <v xml:space="preserve">								&lt;div class='input-search'&gt;
									&lt;input [(ngModel)]='suppBankCountry' name='suppBankCountry'
									class='form-control' [placeholder]="l('Supp Bank Country')"
									type='text' (keyup.enter)='searchDatas()'&gt;
								&lt;/div&gt;</v>
      </c>
      <c r="J48" s="28"/>
      <c r="K48" s="35" t="str">
        <f>IF(OR(E48="DateTime?",E48="TimeSpan?"),
REPT(CHAR(9),5)&amp;"&lt;div class='col-md-12 form-group row'&gt;
"&amp;REPT(CHAR(9),6)&amp;"&lt;label class='col-md-2 form-control title'&gt;"&amp;C48&amp;"&lt;/label&gt;
"&amp;REPT(CHAR(9),6)&amp;"&lt;input type='text' class='col-md-10 form-control input-text' name='"&amp;D48&amp;"' 
"&amp;REPT(CHAR(9),6)&amp;"#datepicker='bsDatepicker' [(ngModel)]='rowdata."&amp;D48&amp;"'  bsDatepicker &gt;
"&amp;REPT(CHAR(9),5)&amp;"&lt;/div&gt;",
IF(AND(E48="string",F48="1"),
REPT(CHAR(9),5)&amp;"&lt;div class='col-md-12 form-group row'&gt;
"&amp;REPT(CHAR(9),6)&amp;"&lt;label class='col-md-2 form-control title'&gt;"&amp;C48&amp;"&lt;/label&gt;
"&amp;REPT(CHAR(9),6)&amp;"&lt;new-checkbox [(ngModel)]='_"&amp;D48&amp;"' name='"&amp;D48&amp;"' className='col-md-10' &gt; &lt;/new-checkbox&gt;
"&amp;REPT(CHAR(9),5)&amp;"&lt;/div&gt;",
IF(E48="string",
REPT(CHAR(9),5)&amp;"&lt;div class='col-md-12 form-group row'&gt;
"&amp;REPT(CHAR(9),6)&amp;"&lt;label class='col-md-2 form-control title'&gt;"&amp;C48&amp;"&lt;/label&gt;
"&amp;REPT(CHAR(9),6)&amp;"&lt;input type='text' class='col-md-10 form-control input-text' name='"&amp;B48&amp;"' [(ngModel)]='rowdata."&amp;D48&amp;"'&gt;
"&amp;REPT(CHAR(9),5)&amp;"&lt;/div&gt;",
IF(OR(E48="int?",E48="long?"),
REPT(CHAR(9),5)&amp;"&lt;div class='col-md-12 form-group row'&gt;
"&amp;REPT(CHAR(9),6)&amp;"&lt;label class='col-md-2 form-control title'&gt;"&amp;C48&amp;"&lt;/label&gt;
"&amp;REPT(CHAR(9),6)&amp;"&lt;input type='number' class='col-md-10 form-control input-text' name='"&amp;B48&amp;"' [(ngModel)]='rowdata."&amp;D48&amp;"'&gt;
"&amp;REPT(CHAR(9),5)&amp;"&lt;/div&gt;",""))))</f>
        <v xml:space="preserve">					&lt;div class='col-md-12 form-group row'&gt;
						&lt;label class='col-md-2 form-control title'&gt;Supp Bank Country&lt;/label&gt;
						&lt;input type='text' class='col-md-10 form-control input-text' name='SuppBankCountry' [(ngModel)]='rowdata.suppBankCountry'&gt;
					&lt;/div&gt;</v>
      </c>
      <c r="L48" s="56" t="str">
        <f t="shared" si="72"/>
        <v/>
      </c>
      <c r="M48" s="28"/>
      <c r="N48" s="28"/>
      <c r="O48" s="28"/>
      <c r="P48" s="28"/>
      <c r="Q48" s="28"/>
      <c r="R48" s="28"/>
      <c r="S48" s="28" t="str">
        <f>IF(AND(E48="string",F48 &lt;&gt;"1"),(REPT(CHAR(9),1)&amp;D48&amp;G48),"")</f>
        <v xml:space="preserve">	suppBankCountry : string = '' ; </v>
      </c>
      <c r="T48" s="28" t="str">
        <f>IF(AND(E48="string",F48 &lt;&gt;"1"),(REPT(CHAR(9),3)&amp;"this."&amp;D47&amp;","),"")</f>
        <v xml:space="preserve">			this.suppBankKey,</v>
      </c>
      <c r="U48" s="28" t="str">
        <f>IF(AND(E48="string",F48 &lt;&gt;"1"),(REPT(CHAR(9),1)&amp;D48&amp;G48),"")</f>
        <v xml:space="preserve">	suppBankCountry : string = '' ; </v>
      </c>
      <c r="V48" s="28" t="str">
        <f t="shared" si="69"/>
        <v/>
      </c>
    </row>
    <row r="49" spans="1:22" ht="18" customHeight="1" x14ac:dyDescent="0.25">
      <c r="A49" t="s">
        <v>404</v>
      </c>
      <c r="B49" s="28" t="str">
        <f t="shared" si="61"/>
        <v>SuppAccount</v>
      </c>
      <c r="C49" s="28" t="str">
        <f t="shared" si="62"/>
        <v>Supp Account</v>
      </c>
      <c r="D49" s="28" t="str">
        <f t="shared" si="63"/>
        <v>suppAccount</v>
      </c>
      <c r="E49" s="28" t="str">
        <f>A.Backend!H43</f>
        <v>string</v>
      </c>
      <c r="F49" s="28" t="str">
        <f>A.Backend!G43</f>
        <v>18</v>
      </c>
      <c r="G49" s="28" t="str">
        <f t="shared" si="64"/>
        <v xml:space="preserve"> : string = '' ; </v>
      </c>
      <c r="H49" s="35" t="str">
        <f t="shared" si="65"/>
        <v xml:space="preserve">			{headerName: this.l('Supp Account'),headerTooltip: this.l('Supp Account'),field: 'suppAccount',flex: 1},</v>
      </c>
      <c r="I49" s="35" t="str">
        <f>IF(E49="DateTime",
REPT(CHAR(9),8)&amp;"&lt;div class='input-search'&gt;
"&amp;REPT(CHAR(9),9)&amp;"&lt;input type='text' [placeholder]=""l('"&amp;C49&amp;"')"" [(ngModel)]='"&amp;D49&amp;"' 
"&amp;REPT(CHAR(9),9)&amp;"name='"&amp;D49&amp;"'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IF(AND(E49="string",F49 &lt;&gt;"1"),
REPT(CHAR(9),8)&amp;"&lt;div class='input-search'&gt;
"&amp;REPT(CHAR(9),9)&amp;"&lt;input [(ngModel)]='"&amp;D49&amp;"' name='"&amp;D49&amp;"'
"&amp;REPT(CHAR(9),9)&amp;"class='form-control' [placeholder]=""l('"&amp;C49&amp;"')""
"&amp;REPT(CHAR(9),9)&amp;"type='text' (keyup.enter)='searchDatas()'&gt;
"&amp;REPT(CHAR(9),8)&amp;"&lt;/div&gt;",""))</f>
        <v xml:space="preserve">								&lt;div class='input-search'&gt;
									&lt;input [(ngModel)]='suppAccount' name='suppAccount'
									class='form-control' [placeholder]="l('Supp Account')"
									type='text' (keyup.enter)='searchDatas()'&gt;
								&lt;/div&gt;</v>
      </c>
      <c r="J49" s="28"/>
      <c r="K49" s="35" t="str">
        <f t="shared" ref="K49:K53" si="74">IF(OR(E49="DateTime?",E49="TimeSpan?"),
REPT(CHAR(9),5)&amp;"&lt;div class='col-md-12 form-group row'&gt;
"&amp;REPT(CHAR(9),6)&amp;"&lt;label class='col-md-2 form-control title'&gt;"&amp;C49&amp;"&lt;/label&gt;
"&amp;REPT(CHAR(9),6)&amp;"&lt;input type='text' class='col-md-10 form-control input-text' name='"&amp;D49&amp;"' 
"&amp;REPT(CHAR(9),6)&amp;"#datepicker='bsDatepicker' [(ngModel)]='rowdata."&amp;D49&amp;"'  bsDatepicker &gt;
"&amp;REPT(CHAR(9),5)&amp;"&lt;/div&gt;",
IF(AND(E49="string",F49="1"),
REPT(CHAR(9),5)&amp;"&lt;div class='col-md-12 form-group row'&gt;
"&amp;REPT(CHAR(9),6)&amp;"&lt;label class='col-md-2 form-control title'&gt;"&amp;C49&amp;"&lt;/label&gt;
"&amp;REPT(CHAR(9),6)&amp;"&lt;new-checkbox [(ngModel)]='_"&amp;D49&amp;"' name='"&amp;D49&amp;"' className='col-md-10' &gt; &lt;/new-checkbox&gt;
"&amp;REPT(CHAR(9),5)&amp;"&lt;/div&gt;",
IF(E49="string",
REPT(CHAR(9),5)&amp;"&lt;div class='col-md-12 form-group row'&gt;
"&amp;REPT(CHAR(9),6)&amp;"&lt;label class='col-md-2 form-control title'&gt;"&amp;C49&amp;"&lt;/label&gt;
"&amp;REPT(CHAR(9),6)&amp;"&lt;input type='text' class='col-md-10 form-control input-text' name='"&amp;B49&amp;"' [(ngModel)]='rowdata."&amp;D49&amp;"'&gt;
"&amp;REPT(CHAR(9),5)&amp;"&lt;/div&gt;",
IF(OR(E49="int?",E49="long?"),
REPT(CHAR(9),5)&amp;"&lt;div class='col-md-12 form-group row'&gt;
"&amp;REPT(CHAR(9),6)&amp;"&lt;label class='col-md-2 form-control title'&gt;"&amp;C49&amp;"&lt;/label&gt;
"&amp;REPT(CHAR(9),6)&amp;"&lt;input type='number' class='col-md-10 form-control input-text' name='"&amp;B49&amp;"' [(ngModel)]='rowdata."&amp;D49&amp;"'&gt;
"&amp;REPT(CHAR(9),5)&amp;"&lt;/div&gt;",""))))</f>
        <v xml:space="preserve">					&lt;div class='col-md-12 form-group row'&gt;
						&lt;label class='col-md-2 form-control title'&gt;Supp Account&lt;/label&gt;
						&lt;input type='text' class='col-md-10 form-control input-text' name='SuppAccount' [(ngModel)]='rowdata.suppAccount'&gt;
					&lt;/div&gt;</v>
      </c>
      <c r="L49" s="56" t="str">
        <f t="shared" si="72"/>
        <v/>
      </c>
      <c r="M49" s="28"/>
      <c r="N49" s="28"/>
      <c r="O49" s="28"/>
      <c r="P49" s="28"/>
      <c r="Q49" s="28"/>
      <c r="R49" s="28"/>
      <c r="S49" s="28" t="str">
        <f t="shared" ref="S49:S53" si="75">IF(AND(E49="string",F49 &lt;&gt;"1"),(REPT(CHAR(9),1)&amp;D49&amp;G49),"")</f>
        <v xml:space="preserve">	suppAccount : string = '' ; </v>
      </c>
      <c r="T49" s="28" t="str">
        <f>IF(AND(E49="string",F49 &lt;&gt;"1"),(REPT(CHAR(9),3)&amp;"this."&amp;D48&amp;","),"")</f>
        <v xml:space="preserve">			this.suppBankCountry,</v>
      </c>
      <c r="U49" s="28" t="str">
        <f t="shared" ref="U49:U53" si="76">IF(AND(E49="string",F49 &lt;&gt;"1"),(REPT(CHAR(9),1)&amp;D49&amp;G49),"")</f>
        <v xml:space="preserve">	suppAccount : string = '' ; </v>
      </c>
      <c r="V49" s="28" t="str">
        <f t="shared" si="69"/>
        <v/>
      </c>
    </row>
    <row r="50" spans="1:22" ht="18" customHeight="1" x14ac:dyDescent="0.25">
      <c r="A50" t="s">
        <v>405</v>
      </c>
      <c r="B50" s="28" t="str">
        <f t="shared" si="61"/>
        <v>AccountHolder</v>
      </c>
      <c r="C50" s="28" t="str">
        <f t="shared" si="62"/>
        <v>Account Holder</v>
      </c>
      <c r="D50" s="28" t="str">
        <f t="shared" si="63"/>
        <v>accountHolder</v>
      </c>
      <c r="E50" s="28" t="str">
        <f>A.Backend!H44</f>
        <v>string</v>
      </c>
      <c r="F50" s="28" t="str">
        <f>A.Backend!G44</f>
        <v>60</v>
      </c>
      <c r="G50" s="28" t="str">
        <f t="shared" si="64"/>
        <v xml:space="preserve"> : string = '' ; </v>
      </c>
      <c r="H50" s="35" t="str">
        <f t="shared" si="65"/>
        <v xml:space="preserve">			{headerName: this.l('Account Holder'),headerTooltip: this.l('Account Holder'),field: 'accountHolder',flex: 1},</v>
      </c>
      <c r="I50" s="35" t="str">
        <f t="shared" ref="I50:I51" si="77">IF(E50="DateTime",
REPT(CHAR(9),8)&amp;"&lt;div class='input-search'&gt;
"&amp;REPT(CHAR(9),9)&amp;"&lt;input type='text' [placeholder]=""l('"&amp;C50&amp;"')"" [(ngModel)]='"&amp;D50&amp;"' 
"&amp;REPT(CHAR(9),9)&amp;"name='"&amp;D50&amp;"'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IF(AND(E50="string",F50 &lt;&gt;"1"),
REPT(CHAR(9),8)&amp;"&lt;div class='input-search'&gt;
"&amp;REPT(CHAR(9),9)&amp;"&lt;input [(ngModel)]='"&amp;D50&amp;"' name='"&amp;D50&amp;"'
"&amp;REPT(CHAR(9),9)&amp;"class='form-control' [placeholder]=""l('"&amp;C50&amp;"')""
"&amp;REPT(CHAR(9),9)&amp;"type='text' (keyup.enter)='searchDatas()'&gt;
"&amp;REPT(CHAR(9),8)&amp;"&lt;/div&gt;",""))</f>
        <v xml:space="preserve">								&lt;div class='input-search'&gt;
									&lt;input [(ngModel)]='accountHolder' name='accountHolder'
									class='form-control' [placeholder]="l('Account Holder')"
									type='text' (keyup.enter)='searchDatas()'&gt;
								&lt;/div&gt;</v>
      </c>
      <c r="J50" s="28"/>
      <c r="K50" s="35" t="str">
        <f t="shared" si="74"/>
        <v xml:space="preserve">					&lt;div class='col-md-12 form-group row'&gt;
						&lt;label class='col-md-2 form-control title'&gt;Account Holder&lt;/label&gt;
						&lt;input type='text' class='col-md-10 form-control input-text' name='AccountHolder' [(ngModel)]='rowdata.accountHolder'&gt;
					&lt;/div&gt;</v>
      </c>
      <c r="L50" s="56" t="str">
        <f>IF(E50="DateTime",
REPT(CHAR(9),2)&amp;"const dateValue =  this.rowdata."&amp;D50&amp;" ? new Date(this.rowdata."&amp;D50&amp;"?.toString()) : new Date();
"&amp;REPT(CHAR(9),2)&amp;"this.datepicker?.bsValueChange.emit(dateValue);","")</f>
        <v/>
      </c>
      <c r="M50" s="28"/>
      <c r="N50" s="28"/>
      <c r="O50" s="28"/>
      <c r="P50" s="28"/>
      <c r="Q50" s="28"/>
      <c r="R50" s="28"/>
      <c r="S50" s="28" t="str">
        <f t="shared" si="75"/>
        <v xml:space="preserve">	accountHolder : string = '' ; </v>
      </c>
      <c r="T50" s="28" t="str">
        <f t="shared" ref="T50:T53" si="78">IF(AND(E50="string",F50 &lt;&gt;"1"),(REPT(CHAR(9),3)&amp;"this."&amp;D49&amp;","),"")</f>
        <v xml:space="preserve">			this.suppAccount,</v>
      </c>
      <c r="U50" s="28" t="str">
        <f t="shared" si="76"/>
        <v xml:space="preserve">	accountHolder : string = '' ; </v>
      </c>
      <c r="V50" s="28" t="str">
        <f t="shared" si="69"/>
        <v/>
      </c>
    </row>
    <row r="51" spans="1:22" ht="15" customHeight="1" x14ac:dyDescent="0.25">
      <c r="A51" t="s">
        <v>406</v>
      </c>
      <c r="B51" s="28" t="str">
        <f t="shared" si="61"/>
        <v>Accname</v>
      </c>
      <c r="C51" s="28" t="str">
        <f t="shared" si="62"/>
        <v>Accname</v>
      </c>
      <c r="D51" s="28" t="str">
        <f t="shared" si="63"/>
        <v>accname</v>
      </c>
      <c r="E51" s="28" t="str">
        <f>A.Backend!H45</f>
        <v>string</v>
      </c>
      <c r="F51" s="28" t="str">
        <f>A.Backend!G45</f>
        <v>40</v>
      </c>
      <c r="G51" s="28" t="str">
        <f t="shared" si="64"/>
        <v xml:space="preserve"> : string = '' ; </v>
      </c>
      <c r="H51" s="35" t="str">
        <f t="shared" si="65"/>
        <v xml:space="preserve">			{headerName: this.l('Accname'),headerTooltip: this.l('Accname'),field: 'accname',flex: 1},</v>
      </c>
      <c r="I51" s="35" t="str">
        <f t="shared" si="77"/>
        <v xml:space="preserve">								&lt;div class='input-search'&gt;
									&lt;input [(ngModel)]='accname' name='accname'
									class='form-control' [placeholder]="l('Accname')"
									type='text' (keyup.enter)='searchDatas()'&gt;
								&lt;/div&gt;</v>
      </c>
      <c r="J51" s="28"/>
      <c r="K51" s="35" t="str">
        <f t="shared" si="74"/>
        <v xml:space="preserve">					&lt;div class='col-md-12 form-group row'&gt;
						&lt;label class='col-md-2 form-control title'&gt;Accname&lt;/label&gt;
						&lt;input type='text' class='col-md-10 form-control input-text' name='Accname' [(ngModel)]='rowdata.accname'&gt;
					&lt;/div&gt;</v>
      </c>
      <c r="L51" s="56" t="str">
        <f t="shared" ref="L51:L55" si="79">IF(E51="DateTime",
REPT(CHAR(9),2)&amp;"const dateValue =  this.rowdata."&amp;D51&amp;" ? new Date(this.rowdata."&amp;D51&amp;"?.toString()) : new Date();
"&amp;REPT(CHAR(9),2)&amp;"this.datepicker?.bsValueChange.emit(dateValue);","")</f>
        <v/>
      </c>
      <c r="M51" s="28"/>
      <c r="N51" s="28"/>
      <c r="O51" s="28"/>
      <c r="P51" s="28"/>
      <c r="Q51" s="28"/>
      <c r="R51" s="28"/>
      <c r="S51" s="28" t="str">
        <f t="shared" si="75"/>
        <v xml:space="preserve">	accname : string = '' ; </v>
      </c>
      <c r="T51" s="28" t="str">
        <f t="shared" si="78"/>
        <v xml:space="preserve">			this.accountHolder,</v>
      </c>
      <c r="U51" s="28" t="str">
        <f t="shared" si="76"/>
        <v xml:space="preserve">	accname : string = '' ; </v>
      </c>
      <c r="V51" s="28" t="str">
        <f t="shared" si="69"/>
        <v/>
      </c>
    </row>
    <row r="52" spans="1:22" ht="18" customHeight="1" x14ac:dyDescent="0.25">
      <c r="A52" t="s">
        <v>409</v>
      </c>
      <c r="B52" s="28" t="str">
        <f t="shared" si="61"/>
        <v>PartnerBankName</v>
      </c>
      <c r="C52" s="28" t="str">
        <f t="shared" si="62"/>
        <v>Partner Bank Name</v>
      </c>
      <c r="D52" s="28" t="str">
        <f t="shared" si="63"/>
        <v>partnerBankName</v>
      </c>
      <c r="E52" s="28" t="str">
        <f>A.Backend!H46</f>
        <v>string</v>
      </c>
      <c r="F52" s="28" t="str">
        <f>A.Backend!G46</f>
        <v>30</v>
      </c>
      <c r="G52" s="28" t="str">
        <f t="shared" si="64"/>
        <v xml:space="preserve"> : string = '' ; </v>
      </c>
      <c r="H52" s="35" t="str">
        <f t="shared" si="65"/>
        <v xml:space="preserve">			{headerName: this.l('Partner Bank Name'),headerTooltip: this.l('Partner Bank Name'),field: 'partnerBankName',flex: 1},</v>
      </c>
      <c r="I52" s="35" t="str">
        <f>IF(E52="DateTime",
REPT(CHAR(9),8)&amp;"&lt;div class='input-search'&gt;
"&amp;REPT(CHAR(9),9)&amp;"&lt;input type='text' [placeholder]=""l('"&amp;C52&amp;"')"" [(ngModel)]='"&amp;D52&amp;"' 
"&amp;REPT(CHAR(9),9)&amp;"name='"&amp;D52&amp;"'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IF(AND(E52="string",F52 &lt;&gt;"1"),
REPT(CHAR(9),8)&amp;"&lt;div class='input-search'&gt;
"&amp;REPT(CHAR(9),9)&amp;"&lt;input [(ngModel)]='"&amp;D52&amp;"' name='"&amp;D52&amp;"'
"&amp;REPT(CHAR(9),9)&amp;"class='form-control' [placeholder]=""l('"&amp;C52&amp;"')""
"&amp;REPT(CHAR(9),9)&amp;"type='text' (keyup.enter)='searchDatas()'&gt;
"&amp;REPT(CHAR(9),8)&amp;"&lt;/div&gt;",""))</f>
        <v xml:space="preserve">								&lt;div class='input-search'&gt;
									&lt;input [(ngModel)]='partnerBankName' name='partnerBankName'
									class='form-control' [placeholder]="l('Partner Bank Name')"
									type='text' (keyup.enter)='searchDatas()'&gt;
								&lt;/div&gt;</v>
      </c>
      <c r="J52" s="28"/>
      <c r="K52" s="35" t="str">
        <f t="shared" si="74"/>
        <v xml:space="preserve">					&lt;div class='col-md-12 form-group row'&gt;
						&lt;label class='col-md-2 form-control title'&gt;Partner Bank Name&lt;/label&gt;
						&lt;input type='text' class='col-md-10 form-control input-text' name='PartnerBankName' [(ngModel)]='rowdata.partnerBankName'&gt;
					&lt;/div&gt;</v>
      </c>
      <c r="L52" s="56" t="str">
        <f t="shared" si="79"/>
        <v/>
      </c>
      <c r="M52" s="28"/>
      <c r="N52" s="28"/>
      <c r="O52" s="28"/>
      <c r="P52" s="28"/>
      <c r="Q52" s="28"/>
      <c r="R52" s="28"/>
      <c r="S52" s="28" t="str">
        <f t="shared" si="75"/>
        <v xml:space="preserve">	partnerBankName : string = '' ; </v>
      </c>
      <c r="T52" s="28" t="str">
        <f t="shared" si="78"/>
        <v xml:space="preserve">			this.accname,</v>
      </c>
      <c r="U52" s="28" t="str">
        <f t="shared" si="76"/>
        <v xml:space="preserve">	partnerBankName : string = '' ; </v>
      </c>
      <c r="V52" s="28" t="str">
        <f t="shared" si="69"/>
        <v/>
      </c>
    </row>
    <row r="53" spans="1:22" ht="15" customHeight="1" x14ac:dyDescent="0.25">
      <c r="A53" t="s">
        <v>410</v>
      </c>
      <c r="B53" s="28" t="str">
        <f t="shared" si="61"/>
        <v>ExternalId</v>
      </c>
      <c r="C53" s="28" t="str">
        <f t="shared" si="62"/>
        <v>External Id</v>
      </c>
      <c r="D53" s="28" t="str">
        <f t="shared" si="63"/>
        <v>externalId</v>
      </c>
      <c r="E53" s="28" t="str">
        <f>A.Backend!H47</f>
        <v>string</v>
      </c>
      <c r="F53" s="28" t="str">
        <f>A.Backend!G47</f>
        <v>10</v>
      </c>
      <c r="G53" s="28" t="str">
        <f t="shared" si="64"/>
        <v xml:space="preserve"> : string = '' ; </v>
      </c>
      <c r="H53" s="35" t="str">
        <f t="shared" si="65"/>
        <v xml:space="preserve">			{headerName: this.l('External Id'),headerTooltip: this.l('External Id'),field: 'externalId',flex: 1},</v>
      </c>
      <c r="I53" s="35" t="str">
        <f t="shared" ref="I53:I54" si="80">IF(E53="DateTime",
REPT(CHAR(9),8)&amp;"&lt;div class='input-search'&gt;
"&amp;REPT(CHAR(9),9)&amp;"&lt;input type='text' [placeholder]=""l('"&amp;C53&amp;"')"" [(ngModel)]='"&amp;D53&amp;"' 
"&amp;REPT(CHAR(9),9)&amp;"name='"&amp;D53&amp;"'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IF(AND(E53="string",F53 &lt;&gt;"1"),
REPT(CHAR(9),8)&amp;"&lt;div class='input-search'&gt;
"&amp;REPT(CHAR(9),9)&amp;"&lt;input [(ngModel)]='"&amp;D53&amp;"' name='"&amp;D53&amp;"'
"&amp;REPT(CHAR(9),9)&amp;"class='form-control' [placeholder]=""l('"&amp;C53&amp;"')""
"&amp;REPT(CHAR(9),9)&amp;"type='text' (keyup.enter)='searchDatas()'&gt;
"&amp;REPT(CHAR(9),8)&amp;"&lt;/div&gt;",""))</f>
        <v xml:space="preserve">								&lt;div class='input-search'&gt;
									&lt;input [(ngModel)]='externalId' name='externalId'
									class='form-control' [placeholder]="l('External Id')"
									type='text' (keyup.enter)='searchDatas()'&gt;
								&lt;/div&gt;</v>
      </c>
      <c r="J53" s="28"/>
      <c r="K53" s="35" t="str">
        <f t="shared" si="74"/>
        <v xml:space="preserve">					&lt;div class='col-md-12 form-group row'&gt;
						&lt;label class='col-md-2 form-control title'&gt;External Id&lt;/label&gt;
						&lt;input type='text' class='col-md-10 form-control input-text' name='ExternalId' [(ngModel)]='rowdata.externalId'&gt;
					&lt;/div&gt;</v>
      </c>
      <c r="L53" s="56" t="str">
        <f t="shared" si="79"/>
        <v/>
      </c>
      <c r="M53" s="28"/>
      <c r="N53" s="28"/>
      <c r="O53" s="28"/>
      <c r="P53" s="28"/>
      <c r="Q53" s="28"/>
      <c r="R53" s="28"/>
      <c r="S53" s="28" t="str">
        <f t="shared" si="75"/>
        <v xml:space="preserve">	externalId : string = '' ; </v>
      </c>
      <c r="T53" s="28" t="str">
        <f t="shared" si="78"/>
        <v xml:space="preserve">			this.partnerBankName,</v>
      </c>
      <c r="U53" s="28" t="str">
        <f t="shared" si="76"/>
        <v xml:space="preserve">	externalId : string = '' ; </v>
      </c>
      <c r="V53" s="28" t="str">
        <f t="shared" si="69"/>
        <v/>
      </c>
    </row>
    <row r="54" spans="1:22" ht="15" customHeight="1" x14ac:dyDescent="0.25">
      <c r="A54" t="s">
        <v>411</v>
      </c>
      <c r="B54" s="28" t="str">
        <f t="shared" si="61"/>
        <v>StatusFlagAb</v>
      </c>
      <c r="C54" s="28" t="str">
        <f t="shared" si="62"/>
        <v>Status Flag Ab</v>
      </c>
      <c r="D54" s="28" t="str">
        <f t="shared" si="63"/>
        <v>statusFlagAb</v>
      </c>
      <c r="E54" s="28" t="str">
        <f>A.Backend!H48</f>
        <v>string</v>
      </c>
      <c r="F54" s="28" t="str">
        <f>A.Backend!G48</f>
        <v>1</v>
      </c>
      <c r="G54" s="28" t="str">
        <f t="shared" si="64"/>
        <v xml:space="preserve"> : string = '' ; </v>
      </c>
      <c r="H54" s="35" t="str">
        <f t="shared" si="65"/>
        <v xml:space="preserve">			{headerName: this.l('Status Flag Ab'),headerTooltip: this.l('Status Flag Ab'),field:  'statusFlagAb', cellClass: ['text-center'], width: 120, cellRenderer: 'agCellButtonComponent',
buttonDefTwo: { text: params =&gt; (params.data?.'statusFlagAb' == 'Y') ? 'Active' : 'Inactive',iconName: 'fa fa-circle',className: params =&gt; (params.data?.'statusFlagAb' == 'Y') ? 'btnActive' : 'btnInActive',},}</v>
      </c>
      <c r="I54" s="35" t="str">
        <f t="shared" si="80"/>
        <v/>
      </c>
      <c r="J54" s="28"/>
      <c r="K54" s="35" t="str">
        <f>IF(OR(E54="DateTime?",E54="TimeSpan?"),
REPT(CHAR(9),5)&amp;"&lt;div class='col-md-12 form-group row'&gt;
"&amp;REPT(CHAR(9),6)&amp;"&lt;label class='col-md-2 form-control title'&gt;"&amp;C54&amp;"&lt;/label&gt;
"&amp;REPT(CHAR(9),6)&amp;"&lt;input type='text' class='col-md-10 form-control input-text' name='"&amp;D54&amp;"' 
"&amp;REPT(CHAR(9),6)&amp;"#datepicker='bsDatepicker' [(ngModel)]='rowdata."&amp;D54&amp;"'  bsDatepicker &gt;
"&amp;REPT(CHAR(9),5)&amp;"&lt;/div&gt;",
IF(AND(E54="string",F54="1"),
REPT(CHAR(9),5)&amp;"&lt;div class='col-md-12 form-group row'&gt;
"&amp;REPT(CHAR(9),6)&amp;"&lt;label class='col-md-2 form-control title'&gt;"&amp;C54&amp;"&lt;/label&gt;
"&amp;REPT(CHAR(9),6)&amp;"&lt;new-checkbox [(ngModel)]='_"&amp;D54&amp;"' name='"&amp;D54&amp;"' className='col-md-10' &gt; &lt;/new-checkbox&gt;
"&amp;REPT(CHAR(9),5)&amp;"&lt;/div&gt;",
IF(E54="string",
REPT(CHAR(9),5)&amp;"&lt;div class='col-md-12 form-group row'&gt;
"&amp;REPT(CHAR(9),6)&amp;"&lt;label class='col-md-2 form-control title'&gt;"&amp;C54&amp;"&lt;/label&gt;
"&amp;REPT(CHAR(9),6)&amp;"&lt;input type='text' class='col-md-10 form-control input-text' name='"&amp;B54&amp;"' [(ngModel)]='rowdata."&amp;D54&amp;"'&gt;
"&amp;REPT(CHAR(9),5)&amp;"&lt;/div&gt;",
IF(OR(E54="int?",E54="long?"),
REPT(CHAR(9),5)&amp;"&lt;div class='col-md-12 form-group row'&gt;
"&amp;REPT(CHAR(9),6)&amp;"&lt;label class='col-md-2 form-control title'&gt;"&amp;C54&amp;"&lt;/label&gt;
"&amp;REPT(CHAR(9),6)&amp;"&lt;input type='number' class='col-md-10 form-control input-text' name='"&amp;B54&amp;"' [(ngModel)]='rowdata."&amp;D54&amp;"'&gt;
"&amp;REPT(CHAR(9),5)&amp;"&lt;/div&gt;",""))))</f>
        <v xml:space="preserve">					&lt;div class='col-md-12 form-group row'&gt;
						&lt;label class='col-md-2 form-control title'&gt;Status Flag Ab&lt;/label&gt;
						&lt;new-checkbox [(ngModel)]='_statusFlagAb' name='statusFlagAb' className='col-md-10' &gt; &lt;/new-checkbox&gt;
					&lt;/div&gt;</v>
      </c>
      <c r="L54" s="56" t="str">
        <f t="shared" si="79"/>
        <v/>
      </c>
      <c r="M54" s="28"/>
      <c r="N54" s="28"/>
      <c r="O54" s="28"/>
      <c r="P54" s="28"/>
      <c r="Q54" s="28"/>
      <c r="R54" s="28"/>
      <c r="S54" s="28" t="str">
        <f>IF(AND(E54="string",F54 &lt;&gt;"1"),(REPT(CHAR(9),1)&amp;D54&amp;G54),"")</f>
        <v/>
      </c>
      <c r="T54" s="28" t="str">
        <f>IF(AND(E54="string",F54 &lt;&gt;"1"),(REPT(CHAR(9),3)&amp;"this."&amp;D53&amp;","),"")</f>
        <v/>
      </c>
      <c r="U54" s="28" t="str">
        <f>IF(AND(E54="string",F54 &lt;&gt;"1"),(REPT(CHAR(9),1)&amp;D54&amp;G54),"")</f>
        <v/>
      </c>
      <c r="V54" s="28" t="str">
        <f t="shared" si="69"/>
        <v>statusFlagAb</v>
      </c>
    </row>
    <row r="55" spans="1:22" ht="18" customHeight="1" x14ac:dyDescent="0.25">
      <c r="A55" t="s">
        <v>412</v>
      </c>
      <c r="B55" s="28" t="str">
        <f t="shared" ref="B55:B57" si="81">SUBSTITUTE(PROPER(A55),"_","")</f>
        <v>StatusFlagCb</v>
      </c>
      <c r="C55" s="28" t="str">
        <f t="shared" ref="C55:C57" si="82">SUBSTITUTE(PROPER(A55),"_"," ")</f>
        <v>Status Flag Cb</v>
      </c>
      <c r="D55" s="28" t="str">
        <f t="shared" ref="D55:D57" si="83">LOWER(LEFT(B55,1))&amp;RIGHT(B55,LEN(B55) - 1)</f>
        <v>statusFlagCb</v>
      </c>
      <c r="E55" s="28" t="str">
        <f>A.Backend!H49</f>
        <v>string</v>
      </c>
      <c r="F55" s="28" t="str">
        <f>A.Backend!G49</f>
        <v>1</v>
      </c>
      <c r="G55" s="28" t="str">
        <f t="shared" ref="G55:G57" si="84">IF(E55="string"," : string = '' ; ",IF(OR(E55="DateTime",E55="TimeSpan")," : any ;",IF(E55="int"," : number = 0 ;","")))</f>
        <v xml:space="preserve"> : string = '' ; </v>
      </c>
      <c r="H55" s="35" t="str">
        <f t="shared" ref="H55:H57" si="85">IF(E55="DateTime",
REPT(CHAR(9),3)&amp;"{headerName: this.l('"&amp;C55&amp;"'),headerTooltip: this.l('"&amp;C55&amp;"'),field: '"&amp;D55&amp;"',valueGetter: (params) =&gt; this.pipe.transform(params.data?."&amp;D55&amp;", 'dd/MM/yyyy'),flex: 1},",
IF(AND(E55="string",F55="1"),
REPT(CHAR(9),3)&amp;"{headerName: this.l('"&amp;C55&amp;"'),headerTooltip: this.l('"&amp;C55&amp;"'),field:  '"&amp;D55&amp;"', cellClass: ['text-center'], width: 120, cellRenderer: 'agCellButtonComponent',
buttonDefTwo: { text: params =&gt; (params.data?.'"&amp;D55&amp;"' == 'Y') ? 'Active' : 'Inactive',iconName: 'fa fa-circle',className: params =&gt; (params.data?.'"&amp;D55&amp;"' == 'Y') ? 'btnActive' : 'btnInActive',},}",
REPT(CHAR(9),3)&amp;"{headerName: this.l('"&amp;C55&amp;"'),headerTooltip: this.l('"&amp;C55&amp;"'),field: '"&amp;D55&amp;"',flex: 1},"))</f>
        <v xml:space="preserve">			{headerName: this.l('Status Flag Cb'),headerTooltip: this.l('Status Flag Cb'),field:  'statusFlagCb', cellClass: ['text-center'], width: 120, cellRenderer: 'agCellButtonComponent',
buttonDefTwo: { text: params =&gt; (params.data?.'statusFlagCb' == 'Y') ? 'Active' : 'Inactive',iconName: 'fa fa-circle',className: params =&gt; (params.data?.'statusFlagCb' == 'Y') ? 'btnActive' : 'btnInActive',},}</v>
      </c>
      <c r="I55" s="35" t="str">
        <f>IF(E55="DateTime",
REPT(CHAR(9),8)&amp;"&lt;div class='input-search'&gt;
"&amp;REPT(CHAR(9),9)&amp;"&lt;input type='text' [placeholder]=""l('"&amp;C55&amp;"')"" [(ngModel)]='"&amp;D55&amp;"' 
"&amp;REPT(CHAR(9),9)&amp;"name='"&amp;D55&amp;"'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IF(AND(E55="string",F55 &lt;&gt;"1"),
REPT(CHAR(9),8)&amp;"&lt;div class='input-search'&gt;
"&amp;REPT(CHAR(9),9)&amp;"&lt;input [(ngModel)]='"&amp;D55&amp;"' name='"&amp;D55&amp;"'
"&amp;REPT(CHAR(9),9)&amp;"class='form-control' [placeholder]=""l('"&amp;C55&amp;"')""
"&amp;REPT(CHAR(9),9)&amp;"type='text' (keyup.enter)='searchDatas()'&gt;
"&amp;REPT(CHAR(9),8)&amp;"&lt;/div&gt;",""))</f>
        <v/>
      </c>
      <c r="J55" s="28"/>
      <c r="K55" s="35" t="str">
        <f t="shared" ref="K55:K57" si="86">IF(OR(E55="DateTime?",E55="TimeSpan?"),
REPT(CHAR(9),5)&amp;"&lt;div class='col-md-12 form-group row'&gt;
"&amp;REPT(CHAR(9),6)&amp;"&lt;label class='col-md-2 form-control title'&gt;"&amp;C55&amp;"&lt;/label&gt;
"&amp;REPT(CHAR(9),6)&amp;"&lt;input type='text' class='col-md-10 form-control input-text' name='"&amp;D55&amp;"' 
"&amp;REPT(CHAR(9),6)&amp;"#datepicker='bsDatepicker' [(ngModel)]='rowdata."&amp;D55&amp;"'  bsDatepicker &gt;
"&amp;REPT(CHAR(9),5)&amp;"&lt;/div&gt;",
IF(AND(E55="string",F55="1"),
REPT(CHAR(9),5)&amp;"&lt;div class='col-md-12 form-group row'&gt;
"&amp;REPT(CHAR(9),6)&amp;"&lt;label class='col-md-2 form-control title'&gt;"&amp;C55&amp;"&lt;/label&gt;
"&amp;REPT(CHAR(9),6)&amp;"&lt;new-checkbox [(ngModel)]='_"&amp;D55&amp;"' name='"&amp;D55&amp;"' className='col-md-10' &gt; &lt;/new-checkbox&gt;
"&amp;REPT(CHAR(9),5)&amp;"&lt;/div&gt;",
IF(E55="string",
REPT(CHAR(9),5)&amp;"&lt;div class='col-md-12 form-group row'&gt;
"&amp;REPT(CHAR(9),6)&amp;"&lt;label class='col-md-2 form-control title'&gt;"&amp;C55&amp;"&lt;/label&gt;
"&amp;REPT(CHAR(9),6)&amp;"&lt;input type='text' class='col-md-10 form-control input-text' name='"&amp;B55&amp;"' [(ngModel)]='rowdata."&amp;D55&amp;"'&gt;
"&amp;REPT(CHAR(9),5)&amp;"&lt;/div&gt;",
IF(OR(E55="int?",E55="long?"),
REPT(CHAR(9),5)&amp;"&lt;div class='col-md-12 form-group row'&gt;
"&amp;REPT(CHAR(9),6)&amp;"&lt;label class='col-md-2 form-control title'&gt;"&amp;C55&amp;"&lt;/label&gt;
"&amp;REPT(CHAR(9),6)&amp;"&lt;input type='number' class='col-md-10 form-control input-text' name='"&amp;B55&amp;"' [(ngModel)]='rowdata."&amp;D55&amp;"'&gt;
"&amp;REPT(CHAR(9),5)&amp;"&lt;/div&gt;",""))))</f>
        <v xml:space="preserve">					&lt;div class='col-md-12 form-group row'&gt;
						&lt;label class='col-md-2 form-control title'&gt;Status Flag Cb&lt;/label&gt;
						&lt;new-checkbox [(ngModel)]='_statusFlagCb' name='statusFlagCb' className='col-md-10' &gt; &lt;/new-checkbox&gt;
					&lt;/div&gt;</v>
      </c>
      <c r="L55" s="56" t="str">
        <f t="shared" si="79"/>
        <v/>
      </c>
      <c r="M55" s="28"/>
      <c r="N55" s="28"/>
      <c r="O55" s="28"/>
      <c r="P55" s="28"/>
      <c r="Q55" s="28"/>
      <c r="R55" s="28"/>
      <c r="S55" s="28" t="str">
        <f t="shared" ref="S55:S57" si="87">IF(AND(E55="string",F55 &lt;&gt;"1"),(REPT(CHAR(9),1)&amp;D55&amp;G55),"")</f>
        <v/>
      </c>
      <c r="T55" s="28" t="str">
        <f>IF(AND(E55="string",F55 &lt;&gt;"1"),(REPT(CHAR(9),3)&amp;"this."&amp;D54&amp;","),"")</f>
        <v/>
      </c>
      <c r="U55" s="28" t="str">
        <f t="shared" ref="U55:U57" si="88">IF(AND(E55="string",F55 &lt;&gt;"1"),(REPT(CHAR(9),1)&amp;D55&amp;G55),"")</f>
        <v/>
      </c>
      <c r="V55" s="28" t="str">
        <f t="shared" ref="V55:V57" si="89">IF(AND(E55="string",F55="1"),D55,"")</f>
        <v>statusFlagCb</v>
      </c>
    </row>
    <row r="56" spans="1:22" ht="18" customHeight="1" x14ac:dyDescent="0.25">
      <c r="A56" t="s">
        <v>413</v>
      </c>
      <c r="B56" s="28" t="str">
        <f t="shared" si="81"/>
        <v>StatusFlagAd</v>
      </c>
      <c r="C56" s="28" t="str">
        <f t="shared" si="82"/>
        <v>Status Flag Ad</v>
      </c>
      <c r="D56" s="28" t="str">
        <f t="shared" si="83"/>
        <v>statusFlagAd</v>
      </c>
      <c r="E56" s="28" t="str">
        <f>A.Backend!H50</f>
        <v>string</v>
      </c>
      <c r="F56" s="28" t="str">
        <f>A.Backend!G50</f>
        <v>1</v>
      </c>
      <c r="G56" s="28" t="str">
        <f t="shared" si="84"/>
        <v xml:space="preserve"> : string = '' ; </v>
      </c>
      <c r="H56" s="35" t="str">
        <f t="shared" si="85"/>
        <v xml:space="preserve">			{headerName: this.l('Status Flag Ad'),headerTooltip: this.l('Status Flag Ad'),field:  'statusFlagAd', cellClass: ['text-center'], width: 120, cellRenderer: 'agCellButtonComponent',
buttonDefTwo: { text: params =&gt; (params.data?.'statusFlagAd' == 'Y') ? 'Active' : 'Inactive',iconName: 'fa fa-circle',className: params =&gt; (params.data?.'statusFlagAd' == 'Y') ? 'btnActive' : 'btnInActive',},}</v>
      </c>
      <c r="I56" s="35" t="str">
        <f t="shared" ref="I56:I57" si="90">IF(E56="DateTime",
REPT(CHAR(9),8)&amp;"&lt;div class='input-search'&gt;
"&amp;REPT(CHAR(9),9)&amp;"&lt;input type='text' [placeholder]=""l('"&amp;C56&amp;"')"" [(ngModel)]='"&amp;D56&amp;"' 
"&amp;REPT(CHAR(9),9)&amp;"name='"&amp;D56&amp;"'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IF(AND(E56="string",F56 &lt;&gt;"1"),
REPT(CHAR(9),8)&amp;"&lt;div class='input-search'&gt;
"&amp;REPT(CHAR(9),9)&amp;"&lt;input [(ngModel)]='"&amp;D56&amp;"' name='"&amp;D56&amp;"'
"&amp;REPT(CHAR(9),9)&amp;"class='form-control' [placeholder]=""l('"&amp;C56&amp;"')""
"&amp;REPT(CHAR(9),9)&amp;"type='text' (keyup.enter)='searchDatas()'&gt;
"&amp;REPT(CHAR(9),8)&amp;"&lt;/div&gt;",""))</f>
        <v/>
      </c>
      <c r="J56" s="28"/>
      <c r="K56" s="35" t="str">
        <f t="shared" si="86"/>
        <v xml:space="preserve">					&lt;div class='col-md-12 form-group row'&gt;
						&lt;label class='col-md-2 form-control title'&gt;Status Flag Ad&lt;/label&gt;
						&lt;new-checkbox [(ngModel)]='_statusFlagAd' name='statusFlagAd' className='col-md-10' &gt; &lt;/new-checkbox&gt;
					&lt;/div&gt;</v>
      </c>
      <c r="L56" s="56" t="str">
        <f>IF(E56="DateTime",
REPT(CHAR(9),2)&amp;"const dateValue =  this.rowdata."&amp;D56&amp;" ? new Date(this.rowdata."&amp;D56&amp;"?.toString()) : new Date();
"&amp;REPT(CHAR(9),2)&amp;"this.datepicker?.bsValueChange.emit(dateValue);","")</f>
        <v/>
      </c>
      <c r="M56" s="28"/>
      <c r="N56" s="28"/>
      <c r="O56" s="28"/>
      <c r="P56" s="28"/>
      <c r="Q56" s="28"/>
      <c r="R56" s="28"/>
      <c r="S56" s="28" t="str">
        <f t="shared" si="87"/>
        <v/>
      </c>
      <c r="T56" s="28" t="str">
        <f t="shared" ref="T56:T57" si="91">IF(AND(E56="string",F56 &lt;&gt;"1"),(REPT(CHAR(9),3)&amp;"this."&amp;D55&amp;","),"")</f>
        <v/>
      </c>
      <c r="U56" s="28" t="str">
        <f t="shared" si="88"/>
        <v/>
      </c>
      <c r="V56" s="28" t="str">
        <f t="shared" si="89"/>
        <v>statusFlagAd</v>
      </c>
    </row>
    <row r="57" spans="1:22" ht="15" customHeight="1" x14ac:dyDescent="0.25">
      <c r="A57" t="s">
        <v>414</v>
      </c>
      <c r="B57" s="28" t="str">
        <f t="shared" si="81"/>
        <v>StatusFlagCd</v>
      </c>
      <c r="C57" s="28" t="str">
        <f t="shared" si="82"/>
        <v>Status Flag Cd</v>
      </c>
      <c r="D57" s="28" t="str">
        <f t="shared" si="83"/>
        <v>statusFlagCd</v>
      </c>
      <c r="E57" s="28" t="str">
        <f>A.Backend!H51</f>
        <v>string</v>
      </c>
      <c r="F57" s="28" t="str">
        <f>A.Backend!G51</f>
        <v>1</v>
      </c>
      <c r="G57" s="28" t="str">
        <f t="shared" si="84"/>
        <v xml:space="preserve"> : string = '' ; </v>
      </c>
      <c r="H57" s="35" t="str">
        <f t="shared" si="85"/>
        <v xml:space="preserve">			{headerName: this.l('Status Flag Cd'),headerTooltip: this.l('Status Flag Cd'),field:  'statusFlagCd', cellClass: ['text-center'], width: 120, cellRenderer: 'agCellButtonComponent',
buttonDefTwo: { text: params =&gt; (params.data?.'statusFlagCd' == 'Y') ? 'Active' : 'Inactive',iconName: 'fa fa-circle',className: params =&gt; (params.data?.'statusFlagCd' == 'Y') ? 'btnActive' : 'btnInActive',},}</v>
      </c>
      <c r="I57" s="35" t="str">
        <f t="shared" si="90"/>
        <v/>
      </c>
      <c r="J57" s="28"/>
      <c r="K57" s="35" t="str">
        <f t="shared" si="86"/>
        <v xml:space="preserve">					&lt;div class='col-md-12 form-group row'&gt;
						&lt;label class='col-md-2 form-control title'&gt;Status Flag Cd&lt;/label&gt;
						&lt;new-checkbox [(ngModel)]='_statusFlagCd' name='statusFlagCd' className='col-md-10' &gt; &lt;/new-checkbox&gt;
					&lt;/div&gt;</v>
      </c>
      <c r="L57" s="56" t="str">
        <f t="shared" ref="L57" si="92">IF(E57="DateTime",
REPT(CHAR(9),2)&amp;"const dateValue =  this.rowdata."&amp;D57&amp;" ? new Date(this.rowdata."&amp;D57&amp;"?.toString()) : new Date();
"&amp;REPT(CHAR(9),2)&amp;"this.datepicker?.bsValueChange.emit(dateValue);","")</f>
        <v/>
      </c>
      <c r="M57" s="28"/>
      <c r="N57" s="28"/>
      <c r="O57" s="28"/>
      <c r="P57" s="28"/>
      <c r="Q57" s="28"/>
      <c r="R57" s="28"/>
      <c r="S57" s="28" t="str">
        <f t="shared" si="87"/>
        <v/>
      </c>
      <c r="T57" s="28" t="str">
        <f t="shared" si="91"/>
        <v/>
      </c>
      <c r="U57" s="28" t="str">
        <f t="shared" si="88"/>
        <v/>
      </c>
      <c r="V57" s="28" t="str">
        <f t="shared" si="89"/>
        <v>statusFlagCd</v>
      </c>
    </row>
    <row r="5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2023-08-31T03:06:45Z</dcterms:modified>
</cp:coreProperties>
</file>
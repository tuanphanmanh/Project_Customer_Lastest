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painting\"/>
    </mc:Choice>
  </mc:AlternateContent>
  <bookViews>
    <workbookView xWindow="0" yWindow="495" windowWidth="28800" windowHeight="1642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C19" i="5"/>
  <c r="B19" i="5"/>
  <c r="D19" i="5" s="1"/>
  <c r="G13" i="1"/>
  <c r="E13" i="1"/>
  <c r="H13" i="1" s="1"/>
  <c r="D13" i="1"/>
  <c r="V13" i="1" s="1"/>
  <c r="T19" i="5" l="1"/>
  <c r="V19" i="5"/>
  <c r="H19" i="5"/>
  <c r="I19" i="5"/>
  <c r="K19" i="5"/>
  <c r="U19" i="5"/>
  <c r="G19" i="5"/>
  <c r="S19" i="5" s="1"/>
  <c r="L19" i="5"/>
  <c r="L13" i="1"/>
  <c r="W13" i="1"/>
  <c r="O13" i="1"/>
  <c r="J13" i="1"/>
  <c r="N13" i="1"/>
  <c r="I13" i="1"/>
  <c r="M13" i="1"/>
  <c r="P13" i="1"/>
  <c r="T13" i="1"/>
  <c r="G10" i="1"/>
  <c r="E10" i="1"/>
  <c r="H10" i="1" s="1"/>
  <c r="D10" i="1"/>
  <c r="V10" i="1" s="1"/>
  <c r="T10" i="1" l="1"/>
  <c r="W10" i="1"/>
  <c r="P10" i="1"/>
  <c r="I10" i="1"/>
  <c r="N10" i="1"/>
  <c r="M10" i="1"/>
  <c r="J10" i="1"/>
  <c r="O10" i="1"/>
  <c r="C18" i="5" l="1"/>
  <c r="B18" i="5"/>
  <c r="D18" i="5" s="1"/>
  <c r="T18" i="5" s="1"/>
  <c r="L12" i="1" l="1"/>
  <c r="G12" i="1"/>
  <c r="E12" i="1"/>
  <c r="H12" i="1" s="1"/>
  <c r="D12" i="1"/>
  <c r="V12" i="1" s="1"/>
  <c r="C17" i="5"/>
  <c r="B17" i="5"/>
  <c r="D17" i="5" s="1"/>
  <c r="C16" i="5"/>
  <c r="B16" i="5"/>
  <c r="D16" i="5" s="1"/>
  <c r="W12" i="1" l="1"/>
  <c r="P12" i="1"/>
  <c r="T12" i="1"/>
  <c r="M12" i="1"/>
  <c r="I12" i="1"/>
  <c r="N12" i="1"/>
  <c r="J12" i="1"/>
  <c r="O12" i="1"/>
  <c r="T16" i="5"/>
  <c r="T17" i="5"/>
  <c r="C20" i="5" l="1"/>
  <c r="B20" i="5"/>
  <c r="D20" i="5" s="1"/>
  <c r="T20" i="5" s="1"/>
  <c r="Q3" i="1" l="1"/>
  <c r="B15" i="5" l="1"/>
  <c r="D15" i="5" s="1"/>
  <c r="C15" i="5"/>
  <c r="G14" i="1"/>
  <c r="E14" i="1"/>
  <c r="H14" i="1" s="1"/>
  <c r="D14" i="1"/>
  <c r="V14" i="1" s="1"/>
  <c r="G11" i="1"/>
  <c r="E11" i="1"/>
  <c r="H11" i="1" s="1"/>
  <c r="D11" i="1"/>
  <c r="V11" i="1" s="1"/>
  <c r="G9" i="1"/>
  <c r="F15" i="5" s="1"/>
  <c r="E9" i="1"/>
  <c r="H9" i="1" s="1"/>
  <c r="E15" i="5" s="1"/>
  <c r="D9" i="1"/>
  <c r="T9" i="1" s="1"/>
  <c r="V18" i="5" l="1"/>
  <c r="I18" i="5"/>
  <c r="G18" i="5"/>
  <c r="S18" i="5" s="1"/>
  <c r="K18" i="5"/>
  <c r="U18" i="5"/>
  <c r="L18" i="5"/>
  <c r="H18" i="5"/>
  <c r="K17" i="5"/>
  <c r="G17" i="5"/>
  <c r="S17" i="5" s="1"/>
  <c r="V17" i="5"/>
  <c r="H17" i="5"/>
  <c r="U17" i="5"/>
  <c r="L17" i="5"/>
  <c r="I17" i="5"/>
  <c r="V16" i="5"/>
  <c r="L16" i="5"/>
  <c r="G16" i="5"/>
  <c r="S16" i="5" s="1"/>
  <c r="H16" i="5"/>
  <c r="I16" i="5"/>
  <c r="K16" i="5"/>
  <c r="U16" i="5"/>
  <c r="G20" i="5"/>
  <c r="S20" i="5" s="1"/>
  <c r="U20" i="5"/>
  <c r="K20" i="5"/>
  <c r="I20" i="5"/>
  <c r="V20" i="5"/>
  <c r="H20" i="5"/>
  <c r="L20" i="5"/>
  <c r="O14" i="1"/>
  <c r="G15" i="5"/>
  <c r="L15" i="5"/>
  <c r="O11" i="1"/>
  <c r="I15" i="5"/>
  <c r="H15" i="5"/>
  <c r="V15" i="5"/>
  <c r="P11" i="1"/>
  <c r="V9" i="1"/>
  <c r="T11" i="1"/>
  <c r="P14" i="1"/>
  <c r="T14" i="1"/>
  <c r="I9" i="1"/>
  <c r="O9" i="1"/>
  <c r="J9" i="1"/>
  <c r="N9" i="1"/>
  <c r="M9" i="1"/>
  <c r="W9" i="1"/>
  <c r="I11" i="1"/>
  <c r="I14" i="1"/>
  <c r="J11" i="1"/>
  <c r="W11" i="1"/>
  <c r="J14" i="1"/>
  <c r="W14" i="1"/>
  <c r="M11" i="1"/>
  <c r="M14" i="1"/>
  <c r="P9" i="1"/>
  <c r="N11" i="1"/>
  <c r="N14" i="1"/>
  <c r="K15" i="5" l="1"/>
  <c r="U15" i="5"/>
  <c r="T15" i="5"/>
  <c r="S15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6" i="1"/>
  <c r="T7" i="1" l="1"/>
  <c r="W16" i="1"/>
  <c r="G6" i="1" l="1"/>
  <c r="U13" i="5"/>
  <c r="K13" i="5"/>
  <c r="S13" i="5"/>
  <c r="I13" i="5"/>
  <c r="V13" i="5"/>
  <c r="H13" i="5"/>
  <c r="L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0" i="1" s="1"/>
  <c r="L11" i="1" l="1"/>
  <c r="L9" i="1"/>
  <c r="L14" i="1"/>
  <c r="C7" i="1"/>
  <c r="J16" i="1"/>
  <c r="I16" i="1"/>
  <c r="N16" i="1"/>
  <c r="O16" i="1"/>
  <c r="P16" i="1"/>
  <c r="Q7" i="1" l="1"/>
  <c r="M58" i="3" s="1"/>
  <c r="L7" i="1"/>
  <c r="G58" i="3" s="1"/>
  <c r="K58" i="3"/>
  <c r="J58" i="3"/>
  <c r="K16" i="1"/>
  <c r="M16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<sst xmlns="http://schemas.openxmlformats.org/spreadsheetml/2006/main" count="426" uniqueCount="333">
  <si>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</si>
  <si>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</si>
  <si>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</si>
  <si>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</si>
  <si>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</si>
  <si>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</si>
  <si>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</si>
  <si>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</si>
  <si>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</si>
  <si>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</si>
  <si>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</si>
  <si>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</si>
  <si>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</si>
  <si>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</si>
  <si>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</si>
  <si>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</si>
  <si>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</si>
  <si>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</si>
  <si>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</si>
  <si>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</si>
  <si>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</si>
  <si>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</si>
  <si>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</si>
  <si>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</si>
  <si>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</si>
  <si>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</si>
  <si>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</si>
  <si>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</si>
  <si>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</si>
  <si>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</si>
  <si>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</si>
  <si>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</si>
  <si>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</si>
  <si>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</si>
  <si>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</si>
  <si>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</si>
  <si>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</si>
  <si>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</si>
  <si>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</si>
  <si>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</si>
  <si>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</si>
  <si>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</si>
  <si>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</si>
  <si>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</si>
  <si>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</si>
  <si>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</si>
  <si>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</si>
  <si>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</si>
  <si>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</si>
  <si>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</si>
  <si>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</si>
  <si>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</si>
  <si>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</si>
  <si>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</si>
  <si>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</si>
  <si>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</si>
  <si>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</si>
  <si>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</si>
  <si>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</si>
  <si>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</si>
  <si>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</si>
  <si>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</si>
  <si>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</si>
  <si>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</si>
  <si>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</si>
  <si>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</si>
  <si>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</si>
  <si>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</si>
  <si>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</si>
  <si>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</si>
  <si>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</si>
  <si>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</si>
  <si>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</si>
  <si>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</si>
  <si>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</si>
  <si>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</si>
  <si>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</si>
  <si>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</si>
  <si>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</si>
  <si>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</si>
  <si>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</si>
  <si>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</si>
  <si>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</si>
  <si>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</si>
  <si>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</si>
  <si>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</si>
  <si>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</si>
  <si>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</si>
  <si>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</si>
  <si>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</si>
  <si>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</si>
  <si>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</si>
  <si>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</si>
  <si>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</si>
  <si>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</si>
  <si>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</si>
  <si>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</si>
  <si>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</si>
  <si>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</si>
  <si>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</si>
  <si>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</si>
  <si>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</si>
  <si>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</si>
  <si>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</si>
  <si>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</si>
  <si>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</si>
  <si>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</si>
  <si>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</si>
  <si>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</si>
  <si>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</si>
  <si>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</si>
  <si>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</si>
  <si>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</si>
  <si>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</si>
  <si>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</si>
  <si>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</si>
  <si>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</si>
  <si>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</si>
  <si>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</si>
  <si>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</si>
  <si>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</si>
  <si>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</si>
  <si>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</si>
  <si>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</si>
  <si>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</si>
  <si>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</si>
  <si>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</si>
  <si>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</si>
  <si>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</si>
  <si>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</si>
  <si>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</si>
  <si>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</si>
  <si>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</si>
  <si>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</si>
  <si>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</si>
  <si>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</si>
  <si>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</si>
  <si>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</si>
  <si>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</si>
  <si>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</si>
  <si>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</si>
  <si>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</si>
  <si>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</si>
  <si>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</si>
  <si>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</si>
  <si>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</si>
  <si>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</si>
  <si>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</si>
  <si>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</si>
  <si>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</si>
  <si>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</si>
  <si>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</si>
  <si>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</si>
  <si>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</si>
  <si>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</si>
  <si>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</si>
  <si>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</si>
  <si>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</si>
  <si>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</si>
  <si>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</si>
  <si>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</si>
  <si>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</si>
  <si>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</si>
  <si>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</si>
  <si>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</si>
  <si>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</si>
  <si>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</si>
  <si>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</si>
  <si>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</si>
  <si>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</si>
  <si>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</si>
  <si>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</si>
  <si>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</si>
  <si>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</si>
  <si>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</si>
  <si>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</si>
  <si>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</si>
  <si>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</si>
  <si>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</si>
  <si>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</si>
  <si>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</si>
  <si>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</si>
  <si>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</si>
  <si>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</si>
  <si>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</si>
  <si>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</si>
  <si>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</si>
  <si>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</si>
  <si>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</si>
  <si>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</si>
  <si>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</si>
  <si>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</si>
  <si>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</si>
  <si>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</si>
  <si>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</si>
  <si>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</si>
  <si>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</si>
  <si>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</si>
  <si>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</si>
  <si>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</si>
  <si>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</si>
  <si>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</si>
  <si>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</si>
  <si>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</si>
  <si>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</si>
  <si>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</si>
  <si>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</si>
  <si>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</si>
  <si>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</si>
  <si>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</si>
  <si>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</si>
  <si>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</si>
  <si>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</si>
  <si>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</si>
  <si>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</si>
  <si>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</si>
  <si>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</si>
  <si>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</si>
  <si>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</si>
  <si>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</si>
  <si>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</si>
  <si>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</si>
  <si>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</si>
  <si>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</si>
  <si>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</si>
  <si>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</si>
  <si>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</si>
  <si>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</si>
  <si>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</si>
  <si>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</si>
  <si>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</si>
  <si>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</si>
  <si>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</si>
  <si>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</si>
  <si>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</si>
  <si>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</si>
  <si>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</si>
  <si>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</si>
  <si>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</si>
  <si>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</si>
  <si>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</si>
  <si>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</si>
  <si>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</si>
  <si>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</si>
  <si>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</si>
  <si>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</si>
  <si>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</si>
  <si>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</si>
  <si>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</si>
  <si>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</si>
  <si>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</si>
  <si>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</si>
  <si>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</si>
  <si>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</si>
  <si>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</si>
  <si>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</si>
  <si>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</si>
  <si>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</si>
  <si>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</si>
  <si>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</si>
  <si>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</si>
  <si>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</si>
  <si>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</si>
  <si>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</si>
  <si>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</si>
  <si>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</si>
  <si>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</si>
  <si>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</si>
  <si>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</si>
  <si>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</si>
  <si>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</si>
  <si>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</si>
  <si>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</si>
  <si>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</si>
  <si>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</si>
  <si>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</si>
  <si>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</si>
  <si>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</si>
  <si>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</si>
  <si>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</si>
  <si>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</si>
  <si>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</si>
  <si>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</si>
  <si>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</si>
  <si>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</si>
  <si>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</si>
  <si>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</si>
  <si>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</si>
  <si>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</si>
  <si>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</si>
  <si>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</si>
  <si>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</si>
  <si>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</si>
  <si>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</si>
  <si>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</si>
  <si>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</si>
  <si>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</si>
  <si>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</si>
  <si>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</si>
  <si>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</si>
  <si>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</si>
  <si>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</si>
  <si>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</si>
  <si>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</si>
  <si>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</si>
  <si>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</si>
  <si>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</si>
  <si>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</si>
  <si>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</si>
  <si>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</si>
  <si>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</si>
  <si>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</si>
  <si>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</si>
  <si>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</si>
  <si>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</si>
  <si>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</si>
  <si>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</si>
  <si>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</si>
  <si>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</si>
  <si>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</si>
  <si>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</si>
  <si>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</si>
  <si>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</si>
  <si>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</si>
  <si>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</si>
  <si>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BmpPartList</t>
  </si>
  <si>
    <t>Master.Painting</t>
  </si>
  <si>
    <t>PART_TYPE</t>
  </si>
  <si>
    <t>PART_TYPE_NAME</t>
  </si>
  <si>
    <t>SORTING</t>
  </si>
  <si>
    <t>MstPtsBmpPartType</t>
  </si>
  <si>
    <t>Painting Bumper Part Type</t>
  </si>
  <si>
    <t>IS_BUMPER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</si>
</sst>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opLeftCell="A16" workbookViewId="0">
      <selection activeCell="G36" sqref="G3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vovina.Master.Painting
{
	[Table("MstPtsBmpPartType")]
	[Index(nameof(PartType), Name="IX_MstPtsBmpPartType_PartType")]
	[Index(nameof(ProdLine), Name="IX_MstPtsBmpPartType_ProdLine")]
	[Index(nameof(IsBumper), Name="IX_MstPtsBmpPartType_IsBumper")]
	[Index(nameof(IsActive), Name="IX_MstPtsBmpPartType_IsActive")]	public class MstPtsBmpPartType: FullAuditedEntity&lt;long&gt;, IEntity&lt;long&gt;	
	{
		public const int MaxPartTypeLength = 50;
		public const int MaxPartTypeNameLength = 50;
		public const int MaxProdLineLength = 50;
		public const int MaxIsBumperLength = 1;
		public const int MaxIsActiveLength = 1;
		[StringLength(MaxPartTypeLength)]
		public virtual string PartType { get; set; }
		[StringLength(MaxPartTypeNameLength)]
		public virtual string PartTypeName { get; set; }
		[StringLength(MaxProdLineLength)]
		public virtual string ProdLine { get; set; }
		public virtual long Sorting { get; set; }
		[StringLength(MaxIsBumperLength)]
		public virtual string IsBumper { get; set; }
		[StringLength(MaxIsActiveLength)]
		public virtual string IsActive { get; set; }
	}
}
</v>
      </c>
      <c r="D58" s="51" t="str">
        <f>A.Backend!O7</f>
        <v xml:space="preserve">		public const string Pages_Master_Painting_BmpPartList = "Pages.Master.Painting.BmpPartList";
		public const string Pages_Master_Painting_BmpPartList_CreateEdit = "Pages.Master.Painting.BmpPartList.CreateEdit";
		public const string Pages_Master_Painting_BmpPartList_Delete = "Pages.Master.Painting.BmpPartList.Delete";
</v>
      </c>
      <c r="E58" s="51" t="str">
        <f>A.Backend!N7</f>
        <v xml:space="preserve">		var perMstPtsBmpPartType = PARENTS.CreateChildPermission(AppPermissions.Pages_Master_Painting_BmpPartList, L( "MasterPaintingBmpPartList"), multiTenancySides: MultiTenancySides.Tenant);
		perMstPtsBmpPartType.CreateChildPermission(AppPermissions.Pages_Master_Painting_BmpPartList_CreateEdit, L( "MasterPaintingBmpPartListCreateEdit"), multiTenancySides: MultiTenancySides.Tenant);
		perMstPtsBmpPartType.CreateChildPermission(AppPermissions.Pages_Master_Painting_BmpPartList_Delete, L( "MasterPaintingBmpPartListDelete"), multiTenancySides: MultiTenancySides.Tenant);</v>
      </c>
      <c r="F58" s="51" t="str">
        <f>A.Backend!K7</f>
        <v>public virtual DbSet&lt;MstPtsBmpPartType&gt; MstPtsBmpPartTypes { get; set; }</v>
      </c>
      <c r="G58" s="51" t="str">
        <f ca="1">A.Backend!L7</f>
        <v xml:space="preserve">namespace vovina.Master.Painting
{
	public class MstPtsBmpPartTypeConsts	
	{
		public const int MaxPartTypeLength = 50;
		public const int MaxPartTypeNameLength = 50;
		public const int MaxProdLineLength = 50;
		public const int MaxIsBumperLength = 1;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vovina.Master.Painting.Dto
{
	public class MstPtsBmpPartTypeDto : EntityDto&lt;long?&gt;	
	{
		public virtual string PartType { get; set; }
		public virtual string PartTypeName { get; set; }
		public virtual string ProdLine { get; set; }
		public virtual long Sorting { get; set; }
		public virtual string IsBumper { get; set; }
		public virtual string IsActive { get; set; }
	}
	public class CreateOrEditMstPtsBmpPartTypeDto : EntityDto&lt;long?&gt;	
	{
		[StringLength(MstPtsBmpPartTypeConsts.MaxPartTypeLength)]
		public virtual string PartType { get; set; }
		[StringLength(MstPtsBmpPartTypeConsts.MaxPartTypeNameLength)]
		public virtual string PartTypeName { get; set; }
		[StringLength(MstPtsBmpPartTypeConsts.MaxProdLineLength)]
		public virtual string ProdLine { get; set; }
		public virtual long Sorting { get; set; }
		[StringLength(MstPtsBmpPartTypeConsts.MaxIsBumperLength)]
		public virtual string IsBumper { get; set; }
		[StringLength(MstPtsBmpPartTypeConsts.MaxIsActiveLength)]
		public virtual string IsActive { get; set; }
	}
	public class GetMstPtsBmpPartTypeInput : PagedAndSortedResultRequestDto	
	{
		public virtual string PartType { get; set; }
		public virtual string PartTypeName { get; set; }
		public virtual string ProdLine { get; set; }
		public virtual string IsBumper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vovina.Master.Painting.Dto
{
	public class MstPtsBmpPartTypeExportInput{
		public virtual string PartType { get; set; }
		public virtual string PartTypeName { get; set; }
		public virtual string ProdLine { get; set; }
		public virtual long Sorting { get; set; }
		public virtual string IsBumper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vovina.Master.Painting.Dto;
namespace vovina.Master.Painting
{
	public interface IMstPtsBmpPartTypeAppService : IApplicationService
	{
		Task&lt;PagedResultDto&lt;MstPtsBmpPartTypeDto&gt;&gt; GetAll(GetMstPtsBmpPartTypeInput input);
		Task CreateOrEdit(CreateOrEditMstPtsBmpPartTypeDto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vovina.Master.Painting.Dto;
namespace vovina.Master.Painting.Exporting
{
	public interface IMstPtsBmpPartTypeExcelExporter : IApplicationService
	{
		FileDto ExportToFile(List&lt;MstPtsBmpPartTypeDto&gt; mstptsbmpparttype);
	}
}
</v>
      </c>
      <c r="L58" s="51" t="str">
        <f ca="1">A.Backend!T7</f>
        <v>using System.Collections.Generic;
using vovina.DataExporting.Excel.NPOI;
using vovina.Dto;
using vovina.Master.Painting.Exporting;
using vovina.Master.Painting.Dto;
using vovina.Storage;
using vovina.Master.Painting.Dto;
namespace vovina.Master.Painting.Exporting
{
    public class MstPtsBmpPartTypeExcelExporter : NpoiExcelExporterBase, IMstPtsBmpPartTypeExcelExporter
    {
        public MstPtsBmpPartTypeExcelExporter(ITempFileCacheManager tempFileCacheManager) : base(tempFileCacheManager) { }
        public FileDto ExportToFile(List&lt;MstPtsBmpPartTypeDto&gt; bmppartlist)
        {
            return CreateExcelPackage(
				"MasterPaintingBmpPartList.xlsx",
				excelPackage =&gt;
				 {
					var sheet = excelPackage.CreateSheet("BmpPartList");
					AddHeader(
								sheet,
								("PartType"),
								("PartTypeName"),
								("ProdLine"),
								("Sorting"),
								("IsBumper"),
								("IsActive"),
							   );
					AddObjects(
						 sheet, 1, bmppartlist,                                       
								_ =&gt; _.PartType,
								_ =&gt; _.PartTypeName,
								_ =&gt; _.ProdLine,
								_ =&gt; _.Sorting,
								_ =&gt; _.IsBumper,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vovina.Master.Painting.Dto;
using vovina.Master.Painting.Exporting;
namespace vovina.Master.Painting
{
    [AbpAuthorize(AppPermissions.Pages_Master_Painting_BmpPartList)]
    public class MstPtsBmpPartTypeAppService : vovinaAppServiceBase, IMstPtsBmpPartTypeAppService
    {
        private readonly IDapperRepository&lt;MstPtsBmpPartType, long&gt; _dapperRepo;
        private readonly IRepository&lt;MstPtsBmpPartType, long&gt; _repo;
        private readonly IMstPtsBmpPartTypeExcelExporter _calendarListExcelExporter;
        public MstPtsBmpPartTypeAppService(IRepository&lt;MstPtsBmpPartType,long&gt; repo, 
                                         IDapperRepository&lt;MstPtsBmpPartType,long&gt; dapperRepo,
                                        IMstPtsBmpPartTypeExcelExporter calendarListExcelExporter
            )
        {
            _repo = repo;
            _dapperRepo = dapperRepo;
            _calendarListExcelExporter = calendarListExcelExporter;
        }
        [AbpAuthorize(AppPermissions.Pages_Master_Painting_BmpPartList_CreateEdit)]
        public async Task CreateOrEdit(CreateOrEditMstPtsBmpPartTypeDto input)
        {
            if (input.Id == null) await Create(input);
            else await Update(input);
        }
        //CREATE
        private async Task Create(CreateOrEditMstPtsBmpPartTypeDto input)
        {          
            var mainObj = ObjectMapper.Map&lt;MstPtsBmpPartType&gt;(input);
            await CurrentUnitOfWork.GetDbContext&lt;vovinaDbContext&gt;().AddAsync(mainObj);
        }
        // EDIT
        private async Task Update(CreateOrEditMstPtsBmpPartTypeDto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[AbpAuthorize(AppPermissions.Pages_Master_Painting_BmpPartList_Delete)]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Task&lt;PagedResultDto&lt;MstPtsBmpPartTypeDto&gt;&gt; GetAll(GetMstPtsBmpPartTypeInput input)
        {
            var filtered = _repo.GetAll()
				.WhereIf(!string.IsNullOrWhiteSpace(input.PartType), e =&gt; e.PartType.Contains(input.PartType))
				.WhereIf(!string.IsNullOrWhiteSpace(input.PartTypeName), e =&gt; e.PartTypeName.Contains(input.PartTypeName))
				.WhereIf(!string.IsNullOrWhiteSpace(input.ProdLine), e =&gt; e.ProdLine.Contains(input.ProdLine))
				.WhereIf(!string.IsNullOrWhiteSpace(input.IsBumper), e =&gt; e.IsBumper.Contains(input.IsBumper))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MstPtsBmpPartTypeDto
                        {
							Id = o.Id,
							PartType = o.PartType,
							PartTypeName = o.PartTypeName,
							ProdLine = o.ProdLine,
							Sorting = o.Sorting,
							IsBumper = o.IsBumper,
							IsActive = o.IsActive,
                        };
            var totalCount = await filtered.CountAsync();
			var paged = system.PageBy(input);
            return new PagedResultDto&lt;MstPtsBmpPartTypeDto&gt;(
                totalCount,
                 await paged.ToListAsync()
            );
        }
        public async Task&lt;FileDto&gt; GetBmpPartListToExcel(MstPtsBmpPartTypeExportInput input)
        {
            var query = from o in _repo.GetAll()
                        select new MstPtsBmpPartTypeDto
                        {
							Id = o.Id,
							PartType = o.PartType,
							PartTypeName = o.PartTypeName,
							ProdLine = o.ProdLine,
							Sorting = o.Sorting,
							IsBumper = o.IsBumper,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_dapperRepo.ExecuteAsync(MstPtsBmpPartTypeConsts.SP_MST_WPT_CALENDAR_GENERATE);
       // }
    }
}</v>
      </c>
      <c r="N58" s="62" t="str">
        <f>A.Backend!U7</f>
        <v xml:space="preserve">  configuration.CreateMap&lt;MstPtsBmpPartTypeDto, MstPtsBmpPartType&gt;();
  configuration.CreateMap&lt;MstPtsBmpPartType, MstPtsBmpPartTypeDto&gt;();
  configuration.CreateMap&lt;CreateOrEditMstPtsBmpPartTypeDto, MstPtsBmpPartType&gt;();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bmppartlist</v>
      </c>
      <c r="C63" s="72" t="str">
        <f>"create folder " &amp;B63</f>
        <v>create folder bmppartlist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bmppartlist.component.ts</v>
      </c>
      <c r="D64" s="31" t="str">
        <f>B.Frontend!I14</f>
        <v>bmppartlist.component.html</v>
      </c>
      <c r="E64" s="31" t="str">
        <f>B.Frontend!J14</f>
        <v>bmppartlist.component.less</v>
      </c>
      <c r="F64" s="31" t="str">
        <f>B.Frontend!K14</f>
        <v>create-or-edit-bmppartlist-modal.component.html</v>
      </c>
      <c r="G64" s="31" t="str">
        <f>B.Frontend!L14</f>
        <v>create-or-edit-bmppartlist-modal.component.ts</v>
      </c>
      <c r="H64" s="31" t="str">
        <f>B.Frontend!M14</f>
        <v>create-or-edit-bmppartlist-modal.component.less</v>
      </c>
      <c r="I64" s="31" t="str">
        <f>B.Frontend!N14</f>
        <v>bmppartlist.module.ts</v>
      </c>
      <c r="J64" s="31" t="str">
        <f>B.Frontend!O14</f>
        <v>bmppartlist-routing.module.ts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MstPtsBmpPartTypeDto, MstPtsBmpPartTypeServiceProxy } from '@shared/service-proxies/service-proxies';
import { finalize } from 'rxjs/internal/operators/finalize';
import { CreateOrEditBmpPartListModalComponent } from './create-or-edit-bmppartlist-modal.component';
import { DatePipe } from '@angular/common';
import { FileDownloadService } from '@shared/utils/file-download.service';
import ceil from 'lodash-es/ceil';
import { Paginator } from 'primeng/paginator';
@Component({
    templateUrl: './bmppartlist.component.html',
    styleUrls: ['./bmppartlist.component.less'],
})
export class BmpPartListComponent extends AppComponentBase implements OnInit {
    @ViewChild('createOrEditModalBmpPartList', { static: true }) createOrEditModalBmpPartList:| CreateOrEditBmpPartListModalComponent|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MstPtsBmpPartTypeDto = new MstPtsBmpPartTypeDto();
    saveSelectedRow: MstPtsBmpPartTypeDto = new MstPtsBmpPartTypeDto();
    datas: MstPtsBmpPartTypeDto = new MstPtsBmpPartTypeDto();
    isLoading: boolean = false;
    dataParams: GridParams | undefined;
    rowData: any[] = [];
    gridApi!: GridApi;
    rowSelection = 'multiple';
    filter: string = '';
	pipe = new DatePipe('en-US');
	frameworkComponents: FrameworkComponent;
    	partType : string = '' ; 
	partTypeName : string = '' ; 
	prodLine : string = '' ; 
	isBumper
	sorting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MstPtsBmpPartTypeServiceProxy,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Type'),headerTooltip: this.l('Part Type'),field: 'partType',flex: 1},
			{headerName: this.l('Part Type Name'),headerTooltip: this.l('Part Type Name'),field: 'partTypeName',flex: 1},
			{headerName: this.l('Prod Line'),headerTooltip: this.l('Prod Line'),field: 'prodLine',flex: 1},
			{headerName: this.l('Is Bumper'),headerTooltip: this.l('Is Bumper'),field: 'isBumper',flex: 1},
			{headerName: this.l('Sorting'),headerTooltip: this.l('Sorting'),field:  'sorting', cellClass: ['text-center'], width: 120, cellRenderer: 'agCellButtonComponent',
buttonDefTwo: { text: params =&gt; (params.data?.'sorting' == 'Y') ? 'Active' : 'Inactive',iconName: 'fa fa-circle',className: params =&gt; (params.data?.'sorting'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this.partType,
			this.partTypeName,
			this.prodLine,
			this.isBumper,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this.partType = '',
		this.partTypeName = '',
		this.prodLine = '',
		this.isBumper = '',
		this.sorting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this.partType,
			this.partTypeName,
			this.prodLine,
			this.isBumper,
			this.sorting,
			this.isActive,
			'',
            this.paginationParams.skipCount,
            this.paginationParams.pageSize
        );
    }
    onChangeRowSelection(params: { api: { getSelectedRows: () =&gt; MstPtsBmpPartTypeDto[] } }) {
        this.saveSelectedRow = params.api.getSelectedRows()[0] ?? new MstPtsBmpPartTypeDto();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MstPtsBmpPartTypeDto):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this._service.getBmpPartListToExcel(
			this.partType,
			this.partTypeName,
			this.prodLine,
			this.isBumper,
			this.sorting,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Bumper Part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[(ngModel)]='partTypeName' name='partTypeName'
									class='form-control' [placeholder]="l('Part Type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[(ngModel)]='sorting' name='sorting'
									class='form-control' [placeholder]="l('Sorting')"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(click)="createOrEditModalBmpPartList.show()"&gt;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(click)="createOrEditModalBmpPartList.show(selectedRow)"&gt;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&lt;create-or-edit-bmppartlist-modal
    #createOrEditModalBmpPartList
    (modalSave)="callBackDataGrid(dataParams)"
    (modalClose)="onChangeRowSelection(dataParams)"
&gt;
&lt;/create-or-edit-bmppartlist-modal&gt;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#createOrEditModalBmpPartList="bs-modal"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BmpPartList')}}&lt;/h3&gt;
                    &lt;h3 *ngIf="!rowdata.id"&gt;{{('Create New BmpPartList')}}&lt;/h3&gt;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title'&gt;Part Type Name&lt;/label&gt;
						&lt;input type='text' class='col-md-10 form-control input-text' name='PartTypeName' [(ngModel)]='rowdata.partTypeName'&gt;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title'&gt;Sorting&lt;/label&gt;
						&lt;new-checkbox [(ngModel)]='_sorting' name='sorting'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CreateOrEditMstPtsBmpPartTypeDto, MstPtsBmpPartTypeServiceProxy } from '@shared/service-proxies/service-proxies';
import { BsDatepickerDirective } from 'ngx-bootstrap/datepicker';
@Component({
    selector: 'create-or-edit-bmppartlist-modal',
    templateUrl: './create-or-edit-bmppartlist-modal.component.html',
    styleUrls: ['./create-or-edit-bmppartlist-modal.component.less']
    })
export class CreateOrEditBmpPartListModalComponent extends AppComponentBase {
    @ViewChild('createOrEditModalBmpPartList',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CreateOrEditMstPtsBmpPartTypeDto = new CreateOrEditMstPtsBmpPartTypeDto();
    active: boolean = false;
    saving: boolean = false;
    _sorting
isActive: boolean;
    constructor(
        injector: Injector,
        private _mstwptBmpPartListService: MstPtsBmpPartTypeServiceProxy,
    ) 
    {
        super(injector);
    }
    show(rowdata?: CreateOrEditMstPtsBmpPartTypeDto): void {
        if (!rowdata) this.rowdata = new CreateOrEditMstPtsBmpPartTypeDto();
        else this.rowdata = rowdata;
        this._sorting
isActive = (this.rowdata.sorting
isActive == "N")? false: true;
        this.active = true;
        this.modal.show();
    } 
    changeActive(event){
        this._sorting
isActive = event.target.checked;
    }
    save(): void {
    this.saving = true; 
    this.rowdata.sorting
isActive = (this._sorting
isActive == true) ? 'Y' : 'N'
    this._mstwptBmpPartListService.createOrEdit(this.rowdata)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BmpPartListRoutingModule } from './bmppartlist-routing.module';
import { BmpPartListComponent } from './bmppartlist.component';
import { CreateOrEditBmpPartListModalComponent } from './create-or-edit-bmppartlist-modal.component';
@NgModule({
    declarations: [
       BmpPartListComponent, 
        CreateOrEditBmpPartListModalComponent
    ],
    imports: [
        AppSharedModule, BmpPartListRoutingModule]
})
export class BmpPartListModule {}</v>
      </c>
      <c r="J65" s="49" t="str">
        <f>B.Frontend!O10</f>
        <v>import {NgModule} from '@angular/core';
import {RouterModule, Routes} from '@angular/router';
import { BmpPartListComponent } from './bmppartlist.component';
const routes: Routes = [{
    path: '',
    component: BmpPartListComponent,
    pathMatch: 'full'
}];
@NgModule({
    imports: [RouterModule.forChild(routes)],
    exports: [RouterModule],
})
export class BmpPartListRoutingModule {}</v>
      </c>
      <c r="K65" s="49" t="str">
        <f>B.Frontend!P10</f>
        <v xml:space="preserve"> new AppMenuItem("BmpPartList", "Pages.Master.Painting.BmpPartList", "flaticon-book",   "/app/main/master/painting/bmppartlist"),</v>
      </c>
      <c r="L65" s="50" t="str">
        <f>B.Frontend!Q10</f>
        <v>{
    path: 'master/painting/bmppartlist',
    loadChildren: () =&gt; import('./master/painting/bmppartlist/bmppartlist.module').then(m =&gt; m.BmpPartListModule),
    data: { permission: 'Pages.Master.Painting.BmpPartList' }
},</v>
      </c>
      <c r="M65" s="48" t="str">
        <f>B.Frontend!R10</f>
        <v>ApiServiceProxies.MstPtsBmpPartTypeServiceProxy,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workbookViewId="0">
      <pane xSplit="1" topLeftCell="B1" activePane="topRight" state="frozen"/>
      <selection pane="topRight" activeCell="A13" sqref="A1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vovina.Master.Painting.Dto;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330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Painting</v>
      </c>
      <c r="R3" s="32" t="str">
        <f>REPT(CHAR(9),1)&amp;"public class "&amp;B3&amp;"ExportInput"&amp;C3</f>
        <v xml:space="preserve">	public class MstPtsBmpPartTypeExportInput{
</v>
      </c>
      <c r="S3" s="11" t="str">
        <f>"namespace "&amp;$B$6&amp;".Exporting
"&amp;$C$3</f>
        <v xml:space="preserve">namespace vovina.Master.Painting.Exporting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vovina.Master.Painting</v>
      </c>
      <c r="C6" s="11" t="str">
        <f>"namespace "&amp;$B$6&amp;"
"&amp;$C$3</f>
        <v xml:space="preserve">namespace vovina.Master.Painting
{
</v>
      </c>
      <c r="D6" s="11" t="str">
        <f>REPT(CHAR(9),1)&amp;"public class "&amp;B3&amp;G3&amp;REPT(CHAR(9),1)&amp;"
"&amp;REPT(CHAR(9),1)&amp;C3</f>
        <v xml:space="preserve">	public class MstPtsBmpPartType: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MstPtsBmpPartTypeConsts	
	{
</v>
      </c>
      <c r="F6" s="11" t="str">
        <f>REPT(CHAR(9),1)&amp;"public class "&amp;B3&amp;"Dto"&amp;K3&amp;REPT(CHAR(9),1)&amp;"
"&amp;REPT(CHAR(9),1)&amp;C3</f>
        <v xml:space="preserve">	public class MstPtsBmpPartTypeDto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CreateOrEditMstPtsBmpPartTypeDto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GetMstPtsBmpPartTypeInput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MstPtsBmpPartType</v>
      </c>
      <c r="C7" s="11" t="str">
        <f>REPT(CHAR(9),1)&amp;"[Table("""&amp;B7&amp;""")]"&amp;"
"</f>
        <v xml:space="preserve">	[Table("MstPtsBmpPartType")]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vovina.Master.Painting
{
	[Table("MstPtsBmpPartType")]
	[Index(nameof(PartType), Name="IX_MstPtsBmpPartType_PartType")]
	[Index(nameof(ProdLine), Name="IX_MstPtsBmpPartType_ProdLine")]
	[Index(nameof(IsBumper), Name="IX_MstPtsBmpPartType_IsBumper")]
	[Index(nameof(IsActive), Name="IX_MstPtsBmpPartType_IsActive")]	public class MstPtsBmpPartType: FullAuditedEntity&lt;long&gt;, IEntity&lt;long&gt;	
	{
		public const int MaxPartTypeLength = 50;
		public const int MaxPartTypeNameLength = 50;
		public const int MaxProdLineLength = 50;
		public const int MaxIsBumperLength = 1;
		public const int MaxIsActiveLength = 1;
		[StringLength(MaxPartTypeLength)]
		public virtual string PartType { get; set; }
		[StringLength(MaxPartTypeNameLength)]
		public virtual string PartTypeName { get; set; }
		[StringLength(MaxProdLineLength)]
		public virtual string ProdLine { get; set; }
		public virtual long Sorting { get; set; }
		[StringLength(MaxIsBumperLength)]
		public virtual string IsBumper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DbSet&lt;MstPtsBmpPartType&gt; MstPtsBmpPartTypes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vovina.Master.Painting
{
	public class MstPtsBmpPartTypeConsts	
	{
		public const int MaxPartTypeLength = 50;
		public const int MaxPartTypeNameLength = 50;
		public const int MaxProdLineLength = 50;
		public const int MaxIsBumperLength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vovina.Master.Painting.Dto
{
	public class MstPtsBmpPartTypeDto : EntityDto&lt;long?&gt;	
	{
		public virtual string PartType { get; set; }
		public virtual string PartTypeName { get; set; }
		public virtual string ProdLine { get; set; }
		public virtual long Sorting { get; set; }
		public virtual string IsBumper { get; set; }
		public virtual string IsActive { get; set; }
	}
	public class CreateOrEditMstPtsBmpPartTypeDto : EntityDto&lt;long?&gt;	
	{
		[StringLength(MstPtsBmpPartTypeConsts.MaxPartTypeLength)]
		public virtual string PartType { get; set; }
		[StringLength(MstPtsBmpPartTypeConsts.MaxPartTypeNameLength)]
		public virtual string PartTypeName { get; set; }
		[StringLength(MstPtsBmpPartTypeConsts.MaxProdLineLength)]
		public virtual string ProdLine { get; set; }
		public virtual long Sorting { get; set; }
		[StringLength(MstPtsBmpPartTypeConsts.MaxIsBumperLength)]
		public virtual string IsBumper { get; set; }
		[StringLength(MstPtsBmpPartTypeConsts.MaxIsActiveLength)]
		public virtual string IsActive { get; set; }
	}
	public class GetMstPtsBmpPartTypeInput : PagedAndSortedResultRequestDto	
	{
		public virtual string PartType { get; set; }
		public virtual string PartTypeName { get; set; }
		public virtual string ProdLine { get; set; }
		public virtual string IsBumper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perMstPtsBmpPartType = PARENTS.CreateChildPermission(AppPermissions.Pages_Master_Painting_BmpPartList, L( "MasterPaintingBmpPartList"), multiTenancySides: MultiTenancySides.Tenant);
		perMstPtsBmpPartType.CreateChildPermission(AppPermissions.Pages_Master_Painting_BmpPartList_CreateEdit, L( "MasterPaintingBmpPartListCreateEdit"), multiTenancySides: MultiTenancySides.Tenant);
		perMstPtsBmpPartType.CreateChildPermission(AppPermissions.Pages_Master_Painting_BmpPartList_Delete, L( "MasterPaintingBmpPartListDelete"),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Pages_Master_Painting_BmpPartList = "Pages.Master.Painting.BmpPartList";
		public const string Pages_Master_Painting_BmpPartList_CreateEdit = "Pages.Master.Painting.BmpPartList.CreateEdit";
		public const string Pages_Master_Painting_BmpPartList_Delete = "Pages.Master.Painting.BmpPartList.Delete";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vovina.Master.Painting.Dto;
namespace vovina.Master.Painting
{
	public interface IMstPtsBmpPartTypeAppService : IApplicationService
	{
		Task&lt;PagedResultDto&lt;MstPtsBmpPartTypeDto&gt;&gt; GetAll(GetMstPtsBmpPartTypeInput input);
		Task CreateOrEdit(CreateOrEditMstPtsBmpPartTypeDto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vovina.Master.Painting.Dto;
using vovina.Master.Painting.Exporting;
namespace vovina.Master.Painting
{
    [AbpAuthorize(AppPermissions.Pages_Master_Painting_BmpPartList)]
    public class MstPtsBmpPartTypeAppService : vovinaAppServiceBase, IMstPtsBmpPartTypeAppService
    {
        private readonly IDapperRepository&lt;MstPtsBmpPartType, long&gt; _dapperRepo;
        private readonly IRepository&lt;MstPtsBmpPartType, long&gt; _repo;
        private readonly IMstPtsBmpPartTypeExcelExporter _calendarListExcelExporter;
        public MstPtsBmpPartTypeAppService(IRepository&lt;MstPtsBmpPartType,long&gt; repo, 
                                         IDapperRepository&lt;MstPtsBmpPartType,long&gt; dapperRepo,
                                        IMstPtsBmpPartTypeExcelExporter calendarListExcelExporter
            )
        {
            _repo = repo;
            _dapperRepo = dapperRepo;
            _calendarListExcelExporter = calendarListExcelExporter;
        }
        [AbpAuthorize(AppPermissions.Pages_Master_Painting_BmpPartList_CreateEdit)]
        public async Task CreateOrEdit(CreateOrEditMstPtsBmpPartTypeDto input)
        {
            if (input.Id == null) await Create(input);
            else await Update(input);
        }
        //CREATE
        private async Task Create(CreateOrEditMstPtsBmpPartTypeDto input)
        {          
            var mainObj = ObjectMapper.Map&lt;MstPtsBmpPartType&gt;(input);
            await CurrentUnitOfWork.GetDbContext&lt;vovinaDbContext&gt;().AddAsync(mainObj);
        }
        // EDIT
        private async Task Update(CreateOrEditMstPtsBmpPartTypeDto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[AbpAuthorize(AppPermissions.Pages_Master_Painting_BmpPartList_Delete)]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Task&lt;PagedResultDto&lt;MstPtsBmpPartTypeDto&gt;&gt; GetAll(GetMstPtsBmpPartTypeInput input)
        {
            var filtered = _repo.GetAll()
				.WhereIf(!string.IsNullOrWhiteSpace(input.PartType), e =&gt; e.PartType.Contains(input.PartType))
				.WhereIf(!string.IsNullOrWhiteSpace(input.PartTypeName), e =&gt; e.PartTypeName.Contains(input.PartTypeName))
				.WhereIf(!string.IsNullOrWhiteSpace(input.ProdLine), e =&gt; e.ProdLine.Contains(input.ProdLine))
				.WhereIf(!string.IsNullOrWhiteSpace(input.IsBumper), e =&gt; e.IsBumper.Contains(input.IsBumper))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MstPtsBmpPartTypeDto
                        {
							Id = o.Id,
							PartType = o.PartType,
							PartTypeName = o.PartTypeName,
							ProdLine = o.ProdLine,
							Sorting = o.Sorting,
							IsBumper = o.IsBumper,
							IsActive = o.IsActive,
                        };
            var totalCount = await filtered.CountAsync();
			var paged = system.PageBy(input);
            return new PagedResultDto&lt;MstPtsBmpPartTypeDto&gt;(
                totalCount,
                 await paged.ToListAsync()
            );
        }
        public async Task&lt;FileDto&gt; GetBmpPartListToExcel(MstPtsBmpPartTypeExportInput input)
        {
            var query = from o in _repo.GetAll()
                        select new MstPtsBmpPartTypeDto
                        {
							Id = o.Id,
							PartType = o.PartType,
							PartTypeName = o.PartTypeName,
							ProdLine = o.ProdLine,
							Sorting = o.Sorting,
							IsBumper = o.IsBumper,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_dapperRepo.ExecuteAsync(MstPtsBmpPartTypeConsts.SP_MST_WPT_CALENDAR_GENERATE);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vovina.Master.Painting.Dto
{
	public class MstPtsBmpPartTypeExportInput{
		public virtual string PartType { get; set; }
		public virtual string PartTypeName { get; set; }
		public virtual string ProdLine { get; set; }
		public virtual long Sorting { get; set; }
		public virtual string IsBumper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vovina.Master.Painting.Dto;
namespace vovina.Master.Painting.Exporting
{
	public interface IMstPtsBmpPartTypeExcelExporter : IApplicationService
	{
		FileDto ExportToFile(List&lt;MstPtsBmpPartTypeDto&gt; mstptsbmpparttype);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vovina.Master.Painting.Exporting;
using vovina.Master.Painting.Dto;
using vovina.Storage;
using vovina.Master.Painting.Dto;
namespace vovina.Master.Painting.Exporting
{
    public class MstPtsBmpPartTypeExcelExporter : NpoiExcelExporterBase, IMstPtsBmpPartTypeExcelExporter
    {
        public MstPtsBmpPartTypeExcelExporter(ITempFileCacheManager tempFileCacheManager) : base(tempFileCacheManager) { }
        public FileDto ExportToFile(List&lt;MstPtsBmpPartTypeDto&gt; bmppartlist)
        {
            return CreateExcelPackage(
				"MasterPaintingBmpPartList.xlsx",
				excelPackage =&gt;
				 {
					var sheet = excelPackage.CreateSheet("BmpPartList");
					AddHeader(
								sheet,
								("PartType"),
								("PartTypeName"),
								("ProdLine"),
								("Sorting"),
								("IsBumper"),
								("IsActive"),
							   );
					AddObjects(
						 sheet, 1, bmppartlist,                                       
								_ =&gt; _.PartType,
								_ =&gt; _.PartTypeName,
								_ =&gt; _.ProdLine,
								_ =&gt; _.Sorting,
								_ =&gt; _.IsBumper,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configuration.CreateMap&lt;MstPtsBmpPartTypeDto, MstPtsBmpPartType&gt;();
  configuration.CreateMap&lt;MstPtsBmpPartType, MstPtsBmpPartTypeDto&gt;();
  configuration.CreateMap&lt;CreateOrEditMstPtsBmpPartTypeDto, MstPtsBmpPartType&gt;();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327</v>
      </c>
      <c r="B9" t="s">
        <v>321</v>
      </c>
      <c r="C9" t="s">
        <v>1</v>
      </c>
      <c r="D9" t="str">
        <f>SUBSTITUTE(PROPER(A9),"_","")</f>
        <v>PartType</v>
      </c>
      <c r="E9" t="str">
        <f t="shared" ref="E9:E14" si="0">IFERROR(LEFT(B9, FIND("(",B9)-1),B9)</f>
        <v>varchar</v>
      </c>
      <c r="F9" s="7"/>
      <c r="G9" t="str">
        <f t="shared" ref="G9:G14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4" si="2">IF(H9="string",REPT(CHAR(9),2)&amp;"public const int Max"&amp;D9&amp;"Length = "&amp;G9&amp;";"&amp;$E$3,"" )</f>
        <v xml:space="preserve">		public const int MaxPartTypeLength = 50;
</v>
      </c>
      <c r="J9" t="str">
        <f t="shared" ref="J9:J14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[StringLength(MaxPartTypeLength)]
		public virtual string PartType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[Index(nameof(PartType), Name="IX_MstPtsBmpPartType_PartType")]</v>
      </c>
      <c r="M9" t="str">
        <f t="shared" ref="M9:M14" si="4">REPT(CHAR(9),2)&amp;"public virtual "&amp;IF(OR(H9="DateTime",H9="TimeSpan"),H9&amp;"?",H9)&amp;IF(C9="?","? "," ")&amp;D9&amp;" { get; set; }" &amp; "
"</f>
        <v xml:space="preserve">		public virtual string PartType { get; set; }
</v>
      </c>
      <c r="N9" t="str">
        <f t="shared" ref="N9:N14" si="5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[StringLength(MstPtsBmpPartTypeConsts.MaxPartTypeLength)]
		public virtual string PartType { get; set; }
</v>
      </c>
      <c r="O9" t="str">
        <f t="shared" ref="O9:O14" si="6">IF(OR(H9="string",H9="DateTime",H9="int"),REPT(CHAR(9),2)&amp;"public virtual "&amp;IF(OR(H9="DateTime",H9="TimeSpan"),H9&amp;"?",H9)&amp;IF(C9="?","? "," ")&amp;D9&amp;" { get; set; }"&amp;$E$3,"")</f>
        <v xml:space="preserve">		public virtual string PartType { get; set; }
</v>
      </c>
      <c r="P9" t="str">
        <f t="shared" ref="P9:P14" si="7">REPT(CHAR(9),7)&amp;D9&amp;" = o." &amp;D9 &amp;","</f>
        <v xml:space="preserve">							PartType = o.PartType,</v>
      </c>
      <c r="T9" s="69" t="str">
        <f t="shared" ref="T9:T14" si="8">REPT(CHAR(9),8)&amp;"("""&amp;D9&amp;"""),"</f>
        <v xml:space="preserve">								("PartType"),</v>
      </c>
      <c r="V9" s="70" t="str">
        <f t="shared" ref="V9:V14" si="9">REPT(CHAR(9),8)&amp;"_ =&gt; _."&amp;D9&amp;","</f>
        <v xml:space="preserve">								_ =&gt; _.PartType,</v>
      </c>
      <c r="W9" s="69" t="str">
        <f t="shared" ref="W9:W14" si="10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.WhereIf(!string.IsNullOrWhiteSpace(input.PartType), e =&gt; e.PartType.Contains(input.PartType))</v>
      </c>
    </row>
    <row r="10" spans="1:23" customFormat="1" ht="18.75" customHeight="1" x14ac:dyDescent="0.25">
      <c r="A10" t="s">
        <v>328</v>
      </c>
      <c r="B10" t="s">
        <v>321</v>
      </c>
      <c r="C10" t="s">
        <v>1</v>
      </c>
      <c r="D10" t="str">
        <f t="shared" ref="D10" si="11">SUBSTITUTE(PROPER(A10),"_","")</f>
        <v>PartTypeName</v>
      </c>
      <c r="E10" t="str">
        <f t="shared" ref="E10" si="12">IFERROR(LEFT(B10, FIND("(",B10)-1),B10)</f>
        <v>varchar</v>
      </c>
      <c r="F10" s="7"/>
      <c r="G10" t="str">
        <f t="shared" ref="G10" si="13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4">IF(H10="string",REPT(CHAR(9),2)&amp;"public const int Max"&amp;D10&amp;"Length = "&amp;G10&amp;";"&amp;$E$3,"" )</f>
        <v xml:space="preserve">		public const int MaxPartTypeNameLength = 50;
</v>
      </c>
      <c r="J10" t="str">
        <f t="shared" ref="J10" si="15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[StringLength(MaxPartTypeNameLength)]
		public virtual string PartTypeName { get; set; }
</v>
      </c>
      <c r="K10" s="7"/>
      <c r="L10" t="str">
        <f t="shared" ref="L10" si="16">IF(K10="","",REPT(CHAR(9),1)&amp;"[Index(nameof("&amp;IF(D10="","",""&amp;D10)&amp;")"&amp;", Name="&amp;"""IX_"&amp;$B$7&amp;"_"&amp;D10&amp;""")]")</f>
        <v/>
      </c>
      <c r="M10" t="str">
        <f t="shared" ref="M10" si="17">REPT(CHAR(9),2)&amp;"public virtual "&amp;IF(OR(H10="DateTime",H10="TimeSpan"),H10&amp;"?",H10)&amp;IF(C10="?","? "," ")&amp;D10&amp;" { get; set; }" &amp; "
"</f>
        <v xml:space="preserve">		public virtual string PartTypeName { get; set; }
</v>
      </c>
      <c r="N10" t="str">
        <f t="shared" ref="N10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[StringLength(MstPtsBmpPartTypeConsts.MaxPartTypeNameLength)]
		public virtual string PartTypeName { get; set; }
</v>
      </c>
      <c r="O10" t="str">
        <f t="shared" ref="O10" si="19">IF(OR(H10="string",H10="DateTime",H10="int"),REPT(CHAR(9),2)&amp;"public virtual "&amp;IF(OR(H10="DateTime",H10="TimeSpan"),H10&amp;"?",H10)&amp;IF(C10="?","? "," ")&amp;D10&amp;" { get; set; }"&amp;$E$3,"")</f>
        <v xml:space="preserve">		public virtual string PartTypeName { get; set; }
</v>
      </c>
      <c r="P10" t="str">
        <f t="shared" ref="P10" si="20">REPT(CHAR(9),7)&amp;D10&amp;" = o." &amp;D10 &amp;","</f>
        <v xml:space="preserve">							PartTypeName = o.PartTypeName,</v>
      </c>
      <c r="T10" s="69" t="str">
        <f t="shared" ref="T10" si="21">REPT(CHAR(9),8)&amp;"("""&amp;D10&amp;"""),"</f>
        <v xml:space="preserve">								("PartTypeName"),</v>
      </c>
      <c r="V10" s="70" t="str">
        <f t="shared" ref="V10" si="22">REPT(CHAR(9),8)&amp;"_ =&gt; _."&amp;D10&amp;","</f>
        <v xml:space="preserve">								_ =&gt; _.PartTypeName,</v>
      </c>
      <c r="W10" s="69" t="str">
        <f t="shared" ref="W10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.WhereIf(!string.IsNullOrWhiteSpace(input.PartTypeName), e =&gt; e.PartTypeName.Contains(input.PartTypeName))</v>
      </c>
    </row>
    <row r="11" spans="1:23" customFormat="1" ht="18.75" customHeight="1" x14ac:dyDescent="0.25">
      <c r="A11" t="s">
        <v>322</v>
      </c>
      <c r="B11" t="s">
        <v>321</v>
      </c>
      <c r="C11" t="s">
        <v>1</v>
      </c>
      <c r="D11" t="str">
        <f t="shared" ref="D11" si="24">SUBSTITUTE(PROPER(A11),"_","")</f>
        <v>ProdLine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MaxProdLineLength = 50;
</v>
      </c>
      <c r="J11" t="str">
        <f t="shared" si="3"/>
        <v xml:space="preserve">		[StringLength(MaxProdLineLength)]
		public virtual string ProdLine { get; set; }
</v>
      </c>
      <c r="K11" s="7" t="s">
        <v>206</v>
      </c>
      <c r="L11" t="str">
        <f t="shared" ref="L11" si="25">IF(K11="","",REPT(CHAR(9),1)&amp;"[Index(nameof("&amp;IF(D11="","",""&amp;D11)&amp;")"&amp;", Name="&amp;"""IX_"&amp;$B$7&amp;"_"&amp;D11&amp;""")]")</f>
        <v xml:space="preserve">	[Index(nameof(ProdLine), Name="IX_MstPtsBmpPartType_ProdLine")]</v>
      </c>
      <c r="M11" t="str">
        <f t="shared" si="4"/>
        <v xml:space="preserve">		public virtual string ProdLine { get; set; }
</v>
      </c>
      <c r="N11" t="str">
        <f t="shared" si="5"/>
        <v xml:space="preserve">		[StringLength(MstPtsBmpPartTypeConsts.MaxProdLineLength)]
		public virtual string ProdLine { get; set; }
</v>
      </c>
      <c r="O11" t="str">
        <f t="shared" si="6"/>
        <v xml:space="preserve">		public virtual string ProdLine { get; set; }
</v>
      </c>
      <c r="P11" t="str">
        <f t="shared" si="7"/>
        <v xml:space="preserve">							ProdLine = o.ProdLine,</v>
      </c>
      <c r="T11" s="69" t="str">
        <f t="shared" si="8"/>
        <v xml:space="preserve">								("ProdLine"),</v>
      </c>
      <c r="V11" s="70" t="str">
        <f t="shared" si="9"/>
        <v xml:space="preserve">								_ =&gt; _.ProdLine,</v>
      </c>
      <c r="W11" s="69" t="str">
        <f t="shared" si="10"/>
        <v xml:space="preserve">				.WhereIf(!string.IsNullOrWhiteSpace(input.ProdLine), e =&gt; e.ProdLine.Contains(input.ProdLine))</v>
      </c>
    </row>
    <row r="12" spans="1:23" customFormat="1" ht="18.75" customHeight="1" x14ac:dyDescent="0.25">
      <c r="A12" t="s">
        <v>329</v>
      </c>
      <c r="B12" t="s">
        <v>0</v>
      </c>
      <c r="C12" t="s">
        <v>1</v>
      </c>
      <c r="D12" t="str">
        <f t="shared" ref="D12" si="26">SUBSTITUTE(PROPER(A12),"_","")</f>
        <v>Sorting</v>
      </c>
      <c r="E12" t="str">
        <f t="shared" ref="E12:E13" si="27">IFERROR(LEFT(B12, FIND("(",B12)-1),B12)</f>
        <v>bigint</v>
      </c>
      <c r="F12" s="7"/>
      <c r="G12" t="str">
        <f t="shared" ref="G12:G13" si="28">IFERROR(MID(B12,FIND("(",B12) +1, FIND(")",B12) - FIND("(",B12) - 1),"")</f>
        <v/>
      </c>
      <c r="H12" t="str">
        <f>+VLOOKUP(E12,'Data Type Mapping'!A:B,2,)</f>
        <v>long</v>
      </c>
      <c r="I12" t="str">
        <f t="shared" ref="I12:I13" si="29">IF(H12="string",REPT(CHAR(9),2)&amp;"public const int Max"&amp;D12&amp;"Length = "&amp;G12&amp;";"&amp;$E$3,"" )</f>
        <v/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long Sorting { get; set; }
</v>
      </c>
      <c r="K12" s="7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long Sorting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long Sorting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3" si="35">REPT(CHAR(9),7)&amp;D12&amp;" = o." &amp;D12 &amp;","</f>
        <v xml:space="preserve">							Sorting = o.Sorting,</v>
      </c>
      <c r="T12" s="69" t="str">
        <f t="shared" ref="T12:T13" si="36">REPT(CHAR(9),8)&amp;"("""&amp;D12&amp;"""),"</f>
        <v xml:space="preserve">								("Sorting"),</v>
      </c>
      <c r="V12" s="70" t="str">
        <f t="shared" ref="V12:V13" si="37">REPT(CHAR(9),8)&amp;"_ =&gt; _."&amp;D12&amp;","</f>
        <v xml:space="preserve">								_ =&gt; _.Sorting,</v>
      </c>
      <c r="W12" s="69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22.5" customHeight="1" x14ac:dyDescent="0.25">
      <c r="A13" t="s">
        <v>332</v>
      </c>
      <c r="B13" t="s">
        <v>324</v>
      </c>
      <c r="C13" t="s">
        <v>1</v>
      </c>
      <c r="D13" t="str">
        <f>SUBSTITUTE(PROPER(A13),"_","")</f>
        <v>IsBumper</v>
      </c>
      <c r="E13" t="str">
        <f t="shared" si="27"/>
        <v>varchar</v>
      </c>
      <c r="F13" s="7"/>
      <c r="G13" t="str">
        <f t="shared" si="28"/>
        <v>1</v>
      </c>
      <c r="H13" t="str">
        <f>+VLOOKUP(E13,'Data Type Mapping'!A:B,2,)</f>
        <v>string</v>
      </c>
      <c r="I13" t="str">
        <f t="shared" si="29"/>
        <v xml:space="preserve">		public const int MaxIsBumperLength = 1;
</v>
      </c>
      <c r="J13" t="str">
        <f t="shared" si="30"/>
        <v xml:space="preserve">		[StringLength(MaxIsBumperLength)]
		public virtual string IsBumper { get; set; }
</v>
      </c>
      <c r="K13" s="7" t="s">
        <v>206</v>
      </c>
      <c r="L13" t="str">
        <f>IF(K13="","",REPT(CHAR(9),1)&amp;"[Index(nameof("&amp;IF(D13="","",""&amp;D13)&amp;")"&amp;", Name="&amp;"""IX_"&amp;$B$7&amp;"_"&amp;D13&amp;""")]")</f>
        <v xml:space="preserve">	[Index(nameof(IsBumper), Name="IX_MstPtsBmpPartType_IsBumper")]</v>
      </c>
      <c r="M13" t="str">
        <f t="shared" si="32"/>
        <v xml:space="preserve">		public virtual string IsBumper { get; set; }
</v>
      </c>
      <c r="N13" t="str">
        <f t="shared" si="33"/>
        <v xml:space="preserve">		[StringLength(MstPtsBmpPartTypeConsts.MaxIsBumperLength)]
		public virtual string IsBumper { get; set; }
</v>
      </c>
      <c r="O13" t="str">
        <f t="shared" si="34"/>
        <v xml:space="preserve">		public virtual string IsBumper { get; set; }
</v>
      </c>
      <c r="P13" t="str">
        <f t="shared" si="35"/>
        <v xml:space="preserve">							IsBumper = o.IsBumper,</v>
      </c>
      <c r="T13" s="69" t="str">
        <f t="shared" si="36"/>
        <v xml:space="preserve">								("IsBumper"),</v>
      </c>
      <c r="V13" s="70" t="str">
        <f t="shared" si="37"/>
        <v xml:space="preserve">								_ =&gt; _.IsBumper,</v>
      </c>
      <c r="W13" s="69" t="str">
        <f t="shared" si="38"/>
        <v xml:space="preserve">				.WhereIf(!string.IsNullOrWhiteSpace(input.IsBumper), e =&gt; e.IsBumper.Contains(input.IsBumper))</v>
      </c>
    </row>
    <row r="14" spans="1:23" customFormat="1" ht="22.5" customHeight="1" x14ac:dyDescent="0.25">
      <c r="A14" t="s">
        <v>323</v>
      </c>
      <c r="B14" t="s">
        <v>324</v>
      </c>
      <c r="C14" t="s">
        <v>1</v>
      </c>
      <c r="D14" t="str">
        <f>SUBSTITUTE(PROPER(A14),"_","")</f>
        <v>IsActive</v>
      </c>
      <c r="E14" t="str">
        <f t="shared" si="0"/>
        <v>varchar</v>
      </c>
      <c r="F14" s="7"/>
      <c r="G14" t="str">
        <f t="shared" si="1"/>
        <v>1</v>
      </c>
      <c r="H14" t="str">
        <f>+VLOOKUP(E14,'Data Type Mapping'!A:B,2,)</f>
        <v>string</v>
      </c>
      <c r="I14" t="str">
        <f t="shared" si="2"/>
        <v xml:space="preserve">		public const int MaxIsActiveLength = 1;
</v>
      </c>
      <c r="J14" t="str">
        <f t="shared" si="3"/>
        <v xml:space="preserve">		[StringLength(MaxIsActiveLength)]
		public virtual string IsActive { get; set; }
</v>
      </c>
      <c r="K14" s="7" t="s">
        <v>206</v>
      </c>
      <c r="L14" t="str">
        <f>IF(K14="","",REPT(CHAR(9),1)&amp;"[Index(nameof("&amp;IF(D14="","",""&amp;D14)&amp;")"&amp;", Name="&amp;"""IX_"&amp;$B$7&amp;"_"&amp;D14&amp;""")]")</f>
        <v xml:space="preserve">	[Index(nameof(IsActive), Name="IX_MstPtsBmpPartType_IsActive")]</v>
      </c>
      <c r="M14" t="str">
        <f t="shared" si="4"/>
        <v xml:space="preserve">		public virtual string IsActive { get; set; }
</v>
      </c>
      <c r="N14" t="str">
        <f t="shared" si="5"/>
        <v xml:space="preserve">		[StringLength(MstPtsBmpPartTypeConsts.MaxIsActiveLength)]
		public virtual string IsActive { get; set; }
</v>
      </c>
      <c r="O14" t="str">
        <f t="shared" si="6"/>
        <v xml:space="preserve">		public virtual string IsActive { get; set; }
</v>
      </c>
      <c r="P14" t="str">
        <f t="shared" si="7"/>
        <v xml:space="preserve">							IsActive = o.IsActive,</v>
      </c>
      <c r="T14" s="69" t="str">
        <f t="shared" si="8"/>
        <v xml:space="preserve">								("IsActive"),</v>
      </c>
      <c r="V14" s="70" t="str">
        <f t="shared" si="9"/>
        <v xml:space="preserve">								_ =&gt; _.IsActive,</v>
      </c>
      <c r="W14" s="69" t="str">
        <f t="shared" si="10"/>
        <v xml:space="preserve">				.WhereIf(!string.IsNullOrWhiteSpace(input.IsActive), e =&gt; e.IsActive.Contains(input.IsActive))</v>
      </c>
    </row>
    <row r="16" spans="1:23" ht="45.75" customHeight="1" x14ac:dyDescent="0.25">
      <c r="H16" s="12"/>
      <c r="I16" s="34" t="str">
        <f ca="1">TEXTJOIN2("
", TRUE,INDIRECT( $H$1):INDIRECT( $H$3))</f>
        <v xml:space="preserve">		public const int MaxPartTypeLength = 50;
		public const int MaxPartTypeNameLength = 50;
		public const int MaxProdLineLength = 50;
		public const int MaxIsBumperLength = 1;
		public const int MaxIsActiveLength = 1;
</v>
      </c>
      <c r="J16" s="33" t="str">
        <f ca="1">TEXTJOIN2("
", TRUE,INDIRECT( $F$1):INDIRECT( $F$3))</f>
        <v xml:space="preserve">		[StringLength(MaxPartTypeLength)]
		public virtual string PartType { get; set; }
		[StringLength(MaxPartTypeNameLength)]
		public virtual string PartTypeName { get; set; }
		[StringLength(MaxProdLineLength)]
		public virtual string ProdLine { get; set; }
		public virtual long Sorting { get; set; }
		[StringLength(MaxIsBumperLength)]
		public virtual string IsBumper { get; set; }
		[StringLength(MaxIsActiveLength)]
		public virtual string IsActive { get; set; }
</v>
      </c>
      <c r="K16" s="35" t="str">
        <f ca="1">TEXTJOIN2("
", TRUE,INDIRECT( $J$1):INDIRECT( $J$3))</f>
        <v xml:space="preserve">	[Index(nameof(PartType), Name="IX_MstPtsBmpPartType_PartType")]
	[Index(nameof(ProdLine), Name="IX_MstPtsBmpPartType_ProdLine")]
	[Index(nameof(IsBumper), Name="IX_MstPtsBmpPartType_IsBumper")]
	[Index(nameof(IsActive), Name="IX_MstPtsBmpPartType_IsActive")]</v>
      </c>
      <c r="L16" s="13" t="s">
        <v>60</v>
      </c>
      <c r="M16" s="36" t="str">
        <f ca="1">TEXTJOIN2("
",TRUE,INDIRECT( $L$1):INDIRECT($L$3))</f>
        <v xml:space="preserve">		public virtual string PartType { get; set; }
		public virtual string PartTypeName { get; set; }
		public virtual string ProdLine { get; set; }
		public virtual long Sorting { get; set; }
		public virtual string IsBumper { get; set; }
		public virtual string IsActive { get; set; }
</v>
      </c>
      <c r="N16" s="33" t="str">
        <f ca="1">TEXTJOIN2("
",TRUE,INDIRECT( $M$1):INDIRECT($M$3))</f>
        <v xml:space="preserve">		[StringLength(MstPtsBmpPartTypeConsts.MaxPartTypeLength)]
		public virtual string PartType { get; set; }
		[StringLength(MstPtsBmpPartTypeConsts.MaxPartTypeNameLength)]
		public virtual string PartTypeName { get; set; }
		[StringLength(MstPtsBmpPartTypeConsts.MaxProdLineLength)]
		public virtual string ProdLine { get; set; }
		public virtual long Sorting { get; set; }
		[StringLength(MstPtsBmpPartTypeConsts.MaxIsBumperLength)]
		public virtual string IsBumper { get; set; }
		[StringLength(MstPtsBmpPartTypeConsts.MaxIsActiveLength)]
		public virtual string IsActive { get; set; }
</v>
      </c>
      <c r="O16" s="33" t="str">
        <f ca="1">TEXTJOIN2("
",TRUE,INDIRECT( $N$1):INDIRECT($N$3))</f>
        <v xml:space="preserve">		public virtual string PartType { get; set; }
		public virtual string PartTypeName { get; set; }
		public virtual string ProdLine { get; set; }
		public virtual string IsBumper { get; set; }
		public virtual string IsActive { get; set; }
</v>
      </c>
      <c r="P16" s="9" t="str">
        <f ca="1">TEXTJOIN2("
",TRUE,INDIRECT( $O$1):INDIRECT($O$3))</f>
        <v xml:space="preserve">							PartType = o.PartType,
							PartTypeName = o.PartTypeName,
							ProdLine = o.ProdLine,
							Sorting = o.Sorting,
							IsBumper = o.IsBumper,
							IsActive = o.IsActive,</v>
      </c>
      <c r="T16" s="9" t="str">
        <f ca="1">TEXTJOIN2("
",TRUE,INDIRECT( $T$2):INDIRECT($T$3))</f>
        <v xml:space="preserve">								("PartType"),
								("PartTypeName"),
								("ProdLine"),
								("Sorting"),
								("IsBumper"),
								("IsActive"),</v>
      </c>
      <c r="V16" s="9" t="str">
        <f ca="1">TEXTJOIN2("
",TRUE,INDIRECT( $V$2):INDIRECT($V$3))</f>
        <v xml:space="preserve">								_ =&gt; _.PartType,
								_ =&gt; _.PartTypeName,
								_ =&gt; _.ProdLine,
								_ =&gt; _.Sorting,
								_ =&gt; _.IsBumper,
								_ =&gt; _.IsActive,</v>
      </c>
      <c r="W16" s="9" t="str">
        <f ca="1">TEXTJOIN2("
",TRUE,INDIRECT( $W$2):INDIRECT($W$3))</f>
        <v xml:space="preserve">				.WhereIf(!string.IsNullOrWhiteSpace(input.PartType), e =&gt; e.PartType.Contains(input.PartType))
				.WhereIf(!string.IsNullOrWhiteSpace(input.PartTypeName), e =&gt; e.PartTypeName.Contains(input.PartTypeName))
				.WhereIf(!string.IsNullOrWhiteSpace(input.ProdLine), e =&gt; e.ProdLine.Contains(input.ProdLine))
				.WhereIf(!string.IsNullOrWhiteSpace(input.IsBumper), e =&gt; e.IsBumper.Contains(input.IsBumper))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tabSelected="1" zoomScaleNormal="100" workbookViewId="0">
      <selection activeCell="A19" sqref="A1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331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Painting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painting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MstPtsBmpPartType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BmpPartList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bmppartlist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MstPtsBmpPartTypeDto, MstPtsBmpPartTypeServiceProxy } from '@shared/service-proxies/service-proxies';
import { finalize } from 'rxjs/internal/operators/finalize';
import { CreateOrEditBmpPartListModalComponent } from './create-or-edit-bmppartlist-modal.component';
import { DatePipe } from '@angular/common';
import { FileDownloadService } from '@shared/utils/file-download.service';
import ceil from 'lodash-es/ceil';
import { Paginator } from 'primeng/paginator';
@Component({
    templateUrl: './bmppartlist.component.html',
    styleUrls: ['./bmppartlist.component.less'],
})
export class BmpPartListComponent extends AppComponentBase implements OnInit {
    @ViewChild('createOrEditModalBmpPartList', { static: true }) createOrEditModalBmpPartList:| CreateOrEditBmpPartListModalComponent|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MstPtsBmpPartTypeDto = new MstPtsBmpPartTypeDto();
    saveSelectedRow: MstPtsBmpPartTypeDto = new MstPtsBmpPartTypeDto();
    datas: MstPtsBmpPartTypeDto = new MstPtsBmpPartTypeDto();
    isLoading: boolean = false;
    dataParams: GridParams | undefined;
    rowData: any[] = [];
    gridApi!: GridApi;
    rowSelection = 'multiple';
    filter: string = '';
	pipe = new DatePipe('en-US');
	frameworkComponents: FrameworkComponent;
    	partType : string = '' ; 
	partTypeName : string = '' ; 
	prodLine : string = '' ; 
	isBumper
	sorting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MstPtsBmpPartTypeServiceProxy,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Type'),headerTooltip: this.l('Part Type'),field: 'partType',flex: 1},
			{headerName: this.l('Part Type Name'),headerTooltip: this.l('Part Type Name'),field: 'partTypeName',flex: 1},
			{headerName: this.l('Prod Line'),headerTooltip: this.l('Prod Line'),field: 'prodLine',flex: 1},
			{headerName: this.l('Is Bumper'),headerTooltip: this.l('Is Bumper'),field: 'isBumper',flex: 1},
			{headerName: this.l('Sorting'),headerTooltip: this.l('Sorting'),field:  'sorting', cellClass: ['text-center'], width: 120, cellRenderer: 'agCellButtonComponent',
buttonDefTwo: { text: params =&gt; (params.data?.'sorting' == 'Y') ? 'Active' : 'Inactive',iconName: 'fa fa-circle',className: params =&gt; (params.data?.'sorting'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this.partType,
			this.partTypeName,
			this.prodLine,
			this.isBumper,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this.partType = '',
		this.partTypeName = '',
		this.prodLine = '',
		this.isBumper = '',
		this.sorting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this.partType,
			this.partTypeName,
			this.prodLine,
			this.isBumper,
			this.sorting,
			this.isActive,
			'',
            this.paginationParams.skipCount,
            this.paginationParams.pageSize
        );
    }
    onChangeRowSelection(params: { api: { getSelectedRows: () =&gt; MstPtsBmpPartTypeDto[] } }) {
        this.saveSelectedRow = params.api.getSelectedRows()[0] ?? new MstPtsBmpPartTypeDto();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MstPtsBmpPartTypeDto):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this._service.getBmpPartListToExcel(
			this.partType,
			this.partTypeName,
			this.prodLine,
			this.isBumper,
			this.sorting,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Bumper Part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[(ngModel)]='partTypeName' name='partTypeName'
									class='form-control' [placeholder]="l('Part Type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[(ngModel)]='sorting' name='sorting'
									class='form-control' [placeholder]="l('Sorting')"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(click)="createOrEditModalBmpPartList.show()"&gt;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(click)="createOrEditModalBmpPartList.show(selectedRow)"&gt;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&lt;create-or-edit-bmppartlist-modal
    #createOrEditModalBmpPartList
    (modalSave)="callBackDataGrid(dataParams)"
    (modalClose)="onChangeRowSelection(dataParams)"
&gt;
&lt;/create-or-edit-bmppartlist-modal&gt;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#createOrEditModalBmpPartList="bs-modal"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BmpPartList')}}&lt;/h3&gt;
                    &lt;h3 *ngIf="!rowdata.id"&gt;{{('Create New BmpPartList')}}&lt;/h3&gt;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title'&gt;Part Type Name&lt;/label&gt;
						&lt;input type='text' class='col-md-10 form-control input-text' name='PartTypeName' [(ngModel)]='rowdata.partTypeName'&gt;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title'&gt;Sorting&lt;/label&gt;
						&lt;new-checkbox [(ngModel)]='_sorting' name='sorting'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CreateOrEditMstPtsBmpPartTypeDto, MstPtsBmpPartTypeServiceProxy } from '@shared/service-proxies/service-proxies';
import { BsDatepickerDirective } from 'ngx-bootstrap/datepicker';
@Component({
    selector: 'create-or-edit-bmppartlist-modal',
    templateUrl: './create-or-edit-bmppartlist-modal.component.html',
    styleUrls: ['./create-or-edit-bmppartlist-modal.component.less']
    })
export class CreateOrEditBmpPartListModalComponent extends AppComponentBase {
    @ViewChild('createOrEditModalBmpPartList',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CreateOrEditMstPtsBmpPartTypeDto = new CreateOrEditMstPtsBmpPartTypeDto();
    active: boolean = false;
    saving: boolean = false;
    _sorting
isActive: boolean;
    constructor(
        injector: Injector,
        private _mstwptBmpPartListService: MstPtsBmpPartTypeServiceProxy,
    ) 
    {
        super(injector);
    }
    show(rowdata?: CreateOrEditMstPtsBmpPartTypeDto): void {
        if (!rowdata) this.rowdata = new CreateOrEditMstPtsBmpPartTypeDto();
        else this.rowdata = rowdata;
        this._sorting
isActive = (this.rowdata.sorting
isActive == "N")? false: true;
        this.active = true;
        this.modal.show();
    } 
    changeActive(event){
        this._sorting
isActive = event.target.checked;
    }
    save(): void {
    this.saving = true; 
    this.rowdata.sorting
isActive = (this._sorting
isActive == true) ? 'Y' : 'N'
    this._mstwptBmpPartListService.createOrEdit(this.rowdata)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BmpPartListRoutingModule } from './bmppartlist-routing.module';
import { BmpPartListComponent } from './bmppartlist.component';
import { CreateOrEditBmpPartListModalComponent } from './create-or-edit-bmppartlist-modal.component';
@NgModule({
    declarations: [
       BmpPartListComponent, 
        CreateOrEditBmpPartListModalComponent
    ],
    imports: [
        AppSharedModule, BmpPartListRoutingModule]
})
export class BmpPartListModule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BmpPartListComponent } from './bmppartlist.component';
const routes: Routes = [{
    path: '',
    component: BmpPartListComponent,
    pathMatch: 'full'
}];
@NgModule({
    imports: [RouterModule.forChild(routes)],
    exports: [RouterModule],
})
export class BmpPartListRoutingModule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AppMenuItem("BmpPartList", "Pages.Master.Painting.BmpPartList", "flaticon-book",   "/app/main/master/painting/bmppartlist"),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'master/painting/bmppartlist',
    loadChildren: () =&gt; import('./master/painting/bmppartlist/bmppartlist.module').then(m =&gt; m.BmpPartListModule),
    data: { permission: 'Pages.Master.Painting.BmpPartList' }
},</v>
      </c>
      <c r="R10" s="50" t="str">
        <f>SUBSTITUTE(R9,"MstWptCalendar",$B$6)</f>
        <v>ApiServiceProxies.MstPtsBmpPartTypeServiceProxy,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this.l('Part Type'),headerTooltip: this.l('Part Type'),field: 'partType',flex: 1},
			{headerName: this.l('Part Type Name'),headerTooltip: this.l('Part Type Name'),field: 'partTypeName',flex: 1},
			{headerName: this.l('Prod Line'),headerTooltip: this.l('Prod Line'),field: 'prodLine',flex: 1},
			{headerName: this.l('Is Bumper'),headerTooltip: this.l('Is Bumper'),field: 'isBumper',flex: 1},
			{headerName: this.l('Sorting'),headerTooltip: this.l('Sorting'),field:  'sorting', cellClass: ['text-center'], width: 120, cellRenderer: 'agCellButtonComponent',
buttonDefTwo: { text: params =&gt; (params.data?.'sorting' == 'Y') ? 'Active' : 'Inactive',iconName: 'fa fa-circle',className: params =&gt; (params.data?.'sorting'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[(ngModel)]='partTypeName' name='partTypeName'
									class='form-control' [placeholder]="l('Part Type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[(ngModel)]='sorting' name='sorting'
									class='form-control' [placeholder]="l('Sorting')"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title'&gt;Part Type Name&lt;/label&gt;
						&lt;input type='text' class='col-md-10 form-control input-text' name='PartTypeName' [(ngModel)]='rowdata.partTypeName'&gt;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title'&gt;Sorting&lt;/label&gt;
						&lt;new-checkbox [(ngModel)]='_sorting' name='sorting'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partType : string = '' ; 
	partTypeName : string = '' ; 
	prodLine : string = '' ; 
	isBumper
	sorting : string = '' ; 
	isActive : string = '' ; </v>
      </c>
      <c r="T13" s="68" t="str">
        <f ca="1">TEXTJOIN2("
",TRUE,INDIRECT(T11):INDIRECT(T12))</f>
        <v xml:space="preserve">			this.partType,
			this.partTypeName,
			this.prodLine,
			this.isBumper,
			this.sorting,
			this.isActive,</v>
      </c>
      <c r="U13" s="68" t="str">
        <f ca="1">TEXTJOIN2("
",TRUE,INDIRECT(U11):INDIRECT(U12))</f>
        <v xml:space="preserve">		this.partType = '',
		this.partTypeName = '',
		this.prodLine = '',
		this.isBumper = '',
		this.sorting = '',
		this.isActive = '',</v>
      </c>
      <c r="V13" s="31" t="str">
        <f ca="1">TEXTJOIN2("
",TRUE,INDIRECT(V11):INDIRECT(V12))</f>
        <v>sorting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bmppartlist.component.ts</v>
      </c>
      <c r="I14" s="40" t="str">
        <f>B8&amp;".component.html"</f>
        <v>bmppartlist.component.html</v>
      </c>
      <c r="J14" s="39" t="str">
        <f>B8&amp;".component.less"</f>
        <v>bmppartlist.component.less</v>
      </c>
      <c r="K14" s="40" t="str">
        <f>"create-or-edit-"&amp;B8&amp;"-modal.component.html"</f>
        <v>create-or-edit-bmppartlist-modal.component.html</v>
      </c>
      <c r="L14" s="40" t="str">
        <f>"create-or-edit-"&amp;B8&amp;"-modal.component.ts"</f>
        <v>create-or-edit-bmppartlist-modal.component.ts</v>
      </c>
      <c r="M14" s="40" t="str">
        <f>"create-or-edit-"&amp;B8&amp;"-modal.component.less"</f>
        <v>create-or-edit-bmppartlist-modal.component.less</v>
      </c>
      <c r="N14" s="40" t="str">
        <f>B8&amp;".module.ts"</f>
        <v>bmppartlist.module.ts</v>
      </c>
      <c r="O14" s="40" t="str">
        <f>B8&amp;"-routing.module.ts"</f>
        <v>bmppartlist-routing.module.ts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327</v>
      </c>
      <c r="B15" s="31" t="str">
        <f t="shared" ref="B15" si="0">SUBSTITUTE(PROPER(A15),"_","")</f>
        <v>PartType</v>
      </c>
      <c r="C15" s="31" t="str">
        <f t="shared" ref="C15" si="1">SUBSTITUTE(PROPER(A15),"_"," ")</f>
        <v>Part Type</v>
      </c>
      <c r="D15" s="31" t="str">
        <f t="shared" ref="D15" si="2">LOWER(LEFT(B15,1))&amp;RIGHT(B15,LEN(B15) - 1)</f>
        <v>partType</v>
      </c>
      <c r="E15" s="31" t="str">
        <f>A.Backend!H9</f>
        <v>string</v>
      </c>
      <c r="F15" s="31" t="str">
        <f>A.Backend!G9</f>
        <v>50</v>
      </c>
      <c r="G15" s="31" t="str">
        <f t="shared" ref="G15" si="3">IF(E15="string"," : string = '' ; ",IF(OR(E15="DateTime",E15="TimeSpan")," : any ;",IF(E15="int"," : number = 0 ;","")))</f>
        <v xml:space="preserve"> : string = '' ; </v>
      </c>
      <c r="H15" s="38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Type'),headerTooltip: this.l('Part Type'),field: 'partType',flex: 1},</v>
      </c>
      <c r="I15" s="38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[(ngModel)]='partType' name='partType'
									class='form-control' [placeholder]="l('Part Type')"
									type='text' (keyup.enter)='searchDatas()'&gt;
								&lt;/div&gt;</v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Type&lt;/label&gt;
						&lt;input type='text' class='col-md-10 form-control input-text' name='PartType' [(ngModel)]='rowdata.partType'&gt;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 t="shared" ref="S15" si="8">REPT(CHAR(9),1)&amp;D15&amp;G15</f>
        <v xml:space="preserve">	partType : string = '' ; </v>
      </c>
      <c r="T15" s="31" t="str">
        <f t="shared" ref="T15" si="9">REPT(CHAR(9),3)&amp;"this."&amp;D15&amp;","</f>
        <v xml:space="preserve">			this.partType,</v>
      </c>
      <c r="U15" s="31" t="str">
        <f t="shared" ref="U15" si="10">IF(E15="int",REPT(CHAR(9),2)&amp;"this."&amp;D15&amp;" = 0,",REPT(CHAR(9),2)&amp;"this."&amp;D15&amp;" = '',")</f>
        <v xml:space="preserve">		this.partType = '',</v>
      </c>
      <c r="V15" s="31" t="str">
        <f t="shared" ref="V15" si="11">IF(AND(E15="string",F15="1"),D15,"")</f>
        <v/>
      </c>
    </row>
    <row r="16" spans="1:22" ht="18" customHeight="1" x14ac:dyDescent="0.25">
      <c r="A16" s="31" t="s">
        <v>328</v>
      </c>
      <c r="B16" s="31" t="str">
        <f t="shared" ref="B16" si="12">SUBSTITUTE(PROPER(A16),"_","")</f>
        <v>PartTypeName</v>
      </c>
      <c r="C16" s="31" t="str">
        <f t="shared" ref="C16" si="13">SUBSTITUTE(PROPER(A16),"_"," ")</f>
        <v>Part Type Name</v>
      </c>
      <c r="D16" s="31" t="str">
        <f t="shared" ref="D16" si="14">LOWER(LEFT(B16,1))&amp;RIGHT(B16,LEN(B16) - 1)</f>
        <v>partTypeName</v>
      </c>
      <c r="E16" s="31" t="str">
        <f>A.Backend!H10</f>
        <v>string</v>
      </c>
      <c r="F16" s="31" t="str">
        <f>A.Backend!G10</f>
        <v>50</v>
      </c>
      <c r="G16" s="31" t="str">
        <f t="shared" ref="G16" si="15">IF(E16="string"," : string = '' ; ",IF(OR(E16="DateTime",E16="TimeSpan")," : any ;",IF(E16="int"," : number = 0 ;","")))</f>
        <v xml:space="preserve"> : string = '' ; </v>
      </c>
      <c r="H16" s="38" t="str">
        <f t="shared" ref="H16" si="16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Type Name'),headerTooltip: this.l('Part Type Name'),field: 'partTypeName',flex: 1},</v>
      </c>
      <c r="I16" s="38" t="str">
        <f t="shared" ref="I16" si="17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[(ngModel)]='partTypeName' name='partTypeName'
									class='form-control' [placeholder]="l('Part Type Name')"
									type='text' (keyup.enter)='searchDatas()'&gt;
								&lt;/div&gt;</v>
      </c>
      <c r="J16" s="31"/>
      <c r="K16" s="38" t="str">
        <f t="shared" ref="K16" si="18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Type Name&lt;/label&gt;
						&lt;input type='text' class='col-md-10 form-control input-text' name='PartTypeName' [(ngModel)]='rowdata.partTypeName'&gt;
					&lt;/div&gt;</v>
      </c>
      <c r="L16" s="60" t="str">
        <f t="shared" ref="L16" si="19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20">REPT(CHAR(9),1)&amp;D16&amp;G16</f>
        <v xml:space="preserve">	partTypeName : string = '' ; </v>
      </c>
      <c r="T16" s="31" t="str">
        <f t="shared" ref="T16" si="21">REPT(CHAR(9),3)&amp;"this."&amp;D16&amp;","</f>
        <v xml:space="preserve">			this.partTypeName,</v>
      </c>
      <c r="U16" s="31" t="str">
        <f t="shared" ref="U16" si="22">IF(E16="int",REPT(CHAR(9),2)&amp;"this."&amp;D16&amp;" = 0,",REPT(CHAR(9),2)&amp;"this."&amp;D16&amp;" = '',")</f>
        <v xml:space="preserve">		this.partTypeName = '',</v>
      </c>
      <c r="V16" s="31" t="str">
        <f t="shared" ref="V16" si="23">IF(AND(E16="string",F16="1"),D16,"")</f>
        <v/>
      </c>
    </row>
    <row r="17" spans="1:22" ht="15" customHeight="1" x14ac:dyDescent="0.25">
      <c r="A17" s="31" t="s">
        <v>322</v>
      </c>
      <c r="B17" s="31" t="str">
        <f>SUBSTITUTE(PROPER(A17),"_","")</f>
        <v>ProdLine</v>
      </c>
      <c r="C17" s="31" t="str">
        <f>SUBSTITUTE(PROPER(A17),"_"," ")</f>
        <v>Prod Line</v>
      </c>
      <c r="D17" s="31" t="str">
        <f>LOWER(LEFT(B17,1))&amp;RIGHT(B17,LEN(B17) - 1)</f>
        <v>prodLine</v>
      </c>
      <c r="E17" s="31" t="str">
        <f>A.Backend!H11</f>
        <v>string</v>
      </c>
      <c r="F17" s="31" t="str">
        <f>A.Backend!G11</f>
        <v>50</v>
      </c>
      <c r="G17" s="31" t="str">
        <f>IF(E17="string"," : string = '' ; ",IF(OR(E17="DateTime",E17="TimeSpan")," : any ;",IF(E17="int"," : number = 0 ;","")))</f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this.l('Prod Line'),headerTooltip: this.l('Prod Line'),field: 'prodLine',flex: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31"/>
      <c r="K17" s="38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REPT(CHAR(9),1)&amp;D17&amp;G17</f>
        <v xml:space="preserve">	prodLine : string = '' ; </v>
      </c>
      <c r="T17" s="31" t="str">
        <f>REPT(CHAR(9),3)&amp;"this."&amp;D17&amp;","</f>
        <v xml:space="preserve">			this.prodLine,</v>
      </c>
      <c r="U17" s="31" t="str">
        <f>IF(E17="int",REPT(CHAR(9),2)&amp;"this."&amp;D17&amp;" = 0,",REPT(CHAR(9),2)&amp;"this."&amp;D17&amp;" = '',")</f>
        <v xml:space="preserve">		this.prodLine = '',</v>
      </c>
      <c r="V17" s="31" t="str">
        <f>IF(AND(E17="string",F17="1"),D17,"")</f>
        <v/>
      </c>
    </row>
    <row r="18" spans="1:22" ht="15" customHeight="1" x14ac:dyDescent="0.25">
      <c r="A18" s="31" t="s">
        <v>332</v>
      </c>
      <c r="B18" s="31" t="str">
        <f t="shared" ref="B18" si="24">SUBSTITUTE(PROPER(A18),"_","")</f>
        <v>IsBumper</v>
      </c>
      <c r="C18" s="31" t="str">
        <f t="shared" ref="C18" si="25">SUBSTITUTE(PROPER(A18),"_"," ")</f>
        <v>Is Bumper</v>
      </c>
      <c r="D18" s="31" t="str">
        <f t="shared" ref="D18" si="26">LOWER(LEFT(B18,1))&amp;RIGHT(B18,LEN(B18) - 1)</f>
        <v>isBumper</v>
      </c>
      <c r="E18" s="31" t="str">
        <f>A.Backend!H12</f>
        <v>long</v>
      </c>
      <c r="F18" s="31" t="str">
        <f>A.Backend!G12</f>
        <v/>
      </c>
      <c r="G18" s="31" t="str">
        <f t="shared" ref="G18" si="27">IF(E18="string"," : string = '' ; ",IF(OR(E18="DateTime",E18="TimeSpan")," : any ;",IF(E18="int"," : number = 0 ;","")))</f>
        <v/>
      </c>
      <c r="H18" s="38" t="str">
        <f t="shared" ref="H18" si="28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this.l('Is Bumper'),headerTooltip: this.l('Is Bumper'),field: 'isBumper',flex: 1},</v>
      </c>
      <c r="I18" s="38" t="str">
        <f t="shared" ref="I18" si="29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/>
      </c>
      <c r="J18" s="31"/>
      <c r="K18" s="38" t="str">
        <f t="shared" ref="K18" si="30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/>
      </c>
      <c r="L18" s="60" t="str">
        <f t="shared" ref="L18" si="31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" si="32">REPT(CHAR(9),1)&amp;D18&amp;G18</f>
        <v xml:space="preserve">	isBumper</v>
      </c>
      <c r="T18" s="31" t="str">
        <f t="shared" ref="T18" si="33">REPT(CHAR(9),3)&amp;"this."&amp;D18&amp;","</f>
        <v xml:space="preserve">			this.isBumper,</v>
      </c>
      <c r="U18" s="31" t="str">
        <f t="shared" ref="U18" si="34">IF(E18="int",REPT(CHAR(9),2)&amp;"this."&amp;D18&amp;" = 0,",REPT(CHAR(9),2)&amp;"this."&amp;D18&amp;" = '',")</f>
        <v xml:space="preserve">		this.isBumper = '',</v>
      </c>
      <c r="V18" s="31" t="str">
        <f t="shared" ref="V18" si="35">IF(AND(E18="string",F18="1"),D18,"")</f>
        <v/>
      </c>
    </row>
    <row r="19" spans="1:22" ht="15" customHeight="1" x14ac:dyDescent="0.25">
      <c r="A19" s="31" t="s">
        <v>329</v>
      </c>
      <c r="B19" s="31" t="str">
        <f t="shared" ref="B19" si="36">SUBSTITUTE(PROPER(A19),"_","")</f>
        <v>Sorting</v>
      </c>
      <c r="C19" s="31" t="str">
        <f t="shared" ref="C19" si="37">SUBSTITUTE(PROPER(A19),"_"," ")</f>
        <v>Sorting</v>
      </c>
      <c r="D19" s="31" t="str">
        <f t="shared" ref="D19" si="38">LOWER(LEFT(B19,1))&amp;RIGHT(B19,LEN(B19) - 1)</f>
        <v>sorting</v>
      </c>
      <c r="E19" s="31" t="str">
        <f>A.Backend!H13</f>
        <v>string</v>
      </c>
      <c r="F19" s="31" t="str">
        <f>A.Backend!G13</f>
        <v>1</v>
      </c>
      <c r="G19" s="31" t="str">
        <f t="shared" ref="G19" si="39">IF(E19="string"," : string = '' ; ",IF(OR(E19="DateTime",E19="TimeSpan")," : any ;",IF(E19="int"," : number = 0 ;","")))</f>
        <v xml:space="preserve"> : string = '' ; </v>
      </c>
      <c r="H19" s="38" t="str">
        <f t="shared" ref="H19" si="40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this.l('Sorting'),headerTooltip: this.l('Sorting'),field:  'sorting', cellClass: ['text-center'], width: 120, cellRenderer: 'agCellButtonComponent',
buttonDefTwo: { text: params =&gt; (params.data?.'sorting' == 'Y') ? 'Active' : 'Inactive',iconName: 'fa fa-circle',className: params =&gt; (params.data?.'sorting' == 'Y') ? 'btnActive' : 'btnInActive',},}</v>
      </c>
      <c r="I19" s="38" t="str">
        <f t="shared" ref="I19" si="41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[(ngModel)]='sorting' name='sorting'
									class='form-control' [placeholder]="l('Sorting')"
									type='text' (keyup.enter)='searchDatas()'&gt;
								&lt;/div&gt;</v>
      </c>
      <c r="J19" s="31"/>
      <c r="K19" s="38" t="str">
        <f t="shared" ref="K19" si="42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title'&gt;Sorting&lt;/label&gt;
						&lt;new-checkbox [(ngModel)]='_sorting' name='sorting' className='col-md-10' &gt; &lt;/new-checkbox&gt;
					&lt;/div&gt;</v>
      </c>
      <c r="L19" s="60" t="str">
        <f t="shared" ref="L19" si="43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" si="44">REPT(CHAR(9),1)&amp;D19&amp;G19</f>
        <v xml:space="preserve">	sorting : string = '' ; </v>
      </c>
      <c r="T19" s="31" t="str">
        <f t="shared" ref="T19" si="45">REPT(CHAR(9),3)&amp;"this."&amp;D19&amp;","</f>
        <v xml:space="preserve">			this.sorting,</v>
      </c>
      <c r="U19" s="31" t="str">
        <f t="shared" ref="U19" si="46">IF(E19="int",REPT(CHAR(9),2)&amp;"this."&amp;D19&amp;" = 0,",REPT(CHAR(9),2)&amp;"this."&amp;D19&amp;" = '',")</f>
        <v xml:space="preserve">		this.sorting = '',</v>
      </c>
      <c r="V19" s="31" t="str">
        <f t="shared" ref="V19" si="47">IF(AND(E19="string",F19="1"),D19,"")</f>
        <v>sorting</v>
      </c>
    </row>
    <row r="20" spans="1:22" ht="18" customHeight="1" x14ac:dyDescent="0.25">
      <c r="A20" s="31" t="s">
        <v>323</v>
      </c>
      <c r="B20" s="31" t="str">
        <f t="shared" ref="B20" si="48">SUBSTITUTE(PROPER(A20),"_","")</f>
        <v>IsActive</v>
      </c>
      <c r="C20" s="31" t="str">
        <f t="shared" ref="C20" si="49">SUBSTITUTE(PROPER(A20),"_"," ")</f>
        <v>Is Active</v>
      </c>
      <c r="D20" s="31" t="str">
        <f t="shared" ref="D20" si="50">LOWER(LEFT(B20,1))&amp;RIGHT(B20,LEN(B20) - 1)</f>
        <v>isActive</v>
      </c>
      <c r="E20" s="31" t="str">
        <f>A.Backend!H14</f>
        <v>string</v>
      </c>
      <c r="F20" s="31" t="str">
        <f>A.Backend!G14</f>
        <v>1</v>
      </c>
      <c r="G20" s="31" t="str">
        <f t="shared" ref="G20" si="51">IF(E20="string"," : string = '' ; ",IF(OR(E20="DateTime",E20="TimeSpan")," : any ;",IF(E20="int"," : number = 0 ;","")))</f>
        <v xml:space="preserve"> : string = '' ; </v>
      </c>
      <c r="H20" s="38" t="str">
        <f t="shared" ref="H20" si="52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0" s="38" t="str">
        <f t="shared" ref="I20" si="53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0" s="31"/>
      <c r="K20" s="38" t="str">
        <f t="shared" ref="K20" si="54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0" s="60" t="str">
        <f t="shared" ref="L20" si="55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" si="56">REPT(CHAR(9),1)&amp;D20&amp;G20</f>
        <v xml:space="preserve">	isActive : string = '' ; </v>
      </c>
      <c r="T20" s="31" t="str">
        <f t="shared" ref="T20" si="57">REPT(CHAR(9),3)&amp;"this."&amp;D20&amp;","</f>
        <v xml:space="preserve">			this.isActive,</v>
      </c>
      <c r="U20" s="31" t="str">
        <f t="shared" ref="U20" si="58">IF(E20="int",REPT(CHAR(9),2)&amp;"this."&amp;D20&amp;" = 0,",REPT(CHAR(9),2)&amp;"this."&amp;D20&amp;" = '',")</f>
        <v xml:space="preserve">		this.isActive = '',</v>
      </c>
      <c r="V20" s="31" t="str">
        <f t="shared" ref="V20" si="59">IF(AND(E20="string",F20="1"),D20,"")</f>
        <v>isActive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2023-02-15T06:32:24Z</dcterms:modified>
</cp:coreProperties>
</file>
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painting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5" l="1"/>
  <c r="B20" i="5"/>
  <c r="D20" i="5" s="1"/>
  <c r="T20" i="5" s="1"/>
  <c r="G14" i="1"/>
  <c r="F20" i="5" s="1"/>
  <c r="E14" i="1"/>
  <c r="H14" i="1" s="1"/>
  <c r="E20" i="5" s="1"/>
  <c r="D14" i="1"/>
  <c r="T14" i="1" s="1"/>
  <c r="L20" i="5" l="1"/>
  <c r="G20" i="5"/>
  <c r="V20" i="5"/>
  <c r="H20" i="5"/>
  <c r="U20" i="5"/>
  <c r="S20" i="5"/>
  <c r="I20" i="5"/>
  <c r="K20" i="5"/>
  <c r="M14" i="1"/>
  <c r="W14" i="1"/>
  <c r="O14" i="1"/>
  <c r="J14" i="1"/>
  <c r="N14" i="1"/>
  <c r="I14" i="1"/>
  <c r="V14" i="1"/>
  <c r="P14" i="1"/>
  <c r="L20" i="1"/>
  <c r="G20" i="1"/>
  <c r="F26" i="5" s="1"/>
  <c r="E20" i="1"/>
  <c r="H20" i="1" s="1"/>
  <c r="E26" i="5" s="1"/>
  <c r="D20" i="1"/>
  <c r="V20" i="1" s="1"/>
  <c r="L21" i="1"/>
  <c r="G21" i="1"/>
  <c r="F27" i="5" s="1"/>
  <c r="E21" i="1"/>
  <c r="H21" i="1" s="1"/>
  <c r="E27" i="5" s="1"/>
  <c r="D21" i="1"/>
  <c r="T21" i="1" s="1"/>
  <c r="L17" i="1"/>
  <c r="G17" i="1"/>
  <c r="F23" i="5" s="1"/>
  <c r="E17" i="1"/>
  <c r="H17" i="1" s="1"/>
  <c r="E23" i="5" s="1"/>
  <c r="D17" i="1"/>
  <c r="V17" i="1" s="1"/>
  <c r="O20" i="1" l="1"/>
  <c r="J20" i="1"/>
  <c r="N20" i="1"/>
  <c r="I20" i="1"/>
  <c r="M20" i="1"/>
  <c r="W20" i="1"/>
  <c r="P20" i="1"/>
  <c r="T20" i="1"/>
  <c r="M21" i="1"/>
  <c r="N21" i="1"/>
  <c r="I21" i="1"/>
  <c r="W21" i="1"/>
  <c r="O21" i="1"/>
  <c r="J21" i="1"/>
  <c r="P21" i="1"/>
  <c r="V21" i="1"/>
  <c r="W17" i="1"/>
  <c r="O17" i="1"/>
  <c r="J17" i="1"/>
  <c r="N17" i="1"/>
  <c r="I17" i="1"/>
  <c r="M17" i="1"/>
  <c r="P17" i="1"/>
  <c r="T17" i="1"/>
  <c r="C18" i="5"/>
  <c r="B18" i="5"/>
  <c r="D18" i="5" s="1"/>
  <c r="T18" i="5" s="1"/>
  <c r="C21" i="5" l="1"/>
  <c r="B21" i="5"/>
  <c r="D21" i="5" s="1"/>
  <c r="C19" i="5"/>
  <c r="B19" i="5"/>
  <c r="D19" i="5" s="1"/>
  <c r="L16" i="1"/>
  <c r="G16" i="1"/>
  <c r="F22" i="5" s="1"/>
  <c r="E16" i="1"/>
  <c r="H16" i="1" s="1"/>
  <c r="E22" i="5" s="1"/>
  <c r="D16" i="1"/>
  <c r="V16" i="1" s="1"/>
  <c r="L15" i="1"/>
  <c r="G15" i="1"/>
  <c r="F21" i="5" s="1"/>
  <c r="E15" i="1"/>
  <c r="H15" i="1" s="1"/>
  <c r="E21" i="5" s="1"/>
  <c r="D15" i="1"/>
  <c r="V15" i="1" s="1"/>
  <c r="C26" i="5"/>
  <c r="B26" i="5"/>
  <c r="D26" i="5" s="1"/>
  <c r="C25" i="5"/>
  <c r="B25" i="5"/>
  <c r="D25" i="5" s="1"/>
  <c r="C22" i="5"/>
  <c r="B22" i="5"/>
  <c r="D22" i="5" s="1"/>
  <c r="C17" i="5"/>
  <c r="B17" i="5"/>
  <c r="D17" i="5" s="1"/>
  <c r="C16" i="5"/>
  <c r="B16" i="5"/>
  <c r="D16" i="5" s="1"/>
  <c r="L18" i="1"/>
  <c r="G18" i="1"/>
  <c r="F24" i="5" s="1"/>
  <c r="E18" i="1"/>
  <c r="H18" i="1" s="1"/>
  <c r="E24" i="5" s="1"/>
  <c r="D18" i="1"/>
  <c r="V18" i="1" s="1"/>
  <c r="G10" i="1"/>
  <c r="F16" i="5" s="1"/>
  <c r="E10" i="1"/>
  <c r="H10" i="1" s="1"/>
  <c r="E16" i="5" s="1"/>
  <c r="D10" i="1"/>
  <c r="V10" i="1" s="1"/>
  <c r="W15" i="1" l="1"/>
  <c r="V21" i="5"/>
  <c r="W16" i="1"/>
  <c r="P15" i="1"/>
  <c r="T19" i="5"/>
  <c r="I21" i="5"/>
  <c r="T21" i="5"/>
  <c r="K21" i="5"/>
  <c r="G21" i="5"/>
  <c r="S21" i="5" s="1"/>
  <c r="L21" i="5"/>
  <c r="P16" i="1"/>
  <c r="T16" i="1"/>
  <c r="I16" i="1"/>
  <c r="N16" i="1"/>
  <c r="M16" i="1"/>
  <c r="J16" i="1"/>
  <c r="O16" i="1"/>
  <c r="T15" i="1"/>
  <c r="I22" i="5"/>
  <c r="M15" i="1"/>
  <c r="I15" i="1"/>
  <c r="N15" i="1"/>
  <c r="J15" i="1"/>
  <c r="O15" i="1"/>
  <c r="T22" i="5"/>
  <c r="T16" i="5"/>
  <c r="U22" i="5"/>
  <c r="T17" i="5"/>
  <c r="T25" i="5"/>
  <c r="T26" i="5"/>
  <c r="H22" i="5"/>
  <c r="O18" i="1"/>
  <c r="N18" i="1"/>
  <c r="I18" i="1"/>
  <c r="W18" i="1"/>
  <c r="J18" i="1"/>
  <c r="M18" i="1"/>
  <c r="P18" i="1"/>
  <c r="T18" i="1"/>
  <c r="N10" i="1"/>
  <c r="I10" i="1"/>
  <c r="M10" i="1"/>
  <c r="W10" i="1"/>
  <c r="O10" i="1"/>
  <c r="J10" i="1"/>
  <c r="P10" i="1"/>
  <c r="T10" i="1"/>
  <c r="L19" i="1"/>
  <c r="G19" i="1"/>
  <c r="F25" i="5" s="1"/>
  <c r="E19" i="1"/>
  <c r="H19" i="1" s="1"/>
  <c r="E25" i="5" s="1"/>
  <c r="D19" i="1"/>
  <c r="T19" i="1" s="1"/>
  <c r="U21" i="5" l="1"/>
  <c r="H21" i="5"/>
  <c r="K25" i="5"/>
  <c r="K26" i="5"/>
  <c r="K22" i="5"/>
  <c r="I25" i="5"/>
  <c r="V25" i="5"/>
  <c r="H26" i="5"/>
  <c r="G26" i="5"/>
  <c r="S26" i="5" s="1"/>
  <c r="G25" i="5"/>
  <c r="S25" i="5" s="1"/>
  <c r="U25" i="5"/>
  <c r="H25" i="5"/>
  <c r="G22" i="5"/>
  <c r="S22" i="5" s="1"/>
  <c r="V22" i="5"/>
  <c r="L22" i="5"/>
  <c r="M19" i="1"/>
  <c r="I19" i="1"/>
  <c r="N19" i="1"/>
  <c r="V19" i="1"/>
  <c r="J19" i="1"/>
  <c r="O19" i="1"/>
  <c r="W19" i="1"/>
  <c r="P19" i="1"/>
  <c r="L22" i="1"/>
  <c r="G22" i="1"/>
  <c r="F28" i="5" s="1"/>
  <c r="E22" i="1"/>
  <c r="H22" i="1" s="1"/>
  <c r="E28" i="5" s="1"/>
  <c r="D22" i="1"/>
  <c r="T22" i="1" s="1"/>
  <c r="L26" i="5" l="1"/>
  <c r="U26" i="5"/>
  <c r="I26" i="5"/>
  <c r="V26" i="5"/>
  <c r="L25" i="5"/>
  <c r="W22" i="1"/>
  <c r="P22" i="1"/>
  <c r="I22" i="1"/>
  <c r="N22" i="1"/>
  <c r="V22" i="1"/>
  <c r="M22" i="1"/>
  <c r="J22" i="1"/>
  <c r="O22" i="1"/>
  <c r="C28" i="5"/>
  <c r="B28" i="5"/>
  <c r="D28" i="5" s="1"/>
  <c r="T28" i="5" l="1"/>
  <c r="C29" i="5" l="1"/>
  <c r="B29" i="5"/>
  <c r="D29" i="5" s="1"/>
  <c r="T29" i="5" s="1"/>
  <c r="C24" i="5"/>
  <c r="B24" i="5"/>
  <c r="D24" i="5" s="1"/>
  <c r="I24" i="5" l="1"/>
  <c r="T24" i="5"/>
  <c r="K24" i="5"/>
  <c r="U24" i="5"/>
  <c r="G24" i="5"/>
  <c r="S24" i="5" s="1"/>
  <c r="L24" i="5"/>
  <c r="V24" i="5"/>
  <c r="H24" i="5"/>
  <c r="Q3" i="1"/>
  <c r="U28" i="5" l="1"/>
  <c r="H28" i="5"/>
  <c r="G28" i="5"/>
  <c r="S28" i="5" s="1"/>
  <c r="I28" i="5"/>
  <c r="L28" i="5"/>
  <c r="K28" i="5"/>
  <c r="V28" i="5"/>
  <c r="B15" i="5"/>
  <c r="D15" i="5" s="1"/>
  <c r="C15" i="5"/>
  <c r="B27" i="5"/>
  <c r="D27" i="5" s="1"/>
  <c r="C27" i="5"/>
  <c r="B23" i="5"/>
  <c r="D23" i="5" s="1"/>
  <c r="C23" i="5"/>
  <c r="G23" i="1"/>
  <c r="F29" i="5" s="1"/>
  <c r="E23" i="1"/>
  <c r="H23" i="1" s="1"/>
  <c r="E29" i="5" s="1"/>
  <c r="D23" i="1"/>
  <c r="V23" i="1" s="1"/>
  <c r="G13" i="1"/>
  <c r="F19" i="5" s="1"/>
  <c r="E13" i="1"/>
  <c r="H13" i="1" s="1"/>
  <c r="E19" i="5" s="1"/>
  <c r="D13" i="1"/>
  <c r="V13" i="1" s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V11" i="1" s="1"/>
  <c r="G9" i="1"/>
  <c r="F15" i="5" s="1"/>
  <c r="E9" i="1"/>
  <c r="H9" i="1" s="1"/>
  <c r="E15" i="5" s="1"/>
  <c r="D9" i="1"/>
  <c r="T9" i="1" s="1"/>
  <c r="K19" i="5" l="1"/>
  <c r="I19" i="5"/>
  <c r="V19" i="5"/>
  <c r="U19" i="5"/>
  <c r="G19" i="5"/>
  <c r="S19" i="5" s="1"/>
  <c r="H19" i="5"/>
  <c r="L19" i="5"/>
  <c r="V18" i="5"/>
  <c r="I18" i="5"/>
  <c r="G18" i="5"/>
  <c r="S18" i="5" s="1"/>
  <c r="K18" i="5"/>
  <c r="U18" i="5"/>
  <c r="L18" i="5"/>
  <c r="H18" i="5"/>
  <c r="K17" i="5"/>
  <c r="G17" i="5"/>
  <c r="S17" i="5" s="1"/>
  <c r="V17" i="5"/>
  <c r="H17" i="5"/>
  <c r="U17" i="5"/>
  <c r="L17" i="5"/>
  <c r="I17" i="5"/>
  <c r="V16" i="5"/>
  <c r="L16" i="5"/>
  <c r="G16" i="5"/>
  <c r="S16" i="5" s="1"/>
  <c r="H16" i="5"/>
  <c r="I16" i="5"/>
  <c r="K16" i="5"/>
  <c r="U16" i="5"/>
  <c r="G29" i="5"/>
  <c r="S29" i="5" s="1"/>
  <c r="U29" i="5"/>
  <c r="K29" i="5"/>
  <c r="I29" i="5"/>
  <c r="V29" i="5"/>
  <c r="H29" i="5"/>
  <c r="L29" i="5"/>
  <c r="O23" i="1"/>
  <c r="G15" i="5"/>
  <c r="L15" i="5"/>
  <c r="O13" i="1"/>
  <c r="G27" i="5"/>
  <c r="S27" i="5" s="1"/>
  <c r="V27" i="5"/>
  <c r="H23" i="5"/>
  <c r="P11" i="1"/>
  <c r="I23" i="5"/>
  <c r="I15" i="5"/>
  <c r="H15" i="5"/>
  <c r="I27" i="5"/>
  <c r="H27" i="5"/>
  <c r="L27" i="5"/>
  <c r="U27" i="5"/>
  <c r="T23" i="5"/>
  <c r="T27" i="5"/>
  <c r="K27" i="5"/>
  <c r="V15" i="5"/>
  <c r="P13" i="1"/>
  <c r="V9" i="1"/>
  <c r="T13" i="1"/>
  <c r="P23" i="1"/>
  <c r="T23" i="1"/>
  <c r="M12" i="1"/>
  <c r="W12" i="1"/>
  <c r="J12" i="1"/>
  <c r="I12" i="1"/>
  <c r="O12" i="1"/>
  <c r="N12" i="1"/>
  <c r="I9" i="1"/>
  <c r="O9" i="1"/>
  <c r="J9" i="1"/>
  <c r="N9" i="1"/>
  <c r="M9" i="1"/>
  <c r="W9" i="1"/>
  <c r="W11" i="1"/>
  <c r="J11" i="1"/>
  <c r="M11" i="1"/>
  <c r="I11" i="1"/>
  <c r="O11" i="1"/>
  <c r="N11" i="1"/>
  <c r="P12" i="1"/>
  <c r="I13" i="1"/>
  <c r="I23" i="1"/>
  <c r="T12" i="1"/>
  <c r="J13" i="1"/>
  <c r="W13" i="1"/>
  <c r="J23" i="1"/>
  <c r="W23" i="1"/>
  <c r="T11" i="1"/>
  <c r="M13" i="1"/>
  <c r="M23" i="1"/>
  <c r="P9" i="1"/>
  <c r="N13" i="1"/>
  <c r="N23" i="1"/>
  <c r="U23" i="5" l="1"/>
  <c r="L23" i="5"/>
  <c r="K23" i="5"/>
  <c r="G23" i="5"/>
  <c r="S23" i="5" s="1"/>
  <c r="V23" i="5"/>
  <c r="K15" i="5"/>
  <c r="U15" i="5"/>
  <c r="T15" i="5"/>
  <c r="S15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5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5" i="1"/>
  <c r="T7" i="1" l="1"/>
  <c r="W25" i="1"/>
  <c r="G6" i="1" l="1"/>
  <c r="H13" i="5"/>
  <c r="V13" i="5"/>
  <c r="U13" i="5"/>
  <c r="L13" i="5"/>
  <c r="I13" i="5"/>
  <c r="S13" i="5"/>
  <c r="K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4" i="1" s="1"/>
  <c r="L13" i="1" l="1"/>
  <c r="L10" i="1"/>
  <c r="L12" i="1"/>
  <c r="L11" i="1"/>
  <c r="L9" i="1"/>
  <c r="L23" i="1"/>
  <c r="C7" i="1"/>
  <c r="J25" i="1"/>
  <c r="O25" i="1"/>
  <c r="P25" i="1"/>
  <c r="I25" i="1"/>
  <c r="N25" i="1"/>
  <c r="Q7" i="1" l="1"/>
  <c r="M58" i="3" s="1"/>
  <c r="L7" i="1"/>
  <c r="G58" i="3" s="1"/>
  <c r="K58" i="3"/>
  <c r="J58" i="3"/>
  <c r="M25" i="1"/>
  <c r="K25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<sst xmlns="http://schemas.openxmlformats.org/spreadsheetml/2006/main" count="463" uniqueCount="343">
  <si>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</si>
  <si>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</si>
  <si>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</si>
  <si>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</si>
  <si>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</si>
  <si>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</si>
  <si>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</si>
  <si>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</si>
  <si>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</si>
  <si>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</si>
  <si>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</si>
  <si>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</si>
  <si>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</si>
  <si>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</si>
  <si>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</si>
  <si>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</si>
  <si>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</si>
  <si>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</si>
  <si>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</si>
  <si>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</si>
  <si>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</si>
  <si>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</si>
  <si>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</si>
  <si>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</si>
  <si>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</si>
  <si>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</si>
  <si>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</si>
  <si>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</si>
  <si>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</si>
  <si>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</si>
  <si>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</si>
  <si>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</si>
  <si>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</si>
  <si>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</si>
  <si>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</si>
  <si>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</si>
  <si>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</si>
  <si>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</si>
  <si>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</si>
  <si>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</si>
  <si>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</si>
  <si>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</si>
  <si>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</si>
  <si>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</si>
  <si>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</si>
  <si>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</si>
  <si>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</si>
  <si>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</si>
  <si>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</si>
  <si>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</si>
  <si>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</si>
  <si>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</si>
  <si>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</si>
  <si>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</si>
  <si>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</si>
  <si>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</si>
  <si>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</si>
  <si>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</si>
  <si>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</si>
  <si>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</si>
  <si>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</si>
  <si>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</si>
  <si>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</si>
  <si>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</si>
  <si>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</si>
  <si>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</si>
  <si>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</si>
  <si>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</si>
  <si>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</si>
  <si>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</si>
  <si>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</si>
  <si>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</si>
  <si>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</si>
  <si>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</si>
  <si>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</si>
  <si>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</si>
  <si>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</si>
  <si>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</si>
  <si>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</si>
  <si>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</si>
  <si>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</si>
  <si>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</si>
  <si>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</si>
  <si>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</si>
  <si>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</si>
  <si>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</si>
  <si>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</si>
  <si>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</si>
  <si>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</si>
  <si>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</si>
  <si>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</si>
  <si>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</si>
  <si>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</si>
  <si>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</si>
  <si>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</si>
  <si>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</si>
  <si>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</si>
  <si>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</si>
  <si>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</si>
  <si>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</si>
  <si>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</si>
  <si>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</si>
  <si>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</si>
  <si>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</si>
  <si>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</si>
  <si>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</si>
  <si>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</si>
  <si>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</si>
  <si>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</si>
  <si>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</si>
  <si>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</si>
  <si>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</si>
  <si>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</si>
  <si>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</si>
  <si>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</si>
  <si>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</si>
  <si>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</si>
  <si>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</si>
  <si>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</si>
  <si>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</si>
  <si>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</si>
  <si>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</si>
  <si>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</si>
  <si>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</si>
  <si>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</si>
  <si>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</si>
  <si>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</si>
  <si>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</si>
  <si>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</si>
  <si>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</si>
  <si>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</si>
  <si>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</si>
  <si>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</si>
  <si>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</si>
  <si>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</si>
  <si>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</si>
  <si>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</si>
  <si>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</si>
  <si>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</si>
  <si>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</si>
  <si>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</si>
  <si>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</si>
  <si>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</si>
  <si>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</si>
  <si>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</si>
  <si>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</si>
  <si>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</si>
  <si>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</si>
  <si>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</si>
  <si>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</si>
  <si>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</si>
  <si>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</si>
  <si>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</si>
  <si>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</si>
  <si>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</si>
  <si>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</si>
  <si>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</si>
  <si>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</si>
  <si>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</si>
  <si>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</si>
  <si>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</si>
  <si>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</si>
  <si>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</si>
  <si>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</si>
  <si>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</si>
  <si>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</si>
  <si>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</si>
  <si>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</si>
  <si>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</si>
  <si>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</si>
  <si>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</si>
  <si>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</si>
  <si>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</si>
  <si>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</si>
  <si>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</si>
  <si>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</si>
  <si>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</si>
  <si>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</si>
  <si>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</si>
  <si>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</si>
  <si>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</si>
  <si>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</si>
  <si>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</si>
  <si>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</si>
  <si>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</si>
  <si>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</si>
  <si>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</si>
  <si>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</si>
  <si>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</si>
  <si>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</si>
  <si>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</si>
  <si>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</si>
  <si>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</si>
  <si>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</si>
  <si>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</si>
  <si>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</si>
  <si>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</si>
  <si>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</si>
  <si>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</si>
  <si>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</si>
  <si>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</si>
  <si>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</si>
  <si>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</si>
  <si>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</si>
  <si>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</si>
  <si>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</si>
  <si>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</si>
  <si>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</si>
  <si>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</si>
  <si>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</si>
  <si>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</si>
  <si>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</si>
  <si>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</si>
  <si>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</si>
  <si>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</si>
  <si>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</si>
  <si>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</si>
  <si>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</si>
  <si>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</si>
  <si>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</si>
  <si>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</si>
  <si>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</si>
  <si>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</si>
  <si>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</si>
  <si>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</si>
  <si>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</si>
  <si>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</si>
  <si>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</si>
  <si>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</si>
  <si>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</si>
  <si>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</si>
  <si>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</si>
  <si>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</si>
  <si>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</si>
  <si>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</si>
  <si>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</si>
  <si>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</si>
  <si>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</si>
  <si>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</si>
  <si>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</si>
  <si>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</si>
  <si>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</si>
  <si>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</si>
  <si>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</si>
  <si>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</si>
  <si>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</si>
  <si>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</si>
  <si>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</si>
  <si>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</si>
  <si>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</si>
  <si>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</si>
  <si>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</si>
  <si>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</si>
  <si>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</si>
  <si>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</si>
  <si>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</si>
  <si>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</si>
  <si>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</si>
  <si>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</si>
  <si>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</si>
  <si>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</si>
  <si>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</si>
  <si>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</si>
  <si>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</si>
  <si>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</si>
  <si>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</si>
  <si>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</si>
  <si>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</si>
  <si>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</si>
  <si>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</si>
  <si>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</si>
  <si>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</si>
  <si>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</si>
  <si>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</si>
  <si>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</si>
  <si>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</si>
  <si>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</si>
  <si>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</si>
  <si>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</si>
  <si>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</si>
  <si>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</si>
  <si>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</si>
  <si>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</si>
  <si>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</si>
  <si>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</si>
  <si>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</si>
  <si>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</si>
  <si>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</si>
  <si>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</si>
  <si>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</si>
  <si>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</si>
  <si>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</si>
  <si>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</si>
  <si>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</si>
  <si>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</si>
  <si>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</si>
  <si>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</si>
  <si>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</si>
  <si>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</si>
  <si>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</si>
  <si>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</si>
  <si>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</si>
  <si>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</si>
  <si>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</si>
  <si>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</si>
  <si>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</si>
  <si>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</si>
  <si>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</si>
  <si>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</si>
  <si>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</si>
  <si>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</si>
  <si>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</si>
  <si>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</si>
  <si>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</si>
  <si>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</si>
  <si>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</si>
  <si>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</si>
  <si>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</si>
  <si>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</si>
  <si>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</si>
  <si>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</si>
  <si>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</si>
  <si>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</si>
  <si>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</si>
  <si>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</si>
  <si>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REMARK</t>
  </si>
  <si>
    <t>nvarchar(500)</t>
  </si>
  <si>
    <t>BACK_NO</t>
  </si>
  <si>
    <t>MODEL</t>
  </si>
  <si>
    <t>Painting Bumper Part List</t>
  </si>
  <si>
    <t>MstPtsBmpPartList</t>
  </si>
  <si>
    <t>BmpPartList</t>
  </si>
  <si>
    <t>Master.Painting</t>
  </si>
  <si>
    <t>CFC</t>
  </si>
  <si>
    <t>GRADE</t>
  </si>
  <si>
    <t>PART_TYPE_ID</t>
  </si>
  <si>
    <t>IS_PUNCH</t>
  </si>
  <si>
    <t>SPECIAL_COLOR</t>
  </si>
  <si>
    <t>SIGNAL_ID</t>
  </si>
  <si>
    <t>SIGNAL_CODE</t>
  </si>
  <si>
    <t>PK_PROCESS</t>
  </si>
  <si>
    <t>PROCESS</t>
  </si>
  <si>
    <t>PART_TYPE_CODE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</si>
</sst>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16" workbookViewId="0">
      <selection activeCell="G36" sqref="G3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vovina.Master.Painting
{
	[Table("MstPtsBmpPartList")]
	[Index(nameof(Model), Name="IX_MstPtsBmpPartList_Model")]
	[Index(nameof(BackNo), Name="IX_MstPtsBmpPartList_BackNo")]
	[Index(nameof(ProdLine), Name="IX_MstPtsBmpPartList_ProdLine")]
	[Index(nameof(PartTypeCode), Name="IX_MstPtsBmpPartList_PartTypeCode")]
	[Index(nameof(IsActive), Name="IX_MstPtsBmpPartList_IsActive")]	public class MstPtsBmpPartList: FullAuditedEntity&lt;long&gt;, IEntity&lt;long&gt;	
	{
		public const int MaxModelLength = 50;
		public const int MaxCfcLength = 50;
		public const int MaxGradeLength = 50;
		public const int MaxBackNoLength = 50;
		public const int MaxProdLineLength = 50;
		public const int MaxPartTypeCodeLength = 50;
		public const int MaxProcessLength = 50;
		public const int MaxPkProcessLength = 50;
		public const int MaxIsPunchLength = 1;
		public const int MaxSpecialColorLength = 50;
		public const int MaxSignalCodeLength = 50;
		public const int MaxRemarkLength = 500;
		public const int MaxIsActiveLength = 1;
		[StringLength(MaxModelLength)]
		public virtual string Model { get; set; }
		[StringLength(MaxCfcLength)]
		public virtual string Cfc { get; set; }
		[StringLength(MaxGradeLength)]
		public virtual string Grade { get; set; }
		[StringLength(MaxBackNoLength)]
		public virtual string BackNo { get; set; }
		[StringLength(MaxProdLineLength)]
		public virtual string ProdLine { get; set; }
		[StringLength(MaxPartTypeCodeLength)]
		public virtual string PartTypeCode { get; set; }
		public virtual long PartTypeId { get; set; }
		[StringLength(MaxProcessLength)]
		public virtual string Process { get; set; }
		[StringLength(MaxPkProcessLength)]
		public virtual string PkProcess { get; set; }
		[StringLength(MaxIsPunchLength)]
		public virtual string IsPunch { get; set; }
		[StringLength(MaxSpecialColorLength)]
		public virtual string SpecialColor { get; set; }
		public virtual long SignalId { get; set; }
		[StringLength(MaxSignalCodeLength)]
		public virtual string SignalCode { get; set; }
		[StringLength(MaxRemarkLength)]
		public virtual string Remark { get; set; }
		[StringLength(MaxIsActiveLength)]
		public virtual string IsActive { get; set; }
	}
}
</v>
      </c>
      <c r="D58" s="51" t="str">
        <f>A.Backend!O7</f>
        <v xml:space="preserve">		public const string Pages_Master_Painting_BmpPartList = "Pages.Master.Painting.BmpPartList";
		public const string Pages_Master_Painting_BmpPartList_CreateEdit = "Pages.Master.Painting.BmpPartList.CreateEdit";
		public const string Pages_Master_Painting_BmpPartList_Delete = "Pages.Master.Painting.BmpPartList.Delete";
</v>
      </c>
      <c r="E58" s="51" t="str">
        <f>A.Backend!N7</f>
        <v xml:space="preserve">		var perMstPtsBmpPartList = PARENTS.CreateChildPermission(AppPermissions.Pages_Master_Painting_BmpPartList, L( "MasterPaintingBmpPartList"), multiTenancySides: MultiTenancySides.Tenant);
		perMstPtsBmpPartList.CreateChildPermission(AppPermissions.Pages_Master_Painting_BmpPartList_CreateEdit, L( "MasterPaintingBmpPartListCreateEdit"), multiTenancySides: MultiTenancySides.Tenant);
		perMstPtsBmpPartList.CreateChildPermission(AppPermissions.Pages_Master_Painting_BmpPartList_Delete, L( "MasterPaintingBmpPartListDelete"), multiTenancySides: MultiTenancySides.Tenant);</v>
      </c>
      <c r="F58" s="51" t="str">
        <f>A.Backend!K7</f>
        <v>public virtual DbSet&lt;MstPtsBmpPartList&gt; MstPtsBmpPartLists { get; set; }</v>
      </c>
      <c r="G58" s="51" t="str">
        <f ca="1">A.Backend!L7</f>
        <v xml:space="preserve">namespace vovina.Master.Painting
{
	public class MstPtsBmpPartListConsts	
	{
		public const int MaxModelLength = 50;
		public const int MaxCfcLength = 50;
		public const int MaxGradeLength = 50;
		public const int MaxBackNoLength = 50;
		public const int MaxProdLineLength = 50;
		public const int MaxPartTypeCodeLength = 50;
		public const int MaxProcessLength = 50;
		public const int MaxPkProcessLength = 50;
		public const int MaxIsPunchLength = 1;
		public const int MaxSpecialColorLength = 50;
		public const int MaxSignalCodeLength = 50;
		public const int MaxRemarkLength = 500;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vovina.Master.Painting.Dto
{
	public class MstPtsBmpPartListDto : EntityDto&lt;long?&gt;	
	{
		public virtual string Model { get; set; }
		public virtual string Cfc { get; set; }
		public virtual string Grade { get; set; }
		public virtual string BackNo { get; set; }
		public virtual string ProdLine { get; set; }
		public virtual string PartTypeCode { get; set; }
		public virtual long PartTypeId { get; set; }
		public virtual string Process { get; set; }
		public virtual string PkProcess { get; set; }
		public virtual string IsPunch { get; set; }
		public virtual string SpecialColor { get; set; }
		public virtual long SignalId { get; set; }
		public virtual string SignalCode { get; set; }
		public virtual string Remark { get; set; }
		public virtual string IsActive { get; set; }
	}
	public class CreateOrEditMstPtsBmpPartListDto : EntityDto&lt;long?&gt;	
	{
		[StringLength(MstPtsBmpPartListConsts.MaxModelLength)]
		public virtual string Model { get; set; }
		[StringLength(MstPtsBmpPartListConsts.MaxCfcLength)]
		public virtual string Cfc { get; set; }
		[StringLength(MstPtsBmpPartListConsts.MaxGradeLength)]
		public virtual string Grade { get; set; }
		[StringLength(MstPtsBmpPartListConsts.MaxBackNoLength)]
		public virtual string BackNo { get; set; }
		[StringLength(MstPtsBmpPartListConsts.MaxProdLineLength)]
		public virtual string ProdLine { get; set; }
		[StringLength(MstPtsBmpPartListConsts.MaxPartTypeCodeLength)]
		public virtual string PartTypeCode { get; set; }
		public virtual long PartTypeId { get; set; }
		[StringLength(MstPtsBmpPartListConsts.MaxProcessLength)]
		public virtual string Process { get; set; }
		[StringLength(MstPtsBmpPartListConsts.MaxPkProcessLength)]
		public virtual string PkProcess { get; set; }
		[StringLength(MstPtsBmpPartListConsts.MaxIsPunchLength)]
		public virtual string IsPunch { get; set; }
		[StringLength(MstPtsBmpPartListConsts.MaxSpecialColorLength)]
		public virtual string SpecialColor { get; set; }
		public virtual long SignalId { get; set; }
		[StringLength(MstPtsBmpPartListConsts.MaxSignalCodeLength)]
		public virtual string SignalCode { get; set; }
		[StringLength(MstPtsBmpPartListConsts.MaxRemarkLength)]
		public virtual string Remark { get; set; }
		[StringLength(MstPtsBmpPartListConsts.MaxIsActiveLength)]
		public virtual string IsActive { get; set; }
	}
	public class GetMstPtsBmpPartListInput : PagedAndSortedResultRequestDto	
	{
		public virtual string Model { get; set; }
		public virtual string Cfc { get; set; }
		public virtual string Grade { get; set; }
		public virtual string BackNo { get; set; }
		public virtual string ProdLine { get; set; }
		public virtual string PartTypeCode { get; set; }
		public virtual string Process { get; set; }
		public virtual string PkProcess { get; set; }
		public virtual string IsPunch { get; set; }
		public virtual string SpecialColor { get; set; }
		public virtual string SignalCode { get; set; }
		public virtual string Remark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vovina.Master.Painting.Dto
{
	public class MstPtsBmpPartListExportInput{
		public virtual string Model { get; set; }
		public virtual string Cfc { get; set; }
		public virtual string Grade { get; set; }
		public virtual string BackNo { get; set; }
		public virtual string ProdLine { get; set; }
		public virtual string PartTypeCode { get; set; }
		public virtual long PartTypeId { get; set; }
		public virtual string Process { get; set; }
		public virtual string PkProcess { get; set; }
		public virtual string IsPunch { get; set; }
		public virtual string SpecialColor { get; set; }
		public virtual long SignalId { get; set; }
		public virtual string SignalCode { get; set; }
		public virtual string Remark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vovina.Master.Painting.Dto;
namespace vovina.Master.Painting
{
	public interface IMstPtsBmpPartListAppService : IApplicationService
	{
		Task&lt;PagedResultDto&lt;MstPtsBmpPartListDto&gt;&gt; GetAll(GetMstPtsBmpPartListInput input);
		Task CreateOrEdit(CreateOrEditMstPtsBmpPartListDto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vovina.Master.Painting.Dto;
namespace vovina.Master.Painting.Exporting
{
	public interface IMstPtsBmpPartListExcelExporter : IApplicationService
	{
		FileDto ExportToFile(List&lt;MstPtsBmpPartListDto&gt; mstptsbmppartlist);
	}
}
</v>
      </c>
      <c r="L58" s="51" t="str">
        <f ca="1">A.Backend!T7</f>
        <v>using System.Collections.Generic;
using vovina.DataExporting.Excel.NPOI;
using vovina.Dto;
using vovina.Master.Painting.Exporting;
using vovina.Master.Painting.Dto;
using vovina.Storage;
using vovina.Master.Painting.Dto;
namespace vovina.Master.Painting.Exporting
{
    public class MstPtsBmpPartListExcelExporter : NpoiExcelExporterBase, IMstPtsBmpPartListExcelExporter
    {
        public MstPtsBmpPartListExcelExporter(ITempFileCacheManager tempFileCacheManager) : base(tempFileCacheManager) { }
        public FileDto ExportToFile(List&lt;MstPtsBmpPartListDto&gt; bmppartlist)
        {
            return CreateExcelPackage(
				"MasterPaintingBmpPartList.xlsx",
				excelPackage =&gt;
				 {
					var sheet = excelPackage.CreateSheet("BmpPartList");
					AddHeader(
								sheet,
								("Model"),
								("Cfc"),
								("Grade"),
								("BackNo"),
								("ProdLine"),
								("PartTypeCode"),
								("PartTypeId"),
								("Process"),
								("PkProcess"),
								("IsPunch"),
								("SpecialColor"),
								("SignalId"),
								("SignalCode"),
								("Remark"),
								("IsActive"),
							   );
					AddObjects(
						 sheet, 1, bmppartlist,                                       
								_ =&gt; _.Model,
								_ =&gt; _.Cfc,
								_ =&gt; _.Grade,
								_ =&gt; _.BackNo,
								_ =&gt; _.ProdLine,
								_ =&gt; _.PartTypeCode,
								_ =&gt; _.PartTypeId,
								_ =&gt; _.Process,
								_ =&gt; _.PkProcess,
								_ =&gt; _.IsPunch,
								_ =&gt; _.SpecialColor,
								_ =&gt; _.SignalId,
								_ =&gt; _.SignalCode,
								_ =&gt; _.Remark,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vovina.Master.Painting.Dto;
using vovina.Master.Painting.Exporting;
namespace vovina.Master.Painting
{
    [AbpAuthorize(AppPermissions.Pages_Master_Painting_BmpPartList)]
    public class MstPtsBmpPartListAppService : vovinaAppServiceBase, IMstPtsBmpPartListAppService
    {
        private readonly IDapperRepository&lt;MstPtsBmpPartList, long&gt; _dapperRepo;
        private readonly IRepository&lt;MstPtsBmpPartList, long&gt; _repo;
        private readonly IMstPtsBmpPartListExcelExporter _calendarListExcelExporter;
        public MstPtsBmpPartListAppService(IRepository&lt;MstPtsBmpPartList,long&gt; repo, 
                                         IDapperRepository&lt;MstPtsBmpPartList,long&gt; dapperRepo,
                                        IMstPtsBmpPartListExcelExporter calendarListExcelExporter
            )
        {
            _repo = repo;
            _dapperRepo = dapperRepo;
            _calendarListExcelExporter = calendarListExcelExporter;
        }
        [AbpAuthorize(AppPermissions.Pages_Master_Painting_BmpPartList_CreateEdit)]
        public async Task CreateOrEdit(CreateOrEditMstPtsBmpPartListDto input)
        {
            if (input.Id == null) await Create(input);
            else await Update(input);
        }
        //CREATE
        private async Task Create(CreateOrEditMstPtsBmpPartListDto input)
        {          
            var mainObj = ObjectMapper.Map&lt;MstPtsBmpPartList&gt;(input);
            await CurrentUnitOfWork.GetDbContext&lt;vovinaDbContext&gt;().AddAsync(mainObj);
        }
        // EDIT
        private async Task Update(CreateOrEditMstPtsBmpPartListDto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[AbpAuthorize(AppPermissions.Pages_Master_Painting_BmpPartList_Delete)]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Task&lt;PagedResultDto&lt;MstPtsBmpPartListDto&gt;&gt; GetAll(GetMstPtsBmpPartListInput input)
        {
            var filtered = _repo.GetAll()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.WhereIf(!string.IsNullOrWhiteSpace(input.BackNo), e =&gt; e.BackNo.Contains(input.BackNo))
				.WhereIf(!string.IsNullOrWhiteSpace(input.ProdLine), e =&gt; e.ProdLine.Contains(input.ProdLine))
				.WhereIf(!string.IsNullOrWhiteSpace(input.PartTypeCode), e =&gt; e.PartTypeCode.Contains(input.PartTypeCode))
				.WhereIf(!string.IsNullOrWhiteSpace(input.Process), e =&gt; e.Process.Contains(input.Process))
				.WhereIf(!string.IsNullOrWhiteSpace(input.PkProcess), e =&gt; e.PkProcess.Contains(input.PkProcess))
				.WhereIf(!string.IsNullOrWhiteSpace(input.IsPunch), e =&gt; e.IsPunch.Contains(input.IsPunch))
				.WhereIf(!string.IsNullOrWhiteSpace(input.SpecialColor), e =&gt; e.SpecialColor.Contains(input.SpecialColor))
				.WhereIf(!string.IsNullOrWhiteSpace(input.SignalCode), e =&gt; e.SignalCode.Contains(input.SignalCode))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MstPtsBmpPartListDto
                        {
							Id = o.Id,
							Model = o.Model,
							Cfc = o.Cfc,
							Grade = o.Grade,
							BackNo = o.BackNo,
							ProdLine = o.ProdLine,
							PartTypeCode = o.PartTypeCode,
							PartTypeId = o.PartTypeId,
							Process = o.Process,
							PkProcess = o.PkProcess,
							IsPunch = o.IsPunch,
							SpecialColor = o.SpecialColor,
							SignalId = o.SignalId,
							SignalCode = o.SignalCode,
							Remark = o.Remark,
							IsActive = o.IsActive,
                        };
            var totalCount = await filtered.CountAsync();
			var paged = system.PageBy(input);
            return new PagedResultDto&lt;MstPtsBmpPartListDto&gt;(
                totalCount,
                 await paged.ToListAsync()
            );
        }
        public async Task&lt;FileDto&gt; GetBmpPartListToExcel(MstPtsBmpPartListExportInput input)
        {
            var query = from o in _repo.GetAll()
                        select new MstPtsBmpPartListDto
                        {
							Id = o.Id,
							Model = o.Model,
							Cfc = o.Cfc,
							Grade = o.Grade,
							BackNo = o.BackNo,
							ProdLine = o.ProdLine,
							PartTypeCode = o.PartTypeCode,
							PartTypeId = o.PartTypeId,
							Process = o.Process,
							PkProcess = o.PkProcess,
							IsPunch = o.IsPunch,
							SpecialColor = o.SpecialColor,
							SignalId = o.SignalId,
							SignalCode = o.SignalCode,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_dapperRepo.ExecuteAsync(MstPtsBmpPartListConsts.SP_MST_WPT_CALENDAR_GENERATE);
       // }
    }
}</v>
      </c>
      <c r="N58" s="62" t="str">
        <f>A.Backend!U7</f>
        <v xml:space="preserve">  configuration.CreateMap&lt;MstPtsBmpPartListDto, MstPtsBmpPartList&gt;();
  configuration.CreateMap&lt;MstPtsBmpPartList, MstPtsBmpPartListDto&gt;();
  configuration.CreateMap&lt;CreateOrEditMstPtsBmpPartListDto, MstPtsBmpPartList&gt;();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bmppartlist</v>
      </c>
      <c r="C63" s="72" t="str">
        <f>"create folder " &amp;B63</f>
        <v>create folder bmppartlist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bmppartlist.component.ts</v>
      </c>
      <c r="D64" s="31" t="str">
        <f>B.Frontend!I14</f>
        <v>bmppartlist.component.html</v>
      </c>
      <c r="E64" s="31" t="str">
        <f>B.Frontend!J14</f>
        <v>bmppartlist.component.less</v>
      </c>
      <c r="F64" s="31" t="str">
        <f>B.Frontend!K14</f>
        <v>create-or-edit-bmppartlist-modal.component.html</v>
      </c>
      <c r="G64" s="31" t="str">
        <f>B.Frontend!L14</f>
        <v>create-or-edit-bmppartlist-modal.component.ts</v>
      </c>
      <c r="H64" s="31" t="str">
        <f>B.Frontend!M14</f>
        <v>create-or-edit-bmppartlist-modal.component.less</v>
      </c>
      <c r="I64" s="31" t="str">
        <f>B.Frontend!N14</f>
        <v>bmppartlist.module.ts</v>
      </c>
      <c r="J64" s="31" t="str">
        <f>B.Frontend!O14</f>
        <v>bmppartlist-routing.module.ts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MstPtsBmpPartListDto, MstPtsBmpPartListServiceProxy } from '@shared/service-proxies/service-proxies';
import { finalize } from 'rxjs/internal/operators/finalize';
import { CreateOrEditBmpPartListModalComponent } from './create-or-edit-bmppartlist-modal.component';
import { DatePipe } from '@angular/common';
import { FileDownloadService } from '@shared/utils/file-download.service';
import ceil from 'lodash-es/ceil';
import { Paginator } from 'primeng/paginator';
@Component({
    templateUrl: './bmppartlist.component.html',
    styleUrls: ['./bmppartlist.component.less'],
})
export class BmpPartListComponent extends AppComponentBase implements OnInit {
    @ViewChild('createOrEditModalBmpPartList', { static: true }) createOrEditModalBmpPartList:| CreateOrEditBmpPartListModalComponent|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MstPtsBmpPartListDto = new MstPtsBmpPartListDto();
    saveSelectedRow: MstPtsBmpPartListDto = new MstPtsBmpPartListDto();
    datas: MstPtsBmpPartListDto = new MstPtsBmpPartListDto();
    isLoading: boolean = false;
    dataParams: GridParams | undefined;
    rowData: any[] = [];
    gridApi!: GridApi;
    rowSelection = 'multiple';
    filter: string = '';
	pipe = new DatePipe('en-US');
	frameworkComponents: FrameworkComponent;
    	model : string = '' ; 
	cfc : string = '' ; 
	grade : string = '' ; 
	backNo : string = '' ; 
	prodLine : string = '' ; 
	partTypeCode : string = '' ; 
	partTypeId
	process : string = '' ; 
	pkProcess : string = '' ; 
	isPunch : string = '' ; 
	specialColor : string = '' ; 
	signalId
	signalCode : string = '' ; 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MstPtsBmpPartListServiceProxy,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this.l('Back No'),headerTooltip: this.l('Back No'),field: 'backNo',flex: 1},
			{headerName: this.l('Prod Line'),headerTooltip: this.l('Prod Line'),field: 'prodLine',flex: 1},
			{headerName: this.l('Part Type Code'),headerTooltip: this.l('Part Type Code'),field: 'partTypeCode',flex: 1},
			{headerName: this.l('Part Type Id'),headerTooltip: this.l('Part Type Id'),field: 'partTypeId',flex: 1},
			{headerName: this.l('Process'),headerTooltip: this.l('Process'),field: 'process',flex: 1},
			{headerName: this.l('Pk Process'),headerTooltip: this.l('Pk Process'),field: 'pkProcess',flex: 1},
			{headerName: this.l('Is Punch'),headerTooltip: this.l('Is Punch'),field:  'isPunch', cellClass: ['text-center'], width: 120, cellRenderer: 'agCellButtonComponent',
buttonDefTwo: { text: params =&gt; (params.data?.'isPunch' == 'Y') ? 'Active' : 'Inactive',iconName: 'fa fa-circle',className: params =&gt; (params.data?.'isPunch' == 'Y') ? 'btnActive' : 'btnInActive',},}
			{headerName: this.l('Special Color'),headerTooltip: this.l('Special Color'),field: 'specialColor',flex: 1},
			{headerName: this.l('Signal Id'),headerTooltip: this.l('Signal Id'),field: 'signalId',flex: 1},
			{headerName: this.l('Signal Code'),headerTooltip: this.l('Signal Code'),field: 'signalCode',flex: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this.cfc,
			this.grade,
			this.backNo,
			this.prodLine,
			this.partTypeCode,
			this.partTypeId,
			this.process,
			this.pkProcess,
			this.isPunch,
			this.specialColor,
			this.signalId,
			this.signalCode,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this.model = '',
		this.cfc = '',
		this.grade = '',
		this.backNo = '',
		this.prodLine = '',
		this.partTypeCode = '',
		this.partTypeId = '',
		this.process = '',
		this.pkProcess = '',
		this.isPunch = '',
		this.specialColor = '',
		this.signalId = '',
		this.signalCode = '',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this.cfc,
			this.grade,
			this.backNo,
			this.prodLine,
			this.partTypeCode,
			this.partTypeId,
			this.process,
			this.pkProcess,
			this.isPunch,
			this.specialColor,
			this.signalId,
			this.signalCode,
			this.remark,
			this.isActive,
			'',
            this.paginationParams.skipCount,
            this.paginationParams.pageSize
        );
    }
    onChangeRowSelection(params: { api: { getSelectedRows: () =&gt; MstPtsBmpPartListDto[] } }) {
        this.saveSelectedRow = params.api.getSelectedRows()[0] ?? new MstPtsBmpPartListDto();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MstPtsBmpPartListDto):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this._service.getBmpPartListToExcel(
			this.model,
			this.cfc,
			this.grade,
			this.backNo,
			this.prodLine,
			this.partTypeCode,
			this.partTypeId,
			this.process,
			this.pkProcess,
			this.isPunch,
			this.specialColor,
			this.signalId,
			this.signalCode,
			this.remark,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Bumper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[(ngModel)]='partTypeCode' name='partTypeCode'
									class='form-control' [placeholder]="l('Part Type Code')"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[(ngModel)]='pkProcess' name='pkProcess'
									class='form-control' [placeholder]="l('Pk Process')"
									type='text' (keyup.enter)='searchDatas()'&gt;
								&lt;/div&gt;
								&lt;div class='input-search'&gt;
									&lt;input [(ngModel)]='isPunch' name='isPunch'
									class='form-control' [placeholder]="l('Is Punch')"
									type='text' (keyup.enter)='searchDatas()'&gt;
								&lt;/div&gt;
								&lt;div class='input-search'&gt;
									&lt;input [(ngModel)]='specialColor' name='specialColor'
									class='form-control' [placeholder]="l('Special Color')"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(click)="createOrEditModalBmpPartList.show()"&gt;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(click)="createOrEditModalBmpPartList.show(selectedRow)"&gt;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&lt;create-or-edit-bmppartlist-modal
    #createOrEditModalBmpPartList
    (modalSave)="callBackDataGrid(dataParams)"
    (modalClose)="onChangeRowSelection(dataParams)"
&gt;
&lt;/create-or-edit-bmppartlist-modal&gt;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#createOrEditModalBmpPartList="bs-modal"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BmpPartList')}}&lt;/h3&gt;
                    &lt;h3 *ngIf="!rowdata.id"&gt;{{('Create New BmpPartList')}}&lt;/h3&gt;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title'&gt;Part Type Code&lt;/label&gt;
						&lt;input type='text' class='col-md-10 form-control input-text' name='PartTypeCode' [(ngModel)]='rowdata.partTypeCode'&gt;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title'&gt;Pk Process&lt;/label&gt;
						&lt;input type='text' class='col-md-10 form-control input-text' name='PkProcess' [(ngModel)]='rowdata.pkProcess'&gt;
					&lt;/div&gt;
					&lt;div class='col-md-12 form-group row'&gt;
						&lt;label class='col-md-2 form-control title'&gt;Is Punch&lt;/label&gt;
						&lt;new-checkbox [(ngModel)]='_isPunch' name='isPunch' className='col-md-10' &gt; &lt;/new-checkbox&gt;
					&lt;/div&gt;
					&lt;div class='col-md-12 form-group row'&gt;
						&lt;label class='col-md-2 form-control title'&gt;Special Color&lt;/label&gt;
						&lt;input type='text' class='col-md-10 form-control input-text' name='SpecialColor' [(ngModel)]='rowdata.specialColor'&gt;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CreateOrEditMstPtsBmpPartListDto, MstPtsBmpPartListServiceProxy } from '@shared/service-proxies/service-proxies';
import { BsDatepickerDirective } from 'ngx-bootstrap/datepicker';
@Component({
    selector: 'create-or-edit-bmppartlist-modal',
    templateUrl: './create-or-edit-bmppartlist-modal.component.html',
    styleUrls: ['./create-or-edit-bmppartlist-modal.component.less']
    })
export class CreateOrEditBmpPartListModalComponent extends AppComponentBase {
    @ViewChild('createOrEditModalBmpPartList',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CreateOrEditMstPtsBmpPartListDto = new CreateOrEditMstPtsBmpPartListDto();
    active: boolean = false;
    saving: boolean = false;
    _isPunch
isActive: boolean;
    constructor(
        injector: Injector,
        private _mstwptBmpPartListService: MstPtsBmpPartListServiceProxy,
    ) 
    {
        super(injector);
    }
    show(rowdata?: CreateOrEditMstPtsBmpPartListDto): void {
        if (!rowdata) this.rowdata = new CreateOrEditMstPtsBmpPartListDto();
        else this.rowdata = rowdata;
        this._isPunch
isActive = (this.rowdata.isPunch
isActive == "N")? false: true;
        this.active = true;
        this.modal.show();
    } 
    changeActive(event){
        this._isPunch
isActive = event.target.checked;
    }
    save(): void {
    this.saving = true; 
    this.rowdata.isPunch
isActive = (this._isPunch
isActive == true) ? 'Y' : 'N'
    this._mstwptBmpPartListService.createOrEdit(this.rowdata)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BmpPartListRoutingModule } from './bmppartlist-routing.module';
import { BmpPartListComponent } from './bmppartlist.component';
import { CreateOrEditBmpPartListModalComponent } from './create-or-edit-bmppartlist-modal.component';
@NgModule({
    declarations: [
       BmpPartListComponent, 
        CreateOrEditBmpPartListModalComponent
    ],
    imports: [
        AppSharedModule, BmpPartListRoutingModule]
})
export class BmpPartListModule {}</v>
      </c>
      <c r="J65" s="49" t="str">
        <f>B.Frontend!O10</f>
        <v>import {NgModule} from '@angular/core';
import {RouterModule, Routes} from '@angular/router';
import { BmpPartListComponent } from './bmppartlist.component';
const routes: Routes = [{
    path: '',
    component: BmpPartListComponent,
    pathMatch: 'full'
}];
@NgModule({
    imports: [RouterModule.forChild(routes)],
    exports: [RouterModule],
})
export class BmpPartListRoutingModule {}</v>
      </c>
      <c r="K65" s="49" t="str">
        <f>B.Frontend!P10</f>
        <v xml:space="preserve"> new AppMenuItem("BmpPartList", "Pages.Master.Painting.BmpPartList", "flaticon-book",   "/app/main/master/painting/bmppartlist"),</v>
      </c>
      <c r="L65" s="50" t="str">
        <f>B.Frontend!Q10</f>
        <v>{
    path: 'master/painting/bmppartlist',
    loadChildren: () =&gt; import('./master/painting/bmppartlist/bmppartlist.module').then(m =&gt; m.BmpPartListModule),
    data: { permission: 'Pages.Master.Painting.BmpPartList' }
},</v>
      </c>
      <c r="M65" s="48" t="str">
        <f>B.Frontend!R10</f>
        <v>ApiServiceProxies.MstPtsBmpPartListServiceProxy,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tabSelected="1" workbookViewId="0">
      <pane xSplit="1" topLeftCell="B1" activePane="topRight" state="frozen"/>
      <selection pane="topRight" activeCell="A18" sqref="A18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vovina.Master.Painting.Dto;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332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330</v>
      </c>
      <c r="C3" s="10" t="s">
        <v>43</v>
      </c>
      <c r="D3" s="10" t="s">
        <v>44</v>
      </c>
      <c r="E3" s="10" t="s">
        <v>39</v>
      </c>
      <c r="F3" s="11" t="str">
        <f>"J"&amp;COUNTA($A:$A)</f>
        <v>J23</v>
      </c>
      <c r="G3" s="4" t="s">
        <v>57</v>
      </c>
      <c r="H3" s="10" t="str">
        <f>"I"&amp;COUNTA($A:$A)</f>
        <v>I23</v>
      </c>
      <c r="I3" s="10" t="str">
        <f>REPT(CHAR(9),2)&amp;"[Required]"&amp;"
"</f>
        <v xml:space="preserve">		[Required]
</v>
      </c>
      <c r="J3" s="11" t="str">
        <f>"L"&amp;COUNTA($A:$A)</f>
        <v>L23</v>
      </c>
      <c r="K3" s="5" t="s">
        <v>56</v>
      </c>
      <c r="L3" s="11" t="str">
        <f>"M"&amp;COUNTA($A:$A)</f>
        <v>M23</v>
      </c>
      <c r="M3" s="11" t="str">
        <f>"N"&amp;COUNTA($A:$A)</f>
        <v>N23</v>
      </c>
      <c r="N3" s="11" t="str">
        <f>"O"&amp;COUNTA($A:$A)</f>
        <v>O23</v>
      </c>
      <c r="O3" s="11" t="str">
        <f>"P"&amp;COUNTA($A:$A)</f>
        <v>P23</v>
      </c>
      <c r="Q3" s="11" t="str">
        <f>RIGHT(B2,(LEN(B2)-FIND(".",B2,1)))</f>
        <v>Painting</v>
      </c>
      <c r="R3" s="32" t="str">
        <f>REPT(CHAR(9),1)&amp;"public class "&amp;B3&amp;"ExportInput"&amp;C3</f>
        <v xml:space="preserve">	public class MstPtsBmpPartListExportInput{
</v>
      </c>
      <c r="S3" s="11" t="str">
        <f>"namespace "&amp;$B$6&amp;".Exporting
"&amp;$C$3</f>
        <v xml:space="preserve">namespace vovina.Master.Painting.Exporting
{
</v>
      </c>
      <c r="T3" s="11" t="str">
        <f>"T"&amp;COUNTA($A:$A)</f>
        <v>T23</v>
      </c>
      <c r="V3" s="11" t="str">
        <f>"V"&amp;COUNTA($A:$A)</f>
        <v>V23</v>
      </c>
      <c r="W3" s="10" t="str">
        <f>"W"&amp;COUNTA($A:$A)</f>
        <v>W23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vovina.Master.Painting</v>
      </c>
      <c r="C6" s="11" t="str">
        <f>"namespace "&amp;$B$6&amp;"
"&amp;$C$3</f>
        <v xml:space="preserve">namespace vovina.Master.Painting
{
</v>
      </c>
      <c r="D6" s="11" t="str">
        <f>REPT(CHAR(9),1)&amp;"public class "&amp;B3&amp;G3&amp;REPT(CHAR(9),1)&amp;"
"&amp;REPT(CHAR(9),1)&amp;C3</f>
        <v xml:space="preserve">	public class MstPtsBmpPartList: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MstPtsBmpPartListConsts	
	{
</v>
      </c>
      <c r="F6" s="11" t="str">
        <f>REPT(CHAR(9),1)&amp;"public class "&amp;B3&amp;"Dto"&amp;K3&amp;REPT(CHAR(9),1)&amp;"
"&amp;REPT(CHAR(9),1)&amp;C3</f>
        <v xml:space="preserve">	public class MstPtsBmpPartListDto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CreateOrEditMstPtsBmpPartListDto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GetMstPtsBmpPartListInput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MstPtsBmpPartList</v>
      </c>
      <c r="C7" s="11" t="str">
        <f>REPT(CHAR(9),1)&amp;"[Table("""&amp;B7&amp;""")]"&amp;"
"</f>
        <v xml:space="preserve">	[Table("MstPtsBmpPartList")]
</v>
      </c>
      <c r="D7" s="11"/>
      <c r="E7" s="11"/>
      <c r="F7" s="11"/>
      <c r="G7" s="11"/>
      <c r="H7" s="11"/>
      <c r="I7" s="11"/>
      <c r="J7" s="6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vovina.Master.Painting
{
	[Table("MstPtsBmpPartList")]
	[Index(nameof(Model), Name="IX_MstPtsBmpPartList_Model")]
	[Index(nameof(BackNo), Name="IX_MstPtsBmpPartList_BackNo")]
	[Index(nameof(ProdLine), Name="IX_MstPtsBmpPartList_ProdLine")]
	[Index(nameof(PartTypeCode), Name="IX_MstPtsBmpPartList_PartTypeCode")]
	[Index(nameof(IsActive), Name="IX_MstPtsBmpPartList_IsActive")]	public class MstPtsBmpPartList: FullAuditedEntity&lt;long&gt;, IEntity&lt;long&gt;	
	{
		public const int MaxModelLength = 50;
		public const int MaxCfcLength = 50;
		public const int MaxGradeLength = 50;
		public const int MaxBackNoLength = 50;
		public const int MaxProdLineLength = 50;
		public const int MaxPartTypeCodeLength = 50;
		public const int MaxProcessLength = 50;
		public const int MaxPkProcessLength = 50;
		public const int MaxIsPunchLength = 1;
		public const int MaxSpecialColorLength = 50;
		public const int MaxSignalCodeLength = 50;
		public const int MaxRemarkLength = 500;
		public const int MaxIsActiveLength = 1;
		[StringLength(MaxModelLength)]
		public virtual string Model { get; set; }
		[StringLength(MaxCfcLength)]
		public virtual string Cfc { get; set; }
		[StringLength(MaxGradeLength)]
		public virtual string Grade { get; set; }
		[StringLength(MaxBackNoLength)]
		public virtual string BackNo { get; set; }
		[StringLength(MaxProdLineLength)]
		public virtual string ProdLine { get; set; }
		[StringLength(MaxPartTypeCodeLength)]
		public virtual string PartTypeCode { get; set; }
		public virtual long PartTypeId { get; set; }
		[StringLength(MaxProcessLength)]
		public virtual string Process { get; set; }
		[StringLength(MaxPkProcessLength)]
		public virtual string PkProcess { get; set; }
		[StringLength(MaxIsPunchLength)]
		public virtual string IsPunch { get; set; }
		[StringLength(MaxSpecialColorLength)]
		public virtual string SpecialColor { get; set; }
		public virtual long SignalId { get; set; }
		[StringLength(MaxSignalCodeLength)]
		public virtual string SignalCode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DbSet&lt;MstPtsBmpPartList&gt; MstPtsBmpPartLists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vovina.Master.Painting
{
	public class MstPtsBmpPartListConsts	
	{
		public const int MaxModelLength = 50;
		public const int MaxCfcLength = 50;
		public const int MaxGradeLength = 50;
		public const int MaxBackNoLength = 50;
		public const int MaxProdLineLength = 50;
		public const int MaxPartTypeCodeLength = 50;
		public const int MaxProcessLength = 50;
		public const int MaxPkProcessLength = 50;
		public const int MaxIsPunchLength = 1;
		public const int MaxSpecialColorLength = 50;
		public const int MaxSignalCodeLength = 50;
		public const int MaxRemarkLength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vovina.Master.Painting.Dto
{
	public class MstPtsBmpPartListDto : EntityDto&lt;long?&gt;	
	{
		public virtual string Model { get; set; }
		public virtual string Cfc { get; set; }
		public virtual string Grade { get; set; }
		public virtual string BackNo { get; set; }
		public virtual string ProdLine { get; set; }
		public virtual string PartTypeCode { get; set; }
		public virtual long PartTypeId { get; set; }
		public virtual string Process { get; set; }
		public virtual string PkProcess { get; set; }
		public virtual string IsPunch { get; set; }
		public virtual string SpecialColor { get; set; }
		public virtual long SignalId { get; set; }
		public virtual string SignalCode { get; set; }
		public virtual string Remark { get; set; }
		public virtual string IsActive { get; set; }
	}
	public class CreateOrEditMstPtsBmpPartListDto : EntityDto&lt;long?&gt;	
	{
		[StringLength(MstPtsBmpPartListConsts.MaxModelLength)]
		public virtual string Model { get; set; }
		[StringLength(MstPtsBmpPartListConsts.MaxCfcLength)]
		public virtual string Cfc { get; set; }
		[StringLength(MstPtsBmpPartListConsts.MaxGradeLength)]
		public virtual string Grade { get; set; }
		[StringLength(MstPtsBmpPartListConsts.MaxBackNoLength)]
		public virtual string BackNo { get; set; }
		[StringLength(MstPtsBmpPartListConsts.MaxProdLineLength)]
		public virtual string ProdLine { get; set; }
		[StringLength(MstPtsBmpPartListConsts.MaxPartTypeCodeLength)]
		public virtual string PartTypeCode { get; set; }
		public virtual long PartTypeId { get; set; }
		[StringLength(MstPtsBmpPartListConsts.MaxProcessLength)]
		public virtual string Process { get; set; }
		[StringLength(MstPtsBmpPartListConsts.MaxPkProcessLength)]
		public virtual string PkProcess { get; set; }
		[StringLength(MstPtsBmpPartListConsts.MaxIsPunchLength)]
		public virtual string IsPunch { get; set; }
		[StringLength(MstPtsBmpPartListConsts.MaxSpecialColorLength)]
		public virtual string SpecialColor { get; set; }
		public virtual long SignalId { get; set; }
		[StringLength(MstPtsBmpPartListConsts.MaxSignalCodeLength)]
		public virtual string SignalCode { get; set; }
		[StringLength(MstPtsBmpPartListConsts.MaxRemarkLength)]
		public virtual string Remark { get; set; }
		[StringLength(MstPtsBmpPartListConsts.MaxIsActiveLength)]
		public virtual string IsActive { get; set; }
	}
	public class GetMstPtsBmpPartListInput : PagedAndSortedResultRequestDto	
	{
		public virtual string Model { get; set; }
		public virtual string Cfc { get; set; }
		public virtual string Grade { get; set; }
		public virtual string BackNo { get; set; }
		public virtual string ProdLine { get; set; }
		public virtual string PartTypeCode { get; set; }
		public virtual string Process { get; set; }
		public virtual string PkProcess { get; set; }
		public virtual string IsPunch { get; set; }
		public virtual string SpecialColor { get; set; }
		public virtual string SignalCode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perMstPtsBmpPartList = PARENTS.CreateChildPermission(AppPermissions.Pages_Master_Painting_BmpPartList, L( "MasterPaintingBmpPartList"), multiTenancySides: MultiTenancySides.Tenant);
		perMstPtsBmpPartList.CreateChildPermission(AppPermissions.Pages_Master_Painting_BmpPartList_CreateEdit, L( "MasterPaintingBmpPartListCreateEdit"), multiTenancySides: MultiTenancySides.Tenant);
		perMstPtsBmpPartList.CreateChildPermission(AppPermissions.Pages_Master_Painting_BmpPartList_Delete, L( "MasterPaintingBmpPartListDelete"),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Pages_Master_Painting_BmpPartList = "Pages.Master.Painting.BmpPartList";
		public const string Pages_Master_Painting_BmpPartList_CreateEdit = "Pages.Master.Painting.BmpPartList.CreateEdit";
		public const string Pages_Master_Painting_BmpPartList_Delete = "Pages.Master.Painting.BmpPartList.Delete";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vovina.Master.Painting.Dto;
namespace vovina.Master.Painting
{
	public interface IMstPtsBmpPartListAppService : IApplicationService
	{
		Task&lt;PagedResultDto&lt;MstPtsBmpPartListDto&gt;&gt; GetAll(GetMstPtsBmpPartListInput input);
		Task CreateOrEdit(CreateOrEditMstPtsBmpPartListDto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vovina.Master.Painting.Dto;
using vovina.Master.Painting.Exporting;
namespace vovina.Master.Painting
{
    [AbpAuthorize(AppPermissions.Pages_Master_Painting_BmpPartList)]
    public class MstPtsBmpPartListAppService : vovinaAppServiceBase, IMstPtsBmpPartListAppService
    {
        private readonly IDapperRepository&lt;MstPtsBmpPartList, long&gt; _dapperRepo;
        private readonly IRepository&lt;MstPtsBmpPartList, long&gt; _repo;
        private readonly IMstPtsBmpPartListExcelExporter _calendarListExcelExporter;
        public MstPtsBmpPartListAppService(IRepository&lt;MstPtsBmpPartList,long&gt; repo, 
                                         IDapperRepository&lt;MstPtsBmpPartList,long&gt; dapperRepo,
                                        IMstPtsBmpPartListExcelExporter calendarListExcelExporter
            )
        {
            _repo = repo;
            _dapperRepo = dapperRepo;
            _calendarListExcelExporter = calendarListExcelExporter;
        }
        [AbpAuthorize(AppPermissions.Pages_Master_Painting_BmpPartList_CreateEdit)]
        public async Task CreateOrEdit(CreateOrEditMstPtsBmpPartListDto input)
        {
            if (input.Id == null) await Create(input);
            else await Update(input);
        }
        //CREATE
        private async Task Create(CreateOrEditMstPtsBmpPartListDto input)
        {          
            var mainObj = ObjectMapper.Map&lt;MstPtsBmpPartList&gt;(input);
            await CurrentUnitOfWork.GetDbContext&lt;vovinaDbContext&gt;().AddAsync(mainObj);
        }
        // EDIT
        private async Task Update(CreateOrEditMstPtsBmpPartListDto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[AbpAuthorize(AppPermissions.Pages_Master_Painting_BmpPartList_Delete)]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Task&lt;PagedResultDto&lt;MstPtsBmpPartListDto&gt;&gt; GetAll(GetMstPtsBmpPartListInput input)
        {
            var filtered = _repo.GetAll()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.WhereIf(!string.IsNullOrWhiteSpace(input.BackNo), e =&gt; e.BackNo.Contains(input.BackNo))
				.WhereIf(!string.IsNullOrWhiteSpace(input.ProdLine), e =&gt; e.ProdLine.Contains(input.ProdLine))
				.WhereIf(!string.IsNullOrWhiteSpace(input.PartTypeCode), e =&gt; e.PartTypeCode.Contains(input.PartTypeCode))
				.WhereIf(!string.IsNullOrWhiteSpace(input.Process), e =&gt; e.Process.Contains(input.Process))
				.WhereIf(!string.IsNullOrWhiteSpace(input.PkProcess), e =&gt; e.PkProcess.Contains(input.PkProcess))
				.WhereIf(!string.IsNullOrWhiteSpace(input.IsPunch), e =&gt; e.IsPunch.Contains(input.IsPunch))
				.WhereIf(!string.IsNullOrWhiteSpace(input.SpecialColor), e =&gt; e.SpecialColor.Contains(input.SpecialColor))
				.WhereIf(!string.IsNullOrWhiteSpace(input.SignalCode), e =&gt; e.SignalCode.Contains(input.SignalCode))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MstPtsBmpPartListDto
                        {
							Id = o.Id,
							Model = o.Model,
							Cfc = o.Cfc,
							Grade = o.Grade,
							BackNo = o.BackNo,
							ProdLine = o.ProdLine,
							PartTypeCode = o.PartTypeCode,
							PartTypeId = o.PartTypeId,
							Process = o.Process,
							PkProcess = o.PkProcess,
							IsPunch = o.IsPunch,
							SpecialColor = o.SpecialColor,
							SignalId = o.SignalId,
							SignalCode = o.SignalCode,
							Remark = o.Remark,
							IsActive = o.IsActive,
                        };
            var totalCount = await filtered.CountAsync();
			var paged = system.PageBy(input);
            return new PagedResultDto&lt;MstPtsBmpPartListDto&gt;(
                totalCount,
                 await paged.ToListAsync()
            );
        }
        public async Task&lt;FileDto&gt; GetBmpPartListToExcel(MstPtsBmpPartListExportInput input)
        {
            var query = from o in _repo.GetAll()
                        select new MstPtsBmpPartListDto
                        {
							Id = o.Id,
							Model = o.Model,
							Cfc = o.Cfc,
							Grade = o.Grade,
							BackNo = o.BackNo,
							ProdLine = o.ProdLine,
							PartTypeCode = o.PartTypeCode,
							PartTypeId = o.PartTypeId,
							Process = o.Process,
							PkProcess = o.PkProcess,
							IsPunch = o.IsPunch,
							SpecialColor = o.SpecialColor,
							SignalId = o.SignalId,
							SignalCode = o.SignalCode,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_dapperRepo.ExecuteAsync(MstPtsBmpPartListConsts.SP_MST_WPT_CALENDAR_GENERATE);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vovina.Master.Painting.Dto
{
	public class MstPtsBmpPartListExportInput{
		public virtual string Model { get; set; }
		public virtual string Cfc { get; set; }
		public virtual string Grade { get; set; }
		public virtual string BackNo { get; set; }
		public virtual string ProdLine { get; set; }
		public virtual string PartTypeCode { get; set; }
		public virtual long PartTypeId { get; set; }
		public virtual string Process { get; set; }
		public virtual string PkProcess { get; set; }
		public virtual string IsPunch { get; set; }
		public virtual string SpecialColor { get; set; }
		public virtual long SignalId { get; set; }
		public virtual string SignalCode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vovina.Master.Painting.Dto;
namespace vovina.Master.Painting.Exporting
{
	public interface IMstPtsBmpPartListExcelExporter : IApplicationService
	{
		FileDto ExportToFile(List&lt;MstPtsBmpPartListDto&gt; mstptsbmppartlist);
	}
}
</v>
      </c>
      <c r="T7" s="28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vovina.Master.Painting.Exporting;
using vovina.Master.Painting.Dto;
using vovina.Storage;
using vovina.Master.Painting.Dto;
namespace vovina.Master.Painting.Exporting
{
    public class MstPtsBmpPartListExcelExporter : NpoiExcelExporterBase, IMstPtsBmpPartListExcelExporter
    {
        public MstPtsBmpPartListExcelExporter(ITempFileCacheManager tempFileCacheManager) : base(tempFileCacheManager) { }
        public FileDto ExportToFile(List&lt;MstPtsBmpPartListDto&gt; bmppartlist)
        {
            return CreateExcelPackage(
				"MasterPaintingBmpPartList.xlsx",
				excelPackage =&gt;
				 {
					var sheet = excelPackage.CreateSheet("BmpPartList");
					AddHeader(
								sheet,
								("Model"),
								("Cfc"),
								("Grade"),
								("BackNo"),
								("ProdLine"),
								("PartTypeCode"),
								("PartTypeId"),
								("Process"),
								("PkProcess"),
								("IsPunch"),
								("SpecialColor"),
								("SignalId"),
								("SignalCode"),
								("Remark"),
								("IsActive"),
							   );
					AddObjects(
						 sheet, 1, bmppartlist,                                       
								_ =&gt; _.Model,
								_ =&gt; _.Cfc,
								_ =&gt; _.Grade,
								_ =&gt; _.BackNo,
								_ =&gt; _.ProdLine,
								_ =&gt; _.PartTypeCode,
								_ =&gt; _.PartTypeId,
								_ =&gt; _.Process,
								_ =&gt; _.PkProcess,
								_ =&gt; _.IsPunch,
								_ =&gt; _.SpecialColor,
								_ =&gt; _.SignalId,
								_ =&gt; _.SignalCode,
								_ =&gt; _.Remark,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configuration.CreateMap&lt;MstPtsBmpPartListDto, MstPtsBmpPartList&gt;();
  configuration.CreateMap&lt;MstPtsBmpPartList, MstPtsBmpPartListDto&gt;();
  configuration.CreateMap&lt;CreateOrEditMstPtsBmpPartListDto, MstPtsBmpPartList&gt;();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328</v>
      </c>
      <c r="B9" t="s">
        <v>321</v>
      </c>
      <c r="C9" t="s">
        <v>1</v>
      </c>
      <c r="D9" t="str">
        <f>SUBSTITUTE(PROPER(A9),"_","")</f>
        <v>Model</v>
      </c>
      <c r="E9" t="str">
        <f t="shared" ref="E9:E23" si="0">IFERROR(LEFT(B9, FIND("(",B9)-1),B9)</f>
        <v>varchar</v>
      </c>
      <c r="F9" s="7"/>
      <c r="G9" t="str">
        <f t="shared" ref="G9:G23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23" si="2">IF(H9="string",REPT(CHAR(9),2)&amp;"public const int Max"&amp;D9&amp;"Length = "&amp;G9&amp;";"&amp;$E$3,"" )</f>
        <v xml:space="preserve">		public const int MaxModelLength = 50;
</v>
      </c>
      <c r="J9" t="str">
        <f t="shared" ref="J9:J23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[StringLength(MaxModelLength)]
		public virtual string Model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[Index(nameof(Model), Name="IX_MstPtsBmpPartList_Model")]</v>
      </c>
      <c r="M9" t="str">
        <f t="shared" ref="M9:M23" si="4">REPT(CHAR(9),2)&amp;"public virtual "&amp;IF(OR(H9="DateTime",H9="TimeSpan"),H9&amp;"?",H9)&amp;IF(C9="?","? "," ")&amp;D9&amp;" { get; set; }" &amp; "
"</f>
        <v xml:space="preserve">		public virtual string Model { get; set; }
</v>
      </c>
      <c r="N9" t="str">
        <f t="shared" ref="N9:N23" si="5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[StringLength(MstPtsBmpPartListConsts.MaxModelLength)]
		public virtual string Model { get; set; }
</v>
      </c>
      <c r="O9" t="str">
        <f t="shared" ref="O9:O23" si="6">IF(OR(H9="string",H9="DateTime",H9="int"),REPT(CHAR(9),2)&amp;"public virtual "&amp;IF(OR(H9="DateTime",H9="TimeSpan"),H9&amp;"?",H9)&amp;IF(C9="?","? "," ")&amp;D9&amp;" { get; set; }"&amp;$E$3,"")</f>
        <v xml:space="preserve">		public virtual string Model { get; set; }
</v>
      </c>
      <c r="P9" t="str">
        <f t="shared" ref="P9:P23" si="7">REPT(CHAR(9),7)&amp;D9&amp;" = o." &amp;D9 &amp;","</f>
        <v xml:space="preserve">							Model = o.Model,</v>
      </c>
      <c r="T9" s="69" t="str">
        <f t="shared" ref="T9:T23" si="8">REPT(CHAR(9),8)&amp;"("""&amp;D9&amp;"""),"</f>
        <v xml:space="preserve">								("Model"),</v>
      </c>
      <c r="V9" s="70" t="str">
        <f t="shared" ref="V9:V23" si="9">REPT(CHAR(9),8)&amp;"_ =&gt; _."&amp;D9&amp;","</f>
        <v xml:space="preserve">								_ =&gt; _.Model,</v>
      </c>
      <c r="W9" s="69" t="str">
        <f t="shared" ref="W9:W23" si="10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.WhereIf(!string.IsNullOrWhiteSpace(input.Model), e =&gt; e.Model.Contains(input.Model))</v>
      </c>
    </row>
    <row r="10" spans="1:23" customFormat="1" ht="22.5" customHeight="1" x14ac:dyDescent="0.25">
      <c r="A10" t="s">
        <v>333</v>
      </c>
      <c r="B10" t="s">
        <v>321</v>
      </c>
      <c r="C10" t="s">
        <v>1</v>
      </c>
      <c r="D10" t="str">
        <f>SUBSTITUTE(PROPER(A10),"_","")</f>
        <v>Cfc</v>
      </c>
      <c r="E10" t="str">
        <f t="shared" ref="E10" si="11">IFERROR(LEFT(B10, FIND("(",B10)-1),B10)</f>
        <v>varchar</v>
      </c>
      <c r="F10" s="7"/>
      <c r="G10" t="str">
        <f t="shared" ref="G10" si="12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3">IF(H10="string",REPT(CHAR(9),2)&amp;"public const int Max"&amp;D10&amp;"Length = "&amp;G10&amp;";"&amp;$E$3,"" )</f>
        <v xml:space="preserve">		public const int MaxCfcLength = 50;
</v>
      </c>
      <c r="J10" t="str">
        <f t="shared" ref="J10" si="14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[StringLength(MaxCfcLength)]
		public virtual string Cfc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" si="15">REPT(CHAR(9),2)&amp;"public virtual "&amp;IF(OR(H10="DateTime",H10="TimeSpan"),H10&amp;"?",H10)&amp;IF(C10="?","? "," ")&amp;D10&amp;" { get; set; }" &amp; "
"</f>
        <v xml:space="preserve">		public virtual string Cfc { get; set; }
</v>
      </c>
      <c r="N10" t="str">
        <f t="shared" ref="N10" si="16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[StringLength(MstPtsBmpPartListConsts.MaxCfcLength)]
		public virtual string Cfc { get; set; }
</v>
      </c>
      <c r="O10" t="str">
        <f t="shared" ref="O10" si="17">IF(OR(H10="string",H10="DateTime",H10="int"),REPT(CHAR(9),2)&amp;"public virtual "&amp;IF(OR(H10="DateTime",H10="TimeSpan"),H10&amp;"?",H10)&amp;IF(C10="?","? "," ")&amp;D10&amp;" { get; set; }"&amp;$E$3,"")</f>
        <v xml:space="preserve">		public virtual string Cfc { get; set; }
</v>
      </c>
      <c r="P10" t="str">
        <f t="shared" ref="P10" si="18">REPT(CHAR(9),7)&amp;D10&amp;" = o." &amp;D10 &amp;","</f>
        <v xml:space="preserve">							Cfc = o.Cfc,</v>
      </c>
      <c r="T10" s="69" t="str">
        <f t="shared" ref="T10" si="19">REPT(CHAR(9),8)&amp;"("""&amp;D10&amp;"""),"</f>
        <v xml:space="preserve">								("Cfc"),</v>
      </c>
      <c r="V10" s="70" t="str">
        <f t="shared" ref="V10" si="20">REPT(CHAR(9),8)&amp;"_ =&gt; _."&amp;D10&amp;","</f>
        <v xml:space="preserve">								_ =&gt; _.Cfc,</v>
      </c>
      <c r="W10" s="69" t="str">
        <f t="shared" ref="W10" si="21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.WhereIf(!string.IsNullOrWhiteSpace(input.Cfc), e =&gt; e.Cfc.Contains(input.Cfc))</v>
      </c>
    </row>
    <row r="11" spans="1:23" customFormat="1" ht="22.5" customHeight="1" x14ac:dyDescent="0.25">
      <c r="A11" t="s">
        <v>334</v>
      </c>
      <c r="B11" t="s">
        <v>321</v>
      </c>
      <c r="C11" t="s">
        <v>1</v>
      </c>
      <c r="D11" t="str">
        <f>SUBSTITUTE(PROPER(A11),"_","")</f>
        <v>Grade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MaxGradeLength = 50;
</v>
      </c>
      <c r="J11" t="str">
        <f t="shared" si="3"/>
        <v xml:space="preserve">		[StringLength(MaxGradeLength)]
		public virtual string Grade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si="4"/>
        <v xml:space="preserve">		public virtual string Grade { get; set; }
</v>
      </c>
      <c r="N11" t="str">
        <f t="shared" si="5"/>
        <v xml:space="preserve">		[StringLength(MstPtsBmpPartListConsts.MaxGradeLength)]
		public virtual string Grade { get; set; }
</v>
      </c>
      <c r="O11" t="str">
        <f t="shared" si="6"/>
        <v xml:space="preserve">		public virtual string Grade { get; set; }
</v>
      </c>
      <c r="P11" t="str">
        <f t="shared" si="7"/>
        <v xml:space="preserve">							Grade = o.Grade,</v>
      </c>
      <c r="T11" s="69" t="str">
        <f t="shared" si="8"/>
        <v xml:space="preserve">								("Grade"),</v>
      </c>
      <c r="V11" s="70" t="str">
        <f t="shared" si="9"/>
        <v xml:space="preserve">								_ =&gt; _.Grade,</v>
      </c>
      <c r="W11" s="69" t="str">
        <f t="shared" si="10"/>
        <v xml:space="preserve">				.WhereIf(!string.IsNullOrWhiteSpace(input.Grade), e =&gt; e.Grade.Contains(input.Grade))</v>
      </c>
    </row>
    <row r="12" spans="1:23" customFormat="1" ht="21" customHeight="1" x14ac:dyDescent="0.25">
      <c r="A12" t="s">
        <v>327</v>
      </c>
      <c r="B12" t="s">
        <v>321</v>
      </c>
      <c r="C12" t="s">
        <v>1</v>
      </c>
      <c r="D12" t="str">
        <f t="shared" ref="D12:D13" si="22">SUBSTITUTE(PROPER(A12),"_","")</f>
        <v>BackNo</v>
      </c>
      <c r="E12" t="str">
        <f t="shared" si="0"/>
        <v>varchar</v>
      </c>
      <c r="F12" s="7"/>
      <c r="G12" t="str">
        <f t="shared" si="1"/>
        <v>50</v>
      </c>
      <c r="H12" t="str">
        <f>+VLOOKUP(E12,'Data Type Mapping'!A:B,2,)</f>
        <v>string</v>
      </c>
      <c r="I12" t="str">
        <f t="shared" si="2"/>
        <v xml:space="preserve">		public const int MaxBackNoLength = 50;
</v>
      </c>
      <c r="J12" t="str">
        <f t="shared" si="3"/>
        <v xml:space="preserve">		[StringLength(MaxBackNoLength)]
		public virtual string BackNo { get; set; }
</v>
      </c>
      <c r="K12" s="7" t="s">
        <v>206</v>
      </c>
      <c r="L12" t="str">
        <f t="shared" ref="L12:L13" si="23">IF(K12="","",REPT(CHAR(9),1)&amp;"[Index(nameof("&amp;IF(D12="","",""&amp;D12)&amp;")"&amp;", Name="&amp;"""IX_"&amp;$B$7&amp;"_"&amp;D12&amp;""")]")</f>
        <v xml:space="preserve">	[Index(nameof(BackNo), Name="IX_MstPtsBmpPartList_BackNo")]</v>
      </c>
      <c r="M12" t="str">
        <f t="shared" si="4"/>
        <v xml:space="preserve">		public virtual string BackNo { get; set; }
</v>
      </c>
      <c r="N12" t="str">
        <f t="shared" si="5"/>
        <v xml:space="preserve">		[StringLength(MstPtsBmpPartListConsts.MaxBackNoLength)]
		public virtual string BackNo { get; set; }
</v>
      </c>
      <c r="O12" t="str">
        <f t="shared" si="6"/>
        <v xml:space="preserve">		public virtual string BackNo { get; set; }
</v>
      </c>
      <c r="P12" t="str">
        <f t="shared" si="7"/>
        <v xml:space="preserve">							BackNo = o.BackNo,</v>
      </c>
      <c r="T12" s="69" t="str">
        <f t="shared" si="8"/>
        <v xml:space="preserve">								("BackNo"),</v>
      </c>
      <c r="V12" s="70" t="str">
        <f t="shared" si="9"/>
        <v xml:space="preserve">								_ =&gt; _.BackNo,</v>
      </c>
      <c r="W12" s="69" t="str">
        <f t="shared" si="10"/>
        <v xml:space="preserve">				.WhereIf(!string.IsNullOrWhiteSpace(input.BackNo), e =&gt; e.BackNo.Contains(input.BackNo))</v>
      </c>
    </row>
    <row r="13" spans="1:23" customFormat="1" ht="18.75" customHeight="1" x14ac:dyDescent="0.25">
      <c r="A13" t="s">
        <v>322</v>
      </c>
      <c r="B13" t="s">
        <v>321</v>
      </c>
      <c r="C13" t="s">
        <v>1</v>
      </c>
      <c r="D13" t="str">
        <f t="shared" si="22"/>
        <v>ProdLine</v>
      </c>
      <c r="E13" t="str">
        <f t="shared" si="0"/>
        <v>varchar</v>
      </c>
      <c r="F13" s="7"/>
      <c r="G13" t="str">
        <f t="shared" si="1"/>
        <v>50</v>
      </c>
      <c r="H13" t="str">
        <f>+VLOOKUP(E13,'Data Type Mapping'!A:B,2,)</f>
        <v>string</v>
      </c>
      <c r="I13" t="str">
        <f t="shared" si="2"/>
        <v xml:space="preserve">		public const int MaxProdLineLength = 50;
</v>
      </c>
      <c r="J13" t="str">
        <f t="shared" si="3"/>
        <v xml:space="preserve">		[StringLength(MaxProdLineLength)]
		public virtual string ProdLine { get; set; }
</v>
      </c>
      <c r="K13" s="7" t="s">
        <v>206</v>
      </c>
      <c r="L13" t="str">
        <f t="shared" si="23"/>
        <v xml:space="preserve">	[Index(nameof(ProdLine), Name="IX_MstPtsBmpPartList_ProdLine")]</v>
      </c>
      <c r="M13" t="str">
        <f t="shared" si="4"/>
        <v xml:space="preserve">		public virtual string ProdLine { get; set; }
</v>
      </c>
      <c r="N13" t="str">
        <f t="shared" si="5"/>
        <v xml:space="preserve">		[StringLength(MstPtsBmpPartListConsts.MaxProdLineLength)]
		public virtual string ProdLine { get; set; }
</v>
      </c>
      <c r="O13" t="str">
        <f t="shared" si="6"/>
        <v xml:space="preserve">		public virtual string ProdLine { get; set; }
</v>
      </c>
      <c r="P13" t="str">
        <f t="shared" si="7"/>
        <v xml:space="preserve">							ProdLine = o.ProdLine,</v>
      </c>
      <c r="T13" s="69" t="str">
        <f t="shared" si="8"/>
        <v xml:space="preserve">								("ProdLine"),</v>
      </c>
      <c r="V13" s="70" t="str">
        <f t="shared" si="9"/>
        <v xml:space="preserve">								_ =&gt; _.ProdLine,</v>
      </c>
      <c r="W13" s="69" t="str">
        <f t="shared" si="10"/>
        <v xml:space="preserve">				.WhereIf(!string.IsNullOrWhiteSpace(input.ProdLine), e =&gt; e.ProdLine.Contains(input.ProdLine))</v>
      </c>
    </row>
    <row r="14" spans="1:23" customFormat="1" ht="18.75" customHeight="1" x14ac:dyDescent="0.25">
      <c r="A14" t="s">
        <v>342</v>
      </c>
      <c r="B14" t="s">
        <v>321</v>
      </c>
      <c r="C14" t="s">
        <v>1</v>
      </c>
      <c r="D14" t="str">
        <f t="shared" ref="D14" si="24">SUBSTITUTE(PROPER(A14),"_","")</f>
        <v>PartTypeCode</v>
      </c>
      <c r="E14" t="str">
        <f t="shared" ref="E14" si="25">IFERROR(LEFT(B14, FIND("(",B14)-1),B14)</f>
        <v>varchar</v>
      </c>
      <c r="F14" s="7"/>
      <c r="G14" t="str">
        <f t="shared" ref="G14" si="26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27">IF(H14="string",REPT(CHAR(9),2)&amp;"public const int Max"&amp;D14&amp;"Length = "&amp;G14&amp;";"&amp;$E$3,"" )</f>
        <v xml:space="preserve">		public const int MaxPartTypeCodeLength = 50;
</v>
      </c>
      <c r="J14" t="str">
        <f t="shared" ref="J14" si="28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[StringLength(MaxPartTypeCodeLength)]
		public virtual string PartTypeCode { get; set; }
</v>
      </c>
      <c r="K14" s="7" t="s">
        <v>206</v>
      </c>
      <c r="L14" t="str">
        <f t="shared" ref="L14" si="29">IF(K14="","",REPT(CHAR(9),1)&amp;"[Index(nameof("&amp;IF(D14="","",""&amp;D14)&amp;")"&amp;", Name="&amp;"""IX_"&amp;$B$7&amp;"_"&amp;D14&amp;""")]")</f>
        <v xml:space="preserve">	[Index(nameof(PartTypeCode), Name="IX_MstPtsBmpPartList_PartTypeCode")]</v>
      </c>
      <c r="M14" t="str">
        <f t="shared" ref="M14" si="30">REPT(CHAR(9),2)&amp;"public virtual "&amp;IF(OR(H14="DateTime",H14="TimeSpan"),H14&amp;"?",H14)&amp;IF(C14="?","? "," ")&amp;D14&amp;" { get; set; }" &amp; "
"</f>
        <v xml:space="preserve">		public virtual string PartTypeCode { get; set; }
</v>
      </c>
      <c r="N14" t="str">
        <f t="shared" ref="N14" si="3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[StringLength(MstPtsBmpPartListConsts.MaxPartTypeCodeLength)]
		public virtual string PartTypeCode { get; set; }
</v>
      </c>
      <c r="O14" t="str">
        <f t="shared" ref="O14" si="32">IF(OR(H14="string",H14="DateTime",H14="int"),REPT(CHAR(9),2)&amp;"public virtual "&amp;IF(OR(H14="DateTime",H14="TimeSpan"),H14&amp;"?",H14)&amp;IF(C14="?","? "," ")&amp;D14&amp;" { get; set; }"&amp;$E$3,"")</f>
        <v xml:space="preserve">		public virtual string PartTypeCode { get; set; }
</v>
      </c>
      <c r="P14" t="str">
        <f t="shared" ref="P14" si="33">REPT(CHAR(9),7)&amp;D14&amp;" = o." &amp;D14 &amp;","</f>
        <v xml:space="preserve">							PartTypeCode = o.PartTypeCode,</v>
      </c>
      <c r="T14" s="69" t="str">
        <f t="shared" ref="T14" si="34">REPT(CHAR(9),8)&amp;"("""&amp;D14&amp;"""),"</f>
        <v xml:space="preserve">								("PartTypeCode"),</v>
      </c>
      <c r="V14" s="70" t="str">
        <f t="shared" ref="V14" si="35">REPT(CHAR(9),8)&amp;"_ =&gt; _."&amp;D14&amp;","</f>
        <v xml:space="preserve">								_ =&gt; _.PartTypeCode,</v>
      </c>
      <c r="W14" s="69" t="str">
        <f t="shared" ref="W14" si="36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.WhereIf(!string.IsNullOrWhiteSpace(input.PartTypeCode), e =&gt; e.PartTypeCode.Contains(input.PartTypeCode))</v>
      </c>
    </row>
    <row r="15" spans="1:23" customFormat="1" ht="18.75" customHeight="1" x14ac:dyDescent="0.25">
      <c r="A15" t="s">
        <v>335</v>
      </c>
      <c r="B15" t="s">
        <v>0</v>
      </c>
      <c r="C15" t="s">
        <v>1</v>
      </c>
      <c r="D15" t="str">
        <f t="shared" ref="D15" si="37">SUBSTITUTE(PROPER(A15),"_","")</f>
        <v>PartTypeId</v>
      </c>
      <c r="E15" t="str">
        <f t="shared" ref="E15" si="38">IFERROR(LEFT(B15, FIND("(",B15)-1),B15)</f>
        <v>bigint</v>
      </c>
      <c r="F15" s="7"/>
      <c r="G15" t="str">
        <f t="shared" ref="G15" si="39">IFERROR(MID(B15,FIND("(",B15) +1, FIND(")",B15) - FIND("(",B15) - 1),"")</f>
        <v/>
      </c>
      <c r="H15" t="str">
        <f>+VLOOKUP(E15,'Data Type Mapping'!A:B,2,)</f>
        <v>long</v>
      </c>
      <c r="I15" t="str">
        <f t="shared" ref="I15" si="40">IF(H15="string",REPT(CHAR(9),2)&amp;"public const int Max"&amp;D15&amp;"Length = "&amp;G15&amp;";"&amp;$E$3,"" )</f>
        <v/>
      </c>
      <c r="J15" t="str">
        <f t="shared" ref="J15" si="41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 PartTypeId { get; set; }
</v>
      </c>
      <c r="K15" s="7"/>
      <c r="L15" t="str">
        <f t="shared" ref="L15" si="42">IF(K15="","",REPT(CHAR(9),1)&amp;"[Index(nameof("&amp;IF(D15="","",""&amp;D15)&amp;")"&amp;", Name="&amp;"""IX_"&amp;$B$7&amp;"_"&amp;D15&amp;""")]")</f>
        <v/>
      </c>
      <c r="M15" t="str">
        <f t="shared" ref="M15" si="43">REPT(CHAR(9),2)&amp;"public virtual "&amp;IF(OR(H15="DateTime",H15="TimeSpan"),H15&amp;"?",H15)&amp;IF(C15="?","? "," ")&amp;D15&amp;" { get; set; }" &amp; "
"</f>
        <v xml:space="preserve">		public virtual long PartTypeId { get; set; }
</v>
      </c>
      <c r="N15" t="str">
        <f t="shared" ref="N15" si="44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 PartTypeId { get; set; }
</v>
      </c>
      <c r="O15" t="str">
        <f t="shared" ref="O15" si="45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" si="46">REPT(CHAR(9),7)&amp;D15&amp;" = o." &amp;D15 &amp;","</f>
        <v xml:space="preserve">							PartTypeId = o.PartTypeId,</v>
      </c>
      <c r="T15" s="69" t="str">
        <f t="shared" ref="T15" si="47">REPT(CHAR(9),8)&amp;"("""&amp;D15&amp;"""),"</f>
        <v xml:space="preserve">								("PartTypeId"),</v>
      </c>
      <c r="V15" s="70" t="str">
        <f t="shared" ref="V15" si="48">REPT(CHAR(9),8)&amp;"_ =&gt; _."&amp;D15&amp;","</f>
        <v xml:space="preserve">								_ =&gt; _.PartTypeId,</v>
      </c>
      <c r="W15" s="69" t="str">
        <f t="shared" ref="W15" si="49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t="s">
        <v>341</v>
      </c>
      <c r="B16" t="s">
        <v>321</v>
      </c>
      <c r="C16" t="s">
        <v>1</v>
      </c>
      <c r="D16" t="str">
        <f t="shared" ref="D16" si="50">SUBSTITUTE(PROPER(A16),"_","")</f>
        <v>Process</v>
      </c>
      <c r="E16" t="str">
        <f t="shared" ref="E16" si="51">IFERROR(LEFT(B16, FIND("(",B16)-1),B16)</f>
        <v>varchar</v>
      </c>
      <c r="F16" s="7"/>
      <c r="G16" t="str">
        <f t="shared" ref="G16" si="52">IFERROR(MID(B16,FIND("(",B16) +1, FIND(")",B16) - FIND("(",B16) - 1),"")</f>
        <v>50</v>
      </c>
      <c r="H16" t="str">
        <f>+VLOOKUP(E16,'Data Type Mapping'!A:B,2,)</f>
        <v>string</v>
      </c>
      <c r="I16" t="str">
        <f t="shared" ref="I16" si="53">IF(H16="string",REPT(CHAR(9),2)&amp;"public const int Max"&amp;D16&amp;"Length = "&amp;G16&amp;";"&amp;$E$3,"" )</f>
        <v xml:space="preserve">		public const int MaxProcessLength = 50;
</v>
      </c>
      <c r="J16" t="str">
        <f t="shared" ref="J16" si="54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[StringLength(MaxProcessLength)]
		public virtual string Process { get; set; }
</v>
      </c>
      <c r="K16" s="7"/>
      <c r="L16" t="str">
        <f t="shared" ref="L16" si="55">IF(K16="","",REPT(CHAR(9),1)&amp;"[Index(nameof("&amp;IF(D16="","",""&amp;D16)&amp;")"&amp;", Name="&amp;"""IX_"&amp;$B$7&amp;"_"&amp;D16&amp;""")]")</f>
        <v/>
      </c>
      <c r="M16" t="str">
        <f t="shared" ref="M16" si="56">REPT(CHAR(9),2)&amp;"public virtual "&amp;IF(OR(H16="DateTime",H16="TimeSpan"),H16&amp;"?",H16)&amp;IF(C16="?","? "," ")&amp;D16&amp;" { get; set; }" &amp; "
"</f>
        <v xml:space="preserve">		public virtual string Process { get; set; }
</v>
      </c>
      <c r="N16" t="str">
        <f t="shared" ref="N16" si="57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[StringLength(MstPtsBmpPartListConsts.MaxProcessLength)]
		public virtual string Process { get; set; }
</v>
      </c>
      <c r="O16" t="str">
        <f t="shared" ref="O16" si="58">IF(OR(H16="string",H16="DateTime",H16="int"),REPT(CHAR(9),2)&amp;"public virtual "&amp;IF(OR(H16="DateTime",H16="TimeSpan"),H16&amp;"?",H16)&amp;IF(C16="?","? "," ")&amp;D16&amp;" { get; set; }"&amp;$E$3,"")</f>
        <v xml:space="preserve">		public virtual string Process { get; set; }
</v>
      </c>
      <c r="P16" t="str">
        <f t="shared" ref="P16" si="59">REPT(CHAR(9),7)&amp;D16&amp;" = o." &amp;D16 &amp;","</f>
        <v xml:space="preserve">							Process = o.Process,</v>
      </c>
      <c r="T16" s="69" t="str">
        <f t="shared" ref="T16" si="60">REPT(CHAR(9),8)&amp;"("""&amp;D16&amp;"""),"</f>
        <v xml:space="preserve">								("Process"),</v>
      </c>
      <c r="V16" s="70" t="str">
        <f t="shared" ref="V16" si="61">REPT(CHAR(9),8)&amp;"_ =&gt; _."&amp;D16&amp;","</f>
        <v xml:space="preserve">								_ =&gt; _.Process,</v>
      </c>
      <c r="W16" s="69" t="str">
        <f t="shared" ref="W16" si="62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.WhereIf(!string.IsNullOrWhiteSpace(input.Process), e =&gt; e.Process.Contains(input.Process))</v>
      </c>
    </row>
    <row r="17" spans="1:23" customFormat="1" ht="18.75" customHeight="1" x14ac:dyDescent="0.25">
      <c r="A17" t="s">
        <v>340</v>
      </c>
      <c r="B17" t="s">
        <v>321</v>
      </c>
      <c r="C17" t="s">
        <v>1</v>
      </c>
      <c r="D17" t="str">
        <f t="shared" ref="D17" si="63">SUBSTITUTE(PROPER(A17),"_","")</f>
        <v>PkProcess</v>
      </c>
      <c r="E17" t="str">
        <f t="shared" ref="E17" si="64">IFERROR(LEFT(B17, FIND("(",B17)-1),B17)</f>
        <v>varchar</v>
      </c>
      <c r="F17" s="7"/>
      <c r="G17" t="str">
        <f t="shared" ref="G17" si="65">IFERROR(MID(B17,FIND("(",B17) +1, FIND(")",B17) - FIND("(",B17) - 1),"")</f>
        <v>50</v>
      </c>
      <c r="H17" t="str">
        <f>+VLOOKUP(E17,'Data Type Mapping'!A:B,2,)</f>
        <v>string</v>
      </c>
      <c r="I17" t="str">
        <f t="shared" ref="I17" si="66">IF(H17="string",REPT(CHAR(9),2)&amp;"public const int Max"&amp;D17&amp;"Length = "&amp;G17&amp;";"&amp;$E$3,"" )</f>
        <v xml:space="preserve">		public const int MaxPkProcessLength = 50;
</v>
      </c>
      <c r="J17" t="str">
        <f t="shared" ref="J17" si="67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[StringLength(MaxPkProcessLength)]
		public virtual string PkProcess { get; set; }
</v>
      </c>
      <c r="K17" s="7"/>
      <c r="L17" t="str">
        <f t="shared" ref="L17" si="68">IF(K17="","",REPT(CHAR(9),1)&amp;"[Index(nameof("&amp;IF(D17="","",""&amp;D17)&amp;")"&amp;", Name="&amp;"""IX_"&amp;$B$7&amp;"_"&amp;D17&amp;""")]")</f>
        <v/>
      </c>
      <c r="M17" t="str">
        <f t="shared" ref="M17" si="69">REPT(CHAR(9),2)&amp;"public virtual "&amp;IF(OR(H17="DateTime",H17="TimeSpan"),H17&amp;"?",H17)&amp;IF(C17="?","? "," ")&amp;D17&amp;" { get; set; }" &amp; "
"</f>
        <v xml:space="preserve">		public virtual string PkProcess { get; set; }
</v>
      </c>
      <c r="N17" t="str">
        <f t="shared" ref="N17" si="70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[StringLength(MstPtsBmpPartListConsts.MaxPkProcessLength)]
		public virtual string PkProcess { get; set; }
</v>
      </c>
      <c r="O17" t="str">
        <f t="shared" ref="O17" si="71">IF(OR(H17="string",H17="DateTime",H17="int"),REPT(CHAR(9),2)&amp;"public virtual "&amp;IF(OR(H17="DateTime",H17="TimeSpan"),H17&amp;"?",H17)&amp;IF(C17="?","? "," ")&amp;D17&amp;" { get; set; }"&amp;$E$3,"")</f>
        <v xml:space="preserve">		public virtual string PkProcess { get; set; }
</v>
      </c>
      <c r="P17" t="str">
        <f t="shared" ref="P17" si="72">REPT(CHAR(9),7)&amp;D17&amp;" = o." &amp;D17 &amp;","</f>
        <v xml:space="preserve">							PkProcess = o.PkProcess,</v>
      </c>
      <c r="T17" s="69" t="str">
        <f t="shared" ref="T17" si="73">REPT(CHAR(9),8)&amp;"("""&amp;D17&amp;"""),"</f>
        <v xml:space="preserve">								("PkProcess"),</v>
      </c>
      <c r="V17" s="70" t="str">
        <f t="shared" ref="V17" si="74">REPT(CHAR(9),8)&amp;"_ =&gt; _."&amp;D17&amp;","</f>
        <v xml:space="preserve">								_ =&gt; _.PkProcess,</v>
      </c>
      <c r="W17" s="69" t="str">
        <f t="shared" ref="W17" si="75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.WhereIf(!string.IsNullOrWhiteSpace(input.PkProcess), e =&gt; e.PkProcess.Contains(input.PkProcess))</v>
      </c>
    </row>
    <row r="18" spans="1:23" customFormat="1" ht="18.75" customHeight="1" x14ac:dyDescent="0.25">
      <c r="A18" t="s">
        <v>336</v>
      </c>
      <c r="B18" t="s">
        <v>324</v>
      </c>
      <c r="C18" t="s">
        <v>1</v>
      </c>
      <c r="D18" t="str">
        <f>SUBSTITUTE(PROPER(A18),"_","")</f>
        <v>IsPunch</v>
      </c>
      <c r="E18" t="str">
        <f>IFERROR(LEFT(B18, FIND("(",B18)-1),B18)</f>
        <v>varchar</v>
      </c>
      <c r="F18" s="7"/>
      <c r="G18" t="str">
        <f>IFERROR(MID(B18,FIND("(",B18) +1, FIND(")",B18) - FIND("(",B18) - 1),"")</f>
        <v>1</v>
      </c>
      <c r="H18" t="str">
        <f>+VLOOKUP(E18,'Data Type Mapping'!A:B,2,)</f>
        <v>string</v>
      </c>
      <c r="I18" t="str">
        <f>IF(H18="string",REPT(CHAR(9),2)&amp;"public const int Max"&amp;D18&amp;"Length = "&amp;G18&amp;";"&amp;$E$3,"" )</f>
        <v xml:space="preserve">		public const int MaxIsPunchLength = 1;
</v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[StringLength(MaxIsPunchLength)]
		public virtual string IsPunch { get; set; }
</v>
      </c>
      <c r="K18" s="7"/>
      <c r="L18" t="str">
        <f>IF(K18="","",REPT(CHAR(9),1)&amp;"[Index(nameof("&amp;IF(D18="","",""&amp;D18)&amp;")"&amp;", Name="&amp;"""IX_"&amp;$B$7&amp;"_"&amp;D18&amp;""")]")</f>
        <v/>
      </c>
      <c r="M18" t="str">
        <f>REPT(CHAR(9),2)&amp;"public virtual "&amp;IF(OR(H18="DateTime",H18="TimeSpan"),H18&amp;"?",H18)&amp;IF(C18="?","? "," ")&amp;D18&amp;" { get; set; }" &amp; "
"</f>
        <v xml:space="preserve">		public virtual string IsPunch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[StringLength(MstPtsBmpPartListConsts.MaxIsPunchLength)]
		public virtual string IsPunch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 xml:space="preserve">		public virtual string IsPunch { get; set; }
</v>
      </c>
      <c r="P18" t="str">
        <f>REPT(CHAR(9),7)&amp;D18&amp;" = o." &amp;D18 &amp;","</f>
        <v xml:space="preserve">							IsPunch = o.IsPunch,</v>
      </c>
      <c r="T18" s="69" t="str">
        <f>REPT(CHAR(9),8)&amp;"("""&amp;D18&amp;"""),"</f>
        <v xml:space="preserve">								("IsPunch"),</v>
      </c>
      <c r="V18" s="70" t="str">
        <f>REPT(CHAR(9),8)&amp;"_ =&gt; _."&amp;D18&amp;","</f>
        <v xml:space="preserve">								_ =&gt; _.IsPunch,</v>
      </c>
      <c r="W18" s="69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.WhereIf(!string.IsNullOrWhiteSpace(input.IsPunch), e =&gt; e.IsPunch.Contains(input.IsPunch))</v>
      </c>
    </row>
    <row r="19" spans="1:23" customFormat="1" ht="18.75" customHeight="1" x14ac:dyDescent="0.25">
      <c r="A19" t="s">
        <v>337</v>
      </c>
      <c r="B19" t="s">
        <v>321</v>
      </c>
      <c r="C19" t="s">
        <v>1</v>
      </c>
      <c r="D19" t="str">
        <f t="shared" ref="D19:D20" si="76">SUBSTITUTE(PROPER(A19),"_","")</f>
        <v>SpecialColor</v>
      </c>
      <c r="E19" t="str">
        <f t="shared" ref="E19:E20" si="77">IFERROR(LEFT(B19, FIND("(",B19)-1),B19)</f>
        <v>varchar</v>
      </c>
      <c r="F19" s="7"/>
      <c r="G19" t="str">
        <f t="shared" ref="G19:G20" si="78">IFERROR(MID(B19,FIND("(",B19) +1, FIND(")",B19) - FIND("(",B19) - 1),"")</f>
        <v>50</v>
      </c>
      <c r="H19" t="str">
        <f>+VLOOKUP(E19,'Data Type Mapping'!A:B,2,)</f>
        <v>string</v>
      </c>
      <c r="I19" t="str">
        <f t="shared" ref="I19:I20" si="79">IF(H19="string",REPT(CHAR(9),2)&amp;"public const int Max"&amp;D19&amp;"Length = "&amp;G19&amp;";"&amp;$E$3,"" )</f>
        <v xml:space="preserve">		public const int MaxSpecialColorLength = 50;
</v>
      </c>
      <c r="J19" t="str">
        <f t="shared" ref="J19:J20" si="80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[StringLength(MaxSpecialColorLength)]
		public virtual string SpecialColor { get; set; }
</v>
      </c>
      <c r="K19" s="7"/>
      <c r="L19" t="str">
        <f t="shared" ref="L19:L20" si="81">IF(K19="","",REPT(CHAR(9),1)&amp;"[Index(nameof("&amp;IF(D19="","",""&amp;D19)&amp;")"&amp;", Name="&amp;"""IX_"&amp;$B$7&amp;"_"&amp;D19&amp;""")]")</f>
        <v/>
      </c>
      <c r="M19" t="str">
        <f t="shared" ref="M19:M20" si="82">REPT(CHAR(9),2)&amp;"public virtual "&amp;IF(OR(H19="DateTime",H19="TimeSpan"),H19&amp;"?",H19)&amp;IF(C19="?","? "," ")&amp;D19&amp;" { get; set; }" &amp; "
"</f>
        <v xml:space="preserve">		public virtual string SpecialColor { get; set; }
</v>
      </c>
      <c r="N19" t="str">
        <f t="shared" ref="N19:N20" si="83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[StringLength(MstPtsBmpPartListConsts.MaxSpecialColorLength)]
		public virtual string SpecialColor { get; set; }
</v>
      </c>
      <c r="O19" t="str">
        <f t="shared" ref="O19:O20" si="84">IF(OR(H19="string",H19="DateTime",H19="int"),REPT(CHAR(9),2)&amp;"public virtual "&amp;IF(OR(H19="DateTime",H19="TimeSpan"),H19&amp;"?",H19)&amp;IF(C19="?","? "," ")&amp;D19&amp;" { get; set; }"&amp;$E$3,"")</f>
        <v xml:space="preserve">		public virtual string SpecialColor { get; set; }
</v>
      </c>
      <c r="P19" t="str">
        <f t="shared" ref="P19:P20" si="85">REPT(CHAR(9),7)&amp;D19&amp;" = o." &amp;D19 &amp;","</f>
        <v xml:space="preserve">							SpecialColor = o.SpecialColor,</v>
      </c>
      <c r="T19" s="69" t="str">
        <f t="shared" ref="T19:T20" si="86">REPT(CHAR(9),8)&amp;"("""&amp;D19&amp;"""),"</f>
        <v xml:space="preserve">								("SpecialColor"),</v>
      </c>
      <c r="V19" s="70" t="str">
        <f t="shared" ref="V19:V20" si="87">REPT(CHAR(9),8)&amp;"_ =&gt; _."&amp;D19&amp;","</f>
        <v xml:space="preserve">								_ =&gt; _.SpecialColor,</v>
      </c>
      <c r="W19" s="69" t="str">
        <f t="shared" ref="W19:W20" si="88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.WhereIf(!string.IsNullOrWhiteSpace(input.SpecialColor), e =&gt; e.SpecialColor.Contains(input.SpecialColor))</v>
      </c>
    </row>
    <row r="20" spans="1:23" customFormat="1" ht="18.75" customHeight="1" x14ac:dyDescent="0.25">
      <c r="A20" t="s">
        <v>338</v>
      </c>
      <c r="B20" t="s">
        <v>0</v>
      </c>
      <c r="C20" t="s">
        <v>1</v>
      </c>
      <c r="D20" t="str">
        <f t="shared" si="76"/>
        <v>SignalId</v>
      </c>
      <c r="E20" t="str">
        <f t="shared" si="77"/>
        <v>bigint</v>
      </c>
      <c r="F20" s="7"/>
      <c r="G20" t="str">
        <f t="shared" si="78"/>
        <v/>
      </c>
      <c r="H20" t="str">
        <f>+VLOOKUP(E20,'Data Type Mapping'!A:B,2,)</f>
        <v>long</v>
      </c>
      <c r="I20" t="str">
        <f t="shared" si="79"/>
        <v/>
      </c>
      <c r="J20" t="str">
        <f t="shared" si="80"/>
        <v xml:space="preserve">		public virtual long SignalId { get; set; }
</v>
      </c>
      <c r="K20" s="7"/>
      <c r="L20" t="str">
        <f t="shared" si="81"/>
        <v/>
      </c>
      <c r="M20" t="str">
        <f t="shared" si="82"/>
        <v xml:space="preserve">		public virtual long SignalId { get; set; }
</v>
      </c>
      <c r="N20" t="str">
        <f t="shared" si="83"/>
        <v xml:space="preserve">		public virtual long SignalId { get; set; }
</v>
      </c>
      <c r="O20" t="str">
        <f t="shared" si="84"/>
        <v/>
      </c>
      <c r="P20" t="str">
        <f t="shared" si="85"/>
        <v xml:space="preserve">							SignalId = o.SignalId,</v>
      </c>
      <c r="T20" s="69" t="str">
        <f t="shared" si="86"/>
        <v xml:space="preserve">								("SignalId"),</v>
      </c>
      <c r="V20" s="70" t="str">
        <f t="shared" si="87"/>
        <v xml:space="preserve">								_ =&gt; _.SignalId,</v>
      </c>
      <c r="W20" s="69" t="str">
        <f t="shared" si="88"/>
        <v/>
      </c>
    </row>
    <row r="21" spans="1:23" customFormat="1" ht="18.75" customHeight="1" x14ac:dyDescent="0.25">
      <c r="A21" t="s">
        <v>339</v>
      </c>
      <c r="B21" t="s">
        <v>321</v>
      </c>
      <c r="C21" t="s">
        <v>1</v>
      </c>
      <c r="D21" t="str">
        <f>SUBSTITUTE(PROPER(A21),"_","")</f>
        <v>SignalCode</v>
      </c>
      <c r="E21" t="str">
        <f>IFERROR(LEFT(B21, FIND("(",B21)-1),B21)</f>
        <v>varchar</v>
      </c>
      <c r="F21" s="7"/>
      <c r="G21" t="str">
        <f>IFERROR(MID(B21,FIND("(",B21) +1, FIND(")",B21) - FIND("(",B21) - 1),"")</f>
        <v>50</v>
      </c>
      <c r="H21" t="str">
        <f>+VLOOKUP(E21,'Data Type Mapping'!A:B,2,)</f>
        <v>string</v>
      </c>
      <c r="I21" t="str">
        <f>IF(H21="string",REPT(CHAR(9),2)&amp;"public const int Max"&amp;D21&amp;"Length = "&amp;G21&amp;";"&amp;$E$3,"" )</f>
        <v xml:space="preserve">		public const int MaxSignalCodeLength = 50;
</v>
      </c>
      <c r="J21" t="str">
        <f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[StringLength(MaxSignalCodeLength)]
		public virtual string SignalCode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>REPT(CHAR(9),2)&amp;"public virtual "&amp;IF(OR(H21="DateTime",H21="TimeSpan"),H21&amp;"?",H21)&amp;IF(C21="?","? "," ")&amp;D21&amp;" { get; set; }" &amp; "
"</f>
        <v xml:space="preserve">		public virtual string SignalCode { get; set; }
</v>
      </c>
      <c r="N21" t="str">
        <f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[StringLength(MstPtsBmpPartListConsts.MaxSignalCodeLength)]
		public virtual string SignalCode { get; set; }
</v>
      </c>
      <c r="O21" t="str">
        <f>IF(OR(H21="string",H21="DateTime",H21="int"),REPT(CHAR(9),2)&amp;"public virtual "&amp;IF(OR(H21="DateTime",H21="TimeSpan"),H21&amp;"?",H21)&amp;IF(C21="?","? "," ")&amp;D21&amp;" { get; set; }"&amp;$E$3,"")</f>
        <v xml:space="preserve">		public virtual string SignalCode { get; set; }
</v>
      </c>
      <c r="P21" t="str">
        <f>REPT(CHAR(9),7)&amp;D21&amp;" = o." &amp;D21 &amp;","</f>
        <v xml:space="preserve">							SignalCode = o.SignalCode,</v>
      </c>
      <c r="T21" s="69" t="str">
        <f>REPT(CHAR(9),8)&amp;"("""&amp;D21&amp;"""),"</f>
        <v xml:space="preserve">								("SignalCode"),</v>
      </c>
      <c r="V21" s="70" t="str">
        <f>REPT(CHAR(9),8)&amp;"_ =&gt; _."&amp;D21&amp;","</f>
        <v xml:space="preserve">								_ =&gt; _.SignalCode,</v>
      </c>
      <c r="W21" s="69" t="str">
        <f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.WhereIf(!string.IsNullOrWhiteSpace(input.SignalCode), e =&gt; e.SignalCode.Contains(input.SignalCode))</v>
      </c>
    </row>
    <row r="22" spans="1:23" customFormat="1" ht="18.75" customHeight="1" x14ac:dyDescent="0.25">
      <c r="A22" t="s">
        <v>325</v>
      </c>
      <c r="B22" t="s">
        <v>326</v>
      </c>
      <c r="C22" t="s">
        <v>1</v>
      </c>
      <c r="D22" t="str">
        <f t="shared" ref="D22" si="89">SUBSTITUTE(PROPER(A22),"_","")</f>
        <v>Remark</v>
      </c>
      <c r="E22" t="str">
        <f t="shared" ref="E22" si="90">IFERROR(LEFT(B22, FIND("(",B22)-1),B22)</f>
        <v>nvarchar</v>
      </c>
      <c r="F22" s="7"/>
      <c r="G22" t="str">
        <f t="shared" ref="G22" si="91">IFERROR(MID(B22,FIND("(",B22) +1, FIND(")",B22) - FIND("(",B22) - 1),"")</f>
        <v>500</v>
      </c>
      <c r="H22" t="str">
        <f>+VLOOKUP(E22,'Data Type Mapping'!A:B,2,)</f>
        <v>string</v>
      </c>
      <c r="I22" t="str">
        <f t="shared" ref="I22" si="92">IF(H22="string",REPT(CHAR(9),2)&amp;"public const int Max"&amp;D22&amp;"Length = "&amp;G22&amp;";"&amp;$E$3,"" )</f>
        <v xml:space="preserve">		public const int MaxRemarkLength = 500;
</v>
      </c>
      <c r="J22" t="str">
        <f t="shared" ref="J22" si="93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[StringLength(MaxRemarkLength)]
		public virtual string Remark { get; set; }
</v>
      </c>
      <c r="K22" s="7"/>
      <c r="L22" t="str">
        <f t="shared" ref="L22" si="94">IF(K22="","",REPT(CHAR(9),1)&amp;"[Index(nameof("&amp;IF(D22="","",""&amp;D22)&amp;")"&amp;", Name="&amp;"""IX_"&amp;$B$7&amp;"_"&amp;D22&amp;""")]")</f>
        <v/>
      </c>
      <c r="M22" t="str">
        <f t="shared" ref="M22" si="95">REPT(CHAR(9),2)&amp;"public virtual "&amp;IF(OR(H22="DateTime",H22="TimeSpan"),H22&amp;"?",H22)&amp;IF(C22="?","? "," ")&amp;D22&amp;" { get; set; }" &amp; "
"</f>
        <v xml:space="preserve">		public virtual string Remark { get; set; }
</v>
      </c>
      <c r="N22" t="str">
        <f t="shared" ref="N22" si="96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[StringLength(MstPtsBmpPartListConsts.MaxRemarkLength)]
		public virtual string Remark { get; set; }
</v>
      </c>
      <c r="O22" t="str">
        <f t="shared" ref="O22" si="97">IF(OR(H22="string",H22="DateTime",H22="int"),REPT(CHAR(9),2)&amp;"public virtual "&amp;IF(OR(H22="DateTime",H22="TimeSpan"),H22&amp;"?",H22)&amp;IF(C22="?","? "," ")&amp;D22&amp;" { get; set; }"&amp;$E$3,"")</f>
        <v xml:space="preserve">		public virtual string Remark { get; set; }
</v>
      </c>
      <c r="P22" t="str">
        <f t="shared" ref="P22" si="98">REPT(CHAR(9),7)&amp;D22&amp;" = o." &amp;D22 &amp;","</f>
        <v xml:space="preserve">							Remark = o.Remark,</v>
      </c>
      <c r="T22" s="69" t="str">
        <f t="shared" ref="T22" si="99">REPT(CHAR(9),8)&amp;"("""&amp;D22&amp;"""),"</f>
        <v xml:space="preserve">								("Remark"),</v>
      </c>
      <c r="V22" s="70" t="str">
        <f t="shared" ref="V22" si="100">REPT(CHAR(9),8)&amp;"_ =&gt; _."&amp;D22&amp;","</f>
        <v xml:space="preserve">								_ =&gt; _.Remark,</v>
      </c>
      <c r="W22" s="69" t="str">
        <f t="shared" ref="W22" si="101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.WhereIf(!string.IsNullOrWhiteSpace(input.Remark), e =&gt; e.Remark.Contains(input.Remark))</v>
      </c>
    </row>
    <row r="23" spans="1:23" customFormat="1" ht="22.5" customHeight="1" x14ac:dyDescent="0.25">
      <c r="A23" t="s">
        <v>323</v>
      </c>
      <c r="B23" t="s">
        <v>324</v>
      </c>
      <c r="C23" t="s">
        <v>1</v>
      </c>
      <c r="D23" t="str">
        <f>SUBSTITUTE(PROPER(A23),"_","")</f>
        <v>IsActive</v>
      </c>
      <c r="E23" t="str">
        <f t="shared" si="0"/>
        <v>varchar</v>
      </c>
      <c r="F23" s="7"/>
      <c r="G23" t="str">
        <f t="shared" si="1"/>
        <v>1</v>
      </c>
      <c r="H23" t="str">
        <f>+VLOOKUP(E23,'Data Type Mapping'!A:B,2,)</f>
        <v>string</v>
      </c>
      <c r="I23" t="str">
        <f t="shared" si="2"/>
        <v xml:space="preserve">		public const int MaxIsActiveLength = 1;
</v>
      </c>
      <c r="J23" t="str">
        <f t="shared" si="3"/>
        <v xml:space="preserve">		[StringLength(MaxIsActiveLength)]
		public virtual string IsActive { get; set; }
</v>
      </c>
      <c r="K23" s="7" t="s">
        <v>206</v>
      </c>
      <c r="L23" t="str">
        <f>IF(K23="","",REPT(CHAR(9),1)&amp;"[Index(nameof("&amp;IF(D23="","",""&amp;D23)&amp;")"&amp;", Name="&amp;"""IX_"&amp;$B$7&amp;"_"&amp;D23&amp;""")]")</f>
        <v xml:space="preserve">	[Index(nameof(IsActive), Name="IX_MstPtsBmpPartList_IsActive")]</v>
      </c>
      <c r="M23" t="str">
        <f t="shared" si="4"/>
        <v xml:space="preserve">		public virtual string IsActive { get; set; }
</v>
      </c>
      <c r="N23" t="str">
        <f t="shared" si="5"/>
        <v xml:space="preserve">		[StringLength(MstPtsBmpPartListConsts.MaxIsActiveLength)]
		public virtual string IsActive { get; set; }
</v>
      </c>
      <c r="O23" t="str">
        <f t="shared" si="6"/>
        <v xml:space="preserve">		public virtual string IsActive { get; set; }
</v>
      </c>
      <c r="P23" t="str">
        <f t="shared" si="7"/>
        <v xml:space="preserve">							IsActive = o.IsActive,</v>
      </c>
      <c r="T23" s="69" t="str">
        <f t="shared" si="8"/>
        <v xml:space="preserve">								("IsActive"),</v>
      </c>
      <c r="V23" s="70" t="str">
        <f t="shared" si="9"/>
        <v xml:space="preserve">								_ =&gt; _.IsActive,</v>
      </c>
      <c r="W23" s="69" t="str">
        <f t="shared" si="10"/>
        <v xml:space="preserve">				.WhereIf(!string.IsNullOrWhiteSpace(input.IsActive), e =&gt; e.IsActive.Contains(input.IsActive))</v>
      </c>
    </row>
    <row r="25" spans="1:23" ht="45.75" customHeight="1" x14ac:dyDescent="0.25">
      <c r="H25" s="12"/>
      <c r="I25" s="34" t="str">
        <f ca="1">TEXTJOIN2("
", TRUE,INDIRECT( $H$1):INDIRECT( $H$3))</f>
        <v xml:space="preserve">		public const int MaxModelLength = 50;
		public const int MaxCfcLength = 50;
		public const int MaxGradeLength = 50;
		public const int MaxBackNoLength = 50;
		public const int MaxProdLineLength = 50;
		public const int MaxPartTypeCodeLength = 50;
		public const int MaxProcessLength = 50;
		public const int MaxPkProcessLength = 50;
		public const int MaxIsPunchLength = 1;
		public const int MaxSpecialColorLength = 50;
		public const int MaxSignalCodeLength = 50;
		public const int MaxRemarkLength = 500;
		public const int MaxIsActiveLength = 1;
</v>
      </c>
      <c r="J25" s="33" t="str">
        <f ca="1">TEXTJOIN2("
", TRUE,INDIRECT( $F$1):INDIRECT( $F$3))</f>
        <v xml:space="preserve">		[StringLength(MaxModelLength)]
		public virtual string Model { get; set; }
		[StringLength(MaxCfcLength)]
		public virtual string Cfc { get; set; }
		[StringLength(MaxGradeLength)]
		public virtual string Grade { get; set; }
		[StringLength(MaxBackNoLength)]
		public virtual string BackNo { get; set; }
		[StringLength(MaxProdLineLength)]
		public virtual string ProdLine { get; set; }
		[StringLength(MaxPartTypeCodeLength)]
		public virtual string PartTypeCode { get; set; }
		public virtual long PartTypeId { get; set; }
		[StringLength(MaxProcessLength)]
		public virtual string Process { get; set; }
		[StringLength(MaxPkProcessLength)]
		public virtual string PkProcess { get; set; }
		[StringLength(MaxIsPunchLength)]
		public virtual string IsPunch { get; set; }
		[StringLength(MaxSpecialColorLength)]
		public virtual string SpecialColor { get; set; }
		public virtual long SignalId { get; set; }
		[StringLength(MaxSignalCodeLength)]
		public virtual string SignalCode { get; set; }
		[StringLength(MaxRemarkLength)]
		public virtual string Remark { get; set; }
		[StringLength(MaxIsActiveLength)]
		public virtual string IsActive { get; set; }
</v>
      </c>
      <c r="K25" s="35" t="str">
        <f ca="1">TEXTJOIN2("
", TRUE,INDIRECT( $J$1):INDIRECT( $J$3))</f>
        <v xml:space="preserve">	[Index(nameof(Model), Name="IX_MstPtsBmpPartList_Model")]
	[Index(nameof(BackNo), Name="IX_MstPtsBmpPartList_BackNo")]
	[Index(nameof(ProdLine), Name="IX_MstPtsBmpPartList_ProdLine")]
	[Index(nameof(PartTypeCode), Name="IX_MstPtsBmpPartList_PartTypeCode")]
	[Index(nameof(IsActive), Name="IX_MstPtsBmpPartList_IsActive")]</v>
      </c>
      <c r="L25" s="13" t="s">
        <v>60</v>
      </c>
      <c r="M25" s="36" t="str">
        <f ca="1">TEXTJOIN2("
",TRUE,INDIRECT( $L$1):INDIRECT($L$3))</f>
        <v xml:space="preserve">		public virtual string Model { get; set; }
		public virtual string Cfc { get; set; }
		public virtual string Grade { get; set; }
		public virtual string BackNo { get; set; }
		public virtual string ProdLine { get; set; }
		public virtual string PartTypeCode { get; set; }
		public virtual long PartTypeId { get; set; }
		public virtual string Process { get; set; }
		public virtual string PkProcess { get; set; }
		public virtual string IsPunch { get; set; }
		public virtual string SpecialColor { get; set; }
		public virtual long SignalId { get; set; }
		public virtual string SignalCode { get; set; }
		public virtual string Remark { get; set; }
		public virtual string IsActive { get; set; }
</v>
      </c>
      <c r="N25" s="33" t="str">
        <f ca="1">TEXTJOIN2("
",TRUE,INDIRECT( $M$1):INDIRECT($M$3))</f>
        <v xml:space="preserve">		[StringLength(MstPtsBmpPartListConsts.MaxModelLength)]
		public virtual string Model { get; set; }
		[StringLength(MstPtsBmpPartListConsts.MaxCfcLength)]
		public virtual string Cfc { get; set; }
		[StringLength(MstPtsBmpPartListConsts.MaxGradeLength)]
		public virtual string Grade { get; set; }
		[StringLength(MstPtsBmpPartListConsts.MaxBackNoLength)]
		public virtual string BackNo { get; set; }
		[StringLength(MstPtsBmpPartListConsts.MaxProdLineLength)]
		public virtual string ProdLine { get; set; }
		[StringLength(MstPtsBmpPartListConsts.MaxPartTypeCodeLength)]
		public virtual string PartTypeCode { get; set; }
		public virtual long PartTypeId { get; set; }
		[StringLength(MstPtsBmpPartListConsts.MaxProcessLength)]
		public virtual string Process { get; set; }
		[StringLength(MstPtsBmpPartListConsts.MaxPkProcessLength)]
		public virtual string PkProcess { get; set; }
		[StringLength(MstPtsBmpPartListConsts.MaxIsPunchLength)]
		public virtual string IsPunch { get; set; }
		[StringLength(MstPtsBmpPartListConsts.MaxSpecialColorLength)]
		public virtual string SpecialColor { get; set; }
		public virtual long SignalId { get; set; }
		[StringLength(MstPtsBmpPartListConsts.MaxSignalCodeLength)]
		public virtual string SignalCode { get; set; }
		[StringLength(MstPtsBmpPartListConsts.MaxRemarkLength)]
		public virtual string Remark { get; set; }
		[StringLength(MstPtsBmpPartListConsts.MaxIsActiveLength)]
		public virtual string IsActive { get; set; }
</v>
      </c>
      <c r="O25" s="33" t="str">
        <f ca="1">TEXTJOIN2("
",TRUE,INDIRECT( $N$1):INDIRECT($N$3))</f>
        <v xml:space="preserve">		public virtual string Model { get; set; }
		public virtual string Cfc { get; set; }
		public virtual string Grade { get; set; }
		public virtual string BackNo { get; set; }
		public virtual string ProdLine { get; set; }
		public virtual string PartTypeCode { get; set; }
		public virtual string Process { get; set; }
		public virtual string PkProcess { get; set; }
		public virtual string IsPunch { get; set; }
		public virtual string SpecialColor { get; set; }
		public virtual string SignalCode { get; set; }
		public virtual string Remark { get; set; }
		public virtual string IsActive { get; set; }
</v>
      </c>
      <c r="P25" s="9" t="str">
        <f ca="1">TEXTJOIN2("
",TRUE,INDIRECT( $O$1):INDIRECT($O$3))</f>
        <v xml:space="preserve">							Model = o.Model,
							Cfc = o.Cfc,
							Grade = o.Grade,
							BackNo = o.BackNo,
							ProdLine = o.ProdLine,
							PartTypeCode = o.PartTypeCode,
							PartTypeId = o.PartTypeId,
							Process = o.Process,
							PkProcess = o.PkProcess,
							IsPunch = o.IsPunch,
							SpecialColor = o.SpecialColor,
							SignalId = o.SignalId,
							SignalCode = o.SignalCode,
							Remark = o.Remark,
							IsActive = o.IsActive,</v>
      </c>
      <c r="T25" s="9" t="str">
        <f ca="1">TEXTJOIN2("
",TRUE,INDIRECT( $T$2):INDIRECT($T$3))</f>
        <v xml:space="preserve">								("Model"),
								("Cfc"),
								("Grade"),
								("BackNo"),
								("ProdLine"),
								("PartTypeCode"),
								("PartTypeId"),
								("Process"),
								("PkProcess"),
								("IsPunch"),
								("SpecialColor"),
								("SignalId"),
								("SignalCode"),
								("Remark"),
								("IsActive"),</v>
      </c>
      <c r="V25" s="9" t="str">
        <f ca="1">TEXTJOIN2("
",TRUE,INDIRECT( $V$2):INDIRECT($V$3))</f>
        <v xml:space="preserve">								_ =&gt; _.Model,
								_ =&gt; _.Cfc,
								_ =&gt; _.Grade,
								_ =&gt; _.BackNo,
								_ =&gt; _.ProdLine,
								_ =&gt; _.PartTypeCode,
								_ =&gt; _.PartTypeId,
								_ =&gt; _.Process,
								_ =&gt; _.PkProcess,
								_ =&gt; _.IsPunch,
								_ =&gt; _.SpecialColor,
								_ =&gt; _.SignalId,
								_ =&gt; _.SignalCode,
								_ =&gt; _.Remark,
								_ =&gt; _.IsActive,</v>
      </c>
      <c r="W25" s="9" t="str">
        <f ca="1">TEXTJOIN2("
",TRUE,INDIRECT( $W$2):INDIRECT($W$3))</f>
        <v xml:space="preserve">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.WhereIf(!string.IsNullOrWhiteSpace(input.BackNo), e =&gt; e.BackNo.Contains(input.BackNo))
				.WhereIf(!string.IsNullOrWhiteSpace(input.ProdLine), e =&gt; e.ProdLine.Contains(input.ProdLine))
				.WhereIf(!string.IsNullOrWhiteSpace(input.PartTypeCode), e =&gt; e.PartTypeCode.Contains(input.PartTypeCode))
				.WhereIf(!string.IsNullOrWhiteSpace(input.Process), e =&gt; e.Process.Contains(input.Process))
				.WhereIf(!string.IsNullOrWhiteSpace(input.PkProcess), e =&gt; e.PkProcess.Contains(input.PkProcess))
				.WhereIf(!string.IsNullOrWhiteSpace(input.IsPunch), e =&gt; e.IsPunch.Contains(input.IsPunch))
				.WhereIf(!string.IsNullOrWhiteSpace(input.SpecialColor), e =&gt; e.SpecialColor.Contains(input.SpecialColor))
				.WhereIf(!string.IsNullOrWhiteSpace(input.SignalCode), e =&gt; e.SignalCode.Contains(input.SignalCode))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2"/>
  <sheetViews>
    <sheetView zoomScaleNormal="100" workbookViewId="0">
      <selection activeCell="C15" sqref="C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329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Painting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painting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MstPtsBmpPartList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BmpPartList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bmppartlist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MstPtsBmpPartListDto, MstPtsBmpPartListServiceProxy } from '@shared/service-proxies/service-proxies';
import { finalize } from 'rxjs/internal/operators/finalize';
import { CreateOrEditBmpPartListModalComponent } from './create-or-edit-bmppartlist-modal.component';
import { DatePipe } from '@angular/common';
import { FileDownloadService } from '@shared/utils/file-download.service';
import ceil from 'lodash-es/ceil';
import { Paginator } from 'primeng/paginator';
@Component({
    templateUrl: './bmppartlist.component.html',
    styleUrls: ['./bmppartlist.component.less'],
})
export class BmpPartListComponent extends AppComponentBase implements OnInit {
    @ViewChild('createOrEditModalBmpPartList', { static: true }) createOrEditModalBmpPartList:| CreateOrEditBmpPartListModalComponent|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MstPtsBmpPartListDto = new MstPtsBmpPartListDto();
    saveSelectedRow: MstPtsBmpPartListDto = new MstPtsBmpPartListDto();
    datas: MstPtsBmpPartListDto = new MstPtsBmpPartListDto();
    isLoading: boolean = false;
    dataParams: GridParams | undefined;
    rowData: any[] = [];
    gridApi!: GridApi;
    rowSelection = 'multiple';
    filter: string = '';
	pipe = new DatePipe('en-US');
	frameworkComponents: FrameworkComponent;
    	model : string = '' ; 
	cfc : string = '' ; 
	grade : string = '' ; 
	backNo : string = '' ; 
	prodLine : string = '' ; 
	partTypeCode : string = '' ; 
	partTypeId
	process : string = '' ; 
	pkProcess : string = '' ; 
	isPunch : string = '' ; 
	specialColor : string = '' ; 
	signalId
	signalCode : string = '' ; 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MstPtsBmpPartListServiceProxy,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this.l('Back No'),headerTooltip: this.l('Back No'),field: 'backNo',flex: 1},
			{headerName: this.l('Prod Line'),headerTooltip: this.l('Prod Line'),field: 'prodLine',flex: 1},
			{headerName: this.l('Part Type Code'),headerTooltip: this.l('Part Type Code'),field: 'partTypeCode',flex: 1},
			{headerName: this.l('Part Type Id'),headerTooltip: this.l('Part Type Id'),field: 'partTypeId',flex: 1},
			{headerName: this.l('Process'),headerTooltip: this.l('Process'),field: 'process',flex: 1},
			{headerName: this.l('Pk Process'),headerTooltip: this.l('Pk Process'),field: 'pkProcess',flex: 1},
			{headerName: this.l('Is Punch'),headerTooltip: this.l('Is Punch'),field:  'isPunch', cellClass: ['text-center'], width: 120, cellRenderer: 'agCellButtonComponent',
buttonDefTwo: { text: params =&gt; (params.data?.'isPunch' == 'Y') ? 'Active' : 'Inactive',iconName: 'fa fa-circle',className: params =&gt; (params.data?.'isPunch' == 'Y') ? 'btnActive' : 'btnInActive',},}
			{headerName: this.l('Special Color'),headerTooltip: this.l('Special Color'),field: 'specialColor',flex: 1},
			{headerName: this.l('Signal Id'),headerTooltip: this.l('Signal Id'),field: 'signalId',flex: 1},
			{headerName: this.l('Signal Code'),headerTooltip: this.l('Signal Code'),field: 'signalCode',flex: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this.cfc,
			this.grade,
			this.backNo,
			this.prodLine,
			this.partTypeCode,
			this.partTypeId,
			this.process,
			this.pkProcess,
			this.isPunch,
			this.specialColor,
			this.signalId,
			this.signalCode,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this.model = '',
		this.cfc = '',
		this.grade = '',
		this.backNo = '',
		this.prodLine = '',
		this.partTypeCode = '',
		this.partTypeId = '',
		this.process = '',
		this.pkProcess = '',
		this.isPunch = '',
		this.specialColor = '',
		this.signalId = '',
		this.signalCode = '',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this.cfc,
			this.grade,
			this.backNo,
			this.prodLine,
			this.partTypeCode,
			this.partTypeId,
			this.process,
			this.pkProcess,
			this.isPunch,
			this.specialColor,
			this.signalId,
			this.signalCode,
			this.remark,
			this.isActive,
			'',
            this.paginationParams.skipCount,
            this.paginationParams.pageSize
        );
    }
    onChangeRowSelection(params: { api: { getSelectedRows: () =&gt; MstPtsBmpPartListDto[] } }) {
        this.saveSelectedRow = params.api.getSelectedRows()[0] ?? new MstPtsBmpPartListDto();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MstPtsBmpPartListDto):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this._service.getBmpPartListToExcel(
			this.model,
			this.cfc,
			this.grade,
			this.backNo,
			this.prodLine,
			this.partTypeCode,
			this.partTypeId,
			this.process,
			this.pkProcess,
			this.isPunch,
			this.specialColor,
			this.signalId,
			this.signalCode,
			this.remark,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Bumper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[(ngModel)]='partTypeCode' name='partTypeCode'
									class='form-control' [placeholder]="l('Part Type Code')"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[(ngModel)]='pkProcess' name='pkProcess'
									class='form-control' [placeholder]="l('Pk Process')"
									type='text' (keyup.enter)='searchDatas()'&gt;
								&lt;/div&gt;
								&lt;div class='input-search'&gt;
									&lt;input [(ngModel)]='isPunch' name='isPunch'
									class='form-control' [placeholder]="l('Is Punch')"
									type='text' (keyup.enter)='searchDatas()'&gt;
								&lt;/div&gt;
								&lt;div class='input-search'&gt;
									&lt;input [(ngModel)]='specialColor' name='specialColor'
									class='form-control' [placeholder]="l('Special Color')"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(click)="createOrEditModalBmpPartList.show()"&gt;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(click)="createOrEditModalBmpPartList.show(selectedRow)"&gt;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&lt;create-or-edit-bmppartlist-modal
    #createOrEditModalBmpPartList
    (modalSave)="callBackDataGrid(dataParams)"
    (modalClose)="onChangeRowSelection(dataParams)"
&gt;
&lt;/create-or-edit-bmppartlist-modal&gt;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#createOrEditModalBmpPartList="bs-modal"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BmpPartList')}}&lt;/h3&gt;
                    &lt;h3 *ngIf="!rowdata.id"&gt;{{('Create New BmpPartList')}}&lt;/h3&gt;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title'&gt;Part Type Code&lt;/label&gt;
						&lt;input type='text' class='col-md-10 form-control input-text' name='PartTypeCode' [(ngModel)]='rowdata.partTypeCode'&gt;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title'&gt;Pk Process&lt;/label&gt;
						&lt;input type='text' class='col-md-10 form-control input-text' name='PkProcess' [(ngModel)]='rowdata.pkProcess'&gt;
					&lt;/div&gt;
					&lt;div class='col-md-12 form-group row'&gt;
						&lt;label class='col-md-2 form-control title'&gt;Is Punch&lt;/label&gt;
						&lt;new-checkbox [(ngModel)]='_isPunch' name='isPunch' className='col-md-10' &gt; &lt;/new-checkbox&gt;
					&lt;/div&gt;
					&lt;div class='col-md-12 form-group row'&gt;
						&lt;label class='col-md-2 form-control title'&gt;Special Color&lt;/label&gt;
						&lt;input type='text' class='col-md-10 form-control input-text' name='SpecialColor' [(ngModel)]='rowdata.specialColor'&gt;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CreateOrEditMstPtsBmpPartListDto, MstPtsBmpPartListServiceProxy } from '@shared/service-proxies/service-proxies';
import { BsDatepickerDirective } from 'ngx-bootstrap/datepicker';
@Component({
    selector: 'create-or-edit-bmppartlist-modal',
    templateUrl: './create-or-edit-bmppartlist-modal.component.html',
    styleUrls: ['./create-or-edit-bmppartlist-modal.component.less']
    })
export class CreateOrEditBmpPartListModalComponent extends AppComponentBase {
    @ViewChild('createOrEditModalBmpPartList',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CreateOrEditMstPtsBmpPartListDto = new CreateOrEditMstPtsBmpPartListDto();
    active: boolean = false;
    saving: boolean = false;
    _isPunch
isActive: boolean;
    constructor(
        injector: Injector,
        private _mstwptBmpPartListService: MstPtsBmpPartListServiceProxy,
    ) 
    {
        super(injector);
    }
    show(rowdata?: CreateOrEditMstPtsBmpPartListDto): void {
        if (!rowdata) this.rowdata = new CreateOrEditMstPtsBmpPartListDto();
        else this.rowdata = rowdata;
        this._isPunch
isActive = (this.rowdata.isPunch
isActive == "N")? false: true;
        this.active = true;
        this.modal.show();
    } 
    changeActive(event){
        this._isPunch
isActive = event.target.checked;
    }
    save(): void {
    this.saving = true; 
    this.rowdata.isPunch
isActive = (this._isPunch
isActive == true) ? 'Y' : 'N'
    this._mstwptBmpPartListService.createOrEdit(this.rowdata)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BmpPartListRoutingModule } from './bmppartlist-routing.module';
import { BmpPartListComponent } from './bmppartlist.component';
import { CreateOrEditBmpPartListModalComponent } from './create-or-edit-bmppartlist-modal.component';
@NgModule({
    declarations: [
       BmpPartListComponent, 
        CreateOrEditBmpPartListModalComponent
    ],
    imports: [
        AppSharedModule, BmpPartListRoutingModule]
})
export class BmpPartListModule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BmpPartListComponent } from './bmppartlist.component';
const routes: Routes = [{
    path: '',
    component: BmpPartListComponent,
    pathMatch: 'full'
}];
@NgModule({
    imports: [RouterModule.forChild(routes)],
    exports: [RouterModule],
})
export class BmpPartListRoutingModule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AppMenuItem("BmpPartList", "Pages.Master.Painting.BmpPartList", "flaticon-book",   "/app/main/master/painting/bmppartlist"),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'master/painting/bmppartlist',
    loadChildren: () =&gt; import('./master/painting/bmppartlist/bmppartlist.module').then(m =&gt; m.BmpPartListModule),
    data: { permission: 'Pages.Master.Painting.BmpPartList' }
},</v>
      </c>
      <c r="R10" s="50" t="str">
        <f>SUBSTITUTE(R9,"MstWptCalendar",$B$6)</f>
        <v>ApiServiceProxies.MstPtsBmpPartListServiceProxy,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H29</v>
      </c>
      <c r="I12" s="31" t="str">
        <f>"I"&amp;COUNTA($A:$A)</f>
        <v>I29</v>
      </c>
      <c r="J12" s="31"/>
      <c r="K12" s="31" t="str">
        <f>"K"&amp;COUNTA($A:$A)</f>
        <v>K29</v>
      </c>
      <c r="L12" s="31" t="str">
        <f>"L"&amp;COUNTA($A:$A)</f>
        <v>L29</v>
      </c>
      <c r="M12" s="31"/>
      <c r="N12" s="31"/>
      <c r="O12" s="31"/>
      <c r="P12" s="31"/>
      <c r="Q12" s="31"/>
      <c r="R12" s="31"/>
      <c r="S12" s="31" t="str">
        <f>"S"&amp;COUNTA($A:$A)</f>
        <v>S29</v>
      </c>
      <c r="T12" s="31" t="str">
        <f>"T"&amp;COUNTA($A:$A)</f>
        <v>T29</v>
      </c>
      <c r="U12" s="31" t="str">
        <f>"U"&amp;COUNTA($A:$A)</f>
        <v>U29</v>
      </c>
      <c r="V12" s="31" t="str">
        <f>"V"&amp;COUNTA($A:$A)</f>
        <v>V29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this.l('Back No'),headerTooltip: this.l('Back No'),field: 'backNo',flex: 1},
			{headerName: this.l('Prod Line'),headerTooltip: this.l('Prod Line'),field: 'prodLine',flex: 1},
			{headerName: this.l('Part Type Code'),headerTooltip: this.l('Part Type Code'),field: 'partTypeCode',flex: 1},
			{headerName: this.l('Part Type Id'),headerTooltip: this.l('Part Type Id'),field: 'partTypeId',flex: 1},
			{headerName: this.l('Process'),headerTooltip: this.l('Process'),field: 'process',flex: 1},
			{headerName: this.l('Pk Process'),headerTooltip: this.l('Pk Process'),field: 'pkProcess',flex: 1},
			{headerName: this.l('Is Punch'),headerTooltip: this.l('Is Punch'),field:  'isPunch', cellClass: ['text-center'], width: 120, cellRenderer: 'agCellButtonComponent',
buttonDefTwo: { text: params =&gt; (params.data?.'isPunch' == 'Y') ? 'Active' : 'Inactive',iconName: 'fa fa-circle',className: params =&gt; (params.data?.'isPunch' == 'Y') ? 'btnActive' : 'btnInActive',},}
			{headerName: this.l('Special Color'),headerTooltip: this.l('Special Color'),field: 'specialColor',flex: 1},
			{headerName: this.l('Signal Id'),headerTooltip: this.l('Signal Id'),field: 'signalId',flex: 1},
			{headerName: this.l('Signal Code'),headerTooltip: this.l('Signal Code'),field: 'signalCode',flex: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[(ngModel)]='partTypeCode' name='partTypeCode'
									class='form-control' [placeholder]="l('Part Type Code')"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[(ngModel)]='pkProcess' name='pkProcess'
									class='form-control' [placeholder]="l('Pk Process')"
									type='text' (keyup.enter)='searchDatas()'&gt;
								&lt;/div&gt;
								&lt;div class='input-search'&gt;
									&lt;input [(ngModel)]='isPunch' name='isPunch'
									class='form-control' [placeholder]="l('Is Punch')"
									type='text' (keyup.enter)='searchDatas()'&gt;
								&lt;/div&gt;
								&lt;div class='input-search'&gt;
									&lt;input [(ngModel)]='specialColor' name='specialColor'
									class='form-control' [placeholder]="l('Special Color')"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title'&gt;Part Type Code&lt;/label&gt;
						&lt;input type='text' class='col-md-10 form-control input-text' name='PartTypeCode' [(ngModel)]='rowdata.partTypeCode'&gt;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title'&gt;Pk Process&lt;/label&gt;
						&lt;input type='text' class='col-md-10 form-control input-text' name='PkProcess' [(ngModel)]='rowdata.pkProcess'&gt;
					&lt;/div&gt;
					&lt;div class='col-md-12 form-group row'&gt;
						&lt;label class='col-md-2 form-control title'&gt;Is Punch&lt;/label&gt;
						&lt;new-checkbox [(ngModel)]='_isPunch' name='isPunch' className='col-md-10' &gt; &lt;/new-checkbox&gt;
					&lt;/div&gt;
					&lt;div class='col-md-12 form-group row'&gt;
						&lt;label class='col-md-2 form-control title'&gt;Special Color&lt;/label&gt;
						&lt;input type='text' class='col-md-10 form-control input-text' name='SpecialColor' [(ngModel)]='rowdata.specialColor'&gt;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model : string = '' ; 
	cfc : string = '' ; 
	grade : string = '' ; 
	backNo : string = '' ; 
	prodLine : string = '' ; 
	partTypeCode : string = '' ; 
	partTypeId
	process : string = '' ; 
	pkProcess : string = '' ; 
	isPunch : string = '' ; 
	specialColor : string = '' ; 
	signalId
	signalCode : string = '' ; 
	remark : string = '' ; 
	isActive : string = '' ; </v>
      </c>
      <c r="T13" s="68" t="str">
        <f ca="1">TEXTJOIN2("
",TRUE,INDIRECT(T11):INDIRECT(T12))</f>
        <v xml:space="preserve">			this.model,
			this.cfc,
			this.grade,
			this.backNo,
			this.prodLine,
			this.partTypeCode,
			this.partTypeId,
			this.process,
			this.pkProcess,
			this.isPunch,
			this.specialColor,
			this.signalId,
			this.signalCode,
			this.remark,
			this.isActive,</v>
      </c>
      <c r="U13" s="68" t="str">
        <f ca="1">TEXTJOIN2("
",TRUE,INDIRECT(U11):INDIRECT(U12))</f>
        <v xml:space="preserve">		this.model = '',
		this.cfc = '',
		this.grade = '',
		this.backNo = '',
		this.prodLine = '',
		this.partTypeCode = '',
		this.partTypeId = '',
		this.process = '',
		this.pkProcess = '',
		this.isPunch = '',
		this.specialColor = '',
		this.signalId = '',
		this.signalCode = '',
		this.remark = '',
		this.isActive = '',</v>
      </c>
      <c r="V13" s="31" t="str">
        <f ca="1">TEXTJOIN2("
",TRUE,INDIRECT(V11):INDIRECT(V12))</f>
        <v>isPunch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bmppartlist.component.ts</v>
      </c>
      <c r="I14" s="40" t="str">
        <f>B8&amp;".component.html"</f>
        <v>bmppartlist.component.html</v>
      </c>
      <c r="J14" s="39" t="str">
        <f>B8&amp;".component.less"</f>
        <v>bmppartlist.component.less</v>
      </c>
      <c r="K14" s="40" t="str">
        <f>"create-or-edit-"&amp;B8&amp;"-modal.component.html"</f>
        <v>create-or-edit-bmppartlist-modal.component.html</v>
      </c>
      <c r="L14" s="40" t="str">
        <f>"create-or-edit-"&amp;B8&amp;"-modal.component.ts"</f>
        <v>create-or-edit-bmppartlist-modal.component.ts</v>
      </c>
      <c r="M14" s="40" t="str">
        <f>"create-or-edit-"&amp;B8&amp;"-modal.component.less"</f>
        <v>create-or-edit-bmppartlist-modal.component.less</v>
      </c>
      <c r="N14" s="40" t="str">
        <f>B8&amp;".module.ts"</f>
        <v>bmppartlist.module.ts</v>
      </c>
      <c r="O14" s="40" t="str">
        <f>B8&amp;"-routing.module.ts"</f>
        <v>bmppartlist-routing.module.ts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328</v>
      </c>
      <c r="B15" s="31" t="str">
        <f t="shared" ref="B15:B27" si="0">SUBSTITUTE(PROPER(A15),"_","")</f>
        <v>Model</v>
      </c>
      <c r="C15" s="31" t="str">
        <f t="shared" ref="C15:C27" si="1">SUBSTITUTE(PROPER(A15),"_"," ")</f>
        <v>Model</v>
      </c>
      <c r="D15" s="31" t="str">
        <f t="shared" ref="D15:D27" si="2">LOWER(LEFT(B15,1))&amp;RIGHT(B15,LEN(B15) - 1)</f>
        <v>model</v>
      </c>
      <c r="E15" s="31" t="str">
        <f>A.Backend!H9</f>
        <v>string</v>
      </c>
      <c r="F15" s="31" t="str">
        <f>A.Backend!G9</f>
        <v>50</v>
      </c>
      <c r="G15" s="31" t="str">
        <f t="shared" ref="G15:G27" si="3">IF(E15="string"," : string = '' ; ",IF(OR(E15="DateTime",E15="TimeSpan")," : any ;",IF(E15="int"," : number = 0 ;","")))</f>
        <v xml:space="preserve"> : string = '' ; </v>
      </c>
      <c r="H15" s="38" t="str">
        <f t="shared" ref="H15:H2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this.l('Model'),headerTooltip: this.l('Model'),field: 'model',flex: 1},</v>
      </c>
      <c r="I15" s="38" t="str">
        <f t="shared" ref="I15:I2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5" s="31"/>
      <c r="K15" s="38" t="str">
        <f t="shared" ref="K15:K2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5" s="60" t="str">
        <f t="shared" ref="L15:L2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 t="shared" ref="S15:S27" si="8">REPT(CHAR(9),1)&amp;D15&amp;G15</f>
        <v xml:space="preserve">	model : string = '' ; </v>
      </c>
      <c r="T15" s="31" t="str">
        <f t="shared" ref="T15:T27" si="9">REPT(CHAR(9),3)&amp;"this."&amp;D15&amp;","</f>
        <v xml:space="preserve">			this.model,</v>
      </c>
      <c r="U15" s="31" t="str">
        <f t="shared" ref="U15:U27" si="10">IF(E15="int",REPT(CHAR(9),2)&amp;"this."&amp;D15&amp;" = 0,",REPT(CHAR(9),2)&amp;"this."&amp;D15&amp;" = '',")</f>
        <v xml:space="preserve">		this.model = '',</v>
      </c>
      <c r="V15" s="31" t="str">
        <f t="shared" ref="V15:V27" si="11">IF(AND(E15="string",F15="1"),D15,"")</f>
        <v/>
      </c>
    </row>
    <row r="16" spans="1:22" ht="18" customHeight="1" x14ac:dyDescent="0.25">
      <c r="A16" s="31" t="s">
        <v>333</v>
      </c>
      <c r="B16" s="31" t="str">
        <f t="shared" ref="B16" si="12">SUBSTITUTE(PROPER(A16),"_","")</f>
        <v>Cfc</v>
      </c>
      <c r="C16" s="31" t="str">
        <f t="shared" ref="C16" si="13">SUBSTITUTE(PROPER(A16),"_"," ")</f>
        <v>Cfc</v>
      </c>
      <c r="D16" s="31" t="str">
        <f t="shared" ref="D16" si="14">LOWER(LEFT(B16,1))&amp;RIGHT(B16,LEN(B16) - 1)</f>
        <v>cfc</v>
      </c>
      <c r="E16" s="31" t="str">
        <f>A.Backend!H10</f>
        <v>string</v>
      </c>
      <c r="F16" s="31" t="str">
        <f>A.Backend!G10</f>
        <v>50</v>
      </c>
      <c r="G16" s="31" t="str">
        <f t="shared" ref="G16" si="15">IF(E16="string"," : string = '' ; ",IF(OR(E16="DateTime",E16="TimeSpan")," : any ;",IF(E16="int"," : number = 0 ;","")))</f>
        <v xml:space="preserve"> : string = '' ; </v>
      </c>
      <c r="H16" s="38" t="str">
        <f t="shared" ref="H16" si="16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this.l('Cfc'),headerTooltip: this.l('Cfc'),field: 'cfc',flex: 1},</v>
      </c>
      <c r="I16" s="38" t="str">
        <f t="shared" ref="I16" si="17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6" s="31"/>
      <c r="K16" s="38" t="str">
        <f t="shared" ref="K16" si="18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6" s="60" t="str">
        <f t="shared" ref="L16" si="1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20">REPT(CHAR(9),1)&amp;D16&amp;G16</f>
        <v xml:space="preserve">	cfc : string = '' ; </v>
      </c>
      <c r="T16" s="31" t="str">
        <f t="shared" ref="T16" si="21">REPT(CHAR(9),3)&amp;"this."&amp;D16&amp;","</f>
        <v xml:space="preserve">			this.cfc,</v>
      </c>
      <c r="U16" s="31" t="str">
        <f t="shared" ref="U16" si="22">IF(E16="int",REPT(CHAR(9),2)&amp;"this."&amp;D16&amp;" = 0,",REPT(CHAR(9),2)&amp;"this."&amp;D16&amp;" = '',")</f>
        <v xml:space="preserve">		this.cfc = '',</v>
      </c>
      <c r="V16" s="31" t="str">
        <f t="shared" ref="V16" si="23">IF(AND(E16="string",F16="1"),D16,"")</f>
        <v/>
      </c>
    </row>
    <row r="17" spans="1:22" ht="15" customHeight="1" x14ac:dyDescent="0.25">
      <c r="A17" s="31" t="s">
        <v>334</v>
      </c>
      <c r="B17" s="31" t="str">
        <f>SUBSTITUTE(PROPER(A17),"_","")</f>
        <v>Grade</v>
      </c>
      <c r="C17" s="31" t="str">
        <f>SUBSTITUTE(PROPER(A17),"_"," ")</f>
        <v>Grade</v>
      </c>
      <c r="D17" s="31" t="str">
        <f>LOWER(LEFT(B17,1))&amp;RIGHT(B17,LEN(B17) - 1)</f>
        <v>grade</v>
      </c>
      <c r="E17" s="31" t="str">
        <f>A.Backend!H11</f>
        <v>string</v>
      </c>
      <c r="F17" s="31" t="str">
        <f>A.Backend!G11</f>
        <v>50</v>
      </c>
      <c r="G17" s="31" t="str">
        <f>IF(E17="string"," : string = '' ; ",IF(OR(E17="DateTime",E17="TimeSpan"),"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this.l('Grade'),headerTooltip: this.l('Grade'),field: 'grade',flex: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grade : string = '' ; </v>
      </c>
      <c r="T17" s="31" t="str">
        <f>REPT(CHAR(9),3)&amp;"this."&amp;D17&amp;","</f>
        <v xml:space="preserve">			this.grade,</v>
      </c>
      <c r="U17" s="31" t="str">
        <f>IF(E17="int",REPT(CHAR(9),2)&amp;"this."&amp;D17&amp;" = 0,",REPT(CHAR(9),2)&amp;"this."&amp;D17&amp;" = '',")</f>
        <v xml:space="preserve">		this.grade = '',</v>
      </c>
      <c r="V17" s="31" t="str">
        <f>IF(AND(E17="string",F17="1"),D17,"")</f>
        <v/>
      </c>
    </row>
    <row r="18" spans="1:22" ht="15" customHeight="1" x14ac:dyDescent="0.25">
      <c r="A18" s="31" t="s">
        <v>327</v>
      </c>
      <c r="B18" s="31" t="str">
        <f t="shared" ref="B18" si="24">SUBSTITUTE(PROPER(A18),"_","")</f>
        <v>BackNo</v>
      </c>
      <c r="C18" s="31" t="str">
        <f t="shared" ref="C18" si="25">SUBSTITUTE(PROPER(A18),"_"," ")</f>
        <v>Back No</v>
      </c>
      <c r="D18" s="31" t="str">
        <f t="shared" ref="D18" si="26">LOWER(LEFT(B18,1))&amp;RIGHT(B18,LEN(B18) - 1)</f>
        <v>backNo</v>
      </c>
      <c r="E18" s="31" t="str">
        <f>A.Backend!H12</f>
        <v>string</v>
      </c>
      <c r="F18" s="31" t="str">
        <f>A.Backend!G12</f>
        <v>50</v>
      </c>
      <c r="G18" s="31" t="str">
        <f t="shared" ref="G18" si="27">IF(E18="string"," : string = '' ; ",IF(OR(E18="DateTime",E18="TimeSpan")," : any ;",IF(E18="int"," : number = 0 ;","")))</f>
        <v xml:space="preserve"> : string = '' ; </v>
      </c>
      <c r="H18" s="38" t="str">
        <f t="shared" ref="H18" si="28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this.l('Back No'),headerTooltip: this.l('Back No'),field: 'backNo',flex: 1},</v>
      </c>
      <c r="I18" s="38" t="str">
        <f t="shared" ref="I18" si="29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8" s="31"/>
      <c r="K18" s="38" t="str">
        <f t="shared" ref="K18" si="30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8" s="60" t="str">
        <f t="shared" ref="L18" si="31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" si="32">REPT(CHAR(9),1)&amp;D18&amp;G18</f>
        <v xml:space="preserve">	backNo : string = '' ; </v>
      </c>
      <c r="T18" s="31" t="str">
        <f t="shared" ref="T18" si="33">REPT(CHAR(9),3)&amp;"this."&amp;D18&amp;","</f>
        <v xml:space="preserve">			this.backNo,</v>
      </c>
      <c r="U18" s="31" t="str">
        <f t="shared" ref="U18" si="34">IF(E18="int",REPT(CHAR(9),2)&amp;"this."&amp;D18&amp;" = 0,",REPT(CHAR(9),2)&amp;"this."&amp;D18&amp;" = '',")</f>
        <v xml:space="preserve">		this.backNo = '',</v>
      </c>
      <c r="V18" s="31" t="str">
        <f t="shared" ref="V18" si="35">IF(AND(E18="string",F18="1"),D18,"")</f>
        <v/>
      </c>
    </row>
    <row r="19" spans="1:22" ht="15" customHeight="1" x14ac:dyDescent="0.25">
      <c r="A19" s="31" t="s">
        <v>322</v>
      </c>
      <c r="B19" s="31" t="str">
        <f t="shared" ref="B19:B21" si="36">SUBSTITUTE(PROPER(A19),"_","")</f>
        <v>ProdLine</v>
      </c>
      <c r="C19" s="31" t="str">
        <f t="shared" ref="C19:C21" si="37">SUBSTITUTE(PROPER(A19),"_"," ")</f>
        <v>Prod Line</v>
      </c>
      <c r="D19" s="31" t="str">
        <f t="shared" ref="D19:D21" si="38">LOWER(LEFT(B19,1))&amp;RIGHT(B19,LEN(B19) - 1)</f>
        <v>prodLine</v>
      </c>
      <c r="E19" s="31" t="str">
        <f>A.Backend!H13</f>
        <v>string</v>
      </c>
      <c r="F19" s="31" t="str">
        <f>A.Backend!G13</f>
        <v>50</v>
      </c>
      <c r="G19" s="31" t="str">
        <f t="shared" ref="G19:G21" si="39">IF(E19="string"," : string = '' ; ",IF(OR(E19="DateTime",E19="TimeSpan")," : any ;",IF(E19="int"," : number = 0 ;","")))</f>
        <v xml:space="preserve"> : string = '' ; </v>
      </c>
      <c r="H19" s="38" t="str">
        <f t="shared" ref="H19:H21" si="40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this.l('Prod Line'),headerTooltip: this.l('Prod Line'),field: 'prodLine',flex: 1},</v>
      </c>
      <c r="I19" s="38" t="str">
        <f t="shared" ref="I19:I21" si="41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9" s="31"/>
      <c r="K19" s="38" t="str">
        <f t="shared" ref="K19:K21" si="42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9" s="60" t="str">
        <f t="shared" ref="L19:L21" si="43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" si="44">REPT(CHAR(9),1)&amp;D19&amp;G19</f>
        <v xml:space="preserve">	prodLine : string = '' ; </v>
      </c>
      <c r="T19" s="31" t="str">
        <f t="shared" ref="T19" si="45">REPT(CHAR(9),3)&amp;"this."&amp;D19&amp;","</f>
        <v xml:space="preserve">			this.prodLine,</v>
      </c>
      <c r="U19" s="31" t="str">
        <f t="shared" ref="U19" si="46">IF(E19="int",REPT(CHAR(9),2)&amp;"this."&amp;D19&amp;" = 0,",REPT(CHAR(9),2)&amp;"this."&amp;D19&amp;" = '',")</f>
        <v xml:space="preserve">		this.prodLine = '',</v>
      </c>
      <c r="V19" s="31" t="str">
        <f t="shared" ref="V19:V21" si="47">IF(AND(E19="string",F19="1"),D19,"")</f>
        <v/>
      </c>
    </row>
    <row r="20" spans="1:22" ht="15" customHeight="1" x14ac:dyDescent="0.25">
      <c r="A20" s="31" t="s">
        <v>342</v>
      </c>
      <c r="B20" s="31" t="str">
        <f t="shared" ref="B20" si="48">SUBSTITUTE(PROPER(A20),"_","")</f>
        <v>PartTypeCode</v>
      </c>
      <c r="C20" s="31" t="str">
        <f t="shared" ref="C20" si="49">SUBSTITUTE(PROPER(A20),"_"," ")</f>
        <v>Part Type Code</v>
      </c>
      <c r="D20" s="31" t="str">
        <f t="shared" ref="D20" si="50">LOWER(LEFT(B20,1))&amp;RIGHT(B20,LEN(B20) - 1)</f>
        <v>partTypeCode</v>
      </c>
      <c r="E20" s="31" t="str">
        <f>A.Backend!H14</f>
        <v>string</v>
      </c>
      <c r="F20" s="31" t="str">
        <f>A.Backend!G14</f>
        <v>50</v>
      </c>
      <c r="G20" s="31" t="str">
        <f t="shared" ref="G20" si="51">IF(E20="string"," : string = '' ; ",IF(OR(E20="DateTime",E20="TimeSpan")," : any ;",IF(E20="int"," : number = 0 ;","")))</f>
        <v xml:space="preserve"> : string = '' ; </v>
      </c>
      <c r="H20" s="38" t="str">
        <f t="shared" ref="H20" si="52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this.l('Part Type Code'),headerTooltip: this.l('Part Type Code'),field: 'partTypeCode',flex: 1},</v>
      </c>
      <c r="I20" s="38" t="str">
        <f t="shared" ref="I20" si="53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[(ngModel)]='partTypeCode' name='partTypeCode'
									class='form-control' [placeholder]="l('Part Type Code')"
									type='text' (keyup.enter)='searchDatas()'&gt;
								&lt;/div&gt;</v>
      </c>
      <c r="J20" s="31"/>
      <c r="K20" s="38" t="str">
        <f t="shared" ref="K20" si="54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title'&gt;Part Type Code&lt;/label&gt;
						&lt;input type='text' class='col-md-10 form-control input-text' name='PartTypeCode' [(ngModel)]='rowdata.partTypeCode'&gt;
					&lt;/div&gt;</v>
      </c>
      <c r="L20" s="60" t="str">
        <f t="shared" ref="L20" si="55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partTypeCode : string = '' ; </v>
      </c>
      <c r="T20" s="31" t="str">
        <f>REPT(CHAR(9),3)&amp;"this."&amp;D20&amp;","</f>
        <v xml:space="preserve">			this.partTypeCode,</v>
      </c>
      <c r="U20" s="31" t="str">
        <f>IF(E20="int",REPT(CHAR(9),2)&amp;"this."&amp;D20&amp;" = 0,",REPT(CHAR(9),2)&amp;"this."&amp;D20&amp;" = '',")</f>
        <v xml:space="preserve">		this.partTypeCode = '',</v>
      </c>
      <c r="V20" s="31" t="str">
        <f t="shared" ref="V20" si="56">IF(AND(E20="string",F20="1"),D20,"")</f>
        <v/>
      </c>
    </row>
    <row r="21" spans="1:22" ht="15" customHeight="1" x14ac:dyDescent="0.25">
      <c r="A21" s="31" t="s">
        <v>335</v>
      </c>
      <c r="B21" s="31" t="str">
        <f t="shared" si="36"/>
        <v>PartTypeId</v>
      </c>
      <c r="C21" s="31" t="str">
        <f t="shared" si="37"/>
        <v>Part Type Id</v>
      </c>
      <c r="D21" s="31" t="str">
        <f t="shared" si="38"/>
        <v>partTypeId</v>
      </c>
      <c r="E21" s="31" t="str">
        <f>A.Backend!H15</f>
        <v>long</v>
      </c>
      <c r="F21" s="31" t="str">
        <f>A.Backend!G15</f>
        <v/>
      </c>
      <c r="G21" s="31" t="str">
        <f t="shared" si="39"/>
        <v/>
      </c>
      <c r="H21" s="38" t="str">
        <f t="shared" si="40"/>
        <v xml:space="preserve">			{headerName: this.l('Part Type Id'),headerTooltip: this.l('Part Type Id'),field: 'partTypeId',flex: 1},</v>
      </c>
      <c r="I21" s="38" t="str">
        <f t="shared" si="41"/>
        <v/>
      </c>
      <c r="J21" s="31"/>
      <c r="K21" s="38" t="str">
        <f t="shared" si="42"/>
        <v/>
      </c>
      <c r="L21" s="60" t="str">
        <f t="shared" si="43"/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partTypeId</v>
      </c>
      <c r="T21" s="31" t="str">
        <f>REPT(CHAR(9),3)&amp;"this."&amp;D21&amp;","</f>
        <v xml:space="preserve">			this.partTypeId,</v>
      </c>
      <c r="U21" s="31" t="str">
        <f>IF(E21="int",REPT(CHAR(9),2)&amp;"this."&amp;D21&amp;" = 0,",REPT(CHAR(9),2)&amp;"this."&amp;D21&amp;" = '',")</f>
        <v xml:space="preserve">		this.partTypeId = '',</v>
      </c>
      <c r="V21" s="31" t="str">
        <f t="shared" si="47"/>
        <v/>
      </c>
    </row>
    <row r="22" spans="1:22" ht="15" customHeight="1" x14ac:dyDescent="0.25">
      <c r="A22" s="31" t="s">
        <v>341</v>
      </c>
      <c r="B22" s="31" t="str">
        <f t="shared" ref="B22:B26" si="57">SUBSTITUTE(PROPER(A22),"_","")</f>
        <v>Process</v>
      </c>
      <c r="C22" s="31" t="str">
        <f t="shared" ref="C22:C26" si="58">SUBSTITUTE(PROPER(A22),"_"," ")</f>
        <v>Process</v>
      </c>
      <c r="D22" s="31" t="str">
        <f t="shared" ref="D22:D26" si="59">LOWER(LEFT(B22,1))&amp;RIGHT(B22,LEN(B22) - 1)</f>
        <v>process</v>
      </c>
      <c r="E22" s="31" t="str">
        <f>A.Backend!H16</f>
        <v>string</v>
      </c>
      <c r="F22" s="31" t="str">
        <f>A.Backend!G16</f>
        <v>50</v>
      </c>
      <c r="G22" s="31" t="str">
        <f t="shared" ref="G22:G26" si="60">IF(E22="string"," : string = '' ; ",IF(OR(E22="DateTime",E22="TimeSpan")," : any ;",IF(E22="int"," : number = 0 ;","")))</f>
        <v xml:space="preserve"> : string = '' ; </v>
      </c>
      <c r="H22" s="38" t="str">
        <f t="shared" ref="H22:H26" si="61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this.l('Process'),headerTooltip: this.l('Process'),field: 'process',flex: 1},</v>
      </c>
      <c r="I22" s="38" t="str">
        <f t="shared" ref="I22:I26" si="62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22" s="31"/>
      <c r="K22" s="38" t="str">
        <f t="shared" ref="K22:K26" si="63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22" s="60" t="str">
        <f t="shared" ref="L22:L26" si="64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" si="65">REPT(CHAR(9),1)&amp;D22&amp;G22</f>
        <v xml:space="preserve">	process : string = '' ; </v>
      </c>
      <c r="T22" s="31" t="str">
        <f t="shared" ref="T22" si="66">REPT(CHAR(9),3)&amp;"this."&amp;D22&amp;","</f>
        <v xml:space="preserve">			this.process,</v>
      </c>
      <c r="U22" s="31" t="str">
        <f t="shared" ref="U22" si="67">IF(E22="int",REPT(CHAR(9),2)&amp;"this."&amp;D22&amp;" = 0,",REPT(CHAR(9),2)&amp;"this."&amp;D22&amp;" = '',")</f>
        <v xml:space="preserve">		this.process = '',</v>
      </c>
      <c r="V22" s="31" t="str">
        <f t="shared" ref="V22:V26" si="68">IF(AND(E22="string",F22="1"),D22,"")</f>
        <v/>
      </c>
    </row>
    <row r="23" spans="1:22" ht="15" customHeight="1" x14ac:dyDescent="0.25">
      <c r="A23" s="31" t="s">
        <v>340</v>
      </c>
      <c r="B23" s="31" t="str">
        <f>SUBSTITUTE(PROPER(A23),"_","")</f>
        <v>PkProcess</v>
      </c>
      <c r="C23" s="31" t="str">
        <f>SUBSTITUTE(PROPER(A23),"_"," ")</f>
        <v>Pk Process</v>
      </c>
      <c r="D23" s="31" t="str">
        <f>LOWER(LEFT(B23,1))&amp;RIGHT(B23,LEN(B23) - 1)</f>
        <v>pkProcess</v>
      </c>
      <c r="E23" s="31" t="str">
        <f>A.Backend!H17</f>
        <v>string</v>
      </c>
      <c r="F23" s="31" t="str">
        <f>A.Backend!G17</f>
        <v>50</v>
      </c>
      <c r="G23" s="31" t="str">
        <f>IF(E23="string"," : string = '' ; ",IF(OR(E23="DateTime",E23="TimeSpan")," : any ;",IF(E23="int"," : number = 0 ;","")))</f>
        <v xml:space="preserve"> : string = '' ; </v>
      </c>
      <c r="H23" s="38" t="str">
        <f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this.l('Pk Process'),headerTooltip: this.l('Pk Process'),field: 'pkProcess',flex: 1},</v>
      </c>
      <c r="I23" s="38" t="str">
        <f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[(ngModel)]='pkProcess' name='pkProcess'
									class='form-control' [placeholder]="l('Pk Process')"
									type='text' (keyup.enter)='searchDatas()'&gt;
								&lt;/div&gt;</v>
      </c>
      <c r="J23" s="31"/>
      <c r="K23" s="38" t="str">
        <f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title'&gt;Pk Process&lt;/label&gt;
						&lt;input type='text' class='col-md-10 form-control input-text' name='PkProcess' [(ngModel)]='rowdata.pkProcess'&gt;
					&lt;/div&gt;</v>
      </c>
      <c r="L23" s="60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pkProcess : string = '' ; </v>
      </c>
      <c r="T23" s="31" t="str">
        <f>REPT(CHAR(9),3)&amp;"this."&amp;D23&amp;","</f>
        <v xml:space="preserve">			this.pkProcess,</v>
      </c>
      <c r="U23" s="31" t="str">
        <f>IF(E23="int",REPT(CHAR(9),2)&amp;"this."&amp;D23&amp;" = 0,",REPT(CHAR(9),2)&amp;"this."&amp;D23&amp;" = '',")</f>
        <v xml:space="preserve">		this.pkProcess = '',</v>
      </c>
      <c r="V23" s="31" t="str">
        <f>IF(AND(E23="string",F23="1"),D23,"")</f>
        <v/>
      </c>
    </row>
    <row r="24" spans="1:22" ht="15" customHeight="1" x14ac:dyDescent="0.25">
      <c r="A24" s="31" t="s">
        <v>336</v>
      </c>
      <c r="B24" s="31" t="str">
        <f>SUBSTITUTE(PROPER(A24),"_","")</f>
        <v>IsPunch</v>
      </c>
      <c r="C24" s="31" t="str">
        <f>SUBSTITUTE(PROPER(A24),"_"," ")</f>
        <v>Is Punch</v>
      </c>
      <c r="D24" s="31" t="str">
        <f>LOWER(LEFT(B24,1))&amp;RIGHT(B24,LEN(B24) - 1)</f>
        <v>isPunch</v>
      </c>
      <c r="E24" s="31" t="str">
        <f>A.Backend!H18</f>
        <v>string</v>
      </c>
      <c r="F24" s="31" t="str">
        <f>A.Backend!G18</f>
        <v>1</v>
      </c>
      <c r="G24" s="31" t="str">
        <f>IF(E24="string"," : string = '' ; ",IF(OR(E24="DateTime",E24="TimeSpan")," : any ;",IF(E24="int"," : number = 0 ;","")))</f>
        <v xml:space="preserve"> : string = '' ; 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this.l('Is Punch'),headerTooltip: this.l('Is Punch'),field:  'isPunch', cellClass: ['text-center'], width: 120, cellRenderer: 'agCellButtonComponent',
buttonDefTwo: { text: params =&gt; (params.data?.'isPunch' == 'Y') ? 'Active' : 'Inactive',iconName: 'fa fa-circle',className: params =&gt; (params.data?.'isPunch' == 'Y') ? 'btnActive' : 'btnInActive',},}</v>
      </c>
      <c r="I24" s="38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[(ngModel)]='isPunch' name='isPunch'
									class='form-control' [placeholder]="l('Is Punch')"
									type='text' (keyup.enter)='searchDatas()'&gt;
								&lt;/div&gt;</v>
      </c>
      <c r="J24" s="31"/>
      <c r="K24" s="38" t="str">
        <f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title'&gt;Is Punch&lt;/label&gt;
						&lt;new-checkbox [(ngModel)]='_isPunch' name='isPunch' className='col-md-10' &gt; &lt;/new-checkbox&gt;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REPT(CHAR(9),1)&amp;D24&amp;G24</f>
        <v xml:space="preserve">	isPunch : string = '' ; </v>
      </c>
      <c r="T24" s="31" t="str">
        <f>REPT(CHAR(9),3)&amp;"this."&amp;D24&amp;","</f>
        <v xml:space="preserve">			this.isPunch,</v>
      </c>
      <c r="U24" s="31" t="str">
        <f>IF(E24="int",REPT(CHAR(9),2)&amp;"this."&amp;D24&amp;" = 0,",REPT(CHAR(9),2)&amp;"this."&amp;D24&amp;" = '',")</f>
        <v xml:space="preserve">		this.isPunch = '',</v>
      </c>
      <c r="V24" s="31" t="str">
        <f>IF(AND(E24="string",F24="1"),D24,"")</f>
        <v>isPunch</v>
      </c>
    </row>
    <row r="25" spans="1:22" ht="15" customHeight="1" x14ac:dyDescent="0.25">
      <c r="A25" s="31" t="s">
        <v>337</v>
      </c>
      <c r="B25" s="31" t="str">
        <f t="shared" si="57"/>
        <v>SpecialColor</v>
      </c>
      <c r="C25" s="31" t="str">
        <f t="shared" si="58"/>
        <v>Special Color</v>
      </c>
      <c r="D25" s="31" t="str">
        <f t="shared" si="59"/>
        <v>specialColor</v>
      </c>
      <c r="E25" s="31" t="str">
        <f>A.Backend!H19</f>
        <v>string</v>
      </c>
      <c r="F25" s="31" t="str">
        <f>A.Backend!G19</f>
        <v>50</v>
      </c>
      <c r="G25" s="31" t="str">
        <f t="shared" si="60"/>
        <v xml:space="preserve"> : string = '' ; </v>
      </c>
      <c r="H25" s="38" t="str">
        <f t="shared" si="61"/>
        <v xml:space="preserve">			{headerName: this.l('Special Color'),headerTooltip: this.l('Special Color'),field: 'specialColor',flex: 1},</v>
      </c>
      <c r="I25" s="38" t="str">
        <f t="shared" si="62"/>
        <v xml:space="preserve">								&lt;div class='input-search'&gt;
									&lt;input [(ngModel)]='specialColor' name='specialColor'
									class='form-control' [placeholder]="l('Special Color')"
									type='text' (keyup.enter)='searchDatas()'&gt;
								&lt;/div&gt;</v>
      </c>
      <c r="J25" s="31"/>
      <c r="K25" s="38" t="str">
        <f t="shared" si="63"/>
        <v xml:space="preserve">					&lt;div class='col-md-12 form-group row'&gt;
						&lt;label class='col-md-2 form-control title'&gt;Special Color&lt;/label&gt;
						&lt;input type='text' class='col-md-10 form-control input-text' name='SpecialColor' [(ngModel)]='rowdata.specialColor'&gt;
					&lt;/div&gt;</v>
      </c>
      <c r="L25" s="60" t="str">
        <f t="shared" si="64"/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specialColor : string = '' ; </v>
      </c>
      <c r="T25" s="31" t="str">
        <f>REPT(CHAR(9),3)&amp;"this."&amp;D25&amp;","</f>
        <v xml:space="preserve">			this.specialColor,</v>
      </c>
      <c r="U25" s="31" t="str">
        <f>IF(E25="int",REPT(CHAR(9),2)&amp;"this."&amp;D25&amp;" = 0,",REPT(CHAR(9),2)&amp;"this."&amp;D25&amp;" = '',")</f>
        <v xml:space="preserve">		this.specialColor = '',</v>
      </c>
      <c r="V25" s="31" t="str">
        <f t="shared" si="68"/>
        <v/>
      </c>
    </row>
    <row r="26" spans="1:22" ht="15" customHeight="1" x14ac:dyDescent="0.25">
      <c r="A26" s="31" t="s">
        <v>338</v>
      </c>
      <c r="B26" s="31" t="str">
        <f t="shared" si="57"/>
        <v>SignalId</v>
      </c>
      <c r="C26" s="31" t="str">
        <f t="shared" si="58"/>
        <v>Signal Id</v>
      </c>
      <c r="D26" s="31" t="str">
        <f t="shared" si="59"/>
        <v>signalId</v>
      </c>
      <c r="E26" s="31" t="str">
        <f>A.Backend!H20</f>
        <v>long</v>
      </c>
      <c r="F26" s="31" t="str">
        <f>A.Backend!G20</f>
        <v/>
      </c>
      <c r="G26" s="31" t="str">
        <f t="shared" si="60"/>
        <v/>
      </c>
      <c r="H26" s="38" t="str">
        <f t="shared" si="61"/>
        <v xml:space="preserve">			{headerName: this.l('Signal Id'),headerTooltip: this.l('Signal Id'),field: 'signalId',flex: 1},</v>
      </c>
      <c r="I26" s="38" t="str">
        <f t="shared" si="62"/>
        <v/>
      </c>
      <c r="J26" s="31"/>
      <c r="K26" s="38" t="str">
        <f t="shared" si="63"/>
        <v/>
      </c>
      <c r="L26" s="60" t="str">
        <f t="shared" si="64"/>
        <v/>
      </c>
      <c r="M26" s="31"/>
      <c r="N26" s="31"/>
      <c r="O26" s="31"/>
      <c r="P26" s="31"/>
      <c r="Q26" s="31"/>
      <c r="R26" s="31"/>
      <c r="S26" s="31" t="str">
        <f t="shared" ref="S26" si="69">REPT(CHAR(9),1)&amp;D26&amp;G26</f>
        <v xml:space="preserve">	signalId</v>
      </c>
      <c r="T26" s="31" t="str">
        <f t="shared" ref="T26" si="70">REPT(CHAR(9),3)&amp;"this."&amp;D26&amp;","</f>
        <v xml:space="preserve">			this.signalId,</v>
      </c>
      <c r="U26" s="31" t="str">
        <f t="shared" ref="U26" si="71">IF(E26="int",REPT(CHAR(9),2)&amp;"this."&amp;D26&amp;" = 0,",REPT(CHAR(9),2)&amp;"this."&amp;D26&amp;" = '',")</f>
        <v xml:space="preserve">		this.signalId = '',</v>
      </c>
      <c r="V26" s="31" t="str">
        <f t="shared" si="68"/>
        <v/>
      </c>
    </row>
    <row r="27" spans="1:22" ht="18" customHeight="1" x14ac:dyDescent="0.25">
      <c r="A27" s="31" t="s">
        <v>339</v>
      </c>
      <c r="B27" s="31" t="str">
        <f t="shared" si="0"/>
        <v>SignalCode</v>
      </c>
      <c r="C27" s="31" t="str">
        <f t="shared" si="1"/>
        <v>Signal Code</v>
      </c>
      <c r="D27" s="31" t="str">
        <f t="shared" si="2"/>
        <v>signalCode</v>
      </c>
      <c r="E27" s="31" t="str">
        <f>A.Backend!H21</f>
        <v>string</v>
      </c>
      <c r="F27" s="31" t="str">
        <f>A.Backend!G21</f>
        <v>50</v>
      </c>
      <c r="G27" s="31" t="str">
        <f t="shared" si="3"/>
        <v xml:space="preserve"> : string = '' ; </v>
      </c>
      <c r="H27" s="38" t="str">
        <f t="shared" si="4"/>
        <v xml:space="preserve">			{headerName: this.l('Signal Code'),headerTooltip: this.l('Signal Code'),field: 'signalCode',flex: 1},</v>
      </c>
      <c r="I27" s="38" t="str">
        <f t="shared" si="5"/>
        <v xml:space="preserve">								&lt;div class='input-search'&gt;
									&lt;input [(ngModel)]='signalCode' name='signalCode'
									class='form-control' [placeholder]="l('Signal Code')"
									type='text' (keyup.enter)='searchDatas()'&gt;
								&lt;/div&gt;</v>
      </c>
      <c r="J27" s="31"/>
      <c r="K27" s="38" t="str">
        <f t="shared" si="6"/>
        <v xml:space="preserve">					&lt;div class='col-md-12 form-group row'&gt;
						&lt;label class='col-md-2 form-control title'&gt;Signal Code&lt;/label&gt;
						&lt;input type='text' class='col-md-10 form-control input-text' name='SignalCode' [(ngModel)]='rowdata.signalCode'&gt;
					&lt;/div&gt;</v>
      </c>
      <c r="L27" s="60" t="str">
        <f t="shared" si="7"/>
        <v/>
      </c>
      <c r="M27" s="31"/>
      <c r="N27" s="31"/>
      <c r="O27" s="31"/>
      <c r="P27" s="31"/>
      <c r="Q27" s="31"/>
      <c r="R27" s="31"/>
      <c r="S27" s="31" t="str">
        <f t="shared" si="8"/>
        <v xml:space="preserve">	signalCode : string = '' ; </v>
      </c>
      <c r="T27" s="31" t="str">
        <f t="shared" si="9"/>
        <v xml:space="preserve">			this.signalCode,</v>
      </c>
      <c r="U27" s="31" t="str">
        <f t="shared" si="10"/>
        <v xml:space="preserve">		this.signalCode = '',</v>
      </c>
      <c r="V27" s="31" t="str">
        <f t="shared" si="11"/>
        <v/>
      </c>
    </row>
    <row r="28" spans="1:22" ht="15" customHeight="1" x14ac:dyDescent="0.25">
      <c r="A28" s="31" t="s">
        <v>325</v>
      </c>
      <c r="B28" s="31" t="str">
        <f>SUBSTITUTE(PROPER(A28),"_","")</f>
        <v>Remark</v>
      </c>
      <c r="C28" s="31" t="str">
        <f>SUBSTITUTE(PROPER(A28),"_"," ")</f>
        <v>Remark</v>
      </c>
      <c r="D28" s="31" t="str">
        <f>LOWER(LEFT(B28,1))&amp;RIGHT(B28,LEN(B28) - 1)</f>
        <v>remark</v>
      </c>
      <c r="E28" s="31" t="str">
        <f>A.Backend!H22</f>
        <v>string</v>
      </c>
      <c r="F28" s="31" t="str">
        <f>A.Backend!G22</f>
        <v>500</v>
      </c>
      <c r="G28" s="31" t="str">
        <f>IF(E28="string"," : string = '' ; ",IF(OR(E28="DateTime",E28="TimeSpan")," : any ;",IF(E28="int"," : number = 0 ;","")))</f>
        <v xml:space="preserve"> : string = '' ; </v>
      </c>
      <c r="H28" s="38" t="str">
        <f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this.l('Remark'),headerTooltip: this.l('Remark'),field: 'remark',flex: 1},</v>
      </c>
      <c r="I28" s="38" t="str">
        <f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28" s="31"/>
      <c r="K28" s="38" t="str">
        <f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28" s="60" t="str">
        <f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31"/>
      <c r="N28" s="31"/>
      <c r="O28" s="31"/>
      <c r="P28" s="31"/>
      <c r="Q28" s="31"/>
      <c r="R28" s="31"/>
      <c r="S28" s="31" t="str">
        <f>REPT(CHAR(9),1)&amp;D28&amp;G28</f>
        <v xml:space="preserve">	remark : string = '' ; </v>
      </c>
      <c r="T28" s="31" t="str">
        <f>REPT(CHAR(9),3)&amp;"this."&amp;D28&amp;","</f>
        <v xml:space="preserve">			this.remark,</v>
      </c>
      <c r="U28" s="31" t="str">
        <f>IF(E28="int",REPT(CHAR(9),2)&amp;"this."&amp;D28&amp;" = 0,",REPT(CHAR(9),2)&amp;"this."&amp;D28&amp;" = '',")</f>
        <v xml:space="preserve">		this.remark = '',</v>
      </c>
      <c r="V28" s="31" t="str">
        <f>IF(AND(E28="string",F28="1"),D28,"")</f>
        <v/>
      </c>
    </row>
    <row r="29" spans="1:22" ht="18" customHeight="1" x14ac:dyDescent="0.25">
      <c r="A29" s="31" t="s">
        <v>323</v>
      </c>
      <c r="B29" s="31" t="str">
        <f t="shared" ref="B29" si="72">SUBSTITUTE(PROPER(A29),"_","")</f>
        <v>IsActive</v>
      </c>
      <c r="C29" s="31" t="str">
        <f t="shared" ref="C29" si="73">SUBSTITUTE(PROPER(A29),"_"," ")</f>
        <v>Is Active</v>
      </c>
      <c r="D29" s="31" t="str">
        <f t="shared" ref="D29" si="74">LOWER(LEFT(B29,1))&amp;RIGHT(B29,LEN(B29) - 1)</f>
        <v>isActive</v>
      </c>
      <c r="E29" s="31" t="str">
        <f>A.Backend!H23</f>
        <v>string</v>
      </c>
      <c r="F29" s="31" t="str">
        <f>A.Backend!G23</f>
        <v>1</v>
      </c>
      <c r="G29" s="31" t="str">
        <f t="shared" ref="G29" si="75">IF(E29="string"," : string = '' ; ",IF(OR(E29="DateTime",E29="TimeSpan")," : any ;",IF(E29="int"," : number = 0 ;","")))</f>
        <v xml:space="preserve"> : string = '' ; </v>
      </c>
      <c r="H29" s="38" t="str">
        <f t="shared" ref="H29" si="76">IF(E29="DateTime",
REPT(CHAR(9),3)&amp;"{headerName: this.l('"&amp;C29&amp;"'),headerTooltip: this.l('"&amp;C29&amp;"'),field: '"&amp;D29&amp;"',valueGetter: (params) =&gt; this.pipe.transform(params.data?."&amp;D29&amp;", 'dd/MM/yyyy'),flex: 1},",
IF(AND(E29="string",F29="1"),
REPT(CHAR(9),3)&amp;"{headerName: this.l('"&amp;C29&amp;"'),headerTooltip: this.l('"&amp;C29&amp;"'),field:  '"&amp;D29&amp;"', cellClass: ['text-center'], width: 120, cellRenderer: 'agCellButtonComponent',
buttonDefTwo: { text: params =&gt; (params.data?.'"&amp;D29&amp;"' == 'Y') ? 'Active' : 'Inactive',iconName: 'fa fa-circle',className: params =&gt; (params.data?.'"&amp;D29&amp;"' == 'Y') ? 'btnActive' : 'btnInActive',},}",
REPT(CHAR(9),3)&amp;"{headerName: this.l('"&amp;C29&amp;"'),headerTooltip: this.l('"&amp;C29&amp;"'),field: '"&amp;D29&amp;"',flex: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8" t="str">
        <f t="shared" ref="I29" si="77"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IF(E29="string",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9" s="31"/>
      <c r="K29" s="38" t="str">
        <f t="shared" ref="K29" si="78">IF(OR(E29="DateTime",E29="TimeSpan"),
REPT(CHAR(9),5)&amp;"&lt;div class='col-md-12 form-group row'&gt;
"&amp;REPT(CHAR(9),6)&amp;"&lt;label class='col-md-2 form-control title'&gt;"&amp;C29&amp;"&lt;/label&gt;
"&amp;REPT(CHAR(9),6)&amp;"&lt;input type='text' class='col-md-10 form-control input-text' name='"&amp;D29&amp;"' 
"&amp;REPT(CHAR(9),6)&amp;"#datepicker='bsDatepicker' [(ngModel)]='rowdata."&amp;D29&amp;"'  bsDatepicker &gt;
"&amp;REPT(CHAR(9),5)&amp;"&lt;/div&gt;",
IF(AND(E29="string",F29="1"),
REPT(CHAR(9),5)&amp;"&lt;div class='col-md-12 form-group row'&gt;
"&amp;REPT(CHAR(9),6)&amp;"&lt;label class='col-md-2 form-control title'&gt;"&amp;C29&amp;"&lt;/label&gt;
"&amp;REPT(CHAR(9),6)&amp;"&lt;new-checkbox [(ngModel)]='_"&amp;D29&amp;"' name='"&amp;D29&amp;"' className='col-md-10' &gt; &lt;/new-checkbox&gt;
"&amp;REPT(CHAR(9),5)&amp;"&lt;/div&gt;",
IF(E29="string",
REPT(CHAR(9),5)&amp;"&lt;div class='col-md-12 form-group row'&gt;
"&amp;REPT(CHAR(9),6)&amp;"&lt;label class='col-md-2 form-control title'&gt;"&amp;C29&amp;"&lt;/label&gt;
"&amp;REPT(CHAR(9),6)&amp;"&lt;input type='text' class='col-md-10 form-control input-text' name='"&amp;B29&amp;"' [(ngModel)]='rowdata."&amp;D29&amp;"'&gt;
"&amp;REPT(CHAR(9),5)&amp;"&lt;/div&gt;",
IF(E29="int",
REPT(CHAR(9),5)&amp;"&lt;div class='col-md-12 form-group row'&gt;
"&amp;REPT(CHAR(9),6)&amp;"&lt;label class='col-md-2 form-control title'&gt;"&amp;C29&amp;"&lt;/label&gt;
"&amp;REPT(CHAR(9),6)&amp;"&lt;input type='number' class='col-md-10 form-control input-text' name='"&amp;B29&amp;"' [(ngModel)]='rowdata."&amp;D29&amp;"'&gt;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60" t="str">
        <f t="shared" ref="L29" si="79"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31"/>
      <c r="N29" s="31"/>
      <c r="O29" s="31"/>
      <c r="P29" s="31"/>
      <c r="Q29" s="31"/>
      <c r="R29" s="31"/>
      <c r="S29" s="31" t="str">
        <f t="shared" ref="S29" si="80">REPT(CHAR(9),1)&amp;D29&amp;G29</f>
        <v xml:space="preserve">	isActive : string = '' ; </v>
      </c>
      <c r="T29" s="31" t="str">
        <f t="shared" ref="T29" si="81">REPT(CHAR(9),3)&amp;"this."&amp;D29&amp;","</f>
        <v xml:space="preserve">			this.isActive,</v>
      </c>
      <c r="U29" s="31" t="str">
        <f t="shared" ref="U29" si="82">IF(E29="int",REPT(CHAR(9),2)&amp;"this."&amp;D29&amp;" = 0,",REPT(CHAR(9),2)&amp;"this."&amp;D29&amp;" = '',")</f>
        <v xml:space="preserve">		this.isActive = '',</v>
      </c>
      <c r="V29" s="31" t="str">
        <f t="shared" ref="V29" si="83">IF(AND(E29="string",F29="1"),D29,"")</f>
        <v>isActive</v>
      </c>
    </row>
    <row r="3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2023-02-15T11:39:22Z</dcterms:modified>
</cp:coreProperties>
</file>
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painting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1" l="1"/>
  <c r="G11" i="1"/>
  <c r="E11" i="1"/>
  <c r="H11" i="1" s="1"/>
  <c r="D11" i="1"/>
  <c r="P11" i="1" s="1"/>
  <c r="L10" i="1"/>
  <c r="G10" i="1"/>
  <c r="E10" i="1"/>
  <c r="H10" i="1" s="1"/>
  <c r="D10" i="1"/>
  <c r="P10" i="1" s="1"/>
  <c r="G9" i="1"/>
  <c r="E9" i="1"/>
  <c r="H9" i="1" s="1"/>
  <c r="D9" i="1"/>
  <c r="P9" i="1" s="1"/>
  <c r="G8" i="1"/>
  <c r="E8" i="1"/>
  <c r="H8" i="1" s="1"/>
  <c r="D8" i="1"/>
  <c r="P8" i="1" s="1"/>
  <c r="G7" i="1"/>
  <c r="E7" i="1"/>
  <c r="H7" i="1" s="1"/>
  <c r="D7" i="1"/>
  <c r="P7" i="1" s="1"/>
  <c r="G12" i="1"/>
  <c r="E12" i="1"/>
  <c r="H12" i="1" s="1"/>
  <c r="D12" i="1"/>
  <c r="P12" i="1" s="1"/>
  <c r="P14" i="1"/>
  <c r="Q5" i="1" l="1"/>
  <c r="M8" i="1"/>
  <c r="M10" i="1"/>
  <c r="M12" i="1"/>
  <c r="N10" i="1"/>
  <c r="O7" i="1"/>
  <c r="I7" i="1"/>
  <c r="M7" i="1"/>
  <c r="O11" i="1"/>
  <c r="I11" i="1"/>
  <c r="M11" i="1"/>
  <c r="O9" i="1"/>
  <c r="J9" i="1"/>
  <c r="N9" i="1"/>
  <c r="I9" i="1"/>
  <c r="M9" i="1"/>
  <c r="I8" i="1"/>
  <c r="I10" i="1"/>
  <c r="O8" i="1"/>
  <c r="J10" i="1"/>
  <c r="O10" i="1"/>
  <c r="I12" i="1"/>
  <c r="N12" i="1"/>
  <c r="J12" i="1"/>
  <c r="O12" i="1"/>
  <c r="N5" i="1"/>
  <c r="G35" i="3" s="1"/>
  <c r="O5" i="1"/>
  <c r="H35" i="3" s="1"/>
  <c r="D4" i="1"/>
  <c r="J35" i="3" l="1"/>
  <c r="H4" i="1"/>
  <c r="N3" i="1"/>
  <c r="D1" i="1" l="1"/>
  <c r="B4" i="1"/>
  <c r="M3" i="1"/>
  <c r="L3" i="1"/>
  <c r="J3" i="1"/>
  <c r="H3" i="1"/>
  <c r="F3" i="1"/>
  <c r="G4" i="1" l="1"/>
  <c r="E4" i="1"/>
  <c r="F4" i="1"/>
  <c r="K5" i="1"/>
  <c r="D35" i="3" s="1"/>
  <c r="I3" i="1" l="1"/>
  <c r="B5" i="1"/>
  <c r="L7" i="1" s="1"/>
  <c r="L8" i="1" l="1"/>
  <c r="L12" i="1"/>
  <c r="L11" i="1"/>
  <c r="L9" i="1"/>
  <c r="N7" i="1"/>
  <c r="J11" i="1"/>
  <c r="N8" i="1"/>
  <c r="J8" i="1"/>
  <c r="N11" i="1"/>
  <c r="J7" i="1"/>
  <c r="C5" i="1"/>
  <c r="C4" i="1"/>
  <c r="P5" i="1" s="1"/>
  <c r="I35" i="3" s="1"/>
  <c r="K14" i="1"/>
  <c r="I14" i="1"/>
  <c r="N14" i="1"/>
  <c r="J14" i="1"/>
  <c r="O14" i="1"/>
  <c r="M14" i="1"/>
  <c r="L5" i="1" l="1"/>
  <c r="J5" i="1"/>
  <c r="M5" i="1"/>
  <c r="F35" i="3" l="1"/>
  <c r="C35" i="3"/>
  <c r="E35" i="3"/>
</calcChain>
</file>

<file path=xl/comments1.xml><?xml version="1.0" encoding="utf-8"?>
<comments xmlns="http://schemas.openxmlformats.org/spreadsheetml/2006/main">
  <authors>
    <author>S_member</author>
  </authors>
  <commentList>
    <comment ref="C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F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G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</commentList>
</comments>
</file>

<file path=xl/comments2.xml><?xml version="1.0" encoding="utf-8"?>
<comments xmlns="http://schemas.openxmlformats.org/spreadsheetml/2006/main">
  <authors>
    <author>Thinh Bui Duc</author>
    <author>S_member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Entity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Dto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Interface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Service</t>
        </r>
      </text>
    </comment>
    <comment ref="J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K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L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M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Không cần trường ID</t>
        </r>
      </text>
    </comment>
  </commentList>
</comments>
</file>

<file path=xl/sharedStrings.xml><?xml version="1.0" encoding="utf-8"?>
<sst xmlns="http://schemas.openxmlformats.org/spreadsheetml/2006/main" count="175" uniqueCount="141">
  <si>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</si>
  <si>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</si>
  <si>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</si>
  <si>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</si>
  <si>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</si>
  <si>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</si>
  <si>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</si>
  <si>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</si>
  <si>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</si>
  <si>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</si>
  <si>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</si>
  <si>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</si>
  <si>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</si>
  <si>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</si>
  <si>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</si>
  <si>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</si>
  <si>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</si>
  <si>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</si>
  <si>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</si>
  <si>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</si>
  <si>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</si>
  <si>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</si>
  <si>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</si>
  <si>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</si>
  <si>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</si>
  <si>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</si>
  <si>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</si>
  <si>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</si>
  <si>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</si>
  <si>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</si>
  <si>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</si>
  <si>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</si>
  <si>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</si>
  <si>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</si>
  <si>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</si>
  <si>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</si>
  <si>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</si>
  <si>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</si>
  <si>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</si>
  <si>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</si>
  <si>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</si>
  <si>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</si>
  <si>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</si>
  <si>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</si>
  <si>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</si>
  <si>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</si>
  <si>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</si>
  <si>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</si>
  <si>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</si>
  <si>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Y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</si>
  <si>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</si>
  <si>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</si>
  <si>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</si>
  <si>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</si>
  <si>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</si>
  <si>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</si>
  <si>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</si>
  <si>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</si>
  <si>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</si>
  <si>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</si>
  <si>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</si>
  <si>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</si>
  <si>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</si>
  <si>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</si>
  <si>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</si>
  <si>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</si>
  <si>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</si>
  <si>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</si>
  <si>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</si>
  <si>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</si>
  <si>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</si>
  <si>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</si>
  <si>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</si>
  <si>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</si>
  <si>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</si>
  <si>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</si>
  <si>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</si>
  <si>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</si>
  <si>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</si>
  <si>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</si>
  <si>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</si>
  <si>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</si>
  <si>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</si>
  <si>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</si>
  <si>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</si>
  <si>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 xml:space="preserve"> 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</si>
  <si>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</si>
  <si>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</si>
  <si>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</si>
  <si>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</si>
  <si>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</si>
  <si>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</si>
  <si>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</si>
  <si>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</si>
  <si>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</si>
  <si>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</si>
  <si>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</si>
  <si>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</si>
  <si>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</si>
  <si>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t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MstWptCalendarAppService : vovinaAppServiceBase, IMstWptCalendarAppService
    {
        private readonly IRepository&lt;MstWptCalendar, long&gt; _repo;
        private readonly IDapperRepository&lt;MstWptCalendar, long&gt; _dapperRepo;
        public MstWptCalendarAppService(IRepository&lt;MstWptCalendar, long&gt; repo, IDapperRepository&lt;MstWptCalendar, long&gt; dapperRepo)
        {
            _repo = repo;
            _dapperRepo = dapperRepo;
        }
        [AbpAuthorize(AppPermissions.Pages_Pages_Permission_To_Save_Infor)]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Task&lt;List&lt;MstWptCalendarDto&gt;&gt; GetAll(GetMstWptCalendarInput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MstWptCalendarDto
   {
&lt;PROPERTIES&gt;
   };
            return await lst.ToListAsync();
        }
    }
}
</t>
  </si>
  <si>
    <t>SCAN_TYPE</t>
  </si>
  <si>
    <t>varchar(50)</t>
  </si>
  <si>
    <t>SCAN_VALUE</t>
  </si>
  <si>
    <t>SCAN_LOCATION</t>
  </si>
  <si>
    <t>SCAN_TIME</t>
  </si>
  <si>
    <t>datetime2(7)</t>
  </si>
  <si>
    <t>SCAN_BY</t>
  </si>
  <si>
    <t>IS_PROCESSED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</si>
  <si>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</si>
  <si>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</si>
  <si>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</si>
  <si>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</si>
  <si>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</si>
  <si>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</si>
  <si>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</si>
  <si>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</si>
  <si>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</si>
  <si>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</si>
  <si>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</si>
  <si>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</si>
  <si>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</si>
  <si>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</si>
  <si>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</si>
  <si>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</si>
  <si>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</si>
  <si>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</si>
  <si>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</si>
  <si>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</si>
  <si>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</si>
  <si>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t>nvarchar(50)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</si>
  <si>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</si>
  <si>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</si>
  <si>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</si>
  <si>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</si>
  <si>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</si>
  <si>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</si>
  <si>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</si>
  <si>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</si>
  <si>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</si>
  <si>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Painting.Andon</t>
  </si>
  <si>
    <t>PtsAdoScanInfo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</si>
</sst>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5" borderId="0" xfId="0" applyFill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6" borderId="0" xfId="0" applyFont="1" applyFill="1"/>
    <xf numFmtId="0" fontId="0" fillId="6" borderId="0" xfId="0" applyFill="1"/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40"/>
  <sheetViews>
    <sheetView topLeftCell="A16" workbookViewId="0">
      <selection activeCell="E31" sqref="E31"/>
    </sheetView>
  </sheetViews>
  <sheetFormatPr defaultRowHeight="15" x14ac:dyDescent="0.25"/>
  <cols>
    <col min="1" max="1" width="3.5703125" customWidth="1"/>
    <col min="2" max="18" width="18.5703125" customWidth="1"/>
  </cols>
  <sheetData>
    <row r="1" spans="1:6" ht="23.25" x14ac:dyDescent="0.35">
      <c r="A1" s="20" t="s">
        <v>84</v>
      </c>
    </row>
    <row r="2" spans="1:6" x14ac:dyDescent="0.25">
      <c r="A2" s="1"/>
      <c r="B2" s="1" t="s">
        <v>88</v>
      </c>
    </row>
    <row r="3" spans="1:6" x14ac:dyDescent="0.25">
      <c r="A3" s="1"/>
      <c r="B3" s="24" t="s">
        <v>87</v>
      </c>
    </row>
    <row r="4" spans="1:6" x14ac:dyDescent="0.25">
      <c r="A4" s="1"/>
      <c r="B4" s="24" t="s">
        <v>90</v>
      </c>
    </row>
    <row r="5" spans="1:6" x14ac:dyDescent="0.25">
      <c r="A5" s="1"/>
      <c r="B5" s="24" t="s">
        <v>109</v>
      </c>
    </row>
    <row r="6" spans="1:6" x14ac:dyDescent="0.25">
      <c r="A6" s="1"/>
      <c r="B6" s="24"/>
      <c r="C6" s="2" t="s">
        <v>119</v>
      </c>
      <c r="D6" s="2"/>
      <c r="E6" s="2"/>
      <c r="F6" s="2" t="s">
        <v>128</v>
      </c>
    </row>
    <row r="7" spans="1:6" x14ac:dyDescent="0.25">
      <c r="A7" s="1"/>
      <c r="B7" s="24"/>
      <c r="C7" t="s">
        <v>110</v>
      </c>
      <c r="F7" s="1" t="s">
        <v>120</v>
      </c>
    </row>
    <row r="8" spans="1:6" x14ac:dyDescent="0.25">
      <c r="A8" s="1"/>
      <c r="B8" s="24"/>
      <c r="D8" t="s">
        <v>111</v>
      </c>
      <c r="F8" s="1" t="s">
        <v>121</v>
      </c>
    </row>
    <row r="9" spans="1:6" x14ac:dyDescent="0.25">
      <c r="A9" s="1"/>
      <c r="B9" s="24"/>
      <c r="D9" t="s">
        <v>112</v>
      </c>
      <c r="F9" s="1" t="s">
        <v>122</v>
      </c>
    </row>
    <row r="10" spans="1:6" x14ac:dyDescent="0.25">
      <c r="A10" s="1"/>
      <c r="B10" s="24"/>
      <c r="D10" t="s">
        <v>113</v>
      </c>
      <c r="F10" s="1" t="s">
        <v>123</v>
      </c>
    </row>
    <row r="11" spans="1:6" x14ac:dyDescent="0.25">
      <c r="A11" s="1"/>
      <c r="B11" s="24"/>
      <c r="D11" t="s">
        <v>114</v>
      </c>
      <c r="F11" s="1" t="s">
        <v>124</v>
      </c>
    </row>
    <row r="12" spans="1:6" x14ac:dyDescent="0.25">
      <c r="A12" s="1"/>
      <c r="B12" s="24"/>
      <c r="D12" t="s">
        <v>115</v>
      </c>
      <c r="F12" s="1" t="s">
        <v>125</v>
      </c>
    </row>
    <row r="13" spans="1:6" x14ac:dyDescent="0.25">
      <c r="A13" s="1"/>
      <c r="B13" s="24"/>
      <c r="D13" t="s">
        <v>116</v>
      </c>
      <c r="F13" s="1" t="s">
        <v>126</v>
      </c>
    </row>
    <row r="14" spans="1:6" x14ac:dyDescent="0.25">
      <c r="A14" s="1"/>
      <c r="B14" s="24"/>
      <c r="C14" t="s">
        <v>113</v>
      </c>
      <c r="F14" s="1" t="s">
        <v>123</v>
      </c>
    </row>
    <row r="15" spans="1:6" x14ac:dyDescent="0.25">
      <c r="A15" s="1"/>
      <c r="B15" s="24"/>
      <c r="D15" t="s">
        <v>117</v>
      </c>
      <c r="F15" s="1" t="s">
        <v>138</v>
      </c>
    </row>
    <row r="16" spans="1:6" x14ac:dyDescent="0.25">
      <c r="A16" s="1"/>
      <c r="B16" s="24"/>
      <c r="D16" t="s">
        <v>118</v>
      </c>
      <c r="F16" s="1" t="s">
        <v>127</v>
      </c>
    </row>
    <row r="17" spans="1:6" x14ac:dyDescent="0.25">
      <c r="A17" s="1"/>
      <c r="B17" s="24"/>
      <c r="C17" t="s">
        <v>114</v>
      </c>
      <c r="F17" s="1" t="s">
        <v>124</v>
      </c>
    </row>
    <row r="18" spans="1:6" x14ac:dyDescent="0.25">
      <c r="A18" s="1"/>
      <c r="B18" s="24"/>
      <c r="C18" t="s">
        <v>115</v>
      </c>
      <c r="F18" s="1" t="s">
        <v>125</v>
      </c>
    </row>
    <row r="19" spans="1:6" x14ac:dyDescent="0.25">
      <c r="A19" s="1"/>
      <c r="B19" s="24"/>
    </row>
    <row r="20" spans="1:6" x14ac:dyDescent="0.25">
      <c r="A20" s="1"/>
      <c r="B20" s="24" t="s">
        <v>108</v>
      </c>
    </row>
    <row r="21" spans="1:6" x14ac:dyDescent="0.25">
      <c r="A21" s="1"/>
      <c r="B21" s="24" t="s">
        <v>95</v>
      </c>
    </row>
    <row r="22" spans="1:6" x14ac:dyDescent="0.25">
      <c r="A22" s="1"/>
      <c r="B22" s="24"/>
      <c r="C22" s="26" t="s">
        <v>92</v>
      </c>
    </row>
    <row r="23" spans="1:6" x14ac:dyDescent="0.25">
      <c r="A23" s="1"/>
      <c r="B23" s="24"/>
      <c r="C23" s="25" t="s">
        <v>93</v>
      </c>
    </row>
    <row r="24" spans="1:6" x14ac:dyDescent="0.25">
      <c r="A24" s="1"/>
      <c r="B24" s="24"/>
      <c r="C24" s="25" t="s">
        <v>94</v>
      </c>
    </row>
    <row r="25" spans="1:6" x14ac:dyDescent="0.25">
      <c r="A25" s="1"/>
      <c r="B25" s="24" t="s">
        <v>130</v>
      </c>
      <c r="C25" s="25"/>
    </row>
    <row r="26" spans="1:6" x14ac:dyDescent="0.25">
      <c r="A26" s="1"/>
      <c r="B26" s="24"/>
      <c r="C26" s="25" t="s">
        <v>131</v>
      </c>
    </row>
    <row r="27" spans="1:6" x14ac:dyDescent="0.25">
      <c r="A27" s="1"/>
      <c r="B27" s="24"/>
      <c r="C27" s="25" t="s">
        <v>132</v>
      </c>
    </row>
    <row r="28" spans="1:6" x14ac:dyDescent="0.25">
      <c r="A28" s="1"/>
      <c r="B28" s="24"/>
      <c r="C28" s="25" t="s">
        <v>133</v>
      </c>
    </row>
    <row r="29" spans="1:6" x14ac:dyDescent="0.25">
      <c r="A29" s="1"/>
      <c r="B29" s="24"/>
      <c r="C29" s="25" t="s">
        <v>135</v>
      </c>
    </row>
    <row r="30" spans="1:6" x14ac:dyDescent="0.25">
      <c r="A30" s="1"/>
      <c r="B30" s="24"/>
      <c r="C30" s="25" t="s">
        <v>137</v>
      </c>
    </row>
    <row r="31" spans="1:6" x14ac:dyDescent="0.25">
      <c r="A31" s="1"/>
      <c r="B31" s="24"/>
      <c r="C31" s="25" t="s">
        <v>136</v>
      </c>
    </row>
    <row r="32" spans="1:6" x14ac:dyDescent="0.25">
      <c r="A32" s="1"/>
      <c r="B32" s="24"/>
      <c r="C32" s="25" t="s">
        <v>134</v>
      </c>
    </row>
    <row r="33" spans="2:11" ht="21" customHeight="1" x14ac:dyDescent="0.25">
      <c r="B33" s="28" t="s">
        <v>89</v>
      </c>
    </row>
    <row r="34" spans="2:11" ht="15.75" thickBot="1" x14ac:dyDescent="0.3">
      <c r="C34" s="1" t="s">
        <v>76</v>
      </c>
      <c r="D34" s="1" t="s">
        <v>68</v>
      </c>
      <c r="E34" s="1" t="s">
        <v>69</v>
      </c>
      <c r="F34" s="1" t="s">
        <v>70</v>
      </c>
      <c r="G34" s="1" t="s">
        <v>71</v>
      </c>
      <c r="H34" s="1" t="s">
        <v>72</v>
      </c>
      <c r="I34" s="1" t="s">
        <v>73</v>
      </c>
      <c r="J34" s="1" t="s">
        <v>74</v>
      </c>
    </row>
    <row r="35" spans="2:11" s="21" customFormat="1" ht="21.75" customHeight="1" thickBot="1" x14ac:dyDescent="0.3">
      <c r="C35" s="22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[Column(TypeName="nvarchar(50)")]
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	}
}
</v>
      </c>
      <c r="D35" s="22" t="str">
        <f>A.Backend!K5</f>
        <v xml:space="preserve">public virtual DbSet&lt;PtsAdoScanInfo&gt; PtsAdoScanInfos { get; set; }
</v>
      </c>
      <c r="E35" s="22" t="str">
        <f ca="1">A.Backend!L5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F35" s="22" t="str">
        <f ca="1">A.Backend!M5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G35" s="22" t="str">
        <f>A.Backend!N5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H35" s="22" t="str">
        <f>A.Backend!O5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I35" s="22" t="str">
        <f>A.Backend!P5</f>
        <v xml:space="preserve">using Abp.Application.Services;
using Abp.Application.Services.Dto;
using System.Collections.Generic;
using System.Threading.Tasks;
using vovina.Painting.Andon.Dto;
namespace vovina.Painting.Andon
{
	public interface IPtsAdoScanInfoAppService : IApplicationService
	{
		Task&lt;List&lt;PtsAdoScanInfoDto&gt;&gt; GetAll(GetPtsAdoScanInfoInput input);
		Task CreateOrEdit(CreateOrEditPtsAdoScanInfoDto input);
		Task Delete(EntityDto input);
	}
}
</v>
      </c>
      <c r="J35" s="22" t="str">
        <f ca="1">A.Backend!Q5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PtsAdoScanInfoAppService : vovinaAppServiceBase, IPtsAdoScanInfoAppService
    {
        private readonly IRepository&lt;PtsAdoScanInfo, long&gt; _repo;
        private readonly IDapperRepository&lt;PtsAdoScanInfo, long&gt; _dapperRepo;
        public PtsAdoScanInfoAppService(IRepository&lt;PtsAdoScanInfo, long&gt; repo, IDapperRepository&lt;PtsAdoScanInfo, long&gt; dapperRepo)
        {
            _repo = repo;
            _dapperRepo = dapperRepo;
        }
        [AbpAuthorize(AppPermissions.Pages_Pages_Permission_To_Save_Infor)]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Task&lt;List&lt;PtsAdoScanInfoDto&gt;&gt; GetAll(GetPtsAdoScanInfoInput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PtsAdoScanInfoDto
   {
							ScanType = o.ScanType,
							ScanValue = o.ScanValue,
							ScanLocation = o.ScanLocation,
							ScanTime = o.ScanTime,
							ScanBy = o.ScanBy,
							IsProcessed = o.IsProcessed,
   };
            return await lst.ToListAsync();
        }
    }
}
</v>
      </c>
      <c r="K35" s="21" t="s">
        <v>85</v>
      </c>
    </row>
    <row r="36" spans="2:11" x14ac:dyDescent="0.25">
      <c r="B36" s="1" t="s">
        <v>83</v>
      </c>
    </row>
    <row r="38" spans="2:11" x14ac:dyDescent="0.25">
      <c r="B38" t="s">
        <v>85</v>
      </c>
    </row>
    <row r="40" spans="2:11" x14ac:dyDescent="0.25">
      <c r="B40" s="1" t="s">
        <v>86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4"/>
  <sheetViews>
    <sheetView tabSelected="1" workbookViewId="0">
      <pane xSplit="1" topLeftCell="B1" activePane="topRight" state="frozen"/>
      <selection pane="topRight" activeCell="B20" sqref="B20"/>
    </sheetView>
  </sheetViews>
  <sheetFormatPr defaultRowHeight="15" x14ac:dyDescent="0.25"/>
  <cols>
    <col min="1" max="1" width="21.85546875" style="9" bestFit="1" customWidth="1"/>
    <col min="2" max="2" width="21.85546875" style="10" customWidth="1"/>
    <col min="3" max="3" width="19.42578125" style="9" customWidth="1"/>
    <col min="4" max="4" width="23.42578125" style="9" customWidth="1"/>
    <col min="5" max="5" width="14.42578125" style="9" customWidth="1"/>
    <col min="6" max="6" width="14.85546875" style="9" customWidth="1"/>
    <col min="7" max="7" width="17.28515625" style="9" bestFit="1" customWidth="1"/>
    <col min="8" max="8" width="17.28515625" style="9" customWidth="1"/>
    <col min="9" max="9" width="16" style="9" customWidth="1"/>
    <col min="10" max="13" width="23.140625" style="9" customWidth="1"/>
    <col min="14" max="14" width="22.85546875" style="9" customWidth="1"/>
    <col min="15" max="15" width="17.42578125" style="9" customWidth="1"/>
    <col min="16" max="16" width="22.28515625" style="9" customWidth="1"/>
    <col min="17" max="16384" width="9.140625" style="9"/>
  </cols>
  <sheetData>
    <row r="1" spans="1:17" s="12" customFormat="1" ht="14.25" customHeight="1" x14ac:dyDescent="0.25">
      <c r="A1" s="1" t="s">
        <v>12</v>
      </c>
      <c r="B1" s="11" t="s">
        <v>75</v>
      </c>
      <c r="C1" s="11" t="s">
        <v>56</v>
      </c>
      <c r="D1" s="11" t="str">
        <f>"using Abp.Application.Services;
using Abp.Application.Services.Dto;
using System.Collections.Generic;
using System.Threading.Tasks;
"&amp;"using vovina."&amp;B2&amp;".Dto;"</f>
        <v>using Abp.Application.Services;
using Abp.Application.Services.Dto;
using System.Collections.Generic;
using System.Threading.Tasks;
using vovina.Painting.Andon.Dto;</v>
      </c>
      <c r="E1" s="11" t="s">
        <v>99</v>
      </c>
      <c r="F1" s="12" t="s">
        <v>77</v>
      </c>
      <c r="H1" s="12" t="s">
        <v>78</v>
      </c>
      <c r="J1" s="12" t="s">
        <v>79</v>
      </c>
      <c r="L1" s="12" t="s">
        <v>80</v>
      </c>
      <c r="M1" s="12" t="s">
        <v>81</v>
      </c>
      <c r="N1" s="12" t="s">
        <v>82</v>
      </c>
      <c r="O1" s="12" t="s">
        <v>97</v>
      </c>
    </row>
    <row r="2" spans="1:17" s="12" customFormat="1" x14ac:dyDescent="0.25">
      <c r="A2" s="1" t="s">
        <v>13</v>
      </c>
      <c r="B2" s="23" t="s">
        <v>139</v>
      </c>
      <c r="C2" s="19" t="s">
        <v>41</v>
      </c>
      <c r="D2" s="19" t="s">
        <v>42</v>
      </c>
      <c r="E2" s="19" t="s">
        <v>43</v>
      </c>
      <c r="F2" s="19" t="s">
        <v>53</v>
      </c>
      <c r="G2" s="19" t="s">
        <v>51</v>
      </c>
      <c r="H2" s="19" t="s">
        <v>54</v>
      </c>
      <c r="I2" s="19" t="s">
        <v>46</v>
      </c>
      <c r="J2" s="19" t="s">
        <v>55</v>
      </c>
      <c r="K2" s="19" t="s">
        <v>57</v>
      </c>
      <c r="L2" s="19" t="s">
        <v>64</v>
      </c>
      <c r="M2" s="19" t="s">
        <v>63</v>
      </c>
      <c r="N2" s="19" t="s">
        <v>67</v>
      </c>
      <c r="O2" s="19" t="s">
        <v>98</v>
      </c>
    </row>
    <row r="3" spans="1:17" s="12" customFormat="1" ht="33" customHeight="1" x14ac:dyDescent="0.25">
      <c r="A3" s="1" t="s">
        <v>6</v>
      </c>
      <c r="B3" s="23" t="s">
        <v>140</v>
      </c>
      <c r="C3" s="11" t="s">
        <v>44</v>
      </c>
      <c r="D3" s="11" t="s">
        <v>45</v>
      </c>
      <c r="E3" s="11" t="s">
        <v>40</v>
      </c>
      <c r="F3" s="12" t="str">
        <f>"J"&amp;COUNTA($A:$A)</f>
        <v>J12</v>
      </c>
      <c r="G3" s="4" t="s">
        <v>59</v>
      </c>
      <c r="H3" s="11" t="str">
        <f>"I"&amp;COUNTA($A:$A)</f>
        <v>I12</v>
      </c>
      <c r="I3" s="11" t="str">
        <f>REPT(CHAR(9),2)&amp;"[Required]"&amp;"
"</f>
        <v xml:space="preserve">		[Required]
</v>
      </c>
      <c r="J3" s="12" t="str">
        <f>"L"&amp;COUNTA($A:$A)</f>
        <v>L12</v>
      </c>
      <c r="K3" s="5" t="s">
        <v>58</v>
      </c>
      <c r="L3" s="12" t="str">
        <f>"M"&amp;COUNTA($A:$A)</f>
        <v>M12</v>
      </c>
      <c r="M3" s="12" t="str">
        <f>"N"&amp;COUNTA($A:$A)</f>
        <v>N12</v>
      </c>
      <c r="N3" s="12" t="str">
        <f>"O"&amp;COUNTA($A:$A)</f>
        <v>O12</v>
      </c>
      <c r="O3" s="12" t="str">
        <f>"P"&amp;COUNTA($A:$A)</f>
        <v>P12</v>
      </c>
    </row>
    <row r="4" spans="1:17" customFormat="1" ht="16.5" customHeight="1" x14ac:dyDescent="0.25">
      <c r="A4" s="1" t="s">
        <v>7</v>
      </c>
      <c r="B4" s="11" t="str">
        <f>"vovina."&amp;B2</f>
        <v>vovina.Painting.Andon</v>
      </c>
      <c r="C4" s="12" t="str">
        <f>"namespace "&amp;$B$4&amp;"
"&amp;$C$3</f>
        <v xml:space="preserve">namespace vovina.Painting.Andon
{
</v>
      </c>
      <c r="D4" s="12" t="str">
        <f>REPT(CHAR(9),1)&amp;"public class "&amp;B3&amp;G3&amp;REPT(CHAR(9),1)&amp;"
"&amp;REPT(CHAR(9),1)&amp;C3</f>
        <v xml:space="preserve">	public class PtsAdoScanInfo: FullAuditedEntity&lt;long&gt;, IEntity&lt;long&gt;	
	{
</v>
      </c>
      <c r="E4" s="12" t="str">
        <f>REPT(CHAR(9),1)&amp;"public class "&amp;B3&amp;"Consts"&amp;REPT(CHAR(9),1)&amp;"
"&amp;REPT(CHAR(9),1)&amp;C3</f>
        <v xml:space="preserve">	public class PtsAdoScanInfoConsts	
	{
</v>
      </c>
      <c r="F4" s="12" t="str">
        <f>REPT(CHAR(9),1)&amp;"public class "&amp;B3&amp;"Dto"&amp;K3&amp;REPT(CHAR(9),1)&amp;"
"&amp;REPT(CHAR(9),1)&amp;C3</f>
        <v xml:space="preserve">	public class PtsAdoScanInfoDto : EntityDto&lt;long?&gt;	
	{
</v>
      </c>
      <c r="G4" s="12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4" s="12" t="str">
        <f>REPT(CHAR(9),1)&amp;"public class Get"&amp;B3&amp;"Input"&amp;REPT(CHAR(9),1)&amp;"
"&amp;REPT(CHAR(9),1)&amp;C3</f>
        <v xml:space="preserve">	public class GetPtsAdoScanInfoInput	
	{
</v>
      </c>
      <c r="I4" s="12"/>
      <c r="J4" s="1" t="s">
        <v>76</v>
      </c>
      <c r="K4" s="1" t="s">
        <v>68</v>
      </c>
      <c r="L4" s="1" t="s">
        <v>69</v>
      </c>
      <c r="M4" s="1" t="s">
        <v>70</v>
      </c>
      <c r="N4" s="1" t="s">
        <v>71</v>
      </c>
      <c r="O4" s="1" t="s">
        <v>72</v>
      </c>
      <c r="P4" s="1" t="s">
        <v>73</v>
      </c>
      <c r="Q4" s="1" t="s">
        <v>74</v>
      </c>
    </row>
    <row r="5" spans="1:17" customFormat="1" x14ac:dyDescent="0.25">
      <c r="A5" s="1" t="s">
        <v>14</v>
      </c>
      <c r="B5" s="11" t="str">
        <f>B3</f>
        <v>PtsAdoScanInfo</v>
      </c>
      <c r="C5" s="12" t="str">
        <f>REPT(CHAR(9),1)&amp;"[Table("""&amp;B5&amp;""")]"&amp;"
"</f>
        <v xml:space="preserve">	[Table("PtsAdoScanInfo")]
</v>
      </c>
      <c r="D5" s="12"/>
      <c r="E5" s="12"/>
      <c r="F5" s="12"/>
      <c r="G5" s="12"/>
      <c r="H5" s="12"/>
      <c r="I5" s="12"/>
      <c r="J5" s="6" t="str">
        <f ca="1">B1&amp;C4&amp;C5&amp;K14&amp;D4&amp;I14&amp;E3&amp;J14&amp;"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[Column(TypeName="nvarchar(50)")]
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	}
}
</v>
      </c>
      <c r="K5" t="str">
        <f>"public virtual DbSet&lt;"&amp;B3&amp;"&gt; "&amp;B3&amp;"s { get; set; }
"</f>
        <v xml:space="preserve">public virtual DbSet&lt;PtsAdoScanInfo&gt; PtsAdoScanInfos { get; set; }
</v>
      </c>
      <c r="L5" t="str">
        <f ca="1">C4&amp;E4&amp;I14&amp;"
"&amp;REPT(CHAR(9),2)&amp;"// Define Store Name: Format SP_ + &lt;Store Name&gt; = &lt;Store Name&gt;
"&amp;E3&amp;REPT(CHAR(9),1)&amp;D3&amp;D3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5" t="str">
        <f ca="1">C1&amp;"namespace "&amp;B4&amp;".Dto"&amp;E3&amp;C3&amp;F4&amp;M14&amp;E3&amp;REPT(CHAR(9),1)&amp;D3&amp;G4&amp;N14&amp;REPT(CHAR(9),1)&amp;D3&amp;H4&amp;O14&amp;"
"&amp;REPT(CHAR(9),1)&amp;D3&amp;D3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N5" t="str">
        <f>REPT(CHAR(9),2)&amp;"var per"&amp;B3&amp;" = PARENTS.CreateChildPermission(AppPermissions.Pages_"&amp;SUBSTITUTE(B2,".","_")&amp;"_"&amp;RIGHT(B3,LEN(B3)-6)&amp;", L( """&amp;SUBSTITUTE(B2,".","")&amp;RIGHT(B3,LEN(B3)-6)&amp;"""));"
&amp;E3&amp;REPT(CHAR(9),2)&amp;"per"&amp;B3&amp;".CreateChildPermission(AppPermissions.Pages_"&amp;SUBSTITUTE(B2,".","_")&amp;"_"&amp;RIGHT(B3,LEN(B3)-6)&amp;"_CreateEdit, L( """&amp;SUBSTITUTE(B2,".","")&amp;RIGHT(B3,LEN(B3)-6)&amp;"CreateEdit"&amp;"""));"
&amp;E3&amp;REPT(CHAR(9),2)&amp;"per"&amp;B3&amp;".CreateChildPermission(AppPermissions.Pages_"&amp;SUBSTITUTE(B2,".","_")&amp;"_"&amp;RIGHT(B3,LEN(B3)-6)&amp;"_Delete, L( """&amp;SUBSTITUTE(B2,".","")&amp;RIGHT(B3,LEN(B3)-6)&amp;"Delete"&amp;"""));"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5" t="str">
        <f>REPT(CHAR(9),2)&amp;"public const string Pages_"&amp;SUBSTITUTE(B2,".","_")&amp;"_"&amp;RIGHT(B3,LEN(B3)-6)&amp;" = ""Pages."&amp;B2&amp;"."&amp;RIGHT(B3,LEN(B3)-6)&amp;""";"
&amp;E3&amp;REPT(CHAR(9),2)&amp;"public const string Pages_"&amp;SUBSTITUTE(B2,".","_")&amp;"_"&amp;RIGHT(B3,LEN(B3)-6)&amp;"_CreateEdit"&amp;" = ""Pages."&amp;B2&amp;"."&amp;RIGHT(B3,LEN(B3)-6)&amp;".CreateEdit"";"
&amp;E3&amp;REPT(CHAR(9),2)&amp;"public const string Pages_"&amp;SUBSTITUTE(B2,".","_")&amp;"_"&amp;RIGHT(B3,LEN(B3)-6)&amp;"_Delete"&amp;" = ""Pages."&amp;B2&amp;"."&amp;RIGHT(B3,LEN(B3)-6)&amp;".Delete"";
"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5" t="str">
        <f>D1&amp;E3&amp;E3
&amp;C4
&amp;REPT(CHAR(9),1)&amp;"public interface I"&amp;B3&amp;"AppService : IApplicationService"&amp;E3&amp;REPT(CHAR(9),1)&amp;C3
&amp;REPT(CHAR(9),2)&amp;"Task&lt;List&lt;"&amp;B3&amp;"Dto&gt;&gt;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
using System.Threading.Tasks;
using vovina.Painting.Andon.Dto;
namespace vovina.Painting.Andon
{
	public interface IPtsAdoScanInfoAppService : IApplicationService
	{
		Task&lt;List&lt;PtsAdoScanInfoDto&gt;&gt; GetAll(GetPtsAdoScanInfoInput input);
		Task CreateOrEdit(CreateOrEditPtsAdoScanInfoDto input);
		Task Delete(EntityDto input);
	}
}
</v>
      </c>
      <c r="Q5" t="str">
        <f ca="1">SUBSTITUTE(SUBSTITUTE(E1,"MstWptCalendar",$B$3),"&lt;PROPERTIES&gt;",P14)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PtsAdoScanInfoAppService : vovinaAppServiceBase, IPtsAdoScanInfoAppService
    {
        private readonly IRepository&lt;PtsAdoScanInfo, long&gt; _repo;
        private readonly IDapperRepository&lt;PtsAdoScanInfo, long&gt; _dapperRepo;
        public PtsAdoScanInfoAppService(IRepository&lt;PtsAdoScanInfo, long&gt; repo, IDapperRepository&lt;PtsAdoScanInfo, long&gt; dapperRepo)
        {
            _repo = repo;
            _dapperRepo = dapperRepo;
        }
        [AbpAuthorize(AppPermissions.Pages_Pages_Permission_To_Save_Infor)]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Task&lt;List&lt;PtsAdoScanInfoDto&gt;&gt; GetAll(GetPtsAdoScanInfoInput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PtsAdoScanInfoDto
   {
							ScanType = o.ScanType,
							ScanValue = o.ScanValue,
							ScanLocation = o.ScanLocation,
							ScanTime = o.ScanTime,
							ScanBy = o.ScanBy,
							IsProcessed = o.IsProcessed,
   };
            return await lst.ToListAsync();
        }
    }
}
</v>
      </c>
    </row>
    <row r="6" spans="1:17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61</v>
      </c>
      <c r="G6" s="2" t="s">
        <v>10</v>
      </c>
      <c r="H6" s="2" t="s">
        <v>16</v>
      </c>
      <c r="I6" s="2" t="s">
        <v>52</v>
      </c>
      <c r="J6" s="2" t="s">
        <v>39</v>
      </c>
      <c r="K6" s="2" t="s">
        <v>47</v>
      </c>
      <c r="L6" s="2" t="s">
        <v>48</v>
      </c>
      <c r="M6" s="2" t="s">
        <v>65</v>
      </c>
      <c r="N6" s="2" t="s">
        <v>60</v>
      </c>
      <c r="O6" s="2" t="s">
        <v>66</v>
      </c>
      <c r="P6" s="27" t="s">
        <v>96</v>
      </c>
    </row>
    <row r="7" spans="1:17" customFormat="1" x14ac:dyDescent="0.25">
      <c r="A7" s="7" t="s">
        <v>100</v>
      </c>
      <c r="B7" s="8" t="s">
        <v>129</v>
      </c>
      <c r="C7" s="7" t="s">
        <v>91</v>
      </c>
      <c r="D7" t="str">
        <f t="shared" ref="D7:D11" si="0">SUBSTITUTE(PROPER(A7),"_","")</f>
        <v>ScanType</v>
      </c>
      <c r="E7" t="str">
        <f t="shared" ref="E7:E11" si="1">IFERROR(LEFT(B7, FIND("(",B7)-1),B7)</f>
        <v>nvarchar</v>
      </c>
      <c r="F7" s="7" t="s">
        <v>129</v>
      </c>
      <c r="G7" t="str">
        <f t="shared" ref="G7:G11" si="2">IFERROR(MID(B7,FIND("(",B7) +1, FIND(")",B7) - FIND("(",B7) - 1),"")</f>
        <v>50</v>
      </c>
      <c r="H7" t="str">
        <f>+VLOOKUP(E7,'Data Type Mapping'!A:B,2,)</f>
        <v>string</v>
      </c>
      <c r="I7" t="str">
        <f t="shared" ref="I7:I11" si="3">IF(H7="string",REPT(CHAR(9),2)&amp;"public const int Max"&amp;D7&amp;"Length = "&amp;G7&amp;";"&amp;$E$3,"" )</f>
        <v xml:space="preserve">		public const int MaxScanTypeLength = 50;
</v>
      </c>
      <c r="J7" t="str">
        <f t="shared" ref="J7:J8" si="4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[Column(TypeName="nvarchar(50)")]
		[Required]
		[StringLength(MaxScanTypeLength)]
		public virtual string ScanType { get; set; }
</v>
      </c>
      <c r="K7" s="7" t="s">
        <v>49</v>
      </c>
      <c r="L7" t="str">
        <f t="shared" ref="L7:L11" si="5">IF(K7="","",REPT(CHAR(9),1)&amp;"[Index(nameof("&amp;IF(D7="","",""&amp;D7)&amp;")"&amp;", Name="&amp;"""IX_"&amp;$B$5&amp;"_"&amp;D7&amp;""")]")</f>
        <v xml:space="preserve">	[Index(nameof(ScanType), Name="IX_PtsAdoScanInfo_ScanType")]</v>
      </c>
      <c r="M7" t="str">
        <f t="shared" ref="M7:M11" si="6">REPT(CHAR(9),2)&amp;"public virtual "&amp;H7&amp;IF(C7="?","? "," ")&amp;D7&amp;" { get; set; }" &amp; "
"</f>
        <v xml:space="preserve">		public virtual string ScanType { get; set; }
</v>
      </c>
      <c r="N7" t="str">
        <f t="shared" ref="N7:N11" si="7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[StringLength(PtsAdoScanInfoConsts.MaxScanTypeLength)]
		public virtual string ScanType { get; set; }
</v>
      </c>
      <c r="O7" t="str">
        <f t="shared" ref="O7:O8" si="8">IF(OR(H7="string",H7="DateTime"),REPT(CHAR(9),2)&amp;"public virtual "&amp;H7&amp;IF(C7="?","? "," ")&amp;D7&amp;" { get; set; }"&amp;$E$3,"")</f>
        <v xml:space="preserve">		public virtual string ScanType { get; set; }
</v>
      </c>
      <c r="P7" t="str">
        <f>REPT(CHAR(9),7)&amp;D7&amp;" = o." &amp;D7 &amp;","</f>
        <v xml:space="preserve">							ScanType = o.ScanType,</v>
      </c>
    </row>
    <row r="8" spans="1:17" customFormat="1" x14ac:dyDescent="0.25">
      <c r="A8" s="7" t="s">
        <v>102</v>
      </c>
      <c r="B8" s="8" t="s">
        <v>101</v>
      </c>
      <c r="C8" s="7" t="s">
        <v>1</v>
      </c>
      <c r="D8" t="str">
        <f t="shared" si="0"/>
        <v>ScanValue</v>
      </c>
      <c r="E8" t="str">
        <f t="shared" si="1"/>
        <v>varchar</v>
      </c>
      <c r="F8" s="7"/>
      <c r="G8" t="str">
        <f t="shared" si="2"/>
        <v>50</v>
      </c>
      <c r="H8" t="str">
        <f>+VLOOKUP(E8,'Data Type Mapping'!A:B,2,)</f>
        <v>string</v>
      </c>
      <c r="I8" t="str">
        <f t="shared" si="3"/>
        <v xml:space="preserve">		public const int MaxScanValueLength = 50;
</v>
      </c>
      <c r="J8" t="str">
        <f t="shared" si="4"/>
        <v xml:space="preserve">		[StringLength(MaxScanValueLength)]
		public virtual string ScanValue { get; set; }
</v>
      </c>
      <c r="K8" s="7"/>
      <c r="L8" t="str">
        <f t="shared" si="5"/>
        <v/>
      </c>
      <c r="M8" t="str">
        <f t="shared" si="6"/>
        <v xml:space="preserve">		public virtual string ScanValue { get; set; }
</v>
      </c>
      <c r="N8" t="str">
        <f t="shared" si="7"/>
        <v xml:space="preserve">		[StringLength(PtsAdoScanInfoConsts.MaxScanValueLength)]
		public virtual string ScanValue { get; set; }
</v>
      </c>
      <c r="O8" t="str">
        <f t="shared" si="8"/>
        <v xml:space="preserve">		public virtual string ScanValue { get; set; }
</v>
      </c>
      <c r="P8" t="str">
        <f t="shared" ref="P8:P12" si="9">REPT(CHAR(9),7)&amp;D8&amp;" = o." &amp;D8 &amp;","</f>
        <v xml:space="preserve">							ScanValue = o.ScanValue,</v>
      </c>
    </row>
    <row r="9" spans="1:17" customFormat="1" x14ac:dyDescent="0.25">
      <c r="A9" s="7" t="s">
        <v>103</v>
      </c>
      <c r="B9" s="8" t="s">
        <v>101</v>
      </c>
      <c r="C9" s="7" t="s">
        <v>1</v>
      </c>
      <c r="D9" t="str">
        <f t="shared" si="0"/>
        <v>ScanLocation</v>
      </c>
      <c r="E9" t="str">
        <f t="shared" si="1"/>
        <v>varchar</v>
      </c>
      <c r="F9" s="7"/>
      <c r="G9" t="str">
        <f t="shared" si="2"/>
        <v>50</v>
      </c>
      <c r="H9" t="str">
        <f>+VLOOKUP(E9,'Data Type Mapping'!A:B,2,)</f>
        <v>string</v>
      </c>
      <c r="I9" t="str">
        <f t="shared" si="3"/>
        <v xml:space="preserve">		public const int MaxScanLocationLength = 50;
</v>
      </c>
      <c r="J9" t="str">
        <f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[StringLength(MaxScanLocationLength)]
		public virtual string ScanLocation { get; set; }
</v>
      </c>
      <c r="K9" s="7"/>
      <c r="L9" t="str">
        <f t="shared" si="5"/>
        <v/>
      </c>
      <c r="M9" t="str">
        <f t="shared" si="6"/>
        <v xml:space="preserve">		public virtual string ScanLocation { get; set; }
</v>
      </c>
      <c r="N9" t="str">
        <f t="shared" si="7"/>
        <v xml:space="preserve">		[StringLength(PtsAdoScanInfoConsts.MaxScanLocationLength)]
		public virtual string ScanLocation { get; set; }
</v>
      </c>
      <c r="O9" t="str">
        <f>IF(OR(H9="string",H9="DateTime"),REPT(CHAR(9),2)&amp;"public virtual "&amp;H9&amp;IF(C9="?","? "," ")&amp;D9&amp;" { get; set; }"&amp;$E$3,"")</f>
        <v xml:space="preserve">		public virtual string ScanLocation { get; set; }
</v>
      </c>
      <c r="P9" t="str">
        <f t="shared" si="9"/>
        <v xml:space="preserve">							ScanLocation = o.ScanLocation,</v>
      </c>
    </row>
    <row r="10" spans="1:17" customFormat="1" x14ac:dyDescent="0.25">
      <c r="A10" s="7" t="s">
        <v>104</v>
      </c>
      <c r="B10" s="8" t="s">
        <v>105</v>
      </c>
      <c r="C10" s="7" t="s">
        <v>1</v>
      </c>
      <c r="D10" t="str">
        <f t="shared" si="0"/>
        <v>ScanTime</v>
      </c>
      <c r="E10" t="str">
        <f t="shared" si="1"/>
        <v>datetime2</v>
      </c>
      <c r="F10" s="7"/>
      <c r="G10" t="str">
        <f t="shared" si="2"/>
        <v>7</v>
      </c>
      <c r="H10" t="str">
        <f>+VLOOKUP(E10,'Data Type Mapping'!A:B,2,)</f>
        <v>DateTime</v>
      </c>
      <c r="I10" t="str">
        <f t="shared" si="3"/>
        <v/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ScanTime { get; set; }
</v>
      </c>
      <c r="K10" s="7"/>
      <c r="L10" t="str">
        <f t="shared" si="5"/>
        <v/>
      </c>
      <c r="M10" t="str">
        <f t="shared" si="6"/>
        <v xml:space="preserve">		public virtual DateTime ScanTime { get; set; }
</v>
      </c>
      <c r="N10" t="str">
        <f t="shared" si="7"/>
        <v xml:space="preserve">		public virtual DateTime ScanTime { get; set; }
</v>
      </c>
      <c r="O10" t="str">
        <f t="shared" ref="O10:O11" si="11">IF(OR(H10="string",H10="DateTime"),REPT(CHAR(9),2)&amp;"public virtual "&amp;H10&amp;IF(C10="?","? "," ")&amp;D10&amp;" { get; set; }"&amp;$E$3,"")</f>
        <v xml:space="preserve">		public virtual DateTime ScanTime { get; set; }
</v>
      </c>
      <c r="P10" t="str">
        <f t="shared" si="9"/>
        <v xml:space="preserve">							ScanTime = o.ScanTime,</v>
      </c>
    </row>
    <row r="11" spans="1:17" customFormat="1" x14ac:dyDescent="0.25">
      <c r="A11" s="7" t="s">
        <v>106</v>
      </c>
      <c r="B11" s="8" t="s">
        <v>101</v>
      </c>
      <c r="C11" s="7" t="s">
        <v>1</v>
      </c>
      <c r="D11" t="str">
        <f t="shared" si="0"/>
        <v>ScanBy</v>
      </c>
      <c r="E11" t="str">
        <f t="shared" si="1"/>
        <v>varchar</v>
      </c>
      <c r="F11" s="7"/>
      <c r="G11" t="str">
        <f t="shared" si="2"/>
        <v>50</v>
      </c>
      <c r="H11" t="str">
        <f>+VLOOKUP(E11,'Data Type Mapping'!A:B,2,)</f>
        <v>string</v>
      </c>
      <c r="I11" t="str">
        <f t="shared" si="3"/>
        <v xml:space="preserve">		public const int MaxScanByLength = 50;
</v>
      </c>
      <c r="J11" t="str">
        <f t="shared" si="10"/>
        <v xml:space="preserve">		[StringLength(MaxScanByLength)]
		public virtual string ScanBy { get; set; }
</v>
      </c>
      <c r="K11" s="7"/>
      <c r="L11" t="str">
        <f t="shared" si="5"/>
        <v/>
      </c>
      <c r="M11" t="str">
        <f t="shared" si="6"/>
        <v xml:space="preserve">		public virtual string ScanBy { get; set; }
</v>
      </c>
      <c r="N11" t="str">
        <f t="shared" si="7"/>
        <v xml:space="preserve">		[StringLength(PtsAdoScanInfoConsts.MaxScanByLength)]
		public virtual string ScanBy { get; set; }
</v>
      </c>
      <c r="O11" t="str">
        <f t="shared" si="11"/>
        <v xml:space="preserve">		public virtual string ScanBy { get; set; }
</v>
      </c>
      <c r="P11" t="str">
        <f t="shared" si="9"/>
        <v xml:space="preserve">							ScanBy = o.ScanBy,</v>
      </c>
    </row>
    <row r="12" spans="1:17" customFormat="1" x14ac:dyDescent="0.25">
      <c r="A12" s="7" t="s">
        <v>107</v>
      </c>
      <c r="B12" s="8" t="s">
        <v>3</v>
      </c>
      <c r="C12" s="7" t="s">
        <v>1</v>
      </c>
      <c r="D12" t="str">
        <f t="shared" ref="D12" si="12">SUBSTITUTE(PROPER(A12),"_","")</f>
        <v>IsProcessed</v>
      </c>
      <c r="E12" t="str">
        <f t="shared" ref="E12" si="13">IFERROR(LEFT(B12, FIND("(",B12)-1),B12)</f>
        <v>varchar</v>
      </c>
      <c r="F12" s="7"/>
      <c r="G12" t="str">
        <f t="shared" ref="G12" si="14">IFERROR(MID(B12,FIND("(",B12) +1, FIND(")",B12) - FIND("(",B12) - 1),"")</f>
        <v>1</v>
      </c>
      <c r="H12" t="str">
        <f>+VLOOKUP(E12,'Data Type Mapping'!A:B,2,)</f>
        <v>string</v>
      </c>
      <c r="I12" t="str">
        <f t="shared" ref="I12" si="15">IF(H12="string",REPT(CHAR(9),2)&amp;"public const int Max"&amp;D12&amp;"Length = "&amp;G12&amp;";"&amp;$E$3,"" )</f>
        <v xml:space="preserve">		public const int MaxIsProcessedLength = 1;
</v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[StringLength(MaxIsProcessedLength)]
		public virtual string IsProcessed { get; set; }
</v>
      </c>
      <c r="K12" s="7"/>
      <c r="L12" t="str">
        <f t="shared" ref="L12" si="16">IF(K12="","",REPT(CHAR(9),1)&amp;"[Index(nameof("&amp;IF(D12="","",""&amp;D12)&amp;")"&amp;", Name="&amp;"""IX_"&amp;$B$5&amp;"_"&amp;D12&amp;""")]")</f>
        <v/>
      </c>
      <c r="M12" t="str">
        <f t="shared" ref="M12" si="17">REPT(CHAR(9),2)&amp;"public virtual "&amp;H12&amp;IF(C12="?","? "," ")&amp;D12&amp;" { get; set; }" &amp; "
"</f>
        <v xml:space="preserve">		public virtual string IsProcessed { get; set; }
</v>
      </c>
      <c r="N12" t="str">
        <f t="shared" ref="N12" si="18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[StringLength(PtsAdoScanInfoConsts.MaxIsProcessedLength)]
		public virtual string IsProcessed { get; set; }
</v>
      </c>
      <c r="O12" t="str">
        <f>IF(OR(H12="string",H12="DateTime"),REPT(CHAR(9),2)&amp;"public virtual "&amp;H12&amp;IF(C12="?","? "," ")&amp;D12&amp;" { get; set; }"&amp;$E$3,"")</f>
        <v xml:space="preserve">		public virtual string IsProcessed { get; set; }
</v>
      </c>
      <c r="P12" t="str">
        <f t="shared" si="9"/>
        <v xml:space="preserve">							IsProcessed = o.IsProcessed,</v>
      </c>
    </row>
    <row r="14" spans="1:17" x14ac:dyDescent="0.25">
      <c r="H14" s="15"/>
      <c r="I14" s="13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4" s="14" t="str">
        <f ca="1">TEXTJOIN2("
", TRUE,INDIRECT( $F$1):INDIRECT( $F$3))</f>
        <v xml:space="preserve">		[Column(TypeName="nvarchar(50)")]
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</v>
      </c>
      <c r="K14" s="16" t="str">
        <f ca="1">TEXTJOIN2("
", TRUE,INDIRECT( $J$1):INDIRECT( $J$3))</f>
        <v xml:space="preserve">	[Index(nameof(ScanType), Name="IX_PtsAdoScanInfo_ScanType")]
</v>
      </c>
      <c r="L14" s="17" t="s">
        <v>62</v>
      </c>
      <c r="M14" s="18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N14" s="14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</v>
      </c>
      <c r="O14" s="14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P14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0" sqref="B1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A2" sqref="A2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50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Dev Guide</vt:lpstr>
      <vt:lpstr>A.Backend</vt:lpstr>
      <vt:lpstr>B.Frontend</vt:lpstr>
      <vt:lpstr>Data Type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2022-04-15T10:50:16Z</dcterms:modified>
</cp:coreProperties>
</file>
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painting\"/>
    </mc:Choice>
  </mc:AlternateContent>
  <bookViews>
    <workbookView xWindow="0" yWindow="271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C17" i="5" l="1"/>
  <c r="B17" i="5"/>
  <c r="D17" i="5" s="1"/>
  <c r="G11" i="1"/>
  <c r="E11" i="1"/>
  <c r="H11" i="1" s="1"/>
  <c r="V17" i="5" s="1"/>
  <c r="D11" i="1"/>
  <c r="V11" i="1" s="1"/>
  <c r="L17" i="5" l="1"/>
  <c r="G17" i="5"/>
  <c r="I17" i="5"/>
  <c r="H17" i="5"/>
  <c r="T17" i="5"/>
  <c r="S17" i="5"/>
  <c r="U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W9" i="1" l="1"/>
  <c r="P9" i="1"/>
  <c r="T9" i="1"/>
  <c r="I9" i="1"/>
  <c r="N9" i="1"/>
  <c r="M9" i="1"/>
  <c r="J9" i="1"/>
  <c r="O9" i="1"/>
  <c r="Q3" i="1" l="1"/>
  <c r="B16" i="5" l="1"/>
  <c r="D16" i="5" s="1"/>
  <c r="C16" i="5"/>
  <c r="C15" i="5"/>
  <c r="B15" i="5"/>
  <c r="D15" i="5" s="1"/>
  <c r="T15" i="5" s="1"/>
  <c r="G10" i="1"/>
  <c r="E10" i="1"/>
  <c r="H10" i="1" s="1"/>
  <c r="D10" i="1"/>
  <c r="T10" i="1" s="1"/>
  <c r="H16" i="5" l="1"/>
  <c r="G16" i="5"/>
  <c r="V16" i="5"/>
  <c r="G15" i="5"/>
  <c r="S15" i="5" s="1"/>
  <c r="V15" i="5"/>
  <c r="I16" i="5"/>
  <c r="U15" i="5"/>
  <c r="H15" i="5"/>
  <c r="I15" i="5"/>
  <c r="K15" i="5"/>
  <c r="L16" i="5"/>
  <c r="L15" i="5"/>
  <c r="V10" i="1"/>
  <c r="I10" i="1"/>
  <c r="O10" i="1"/>
  <c r="J10" i="1"/>
  <c r="N10" i="1"/>
  <c r="M10" i="1"/>
  <c r="W10" i="1"/>
  <c r="P10" i="1"/>
  <c r="U16" i="5" l="1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S13" i="5"/>
  <c r="I13" i="5"/>
  <c r="L13" i="5"/>
  <c r="H13" i="5"/>
  <c r="U13" i="5"/>
  <c r="K13" i="5"/>
  <c r="V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1" i="1" s="1"/>
  <c r="L9" i="1" l="1"/>
  <c r="L10" i="1"/>
  <c r="C7" i="1"/>
  <c r="O13" i="1"/>
  <c r="P13" i="1"/>
  <c r="I13" i="1"/>
  <c r="N13" i="1"/>
  <c r="J13" i="1"/>
  <c r="Q7" i="1" l="1"/>
  <c r="M59" i="3" s="1"/>
  <c r="L7" i="1"/>
  <c r="G59" i="3" s="1"/>
  <c r="K59" i="3"/>
  <c r="J59" i="3"/>
  <c r="M13" i="1"/>
  <c r="K13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<sst xmlns="http://schemas.openxmlformats.org/spreadsheetml/2006/main" count="415" uniqueCount="332">
  <si>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</si>
  <si>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</si>
  <si>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</si>
  <si>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</si>
  <si>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</si>
  <si>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</si>
  <si>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</si>
  <si>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</si>
  <si>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</si>
  <si>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</si>
  <si>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</si>
  <si>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</si>
  <si>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</si>
  <si>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</si>
  <si>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</si>
  <si>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</si>
  <si>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</si>
  <si>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</si>
  <si>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</si>
  <si>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</si>
  <si>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</si>
  <si>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</si>
  <si>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</si>
  <si>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</si>
  <si>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</si>
  <si>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</si>
  <si>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</si>
  <si>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</si>
  <si>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</si>
  <si>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</si>
  <si>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</si>
  <si>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</si>
  <si>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</si>
  <si>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</si>
  <si>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</si>
  <si>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</si>
  <si>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</si>
  <si>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</si>
  <si>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</si>
  <si>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</si>
  <si>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</si>
  <si>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</si>
  <si>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</si>
  <si>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</si>
  <si>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</si>
  <si>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</si>
  <si>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</si>
  <si>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</si>
  <si>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</si>
  <si>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</si>
  <si>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</si>
  <si>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</si>
  <si>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</si>
  <si>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</si>
  <si>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</si>
  <si>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</si>
  <si>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</si>
  <si>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</si>
  <si>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</si>
  <si>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</si>
  <si>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</si>
  <si>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</si>
  <si>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</si>
  <si>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</si>
  <si>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</si>
  <si>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</si>
  <si>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</si>
  <si>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</si>
  <si>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</si>
  <si>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</si>
  <si>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</si>
  <si>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</si>
  <si>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</si>
  <si>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</si>
  <si>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</si>
  <si>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</si>
  <si>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</si>
  <si>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</si>
  <si>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</si>
  <si>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</si>
  <si>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</si>
  <si>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</si>
  <si>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</si>
  <si>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</si>
  <si>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</si>
  <si>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</si>
  <si>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</si>
  <si>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</si>
  <si>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</si>
  <si>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</si>
  <si>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</si>
  <si>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</si>
  <si>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</si>
  <si>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</si>
  <si>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</si>
  <si>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</si>
  <si>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</si>
  <si>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</si>
  <si>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</si>
  <si>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</si>
  <si>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</si>
  <si>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</si>
  <si>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</si>
  <si>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</si>
  <si>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</si>
  <si>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</si>
  <si>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</si>
  <si>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</si>
  <si>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</si>
  <si>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</si>
  <si>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</si>
  <si>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</si>
  <si>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</si>
  <si>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</si>
  <si>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</si>
  <si>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</si>
  <si>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</si>
  <si>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</si>
  <si>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</si>
  <si>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</si>
  <si>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</si>
  <si>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</si>
  <si>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</si>
  <si>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</si>
  <si>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</si>
  <si>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</si>
  <si>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</si>
  <si>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</si>
  <si>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</si>
  <si>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</si>
  <si>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</si>
  <si>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</si>
  <si>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</si>
  <si>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</si>
  <si>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</si>
  <si>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</si>
  <si>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</si>
  <si>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</si>
  <si>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</si>
  <si>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</si>
  <si>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</si>
  <si>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</si>
  <si>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</si>
  <si>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</si>
  <si>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</si>
  <si>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</si>
  <si>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</si>
  <si>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</si>
  <si>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</si>
  <si>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</si>
  <si>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</si>
  <si>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</si>
  <si>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</si>
  <si>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</si>
  <si>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</si>
  <si>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</si>
  <si>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</si>
  <si>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</si>
  <si>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</si>
  <si>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</si>
  <si>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</si>
  <si>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</si>
  <si>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</si>
  <si>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</si>
  <si>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</si>
  <si>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</si>
  <si>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</si>
  <si>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</si>
  <si>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</si>
  <si>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</si>
  <si>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</si>
  <si>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</si>
  <si>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</si>
  <si>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</si>
  <si>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</si>
  <si>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</si>
  <si>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</si>
  <si>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</si>
  <si>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</si>
  <si>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</si>
  <si>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</si>
  <si>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</si>
  <si>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</si>
  <si>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</si>
  <si>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</si>
  <si>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</si>
  <si>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</si>
  <si>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</si>
  <si>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</si>
  <si>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</si>
  <si>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</si>
  <si>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</si>
  <si>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</si>
  <si>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</si>
  <si>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</si>
  <si>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</si>
  <si>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</si>
  <si>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</si>
  <si>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</si>
  <si>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</si>
  <si>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</si>
  <si>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</si>
  <si>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</si>
  <si>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</si>
  <si>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</si>
  <si>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</si>
  <si>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</si>
  <si>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</si>
  <si>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</si>
  <si>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</si>
  <si>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</si>
  <si>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</si>
  <si>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</si>
  <si>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</si>
  <si>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</si>
  <si>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</si>
  <si>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</si>
  <si>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</si>
  <si>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</si>
  <si>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</si>
  <si>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</si>
  <si>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</si>
  <si>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</si>
  <si>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</si>
  <si>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</si>
  <si>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</si>
  <si>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</si>
  <si>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</si>
  <si>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</si>
  <si>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</si>
  <si>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</si>
  <si>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</si>
  <si>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</si>
  <si>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</si>
  <si>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</si>
  <si>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</si>
  <si>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</si>
  <si>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</si>
  <si>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</si>
  <si>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</si>
  <si>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</si>
  <si>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</si>
  <si>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</si>
  <si>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</si>
  <si>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</si>
  <si>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</si>
  <si>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</si>
  <si>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</si>
  <si>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</si>
  <si>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</si>
  <si>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</si>
  <si>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</si>
  <si>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</si>
  <si>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</si>
  <si>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</si>
  <si>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</si>
  <si>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</si>
  <si>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</si>
  <si>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</si>
  <si>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</si>
  <si>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</si>
  <si>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</si>
  <si>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</si>
  <si>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</si>
  <si>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</si>
  <si>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</si>
  <si>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</si>
  <si>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</si>
  <si>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</si>
  <si>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</si>
  <si>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</si>
  <si>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</si>
  <si>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</si>
  <si>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</si>
  <si>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</si>
  <si>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</si>
  <si>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</si>
  <si>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</si>
  <si>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</si>
  <si>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</si>
  <si>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</si>
  <si>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</si>
  <si>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</si>
  <si>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</si>
  <si>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</si>
  <si>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</si>
  <si>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</si>
  <si>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</si>
  <si>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</si>
  <si>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</si>
  <si>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</si>
  <si>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</si>
  <si>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</si>
  <si>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</si>
  <si>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</si>
  <si>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</si>
  <si>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</si>
  <si>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</si>
  <si>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</si>
  <si>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</si>
  <si>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</si>
  <si>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</si>
  <si>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</si>
  <si>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</si>
  <si>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</si>
  <si>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</si>
  <si>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</si>
  <si>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</si>
  <si>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</si>
  <si>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</si>
  <si>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</si>
  <si>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</si>
  <si>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</si>
  <si>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</si>
  <si>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</si>
  <si>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</si>
  <si>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</si>
  <si>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</si>
  <si>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</si>
  <si>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</si>
  <si>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</si>
  <si>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</si>
  <si>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</si>
  <si>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</si>
  <si>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</si>
  <si>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</si>
  <si>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MODEL</t>
  </si>
  <si>
    <t>INVENTORY_STD</t>
  </si>
  <si>
    <t>MstPtsInventoryStd</t>
  </si>
  <si>
    <t>Master.Painting</t>
  </si>
  <si>
    <t>InventoryStd</t>
  </si>
  <si>
    <t>Master Painting Inventory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</si>
</sst>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16" workbookViewId="0">
      <selection activeCell="A55" sqref="A1:XFD5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320</v>
      </c>
      <c r="F38" s="1" t="s">
        <v>321</v>
      </c>
      <c r="G38" s="17" t="s">
        <v>322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323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[Table("MstPtsInventoryStd")]
	[Index(nameof(Model), Name="IX_MstPtsInventoryStd_Model")]
	[Index(nameof(IsActive), Name="IX_MstPtsInventoryStd_IsActive")]	public class MstPtsInventoryStd: FullAuditedEntity&lt;long&gt;, IEntity&lt;long&gt;	
	{
		public const int MaxModelLength = 1;
		public const int MaxIsActiveLength = 1;
		[StringLength(MaxModelLength)]
		public virtual string Model { get; set; }
		public virtual int InventoryStd { get; set; }
		[StringLength(MaxIsActiveLength)]
		public virtual string IsActive { get; set; }
	}
}
</v>
      </c>
      <c r="D59" s="51" t="str">
        <f>A.Backend!O7</f>
        <v xml:space="preserve">		public const string Pages_Master_Painting_InventoryStd = "Pages.Master.Painting.InventoryStd";
		public const string Pages_Master_Painting_InventoryStd_CreateEdit = "Pages.Master.Painting.InventoryStd.CreateEdit";
		public const string Pages_Master_Painting_InventoryStd_Delete = "Pages.Master.Painting.InventoryStd.Delete";
</v>
      </c>
      <c r="E59" s="51" t="str">
        <f>A.Backend!N7</f>
        <v xml:space="preserve">		var perMstPtsInventoryStd = PARENTS.CreateChildPermission(AppPermissions.Pages_Master_Painting_InventoryStd, L( "MasterPaintingInventoryStd"), multiTenancySides: MultiTenancySides.Tenant);
		perMstPtsInventoryStd.CreateChildPermission(AppPermissions.Pages_Master_Painting_InventoryStd_CreateEdit, L( "MasterPaintingInventoryStdCreateEdit"), multiTenancySides: MultiTenancySides.Tenant);
		perMstPtsInventoryStd.CreateChildPermission(AppPermissions.Pages_Master_Painting_InventoryStd_Delete, L( "MasterPaintingInventoryStdDelete"), multiTenancySides: MultiTenancySides.Tenant);</v>
      </c>
      <c r="F59" s="51" t="str">
        <f>A.Backend!K7</f>
        <v>public virtual DbSet&lt;MstPtsInventoryStd&gt; MstPtsInventoryStds { get; set; }</v>
      </c>
      <c r="G59" s="51" t="str">
        <f ca="1">A.Backend!L7</f>
        <v xml:space="preserve">namespace vovina.Master.Painting
{
	public class MstPtsInventoryStdConsts	
	{
		public const int MaxModelLength = 1;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vovina.Master.Painting.Dto
{
	public class MstPtsInventoryStdDto : EntityDto&lt;long?&gt;	
	{
		public virtual string Model { get; set; }
		public virtual int InventoryStd { get; set; }
		public virtual string IsActive { get; set; }
	}
	public class CreateOrEditMstPtsInventoryStdDto : EntityDto&lt;long?&gt;	
	{
		[StringLength(MstPtsInventoryStdConsts.MaxModelLength)]
		public virtual string Model { get; set; }
		public virtual int InventoryStd { get; set; }
		[StringLength(MstPtsInventoryStdConsts.MaxIsActiveLength)]
		public virtual string IsActive { get; set; }
	}
	public class GetMstPtsInventoryStdInput : PagedAndSortedResultRequestDto	
	{
		public virtual string Model { get; set; }
		public virtual int InventoryStd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vovina.Master.Painting.Dto
{
	public class MstPtsInventoryStdExportInput{
		public virtual string Model { get; set; }
		public virtual int InventoryStd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IMstPtsInventoryStdAppService : IApplicationService
	{
		Task&lt;PagedResultDto&lt;MstPtsInventoryStdDto&gt;&gt; GetAll(GetMstPtsInventoryStdInput input);
		Task CreateOrEdit(CreateOrEditMstPtsInventoryStdDto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IMstPtsInventoryStdExcelExporter : IApplicationService
	{
		FileDto ExportToFile(List&lt;MstPtsInventoryStdDto&gt; mstptsinventorystd);
	}
}
</v>
      </c>
      <c r="L59" s="51" t="str">
        <f ca="1">A.Backend!T7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MstPtsInventoryStdExcelExporter : NpoiExcelExporterBase, IMstPtsInventoryStdExcelExporter
    {
        public MstPtsInventoryStdExcelExporter(ITempFileCacheManager tempFileCacheManager) : base(tempFileCacheManager) { }
        public FileDto ExportToFile(List&lt;MstPtsInventoryStdDto&gt; inventorystd)
        {
            return CreateExcelPackage(
				"MasterPaintingInventoryStd.xlsx",
				excelPackage =&gt;
				 {
					var sheet = excelPackage.CreateSheet("InventoryStd");
					AddHeader(
								sheet,
								("Model"),
								("InventoryStd"),
								("IsActive"),
							   );
					AddObjects(
						 sheet, 1, inventorystd,                                       
								_ =&gt; _.Model,
								_ =&gt; _.InventoryStd,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[AbpAuthorize(AppPermissions.Pages_Master_Painting_InventoryStd)]
    public class MstPtsInventoryStdAppService : vovinaAppServiceBase, IMstPtsInventoryStdAppService
    {
        private readonly IDapperRepository&lt;MstPtsInventoryStd, long&gt; _dapperRepo;
        private readonly IRepository&lt;MstPtsInventoryStd, long&gt; _repo;
        private readonly IMstPtsInventoryStdExcelExporter _calendarListExcelExporter;
        public MstPtsInventoryStdAppService(IRepository&lt;MstPtsInventoryStd,long&gt; repo, 
                                         IDapperRepository&lt;MstPtsInventoryStd,long&gt; dapperRepo,
                                        IMstPtsInventoryStdExcelExporter calendarListExcelExporter
            )
        {
            _repo = repo;
            _dapperRepo = dapperRepo;
            _calendarListExcelExporter = calendarListExcelExporter;
        }
        [AbpAuthorize(AppPermissions.Pages_Master_Painting_InventoryStd_CreateEdit)]
        public async Task CreateOrEdit(CreateOrEditMstPtsInventoryStdDto input)
        {
            if (input.Id == null) await Create(input);
            else await Update(input);
        }
        //CREATE
        private async Task Create(CreateOrEditMstPtsInventoryStdDto input)
        {          
            var mainObj = ObjectMapper.Map&lt;MstPtsInventoryStd&gt;(input);
            await CurrentUnitOfWork.GetDbContext&lt;vovinaDbContext&gt;().AddAsync(mainObj);
        }
        // EDIT
        private async Task Update(CreateOrEditMstPtsInventoryStdDto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[AbpAuthorize(AppPermissions.Pages_Master_Painting_InventoryStd_Delete)]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Task&lt;PagedResultDto&lt;MstPtsInventoryStdDto&gt;&gt; GetAll(GetMstPtsInventoryStdInput input)
        {
            var filtered = _repo.GetAll()
				.WhereIf(!string.IsNullOrWhiteSpace(input.Model), e =&gt; e.Model.Contains(input.Model))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MstPtsInventoryStdDto
                        {
							Id = o.Id,
							Model = o.Model,
							InventoryStd = o.InventoryStd,
							IsActive = o.IsActive,
                        };
            var totalCount = await filtered.CountAsync();
			var paged = system.PageBy(input);
            return new PagedResultDto&lt;MstPtsInventoryStdDto&gt;(
                totalCount,
                 await paged.ToListAsync()
            );
        }
        public async Task&lt;FileDto&gt; GetInventoryStdToExcel(MstPtsInventoryStdExportInput input)
        {
            var query = from o in _repo.GetAll()
                        select new MstPtsInventoryStdDto
                        {
							Id = o.Id,
							Model = o.Model,
							InventoryStd = o.InventoryStd,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_dapperRepo.ExecuteAsync(MstPtsInventoryStdConsts.SP_MST_WPT_CALENDAR_GENERATE);
       // }
    }
}</v>
      </c>
      <c r="N59" s="62" t="str">
        <f>A.Backend!U7</f>
        <v xml:space="preserve">  configuration.CreateMap&lt;MstPtsInventoryStdDto, MstPtsInventoryStd&gt;();
  configuration.CreateMap&lt;MstPtsInventoryStd, MstPtsInventoryStdDto&gt;();
  configuration.CreateMap&lt;CreateOrEditMstPtsInventoryStdDto, MstPtsInventoryStd&gt;();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inventorystd</v>
      </c>
      <c r="C64" s="72" t="str">
        <f>"create folder " &amp;B64</f>
        <v>create folder inventorystd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inventorystd.component.ts</v>
      </c>
      <c r="D65" s="31" t="str">
        <f>B.Frontend!I14</f>
        <v>inventorystd.component.html</v>
      </c>
      <c r="E65" s="31" t="str">
        <f>B.Frontend!J14</f>
        <v>inventorystd.component.less</v>
      </c>
      <c r="F65" s="31" t="str">
        <f>B.Frontend!K14</f>
        <v>create-or-edit-inventorystd-modal.component.html</v>
      </c>
      <c r="G65" s="31" t="str">
        <f>B.Frontend!L14</f>
        <v>create-or-edit-inventorystd-modal.component.ts</v>
      </c>
      <c r="H65" s="31" t="str">
        <f>B.Frontend!M14</f>
        <v>create-or-edit-inventorystd-modal.component.less</v>
      </c>
      <c r="I65" s="31" t="str">
        <f>B.Frontend!N14</f>
        <v>inventorystd.module.ts</v>
      </c>
      <c r="J65" s="31" t="str">
        <f>B.Frontend!O14</f>
        <v>inventorystd-routing.module.ts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MstPtsInventoryStdDto, MstPtsInventoryStdServiceProxy } from '@shared/service-proxies/service-proxies';
import { finalize } from 'rxjs/internal/operators/finalize';
import { CreateOrEditInventoryStdModalComponent } from './create-or-edit-inventorystd-modal.component';
import { DatePipe } from '@angular/common';
import { FileDownloadService } from '@shared/utils/file-download.service';
import ceil from 'lodash-es/ceil';
import { Paginator } from 'primeng/paginator';
@Component({
    templateUrl: './inventorystd.component.html',
    styleUrls: ['./inventorystd.component.less'],
})
export class InventoryStdComponent extends AppComponentBase implements OnInit {
    @ViewChild('createOrEditModalInventoryStd', { static: true }) createOrEditModalInventoryStd:| CreateOrEditInventoryStdModalComponent|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MstPtsInventoryStdDto = new MstPtsInventoryStdDto();
    saveSelectedRow: MstPtsInventoryStdDto = new MstPtsInventoryStdDto();
    datas: MstPtsInventoryStdDto = new MstPtsInventoryStdDto();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inventoryStd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MstPtsInventoryStdServiceProxy,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this.l('Inventory Std'),headerTooltip: this.l('Inventory Std'),field: 'inventoryStd',flex: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this.inventoryStd,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this.inventoryStd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this.inventoryStd,
			this.isActive,
			'',
            this.paginationParams.skipCount,
            this.paginationParams.pageSize
        );
    }
    onChangeRowSelection(params: { api: { getSelectedRows: () =&gt; MstPtsInventoryStdDto[] } }) {
        this.saveSelectedRow = params.api.getSelectedRows()[0] ?? new MstPtsInventoryStdDto();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MstPtsInventoryStdDto):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this._service.getInventoryStdToExcel(
			this.model,
			this.inventoryStd,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Painting Inventory Standard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(click)="createOrEditModalInventoryStd.show()"&gt;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(click)="createOrEditModalInventoryStd.show(selectedRow)"&gt;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&lt;create-or-edit-inventorystd-modal
    #createOrEditModalInventoryStd
    (modalSave)="callBackDataGrid(dataParams)"
    (modalClose)="onChangeRowSelection(dataParams)"
&gt;
&lt;/create-or-edit-inventorystd-modal&gt;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#createOrEditModalInventoryStd="bs-modal"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InventoryStd')}}&lt;/h3&gt;
                    &lt;h3 *ngIf="!rowdata.id"&gt;{{('Create New InventoryStd')}}&lt;/h3&gt;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title'&gt;Inventory Std&lt;/label&gt;
						&lt;input type='number' class='col-md-10 form-control input-text' name='InventoryStd' [(ngModel)]='rowdata.inventoryStd'&gt;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CreateOrEditMstPtsInventoryStdDto, MstPtsInventoryStdServiceProxy } from '@shared/service-proxies/service-proxies';
import { BsDatepickerDirective } from 'ngx-bootstrap/datepicker';
@Component({
    selector: 'create-or-edit-inventorystd-modal',
    templateUrl: './create-or-edit-inventorystd-modal.component.html',
    styleUrls: ['./create-or-edit-inventorystd-modal.component.less']
    })
export class CreateOrEditInventoryStdModalComponent extends AppComponentBase {
    @ViewChild('createOrEditModalInventoryStd',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CreateOrEditMstPtsInventoryStdDto = new CreateOrEditMstPtsInventoryStdDto();
    active: boolean = false;
    saving: boolean = false;
    _model
isActive: boolean;
    constructor(
        injector: Injector,
        private _mstwptInventoryStdService: MstPtsInventoryStdServiceProxy,
    ) 
    {
        super(injector);
    }
    show(rowdata?: CreateOrEditMstPtsInventoryStdDto): void {
        if (!rowdata) this.rowdata = new CreateOrEditMstPtsInventoryStdDto();
        else this.rowdata = rowdata;
        this._model
isActive = (this.rowdata.model
isActive == "N")? false: true;
        this.active = true;
        this.modal.show();
    } 
    changeActive(event){
        this._model
isActive = event.target.checked;
    }
    save(): void {
    this.saving = true; 
    this.rowdata.model
isActive = (this._model
isActive == true) ? 'Y' : 'N'
    this._mstwptInventoryStdService.createOrEdit(this.rowdata)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InventoryStdRoutingModule } from './inventorystd-routing.module';
import { InventoryStdComponent } from './inventorystd.component';
import { CreateOrEditInventoryStdModalComponent } from './create-or-edit-inventorystd-modal.component';
@NgModule({
    declarations: [
       InventoryStdComponent, 
        CreateOrEditInventoryStdModalComponent
    ],
    imports: [
        AppSharedModule, InventoryStdRoutingModule]
})
export class InventoryStdModule {}</v>
      </c>
      <c r="J66" s="49" t="str">
        <f>B.Frontend!O10</f>
        <v>import {NgModule} from '@angular/core';
import {RouterModule, Routes} from '@angular/router';
import { InventoryStdComponent } from './inventorystd.component';
const routes: Routes = [{
    path: '',
    component: InventoryStdComponent,
    pathMatch: 'full'
}];
@NgModule({
    imports: [RouterModule.forChild(routes)],
    exports: [RouterModule],
})
export class InventoryStdRoutingModule {}</v>
      </c>
      <c r="K66" s="49" t="str">
        <f>B.Frontend!P10</f>
        <v xml:space="preserve"> new AppMenuItem("InventoryStd", "Pages.Master.Painting.InventoryStd", "flaticon-book",   "/app/main/master/painting/inventorystd"),</v>
      </c>
      <c r="L66" s="50" t="str">
        <f>B.Frontend!Q10</f>
        <v>{
    path: 'master/painting/inventorystd',
    loadChildren: () =&gt; import('./master/painting/inventorystd/inventorystd.module').then(m =&gt; m.InventoryStdModule),
    data: { permission: 'Pages.Master.Painting.InventoryStd' }
},</v>
      </c>
      <c r="M66" s="48" t="str">
        <f>B.Frontend!R10</f>
        <v>ApiServiceProxies.MstPtsInventoryStdServiceProxy,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vovina.Master.Painting.Dto;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328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Painting</v>
      </c>
      <c r="R3" s="32" t="str">
        <f>REPT(CHAR(9),1)&amp;"public class "&amp;B3&amp;"ExportInput"&amp;C3</f>
        <v xml:space="preserve">	public class MstPtsInventoryStdExportInput{
</v>
      </c>
      <c r="S3" s="11" t="str">
        <f>"namespace "&amp;$B$6&amp;".Exporting
"&amp;$C$3</f>
        <v xml:space="preserve">namespace vovina.Master.Painting.Exporting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"vovina."&amp;B2</f>
        <v>vovina.Master.Painting</v>
      </c>
      <c r="C6" s="11" t="str">
        <f>"namespace "&amp;$B$6&amp;"
"&amp;$C$3</f>
        <v xml:space="preserve">namespace vovina.Master.Painting
{
</v>
      </c>
      <c r="D6" s="11" t="str">
        <f>REPT(CHAR(9),1)&amp;"public class "&amp;B3&amp;G3&amp;REPT(CHAR(9),1)&amp;"
"&amp;REPT(CHAR(9),1)&amp;C3</f>
        <v xml:space="preserve">	public class MstPtsInventoryStd: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MstPtsInventoryStdConsts	
	{
</v>
      </c>
      <c r="F6" s="11" t="str">
        <f>REPT(CHAR(9),1)&amp;"public class "&amp;B3&amp;"Dto"&amp;K3&amp;REPT(CHAR(9),1)&amp;"
"&amp;REPT(CHAR(9),1)&amp;C3</f>
        <v xml:space="preserve">	public class MstPtsInventoryStdDto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CreateOrEditMstPtsInventoryStdDto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GetMstPtsInventoryStdInput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MstPtsInventoryStd</v>
      </c>
      <c r="C7" s="11" t="str">
        <f>REPT(CHAR(9),1)&amp;"[Table("""&amp;B7&amp;""")]"&amp;"
"</f>
        <v xml:space="preserve">	[Table("MstPtsInventoryStd")]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[Table("MstPtsInventoryStd")]
	[Index(nameof(Model), Name="IX_MstPtsInventoryStd_Model")]
	[Index(nameof(IsActive), Name="IX_MstPtsInventoryStd_IsActive")]	public class MstPtsInventoryStd: FullAuditedEntity&lt;long&gt;, IEntity&lt;long&gt;	
	{
		public const int MaxModelLength = 1;
		public const int MaxIsActiveLength = 1;
		[StringLength(MaxModelLength)]
		public virtual string Model { get; set; }
		public virtual int InventoryStd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DbSet&lt;MstPtsInventoryStd&gt; MstPtsInventoryStds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vovina.Master.Painting
{
	public class MstPtsInventoryStdConsts	
	{
		public const int MaxModelLength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vovina.Master.Painting.Dto
{
	public class MstPtsInventoryStdDto : EntityDto&lt;long?&gt;	
	{
		public virtual string Model { get; set; }
		public virtual int InventoryStd { get; set; }
		public virtual string IsActive { get; set; }
	}
	public class CreateOrEditMstPtsInventoryStdDto : EntityDto&lt;long?&gt;	
	{
		[StringLength(MstPtsInventoryStdConsts.MaxModelLength)]
		public virtual string Model { get; set; }
		public virtual int InventoryStd { get; set; }
		[StringLength(MstPtsInventoryStdConsts.MaxIsActiveLength)]
		public virtual string IsActive { get; set; }
	}
	public class GetMstPtsInventoryStdInput : PagedAndSortedResultRequestDto	
	{
		public virtual string Model { get; set; }
		public virtual int InventoryStd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perMstPtsInventoryStd = PARENTS.CreateChildPermission(AppPermissions.Pages_Master_Painting_InventoryStd, L( "MasterPaintingInventoryStd"), multiTenancySides: MultiTenancySides.Tenant);
		perMstPtsInventoryStd.CreateChildPermission(AppPermissions.Pages_Master_Painting_InventoryStd_CreateEdit, L( "MasterPaintingInventoryStdCreateEdit"), multiTenancySides: MultiTenancySides.Tenant);
		perMstPtsInventoryStd.CreateChildPermission(AppPermissions.Pages_Master_Painting_InventoryStd_Delete, L( "MasterPaintingInventoryStdDelete"),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Pages_Master_Painting_InventoryStd = "Pages.Master.Painting.InventoryStd";
		public const string Pages_Master_Painting_InventoryStd_CreateEdit = "Pages.Master.Painting.InventoryStd.CreateEdit";
		public const string Pages_Master_Painting_InventoryStd_Delete = "Pages.Master.Painting.InventoryStd.Delete";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IMstPtsInventoryStdAppService : IApplicationService
	{
		Task&lt;PagedResultDto&lt;MstPtsInventoryStdDto&gt;&gt; GetAll(GetMstPtsInventoryStdInput input);
		Task CreateOrEdit(CreateOrEditMstPtsInventoryStdDto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[AbpAuthorize(AppPermissions.Pages_Master_Painting_InventoryStd)]
    public class MstPtsInventoryStdAppService : vovinaAppServiceBase, IMstPtsInventoryStdAppService
    {
        private readonly IDapperRepository&lt;MstPtsInventoryStd, long&gt; _dapperRepo;
        private readonly IRepository&lt;MstPtsInventoryStd, long&gt; _repo;
        private readonly IMstPtsInventoryStdExcelExporter _calendarListExcelExporter;
        public MstPtsInventoryStdAppService(IRepository&lt;MstPtsInventoryStd,long&gt; repo, 
                                         IDapperRepository&lt;MstPtsInventoryStd,long&gt; dapperRepo,
                                        IMstPtsInventoryStdExcelExporter calendarListExcelExporter
            )
        {
            _repo = repo;
            _dapperRepo = dapperRepo;
            _calendarListExcelExporter = calendarListExcelExporter;
        }
        [AbpAuthorize(AppPermissions.Pages_Master_Painting_InventoryStd_CreateEdit)]
        public async Task CreateOrEdit(CreateOrEditMstPtsInventoryStdDto input)
        {
            if (input.Id == null) await Create(input);
            else await Update(input);
        }
        //CREATE
        private async Task Create(CreateOrEditMstPtsInventoryStdDto input)
        {          
            var mainObj = ObjectMapper.Map&lt;MstPtsInventoryStd&gt;(input);
            await CurrentUnitOfWork.GetDbContext&lt;vovinaDbContext&gt;().AddAsync(mainObj);
        }
        // EDIT
        private async Task Update(CreateOrEditMstPtsInventoryStdDto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[AbpAuthorize(AppPermissions.Pages_Master_Painting_InventoryStd_Delete)]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Task&lt;PagedResultDto&lt;MstPtsInventoryStdDto&gt;&gt; GetAll(GetMstPtsInventoryStdInput input)
        {
            var filtered = _repo.GetAll()
				.WhereIf(!string.IsNullOrWhiteSpace(input.Model), e =&gt; e.Model.Contains(input.Model))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MstPtsInventoryStdDto
                        {
							Id = o.Id,
							Model = o.Model,
							InventoryStd = o.InventoryStd,
							IsActive = o.IsActive,
                        };
            var totalCount = await filtered.CountAsync();
			var paged = system.PageBy(input);
            return new PagedResultDto&lt;MstPtsInventoryStdDto&gt;(
                totalCount,
                 await paged.ToListAsync()
            );
        }
        public async Task&lt;FileDto&gt; GetInventoryStdToExcel(MstPtsInventoryStdExportInput input)
        {
            var query = from o in _repo.GetAll()
                        select new MstPtsInventoryStdDto
                        {
							Id = o.Id,
							Model = o.Model,
							InventoryStd = o.InventoryStd,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_dapperRepo.ExecuteAsync(MstPtsInventoryStdConsts.SP_MST_WPT_CALENDAR_GENERATE);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vovina.Master.Painting.Dto
{
	public class MstPtsInventoryStdExportInput{
		public virtual string Model { get; set; }
		public virtual int InventoryStd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IMstPtsInventoryStdExcelExporter : IApplicationService
	{
		FileDto ExportToFile(List&lt;MstPtsInventoryStdDto&gt; mstptsinventorystd);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MstPtsInventoryStdExcelExporter : NpoiExcelExporterBase, IMstPtsInventoryStdExcelExporter
    {
        public MstPtsInventoryStdExcelExporter(ITempFileCacheManager tempFileCacheManager) : base(tempFileCacheManager) { }
        public FileDto ExportToFile(List&lt;MstPtsInventoryStdDto&gt; inventorystd)
        {
            return CreateExcelPackage(
				"MasterPaintingInventoryStd.xlsx",
				excelPackage =&gt;
				 {
					var sheet = excelPackage.CreateSheet("InventoryStd");
					AddHeader(
								sheet,
								("Model"),
								("InventoryStd"),
								("IsActive"),
							   );
					AddObjects(
						 sheet, 1, inventorystd,                                       
								_ =&gt; _.Model,
								_ =&gt; _.InventoryStd,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configuration.CreateMap&lt;MstPtsInventoryStdDto, MstPtsInventoryStd&gt;();
  configuration.CreateMap&lt;MstPtsInventoryStd, MstPtsInventoryStdDto&gt;();
  configuration.CreateMap&lt;CreateOrEditMstPtsInventoryStdDto, MstPtsInventoryStd&gt;();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326</v>
      </c>
      <c r="B9" t="s">
        <v>325</v>
      </c>
      <c r="C9" t="s">
        <v>1</v>
      </c>
      <c r="D9" t="str">
        <f t="shared" ref="D9" si="0">SUBSTITUTE(PROPER(A9),"_","")</f>
        <v>Model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MaxModelLength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[StringLength(MaxModelLength)]
		public virtual string Model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[Index(nameof(Model), Name="IX_MstPtsInventoryStd_Model")]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[StringLength(MstPtsInventoryStdConsts.MaxModelLength)]
		public virtual string Model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" si="9">REPT(CHAR(9),7)&amp;D9&amp;" = o." &amp;D9 &amp;","</f>
        <v xml:space="preserve">							Model = o.Model,</v>
      </c>
      <c r="T9" s="69" t="str">
        <f t="shared" ref="T9" si="10">REPT(CHAR(9),8)&amp;"("""&amp;D9&amp;"""),"</f>
        <v xml:space="preserve">								("Model"),</v>
      </c>
      <c r="V9" s="70" t="str">
        <f t="shared" ref="V9" si="11">REPT(CHAR(9),8)&amp;"_ =&gt; _."&amp;D9&amp;","</f>
        <v xml:space="preserve">								_ =&gt; _.Model,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2.5" customHeight="1" x14ac:dyDescent="0.25">
      <c r="A10" t="s">
        <v>327</v>
      </c>
      <c r="B10" t="s">
        <v>4</v>
      </c>
      <c r="C10" t="s">
        <v>1</v>
      </c>
      <c r="D10" t="str">
        <f>SUBSTITUTE(PROPER(A10),"_","")</f>
        <v>InventoryStd</v>
      </c>
      <c r="E10" t="str">
        <f t="shared" ref="E10:E11" si="13">IFERROR(LEFT(B10, FIND("(",B10)-1),B10)</f>
        <v>int</v>
      </c>
      <c r="F10" s="7"/>
      <c r="G10" t="str">
        <f t="shared" ref="G10:G11" si="14">IFERROR(MID(B10,FIND("(",B10) +1, FIND(")",B10) - FIND("(",B10) - 1),"")</f>
        <v/>
      </c>
      <c r="H10" t="str">
        <f>+VLOOKUP(E10,'Data Type Mapping'!A:B,2,)</f>
        <v>int</v>
      </c>
      <c r="I10" t="str">
        <f t="shared" ref="I10:I11" si="15">IF(H10="string",REPT(CHAR(9),2)&amp;"public const int Max"&amp;D10&amp;"Length = "&amp;G10&amp;";"&amp;$E$3,"" )</f>
        <v/>
      </c>
      <c r="J10" t="str">
        <f t="shared" ref="J10:J11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InventoryStd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1" si="17">REPT(CHAR(9),2)&amp;"public virtual "&amp;IF(OR(H10="DateTime",H10="TimeSpan"),H10&amp;"?",H10)&amp;IF(C10="?","? "," ")&amp;D10&amp;" { get; set; }" &amp; "
"</f>
        <v xml:space="preserve">		public virtual int InventoryStd { get; set; }
</v>
      </c>
      <c r="N10" t="str">
        <f t="shared" ref="N10:N11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InventoryStd { get; set; }
</v>
      </c>
      <c r="O10" t="str">
        <f t="shared" ref="O10:O11" si="19">IF(OR(H10="string",H10="DateTime",H10="int"),REPT(CHAR(9),2)&amp;"public virtual "&amp;IF(OR(H10="DateTime",H10="TimeSpan"),H10&amp;"?",H10)&amp;IF(C10="?","? "," ")&amp;D10&amp;" { get; set; }"&amp;$E$3,"")</f>
        <v xml:space="preserve">		public virtual int InventoryStd { get; set; }
</v>
      </c>
      <c r="P10" t="str">
        <f t="shared" ref="P10:P11" si="20">REPT(CHAR(9),7)&amp;D10&amp;" = o." &amp;D10 &amp;","</f>
        <v xml:space="preserve">							InventoryStd = o.InventoryStd,</v>
      </c>
      <c r="T10" s="69" t="str">
        <f t="shared" ref="T10:T11" si="21">REPT(CHAR(9),8)&amp;"("""&amp;D10&amp;"""),"</f>
        <v xml:space="preserve">								("InventoryStd"),</v>
      </c>
      <c r="V10" s="70" t="str">
        <f t="shared" ref="V10:V11" si="22">REPT(CHAR(9),8)&amp;"_ =&gt; _."&amp;D10&amp;","</f>
        <v xml:space="preserve">								_ =&gt; _.InventoryStd,</v>
      </c>
      <c r="W10" s="69" t="str">
        <f t="shared" ref="W10:W11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2.5" customHeight="1" x14ac:dyDescent="0.25">
      <c r="A11" t="s">
        <v>324</v>
      </c>
      <c r="B11" t="s">
        <v>325</v>
      </c>
      <c r="C11" t="s">
        <v>1</v>
      </c>
      <c r="D11" t="str">
        <f>SUBSTITUTE(PROPER(A11),"_","")</f>
        <v>IsActive</v>
      </c>
      <c r="E11" t="str">
        <f t="shared" si="13"/>
        <v>varchar</v>
      </c>
      <c r="F11" s="7"/>
      <c r="G11" t="str">
        <f t="shared" si="14"/>
        <v>1</v>
      </c>
      <c r="H11" t="str">
        <f>+VLOOKUP(E11,'[1]Data Type Mapping'!A:B,2,)</f>
        <v>string</v>
      </c>
      <c r="I11" t="str">
        <f t="shared" si="15"/>
        <v xml:space="preserve">		public const int MaxIsActiveLength = 1;
</v>
      </c>
      <c r="J11" t="str">
        <f t="shared" si="16"/>
        <v xml:space="preserve">		[StringLength(MaxIsActiveLength)]
		public virtual string IsActive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Name="IX_MstPtsInventoryStd_IsActive")]</v>
      </c>
      <c r="M11" t="str">
        <f t="shared" si="17"/>
        <v xml:space="preserve">		public virtual string IsActive { get; set; }
</v>
      </c>
      <c r="N11" t="str">
        <f t="shared" si="18"/>
        <v xml:space="preserve">		[StringLength(MstPtsInventoryStdConsts.MaxIsActiveLength)]
		public virtual string IsActive { get; set; }
</v>
      </c>
      <c r="O11" t="str">
        <f t="shared" si="19"/>
        <v xml:space="preserve">		public virtual string IsActive { get; set; }
</v>
      </c>
      <c r="P11" t="str">
        <f t="shared" si="20"/>
        <v xml:space="preserve">							IsActive = o.IsActive,</v>
      </c>
      <c r="T11" s="69" t="str">
        <f t="shared" si="21"/>
        <v xml:space="preserve">								("IsActive"),</v>
      </c>
      <c r="V11" s="70" t="str">
        <f t="shared" si="22"/>
        <v xml:space="preserve">								_ =&gt; _.IsActive,</v>
      </c>
      <c r="W11" s="69" t="str">
        <f t="shared" si="23"/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MaxModelLength = 1;
		public const int MaxIsActiveLength = 1;
</v>
      </c>
      <c r="J13" s="33" t="str">
        <f ca="1">TEXTJOIN2("
", TRUE,INDIRECT( $F$1):INDIRECT( $F$3))</f>
        <v xml:space="preserve">		[StringLength(MaxModelLength)]
		public virtual string Model { get; set; }
		public virtual int InventoryStd { get; set; }
		[StringLength(MaxIsActiveLength)]
		public virtual string IsActive { get; set; }
</v>
      </c>
      <c r="K13" s="35" t="str">
        <f ca="1">TEXTJOIN2("
", TRUE,INDIRECT( $J$1):INDIRECT( $J$3))</f>
        <v xml:space="preserve">	[Index(nameof(Model), Name="IX_MstPtsInventoryStd_Model")]
	[Index(nameof(IsActive), Name="IX_MstPtsInventoryStd_IsActive")]</v>
      </c>
      <c r="L13" s="13" t="s">
        <v>60</v>
      </c>
      <c r="M13" s="36" t="str">
        <f ca="1">TEXTJOIN2("
",TRUE,INDIRECT( $L$1):INDIRECT($L$3))</f>
        <v xml:space="preserve">		public virtual string Model { get; set; }
		public virtual int InventoryStd { get; set; }
		public virtual string IsActive { get; set; }
</v>
      </c>
      <c r="N13" s="33" t="str">
        <f ca="1">TEXTJOIN2("
",TRUE,INDIRECT( $M$1):INDIRECT($M$3))</f>
        <v xml:space="preserve">		[StringLength(MstPtsInventoryStdConsts.MaxModelLength)]
		public virtual string Model { get; set; }
		public virtual int InventoryStd { get; set; }
		[StringLength(MstPtsInventoryStdConsts.MaxIsActiveLength)]
		public virtual string IsActive { get; set; }
</v>
      </c>
      <c r="O13" s="33" t="str">
        <f ca="1">TEXTJOIN2("
",TRUE,INDIRECT( $N$1):INDIRECT($N$3))</f>
        <v xml:space="preserve">		public virtual string Model { get; set; }
		public virtual int InventoryStd { get; set; }
		public virtual string IsActive { get; set; }
</v>
      </c>
      <c r="P13" s="9" t="str">
        <f ca="1">TEXTJOIN2("
",TRUE,INDIRECT( $O$1):INDIRECT($O$3))</f>
        <v xml:space="preserve">							Model = o.Model,
							InventoryStd = o.InventoryStd,
							IsActive = o.IsActive,</v>
      </c>
      <c r="T13" s="9" t="str">
        <f ca="1">TEXTJOIN2("
",TRUE,INDIRECT( $T$2):INDIRECT($T$3))</f>
        <v xml:space="preserve">								("Model"),
								("InventoryStd"),
								("IsActive"),</v>
      </c>
      <c r="V13" s="9" t="str">
        <f ca="1">TEXTJOIN2("
",TRUE,INDIRECT( $V$2):INDIRECT($V$3))</f>
        <v xml:space="preserve">								_ =&gt; _.Model,
								_ =&gt; _.InventoryStd,
								_ =&gt; _.IsActive,</v>
      </c>
      <c r="W13" s="9" t="str">
        <f ca="1">TEXTJOIN2("
",TRUE,INDIRECT( $W$2):INDIRECT($W$3))</f>
        <v xml:space="preserve">				.WhereIf(!string.IsNullOrWhiteSpace(input.Model), e =&gt; e.Model.Contains(input.Model))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A16" sqref="A1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Painting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painting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MstPtsInventoryStd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InventoryStd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inventorystd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MstPtsInventoryStdDto, MstPtsInventoryStdServiceProxy } from '@shared/service-proxies/service-proxies';
import { finalize } from 'rxjs/internal/operators/finalize';
import { CreateOrEditInventoryStdModalComponent } from './create-or-edit-inventorystd-modal.component';
import { DatePipe } from '@angular/common';
import { FileDownloadService } from '@shared/utils/file-download.service';
import ceil from 'lodash-es/ceil';
import { Paginator } from 'primeng/paginator';
@Component({
    templateUrl: './inventorystd.component.html',
    styleUrls: ['./inventorystd.component.less'],
})
export class InventoryStdComponent extends AppComponentBase implements OnInit {
    @ViewChild('createOrEditModalInventoryStd', { static: true }) createOrEditModalInventoryStd:| CreateOrEditInventoryStdModalComponent|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MstPtsInventoryStdDto = new MstPtsInventoryStdDto();
    saveSelectedRow: MstPtsInventoryStdDto = new MstPtsInventoryStdDto();
    datas: MstPtsInventoryStdDto = new MstPtsInventoryStdDto();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inventoryStd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MstPtsInventoryStdServiceProxy,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this.l('Inventory Std'),headerTooltip: this.l('Inventory Std'),field: 'inventoryStd',flex: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this.inventoryStd,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this.inventoryStd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this.inventoryStd,
			this.isActive,
			'',
            this.paginationParams.skipCount,
            this.paginationParams.pageSize
        );
    }
    onChangeRowSelection(params: { api: { getSelectedRows: () =&gt; MstPtsInventoryStdDto[] } }) {
        this.saveSelectedRow = params.api.getSelectedRows()[0] ?? new MstPtsInventoryStdDto();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MstPtsInventoryStdDto):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this._service.getInventoryStdToExcel(
			this.model,
			this.inventoryStd,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Painting Inventory Standard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(click)="createOrEditModalInventoryStd.show()"&gt;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(click)="createOrEditModalInventoryStd.show(selectedRow)"&gt;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&lt;create-or-edit-inventorystd-modal
    #createOrEditModalInventoryStd
    (modalSave)="callBackDataGrid(dataParams)"
    (modalClose)="onChangeRowSelection(dataParams)"
&gt;
&lt;/create-or-edit-inventorystd-modal&gt;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#createOrEditModalInventoryStd="bs-modal"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InventoryStd')}}&lt;/h3&gt;
                    &lt;h3 *ngIf="!rowdata.id"&gt;{{('Create New InventoryStd')}}&lt;/h3&gt;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title'&gt;Inventory Std&lt;/label&gt;
						&lt;input type='number' class='col-md-10 form-control input-text' name='InventoryStd' [(ngModel)]='rowdata.inventoryStd'&gt;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CreateOrEditMstPtsInventoryStdDto, MstPtsInventoryStdServiceProxy } from '@shared/service-proxies/service-proxies';
import { BsDatepickerDirective } from 'ngx-bootstrap/datepicker';
@Component({
    selector: 'create-or-edit-inventorystd-modal',
    templateUrl: './create-or-edit-inventorystd-modal.component.html',
    styleUrls: ['./create-or-edit-inventorystd-modal.component.less']
    })
export class CreateOrEditInventoryStdModalComponent extends AppComponentBase {
    @ViewChild('createOrEditModalInventoryStd',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CreateOrEditMstPtsInventoryStdDto = new CreateOrEditMstPtsInventoryStdDto();
    active: boolean = false;
    saving: boolean = false;
    _model
isActive: boolean;
    constructor(
        injector: Injector,
        private _mstwptInventoryStdService: MstPtsInventoryStdServiceProxy,
    ) 
    {
        super(injector);
    }
    show(rowdata?: CreateOrEditMstPtsInventoryStdDto): void {
        if (!rowdata) this.rowdata = new CreateOrEditMstPtsInventoryStdDto();
        else this.rowdata = rowdata;
        this._model
isActive = (this.rowdata.model
isActive == "N")? false: true;
        this.active = true;
        this.modal.show();
    } 
    changeActive(event){
        this._model
isActive = event.target.checked;
    }
    save(): void {
    this.saving = true; 
    this.rowdata.model
isActive = (this._model
isActive == true) ? 'Y' : 'N'
    this._mstwptInventoryStdService.createOrEdit(this.rowdata)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InventoryStdRoutingModule } from './inventorystd-routing.module';
import { InventoryStdComponent } from './inventorystd.component';
import { CreateOrEditInventoryStdModalComponent } from './create-or-edit-inventorystd-modal.component';
@NgModule({
    declarations: [
       InventoryStdComponent, 
        CreateOrEditInventoryStdModalComponent
    ],
    imports: [
        AppSharedModule, InventoryStdRoutingModule]
})
export class InventoryStdModule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InventoryStdComponent } from './inventorystd.component';
const routes: Routes = [{
    path: '',
    component: InventoryStdComponent,
    pathMatch: 'full'
}];
@NgModule({
    imports: [RouterModule.forChild(routes)],
    exports: [RouterModule],
})
export class InventoryStdRoutingModule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AppMenuItem("InventoryStd", "Pages.Master.Painting.InventoryStd", "flaticon-book",   "/app/main/master/painting/inventorystd"),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'master/painting/inventorystd',
    loadChildren: () =&gt; import('./master/painting/inventorystd/inventorystd.module').then(m =&gt; m.InventoryStdModule),
    data: { permission: 'Pages.Master.Painting.InventoryStd' }
},</v>
      </c>
      <c r="R10" s="50" t="str">
        <f>SUBSTITUTE(R9,"MstWptCalendar",$B$6)</f>
        <v>ApiServiceProxies.MstPtsInventoryStdServiceProxy,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this.l('Inventory Std'),headerTooltip: this.l('Inventory Std'),field: 'inventoryStd',flex: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title'&gt;Inventory Std&lt;/label&gt;
						&lt;input type='number' class='col-md-10 form-control input-text' name='InventoryStd' [(ngModel)]='rowdata.inventoryStd'&gt;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model : string = '' ; 
	inventoryStd : number = 0 ;
	isActive : string = '' ; </v>
      </c>
      <c r="T13" s="68" t="str">
        <f ca="1">TEXTJOIN2("
",TRUE,INDIRECT(T11):INDIRECT(T12))</f>
        <v xml:space="preserve">			this.model,
			this.inventoryStd,
			this.isActive,</v>
      </c>
      <c r="U13" s="68" t="str">
        <f ca="1">TEXTJOIN2("
",TRUE,INDIRECT(U11):INDIRECT(U12))</f>
        <v>this.model = '',
		this.inventoryStd = 0,
		this.isActive = '',</v>
      </c>
      <c r="V13" s="31" t="str">
        <f ca="1">TEXTJOIN2("
",TRUE,INDIRECT(V11):INDIRECT(V12))</f>
        <v>model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inventorystd.component.ts</v>
      </c>
      <c r="I14" s="40" t="str">
        <f>B8&amp;".component.html"</f>
        <v>inventorystd.component.html</v>
      </c>
      <c r="J14" s="39" t="str">
        <f>B8&amp;".component.less"</f>
        <v>inventorystd.component.less</v>
      </c>
      <c r="K14" s="40" t="str">
        <f>"create-or-edit-"&amp;B8&amp;"-modal.component.html"</f>
        <v>create-or-edit-inventorystd-modal.component.html</v>
      </c>
      <c r="L14" s="40" t="str">
        <f>"create-or-edit-"&amp;B8&amp;"-modal.component.ts"</f>
        <v>create-or-edit-inventorystd-modal.component.ts</v>
      </c>
      <c r="M14" s="40" t="str">
        <f>"create-or-edit-"&amp;B8&amp;"-modal.component.less"</f>
        <v>create-or-edit-inventorystd-modal.component.less</v>
      </c>
      <c r="N14" s="40" t="str">
        <f>B8&amp;".module.ts"</f>
        <v>inventorystd.module.ts</v>
      </c>
      <c r="O14" s="40" t="str">
        <f>B8&amp;"-routing.module.ts"</f>
        <v>inventorystd-routing.module.ts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326</v>
      </c>
      <c r="B15" s="31" t="str">
        <f>SUBSTITUTE(PROPER(A15),"_","")</f>
        <v>Model</v>
      </c>
      <c r="C15" s="31" t="str">
        <f>SUBSTITUTE(PROPER(A15),"_"," ")</f>
        <v>Model</v>
      </c>
      <c r="D15" s="31" t="str">
        <f>LOWER(LEFT(B15,1))&amp;RIGHT(B15,LEN(B15) - 1)</f>
        <v>model</v>
      </c>
      <c r="E15" s="31" t="str">
        <f>A.Backend!H9</f>
        <v>string</v>
      </c>
      <c r="F15" s="31" t="str">
        <f>A.Backend!G9</f>
        <v>1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model : string = '' ; </v>
      </c>
      <c r="T15" s="31" t="str">
        <f>REPT(CHAR(9),3)&amp;"this."&amp;D15&amp;","</f>
        <v xml:space="preserve">			this.model,</v>
      </c>
      <c r="U15" s="31" t="str">
        <f>IF(E15="int","this."&amp;D15&amp;" = 0,","this."&amp;D15&amp;" = '',")</f>
        <v>this.model = '',</v>
      </c>
      <c r="V15" s="31" t="str">
        <f>IF(AND(E15="string",F15="1"),D15,"")</f>
        <v>model</v>
      </c>
    </row>
    <row r="16" spans="1:22" ht="15" customHeight="1" x14ac:dyDescent="0.25">
      <c r="A16" s="31" t="s">
        <v>327</v>
      </c>
      <c r="B16" s="31" t="str">
        <f t="shared" ref="B16" si="0">SUBSTITUTE(PROPER(A16),"_","")</f>
        <v>InventoryStd</v>
      </c>
      <c r="C16" s="31" t="str">
        <f t="shared" ref="C16" si="1">SUBSTITUTE(PROPER(A16),"_"," ")</f>
        <v>Inventory Std</v>
      </c>
      <c r="D16" s="31" t="str">
        <f t="shared" ref="D16" si="2">LOWER(LEFT(B16,1))&amp;RIGHT(B16,LEN(B16) - 1)</f>
        <v>inventoryStd</v>
      </c>
      <c r="E16" s="31" t="str">
        <f>A.Backend!H10</f>
        <v>int</v>
      </c>
      <c r="F16" s="31" t="str">
        <f>A.Backend!G10</f>
        <v/>
      </c>
      <c r="G16" s="31" t="str">
        <f t="shared" ref="G16" si="3">IF(E16="string"," : string = '' ; ",IF(OR(E16="DateTime",E16="TimeSpan")," : any ;",IF(E16="int"," : number = 0 ;","")))</f>
        <v xml:space="preserve"> : number = 0 ;</v>
      </c>
      <c r="H16" s="38" t="str">
        <f t="shared" ref="H16:H17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this.l('Inventory Std'),headerTooltip: this.l('Inventory Std'),field: 'inventoryStd',flex: 1},</v>
      </c>
      <c r="I16" s="38" t="str">
        <f t="shared" ref="I1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title'&gt;Inventory Std&lt;/label&gt;
						&lt;input type='number' class='col-md-10 form-control input-text' name='InventoryStd' [(ngModel)]='rowdata.inventoryStd'&gt;
					&lt;/div&gt;</v>
      </c>
      <c r="L16" s="60" t="str">
        <f t="shared" ref="L1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inventoryStd : number = 0 ;</v>
      </c>
      <c r="T16" s="31" t="str">
        <f>REPT(CHAR(9),3)&amp;"this."&amp;D16&amp;","</f>
        <v xml:space="preserve">			this.inventoryStd,</v>
      </c>
      <c r="U16" s="31" t="str">
        <f>IF(E16="int",REPT(CHAR(9),2)&amp;"this."&amp;D16&amp;" = 0,",REPT(CHAR(9),2)&amp;"this."&amp;D16&amp;" = '',")</f>
        <v xml:space="preserve">		this.inventoryStd = 0,</v>
      </c>
      <c r="V16" s="31" t="str">
        <f t="shared" ref="V16" si="8">IF(AND(E16="string",F16="1"),D16,"")</f>
        <v/>
      </c>
    </row>
    <row r="17" spans="1:22" ht="18" customHeight="1" x14ac:dyDescent="0.25">
      <c r="A17" s="31" t="s">
        <v>324</v>
      </c>
      <c r="B17" s="31" t="str">
        <f t="shared" ref="B17" si="9">SUBSTITUTE(PROPER(A17),"_","")</f>
        <v>IsActive</v>
      </c>
      <c r="C17" s="31" t="str">
        <f t="shared" ref="C17" si="10">SUBSTITUTE(PROPER(A17),"_"," ")</f>
        <v>Is Active</v>
      </c>
      <c r="D17" s="31" t="str">
        <f t="shared" ref="D17" si="11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13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14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15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6">REPT(CHAR(9),1)&amp;D17&amp;G17</f>
        <v xml:space="preserve">	isActive : string = '' ; </v>
      </c>
      <c r="T17" s="31" t="str">
        <f t="shared" ref="T17" si="17">REPT(CHAR(9),3)&amp;"this."&amp;D17&amp;","</f>
        <v xml:space="preserve">			this.isActive,</v>
      </c>
      <c r="U17" s="31" t="str">
        <f t="shared" ref="U17" si="18">IF(E17="int",REPT(CHAR(9),2)&amp;"this."&amp;D17&amp;" = 0,",REPT(CHAR(9),2)&amp;"this."&amp;D17&amp;" = '',")</f>
        <v xml:space="preserve">		this.isActive = '',</v>
      </c>
      <c r="V17" s="31" t="str">
        <f t="shared" ref="V17" si="19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2023-03-21T02:56:31Z</dcterms:modified>
</cp:coreProperties>
</file>
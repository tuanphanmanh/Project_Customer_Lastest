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plm\"/>
    </mc:Choice>
  </mc:AlternateContent>
  <xr:revisionPtr revIDLastSave="0" documentId="13_ncr:1_{2338B922-87EA-4BDA-B027-A32BF22B3755}" xr6:coauthVersionLast="47" xr6:coauthVersionMax="47" xr10:uidLastSave="{00000000-0000-0000-0000-000000000000}"/>
  <bookViews>
    <workbookView xWindow="1908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6" i="5"/>
  <c r="B2" i="5"/>
  <c r="B8" i="5" l="1"/>
  <c r="B3" i="5"/>
  <c r="L11" i="1"/>
  <c r="G11" i="1"/>
  <c r="F17" i="5" s="1"/>
  <c r="E11" i="1"/>
  <c r="H11" i="1" s="1"/>
  <c r="E17" i="5" s="1"/>
  <c r="G17" i="5" s="1"/>
  <c r="D11" i="1"/>
  <c r="V11" i="1" s="1"/>
  <c r="P11" i="1" l="1"/>
  <c r="W11" i="1"/>
  <c r="M11" i="1"/>
  <c r="T11" i="1"/>
  <c r="I11" i="1"/>
  <c r="N11" i="1"/>
  <c r="J11" i="1"/>
  <c r="O11" i="1"/>
  <c r="C17" i="5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S17" i="5" l="1"/>
  <c r="V17" i="5"/>
  <c r="U17" i="5"/>
  <c r="K17" i="5"/>
  <c r="I17" i="5"/>
  <c r="H17" i="5"/>
  <c r="L17" i="5"/>
  <c r="G9" i="1" l="1"/>
  <c r="F15" i="5" s="1"/>
  <c r="E9" i="1"/>
  <c r="H9" i="1" s="1"/>
  <c r="E15" i="5" s="1"/>
  <c r="D9" i="1"/>
  <c r="V9" i="1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S13" i="5"/>
  <c r="K13" i="5"/>
  <c r="I13" i="5"/>
  <c r="H13" i="5"/>
  <c r="U13" i="5"/>
  <c r="V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s="1"/>
  <c r="L10" i="1" l="1"/>
  <c r="C7" i="1"/>
  <c r="I13" i="1"/>
  <c r="P13" i="1"/>
  <c r="O13" i="1"/>
  <c r="N13" i="1"/>
  <c r="J13" i="1"/>
  <c r="Q7" i="1" l="1"/>
  <c r="M68" i="3" s="1"/>
  <c r="L7" i="1"/>
  <c r="G68" i="3" s="1"/>
  <c r="K68" i="3"/>
  <c r="J68" i="3"/>
  <c r="K13" i="1"/>
  <c r="M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<sst xmlns="http://schemas.openxmlformats.org/spreadsheetml/2006/main" count="445" uniqueCount="362">
  <si>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</si>
  <si>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</si>
  <si>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</si>
  <si>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</si>
  <si>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</si>
  <si>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</si>
  <si>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</si>
  <si>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</si>
  <si>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</si>
  <si>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</si>
  <si>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</si>
  <si>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</si>
  <si>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</si>
  <si>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</si>
  <si>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</si>
  <si>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</si>
  <si>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</si>
  <si>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</si>
  <si>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</si>
  <si>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</si>
  <si>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</si>
  <si>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</si>
  <si>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</si>
  <si>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</si>
  <si>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</si>
  <si>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</si>
  <si>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</si>
  <si>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</si>
  <si>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</si>
  <si>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</si>
  <si>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</si>
  <si>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</si>
  <si>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</si>
  <si>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</si>
  <si>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</si>
  <si>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</si>
  <si>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</si>
  <si>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</si>
  <si>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</si>
  <si>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</si>
  <si>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</si>
  <si>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</si>
  <si>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</si>
  <si>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</si>
  <si>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</si>
  <si>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</si>
  <si>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</si>
  <si>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</si>
  <si>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</si>
  <si>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</si>
  <si>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</si>
  <si>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</si>
  <si>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</si>
  <si>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</si>
  <si>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</si>
  <si>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</si>
  <si>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</si>
  <si>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</si>
  <si>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</si>
  <si>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</si>
  <si>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</si>
  <si>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</si>
  <si>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</si>
  <si>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</si>
  <si>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</si>
  <si>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</si>
  <si>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</si>
  <si>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</si>
  <si>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</si>
  <si>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</si>
  <si>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</si>
  <si>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</si>
  <si>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</si>
  <si>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</si>
  <si>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</si>
  <si>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</si>
  <si>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</si>
  <si>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</si>
  <si>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</si>
  <si>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</si>
  <si>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</si>
  <si>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</si>
  <si>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</si>
  <si>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</si>
  <si>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</si>
  <si>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</si>
  <si>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</si>
  <si>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</si>
  <si>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</si>
  <si>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</si>
  <si>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</si>
  <si>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</si>
  <si>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</si>
  <si>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</si>
  <si>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</si>
  <si>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</si>
  <si>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</si>
  <si>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</si>
  <si>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</si>
  <si>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</si>
  <si>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</si>
  <si>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</si>
  <si>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</si>
  <si>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</si>
  <si>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</si>
  <si>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</si>
  <si>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</si>
  <si>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</si>
  <si>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</si>
  <si>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</si>
  <si>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</si>
  <si>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</si>
  <si>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</si>
  <si>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</si>
  <si>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</si>
  <si>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</si>
  <si>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</si>
  <si>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</si>
  <si>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</si>
  <si>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</si>
  <si>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</si>
  <si>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</si>
  <si>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</si>
  <si>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</si>
  <si>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</si>
  <si>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</si>
  <si>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</si>
  <si>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</si>
  <si>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</si>
  <si>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</si>
  <si>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</si>
  <si>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</si>
  <si>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</si>
  <si>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</si>
  <si>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</si>
  <si>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</si>
  <si>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</si>
  <si>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</si>
  <si>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</si>
  <si>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</si>
  <si>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</si>
  <si>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</si>
  <si>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</si>
  <si>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</si>
  <si>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</si>
  <si>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</si>
  <si>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</si>
  <si>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</si>
  <si>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</si>
  <si>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</si>
  <si>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</si>
  <si>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</si>
  <si>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</si>
  <si>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</si>
  <si>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</si>
  <si>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</si>
  <si>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</si>
  <si>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</si>
  <si>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</si>
  <si>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</si>
  <si>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</si>
  <si>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</si>
  <si>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</si>
  <si>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</si>
  <si>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</si>
  <si>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</si>
  <si>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</si>
  <si>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</si>
  <si>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</si>
  <si>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</si>
  <si>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</si>
  <si>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</si>
  <si>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</si>
  <si>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</si>
  <si>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</si>
  <si>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</si>
  <si>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</si>
  <si>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</si>
  <si>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</si>
  <si>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</si>
  <si>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</si>
  <si>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</si>
  <si>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</si>
  <si>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</si>
  <si>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</si>
  <si>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</si>
  <si>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</si>
  <si>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</si>
  <si>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</si>
  <si>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</si>
  <si>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</si>
  <si>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</si>
  <si>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</si>
  <si>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</si>
  <si>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</si>
  <si>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</si>
  <si>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</si>
  <si>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</si>
  <si>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</si>
  <si>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</si>
  <si>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</si>
  <si>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</si>
  <si>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</si>
  <si>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</si>
  <si>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</si>
  <si>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</si>
  <si>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</si>
  <si>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</si>
  <si>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</si>
  <si>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</si>
  <si>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</si>
  <si>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</si>
  <si>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</si>
  <si>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</si>
  <si>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</si>
  <si>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</si>
  <si>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</si>
  <si>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</si>
  <si>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</si>
  <si>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</si>
  <si>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</si>
  <si>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</si>
  <si>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</si>
  <si>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</si>
  <si>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</si>
  <si>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</si>
  <si>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</si>
  <si>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</si>
  <si>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</si>
  <si>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</si>
  <si>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</si>
  <si>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</si>
  <si>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</si>
  <si>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</si>
  <si>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</si>
  <si>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</si>
  <si>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</si>
  <si>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</si>
  <si>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</si>
  <si>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</si>
  <si>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</si>
  <si>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</si>
  <si>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</si>
  <si>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</si>
  <si>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</si>
  <si>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</si>
  <si>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</si>
  <si>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</si>
  <si>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</si>
  <si>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</si>
  <si>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</si>
  <si>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</si>
  <si>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</si>
  <si>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</si>
  <si>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</si>
  <si>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</si>
  <si>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</si>
  <si>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</si>
  <si>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</si>
  <si>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</si>
  <si>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</si>
  <si>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</si>
  <si>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</si>
  <si>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</si>
  <si>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</si>
  <si>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</si>
  <si>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</si>
  <si>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</si>
  <si>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</si>
  <si>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</si>
  <si>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</si>
  <si>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</si>
  <si>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</si>
  <si>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</si>
  <si>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</si>
  <si>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</si>
  <si>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</si>
  <si>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</si>
  <si>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</si>
  <si>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</si>
  <si>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</si>
  <si>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</si>
  <si>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</si>
  <si>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</si>
  <si>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</si>
  <si>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</si>
  <si>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</si>
  <si>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</si>
  <si>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</si>
  <si>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</si>
  <si>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</si>
  <si>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</si>
  <si>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</si>
  <si>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</si>
  <si>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</si>
  <si>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</si>
  <si>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</si>
  <si>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</si>
  <si>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</si>
  <si>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</si>
  <si>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</si>
  <si>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</si>
  <si>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</si>
  <si>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</si>
  <si>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</si>
  <si>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</si>
  <si>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</si>
  <si>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</si>
  <si>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</si>
  <si>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</si>
  <si>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</si>
  <si>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</si>
  <si>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</si>
  <si>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</si>
  <si>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</si>
  <si>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</si>
  <si>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</si>
  <si>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</si>
  <si>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</si>
  <si>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</si>
  <si>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</si>
  <si>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</si>
  <si>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</si>
  <si>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</si>
  <si>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</si>
  <si>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</si>
  <si>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</si>
  <si>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</si>
  <si>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</si>
  <si>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</si>
  <si>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</si>
  <si>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</si>
  <si>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</si>
  <si>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</si>
  <si>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</si>
  <si>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</si>
  <si>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</si>
  <si>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</si>
  <si>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</si>
  <si>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</si>
  <si>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</si>
  <si>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</si>
  <si>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</si>
  <si>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</si>
  <si>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</si>
  <si>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</si>
  <si>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</si>
  <si>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</si>
  <si>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</si>
  <si>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</si>
  <si>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</si>
  <si>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</si>
  <si>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</si>
  <si>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</si>
  <si>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</si>
  <si>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Master.Plm</t>
  </si>
  <si>
    <t>Y</t>
  </si>
  <si>
    <t>SCREEN_ID</t>
  </si>
  <si>
    <t>LOTCODE_GRADE_ID</t>
  </si>
  <si>
    <t>PART_ID</t>
  </si>
  <si>
    <t>MasterPlmMatrixLotCode</t>
  </si>
  <si>
    <t>MatrixLotCode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</si>
</sst>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D86" sqref="D8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[Table("MasterPlmMatrixLotCode")]
	[Index(nameof(ScreenId), Name="IX_MasterPlmMatrixLotCode_ScreenId")]
	[Index(nameof(LotcodeGradeId), Name="IX_MasterPlmMatrixLotCode_LotcodeGradeId")]
	public class MasterPlmMatrixLotCode: FullAuditedEntity&lt;long&gt;, IEntity&lt;long&gt;	
	{
		public virtual int? ScreenId { get; set; }
		public virtual int? LotcodeGradeId { get; set; }
		public virtual int? PartId { get; set; }
	}
}
</v>
      </c>
      <c r="D68" s="48" t="str">
        <f>A.Backend!O7</f>
        <v xml:space="preserve">		public const string Pages_Master_Plm_MatrixLotCode = "Pages.Master.Plm.MatrixLotCode";
		public const string Pages_Master_Plm_MatrixLotCode_CreateEdit = "Pages.Master.Plm.MatrixLotCode.CreateEdit";
		public const string Pages_Master_Plm_MatrixLotCode_Delete = "Pages.Master.Plm.MatrixLotCode.Delete";
</v>
      </c>
      <c r="E68" s="48" t="str">
        <f>A.Backend!N7</f>
        <v xml:space="preserve">		var perMasterPlmMatrixLotCode = PARENTS.CreateChildPermission(AppPermissions.Pages_Master_Plm_MatrixLotCode, L( "MasterPlmMatrixLotCode"), multiTenancySides: MultiTenancySides.Tenant);
		perMasterPlmMatrixLotCode.CreateChildPermission(AppPermissions.Pages_Master_Plm_MatrixLotCode_CreateEdit, L( "MasterPlmMatrixLotCodeCreateEdit"), multiTenancySides: MultiTenancySides.Tenant);
		perMasterPlmMatrixLotCode.CreateChildPermission(AppPermissions.Pages_Master_Plm_MatrixLotCode_Delete, L( "MasterPlmMatrixLotCodeDelete"), multiTenancySides: MultiTenancySides.Tenant);</v>
      </c>
      <c r="F68" s="48" t="str">
        <f>A.Backend!K7</f>
        <v>public virtual DbSet&lt;MasterPlmMatrixLotCode&gt; MasterPlmMatrixLotCodes { get; set; }</v>
      </c>
      <c r="G68" s="48" t="str">
        <f ca="1">A.Backend!L7</f>
        <v xml:space="preserve">namespace prod.Master.Plm
{
	public class MasterPlmMatrixLotCodeConsts	
	{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prod.Master.Plm.Dto
{
	public class MasterPlmMatrixLotCodeDto : EntityDto&lt;long?&gt;	
	{
		public virtual int? ScreenId { get; set; }
		public virtual int? LotcodeGradeId { get; set; }
		public virtual int? PartId { get; set; }
	}
	public class CreateOrEditMasterPlmMatrixLotCodeDto : EntityDto&lt;long?&gt;	
	{
		public virtual int? ScreenId { get; set; }
		public virtual int? LotcodeGradeId { get; set; }
		public virtual int? PartId { get; set; }
	}
	public class GetMasterPlmMatrixLotCodeInput : PagedAndSortedResultRequestDto	
	{
	}
}
</v>
      </c>
      <c r="I68" s="48" t="str">
        <f ca="1">A.Backend!R7</f>
        <v xml:space="preserve">using Abp.Application.Services.Dto;
using System;
using System.ComponentModel.DataAnnotations;
namespace prod.Master.Plm.Dto
{
	public class MasterPlmMatrixLotCodeExportInput{
		public virtual int? ScreenId { get; set; }
		public virtual int? LotcodeGradeId { get; set; }
		public virtual int? PartId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vovina.Master.Plm.Dto;
namespace prod.Master.Plm
{
	public interface IMasterPlmMatrixLotCodeAppService : IApplicationService
	{
		Task&lt;PagedResultDto&lt;MasterPlmMatrixLotCodeDto&gt;&gt; GetAll(GetMasterPlmMatrixLotCodeInput input);
		Task CreateOrEdit(CreateOrEditMasterPlmMatrixLotCodeDto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IMasterPlmMatrixLotCodeExcelExporter : IApplicationService
	{
		FileDto ExportToFile(List&lt;MasterPlmMatrixLotCodeDto&gt; masterplmmatrixlotcode);
	}
}
</v>
      </c>
      <c r="L68" s="48" t="str">
        <f ca="1">A.Backend!T7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MasterPlmMatrixLotCodeExcelExporter : NpoiExcelExporterBase, IMasterPlmMatrixLotCodeExcelExporter
    {
        public MasterPlmMatrixLotCodeExcelExporter(ITempFileCacheManager tempFileCacheManager) : base(tempFileCacheManager) { }
        public FileDto ExportToFile(List&lt;MasterPlmMatrixLotCodeDto&gt; matrixlotcode)
        {
            return CreateExcelPackage(
				"MasterPlmMatrixLotCode.xlsx",
				excelPackage =&gt;
				 {
					var sheet = excelPackage.CreateSheet("MatrixLotCode");
					AddHeader(
								sheet,
								("ScreenId"),
								("LotcodeGradeId"),
								("PartId"),
							   );
					AddObjects(
						 sheet, 1, matrixlotcode,                                       
								_ =&gt; _.ScreenId,
								_ =&gt; _.LotcodeGradeId,
								_ =&gt; _.PartId,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[AbpAuthorize(AppPermissions.Pages_Master_Plm_MatrixLotCode)]
    public class MasterPlmMatrixLotCodeAppService : vovinaAppServiceBase, IMasterPlmMatrixLotCodeAppService
    {
        private readonly IDapperRepository&lt;MasterPlmMatrixLotCode, long&gt; _dapperRepo;
        private readonly IRepository&lt;MasterPlmMatrixLotCode, long&gt; _repo;
        private readonly IMasterPlmMatrixLotCodeExcelExporter _calendarListExcelExporter;
        public MasterPlmMatrixLotCodeAppService(IRepository&lt;MasterPlmMatrixLotCode,long&gt; repo, 
                                         IDapperRepository&lt;MasterPlmMatrixLotCode,long&gt; dapperRepo,
                                        IMasterPlmMatrixLotCodeExcelExporter calendarListExcelExporter
            )
        {
            _repo = repo;
            _dapperRepo = dapperRepo;
            _calendarListExcelExporter = calendarListExcelExporter;
        }
        [AbpAuthorize(AppPermissions.Pages_Master_Plm_MatrixLotCode_CreateEdit)]
        public async Task CreateOrEdit(CreateOrEditMasterPlmMatrixLotCodeDto input)
        {
            if (input.Id == null) await Create(input);
            else await Update(input);
        }
        //CREATE
        private async Task Create(CreateOrEditMasterPlmMatrixLotCodeDto input)
        {          
            var mainObj = ObjectMapper.Map&lt;MasterPlmMatrixLotCode&gt;(input);
            await CurrentUnitOfWork.GetDbContext&lt;vovinaDbContext&gt;().AddAsync(mainObj);
        }
        // EDIT
        private async Task Update(CreateOrEditMasterPlmMatrixLotCodeDto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[AbpAuthorize(AppPermissions.Pages_Master_Plm_MatrixLotCode_Delete)]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Task&lt;PagedResultDto&lt;MasterPlmMatrixLotCodeDto&gt;&gt; GetAll(GetMasterPlmMatrixLotCodeInput input)
        {
            var filtered = _repo.GetAll()
				;
            var pageAndFiltered = filtered.OrderBy(s =&gt; s.Id);
            var system = from o in pageAndFiltered
                         select new MasterPlmMatrixLotCodeDto
                        {
							Id = o.Id,
							ScreenId = o.ScreenId,
							LotcodeGradeId = o.LotcodeGradeId,
							PartId = o.PartId,
                        };
            var totalCount = await filtered.CountAsync();
			var paged = system.PageBy(input);
            return new PagedResultDto&lt;MasterPlmMatrixLotCodeDto&gt;(
                totalCount,
                 await paged.ToListAsync()
            );
        }
        public async Task&lt;FileDto&gt; GetMatrixLotCodeToExcel(MasterPlmMatrixLotCodeExportInput input)
        {
            var query = from o in _repo.GetAll()
                        select new MasterPlmMatrixLotCodeDto
                        {
							Id = o.Id,
							ScreenId = o.ScreenId,
							LotcodeGradeId = o.LotcodeGradeId,
							PartId = o.PartId,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_dapperRepo.ExecuteAsync(MasterPlmMatrixLotCodeConsts.SP_MST_WPT_CALENDAR_GENERATE);
       // }
    }
}</v>
      </c>
      <c r="N68" s="58" t="str">
        <f>A.Backend!U7</f>
        <v xml:space="preserve">  configuration.CreateMap&lt;MasterPlmMatrixLotCodeDto, MasterPlmMatrixLotCode&gt;();
  configuration.CreateMap&lt;MasterPlmMatrixLotCode, MasterPlmMatrixLotCodeDto&gt;();
  configuration.CreateMap&lt;CreateOrEditMasterPlmMatrixLotCodeDto, MasterPlmMatrixLotCode&gt;();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matrixlotcode</v>
      </c>
      <c r="C73" s="66" t="str">
        <f>"create folder " &amp;B73</f>
        <v>create folder matrixlotcode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matrixlotcode.component.ts</v>
      </c>
      <c r="D74" s="28" t="str">
        <f>B.Frontend!I14</f>
        <v>matrixlotcode.component.html</v>
      </c>
      <c r="E74" s="28" t="str">
        <f>B.Frontend!J14</f>
        <v>matrixlotcode.component.less</v>
      </c>
      <c r="F74" s="28" t="str">
        <f>B.Frontend!K14</f>
        <v>create-or-edit-matrixlotcode-modal.component.html</v>
      </c>
      <c r="G74" s="28" t="str">
        <f>B.Frontend!L14</f>
        <v>create-or-edit-matrixlotcode-modal.component.ts</v>
      </c>
      <c r="H74" s="28" t="str">
        <f>B.Frontend!M14</f>
        <v>create-or-edit-matrixlotcode-modal.component.less</v>
      </c>
      <c r="I74" s="28" t="str">
        <f>B.Frontend!N14</f>
        <v>matrixlotcode.module.ts</v>
      </c>
      <c r="J74" s="28" t="str">
        <f>B.Frontend!O14</f>
        <v>matrixlotcode-routing.module.ts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MasterPlmMatrixLotCodeDto, MasterPlmMatrixLotCodeServiceProxy } from '@shared/service-proxies/service-proxies';
import { finalize } from 'rxjs/internal/operators/finalize';
import { CreateOrEditMatrixLotCodeModalComponent } from './create-or-edit-matrixlotcode-modal.component';
import { DatePipe } from '@angular/common';
import { FileDownloadService } from '@shared/utils/file-download.service';
import ceil from 'lodash-es/ceil';
import { Paginator } from 'primeng/paginator';
@Component({
    templateUrl: './matrixlotcode.component.html',
    styleUrls: ['./matrixlotcode.component.less'],
})
export class MatrixLotCodeComponent extends AppComponentBase implements OnInit {
    @ViewChild('createOrEditModalMatrixLotCode', { static: true }) createOrEditModalMatrixLotCode:| CreateOrEditMatrixLotCodeModalComponent|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MasterPlmMatrixLotCodeDto = new MasterPlmMatrixLotCodeDto();
    saveSelectedRow: MasterPlmMatrixLotCodeDto = new MasterPlmMatrixLotCodeDto();
    datas: MasterPlmMatrixLotCodeDto = new MasterPlmMatrixLotCodeDto();
    isLoading: boolean = false;
    dataParams: GridParams | undefined;
    rowData: any[] = [];
    gridApi!: GridApi;
    rowSelection = 'multiple';
    filter: string = '';
	pipe = new DatePipe('en-US');
	frameworkComponents: FrameworkComponent;
    	screenId
	lotcodeGradeId
	partId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MasterPlmMatrixLotCodeServiceProxy,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Id'),headerTooltip: this.l('Screen Id'),field: 'screenId',flex: 1},
			{headerName: this.l('Lotcode Grade Id'),headerTooltip: this.l('Lotcode Grade Id'),field: 'lotcodeGradeId',flex: 1},
			{headerName: this.l('Part Id'),headerTooltip: this.l('Part Id'),field: 'partId',flex: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this.screenId,
			this.lotcodeGradeId,
			this.partId,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this.screenId = '',
		this.lotcodeGradeId = '',
		this.partId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this.screenId,
			this.lotcodeGradeId,
			this.partId,
			'',
            this.paginationParams.skipCount,
            this.paginationParams.pageSize
        );
    }
    onChangeRowSelection(params: { api: { getSelectedRows: () =&gt; MasterPlmMatrixLotCodeDto[] } }) {
        this.saveSelectedRow = params.api.getSelectedRows()[0] ?? new MasterPlmMatrixLotCodeDto();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MasterPlmMatrixLotCodeDto):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this._service.getMatrixLotCodeToExcel(
			this.screenId,
			this.lotcodeGradeId,
			this.partId,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(click)="createOrEditModalMatrixLotCode.show()"&gt;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(click)="createOrEditModalMatrixLotCode.show(selectedRow)"&gt;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&lt;create-or-edit-matrixlotcode-modal
    #createOrEditModalMatrixLotCode
    (modalSave)="callBackDataGrid(dataParams)"
    (modalClose)="onChangeRowSelection(dataParams)"
&gt;
&lt;/create-or-edit-matrixlotcode-modal&gt;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#createOrEditModalMatrixLotCode="bs-modal"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MatrixLotCode')}}&lt;/h3&gt;
                    &lt;h3 *ngIf="!rowdata.id"&gt;{{('Create New MatrixLotCode')}}&lt;/h3&gt;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CreateOrEditMasterPlmMatrixLotCodeDto, MasterPlmMatrixLotCodeServiceProxy } from '@shared/service-proxies/service-proxies';
import { BsDatepickerDirective } from 'ngx-bootstrap/datepicker';
@Component({
    selector: 'create-or-edit-matrixlotcode-modal',
    templateUrl: './create-or-edit-matrixlotcode-modal.component.html',
    styleUrls: ['./create-or-edit-matrixlotcode-modal.component.less']
    })
export class CreateOrEditMatrixLotCodeModalComponent extends AppComponentBase {
    @ViewChild('createOrEditModalMatrixLotCode',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CreateOrEditMasterPlmMatrixLotCodeDto = new CreateOrEditMasterPlmMatrixLotCodeDto();
    active: boolean = false;
    saving: boolean = false;
    _: boolean;
    constructor(
        injector: Injector,
        private _mstwptMatrixLotCodeService: MasterPlmMatrixLotCodeServiceProxy,
    ) 
    {
        super(injector);
    }
    show(rowdata?: CreateOrEditMasterPlmMatrixLotCodeDto): void {
        if (!rowdata) this.rowdata = new CreateOrEditMasterPlmMatrixLotCodeDto();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this._mstwptMatrixLotCodeService.createOrEdit(this.rowdata)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MatrixLotCodeRoutingModule } from './matrixlotcode-routing.module';
import { MatrixLotCodeComponent } from './matrixlotcode.component';
import { CreateOrEditMatrixLotCodeModalComponent } from './create-or-edit-matrixlotcode-modal.component';
@NgModule({
    declarations: [
       MatrixLotCodeComponent, 
        CreateOrEditMatrixLotCodeModalComponent
    ],
    imports: [
        AppSharedModule, MatrixLotCodeRoutingModule]
})
export class MatrixLotCodeModule {}</v>
      </c>
      <c r="J75" s="46" t="str">
        <f>B.Frontend!O10</f>
        <v>import {NgModule} from '@angular/core';
import {RouterModule, Routes} from '@angular/router';
import { MatrixLotCodeComponent } from './matrixlotcode.component';
const routes: Routes = [{
    path: '',
    component: MatrixLotCodeComponent,
    pathMatch: 'full'
}];
@NgModule({
    imports: [RouterModule.forChild(routes)],
    exports: [RouterModule],
})
export class MatrixLotCodeRoutingModule {}</v>
      </c>
      <c r="K75" s="46" t="str">
        <f>B.Frontend!P10</f>
        <v xml:space="preserve"> new AppMenuItem("MatrixLotCode", "Pages.Master.Plm.MatrixLotCode", "flaticon-book",   "/app/main/master/plm/matrixlotcode"),</v>
      </c>
      <c r="L75" s="47" t="str">
        <f>B.Frontend!Q10</f>
        <v>{
    path: 'master/plm/matrixlotcode',
    loadChildren: () =&gt; import('./master/plm/matrixlotcode/matrixlotcode.module').then(m =&gt; m.MatrixLotCodeModule),
    data: { permission: 'Pages.Master.Plm.MatrixLotCode' }
},</v>
      </c>
      <c r="M75" s="45" t="str">
        <f>B.Frontend!R10</f>
        <v>ApiServiceProxies.MasterPlmMatrixLotCodeServiceProxy,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3"/>
  <sheetViews>
    <sheetView workbookViewId="0">
      <pane xSplit="1" topLeftCell="B1" activePane="topRight" state="frozen"/>
      <selection pane="topRight" activeCell="A9" sqref="A9:A1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41</v>
      </c>
      <c r="D3" s="9" t="s">
        <v>42</v>
      </c>
      <c r="E3" s="9" t="s">
        <v>37</v>
      </c>
      <c r="F3" s="10" t="str">
        <f>"J"&amp;COUNTA($A:$A)</f>
        <v>J11</v>
      </c>
      <c r="G3" s="4" t="s">
        <v>54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53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MasterPlmMatrixLotCodeExportInput{
</v>
      </c>
      <c r="S3" s="10" t="str">
        <f>"namespace "&amp;$B$6&amp;".Exporting
"&amp;$C$3</f>
        <v xml:space="preserve">namespace prod.Master.Plm.Exporting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233</v>
      </c>
      <c r="B4" s="65" t="s">
        <v>85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prod.Master.Plm</v>
      </c>
      <c r="C6" s="10" t="str">
        <f>"namespace "&amp;$B$6&amp;"
"&amp;$C$3</f>
        <v xml:space="preserve">namespace prod.Master.Plm
{
</v>
      </c>
      <c r="D6" s="10" t="str">
        <f>REPT(CHAR(9),1)&amp;"public class "&amp;B3&amp;G3&amp;REPT(CHAR(9),1)&amp;"
"&amp;REPT(CHAR(9),1)&amp;C3</f>
        <v xml:space="preserve">	public class MasterPlmMatrixLotCode: FullAuditedEntity&lt;long&gt;, IEntity&lt;long&gt;	
	{
</v>
      </c>
      <c r="E6" s="10" t="str">
        <f>REPT(CHAR(9),1)&amp;"public class "&amp;B3&amp;"Consts"&amp;REPT(CHAR(9),1)&amp;"
"&amp;REPT(CHAR(9),1)&amp;C3</f>
        <v xml:space="preserve">	public class MasterPlmMatrixLotCodeConsts	
	{
</v>
      </c>
      <c r="F6" s="10" t="str">
        <f>REPT(CHAR(9),1)&amp;"public class "&amp;B3&amp;"Dto"&amp;K3&amp;REPT(CHAR(9),1)&amp;"
"&amp;REPT(CHAR(9),1)&amp;C3</f>
        <v xml:space="preserve">	public class MasterPlmMatrixLotCodeDto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CreateOrEditMasterPlmMatrixLotCodeDto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GetMasterPlmMatrixLotCodeInput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MasterPlmMatrixLotCode</v>
      </c>
      <c r="C7" s="10" t="str">
        <f>REPT(CHAR(9),1)&amp;"[Table("""&amp;B7&amp;""")]"&amp;"
"</f>
        <v xml:space="preserve">	[Table("MasterPlmMatrixLotCode")]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[Table("MasterPlmMatrixLotCode")]
	[Index(nameof(ScreenId), Name="IX_MasterPlmMatrixLotCode_ScreenId")]
	[Index(nameof(LotcodeGradeId), Name="IX_MasterPlmMatrixLotCode_LotcodeGradeId")]
	public class MasterPlmMatrixLotCode: FullAuditedEntity&lt;long&gt;, IEntity&lt;long&gt;	
	{
		public virtual int? ScreenId { get; set; }
		public virtual int? LotcodeGradeId { get; set; }
		public virtual int? PartId { get; set; }
	}
}
</v>
      </c>
      <c r="K7" t="str">
        <f>SUBSTITUTE(SUBSTITUTE(("public virtual DbSet&lt;"&amp;B3&amp;"&gt; "&amp;B3&amp;"s { get; set; }"),"WorkingPattern",$Q$3),"Master",$B$4)</f>
        <v>public virtual DbSet&lt;MasterPlmMatrixLotCode&gt; MasterPlmMatrixLotCodes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prod.Master.Plm
{
	public class MasterPlmMatrixLotCodeConsts	
	{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prod.Master.Plm.Dto
{
	public class MasterPlmMatrixLotCodeDto : EntityDto&lt;long?&gt;	
	{
		public virtual int? ScreenId { get; set; }
		public virtual int? LotcodeGradeId { get; set; }
		public virtual int? PartId { get; set; }
	}
	public class CreateOrEditMasterPlmMatrixLotCodeDto : EntityDto&lt;long?&gt;	
	{
		public virtual int? ScreenId { get; set; }
		public virtual int? LotcodeGradeId { get; set; }
		public virtual int? PartId { get; set; }
	}
	public class GetMasterPlmMatrixLotCodeInput : PagedAndSortedResultRequestDto	
	{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perMasterPlmMatrixLotCode = PARENTS.CreateChildPermission(AppPermissions.Pages_Master_Plm_MatrixLotCode, L( "MasterPlmMatrixLotCode"), multiTenancySides: MultiTenancySides.Tenant);
		perMasterPlmMatrixLotCode.CreateChildPermission(AppPermissions.Pages_Master_Plm_MatrixLotCode_CreateEdit, L( "MasterPlmMatrixLotCodeCreateEdit"), multiTenancySides: MultiTenancySides.Tenant);
		perMasterPlmMatrixLotCode.CreateChildPermission(AppPermissions.Pages_Master_Plm_MatrixLotCode_Delete, L( "MasterPlmMatrixLotCodeDelete"),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Pages_Master_Plm_MatrixLotCode = "Pages.Master.Plm.MatrixLotCode";
		public const string Pages_Master_Plm_MatrixLotCode_CreateEdit = "Pages.Master.Plm.MatrixLotCode.CreateEdit";
		public const string Pages_Master_Plm_MatrixLotCode_Delete = "Pages.Master.Plm.MatrixLotCode.Delete";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
{
	public interface IMasterPlmMatrixLotCodeAppService : IApplicationService
	{
		Task&lt;PagedResultDto&lt;MasterPlmMatrixLotCodeDto&gt;&gt; GetAll(GetMasterPlmMatrixLotCodeInput input);
		Task CreateOrEdit(CreateOrEditMasterPlmMatrixLotCodeDto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[AbpAuthorize(AppPermissions.Pages_Master_Plm_MatrixLotCode)]
    public class MasterPlmMatrixLotCodeAppService : vovinaAppServiceBase, IMasterPlmMatrixLotCodeAppService
    {
        private readonly IDapperRepository&lt;MasterPlmMatrixLotCode, long&gt; _dapperRepo;
        private readonly IRepository&lt;MasterPlmMatrixLotCode, long&gt; _repo;
        private readonly IMasterPlmMatrixLotCodeExcelExporter _calendarListExcelExporter;
        public MasterPlmMatrixLotCodeAppService(IRepository&lt;MasterPlmMatrixLotCode,long&gt; repo, 
                                         IDapperRepository&lt;MasterPlmMatrixLotCode,long&gt; dapperRepo,
                                        IMasterPlmMatrixLotCodeExcelExporter calendarListExcelExporter
            )
        {
            _repo = repo;
            _dapperRepo = dapperRepo;
            _calendarListExcelExporter = calendarListExcelExporter;
        }
        [AbpAuthorize(AppPermissions.Pages_Master_Plm_MatrixLotCode_CreateEdit)]
        public async Task CreateOrEdit(CreateOrEditMasterPlmMatrixLotCodeDto input)
        {
            if (input.Id == null) await Create(input);
            else await Update(input);
        }
        //CREATE
        private async Task Create(CreateOrEditMasterPlmMatrixLotCodeDto input)
        {          
            var mainObj = ObjectMapper.Map&lt;MasterPlmMatrixLotCode&gt;(input);
            await CurrentUnitOfWork.GetDbContext&lt;vovinaDbContext&gt;().AddAsync(mainObj);
        }
        // EDIT
        private async Task Update(CreateOrEditMasterPlmMatrixLotCodeDto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[AbpAuthorize(AppPermissions.Pages_Master_Plm_MatrixLotCode_Delete)]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Task&lt;PagedResultDto&lt;MasterPlmMatrixLotCodeDto&gt;&gt; GetAll(GetMasterPlmMatrixLotCodeInput input)
        {
            var filtered = _repo.GetAll()
				;
            var pageAndFiltered = filtered.OrderBy(s =&gt; s.Id);
            var system = from o in pageAndFiltered
                         select new MasterPlmMatrixLotCodeDto
                        {
							Id = o.Id,
							ScreenId = o.ScreenId,
							LotcodeGradeId = o.LotcodeGradeId,
							PartId = o.PartId,
                        };
            var totalCount = await filtered.CountAsync();
			var paged = system.PageBy(input);
            return new PagedResultDto&lt;MasterPlmMatrixLotCodeDto&gt;(
                totalCount,
                 await paged.ToListAsync()
            );
        }
        public async Task&lt;FileDto&gt; GetMatrixLotCodeToExcel(MasterPlmMatrixLotCodeExportInput input)
        {
            var query = from o in _repo.GetAll()
                        select new MasterPlmMatrixLotCodeDto
                        {
							Id = o.Id,
							ScreenId = o.ScreenId,
							LotcodeGradeId = o.LotcodeGradeId,
							PartId = o.PartId,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_dapperRepo.ExecuteAsync(MasterPlmMatrixLotCodeConsts.SP_MST_WPT_CALENDAR_GENERATE);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prod.Master.Plm.Dto
{
	public class MasterPlmMatrixLotCodeExportInput{
		public virtual int? ScreenId { get; set; }
		public virtual int? LotcodeGradeId { get; set; }
		public virtual int? PartId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IMasterPlmMatrixLotCodeExcelExporter : IApplicationService
	{
		FileDto ExportToFile(List&lt;MasterPlmMatrixLotCodeDto&gt; masterplmmatrixlotcode);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MasterPlmMatrixLotCodeExcelExporter : NpoiExcelExporterBase, IMasterPlmMatrixLotCodeExcelExporter
    {
        public MasterPlmMatrixLotCodeExcelExporter(ITempFileCacheManager tempFileCacheManager) : base(tempFileCacheManager) { }
        public FileDto ExportToFile(List&lt;MasterPlmMatrixLotCodeDto&gt; matrixlotcode)
        {
            return CreateExcelPackage(
				"MasterPlmMatrixLotCode.xlsx",
				excelPackage =&gt;
				 {
					var sheet = excelPackage.CreateSheet("MatrixLotCode");
					AddHeader(
								sheet,
								("ScreenId"),
								("LotcodeGradeId"),
								("PartId"),
							   );
					AddObjects(
						 sheet, 1, matrixlotcode,                                       
								_ =&gt; _.ScreenId,
								_ =&gt; _.LotcodeGradeId,
								_ =&gt; _.PartId,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configuration.CreateMap&lt;MasterPlmMatrixLotCodeDto, MasterPlmMatrixLotCode&gt;();
  configuration.CreateMap&lt;MasterPlmMatrixLotCode, MasterPlmMatrixLotCodeDto&gt;();
  configuration.CreateMap&lt;CreateOrEditMasterPlmMatrixLotCodeDto, MasterPlmMatrixLotCode&gt;();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357</v>
      </c>
      <c r="B9" t="s">
        <v>4</v>
      </c>
      <c r="C9" t="s">
        <v>1</v>
      </c>
      <c r="D9" t="str">
        <f t="shared" ref="D9" si="0">SUBSTITUTE(PROPER(A9),"_","")</f>
        <v>ScreenId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ScreenId { get; set; }
</v>
      </c>
      <c r="K9" s="6" t="s">
        <v>356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[Index(nameof(ScreenId), Name="IX_MasterPlmMatrixLotCode_ScreenId")]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ScreenId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ScreenId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ScreenId = o.ScreenId,</v>
      </c>
      <c r="T9" s="63" t="str">
        <f t="shared" ref="T9" si="10">REPT(CHAR(9),8)&amp;"("""&amp;D9&amp;"""),"</f>
        <v xml:space="preserve">								("ScreenId"),</v>
      </c>
      <c r="V9" s="64" t="str">
        <f t="shared" ref="V9" si="11">REPT(CHAR(9),8)&amp;"_ =&gt; _."&amp;D9&amp;","</f>
        <v xml:space="preserve">								_ =&gt; _.ScreenId,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t="s">
        <v>358</v>
      </c>
      <c r="B10" t="s">
        <v>4</v>
      </c>
      <c r="C10" t="s">
        <v>1</v>
      </c>
      <c r="D10" t="str">
        <f t="shared" ref="D10" si="13">SUBSTITUTE(PROPER(A10),"_","")</f>
        <v>LotcodeGradeId</v>
      </c>
      <c r="E10" t="str">
        <f t="shared" ref="E10" si="14">IFERROR(LEFT(B10, FIND("(",B10)-1),B10)</f>
        <v>int</v>
      </c>
      <c r="F10" s="6"/>
      <c r="G10" t="str">
        <f t="shared" ref="G10" si="15">IFERROR(MID(B10,FIND("(",B10) +1, FIND(")",B10) - FIND("(",B10) - 1),"")</f>
        <v/>
      </c>
      <c r="H10" t="str">
        <f>+VLOOKUP(E10,'Data Type Mapping'!A:B,2,)</f>
        <v>int?</v>
      </c>
      <c r="I10" t="str">
        <f t="shared" ref="I10" si="16">IF(H10="string",REPT(CHAR(9),2)&amp;"public const int Max"&amp;D10&amp;"Length = "&amp;G10&amp;";"&amp;$E$3,"" )</f>
        <v/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int? LotcodeGradeId { get; set; }
</v>
      </c>
      <c r="K10" s="6" t="s">
        <v>356</v>
      </c>
      <c r="L10" t="str">
        <f t="shared" si="5"/>
        <v xml:space="preserve">	[Index(nameof(LotcodeGradeId), Name="IX_MasterPlmMatrixLotCode_LotcodeGradeId")]</v>
      </c>
      <c r="M10" t="str">
        <f t="shared" ref="M10" si="18">REPT(CHAR(9),2)&amp;"public virtual "&amp;IF(OR(H10="DateTime",H10="TimeSpan"),H10&amp;"?",H10)&amp;IF(C10="?","? "," ")&amp;D10&amp;" { get; set; }" &amp; "
"</f>
        <v xml:space="preserve">		public virtual int? LotcodeGradeId { get; set; }
</v>
      </c>
      <c r="N10" t="str">
        <f t="shared" ref="N10" si="19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int? LotcodeGradeId { get; set; }
</v>
      </c>
      <c r="O10" t="str">
        <f t="shared" ref="O10" si="20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" si="21">REPT(CHAR(9),7)&amp;D10&amp;" = o." &amp;D10 &amp;","</f>
        <v xml:space="preserve">							LotcodeGradeId = o.LotcodeGradeId,</v>
      </c>
      <c r="T10" s="63" t="str">
        <f t="shared" ref="T10" si="22">REPT(CHAR(9),8)&amp;"("""&amp;D10&amp;"""),"</f>
        <v xml:space="preserve">								("LotcodeGradeId"),</v>
      </c>
      <c r="V10" s="64" t="str">
        <f t="shared" ref="V10" si="23">REPT(CHAR(9),8)&amp;"_ =&gt; _."&amp;D10&amp;","</f>
        <v xml:space="preserve">								_ =&gt; _.LotcodeGradeId,</v>
      </c>
      <c r="W10" s="63" t="str">
        <f t="shared" ref="W10" si="24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359</v>
      </c>
      <c r="B11" t="s">
        <v>4</v>
      </c>
      <c r="C11" t="s">
        <v>1</v>
      </c>
      <c r="D11" t="str">
        <f t="shared" ref="D11" si="25">SUBSTITUTE(PROPER(A11),"_","")</f>
        <v>PartId</v>
      </c>
      <c r="E11" t="str">
        <f t="shared" ref="E11" si="26">IFERROR(LEFT(B11, FIND("(",B11)-1),B11)</f>
        <v>int</v>
      </c>
      <c r="F11" s="6"/>
      <c r="G11" t="str">
        <f t="shared" ref="G11" si="27">IFERROR(MID(B11,FIND("(",B11) +1, FIND(")",B11) - FIND("(",B11) - 1),"")</f>
        <v/>
      </c>
      <c r="H11" t="str">
        <f>+VLOOKUP(E11,'Data Type Mapping'!A:B,2,)</f>
        <v>int?</v>
      </c>
      <c r="I11" t="str">
        <f t="shared" ref="I11" si="28">IF(H11="string",REPT(CHAR(9),2)&amp;"public const int Max"&amp;D11&amp;"Length = "&amp;G11&amp;";"&amp;$E$3,"" )</f>
        <v/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int? PartId { get; set; }
</v>
      </c>
      <c r="K11" s="6"/>
      <c r="L11" t="str">
        <f t="shared" ref="L11" si="30">IF(K11="","",REPT(CHAR(9),1)&amp;"[Index(nameof("&amp;IF(D11="","",""&amp;D11)&amp;")"&amp;", Name="&amp;"""IX_"&amp;$B$7&amp;"_"&amp;D11&amp;""")]")</f>
        <v/>
      </c>
      <c r="M11" t="str">
        <f t="shared" ref="M11" si="31">REPT(CHAR(9),2)&amp;"public virtual "&amp;IF(OR(H11="DateTime",H11="TimeSpan"),H11&amp;"?",H11)&amp;IF(C11="?","? "," ")&amp;D11&amp;" { get; set; }" &amp; "
"</f>
        <v xml:space="preserve">		public virtual int? PartId { get; set; }
</v>
      </c>
      <c r="N11" t="str">
        <f t="shared" ref="N11" si="32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int? PartId { get; set; }
</v>
      </c>
      <c r="O11" t="str">
        <f t="shared" ref="O11" si="33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34">REPT(CHAR(9),7)&amp;D11&amp;" = o." &amp;D11 &amp;","</f>
        <v xml:space="preserve">							PartId = o.PartId,</v>
      </c>
      <c r="T11" s="63" t="str">
        <f t="shared" ref="T11" si="35">REPT(CHAR(9),8)&amp;"("""&amp;D11&amp;"""),"</f>
        <v xml:space="preserve">								("PartId"),</v>
      </c>
      <c r="V11" s="64" t="str">
        <f t="shared" ref="V11" si="36">REPT(CHAR(9),8)&amp;"_ =&gt; _."&amp;D11&amp;","</f>
        <v xml:space="preserve">								_ =&gt; _.PartId,</v>
      </c>
      <c r="W11" s="63" t="str">
        <f t="shared" ref="W11" si="3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3" spans="1:23" ht="45.75" customHeight="1" x14ac:dyDescent="0.25">
      <c r="H13" s="11"/>
      <c r="I13" s="31" t="str">
        <f ca="1">TEXTJOIN2("
", TRUE,INDIRECT( $H$1):INDIRECT( $H$3))</f>
        <v/>
      </c>
      <c r="J13" s="30" t="str">
        <f ca="1">TEXTJOIN2("
", TRUE,INDIRECT( $F$1):INDIRECT( $F$3))</f>
        <v xml:space="preserve">		public virtual int? ScreenId { get; set; }
		public virtual int? LotcodeGradeId { get; set; }
		public virtual int? PartId { get; set; }
</v>
      </c>
      <c r="K13" s="32" t="str">
        <f ca="1">TEXTJOIN2("
", TRUE,INDIRECT( $J$1):INDIRECT( $J$3))</f>
        <v xml:space="preserve">	[Index(nameof(ScreenId), Name="IX_MasterPlmMatrixLotCode_ScreenId")]
	[Index(nameof(LotcodeGradeId), Name="IX_MasterPlmMatrixLotCode_LotcodeGradeId")]
</v>
      </c>
      <c r="L13" s="12" t="s">
        <v>57</v>
      </c>
      <c r="M13" s="33" t="str">
        <f ca="1">TEXTJOIN2("
",TRUE,INDIRECT( $L$1):INDIRECT($L$3))</f>
        <v xml:space="preserve">		public virtual int? ScreenId { get; set; }
		public virtual int? LotcodeGradeId { get; set; }
		public virtual int? PartId { get; set; }
</v>
      </c>
      <c r="N13" s="30" t="str">
        <f ca="1">TEXTJOIN2("
",TRUE,INDIRECT( $M$1):INDIRECT($M$3))</f>
        <v xml:space="preserve">		public virtual int? ScreenId { get; set; }
		public virtual int? LotcodeGradeId { get; set; }
		public virtual int? PartId { get; set; }
</v>
      </c>
      <c r="O13" s="30" t="str">
        <f ca="1">TEXTJOIN2("
",TRUE,INDIRECT( $N$1):INDIRECT($N$3))</f>
        <v/>
      </c>
      <c r="P13" s="8" t="str">
        <f ca="1">TEXTJOIN2("
",TRUE,INDIRECT( $O$1):INDIRECT($O$3))</f>
        <v xml:space="preserve">							ScreenId = o.ScreenId,
							LotcodeGradeId = o.LotcodeGradeId,
							PartId = o.PartId,</v>
      </c>
      <c r="T13" s="8" t="str">
        <f ca="1">TEXTJOIN2("
",TRUE,INDIRECT( $T$2):INDIRECT($T$3))</f>
        <v xml:space="preserve">								("ScreenId"),
								("LotcodeGradeId"),
								("PartId"),</v>
      </c>
      <c r="V13" s="8" t="str">
        <f ca="1">TEXTJOIN2("
",TRUE,INDIRECT( $V$2):INDIRECT($V$3))</f>
        <v xml:space="preserve">								_ =&gt; _.ScreenId,
								_ =&gt; _.LotcodeGradeId,
								_ =&gt; _.PartId,</v>
      </c>
      <c r="W13" s="8" t="str">
        <f ca="1">TEXTJOIN2("
",TRUE,INDIRECT( $W$2):INDIRECT($W$3))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19"/>
  <sheetViews>
    <sheetView topLeftCell="A2" workbookViewId="0">
      <selection activeCell="D22" sqref="D2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MasterPlmMatrixLotCode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MatrixLotCode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matrixlotcode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MasterPlmMatrixLotCodeDto, MasterPlmMatrixLotCodeServiceProxy } from '@shared/service-proxies/service-proxies';
import { finalize } from 'rxjs/internal/operators/finalize';
import { CreateOrEditMatrixLotCodeModalComponent } from './create-or-edit-matrixlotcode-modal.component';
import { DatePipe } from '@angular/common';
import { FileDownloadService } from '@shared/utils/file-download.service';
import ceil from 'lodash-es/ceil';
import { Paginator } from 'primeng/paginator';
@Component({
    templateUrl: './matrixlotcode.component.html',
    styleUrls: ['./matrixlotcode.component.less'],
})
export class MatrixLotCodeComponent extends AppComponentBase implements OnInit {
    @ViewChild('createOrEditModalMatrixLotCode', { static: true }) createOrEditModalMatrixLotCode:| CreateOrEditMatrixLotCodeModalComponent|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MasterPlmMatrixLotCodeDto = new MasterPlmMatrixLotCodeDto();
    saveSelectedRow: MasterPlmMatrixLotCodeDto = new MasterPlmMatrixLotCodeDto();
    datas: MasterPlmMatrixLotCodeDto = new MasterPlmMatrixLotCodeDto();
    isLoading: boolean = false;
    dataParams: GridParams | undefined;
    rowData: any[] = [];
    gridApi!: GridApi;
    rowSelection = 'multiple';
    filter: string = '';
	pipe = new DatePipe('en-US');
	frameworkComponents: FrameworkComponent;
    	screenId
	lotcodeGradeId
	partId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MasterPlmMatrixLotCodeServiceProxy,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Id'),headerTooltip: this.l('Screen Id'),field: 'screenId',flex: 1},
			{headerName: this.l('Lotcode Grade Id'),headerTooltip: this.l('Lotcode Grade Id'),field: 'lotcodeGradeId',flex: 1},
			{headerName: this.l('Part Id'),headerTooltip: this.l('Part Id'),field: 'partId',flex: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this.screenId,
			this.lotcodeGradeId,
			this.partId,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this.screenId = '',
		this.lotcodeGradeId = '',
		this.partId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this.screenId,
			this.lotcodeGradeId,
			this.partId,
			'',
            this.paginationParams.skipCount,
            this.paginationParams.pageSize
        );
    }
    onChangeRowSelection(params: { api: { getSelectedRows: () =&gt; MasterPlmMatrixLotCodeDto[] } }) {
        this.saveSelectedRow = params.api.getSelectedRows()[0] ?? new MasterPlmMatrixLotCodeDto();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MasterPlmMatrixLotCodeDto):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this._service.getMatrixLotCodeToExcel(
			this.screenId,
			this.lotcodeGradeId,
			this.partId,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(click)="createOrEditModalMatrixLotCode.show()"&gt;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(click)="createOrEditModalMatrixLotCode.show(selectedRow)"&gt;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&lt;create-or-edit-matrixlotcode-modal
    #createOrEditModalMatrixLotCode
    (modalSave)="callBackDataGrid(dataParams)"
    (modalClose)="onChangeRowSelection(dataParams)"
&gt;
&lt;/create-or-edit-matrixlotcode-modal&gt;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#createOrEditModalMatrixLotCode="bs-modal"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MatrixLotCode')}}&lt;/h3&gt;
                    &lt;h3 *ngIf="!rowdata.id"&gt;{{('Create New MatrixLotCode')}}&lt;/h3&gt;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CreateOrEditMasterPlmMatrixLotCodeDto, MasterPlmMatrixLotCodeServiceProxy } from '@shared/service-proxies/service-proxies';
import { BsDatepickerDirective } from 'ngx-bootstrap/datepicker';
@Component({
    selector: 'create-or-edit-matrixlotcode-modal',
    templateUrl: './create-or-edit-matrixlotcode-modal.component.html',
    styleUrls: ['./create-or-edit-matrixlotcode-modal.component.less']
    })
export class CreateOrEditMatrixLotCodeModalComponent extends AppComponentBase {
    @ViewChild('createOrEditModalMatrixLotCode',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CreateOrEditMasterPlmMatrixLotCodeDto = new CreateOrEditMasterPlmMatrixLotCodeDto();
    active: boolean = false;
    saving: boolean = false;
    _: boolean;
    constructor(
        injector: Injector,
        private _mstwptMatrixLotCodeService: MasterPlmMatrixLotCodeServiceProxy,
    ) 
    {
        super(injector);
    }
    show(rowdata?: CreateOrEditMasterPlmMatrixLotCodeDto): void {
        if (!rowdata) this.rowdata = new CreateOrEditMasterPlmMatrixLotCodeDto();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this._mstwptMatrixLotCodeService.createOrEdit(this.rowdata)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MatrixLotCodeRoutingModule } from './matrixlotcode-routing.module';
import { MatrixLotCodeComponent } from './matrixlotcode.component';
import { CreateOrEditMatrixLotCodeModalComponent } from './create-or-edit-matrixlotcode-modal.component';
@NgModule({
    declarations: [
       MatrixLotCodeComponent, 
        CreateOrEditMatrixLotCodeModalComponent
    ],
    imports: [
        AppSharedModule, MatrixLotCodeRoutingModule]
})
export class MatrixLotCodeModule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MatrixLotCodeComponent } from './matrixlotcode.component';
const routes: Routes = [{
    path: '',
    component: MatrixLotCodeComponent,
    pathMatch: 'full'
}];
@NgModule({
    imports: [RouterModule.forChild(routes)],
    exports: [RouterModule],
})
export class MatrixLotCodeRoutingModule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AppMenuItem("MatrixLotCode", "Pages.Master.Plm.MatrixLotCode", "flaticon-book",   "/app/main/master/plm/matrixlotcode"),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'master/plm/matrixlotcode',
    loadChildren: () =&gt; import('./master/plm/matrixlotcode/matrixlotcode.module').then(m =&gt; m.MatrixLotCodeModule),
    data: { permission: 'Pages.Master.Plm.MatrixLotCode' }
},</v>
      </c>
      <c r="R10" s="47" t="str">
        <f>SUBSTITUTE(R9,"MstWptCalendar",$B$6)</f>
        <v>ApiServiceProxies.MasterPlmMatrixLotCodeServiceProxy,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this.l('Screen Id'),headerTooltip: this.l('Screen Id'),field: 'screenId',flex: 1},
			{headerName: this.l('Lotcode Grade Id'),headerTooltip: this.l('Lotcode Grade Id'),field: 'lotcodeGradeId',flex: 1},
			{headerName: this.l('Part Id'),headerTooltip: this.l('Part Id'),field: 'partId',flex: 1},</v>
      </c>
      <c r="I13" s="35" t="str">
        <f ca="1">TEXTJOIN2("
",TRUE,INDIRECT(I11):INDIRECT(I12))</f>
        <v/>
      </c>
      <c r="J13" s="28"/>
      <c r="K13" s="35" t="str">
        <f ca="1">TEXTJOIN2("
",TRUE,INDIRECT(K11):INDIRECT(K12))</f>
        <v/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screenId
	lotcodeGradeId
	partId</v>
      </c>
      <c r="T13" s="62" t="str">
        <f ca="1">TEXTJOIN2("
",TRUE,INDIRECT(T11):INDIRECT(T12))</f>
        <v xml:space="preserve">			this.screenId,
			this.lotcodeGradeId,
			this.partId,</v>
      </c>
      <c r="U13" s="62" t="str">
        <f ca="1">TEXTJOIN2("
",TRUE,INDIRECT(U11):INDIRECT(U12))</f>
        <v xml:space="preserve">		this.screenId = '',
		this.lotcodeGradeId = '',
		this.partId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matrixlotcode.component.ts</v>
      </c>
      <c r="I14" s="37" t="str">
        <f>B8&amp;".component.html"</f>
        <v>matrixlotcode.component.html</v>
      </c>
      <c r="J14" s="36" t="str">
        <f>B8&amp;".component.less"</f>
        <v>matrixlotcode.component.less</v>
      </c>
      <c r="K14" s="37" t="str">
        <f>"create-or-edit-"&amp;B8&amp;"-modal.component.html"</f>
        <v>create-or-edit-matrixlotcode-modal.component.html</v>
      </c>
      <c r="L14" s="37" t="str">
        <f>"create-or-edit-"&amp;B8&amp;"-modal.component.ts"</f>
        <v>create-or-edit-matrixlotcode-modal.component.ts</v>
      </c>
      <c r="M14" s="37" t="str">
        <f>"create-or-edit-"&amp;B8&amp;"-modal.component.less"</f>
        <v>create-or-edit-matrixlotcode-modal.component.less</v>
      </c>
      <c r="N14" s="37" t="str">
        <f>B8&amp;".module.ts"</f>
        <v>matrixlotcode.module.ts</v>
      </c>
      <c r="O14" s="37" t="str">
        <f>B8&amp;"-routing.module.ts"</f>
        <v>matrixlotcode-routing.module.ts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357</v>
      </c>
      <c r="B15" s="28" t="str">
        <f t="shared" ref="B15" si="0">SUBSTITUTE(PROPER(A15),"_","")</f>
        <v>ScreenId</v>
      </c>
      <c r="C15" s="28" t="str">
        <f t="shared" ref="C15" si="1">SUBSTITUTE(PROPER(A15),"_"," ")</f>
        <v>Screen Id</v>
      </c>
      <c r="D15" s="28" t="str">
        <f t="shared" ref="D15" si="2">LOWER(LEFT(B15,1))&amp;RIGHT(B15,LEN(B15) - 1)</f>
        <v>screenId</v>
      </c>
      <c r="E15" s="28" t="str">
        <f>A.Backend!H9</f>
        <v>int?</v>
      </c>
      <c r="F15" s="28" t="str">
        <f>A.Backend!G9</f>
        <v/>
      </c>
      <c r="G15" s="28" t="str">
        <f t="shared" ref="G15:G16" si="3">IF(E15="string"," : string = '' ; ",IF(OR(E15="DateTime",E15="TimeSpan")," : any ;",IF(E15="int"," : number = 0 ;","")))</f>
        <v/>
      </c>
      <c r="H15" s="35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this.l('Screen Id'),headerTooltip: this.l('Screen Id'),field: 'screenId',flex: 1},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1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screenId</v>
      </c>
      <c r="T15" s="28" t="str">
        <f>REPT(CHAR(9),3)&amp;"this."&amp;D15&amp;","</f>
        <v xml:space="preserve">			this.screenId,</v>
      </c>
      <c r="U15" s="28" t="str">
        <f>IF(E15="int",REPT(CHAR(9),2)&amp;"this."&amp;D15&amp;" = 0,",REPT(CHAR(9),2)&amp;"this."&amp;D15&amp;" = '',")</f>
        <v xml:space="preserve">		this.screenId = '',</v>
      </c>
      <c r="V15" s="28" t="str">
        <f t="shared" ref="V15:V17" si="8">IF(AND(E15="string",F15="1"),D15,"")</f>
        <v/>
      </c>
    </row>
    <row r="16" spans="1:22" ht="18" customHeight="1" x14ac:dyDescent="0.25">
      <c r="A16" t="s">
        <v>358</v>
      </c>
      <c r="B16" s="28" t="str">
        <f t="shared" ref="B16" si="9">SUBSTITUTE(PROPER(A16),"_","")</f>
        <v>LotcodeGradeId</v>
      </c>
      <c r="C16" s="28" t="str">
        <f t="shared" ref="C16" si="10">SUBSTITUTE(PROPER(A16),"_"," ")</f>
        <v>Lotcode Grade Id</v>
      </c>
      <c r="D16" s="28" t="str">
        <f t="shared" ref="D16" si="11">LOWER(LEFT(B16,1))&amp;RIGHT(B16,LEN(B16) - 1)</f>
        <v>lotcodeGradeId</v>
      </c>
      <c r="E16" s="28" t="str">
        <f>A.Backend!H10</f>
        <v>int?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this.l('Lotcode Grade Id'),headerTooltip: this.l('Lotcode Grade Id'),field: 'lotcodeGradeId',flex: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3">REPT(CHAR(9),1)&amp;D16&amp;G16</f>
        <v xml:space="preserve">	lotcodeGradeId</v>
      </c>
      <c r="T16" s="28" t="str">
        <f t="shared" ref="T16:T17" si="14">REPT(CHAR(9),3)&amp;"this."&amp;D16&amp;","</f>
        <v xml:space="preserve">			this.lotcodeGradeId,</v>
      </c>
      <c r="U16" s="28" t="str">
        <f t="shared" ref="U16:U17" si="15">IF(E16="int",REPT(CHAR(9),2)&amp;"this."&amp;D16&amp;" = 0,",REPT(CHAR(9),2)&amp;"this."&amp;D16&amp;" = '',")</f>
        <v xml:space="preserve">		this.lotcodeGradeId = '',</v>
      </c>
      <c r="V16" s="28" t="str">
        <f t="shared" si="8"/>
        <v/>
      </c>
    </row>
    <row r="17" spans="1:22" ht="18" customHeight="1" x14ac:dyDescent="0.25">
      <c r="A17" t="s">
        <v>359</v>
      </c>
      <c r="B17" s="28" t="str">
        <f>SUBSTITUTE(PROPER(A17),"_","")</f>
        <v>PartId</v>
      </c>
      <c r="C17" s="28" t="str">
        <f>SUBSTITUTE(PROPER(A17),"_"," ")</f>
        <v>Part Id</v>
      </c>
      <c r="D17" s="28" t="str">
        <f>LOWER(LEFT(B17,1))&amp;RIGHT(B17,LEN(B17) - 1)</f>
        <v>partId</v>
      </c>
      <c r="E17" s="28" t="str">
        <f>A.Backend!H11</f>
        <v>int?</v>
      </c>
      <c r="F17" s="28" t="str">
        <f>A.Backend!G11</f>
        <v/>
      </c>
      <c r="G17" s="28" t="str">
        <f t="shared" ref="G17" si="16">IF(E17="string"," : string = '' ; ",IF(OR(E17="DateTime",E17="TimeSpan")," : any ;",IF(E17="int"," : number = 0 ;","")))</f>
        <v/>
      </c>
      <c r="H17" s="35" t="str">
        <f t="shared" si="4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partId</v>
      </c>
      <c r="T17" s="28" t="str">
        <f t="shared" si="14"/>
        <v xml:space="preserve">			this.partId,</v>
      </c>
      <c r="U17" s="28" t="str">
        <f t="shared" si="15"/>
        <v xml:space="preserve">		this.partId = '',</v>
      </c>
      <c r="V17" s="28" t="str">
        <f t="shared" si="8"/>
        <v/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2023-04-14T07:08:01Z</dcterms:modified>
</cp:coreProperties>
</file>
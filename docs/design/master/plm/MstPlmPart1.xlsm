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TmvProdV12\docs\design\master\plm\"/>
    </mc:Choice>
  </mc:AlternateContent>
  <xr:revisionPtr revIDLastSave="0" documentId="13_ncr:1_{F7A634E4-6150-4AE3-8C9C-45E3BB197669}" xr6:coauthVersionLast="47" xr6:coauthVersionMax="47" xr10:uidLastSave="{00000000-0000-0000-0000-000000000000}"/>
  <bookViews>
    <workbookView xWindow="-120" yWindow="-120" windowWidth="19440" windowHeight="15000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7" i="5" l="1"/>
  <c r="G17" i="5" s="1"/>
  <c r="F17" i="5"/>
  <c r="E18" i="5"/>
  <c r="F18" i="5"/>
  <c r="G18" i="5"/>
  <c r="E19" i="5"/>
  <c r="F19" i="5"/>
  <c r="G19" i="5"/>
  <c r="C19" i="5" l="1"/>
  <c r="B19" i="5"/>
  <c r="D19" i="5" s="1"/>
  <c r="T19" i="5" s="1"/>
  <c r="C18" i="5"/>
  <c r="B18" i="5"/>
  <c r="D18" i="5" s="1"/>
  <c r="T18" i="5" s="1"/>
  <c r="B7" i="5" l="1"/>
  <c r="B6" i="5"/>
  <c r="B2" i="5"/>
  <c r="B8" i="5" l="1"/>
  <c r="B3" i="5"/>
  <c r="L13" i="1"/>
  <c r="G13" i="1"/>
  <c r="E13" i="1"/>
  <c r="H13" i="1" s="1"/>
  <c r="D13" i="1"/>
  <c r="V13" i="1" s="1"/>
  <c r="L12" i="1"/>
  <c r="G12" i="1"/>
  <c r="E12" i="1"/>
  <c r="H12" i="1" s="1"/>
  <c r="D12" i="1"/>
  <c r="T12" i="1" s="1"/>
  <c r="L11" i="1"/>
  <c r="G11" i="1"/>
  <c r="E11" i="1"/>
  <c r="H11" i="1" s="1"/>
  <c r="D11" i="1"/>
  <c r="V11" i="1" s="1"/>
  <c r="P11" i="1" l="1"/>
  <c r="W11" i="1"/>
  <c r="P13" i="1"/>
  <c r="W13" i="1"/>
  <c r="O13" i="1"/>
  <c r="J13" i="1"/>
  <c r="N13" i="1"/>
  <c r="I13" i="1"/>
  <c r="M13" i="1"/>
  <c r="M12" i="1"/>
  <c r="N12" i="1"/>
  <c r="I12" i="1"/>
  <c r="W12" i="1"/>
  <c r="O12" i="1"/>
  <c r="J12" i="1"/>
  <c r="M11" i="1"/>
  <c r="T11" i="1"/>
  <c r="T13" i="1"/>
  <c r="V12" i="1"/>
  <c r="I11" i="1"/>
  <c r="N11" i="1"/>
  <c r="P12" i="1"/>
  <c r="J11" i="1"/>
  <c r="O11" i="1"/>
  <c r="C17" i="5"/>
  <c r="B17" i="5"/>
  <c r="D17" i="5" s="1"/>
  <c r="T17" i="5" s="1"/>
  <c r="C16" i="5"/>
  <c r="B16" i="5"/>
  <c r="D16" i="5" s="1"/>
  <c r="T16" i="5" s="1"/>
  <c r="B6" i="1" l="1"/>
  <c r="I19" i="5" l="1"/>
  <c r="H19" i="5"/>
  <c r="S19" i="5"/>
  <c r="V19" i="5"/>
  <c r="U19" i="5"/>
  <c r="K19" i="5"/>
  <c r="L19" i="5"/>
  <c r="C15" i="5"/>
  <c r="B15" i="5"/>
  <c r="D15" i="5" s="1"/>
  <c r="T15" i="5" s="1"/>
  <c r="H18" i="5" l="1"/>
  <c r="S18" i="5"/>
  <c r="V18" i="5"/>
  <c r="U18" i="5"/>
  <c r="K18" i="5"/>
  <c r="I18" i="5"/>
  <c r="L18" i="5"/>
  <c r="S17" i="5"/>
  <c r="V17" i="5"/>
  <c r="U17" i="5"/>
  <c r="K17" i="5"/>
  <c r="I17" i="5"/>
  <c r="H17" i="5"/>
  <c r="L17" i="5"/>
  <c r="G9" i="1" l="1"/>
  <c r="F15" i="5" s="1"/>
  <c r="E9" i="1"/>
  <c r="H9" i="1" s="1"/>
  <c r="E15" i="5" s="1"/>
  <c r="D9" i="1"/>
  <c r="V9" i="1" l="1"/>
  <c r="L9" i="1"/>
  <c r="U15" i="5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F16" i="5" s="1"/>
  <c r="E10" i="1"/>
  <c r="H10" i="1" s="1"/>
  <c r="E16" i="5" s="1"/>
  <c r="D10" i="1"/>
  <c r="T10" i="1" s="1"/>
  <c r="V16" i="5" l="1"/>
  <c r="U16" i="5"/>
  <c r="K16" i="5"/>
  <c r="I16" i="5"/>
  <c r="H16" i="5"/>
  <c r="G16" i="5"/>
  <c r="S16" i="5" s="1"/>
  <c r="L16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5" i="1"/>
  <c r="K12" i="5" l="1"/>
  <c r="H12" i="5"/>
  <c r="V12" i="5"/>
  <c r="T12" i="5"/>
  <c r="U12" i="5"/>
  <c r="I12" i="5"/>
  <c r="L12" i="5"/>
  <c r="S12" i="5"/>
  <c r="R3" i="1" l="1"/>
  <c r="D1" i="1"/>
  <c r="F6" i="1"/>
  <c r="T15" i="1"/>
  <c r="T13" i="5"/>
  <c r="T7" i="1" l="1"/>
  <c r="W15" i="1"/>
  <c r="G6" i="1" l="1"/>
  <c r="K13" i="5"/>
  <c r="S13" i="5"/>
  <c r="U13" i="5"/>
  <c r="I13" i="5"/>
  <c r="H13" i="5"/>
  <c r="L13" i="5"/>
  <c r="V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0" i="1" l="1"/>
  <c r="C7" i="1"/>
  <c r="P15" i="1"/>
  <c r="I15" i="1"/>
  <c r="O15" i="1"/>
  <c r="N15" i="1"/>
  <c r="J15" i="1"/>
  <c r="Q7" i="1" l="1"/>
  <c r="M68" i="3" s="1"/>
  <c r="L7" i="1"/>
  <c r="G68" i="3" s="1"/>
  <c r="K68" i="3"/>
  <c r="J68" i="3"/>
  <c r="M15" i="1"/>
  <c r="K15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67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 xr:uid="{00000000-0006-0000-0000-000002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 xr:uid="{00000000-0006-0000-0000-000004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 xr:uid="{00000000-0006-0000-0000-000005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 xr:uid="{00000000-0006-0000-0000-000006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 xr:uid="{00000000-0006-0000-0000-000007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 xr:uid="{00000000-0006-0000-0000-000008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 xr:uid="{00000000-0006-0000-0000-000009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 xr:uid="{00000000-0006-0000-0000-00000A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 xr:uid="{00000000-0006-0000-0000-00000B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<sst xmlns="http://schemas.openxmlformats.org/spreadsheetml/2006/main" count="453" uniqueCount="366">
  <si>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</si>
  <si>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</si>
  <si>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</si>
  <si>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</si>
  <si>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</si>
  <si>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</si>
  <si>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</si>
  <si>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</si>
  <si>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</si>
  <si>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</si>
  <si>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</si>
  <si>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</si>
  <si>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</si>
  <si>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</si>
  <si>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</si>
  <si>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</si>
  <si>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</si>
  <si>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</si>
  <si>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</si>
  <si>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</si>
  <si>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</si>
  <si>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</si>
  <si>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</si>
  <si>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</si>
  <si>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</si>
  <si>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</si>
  <si>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</si>
  <si>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</si>
  <si>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</si>
  <si>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</si>
  <si>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</si>
  <si>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</si>
  <si>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</si>
  <si>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</si>
  <si>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</si>
  <si>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</si>
  <si>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</si>
  <si>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</si>
  <si>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</si>
  <si>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</si>
  <si>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</si>
  <si>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</si>
  <si>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</si>
  <si>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</si>
  <si>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</si>
  <si>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</si>
  <si>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</si>
  <si>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</si>
  <si>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</si>
  <si>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</si>
  <si>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</si>
  <si>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</si>
  <si>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</si>
  <si>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</si>
  <si>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</si>
  <si>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</si>
  <si>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</si>
  <si>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</si>
  <si>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</si>
  <si>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</si>
  <si>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</si>
  <si>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</si>
  <si>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</si>
  <si>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</si>
  <si>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</si>
  <si>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</si>
  <si>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</si>
  <si>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</si>
  <si>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</si>
  <si>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</si>
  <si>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</si>
  <si>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</si>
  <si>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</si>
  <si>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</si>
  <si>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</si>
  <si>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</si>
  <si>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</si>
  <si>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</si>
  <si>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</si>
  <si>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</si>
  <si>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</si>
  <si>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</si>
  <si>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</si>
  <si>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</si>
  <si>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</si>
  <si>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</si>
  <si>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</si>
  <si>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</si>
  <si>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</si>
  <si>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</si>
  <si>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</si>
  <si>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</si>
  <si>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</si>
  <si>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</si>
  <si>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</si>
  <si>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</si>
  <si>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</si>
  <si>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</si>
  <si>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</si>
  <si>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</si>
  <si>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</si>
  <si>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</si>
  <si>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</si>
  <si>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</si>
  <si>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</si>
  <si>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</si>
  <si>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</si>
  <si>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</si>
  <si>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</si>
  <si>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</si>
  <si>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</si>
  <si>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</si>
  <si>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</si>
  <si>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</si>
  <si>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</si>
  <si>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</si>
  <si>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</si>
  <si>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</si>
  <si>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</si>
  <si>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</si>
  <si>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</si>
  <si>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</si>
  <si>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</si>
  <si>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</si>
  <si>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</si>
  <si>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</si>
  <si>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</si>
  <si>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</si>
  <si>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</si>
  <si>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</si>
  <si>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</si>
  <si>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</si>
  <si>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</si>
  <si>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</si>
  <si>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</si>
  <si>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</si>
  <si>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</si>
  <si>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</si>
  <si>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</si>
  <si>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</si>
  <si>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</si>
  <si>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</si>
  <si>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</si>
  <si>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</si>
  <si>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</si>
  <si>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</si>
  <si>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</si>
  <si>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</si>
  <si>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</si>
  <si>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</si>
  <si>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</si>
  <si>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</si>
  <si>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</si>
  <si>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</si>
  <si>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</si>
  <si>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</si>
  <si>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</si>
  <si>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</si>
  <si>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</si>
  <si>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</si>
  <si>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</si>
  <si>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</si>
  <si>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</si>
  <si>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</si>
  <si>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</si>
  <si>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</si>
  <si>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</si>
  <si>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</si>
  <si>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</si>
  <si>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</si>
  <si>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</si>
  <si>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</si>
  <si>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</si>
  <si>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</si>
  <si>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</si>
  <si>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</si>
  <si>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</si>
  <si>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</si>
  <si>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</si>
  <si>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</si>
  <si>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</si>
  <si>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</si>
  <si>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</si>
  <si>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</si>
  <si>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</si>
  <si>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</si>
  <si>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</si>
  <si>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</si>
  <si>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</si>
  <si>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</si>
  <si>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</si>
  <si>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</si>
  <si>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</si>
  <si>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</si>
  <si>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</si>
  <si>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</si>
  <si>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</si>
  <si>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</si>
  <si>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</si>
  <si>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</si>
  <si>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</si>
  <si>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</si>
  <si>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</si>
  <si>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</si>
  <si>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</si>
  <si>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</si>
  <si>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</si>
  <si>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</si>
  <si>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</si>
  <si>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</si>
  <si>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</si>
  <si>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</si>
  <si>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</si>
  <si>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</si>
  <si>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</si>
  <si>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</si>
  <si>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</si>
  <si>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</si>
  <si>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</si>
  <si>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</si>
  <si>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</si>
  <si>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</si>
  <si>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</si>
  <si>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</si>
  <si>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</si>
  <si>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</si>
  <si>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</si>
  <si>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</si>
  <si>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</si>
  <si>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</si>
  <si>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</si>
  <si>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</si>
  <si>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</si>
  <si>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</si>
  <si>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</si>
  <si>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</si>
  <si>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</si>
  <si>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</si>
  <si>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</si>
  <si>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</si>
  <si>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</si>
  <si>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</si>
  <si>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</si>
  <si>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</si>
  <si>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</si>
  <si>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</si>
  <si>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</si>
  <si>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</si>
  <si>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</si>
  <si>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</si>
  <si>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</si>
  <si>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</si>
  <si>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</si>
  <si>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</si>
  <si>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</si>
  <si>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</si>
  <si>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</si>
  <si>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</si>
  <si>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</si>
  <si>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</si>
  <si>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</si>
  <si>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</si>
  <si>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</si>
  <si>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</si>
  <si>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</si>
  <si>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</si>
  <si>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</si>
  <si>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</si>
  <si>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</si>
  <si>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</si>
  <si>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</si>
  <si>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</si>
  <si>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</si>
  <si>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</si>
  <si>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</si>
  <si>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</si>
  <si>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</si>
  <si>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</si>
  <si>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</si>
  <si>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</si>
  <si>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</si>
  <si>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</si>
  <si>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</si>
  <si>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</si>
  <si>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</si>
  <si>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</si>
  <si>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</si>
  <si>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</si>
  <si>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</si>
  <si>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</si>
  <si>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</si>
  <si>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</si>
  <si>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</si>
  <si>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</si>
  <si>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</si>
  <si>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</si>
  <si>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</si>
  <si>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</si>
  <si>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</si>
  <si>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</si>
  <si>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</si>
  <si>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</si>
  <si>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</si>
  <si>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</si>
  <si>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</si>
  <si>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</si>
  <si>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</si>
  <si>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</si>
  <si>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</si>
  <si>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</si>
  <si>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</si>
  <si>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</si>
  <si>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</si>
  <si>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</si>
  <si>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</si>
  <si>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</si>
  <si>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</si>
  <si>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</si>
  <si>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</si>
  <si>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</si>
  <si>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</si>
  <si>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</si>
  <si>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</si>
  <si>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</si>
  <si>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</si>
  <si>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</si>
  <si>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</si>
  <si>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</si>
  <si>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</si>
  <si>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</si>
  <si>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</si>
  <si>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</si>
  <si>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</si>
  <si>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</si>
  <si>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</si>
  <si>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</si>
  <si>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</si>
  <si>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</si>
  <si>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</si>
  <si>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</si>
  <si>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</si>
  <si>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</si>
  <si>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</si>
  <si>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</si>
  <si>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</si>
  <si>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</si>
  <si>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</si>
  <si>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</si>
  <si>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</si>
  <si>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</si>
  <si>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</si>
  <si>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</si>
  <si>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</si>
  <si>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</si>
  <si>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Container Invoice</t>
  </si>
  <si>
    <t>Master.Plm</t>
  </si>
  <si>
    <t>MasterPlmPart</t>
  </si>
  <si>
    <t>Part</t>
  </si>
  <si>
    <t>nvarchar(500)</t>
  </si>
  <si>
    <t>varchar(50)</t>
  </si>
  <si>
    <t>Y</t>
  </si>
  <si>
    <t>PART_NAME</t>
  </si>
  <si>
    <t>PART_CD</t>
  </si>
  <si>
    <t>R</t>
  </si>
  <si>
    <t>G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</si>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</sst>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77"/>
  <sheetViews>
    <sheetView tabSelected="1" topLeftCell="A61" zoomScaleNormal="100" workbookViewId="0">
      <selection activeCell="F68" sqref="F68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71</v>
      </c>
    </row>
    <row r="2" spans="1:7" ht="15.75" x14ac:dyDescent="0.25">
      <c r="A2" s="1"/>
      <c r="B2" s="25" t="s">
        <v>193</v>
      </c>
    </row>
    <row r="3" spans="1:7" x14ac:dyDescent="0.25">
      <c r="A3" s="1"/>
      <c r="B3" s="1" t="s">
        <v>74</v>
      </c>
    </row>
    <row r="4" spans="1:7" x14ac:dyDescent="0.25">
      <c r="A4" s="1"/>
      <c r="B4" t="s">
        <v>73</v>
      </c>
    </row>
    <row r="5" spans="1:7" x14ac:dyDescent="0.25">
      <c r="A5" s="1"/>
      <c r="B5" t="s">
        <v>76</v>
      </c>
    </row>
    <row r="6" spans="1:7" x14ac:dyDescent="0.25">
      <c r="A6" s="1"/>
      <c r="B6" t="s">
        <v>84</v>
      </c>
    </row>
    <row r="7" spans="1:7" x14ac:dyDescent="0.25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25">
      <c r="A8" s="1"/>
      <c r="C8" t="s">
        <v>86</v>
      </c>
      <c r="F8" s="1" t="s">
        <v>230</v>
      </c>
      <c r="G8" t="s">
        <v>230</v>
      </c>
    </row>
    <row r="9" spans="1:7" x14ac:dyDescent="0.25">
      <c r="A9" s="1"/>
      <c r="C9" t="s">
        <v>85</v>
      </c>
      <c r="F9" s="1" t="s">
        <v>95</v>
      </c>
      <c r="G9" t="s">
        <v>95</v>
      </c>
    </row>
    <row r="10" spans="1:7" x14ac:dyDescent="0.25">
      <c r="A10" s="1"/>
      <c r="D10" t="s">
        <v>86</v>
      </c>
      <c r="F10" s="1" t="s">
        <v>230</v>
      </c>
      <c r="G10" t="s">
        <v>281</v>
      </c>
    </row>
    <row r="11" spans="1:7" x14ac:dyDescent="0.25">
      <c r="A11" s="1"/>
      <c r="D11" t="s">
        <v>87</v>
      </c>
      <c r="F11" s="1" t="s">
        <v>96</v>
      </c>
      <c r="G11" t="s">
        <v>282</v>
      </c>
    </row>
    <row r="12" spans="1:7" x14ac:dyDescent="0.25">
      <c r="A12" s="1"/>
      <c r="D12" t="s">
        <v>88</v>
      </c>
      <c r="F12" s="1" t="s">
        <v>97</v>
      </c>
      <c r="G12" t="s">
        <v>283</v>
      </c>
    </row>
    <row r="13" spans="1:7" x14ac:dyDescent="0.25">
      <c r="A13" s="1"/>
      <c r="D13" t="s">
        <v>89</v>
      </c>
      <c r="F13" s="1" t="s">
        <v>98</v>
      </c>
      <c r="G13" t="s">
        <v>284</v>
      </c>
    </row>
    <row r="14" spans="1:7" x14ac:dyDescent="0.25">
      <c r="A14" s="1"/>
      <c r="D14" t="s">
        <v>90</v>
      </c>
      <c r="F14" s="1" t="s">
        <v>99</v>
      </c>
      <c r="G14" t="s">
        <v>285</v>
      </c>
    </row>
    <row r="15" spans="1:7" x14ac:dyDescent="0.25">
      <c r="A15" s="1"/>
      <c r="D15" t="s">
        <v>91</v>
      </c>
      <c r="F15" s="1" t="s">
        <v>100</v>
      </c>
      <c r="G15" t="s">
        <v>286</v>
      </c>
    </row>
    <row r="16" spans="1:7" ht="12" customHeight="1" x14ac:dyDescent="0.25">
      <c r="A16" s="1"/>
      <c r="D16" t="s">
        <v>266</v>
      </c>
      <c r="F16" s="1" t="s">
        <v>267</v>
      </c>
      <c r="G16" t="s">
        <v>287</v>
      </c>
    </row>
    <row r="17" spans="1:7" ht="12" customHeight="1" x14ac:dyDescent="0.25">
      <c r="A17" s="1"/>
      <c r="D17" t="s">
        <v>301</v>
      </c>
      <c r="F17" s="1" t="s">
        <v>302</v>
      </c>
      <c r="G17" t="s">
        <v>303</v>
      </c>
    </row>
    <row r="18" spans="1:7" x14ac:dyDescent="0.25">
      <c r="A18" s="1"/>
      <c r="D18" t="s">
        <v>345</v>
      </c>
      <c r="F18" s="1" t="s">
        <v>347</v>
      </c>
      <c r="G18" t="s">
        <v>346</v>
      </c>
    </row>
    <row r="19" spans="1:7" x14ac:dyDescent="0.25">
      <c r="A19" s="1"/>
      <c r="C19" t="s">
        <v>88</v>
      </c>
      <c r="F19" s="1" t="s">
        <v>97</v>
      </c>
      <c r="G19" t="s">
        <v>97</v>
      </c>
    </row>
    <row r="20" spans="1:7" x14ac:dyDescent="0.25">
      <c r="A20" s="1"/>
      <c r="D20" t="s">
        <v>92</v>
      </c>
      <c r="F20" s="1" t="s">
        <v>111</v>
      </c>
      <c r="G20" t="s">
        <v>288</v>
      </c>
    </row>
    <row r="21" spans="1:7" x14ac:dyDescent="0.25">
      <c r="A21" s="1"/>
      <c r="D21" t="s">
        <v>93</v>
      </c>
      <c r="F21" s="1" t="s">
        <v>101</v>
      </c>
      <c r="G21" t="s">
        <v>289</v>
      </c>
    </row>
    <row r="22" spans="1:7" x14ac:dyDescent="0.25">
      <c r="A22" s="1"/>
      <c r="C22" t="s">
        <v>89</v>
      </c>
      <c r="F22" s="1" t="s">
        <v>98</v>
      </c>
      <c r="G22" t="s">
        <v>98</v>
      </c>
    </row>
    <row r="23" spans="1:7" x14ac:dyDescent="0.25">
      <c r="A23" s="1"/>
      <c r="D23" t="s">
        <v>92</v>
      </c>
      <c r="F23" s="1" t="s">
        <v>111</v>
      </c>
      <c r="G23" t="s">
        <v>298</v>
      </c>
    </row>
    <row r="24" spans="1:7" x14ac:dyDescent="0.25">
      <c r="A24" s="1"/>
      <c r="C24" t="s">
        <v>87</v>
      </c>
      <c r="F24" s="1" t="s">
        <v>96</v>
      </c>
      <c r="G24" t="s">
        <v>96</v>
      </c>
    </row>
    <row r="25" spans="1:7" x14ac:dyDescent="0.25">
      <c r="A25" s="1"/>
      <c r="D25" t="s">
        <v>92</v>
      </c>
      <c r="F25" s="1" t="s">
        <v>111</v>
      </c>
      <c r="G25" t="s">
        <v>297</v>
      </c>
    </row>
    <row r="26" spans="1:7" x14ac:dyDescent="0.25">
      <c r="A26" s="1"/>
      <c r="C26" t="s">
        <v>90</v>
      </c>
      <c r="F26" s="1" t="s">
        <v>99</v>
      </c>
      <c r="G26" t="s">
        <v>99</v>
      </c>
    </row>
    <row r="27" spans="1:7" x14ac:dyDescent="0.25">
      <c r="A27" s="1"/>
      <c r="C27" t="s">
        <v>266</v>
      </c>
      <c r="F27" s="1" t="s">
        <v>267</v>
      </c>
      <c r="G27" t="s">
        <v>267</v>
      </c>
    </row>
    <row r="28" spans="1:7" x14ac:dyDescent="0.25">
      <c r="A28" s="1"/>
      <c r="D28" t="s">
        <v>268</v>
      </c>
      <c r="F28" s="1" t="s">
        <v>270</v>
      </c>
      <c r="G28" t="s">
        <v>290</v>
      </c>
    </row>
    <row r="29" spans="1:7" x14ac:dyDescent="0.25">
      <c r="A29" s="1"/>
      <c r="D29" t="s">
        <v>271</v>
      </c>
      <c r="F29" s="1" t="s">
        <v>269</v>
      </c>
      <c r="G29" t="s">
        <v>291</v>
      </c>
    </row>
    <row r="30" spans="1:7" x14ac:dyDescent="0.25">
      <c r="A30" s="1"/>
      <c r="D30" t="s">
        <v>272</v>
      </c>
      <c r="F30" s="1" t="s">
        <v>275</v>
      </c>
      <c r="G30" t="s">
        <v>292</v>
      </c>
    </row>
    <row r="31" spans="1:7" x14ac:dyDescent="0.25">
      <c r="A31" s="1"/>
      <c r="D31" t="s">
        <v>273</v>
      </c>
      <c r="F31" s="1" t="s">
        <v>276</v>
      </c>
      <c r="G31" t="s">
        <v>293</v>
      </c>
    </row>
    <row r="32" spans="1:7" x14ac:dyDescent="0.25">
      <c r="A32" s="1"/>
      <c r="D32" t="s">
        <v>274</v>
      </c>
      <c r="F32" s="1" t="s">
        <v>277</v>
      </c>
      <c r="G32" t="s">
        <v>294</v>
      </c>
    </row>
    <row r="33" spans="1:8" x14ac:dyDescent="0.25">
      <c r="A33" s="1"/>
      <c r="D33" t="s">
        <v>279</v>
      </c>
      <c r="F33" s="1" t="s">
        <v>278</v>
      </c>
      <c r="G33" t="s">
        <v>295</v>
      </c>
    </row>
    <row r="34" spans="1:8" x14ac:dyDescent="0.25">
      <c r="A34" s="1"/>
      <c r="C34" t="s">
        <v>301</v>
      </c>
      <c r="F34" s="1" t="s">
        <v>302</v>
      </c>
      <c r="G34" t="s">
        <v>302</v>
      </c>
    </row>
    <row r="35" spans="1:8" x14ac:dyDescent="0.25">
      <c r="A35" s="1"/>
      <c r="D35" t="s">
        <v>304</v>
      </c>
      <c r="F35" s="1" t="s">
        <v>305</v>
      </c>
      <c r="G35" t="s">
        <v>306</v>
      </c>
    </row>
    <row r="36" spans="1:8" x14ac:dyDescent="0.25">
      <c r="A36" s="1"/>
      <c r="D36" t="s">
        <v>93</v>
      </c>
      <c r="F36" s="1" t="s">
        <v>101</v>
      </c>
      <c r="G36" t="s">
        <v>307</v>
      </c>
    </row>
    <row r="37" spans="1:8" x14ac:dyDescent="0.25">
      <c r="A37" s="1"/>
      <c r="D37" t="s">
        <v>308</v>
      </c>
      <c r="F37" s="1" t="s">
        <v>309</v>
      </c>
      <c r="G37" t="s">
        <v>310</v>
      </c>
    </row>
    <row r="38" spans="1:8" x14ac:dyDescent="0.25">
      <c r="A38" s="1"/>
      <c r="D38" t="s">
        <v>311</v>
      </c>
      <c r="F38" s="1" t="s">
        <v>312</v>
      </c>
      <c r="G38" t="s">
        <v>313</v>
      </c>
    </row>
    <row r="39" spans="1:8" x14ac:dyDescent="0.25">
      <c r="A39" s="1"/>
      <c r="D39" t="s">
        <v>315</v>
      </c>
      <c r="F39" s="1" t="s">
        <v>316</v>
      </c>
      <c r="G39" t="s">
        <v>317</v>
      </c>
    </row>
    <row r="40" spans="1:8" x14ac:dyDescent="0.25">
      <c r="A40" s="1"/>
      <c r="C40" t="s">
        <v>314</v>
      </c>
      <c r="F40" s="1" t="s">
        <v>296</v>
      </c>
      <c r="G40" t="s">
        <v>296</v>
      </c>
    </row>
    <row r="41" spans="1:8" x14ac:dyDescent="0.25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25">
      <c r="A42" s="1"/>
      <c r="C42" t="s">
        <v>319</v>
      </c>
      <c r="F42" s="1" t="s">
        <v>332</v>
      </c>
      <c r="G42" t="s">
        <v>332</v>
      </c>
    </row>
    <row r="43" spans="1:8" x14ac:dyDescent="0.25">
      <c r="A43" s="1"/>
      <c r="D43" t="s">
        <v>320</v>
      </c>
      <c r="F43" s="1" t="s">
        <v>326</v>
      </c>
      <c r="G43" t="s">
        <v>333</v>
      </c>
    </row>
    <row r="44" spans="1:8" x14ac:dyDescent="0.25">
      <c r="A44" s="1"/>
      <c r="D44" t="s">
        <v>322</v>
      </c>
      <c r="F44" s="1" t="s">
        <v>327</v>
      </c>
      <c r="G44" t="s">
        <v>334</v>
      </c>
    </row>
    <row r="45" spans="1:8" x14ac:dyDescent="0.25">
      <c r="A45" s="1"/>
      <c r="D45" t="s">
        <v>321</v>
      </c>
      <c r="F45" s="1" t="s">
        <v>328</v>
      </c>
      <c r="G45" t="s">
        <v>335</v>
      </c>
    </row>
    <row r="46" spans="1:8" x14ac:dyDescent="0.25">
      <c r="A46" s="1"/>
      <c r="D46" t="s">
        <v>324</v>
      </c>
      <c r="F46" s="1" t="s">
        <v>329</v>
      </c>
      <c r="G46" t="s">
        <v>336</v>
      </c>
    </row>
    <row r="47" spans="1:8" x14ac:dyDescent="0.25">
      <c r="A47" s="1"/>
      <c r="D47" t="s">
        <v>342</v>
      </c>
      <c r="F47" s="1" t="s">
        <v>343</v>
      </c>
      <c r="G47" t="s">
        <v>344</v>
      </c>
    </row>
    <row r="48" spans="1:8" x14ac:dyDescent="0.25">
      <c r="A48" s="1"/>
      <c r="D48" t="s">
        <v>325</v>
      </c>
      <c r="F48" s="1" t="s">
        <v>330</v>
      </c>
      <c r="G48" t="s">
        <v>337</v>
      </c>
    </row>
    <row r="49" spans="1:7" x14ac:dyDescent="0.25">
      <c r="A49" s="1"/>
      <c r="D49" t="s">
        <v>323</v>
      </c>
      <c r="F49" s="1" t="s">
        <v>331</v>
      </c>
      <c r="G49" t="s">
        <v>338</v>
      </c>
    </row>
    <row r="50" spans="1:7" x14ac:dyDescent="0.25">
      <c r="A50" s="1"/>
      <c r="D50" t="s">
        <v>339</v>
      </c>
      <c r="F50" s="1" t="s">
        <v>340</v>
      </c>
      <c r="G50" t="s">
        <v>341</v>
      </c>
    </row>
    <row r="51" spans="1:7" x14ac:dyDescent="0.25">
      <c r="A51" s="1"/>
    </row>
    <row r="52" spans="1:7" x14ac:dyDescent="0.25">
      <c r="A52" s="1"/>
      <c r="B52" t="s">
        <v>83</v>
      </c>
    </row>
    <row r="53" spans="1:7" x14ac:dyDescent="0.25">
      <c r="A53" s="1"/>
      <c r="B53" t="s">
        <v>80</v>
      </c>
    </row>
    <row r="54" spans="1:7" x14ac:dyDescent="0.25">
      <c r="A54" s="1"/>
      <c r="C54" s="17" t="s">
        <v>77</v>
      </c>
    </row>
    <row r="55" spans="1:7" x14ac:dyDescent="0.25">
      <c r="A55" s="1"/>
      <c r="C55" s="16" t="s">
        <v>78</v>
      </c>
    </row>
    <row r="56" spans="1:7" x14ac:dyDescent="0.25">
      <c r="A56" s="1"/>
      <c r="C56" s="16" t="s">
        <v>79</v>
      </c>
    </row>
    <row r="57" spans="1:7" x14ac:dyDescent="0.25">
      <c r="A57" s="1"/>
      <c r="B57" t="s">
        <v>103</v>
      </c>
      <c r="C57" s="16"/>
    </row>
    <row r="58" spans="1:7" x14ac:dyDescent="0.25">
      <c r="A58" s="1"/>
      <c r="C58" s="16" t="s">
        <v>104</v>
      </c>
    </row>
    <row r="59" spans="1:7" x14ac:dyDescent="0.25">
      <c r="A59" s="1"/>
      <c r="C59" s="16" t="s">
        <v>105</v>
      </c>
    </row>
    <row r="60" spans="1:7" x14ac:dyDescent="0.25">
      <c r="A60" s="1"/>
      <c r="C60" s="16" t="s">
        <v>106</v>
      </c>
    </row>
    <row r="61" spans="1:7" x14ac:dyDescent="0.25">
      <c r="A61" s="1"/>
      <c r="C61" s="16" t="s">
        <v>108</v>
      </c>
    </row>
    <row r="62" spans="1:7" x14ac:dyDescent="0.25">
      <c r="A62" s="1"/>
      <c r="C62" s="16" t="s">
        <v>110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107</v>
      </c>
    </row>
    <row r="65" spans="2:14" ht="21" customHeight="1" x14ac:dyDescent="0.25">
      <c r="B65" s="19" t="s">
        <v>75</v>
      </c>
    </row>
    <row r="66" spans="2:14" ht="21" customHeight="1" x14ac:dyDescent="0.25">
      <c r="B66" s="59" t="s">
        <v>227</v>
      </c>
    </row>
    <row r="67" spans="2:14" ht="15.75" thickBot="1" x14ac:dyDescent="0.3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prod.Master.Plm
{
	[Table("MasterPlmPart")]
	[Index(nameof(PartName), Name="IX_MasterPlmPart_PartName")]
	[Index(nameof(PartCd), Name="IX_MasterPlmPart_PartCd")]
	public class MasterPlmPart: FullAuditedEntity&lt;long&gt;, IEntity&lt;long&gt;	
	{
		public const int MaxPartNameLength = 500;
		public const int MaxPartCdLength = 50;
		[StringLength(MaxPartNameLength)]
		public virtual string PartName { get; set; }
		[StringLength(MaxPartCdLength)]
		public virtual string PartCd { get; set; }
		public virtual int? R { get; set; }
		public virtual int? G { get; set; }
		public virtual int? B { get; set; }
	}
}
</v>
      </c>
      <c r="D68" s="48" t="str">
        <f>A.Backend!O7</f>
        <v xml:space="preserve">		public const string Pages_Master_Plm_Part = "Pages.Master.Plm.Part";
		public const string Pages_Master_Plm_Part_CreateEdit = "Pages.Master.Plm.Part.CreateEdit";
		public const string Pages_Master_Plm_Part_Delete = "Pages.Master.Plm.Part.Delete";
</v>
      </c>
      <c r="E68" s="48" t="str">
        <f>A.Backend!N7</f>
        <v xml:space="preserve">		var perMasterPlmPart = PARENTS.CreateChildPermission(AppPermissions.Pages_Master_Plm_Part, L( "MasterPlmPart"), multiTenancySides: MultiTenancySides.Tenant);
		perMasterPlmPart.CreateChildPermission(AppPermissions.Pages_Master_Plm_Part_CreateEdit, L( "MasterPlmPartCreateEdit"), multiTenancySides: MultiTenancySides.Tenant);
		perMasterPlmPart.CreateChildPermission(AppPermissions.Pages_Master_Plm_Part_Delete, L( "MasterPlmPartDelete"), multiTenancySides: MultiTenancySides.Tenant);</v>
      </c>
      <c r="F68" s="48" t="str">
        <f>A.Backend!K7</f>
        <v>public virtual DbSet&lt;MasterPlmPart&gt; MasterPlmParts { get; set; }</v>
      </c>
      <c r="G68" s="48" t="str">
        <f ca="1">A.Backend!L7</f>
        <v xml:space="preserve">namespace prod.Master.Plm
{
	public class MasterPlmPartConsts	
	{
		public const int MaxPartNameLength = 500;
		public const int MaxPartCdLength = 50;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prod.Master.Plm.Dto
{
	public class MasterPlmPartDto : EntityDto&lt;long?&gt;	
	{
		public virtual string PartName { get; set; }
		public virtual string PartCd { get; set; }
		public virtual int? R { get; set; }
		public virtual int? G { get; set; }
		public virtual int? B { get; set; }
	}
	public class CreateOrEditMasterPlmPartDto : EntityDto&lt;long?&gt;	
	{
		[StringLength(MasterPlmPartConsts.MaxPartNameLength)]
		public virtual string PartName { get; set; }
		[StringLength(MasterPlmPartConsts.MaxPartCdLength)]
		public virtual string PartCd { get; set; }
		public virtual int? R { get; set; }
		public virtual int? G { get; set; }
		public virtual int? B { get; set; }
	}
	public class GetMasterPlmPartInput : PagedAndSortedResultRequestDto	
	{
		public virtual string PartName { get; set; }
		public virtual string PartCd { get; set; }
	}
}
</v>
      </c>
      <c r="I68" s="48" t="str">
        <f ca="1">A.Backend!R7</f>
        <v xml:space="preserve">using Abp.Application.Services.Dto;
using System;
using System.ComponentModel.DataAnnotations;
namespace prod.Master.Plm.Dto
{
	public class MasterPlmPartExportInput{
		public virtual string PartName { get; set; }
		public virtual string PartCd { get; set; }
		public virtual int? R { get; set; }
		public virtual int? G { get; set; }
		public virtual int? B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vovina.Master.Plm.Dto;
namespace prod.Master.Plm
{
	public interface IMasterPlmPartAppService : IApplicationService
	{
		Task&lt;PagedResultDto&lt;MasterPlmPartDto&gt;&gt; GetAll(GetMasterPlmPartInput input);
		Task CreateOrEdit(CreateOrEditMasterPlmPartDto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vovina.Master.Plm.Dto;
namespace prod.Master.Plm.Exporting
{
	public interface IMasterPlmPartExcelExporter : IApplicationService
	{
		FileDto ExportToFile(List&lt;MasterPlmPartDto&gt; masterplmpart);
	}
}
</v>
      </c>
      <c r="L68" s="48" t="str">
        <f ca="1">A.Backend!T7</f>
        <v>using System.Collections.Generic;
using vovina.DataExporting.Excel.NPOI;
using vovina.Dto;
using vovina.Master.Plm.Exporting;
using vovina.Master.Plm.Dto;
using vovina.Storage;
using vovina.Master.Plm.Dto;
namespace vovina.Master.Plm.Exporting
{
    public class MasterPlmPartExcelExporter : NpoiExcelExporterBase, IMasterPlmPartExcelExporter
    {
        public MasterPlmPartExcelExporter(ITempFileCacheManager tempFileCacheManager) : base(tempFileCacheManager) { }
        public FileDto ExportToFile(List&lt;MasterPlmPartDto&gt; part)
        {
            return CreateExcelPackage(
				"MasterPlmPart.xlsx",
				excelPackage =&gt;
				 {
					var sheet = excelPackage.CreateSheet("Part");
					AddHeader(
								sheet,
								("PartName"),
								("PartCd"),
								("R"),
								("G"),
								("B"),
							   );
					AddObjects(
						 sheet, 1, part,                                       
								_ =&gt; _.PartName,
								_ =&gt; _.PartCd,
								_ =&gt; _.R,
								_ =&gt; _.G,
								_ =&gt; _.B,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vovina.Master.Plm.Dto;
using vovina.Master.Plm.Exporting;
namespace vovina.Master.Plm
{
    [AbpAuthorize(AppPermissions.Pages_Master_Plm_Part)]
    public class MasterPlmPartAppService : vovinaAppServiceBase, IMasterPlmPartAppService
    {
        private readonly IDapperRepository&lt;MasterPlmPart, long&gt; _dapperRepo;
        private readonly IRepository&lt;MasterPlmPart, long&gt; _repo;
        private readonly IMasterPlmPartExcelExporter _calendarListExcelExporter;
        public MasterPlmPartAppService(IRepository&lt;MasterPlmPart,long&gt; repo, 
                                         IDapperRepository&lt;MasterPlmPart,long&gt; dapperRepo,
                                        IMasterPlmPartExcelExporter calendarListExcelExporter
            )
        {
            _repo = repo;
            _dapperRepo = dapperRepo;
            _calendarListExcelExporter = calendarListExcelExporter;
        }
        [AbpAuthorize(AppPermissions.Pages_Master_Plm_Part_CreateEdit)]
        public async Task CreateOrEdit(CreateOrEditMasterPlmPartDto input)
        {
            if (input.Id == null) await Create(input);
            else await Update(input);
        }
        //CREATE
        private async Task Create(CreateOrEditMasterPlmPartDto input)
        {          
            var mainObj = ObjectMapper.Map&lt;MasterPlmPart&gt;(input);
            await CurrentUnitOfWork.GetDbContext&lt;vovinaDbContext&gt;().AddAsync(mainObj);
        }
        // EDIT
        private async Task Update(CreateOrEditMasterPlmPartDto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[AbpAuthorize(AppPermissions.Pages_Master_Plm_Part_Delete)]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Task&lt;PagedResultDto&lt;MasterPlmPartDto&gt;&gt; GetAll(GetMasterPlmPartInput input)
        {
            var filtered = _repo.GetAll()
				.WhereIf(!string.IsNullOrWhiteSpace(input.PartName), e =&gt; e.PartName.Contains(input.PartName))
				.WhereIf(!string.IsNullOrWhiteSpace(input.PartCd), e =&gt; e.PartCd.Contains(input.PartCd))
				;
            var pageAndFiltered = filtered.OrderBy(s =&gt; s.Id);
            var system = from o in pageAndFiltered
                         select new MasterPlmPartDto
                        {
							Id = o.Id,
							PartName = o.PartName,
							PartCd = o.PartCd,
							R = o.R,
							G = o.G,
							B = o.B,
                        };
            var totalCount = await filtered.CountAsync();
			var paged = system.PageBy(input);
            return new PagedResultDto&lt;MasterPlmPartDto&gt;(
                totalCount,
                 await paged.ToListAsync()
            );
        }
        public async Task&lt;FileDto&gt; GetPartToExcel(MasterPlmPartExportInput input)
        {
            var query = from o in _repo.GetAll()
                        select new MasterPlmPartDto
                        {
							Id = o.Id,
							PartName = o.PartName,
							PartCd = o.PartCd,
							R = o.R,
							G = o.G,
							B = o.B,
                        };
            var exportToExcel = await query.ToListAsync();
            return _calendarListExcelExporter.ExportToFile(exportToExcel);
        }
       // public async Task GenerateAsync()
      //  {
        //    await _dapperRepo.ExecuteAsync(MasterPlmPartConsts.SP_MST_WPT_CALENDAR_GENERATE);
       // }
    }
}</v>
      </c>
      <c r="N68" s="58" t="str">
        <f>A.Backend!U7</f>
        <v xml:space="preserve">  configuration.CreateMap&lt;MasterPlmPartDto, MasterPlmPart&gt;();
  configuration.CreateMap&lt;MasterPlmPart, MasterPlmPartDto&gt;();
  configuration.CreateMap&lt;CreateOrEditMasterPlmPartDto, MasterPlmPart&gt;();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70</v>
      </c>
    </row>
    <row r="73" spans="2:14" ht="21" x14ac:dyDescent="0.35">
      <c r="B73" t="str">
        <f>B.Frontend!B8</f>
        <v>part</v>
      </c>
      <c r="C73" s="66" t="str">
        <f>"create folder " &amp;B73</f>
        <v>create folder part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25">
      <c r="B74" s="56" t="s">
        <v>225</v>
      </c>
      <c r="C74" s="28" t="str">
        <f>B.Frontend!H14</f>
        <v>part.component.ts</v>
      </c>
      <c r="D74" s="28" t="str">
        <f>B.Frontend!I14</f>
        <v>part.component.html</v>
      </c>
      <c r="E74" s="28" t="str">
        <f>B.Frontend!J14</f>
        <v>part.component.less</v>
      </c>
      <c r="F74" s="28" t="str">
        <f>B.Frontend!K14</f>
        <v>create-or-edit-part-modal.component.html</v>
      </c>
      <c r="G74" s="28" t="str">
        <f>B.Frontend!L14</f>
        <v>create-or-edit-part-modal.component.ts</v>
      </c>
      <c r="H74" s="28" t="str">
        <f>B.Frontend!M14</f>
        <v>create-or-edit-part-modal.component.less</v>
      </c>
      <c r="I74" s="28" t="str">
        <f>B.Frontend!N14</f>
        <v>part.module.ts</v>
      </c>
      <c r="J74" s="28" t="str">
        <f>B.Frontend!O14</f>
        <v>part-routing.module.ts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25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MasterPlmPartDto, MasterPlmPartServiceProxy } from '@shared/service-proxies/service-proxies';
import { finalize } from 'rxjs/internal/operators/finalize';
import { CreateOrEditPartModalComponent } from './create-or-edit-part-modal.component';
import { DatePipe } from '@angular/common';
import { FileDownloadService } from '@shared/utils/file-download.service';
import ceil from 'lodash-es/ceil';
import { Paginator } from 'primeng/paginator';
@Component({
    templateUrl: './part.component.html',
    styleUrls: ['./part.component.less'],
})
export class PartComponent extends AppComponentBase implements OnInit {
    @ViewChild('createOrEditModalPart', { static: true }) createOrEditModalPart:| CreateOrEditPartModalComponent|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MasterPlmPartDto = new MasterPlmPartDto();
    saveSelectedRow: MasterPlmPartDto = new MasterPlmPartDto();
    datas: MasterPlmPartDto = new MasterPlmPartDto();
    isLoading: boolean = false;
    dataParams: GridParams | undefined;
    rowData: any[] = [];
    gridApi!: GridApi;
    rowSelection = 'multiple';
    filter: string = '';
	pipe = new DatePipe('en-US');
	frameworkComponents: FrameworkComponent;
    	partName : string = '' ; 
	partCd : string = '' ; 
	r
	g
	b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MasterPlmPartServiceProxy,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Name'),headerTooltip: this.l('Part Name'),field: 'partName',flex: 1},
			{headerName: this.l('Part Cd'),headerTooltip: this.l('Part Cd'),field: 'partCd',flex: 1},
			{headerName: this.l('R'),headerTooltip: this.l('R'),field: 'r',flex: 1},
			{headerName: this.l('G'),headerTooltip: this.l('G'),field: 'g',flex: 1},
			{headerName: this.l('B'),headerTooltip: this.l('B'),field: 'b',flex: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this.partName,
			this.partCd,
			this.r,
			this.g,
			this.b,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this.partName = '',
		this.partCd = '',
		this.r = '',
		this.g = '',
		this.b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this.partName,
			this.partCd,
			this.r,
			this.g,
			this.b,
			'',
            this.paginationParams.skipCount,
            this.paginationParams.pageSize
        );
    }
    onChangeRowSelection(params: { api: { getSelectedRows: () =&gt; MasterPlmPartDto[] } }) {
        this.saveSelectedRow = params.api.getSelectedRows()[0] ?? new MasterPlmPartDto();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MasterPlmPartDto):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this._service.getPartToExcel(
			this.partName,
			this.partCd,
			this.r,
			this.g,
			this.b,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Container Invoice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[(ngModel)]='partCd' name='partCd'
									class='form-control' [placeholder]="l('Part Cd')"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(click)="createOrEditModalPart.show()"&gt;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(click)="createOrEditModalPart.show(selectedRow)"&gt;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&lt;create-or-edit-part-modal
    #createOrEditModalPart
    (modalSave)="callBackDataGrid(dataParams)"
    (modalClose)="onChangeRowSelection(dataParams)"
&gt;
&lt;/create-or-edit-part-modal&gt;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#createOrEditModalPart="bs-modal"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Part')}}&lt;/h3&gt;
                    &lt;h3 *ngIf="!rowdata.id"&gt;{{('Create New Part')}}&lt;/h3&gt;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title'&gt;Part Cd&lt;/label&gt;
						&lt;input type='text' class='col-md-10 form-control input-text' name='PartCd' [(ngModel)]='rowdata.partCd'&gt;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CreateOrEditMasterPlmPartDto, MasterPlmPartServiceProxy } from '@shared/service-proxies/service-proxies';
import { BsDatepickerDirective } from 'ngx-bootstrap/datepicker';
@Component({
    selector: 'create-or-edit-part-modal',
    templateUrl: './create-or-edit-part-modal.component.html',
    styleUrls: ['./create-or-edit-part-modal.component.less']
    })
export class CreateOrEditPartModalComponent extends AppComponentBase {
    @ViewChild('createOrEditModalPart',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CreateOrEditMasterPlmPartDto = new CreateOrEditMasterPlmPartDto();
    active: boolean = false;
    saving: boolean = false;
    _: boolean;
    constructor(
        injector: Injector,
        private _mstwptPartService: MasterPlmPartServiceProxy,
    ) 
    {
        super(injector);
    }
    show(rowdata?: CreateOrEditMasterPlmPartDto): void {
        if (!rowdata) this.rowdata = new CreateOrEditMasterPlmPartDto();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this._mstwptPartService.createOrEdit(this.rowdata)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PartRoutingModule } from './part-routing.module';
import { PartComponent } from './part.component';
import { CreateOrEditPartModalComponent } from './create-or-edit-part-modal.component';
@NgModule({
    declarations: [
       PartComponent, 
        CreateOrEditPartModalComponent
    ],
    imports: [
        AppSharedModule, PartRoutingModule]
})
export class PartModule {}</v>
      </c>
      <c r="J75" s="46" t="str">
        <f>B.Frontend!O10</f>
        <v>import {NgModule} from '@angular/core';
import {RouterModule, Routes} from '@angular/router';
import { PartComponent } from './part.component';
const routes: Routes = [{
    path: '',
    component: PartComponent,
    pathMatch: 'full'
}];
@NgModule({
    imports: [RouterModule.forChild(routes)],
    exports: [RouterModule],
})
export class PartRoutingModule {}</v>
      </c>
      <c r="K75" s="46" t="str">
        <f>B.Frontend!P10</f>
        <v xml:space="preserve"> new AppMenuItem("Part", "Pages.Master.Plm.Part", "flaticon-book",   "/app/main/master/plm/part"),</v>
      </c>
      <c r="L75" s="47" t="str">
        <f>B.Frontend!Q10</f>
        <v>{
    path: 'master/plm/part',
    loadChildren: () =&gt; import('./master/plm/part/part.module').then(m =&gt; m.PartModule),
    data: { permission: 'Pages.Master.Plm.Part' }
},</v>
      </c>
      <c r="M75" s="45" t="str">
        <f>B.Frontend!R10</f>
        <v>ApiServiceProxies.MasterPlmPartServiceProxy,</v>
      </c>
    </row>
    <row r="77" spans="2:14" x14ac:dyDescent="0.25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15"/>
  <sheetViews>
    <sheetView workbookViewId="0">
      <pane xSplit="1" topLeftCell="D1" activePane="topRight" state="frozen"/>
      <selection pane="topRight" activeCell="E16" sqref="E16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vovina.Master.Plm.Dto;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25">
      <c r="A2" s="1" t="s">
        <v>12</v>
      </c>
      <c r="B2" s="27" t="s">
        <v>355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25">
      <c r="A3" s="1" t="s">
        <v>5</v>
      </c>
      <c r="B3" s="27" t="s">
        <v>356</v>
      </c>
      <c r="C3" s="9" t="s">
        <v>41</v>
      </c>
      <c r="D3" s="9" t="s">
        <v>42</v>
      </c>
      <c r="E3" s="9" t="s">
        <v>37</v>
      </c>
      <c r="F3" s="10" t="str">
        <f>"J"&amp;COUNTA($A:$A)</f>
        <v>J13</v>
      </c>
      <c r="G3" s="4" t="s">
        <v>54</v>
      </c>
      <c r="H3" s="9" t="str">
        <f>"I"&amp;COUNTA($A:$A)</f>
        <v>I13</v>
      </c>
      <c r="I3" s="9" t="str">
        <f>REPT(CHAR(9),2)&amp;"[Required]"&amp;"
"</f>
        <v xml:space="preserve">		[Required]
</v>
      </c>
      <c r="J3" s="10" t="str">
        <f>"L"&amp;COUNTA($A:$A)</f>
        <v>L13</v>
      </c>
      <c r="K3" s="5" t="s">
        <v>53</v>
      </c>
      <c r="L3" s="10" t="str">
        <f>"M"&amp;COUNTA($A:$A)</f>
        <v>M13</v>
      </c>
      <c r="M3" s="10" t="str">
        <f>"N"&amp;COUNTA($A:$A)</f>
        <v>N13</v>
      </c>
      <c r="N3" s="10" t="str">
        <f>"O"&amp;COUNTA($A:$A)</f>
        <v>O13</v>
      </c>
      <c r="O3" s="10" t="str">
        <f>"P"&amp;COUNTA($A:$A)</f>
        <v>P13</v>
      </c>
      <c r="Q3" s="10" t="str">
        <f>RIGHT(B2,(LEN(B2)-FIND(".",B2,1)))</f>
        <v>Plm</v>
      </c>
      <c r="R3" s="29" t="str">
        <f>REPT(CHAR(9),1)&amp;"public class "&amp;B3&amp;"ExportInput"&amp;C3</f>
        <v xml:space="preserve">	public class MasterPlmPartExportInput{
</v>
      </c>
      <c r="S3" s="10" t="str">
        <f>"namespace "&amp;$B$6&amp;".Exporting
"&amp;$C$3</f>
        <v xml:space="preserve">namespace prod.Master.Plm.Exporting
{
</v>
      </c>
      <c r="T3" s="10" t="str">
        <f>"T"&amp;COUNTA($A:$A)</f>
        <v>T13</v>
      </c>
      <c r="V3" s="10" t="str">
        <f>"V"&amp;COUNTA($A:$A)</f>
        <v>V13</v>
      </c>
      <c r="W3" s="9" t="str">
        <f>"W"&amp;COUNTA($A:$A)</f>
        <v>W13</v>
      </c>
    </row>
    <row r="4" spans="1:23" s="10" customFormat="1" ht="33" customHeight="1" x14ac:dyDescent="0.25">
      <c r="A4" s="1" t="s">
        <v>233</v>
      </c>
      <c r="B4" s="65" t="s">
        <v>85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234</v>
      </c>
      <c r="B5" s="65" t="s">
        <v>357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prod.Master.Plm</v>
      </c>
      <c r="C6" s="10" t="str">
        <f>"namespace "&amp;$B$6&amp;"
"&amp;$C$3</f>
        <v xml:space="preserve">namespace prod.Master.Plm
{
</v>
      </c>
      <c r="D6" s="10" t="str">
        <f>REPT(CHAR(9),1)&amp;"public class "&amp;B3&amp;G3&amp;REPT(CHAR(9),1)&amp;"
"&amp;REPT(CHAR(9),1)&amp;C3</f>
        <v xml:space="preserve">	public class MasterPlmPart: FullAuditedEntity&lt;long&gt;, IEntity&lt;long&gt;	
	{
</v>
      </c>
      <c r="E6" s="10" t="str">
        <f>REPT(CHAR(9),1)&amp;"public class "&amp;B3&amp;"Consts"&amp;REPT(CHAR(9),1)&amp;"
"&amp;REPT(CHAR(9),1)&amp;C3</f>
        <v xml:space="preserve">	public class MasterPlmPartConsts	
	{
</v>
      </c>
      <c r="F6" s="10" t="str">
        <f>REPT(CHAR(9),1)&amp;"public class "&amp;B3&amp;"Dto"&amp;K3&amp;REPT(CHAR(9),1)&amp;"
"&amp;REPT(CHAR(9),1)&amp;C3</f>
        <v xml:space="preserve">	public class MasterPlmPartDto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CreateOrEditMasterPlmPartDto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GetMasterPlmPartInput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4.95" customHeight="1" x14ac:dyDescent="0.25">
      <c r="A7" s="1" t="s">
        <v>13</v>
      </c>
      <c r="B7" s="9" t="str">
        <f>B3</f>
        <v>MasterPlmPart</v>
      </c>
      <c r="C7" s="10" t="str">
        <f>REPT(CHAR(9),1)&amp;"[Table("""&amp;B7&amp;""")]"&amp;"
"</f>
        <v xml:space="preserve">	[Table("MasterPlmPart")]
</v>
      </c>
      <c r="D7" s="10"/>
      <c r="E7" s="10"/>
      <c r="F7" s="10"/>
      <c r="G7" s="10"/>
      <c r="H7" s="10"/>
      <c r="I7" s="10"/>
      <c r="J7" t="str">
        <f ca="1">SUBSTITUTE(SUBSTITUTE((B1&amp;C6&amp;C7&amp;K15&amp;D6&amp;I15&amp;E3&amp;J15&amp;""&amp;REPT(CHAR(9),1)&amp;D3&amp;D3),"WorkingPattern",$Q$3),"Master",$B$4)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prod.Master.Plm
{
	[Table("MasterPlmPart")]
	[Index(nameof(PartName), Name="IX_MasterPlmPart_PartName")]
	[Index(nameof(PartCd), Name="IX_MasterPlmPart_PartCd")]
	public class MasterPlmPart: FullAuditedEntity&lt;long&gt;, IEntity&lt;long&gt;	
	{
		public const int MaxPartNameLength = 500;
		public const int MaxPartCdLength = 50;
		[StringLength(MaxPartNameLength)]
		public virtual string PartName { get; set; }
		[StringLength(MaxPartCdLength)]
		public virtual string PartCd { get; set; }
		public virtual int? R { get; set; }
		public virtual int? G { get; set; }
		public virtual int? B { get; set; }
	}
}
</v>
      </c>
      <c r="K7" t="str">
        <f>SUBSTITUTE(SUBSTITUTE(("public virtual DbSet&lt;"&amp;B3&amp;"&gt; "&amp;B3&amp;"s { get; set; }"),"WorkingPattern",$Q$3),"Master",$B$4)</f>
        <v>public virtual DbSet&lt;MasterPlmPart&gt; MasterPlmParts { get; set; }</v>
      </c>
      <c r="L7" t="str">
        <f ca="1">SUBSTITUTE(SUBSTITUTE((C6&amp;E6&amp;I15&amp;"
"&amp;REPT(CHAR(9),2)&amp;"// Define Store Name: Format SP_ + &lt;Store Name&gt; = &lt;Store Name&gt;
"&amp;E3&amp;REPT(CHAR(9),1)&amp;D3&amp;D3),"WorkingPattern",$Q$3),"Master",$B$4)</f>
        <v xml:space="preserve">namespace prod.Master.Plm
{
	public class MasterPlmPartConsts	
	{
		public const int MaxPartNameLength = 500;
		public const int MaxPartCdLength = 50;
		// Define Store Name: Format SP_ + &lt;Store Name&gt; = &lt;Store Name&gt;
	}
}
</v>
      </c>
      <c r="M7" t="str">
        <f ca="1">SUBSTITUTE(SUBSTITUTE((C1&amp;"namespace "&amp;B6&amp;".Dto"&amp;E3&amp;C3&amp;F6&amp;M15&amp;E3&amp;REPT(CHAR(9),1)&amp;D3&amp;G6&amp;N15&amp;REPT(CHAR(9),1)&amp;D3&amp;H6&amp;O15&amp;"
"&amp;REPT(CHAR(9),1)&amp;D3&amp;D3),"WorkingPattern",$Q$3),"Master",$B$4)</f>
        <v xml:space="preserve">using Abp.Application.Services.Dto;
using System;
using System.ComponentModel.DataAnnotations;
namespace prod.Master.Plm.Dto
{
	public class MasterPlmPartDto : EntityDto&lt;long?&gt;	
	{
		public virtual string PartName { get; set; }
		public virtual string PartCd { get; set; }
		public virtual int? R { get; set; }
		public virtual int? G { get; set; }
		public virtual int? B { get; set; }
	}
	public class CreateOrEditMasterPlmPartDto : EntityDto&lt;long?&gt;	
	{
		[StringLength(MasterPlmPartConsts.MaxPartNameLength)]
		public virtual string PartName { get; set; }
		[StringLength(MasterPlmPartConsts.MaxPartCdLength)]
		public virtual string PartCd { get; set; }
		public virtual int? R { get; set; }
		public virtual int? G { get; set; }
		public virtual int? B { get; set; }
	}
	public class GetMasterPlmPartInput : PagedAndSortedResultRequestDto	
	{
		public virtual string PartName { get; set; }
		public virtual string PartCd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perMasterPlmPart = PARENTS.CreateChildPermission(AppPermissions.Pages_Master_Plm_Part, L( "MasterPlmPart"), multiTenancySides: MultiTenancySides.Tenant);
		perMasterPlmPart.CreateChildPermission(AppPermissions.Pages_Master_Plm_Part_CreateEdit, L( "MasterPlmPartCreateEdit"), multiTenancySides: MultiTenancySides.Tenant);
		perMasterPlmPart.CreateChildPermission(AppPermissions.Pages_Master_Plm_Part_Delete, L( "MasterPlmPartDelete"),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Pages_Master_Plm_Part = "Pages.Master.Plm.Part";
		public const string Pages_Master_Plm_Part_CreateEdit = "Pages.Master.Plm.Part.CreateEdit";
		public const string Pages_Master_Plm_Part_Delete = "Pages.Master.Plm.Part.Delete";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vovina.Master.Plm.Dto;
namespace prod.Master.Plm
{
	public interface IMasterPlmPartAppService : IApplicationService
	{
		Task&lt;PagedResultDto&lt;MasterPlmPartDto&gt;&gt; GetAll(GetMasterPlmPartInput input);
		Task CreateOrEdit(CreateOrEditMasterPlmPartDto input);
		Task Delete(EntityDto input);
	}
}
</v>
      </c>
      <c r="Q7" t="str">
        <f ca="1">SUBSTITUTE(SUBSTITUTE(SUBSTITUTE(SUBSTITUTE(SUBSTITUTE(SUBSTITUTE(E1,"MstWptCalendar",$B$3),"&lt;PROPERTIES&gt;",P15),"Calendar",$B$5),"WorkingPattern",$Q$3),"Master",$B$4),"&lt;PARAMS_SEARCH&gt;",$W$15)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vovina.Master.Plm.Dto;
using vovina.Master.Plm.Exporting;
namespace vovina.Master.Plm
{
    [AbpAuthorize(AppPermissions.Pages_Master_Plm_Part)]
    public class MasterPlmPartAppService : vovinaAppServiceBase, IMasterPlmPartAppService
    {
        private readonly IDapperRepository&lt;MasterPlmPart, long&gt; _dapperRepo;
        private readonly IRepository&lt;MasterPlmPart, long&gt; _repo;
        private readonly IMasterPlmPartExcelExporter _calendarListExcelExporter;
        public MasterPlmPartAppService(IRepository&lt;MasterPlmPart,long&gt; repo, 
                                         IDapperRepository&lt;MasterPlmPart,long&gt; dapperRepo,
                                        IMasterPlmPartExcelExporter calendarListExcelExporter
            )
        {
            _repo = repo;
            _dapperRepo = dapperRepo;
            _calendarListExcelExporter = calendarListExcelExporter;
        }
        [AbpAuthorize(AppPermissions.Pages_Master_Plm_Part_CreateEdit)]
        public async Task CreateOrEdit(CreateOrEditMasterPlmPartDto input)
        {
            if (input.Id == null) await Create(input);
            else await Update(input);
        }
        //CREATE
        private async Task Create(CreateOrEditMasterPlmPartDto input)
        {          
            var mainObj = ObjectMapper.Map&lt;MasterPlmPart&gt;(input);
            await CurrentUnitOfWork.GetDbContext&lt;vovinaDbContext&gt;().AddAsync(mainObj);
        }
        // EDIT
        private async Task Update(CreateOrEditMasterPlmPartDto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[AbpAuthorize(AppPermissions.Pages_Master_Plm_Part_Delete)]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Task&lt;PagedResultDto&lt;MasterPlmPartDto&gt;&gt; GetAll(GetMasterPlmPartInput input)
        {
            var filtered = _repo.GetAll()
				.WhereIf(!string.IsNullOrWhiteSpace(input.PartName), e =&gt; e.PartName.Contains(input.PartName))
				.WhereIf(!string.IsNullOrWhiteSpace(input.PartCd), e =&gt; e.PartCd.Contains(input.PartCd))
				;
            var pageAndFiltered = filtered.OrderBy(s =&gt; s.Id);
            var system = from o in pageAndFiltered
                         select new MasterPlmPartDto
                        {
							Id = o.Id,
							PartName = o.PartName,
							PartCd = o.PartCd,
							R = o.R,
							G = o.G,
							B = o.B,
                        };
            var totalCount = await filtered.CountAsync();
			var paged = system.PageBy(input);
            return new PagedResultDto&lt;MasterPlmPartDto&gt;(
                totalCount,
                 await paged.ToListAsync()
            );
        }
        public async Task&lt;FileDto&gt; GetPartToExcel(MasterPlmPartExportInput input)
        {
            var query = from o in _repo.GetAll()
                        select new MasterPlmPartDto
                        {
							Id = o.Id,
							PartName = o.PartName,
							PartCd = o.PartCd,
							R = o.R,
							G = o.G,
							B = o.B,
                        };
            var exportToExcel = await query.ToListAsync();
            return _calendarListExcelExporter.ExportToFile(exportToExcel);
        }
       // public async Task GenerateAsync()
      //  {
        //    await _dapperRepo.ExecuteAsync(MasterPlmPartConsts.SP_MST_WPT_CALENDAR_GENERATE);
       // }
    }
}</v>
      </c>
      <c r="R7" t="str">
        <f ca="1">SUBSTITUTE(SUBSTITUTE((C1&amp;"namespace "&amp;B6&amp;".Dto"&amp;E3&amp;C3&amp;R3&amp;M15&amp;E3&amp;REPT(CHAR(9),1)&amp;D3&amp;D3),"WorkingPattern",$Q$3),"Master",$B$4)</f>
        <v xml:space="preserve">using Abp.Application.Services.Dto;
using System;
using System.ComponentModel.DataAnnotations;
namespace prod.Master.Plm.Dto
{
	public class MasterPlmPartExportInput{
		public virtual string PartName { get; set; }
		public virtual string PartCd { get; set; }
		public virtual int? R { get; set; }
		public virtual int? G { get; set; }
		public virtual int? B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vovina.Master.Plm.Dto;
namespace prod.Master.Plm.Exporting
{
	public interface IMasterPlmPartExcelExporter : IApplicationService
	{
		FileDto ExportToFile(List&lt;MasterPlmPartDto&gt; masterplmpart);
	}
}
</v>
      </c>
      <c r="T7" s="26" t="str">
        <f ca="1">SUBSTITUTE(SUBSTITUTE(SUBSTITUTE(SUBSTITUTE(SUBSTITUTE(SUBSTITUTE(SUBSTITUTE(T1,"MstWptCalendar",$B$3),"&lt;PROPERTIES1&gt;",V15),"&lt;PROPERTIES&gt;",T15),"Calendar",$B$5),"calendar",LOWER(B5)),"WorkingPattern",$Q$3),"Master",$B$4)</f>
        <v>using System.Collections.Generic;
using vovina.DataExporting.Excel.NPOI;
using vovina.Dto;
using vovina.Master.Plm.Exporting;
using vovina.Master.Plm.Dto;
using vovina.Storage;
using vovina.Master.Plm.Dto;
namespace vovina.Master.Plm.Exporting
{
    public class MasterPlmPartExcelExporter : NpoiExcelExporterBase, IMasterPlmPartExcelExporter
    {
        public MasterPlmPartExcelExporter(ITempFileCacheManager tempFileCacheManager) : base(tempFileCacheManager) { }
        public FileDto ExportToFile(List&lt;MasterPlmPartDto&gt; part)
        {
            return CreateExcelPackage(
				"MasterPlmPart.xlsx",
				excelPackage =&gt;
				 {
					var sheet = excelPackage.CreateSheet("Part");
					AddHeader(
								sheet,
								("PartName"),
								("PartCd"),
								("R"),
								("G"),
								("B"),
							   );
					AddObjects(
						 sheet, 1, part,                                       
								_ =&gt; _.PartName,
								_ =&gt; _.PartCd,
								_ =&gt; _.R,
								_ =&gt; _.G,
								_ =&gt; _.B,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configuration.CreateMap&lt;MasterPlmPartDto, MasterPlmPart&gt;();
  configuration.CreateMap&lt;MasterPlmPart, MasterPlmPartDto&gt;();
  configuration.CreateMap&lt;CreateOrEditMasterPlmPartDto, MasterPlmPart&gt;();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25">
      <c r="A9" t="s">
        <v>361</v>
      </c>
      <c r="B9" t="s">
        <v>358</v>
      </c>
      <c r="C9" t="s">
        <v>1</v>
      </c>
      <c r="D9" t="str">
        <f t="shared" ref="D9" si="0">SUBSTITUTE(PROPER(A9),"_","")</f>
        <v>PartName</v>
      </c>
      <c r="E9" t="str">
        <f t="shared" ref="E9" si="1">IFERROR(LEFT(B9, FIND("(",B9)-1),B9)</f>
        <v>nvarchar</v>
      </c>
      <c r="F9" s="6"/>
      <c r="G9" t="str">
        <f t="shared" ref="G9" si="2">IFERROR(MID(B9,FIND("(",B9) +1, FIND(")",B9) - FIND("(",B9) - 1),"")</f>
        <v>500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MaxPartNameLength = 500;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[StringLength(MaxPartNameLength)]
		public virtual string PartName { get; set; }
</v>
      </c>
      <c r="K9" s="6" t="s">
        <v>360</v>
      </c>
      <c r="L9" t="str">
        <f t="shared" ref="L9:L10" si="5">IF(K9="","",REPT(CHAR(9),1)&amp;"[Index(nameof("&amp;IF(D9="","",""&amp;D9)&amp;")"&amp;", Name="&amp;"""IX_"&amp;$B$7&amp;"_"&amp;D9&amp;""")]")</f>
        <v xml:space="preserve">	[Index(nameof(PartName), Name="IX_MasterPlmPart_PartName")]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PartName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[StringLength(MasterPlmPartConsts.MaxPartNameLength)]
		public virtual string PartName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PartName { get; set; }
</v>
      </c>
      <c r="P9" t="str">
        <f t="shared" ref="P9" si="9">REPT(CHAR(9),7)&amp;D9&amp;" = o." &amp;D9 &amp;","</f>
        <v xml:space="preserve">							PartName = o.PartName,</v>
      </c>
      <c r="T9" s="63" t="str">
        <f t="shared" ref="T9" si="10">REPT(CHAR(9),8)&amp;"("""&amp;D9&amp;"""),"</f>
        <v xml:space="preserve">								("PartName"),</v>
      </c>
      <c r="V9" s="64" t="str">
        <f t="shared" ref="V9" si="11">REPT(CHAR(9),8)&amp;"_ =&gt; _."&amp;D9&amp;","</f>
        <v xml:space="preserve">								_ =&gt; _.PartName,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.WhereIf(!string.IsNullOrWhiteSpace(input.PartName), e =&gt; e.PartName.Contains(input.PartName))</v>
      </c>
    </row>
    <row r="10" spans="1:23" customFormat="1" ht="18.75" customHeight="1" x14ac:dyDescent="0.25">
      <c r="A10" t="s">
        <v>362</v>
      </c>
      <c r="B10" t="s">
        <v>359</v>
      </c>
      <c r="C10" t="s">
        <v>1</v>
      </c>
      <c r="D10" t="str">
        <f t="shared" ref="D10" si="13">SUBSTITUTE(PROPER(A10),"_","")</f>
        <v>PartCd</v>
      </c>
      <c r="E10" t="str">
        <f t="shared" ref="E10" si="14">IFERROR(LEFT(B10, FIND("(",B10)-1),B10)</f>
        <v>varchar</v>
      </c>
      <c r="F10" s="6"/>
      <c r="G10" t="str">
        <f t="shared" ref="G10" si="15">IFERROR(MID(B10,FIND("(",B10) +1, FIND(")",B10) - FIND("(",B10) - 1),"")</f>
        <v>50</v>
      </c>
      <c r="H10" t="str">
        <f>+VLOOKUP(E10,'Data Type Mapping'!A:B,2,)</f>
        <v>string</v>
      </c>
      <c r="I10" t="str">
        <f t="shared" ref="I10" si="16">IF(H10="string",REPT(CHAR(9),2)&amp;"public const int Max"&amp;D10&amp;"Length = "&amp;G10&amp;";"&amp;$E$3,"" )</f>
        <v xml:space="preserve">		public const int MaxPartCdLength = 50;
</v>
      </c>
      <c r="J10" t="str">
        <f t="shared" ref="J10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[StringLength(MaxPartCdLength)]
		public virtual string PartCd { get; set; }
</v>
      </c>
      <c r="K10" s="6" t="s">
        <v>360</v>
      </c>
      <c r="L10" t="str">
        <f t="shared" si="5"/>
        <v xml:space="preserve">	[Index(nameof(PartCd), Name="IX_MasterPlmPart_PartCd")]</v>
      </c>
      <c r="M10" t="str">
        <f t="shared" ref="M10" si="18">REPT(CHAR(9),2)&amp;"public virtual "&amp;IF(OR(H10="DateTime",H10="TimeSpan"),H10&amp;"?",H10)&amp;IF(C10="?","? "," ")&amp;D10&amp;" { get; set; }" &amp; "
"</f>
        <v xml:space="preserve">		public virtual string PartCd { get; set; }
</v>
      </c>
      <c r="N10" t="str">
        <f t="shared" ref="N10" si="19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[StringLength(MasterPlmPartConsts.MaxPartCdLength)]
		public virtual string PartCd { get; set; }
</v>
      </c>
      <c r="O10" t="str">
        <f t="shared" ref="O10" si="20">IF(OR(H10="string",H10="DateTime",H10="int"),REPT(CHAR(9),2)&amp;"public virtual "&amp;IF(OR(H10="DateTime",H10="TimeSpan"),H10&amp;"?",H10)&amp;IF(C10="?","? "," ")&amp;D10&amp;" { get; set; }"&amp;$E$3,"")</f>
        <v xml:space="preserve">		public virtual string PartCd { get; set; }
</v>
      </c>
      <c r="P10" t="str">
        <f t="shared" ref="P10" si="21">REPT(CHAR(9),7)&amp;D10&amp;" = o." &amp;D10 &amp;","</f>
        <v xml:space="preserve">							PartCd = o.PartCd,</v>
      </c>
      <c r="T10" s="63" t="str">
        <f t="shared" ref="T10" si="22">REPT(CHAR(9),8)&amp;"("""&amp;D10&amp;"""),"</f>
        <v xml:space="preserve">								("PartCd"),</v>
      </c>
      <c r="V10" s="64" t="str">
        <f t="shared" ref="V10" si="23">REPT(CHAR(9),8)&amp;"_ =&gt; _."&amp;D10&amp;","</f>
        <v xml:space="preserve">								_ =&gt; _.PartCd,</v>
      </c>
      <c r="W10" s="63" t="str">
        <f t="shared" ref="W10" si="24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.WhereIf(!string.IsNullOrWhiteSpace(input.PartCd), e =&gt; e.PartCd.Contains(input.PartCd))</v>
      </c>
    </row>
    <row r="11" spans="1:23" customFormat="1" ht="18.75" customHeight="1" x14ac:dyDescent="0.25">
      <c r="A11" t="s">
        <v>363</v>
      </c>
      <c r="B11" t="s">
        <v>4</v>
      </c>
      <c r="C11" t="s">
        <v>1</v>
      </c>
      <c r="D11" t="str">
        <f t="shared" ref="D11" si="25">SUBSTITUTE(PROPER(A11),"_","")</f>
        <v>R</v>
      </c>
      <c r="E11" t="str">
        <f t="shared" ref="E11" si="26">IFERROR(LEFT(B11, FIND("(",B11)-1),B11)</f>
        <v>int</v>
      </c>
      <c r="F11" s="6"/>
      <c r="G11" t="str">
        <f t="shared" ref="G11" si="27">IFERROR(MID(B11,FIND("(",B11) +1, FIND(")",B11) - FIND("(",B11) - 1),"")</f>
        <v/>
      </c>
      <c r="H11" t="str">
        <f>+VLOOKUP(E11,'Data Type Mapping'!A:B,2,)</f>
        <v>int?</v>
      </c>
      <c r="I11" t="str">
        <f t="shared" ref="I11" si="28">IF(H11="string",REPT(CHAR(9),2)&amp;"public const int Max"&amp;D11&amp;"Length = "&amp;G11&amp;";"&amp;$E$3,"" )</f>
        <v/>
      </c>
      <c r="J11" t="str">
        <f t="shared" ref="J11" si="29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public virtual int? R { get; set; }
</v>
      </c>
      <c r="K11" s="6"/>
      <c r="L11" t="str">
        <f t="shared" ref="L11" si="30">IF(K11="","",REPT(CHAR(9),1)&amp;"[Index(nameof("&amp;IF(D11="","",""&amp;D11)&amp;")"&amp;", Name="&amp;"""IX_"&amp;$B$7&amp;"_"&amp;D11&amp;""")]")</f>
        <v/>
      </c>
      <c r="M11" t="str">
        <f t="shared" ref="M11" si="31">REPT(CHAR(9),2)&amp;"public virtual "&amp;IF(OR(H11="DateTime",H11="TimeSpan"),H11&amp;"?",H11)&amp;IF(C11="?","? "," ")&amp;D11&amp;" { get; set; }" &amp; "
"</f>
        <v xml:space="preserve">		public virtual int? R { get; set; }
</v>
      </c>
      <c r="N11" t="str">
        <f t="shared" ref="N11" si="32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public virtual int? R { get; set; }
</v>
      </c>
      <c r="O11" t="str">
        <f t="shared" ref="O11" si="33">IF(OR(H11="string",H11="DateTime",H11="int"),REPT(CHAR(9),2)&amp;"public virtual "&amp;IF(OR(H11="DateTime",H11="TimeSpan"),H11&amp;"?",H11)&amp;IF(C11="?","? "," ")&amp;D11&amp;" { get; set; }"&amp;$E$3,"")</f>
        <v/>
      </c>
      <c r="P11" t="str">
        <f t="shared" ref="P11" si="34">REPT(CHAR(9),7)&amp;D11&amp;" = o." &amp;D11 &amp;","</f>
        <v xml:space="preserve">							R = o.R,</v>
      </c>
      <c r="T11" s="63" t="str">
        <f t="shared" ref="T11" si="35">REPT(CHAR(9),8)&amp;"("""&amp;D11&amp;"""),"</f>
        <v xml:space="preserve">								("R"),</v>
      </c>
      <c r="V11" s="64" t="str">
        <f t="shared" ref="V11" si="36">REPT(CHAR(9),8)&amp;"_ =&gt; _."&amp;D11&amp;","</f>
        <v xml:space="preserve">								_ =&gt; _.R,</v>
      </c>
      <c r="W11" s="63" t="str">
        <f t="shared" ref="W11" si="37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/>
      </c>
    </row>
    <row r="12" spans="1:23" customFormat="1" ht="18.75" customHeight="1" x14ac:dyDescent="0.25">
      <c r="A12" t="s">
        <v>364</v>
      </c>
      <c r="B12" t="s">
        <v>4</v>
      </c>
      <c r="C12" t="s">
        <v>1</v>
      </c>
      <c r="D12" t="str">
        <f t="shared" ref="D12:D13" si="38">SUBSTITUTE(PROPER(A12),"_","")</f>
        <v>G</v>
      </c>
      <c r="E12" t="str">
        <f t="shared" ref="E12:E13" si="39">IFERROR(LEFT(B12, FIND("(",B12)-1),B12)</f>
        <v>int</v>
      </c>
      <c r="F12" s="6"/>
      <c r="G12" t="str">
        <f t="shared" ref="G12:G13" si="40">IFERROR(MID(B12,FIND("(",B12) +1, FIND(")",B12) - FIND("(",B12) - 1),"")</f>
        <v/>
      </c>
      <c r="H12" t="str">
        <f>+VLOOKUP(E12,'Data Type Mapping'!A:B,2,)</f>
        <v>int?</v>
      </c>
      <c r="I12" t="str">
        <f t="shared" ref="I12:I13" si="41">IF(H12="string",REPT(CHAR(9),2)&amp;"public const int Max"&amp;D12&amp;"Length = "&amp;G12&amp;";"&amp;$E$3,"" )</f>
        <v/>
      </c>
      <c r="J12" t="str">
        <f t="shared" ref="J12:J13" si="42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public virtual int? G { get; set; }
</v>
      </c>
      <c r="K12" s="6"/>
      <c r="L12" t="str">
        <f t="shared" ref="L12:L13" si="43">IF(K12="","",REPT(CHAR(9),1)&amp;"[Index(nameof("&amp;IF(D12="","",""&amp;D12)&amp;")"&amp;", Name="&amp;"""IX_"&amp;$B$7&amp;"_"&amp;D12&amp;""")]")</f>
        <v/>
      </c>
      <c r="M12" t="str">
        <f t="shared" ref="M12:M13" si="44">REPT(CHAR(9),2)&amp;"public virtual "&amp;IF(OR(H12="DateTime",H12="TimeSpan"),H12&amp;"?",H12)&amp;IF(C12="?","? "," ")&amp;D12&amp;" { get; set; }" &amp; "
"</f>
        <v xml:space="preserve">		public virtual int? G { get; set; }
</v>
      </c>
      <c r="N12" t="str">
        <f t="shared" ref="N12:N13" si="45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public virtual int? G { get; set; }
</v>
      </c>
      <c r="O12" t="str">
        <f t="shared" ref="O12:O13" si="46">IF(OR(H12="string",H12="DateTime",H12="int"),REPT(CHAR(9),2)&amp;"public virtual "&amp;IF(OR(H12="DateTime",H12="TimeSpan"),H12&amp;"?",H12)&amp;IF(C12="?","? "," ")&amp;D12&amp;" { get; set; }"&amp;$E$3,"")</f>
        <v/>
      </c>
      <c r="P12" t="str">
        <f t="shared" ref="P12:P13" si="47">REPT(CHAR(9),7)&amp;D12&amp;" = o." &amp;D12 &amp;","</f>
        <v xml:space="preserve">							G = o.G,</v>
      </c>
      <c r="T12" s="63" t="str">
        <f t="shared" ref="T12:T13" si="48">REPT(CHAR(9),8)&amp;"("""&amp;D12&amp;"""),"</f>
        <v xml:space="preserve">								("G"),</v>
      </c>
      <c r="V12" s="64" t="str">
        <f t="shared" ref="V12:V13" si="49">REPT(CHAR(9),8)&amp;"_ =&gt; _."&amp;D12&amp;","</f>
        <v xml:space="preserve">								_ =&gt; _.G,</v>
      </c>
      <c r="W12" s="63" t="str">
        <f t="shared" ref="W12:W13" si="50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/>
      </c>
    </row>
    <row r="13" spans="1:23" customFormat="1" ht="18.75" customHeight="1" x14ac:dyDescent="0.25">
      <c r="A13" t="s">
        <v>365</v>
      </c>
      <c r="B13" t="s">
        <v>4</v>
      </c>
      <c r="C13" t="s">
        <v>1</v>
      </c>
      <c r="D13" t="str">
        <f t="shared" si="38"/>
        <v>B</v>
      </c>
      <c r="E13" t="str">
        <f t="shared" si="39"/>
        <v>int</v>
      </c>
      <c r="F13" s="6"/>
      <c r="G13" t="str">
        <f t="shared" si="40"/>
        <v/>
      </c>
      <c r="H13" t="str">
        <f>+VLOOKUP(E13,'Data Type Mapping'!A:B,2,)</f>
        <v>int?</v>
      </c>
      <c r="I13" t="str">
        <f t="shared" si="41"/>
        <v/>
      </c>
      <c r="J13" t="str">
        <f t="shared" si="42"/>
        <v xml:space="preserve">		public virtual int? B { get; set; }
</v>
      </c>
      <c r="K13" s="6"/>
      <c r="L13" t="str">
        <f t="shared" si="43"/>
        <v/>
      </c>
      <c r="M13" t="str">
        <f t="shared" si="44"/>
        <v xml:space="preserve">		public virtual int? B { get; set; }
</v>
      </c>
      <c r="N13" t="str">
        <f t="shared" si="45"/>
        <v xml:space="preserve">		public virtual int? B { get; set; }
</v>
      </c>
      <c r="O13" t="str">
        <f t="shared" si="46"/>
        <v/>
      </c>
      <c r="P13" t="str">
        <f t="shared" si="47"/>
        <v xml:space="preserve">							B = o.B,</v>
      </c>
      <c r="T13" s="63" t="str">
        <f t="shared" si="48"/>
        <v xml:space="preserve">								("B"),</v>
      </c>
      <c r="V13" s="64" t="str">
        <f t="shared" si="49"/>
        <v xml:space="preserve">								_ =&gt; _.B,</v>
      </c>
      <c r="W13" s="63" t="str">
        <f t="shared" si="50"/>
        <v/>
      </c>
    </row>
    <row r="15" spans="1:23" ht="45.75" customHeight="1" x14ac:dyDescent="0.25">
      <c r="H15" s="11"/>
      <c r="I15" s="31" t="str">
        <f ca="1">TEXTJOIN2("
", TRUE,INDIRECT( $H$1):INDIRECT( $H$3))</f>
        <v xml:space="preserve">		public const int MaxPartNameLength = 500;
		public const int MaxPartCdLength = 50;
</v>
      </c>
      <c r="J15" s="30" t="str">
        <f ca="1">TEXTJOIN2("
", TRUE,INDIRECT( $F$1):INDIRECT( $F$3))</f>
        <v xml:space="preserve">		[StringLength(MaxPartNameLength)]
		public virtual string PartName { get; set; }
		[StringLength(MaxPartCdLength)]
		public virtual string PartCd { get; set; }
		public virtual int? R { get; set; }
		public virtual int? G { get; set; }
		public virtual int? B { get; set; }
</v>
      </c>
      <c r="K15" s="32" t="str">
        <f ca="1">TEXTJOIN2("
", TRUE,INDIRECT( $J$1):INDIRECT( $J$3))</f>
        <v xml:space="preserve">	[Index(nameof(PartName), Name="IX_MasterPlmPart_PartName")]
	[Index(nameof(PartCd), Name="IX_MasterPlmPart_PartCd")]
</v>
      </c>
      <c r="L15" s="12" t="s">
        <v>57</v>
      </c>
      <c r="M15" s="33" t="str">
        <f ca="1">TEXTJOIN2("
",TRUE,INDIRECT( $L$1):INDIRECT($L$3))</f>
        <v xml:space="preserve">		public virtual string PartName { get; set; }
		public virtual string PartCd { get; set; }
		public virtual int? R { get; set; }
		public virtual int? G { get; set; }
		public virtual int? B { get; set; }
</v>
      </c>
      <c r="N15" s="30" t="str">
        <f ca="1">TEXTJOIN2("
",TRUE,INDIRECT( $M$1):INDIRECT($M$3))</f>
        <v xml:space="preserve">		[StringLength(MasterPlmPartConsts.MaxPartNameLength)]
		public virtual string PartName { get; set; }
		[StringLength(MasterPlmPartConsts.MaxPartCdLength)]
		public virtual string PartCd { get; set; }
		public virtual int? R { get; set; }
		public virtual int? G { get; set; }
		public virtual int? B { get; set; }
</v>
      </c>
      <c r="O15" s="30" t="str">
        <f ca="1">TEXTJOIN2("
",TRUE,INDIRECT( $N$1):INDIRECT($N$3))</f>
        <v xml:space="preserve">		public virtual string PartName { get; set; }
		public virtual string PartCd { get; set; }
</v>
      </c>
      <c r="P15" s="8" t="str">
        <f ca="1">TEXTJOIN2("
",TRUE,INDIRECT( $O$1):INDIRECT($O$3))</f>
        <v xml:space="preserve">							PartName = o.PartName,
							PartCd = o.PartCd,
							R = o.R,
							G = o.G,
							B = o.B,</v>
      </c>
      <c r="T15" s="8" t="str">
        <f ca="1">TEXTJOIN2("
",TRUE,INDIRECT( $T$2):INDIRECT($T$3))</f>
        <v xml:space="preserve">								("PartName"),
								("PartCd"),
								("R"),
								("G"),
								("B"),</v>
      </c>
      <c r="V15" s="8" t="str">
        <f ca="1">TEXTJOIN2("
",TRUE,INDIRECT( $V$2):INDIRECT($V$3))</f>
        <v xml:space="preserve">								_ =&gt; _.PartName,
								_ =&gt; _.PartCd,
								_ =&gt; _.R,
								_ =&gt; _.G,
								_ =&gt; _.B,</v>
      </c>
      <c r="W15" s="8" t="str">
        <f ca="1">TEXTJOIN2("
",TRUE,INDIRECT( $W$2):INDIRECT($W$3))</f>
        <v xml:space="preserve">				.WhereIf(!string.IsNullOrWhiteSpace(input.PartName), e =&gt; e.PartName.Contains(input.PartName))
				.WhereIf(!string.IsNullOrWhiteSpace(input.PartCd), e =&gt; e.PartCd.Contains(input.PartCd))
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21"/>
  <sheetViews>
    <sheetView topLeftCell="A2" workbookViewId="0">
      <selection activeCell="B21" sqref="B21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38" t="s">
        <v>208</v>
      </c>
      <c r="B1" s="39" t="s">
        <v>354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233</v>
      </c>
      <c r="B2" s="39" t="str">
        <f>A.Backend!B4</f>
        <v>Master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233</v>
      </c>
      <c r="B3" s="39" t="str">
        <f>LOWER(B2)</f>
        <v>master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210</v>
      </c>
      <c r="B4" s="40" t="str">
        <f>A.Backend!Q3</f>
        <v>Plm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210</v>
      </c>
      <c r="B5" s="40" t="str">
        <f>LOWER(B4)</f>
        <v>plm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220</v>
      </c>
      <c r="B6" s="41" t="str">
        <f>A.Backend!B3</f>
        <v>MasterPlmPart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211</v>
      </c>
      <c r="B7" s="40" t="str">
        <f>A.Backend!B5</f>
        <v>Part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209</v>
      </c>
      <c r="B8" s="40" t="str">
        <f>LOWER(B7)</f>
        <v>part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25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MasterPlmPartDto, MasterPlmPartServiceProxy } from '@shared/service-proxies/service-proxies';
import { finalize } from 'rxjs/internal/operators/finalize';
import { CreateOrEditPartModalComponent } from './create-or-edit-part-modal.component';
import { DatePipe } from '@angular/common';
import { FileDownloadService } from '@shared/utils/file-download.service';
import ceil from 'lodash-es/ceil';
import { Paginator } from 'primeng/paginator';
@Component({
    templateUrl: './part.component.html',
    styleUrls: ['./part.component.less'],
})
export class PartComponent extends AppComponentBase implements OnInit {
    @ViewChild('createOrEditModalPart', { static: true }) createOrEditModalPart:| CreateOrEditPartModalComponent|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MasterPlmPartDto = new MasterPlmPartDto();
    saveSelectedRow: MasterPlmPartDto = new MasterPlmPartDto();
    datas: MasterPlmPartDto = new MasterPlmPartDto();
    isLoading: boolean = false;
    dataParams: GridParams | undefined;
    rowData: any[] = [];
    gridApi!: GridApi;
    rowSelection = 'multiple';
    filter: string = '';
	pipe = new DatePipe('en-US');
	frameworkComponents: FrameworkComponent;
    	partName : string = '' ; 
	partCd : string = '' ; 
	r
	g
	b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MasterPlmPartServiceProxy,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Name'),headerTooltip: this.l('Part Name'),field: 'partName',flex: 1},
			{headerName: this.l('Part Cd'),headerTooltip: this.l('Part Cd'),field: 'partCd',flex: 1},
			{headerName: this.l('R'),headerTooltip: this.l('R'),field: 'r',flex: 1},
			{headerName: this.l('G'),headerTooltip: this.l('G'),field: 'g',flex: 1},
			{headerName: this.l('B'),headerTooltip: this.l('B'),field: 'b',flex: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this.partName,
			this.partCd,
			this.r,
			this.g,
			this.b,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this.partName = '',
		this.partCd = '',
		this.r = '',
		this.g = '',
		this.b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this.partName,
			this.partCd,
			this.r,
			this.g,
			this.b,
			'',
            this.paginationParams.skipCount,
            this.paginationParams.pageSize
        );
    }
    onChangeRowSelection(params: { api: { getSelectedRows: () =&gt; MasterPlmPartDto[] } }) {
        this.saveSelectedRow = params.api.getSelectedRows()[0] ?? new MasterPlmPartDto();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MasterPlmPartDto):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this._service.getPartToExcel(
			this.partName,
			this.partCd,
			this.r,
			this.g,
			this.b,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Container Invoice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[(ngModel)]='partCd' name='partCd'
									class='form-control' [placeholder]="l('Part Cd')"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(click)="createOrEditModalPart.show()"&gt;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(click)="createOrEditModalPart.show(selectedRow)"&gt;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&lt;create-or-edit-part-modal
    #createOrEditModalPart
    (modalSave)="callBackDataGrid(dataParams)"
    (modalClose)="onChangeRowSelection(dataParams)"
&gt;
&lt;/create-or-edit-part-modal&gt;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#createOrEditModalPart="bs-modal"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Part')}}&lt;/h3&gt;
                    &lt;h3 *ngIf="!rowdata.id"&gt;{{('Create New Part')}}&lt;/h3&gt;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title'&gt;Part Cd&lt;/label&gt;
						&lt;input type='text' class='col-md-10 form-control input-text' name='PartCd' [(ngModel)]='rowdata.partCd'&gt;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CreateOrEditMasterPlmPartDto, MasterPlmPartServiceProxy } from '@shared/service-proxies/service-proxies';
import { BsDatepickerDirective } from 'ngx-bootstrap/datepicker';
@Component({
    selector: 'create-or-edit-part-modal',
    templateUrl: './create-or-edit-part-modal.component.html',
    styleUrls: ['./create-or-edit-part-modal.component.less']
    })
export class CreateOrEditPartModalComponent extends AppComponentBase {
    @ViewChild('createOrEditModalPart',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CreateOrEditMasterPlmPartDto = new CreateOrEditMasterPlmPartDto();
    active: boolean = false;
    saving: boolean = false;
    _: boolean;
    constructor(
        injector: Injector,
        private _mstwptPartService: MasterPlmPartServiceProxy,
    ) 
    {
        super(injector);
    }
    show(rowdata?: CreateOrEditMasterPlmPartDto): void {
        if (!rowdata) this.rowdata = new CreateOrEditMasterPlmPartDto();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this._mstwptPartService.createOrEdit(this.rowdata)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PartRoutingModule } from './part-routing.module';
import { PartComponent } from './part.component';
import { CreateOrEditPartModalComponent } from './create-or-edit-part-modal.component';
@NgModule({
    declarations: [
       PartComponent, 
        CreateOrEditPartModalComponent
    ],
    imports: [
        AppSharedModule, PartRoutingModule]
})
export class PartModule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PartComponent } from './part.component';
const routes: Routes = [{
    path: '',
    component: PartComponent,
    pathMatch: 'full'
}];
@NgModule({
    imports: [RouterModule.forChild(routes)],
    exports: [RouterModule],
})
export class PartRoutingModule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AppMenuItem("Part", "Pages.Master.Plm.Part", "flaticon-book",   "/app/main/master/plm/part"),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'master/plm/part',
    loadChildren: () =&gt; import('./master/plm/part/part.module').then(m =&gt; m.PartModule),
    data: { permission: 'Pages.Master.Plm.Part' }
},</v>
      </c>
      <c r="R10" s="47" t="str">
        <f>SUBSTITUTE(R9,"MstWptCalendar",$B$6)</f>
        <v>ApiServiceProxies.MasterPlmPartServiceProxy,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H19</v>
      </c>
      <c r="I12" s="28" t="str">
        <f>"I"&amp;COUNTA($A:$A)</f>
        <v>I19</v>
      </c>
      <c r="J12" s="28"/>
      <c r="K12" s="28" t="str">
        <f>"K"&amp;COUNTA($A:$A)</f>
        <v>K19</v>
      </c>
      <c r="L12" s="28" t="str">
        <f>"L"&amp;COUNTA($A:$A)</f>
        <v>L19</v>
      </c>
      <c r="M12" s="28"/>
      <c r="N12" s="28"/>
      <c r="O12" s="28"/>
      <c r="P12" s="28"/>
      <c r="Q12" s="28"/>
      <c r="R12" s="28"/>
      <c r="S12" s="28" t="str">
        <f>"S"&amp;COUNTA($A:$A)</f>
        <v>S19</v>
      </c>
      <c r="T12" s="28" t="str">
        <f>"T"&amp;COUNTA($A:$A)</f>
        <v>T19</v>
      </c>
      <c r="U12" s="28" t="str">
        <f>"U"&amp;COUNTA($A:$A)</f>
        <v>U19</v>
      </c>
      <c r="V12" s="28" t="str">
        <f>"V"&amp;COUNTA($A:$A)</f>
        <v>V19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this.l('Part Name'),headerTooltip: this.l('Part Name'),field: 'partName',flex: 1},
			{headerName: this.l('Part Cd'),headerTooltip: this.l('Part Cd'),field: 'partCd',flex: 1},
			{headerName: this.l('R'),headerTooltip: this.l('R'),field: 'r',flex: 1},
			{headerName: this.l('G'),headerTooltip: this.l('G'),field: 'g',flex: 1},
			{headerName: this.l('B'),headerTooltip: this.l('B'),field: 'b',flex: 1},</v>
      </c>
      <c r="I13" s="35" t="str">
        <f ca="1">TEXTJOIN2("
",TRUE,INDIRECT(I11):INDIRECT(I12))</f>
        <v xml:space="preserve">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[(ngModel)]='partCd' name='partCd'
									class='form-control' [placeholder]="l('Part Cd')"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title'&gt;Part Cd&lt;/label&gt;
						&lt;input type='text' class='col-md-10 form-control input-text' name='PartCd' [(ngModel)]='rowdata.partCd'&gt;
					&lt;/div&gt;
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partName : string = '' ; 
	partCd : string = '' ; 
	r
	g
	b</v>
      </c>
      <c r="T13" s="62" t="str">
        <f ca="1">TEXTJOIN2("
",TRUE,INDIRECT(T11):INDIRECT(T12))</f>
        <v xml:space="preserve">			this.partName,
			this.partCd,
			this.r,
			this.g,
			this.b,</v>
      </c>
      <c r="U13" s="62" t="str">
        <f ca="1">TEXTJOIN2("
",TRUE,INDIRECT(U11):INDIRECT(U12))</f>
        <v xml:space="preserve">		this.partName = '',
		this.partCd = '',
		this.r = '',
		this.g = '',
		this.b = '',</v>
      </c>
      <c r="V13" s="28" t="str">
        <f ca="1">TEXTJOIN2("
",TRUE,INDIRECT(V11):INDIRECT(V12))</f>
        <v/>
      </c>
    </row>
    <row r="14" spans="1:22" x14ac:dyDescent="0.25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part.component.ts</v>
      </c>
      <c r="I14" s="37" t="str">
        <f>B8&amp;".component.html"</f>
        <v>part.component.html</v>
      </c>
      <c r="J14" s="36" t="str">
        <f>B8&amp;".component.less"</f>
        <v>part.component.less</v>
      </c>
      <c r="K14" s="37" t="str">
        <f>"create-or-edit-"&amp;B8&amp;"-modal.component.html"</f>
        <v>create-or-edit-part-modal.component.html</v>
      </c>
      <c r="L14" s="37" t="str">
        <f>"create-or-edit-"&amp;B8&amp;"-modal.component.ts"</f>
        <v>create-or-edit-part-modal.component.ts</v>
      </c>
      <c r="M14" s="37" t="str">
        <f>"create-or-edit-"&amp;B8&amp;"-modal.component.less"</f>
        <v>create-or-edit-part-modal.component.less</v>
      </c>
      <c r="N14" s="37" t="str">
        <f>B8&amp;".module.ts"</f>
        <v>part.module.ts</v>
      </c>
      <c r="O14" s="37" t="str">
        <f>B8&amp;"-routing.module.ts"</f>
        <v>part-routing.module.ts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25">
      <c r="A15" s="28" t="s">
        <v>361</v>
      </c>
      <c r="B15" s="28" t="str">
        <f t="shared" ref="B15" si="0">SUBSTITUTE(PROPER(A15),"_","")</f>
        <v>PartName</v>
      </c>
      <c r="C15" s="28" t="str">
        <f t="shared" ref="C15" si="1">SUBSTITUTE(PROPER(A15),"_"," ")</f>
        <v>Part Name</v>
      </c>
      <c r="D15" s="28" t="str">
        <f t="shared" ref="D15" si="2">LOWER(LEFT(B15,1))&amp;RIGHT(B15,LEN(B15) - 1)</f>
        <v>partName</v>
      </c>
      <c r="E15" s="28" t="str">
        <f>A.Backend!H9</f>
        <v>string</v>
      </c>
      <c r="F15" s="28" t="str">
        <f>A.Backend!G9</f>
        <v>500</v>
      </c>
      <c r="G15" s="28" t="str">
        <f t="shared" ref="G15:G16" si="3">IF(E15="string"," : string = '' ; ",IF(OR(E15="DateTime",E15="TimeSpan")," : any ;",IF(E15="int"," : number = 0 ;","")))</f>
        <v xml:space="preserve"> : string = '' ; </v>
      </c>
      <c r="H15" s="35" t="str">
        <f t="shared" ref="H15:H19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this.l('Part Name'),headerTooltip: this.l('Part Name'),field: 'partName',flex: 1},</v>
      </c>
      <c r="I15" s="35" t="str">
        <f t="shared" ref="I15:I19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[(ngModel)]='partName' name='partName'
									class='form-control' [placeholder]="l('Part Name')"
									type='text' (keyup.enter)='searchDatas()'&gt;
								&lt;/div&gt;</v>
      </c>
      <c r="J15" s="28"/>
      <c r="K15" s="35" t="str">
        <f t="shared" ref="K15:K19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title'&gt;Part Name&lt;/label&gt;
						&lt;input type='text' class='col-md-10 form-control input-text' name='PartName' [(ngModel)]='rowdata.partName'&gt;
					&lt;/div&gt;</v>
      </c>
      <c r="L15" s="56" t="str">
        <f t="shared" ref="L15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partName : string = '' ; </v>
      </c>
      <c r="T15" s="28" t="str">
        <f>REPT(CHAR(9),3)&amp;"this."&amp;D15&amp;","</f>
        <v xml:space="preserve">			this.partName,</v>
      </c>
      <c r="U15" s="28" t="str">
        <f>IF(E15="int",REPT(CHAR(9),2)&amp;"this."&amp;D15&amp;" = 0,",REPT(CHAR(9),2)&amp;"this."&amp;D15&amp;" = '',")</f>
        <v xml:space="preserve">		this.partName = '',</v>
      </c>
      <c r="V15" s="28" t="str">
        <f t="shared" ref="V15:V19" si="8">IF(AND(E15="string",F15="1"),D15,"")</f>
        <v/>
      </c>
    </row>
    <row r="16" spans="1:22" ht="18" customHeight="1" x14ac:dyDescent="0.25">
      <c r="A16" s="28" t="s">
        <v>362</v>
      </c>
      <c r="B16" s="28" t="str">
        <f t="shared" ref="B16" si="9">SUBSTITUTE(PROPER(A16),"_","")</f>
        <v>PartCd</v>
      </c>
      <c r="C16" s="28" t="str">
        <f t="shared" ref="C16" si="10">SUBSTITUTE(PROPER(A16),"_"," ")</f>
        <v>Part Cd</v>
      </c>
      <c r="D16" s="28" t="str">
        <f t="shared" ref="D16" si="11">LOWER(LEFT(B16,1))&amp;RIGHT(B16,LEN(B16) - 1)</f>
        <v>partCd</v>
      </c>
      <c r="E16" s="28" t="str">
        <f>A.Backend!H10</f>
        <v>string</v>
      </c>
      <c r="F16" s="28" t="str">
        <f>A.Backend!G10</f>
        <v>50</v>
      </c>
      <c r="G16" s="28" t="str">
        <f t="shared" si="3"/>
        <v xml:space="preserve"> : string = '' ; </v>
      </c>
      <c r="H16" s="35" t="str">
        <f t="shared" si="4"/>
        <v xml:space="preserve">			{headerName: this.l('Part Cd'),headerTooltip: this.l('Part Cd'),field: 'partCd',flex: 1},</v>
      </c>
      <c r="I16" s="35" t="str">
        <f t="shared" si="5"/>
        <v xml:space="preserve">								&lt;div class='input-search'&gt;
									&lt;input [(ngModel)]='partCd' name='partCd'
									class='form-control' [placeholder]="l('Part Cd')"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title'&gt;Part Cd&lt;/label&gt;
						&lt;input type='text' class='col-md-10 form-control input-text' name='PartCd' [(ngModel)]='rowdata.partCd'&gt;
					&lt;/div&gt;</v>
      </c>
      <c r="L16" s="56" t="str">
        <f t="shared" ref="L16" si="12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19" si="13">REPT(CHAR(9),1)&amp;D16&amp;G16</f>
        <v xml:space="preserve">	partCd : string = '' ; </v>
      </c>
      <c r="T16" s="28" t="str">
        <f t="shared" ref="T16:T19" si="14">REPT(CHAR(9),3)&amp;"this."&amp;D16&amp;","</f>
        <v xml:space="preserve">			this.partCd,</v>
      </c>
      <c r="U16" s="28" t="str">
        <f t="shared" ref="U16:U19" si="15">IF(E16="int",REPT(CHAR(9),2)&amp;"this."&amp;D16&amp;" = 0,",REPT(CHAR(9),2)&amp;"this."&amp;D16&amp;" = '',")</f>
        <v xml:space="preserve">		this.partCd = '',</v>
      </c>
      <c r="V16" s="28" t="str">
        <f t="shared" si="8"/>
        <v/>
      </c>
    </row>
    <row r="17" spans="1:22" ht="18" customHeight="1" x14ac:dyDescent="0.25">
      <c r="A17" s="28" t="s">
        <v>363</v>
      </c>
      <c r="B17" s="28" t="str">
        <f>SUBSTITUTE(PROPER(A17),"_","")</f>
        <v>R</v>
      </c>
      <c r="C17" s="28" t="str">
        <f>SUBSTITUTE(PROPER(A17),"_"," ")</f>
        <v>R</v>
      </c>
      <c r="D17" s="28" t="str">
        <f>LOWER(LEFT(B17,1))&amp;RIGHT(B17,LEN(B17) - 1)</f>
        <v>r</v>
      </c>
      <c r="E17" s="28" t="str">
        <f>A.Backend!H11</f>
        <v>int?</v>
      </c>
      <c r="F17" s="28" t="str">
        <f>A.Backend!G11</f>
        <v/>
      </c>
      <c r="G17" s="28" t="str">
        <f t="shared" ref="G17:G19" si="16">IF(E17="string"," : string = '' ; ",IF(OR(E17="DateTime",E17="TimeSpan")," : any ;",IF(E17="int"," : number = 0 ;","")))</f>
        <v/>
      </c>
      <c r="H17" s="35" t="str">
        <f t="shared" si="4"/>
        <v xml:space="preserve">			{headerName: this.l('R'),headerTooltip: this.l('R'),field: 'r',flex: 1},</v>
      </c>
      <c r="I17" s="35" t="str">
        <f t="shared" si="5"/>
        <v/>
      </c>
      <c r="J17" s="28"/>
      <c r="K17" s="35" t="str">
        <f t="shared" si="6"/>
        <v/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3"/>
        <v xml:space="preserve">	r</v>
      </c>
      <c r="T17" s="28" t="str">
        <f t="shared" si="14"/>
        <v xml:space="preserve">			this.r,</v>
      </c>
      <c r="U17" s="28" t="str">
        <f t="shared" si="15"/>
        <v xml:space="preserve">		this.r = '',</v>
      </c>
      <c r="V17" s="28" t="str">
        <f t="shared" si="8"/>
        <v/>
      </c>
    </row>
    <row r="18" spans="1:22" ht="15" customHeight="1" x14ac:dyDescent="0.25">
      <c r="A18" s="28" t="s">
        <v>364</v>
      </c>
      <c r="B18" s="28" t="str">
        <f t="shared" ref="B18:B19" si="17">SUBSTITUTE(PROPER(A18),"_","")</f>
        <v>G</v>
      </c>
      <c r="C18" s="28" t="str">
        <f t="shared" ref="C18:C19" si="18">SUBSTITUTE(PROPER(A18),"_"," ")</f>
        <v>G</v>
      </c>
      <c r="D18" s="28" t="str">
        <f t="shared" ref="D18:D19" si="19">LOWER(LEFT(B18,1))&amp;RIGHT(B18,LEN(B18) - 1)</f>
        <v>g</v>
      </c>
      <c r="E18" s="28" t="str">
        <f>A.Backend!H12</f>
        <v>int?</v>
      </c>
      <c r="F18" s="28" t="str">
        <f>A.Backend!G12</f>
        <v/>
      </c>
      <c r="G18" s="28" t="str">
        <f t="shared" si="16"/>
        <v/>
      </c>
      <c r="H18" s="35" t="str">
        <f t="shared" si="4"/>
        <v xml:space="preserve">			{headerName: this.l('G'),headerTooltip: this.l('G'),field: 'g',flex: 1},</v>
      </c>
      <c r="I18" s="35" t="str">
        <f t="shared" si="5"/>
        <v/>
      </c>
      <c r="J18" s="28"/>
      <c r="K18" s="35" t="str">
        <f t="shared" si="6"/>
        <v/>
      </c>
      <c r="L18" s="56" t="str">
        <f t="shared" ref="L18:L19" si="20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3"/>
        <v xml:space="preserve">	g</v>
      </c>
      <c r="T18" s="28" t="str">
        <f t="shared" si="14"/>
        <v xml:space="preserve">			this.g,</v>
      </c>
      <c r="U18" s="28" t="str">
        <f t="shared" si="15"/>
        <v xml:space="preserve">		this.g = '',</v>
      </c>
      <c r="V18" s="28" t="str">
        <f t="shared" si="8"/>
        <v/>
      </c>
    </row>
    <row r="19" spans="1:22" ht="18" customHeight="1" x14ac:dyDescent="0.25">
      <c r="A19" s="28" t="s">
        <v>365</v>
      </c>
      <c r="B19" s="28" t="str">
        <f t="shared" si="17"/>
        <v>B</v>
      </c>
      <c r="C19" s="28" t="str">
        <f t="shared" si="18"/>
        <v>B</v>
      </c>
      <c r="D19" s="28" t="str">
        <f t="shared" si="19"/>
        <v>b</v>
      </c>
      <c r="E19" s="28" t="str">
        <f>A.Backend!H13</f>
        <v>int?</v>
      </c>
      <c r="F19" s="28" t="str">
        <f>A.Backend!G13</f>
        <v/>
      </c>
      <c r="G19" s="28" t="str">
        <f t="shared" si="16"/>
        <v/>
      </c>
      <c r="H19" s="35" t="str">
        <f t="shared" si="4"/>
        <v xml:space="preserve">			{headerName: this.l('B'),headerTooltip: this.l('B'),field: 'b',flex: 1},</v>
      </c>
      <c r="I19" s="35" t="str">
        <f t="shared" si="5"/>
        <v/>
      </c>
      <c r="J19" s="28"/>
      <c r="K19" s="35" t="str">
        <f t="shared" si="6"/>
        <v/>
      </c>
      <c r="L19" s="56" t="str">
        <f t="shared" si="20"/>
        <v/>
      </c>
      <c r="M19" s="28"/>
      <c r="N19" s="28"/>
      <c r="O19" s="28"/>
      <c r="P19" s="28"/>
      <c r="Q19" s="28"/>
      <c r="R19" s="28"/>
      <c r="S19" s="28" t="str">
        <f t="shared" si="13"/>
        <v xml:space="preserve">	b</v>
      </c>
      <c r="T19" s="28" t="str">
        <f t="shared" si="14"/>
        <v xml:space="preserve">			this.b,</v>
      </c>
      <c r="U19" s="28" t="str">
        <f t="shared" si="15"/>
        <v xml:space="preserve">		this.b = '',</v>
      </c>
      <c r="V19" s="28" t="str">
        <f t="shared" si="8"/>
        <v/>
      </c>
    </row>
    <row r="21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workbookViewId="0">
      <selection activeCell="B24" sqref="B24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34</v>
      </c>
    </row>
    <row r="6" spans="1:2" x14ac:dyDescent="0.25">
      <c r="A6" t="s">
        <v>23</v>
      </c>
      <c r="B6" t="s">
        <v>353</v>
      </c>
    </row>
    <row r="7" spans="1:2" x14ac:dyDescent="0.25">
      <c r="A7" t="s">
        <v>24</v>
      </c>
      <c r="B7" t="s">
        <v>348</v>
      </c>
    </row>
    <row r="8" spans="1:2" x14ac:dyDescent="0.25">
      <c r="A8" t="s">
        <v>4</v>
      </c>
      <c r="B8" t="s">
        <v>348</v>
      </c>
    </row>
    <row r="9" spans="1:2" x14ac:dyDescent="0.25">
      <c r="A9" t="s">
        <v>0</v>
      </c>
      <c r="B9" t="s">
        <v>349</v>
      </c>
    </row>
    <row r="10" spans="1:2" x14ac:dyDescent="0.25">
      <c r="A10" t="s">
        <v>25</v>
      </c>
      <c r="B10" t="s">
        <v>352</v>
      </c>
    </row>
    <row r="11" spans="1:2" x14ac:dyDescent="0.25">
      <c r="A11" t="s">
        <v>26</v>
      </c>
      <c r="B11" t="s">
        <v>352</v>
      </c>
    </row>
    <row r="12" spans="1:2" x14ac:dyDescent="0.25">
      <c r="A12" t="s">
        <v>27</v>
      </c>
      <c r="B12" t="s">
        <v>352</v>
      </c>
    </row>
    <row r="13" spans="1:2" x14ac:dyDescent="0.25">
      <c r="A13" t="s">
        <v>28</v>
      </c>
      <c r="B13" t="s">
        <v>352</v>
      </c>
    </row>
    <row r="14" spans="1:2" x14ac:dyDescent="0.25">
      <c r="A14" t="s">
        <v>29</v>
      </c>
      <c r="B14" t="s">
        <v>352</v>
      </c>
    </row>
    <row r="15" spans="1:2" x14ac:dyDescent="0.25">
      <c r="A15" t="s">
        <v>30</v>
      </c>
      <c r="B15" t="s">
        <v>352</v>
      </c>
    </row>
    <row r="16" spans="1:2" x14ac:dyDescent="0.25">
      <c r="A16" t="s">
        <v>31</v>
      </c>
      <c r="B16" t="s">
        <v>350</v>
      </c>
    </row>
    <row r="17" spans="1:2" x14ac:dyDescent="0.25">
      <c r="A17" t="s">
        <v>3</v>
      </c>
      <c r="B17" t="s">
        <v>350</v>
      </c>
    </row>
    <row r="18" spans="1:2" x14ac:dyDescent="0.25">
      <c r="A18" t="s">
        <v>33</v>
      </c>
      <c r="B18" t="s">
        <v>350</v>
      </c>
    </row>
    <row r="19" spans="1:2" x14ac:dyDescent="0.25">
      <c r="A19" t="s">
        <v>2</v>
      </c>
      <c r="B19" t="s">
        <v>350</v>
      </c>
    </row>
    <row r="20" spans="1:2" x14ac:dyDescent="0.25">
      <c r="A20" t="s">
        <v>263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190</v>
      </c>
      <c r="B2" s="23" t="s">
        <v>187</v>
      </c>
    </row>
    <row r="3" spans="1:2" x14ac:dyDescent="0.25">
      <c r="B3" s="20" t="s">
        <v>112</v>
      </c>
    </row>
    <row r="4" spans="1:2" x14ac:dyDescent="0.25">
      <c r="B4" s="20" t="s">
        <v>113</v>
      </c>
    </row>
    <row r="5" spans="1:2" x14ac:dyDescent="0.25">
      <c r="B5" s="20" t="s">
        <v>114</v>
      </c>
    </row>
    <row r="6" spans="1:2" x14ac:dyDescent="0.25">
      <c r="B6" s="20" t="s">
        <v>115</v>
      </c>
    </row>
    <row r="7" spans="1:2" x14ac:dyDescent="0.25">
      <c r="B7" s="20" t="s">
        <v>116</v>
      </c>
    </row>
    <row r="8" spans="1:2" x14ac:dyDescent="0.25">
      <c r="B8" s="20" t="s">
        <v>117</v>
      </c>
    </row>
    <row r="9" spans="1:2" x14ac:dyDescent="0.25">
      <c r="B9" s="20" t="s">
        <v>118</v>
      </c>
    </row>
    <row r="10" spans="1:2" x14ac:dyDescent="0.25">
      <c r="B10" s="20" t="s">
        <v>119</v>
      </c>
    </row>
    <row r="11" spans="1:2" x14ac:dyDescent="0.25">
      <c r="B11" s="20" t="s">
        <v>120</v>
      </c>
    </row>
    <row r="12" spans="1:2" x14ac:dyDescent="0.25">
      <c r="B12" s="20" t="s">
        <v>121</v>
      </c>
    </row>
    <row r="13" spans="1:2" x14ac:dyDescent="0.25">
      <c r="B13" s="20" t="s">
        <v>122</v>
      </c>
    </row>
    <row r="14" spans="1:2" x14ac:dyDescent="0.25">
      <c r="B14" s="20" t="s">
        <v>123</v>
      </c>
    </row>
    <row r="15" spans="1:2" x14ac:dyDescent="0.25">
      <c r="B15" s="20" t="s">
        <v>124</v>
      </c>
    </row>
    <row r="16" spans="1:2" x14ac:dyDescent="0.25">
      <c r="B16" s="20" t="s">
        <v>125</v>
      </c>
    </row>
    <row r="17" spans="1:3" x14ac:dyDescent="0.25">
      <c r="B17" s="20" t="s">
        <v>126</v>
      </c>
    </row>
    <row r="18" spans="1:3" x14ac:dyDescent="0.25">
      <c r="B18" s="20" t="s">
        <v>127</v>
      </c>
      <c r="C18" t="s">
        <v>189</v>
      </c>
    </row>
    <row r="19" spans="1:3" x14ac:dyDescent="0.25">
      <c r="B19" s="20" t="s">
        <v>128</v>
      </c>
    </row>
    <row r="20" spans="1:3" x14ac:dyDescent="0.25">
      <c r="B20" s="20" t="s">
        <v>129</v>
      </c>
    </row>
    <row r="21" spans="1:3" x14ac:dyDescent="0.25">
      <c r="B21" s="20" t="s">
        <v>130</v>
      </c>
    </row>
    <row r="22" spans="1:3" x14ac:dyDescent="0.25">
      <c r="B22" s="20" t="s">
        <v>131</v>
      </c>
      <c r="C22" t="s">
        <v>194</v>
      </c>
    </row>
    <row r="23" spans="1:3" x14ac:dyDescent="0.25">
      <c r="B23" s="20" t="s">
        <v>132</v>
      </c>
    </row>
    <row r="24" spans="1:3" x14ac:dyDescent="0.25">
      <c r="B24" s="20" t="s">
        <v>133</v>
      </c>
    </row>
    <row r="25" spans="1:3" x14ac:dyDescent="0.25">
      <c r="B25" s="20" t="s">
        <v>134</v>
      </c>
    </row>
    <row r="26" spans="1:3" x14ac:dyDescent="0.25">
      <c r="A26" s="22" t="s">
        <v>191</v>
      </c>
      <c r="B26" s="23" t="s">
        <v>188</v>
      </c>
    </row>
    <row r="27" spans="1:3" x14ac:dyDescent="0.25">
      <c r="B27" s="20" t="s">
        <v>135</v>
      </c>
    </row>
    <row r="28" spans="1:3" x14ac:dyDescent="0.25">
      <c r="B28" s="21" t="s">
        <v>136</v>
      </c>
    </row>
    <row r="29" spans="1:3" x14ac:dyDescent="0.25">
      <c r="B29" s="20" t="s">
        <v>137</v>
      </c>
    </row>
    <row r="30" spans="1:3" x14ac:dyDescent="0.25">
      <c r="B30" s="20" t="s">
        <v>138</v>
      </c>
    </row>
    <row r="31" spans="1:3" x14ac:dyDescent="0.25">
      <c r="B31" s="20" t="s">
        <v>139</v>
      </c>
    </row>
    <row r="32" spans="1:3" x14ac:dyDescent="0.25">
      <c r="B32" s="20" t="s">
        <v>140</v>
      </c>
    </row>
    <row r="33" spans="2:2" x14ac:dyDescent="0.25">
      <c r="B33" s="20" t="s">
        <v>141</v>
      </c>
    </row>
    <row r="34" spans="2:2" x14ac:dyDescent="0.25">
      <c r="B34" s="20" t="s">
        <v>142</v>
      </c>
    </row>
    <row r="35" spans="2:2" x14ac:dyDescent="0.25">
      <c r="B35" s="20" t="s">
        <v>143</v>
      </c>
    </row>
    <row r="36" spans="2:2" x14ac:dyDescent="0.25">
      <c r="B36" s="20" t="s">
        <v>144</v>
      </c>
    </row>
    <row r="37" spans="2:2" x14ac:dyDescent="0.25">
      <c r="B37" s="20" t="s">
        <v>145</v>
      </c>
    </row>
    <row r="38" spans="2:2" x14ac:dyDescent="0.25">
      <c r="B38" s="20" t="s">
        <v>146</v>
      </c>
    </row>
    <row r="39" spans="2:2" x14ac:dyDescent="0.25">
      <c r="B39" s="20" t="s">
        <v>147</v>
      </c>
    </row>
    <row r="40" spans="2:2" x14ac:dyDescent="0.25">
      <c r="B40" s="20" t="s">
        <v>148</v>
      </c>
    </row>
    <row r="41" spans="2:2" x14ac:dyDescent="0.25">
      <c r="B41" s="20" t="s">
        <v>149</v>
      </c>
    </row>
    <row r="42" spans="2:2" x14ac:dyDescent="0.25">
      <c r="B42" s="20" t="s">
        <v>150</v>
      </c>
    </row>
    <row r="43" spans="2:2" x14ac:dyDescent="0.25">
      <c r="B43" s="21" t="s">
        <v>151</v>
      </c>
    </row>
    <row r="44" spans="2:2" x14ac:dyDescent="0.25">
      <c r="B44" s="20" t="s">
        <v>137</v>
      </c>
    </row>
    <row r="45" spans="2:2" x14ac:dyDescent="0.25">
      <c r="B45" s="20" t="s">
        <v>152</v>
      </c>
    </row>
    <row r="46" spans="2:2" x14ac:dyDescent="0.25">
      <c r="B46" s="20" t="s">
        <v>153</v>
      </c>
    </row>
    <row r="47" spans="2:2" x14ac:dyDescent="0.25">
      <c r="B47" s="20" t="s">
        <v>154</v>
      </c>
    </row>
    <row r="48" spans="2:2" x14ac:dyDescent="0.25">
      <c r="B48" s="20" t="s">
        <v>155</v>
      </c>
    </row>
    <row r="49" spans="2:2" x14ac:dyDescent="0.25">
      <c r="B49" s="20" t="s">
        <v>138</v>
      </c>
    </row>
    <row r="50" spans="2:2" x14ac:dyDescent="0.25">
      <c r="B50" s="20" t="s">
        <v>139</v>
      </c>
    </row>
    <row r="51" spans="2:2" x14ac:dyDescent="0.25">
      <c r="B51" s="20" t="s">
        <v>140</v>
      </c>
    </row>
    <row r="52" spans="2:2" x14ac:dyDescent="0.25">
      <c r="B52" s="20" t="s">
        <v>141</v>
      </c>
    </row>
    <row r="53" spans="2:2" x14ac:dyDescent="0.25">
      <c r="B53" s="20" t="s">
        <v>142</v>
      </c>
    </row>
    <row r="54" spans="2:2" x14ac:dyDescent="0.25">
      <c r="B54" s="20" t="s">
        <v>143</v>
      </c>
    </row>
    <row r="55" spans="2:2" x14ac:dyDescent="0.25">
      <c r="B55" s="20" t="s">
        <v>144</v>
      </c>
    </row>
    <row r="56" spans="2:2" x14ac:dyDescent="0.25">
      <c r="B56" s="20" t="s">
        <v>156</v>
      </c>
    </row>
    <row r="57" spans="2:2" x14ac:dyDescent="0.25">
      <c r="B57" s="20" t="s">
        <v>157</v>
      </c>
    </row>
    <row r="58" spans="2:2" x14ac:dyDescent="0.25">
      <c r="B58" s="20" t="s">
        <v>145</v>
      </c>
    </row>
    <row r="59" spans="2:2" x14ac:dyDescent="0.25">
      <c r="B59" s="20" t="s">
        <v>146</v>
      </c>
    </row>
    <row r="60" spans="2:2" x14ac:dyDescent="0.25">
      <c r="B60" s="20" t="s">
        <v>158</v>
      </c>
    </row>
    <row r="61" spans="2:2" x14ac:dyDescent="0.25">
      <c r="B61" s="20" t="s">
        <v>159</v>
      </c>
    </row>
    <row r="62" spans="2:2" x14ac:dyDescent="0.25">
      <c r="B62" s="20" t="s">
        <v>160</v>
      </c>
    </row>
    <row r="63" spans="2:2" x14ac:dyDescent="0.25">
      <c r="B63" s="20" t="s">
        <v>155</v>
      </c>
    </row>
    <row r="64" spans="2:2" x14ac:dyDescent="0.25">
      <c r="B64" s="20" t="s">
        <v>147</v>
      </c>
    </row>
    <row r="65" spans="2:2" x14ac:dyDescent="0.25">
      <c r="B65" s="20" t="s">
        <v>148</v>
      </c>
    </row>
    <row r="66" spans="2:2" x14ac:dyDescent="0.25">
      <c r="B66" s="20" t="s">
        <v>161</v>
      </c>
    </row>
    <row r="67" spans="2:2" x14ac:dyDescent="0.25">
      <c r="B67" s="20" t="s">
        <v>155</v>
      </c>
    </row>
    <row r="68" spans="2:2" x14ac:dyDescent="0.25">
      <c r="B68" s="20" t="s">
        <v>149</v>
      </c>
    </row>
    <row r="69" spans="2:2" x14ac:dyDescent="0.25">
      <c r="B69" s="20" t="s">
        <v>162</v>
      </c>
    </row>
    <row r="70" spans="2:2" x14ac:dyDescent="0.25">
      <c r="B70" s="21" t="s">
        <v>163</v>
      </c>
    </row>
    <row r="71" spans="2:2" x14ac:dyDescent="0.25">
      <c r="B71" s="20" t="s">
        <v>137</v>
      </c>
    </row>
    <row r="72" spans="2:2" x14ac:dyDescent="0.25">
      <c r="B72" s="20" t="s">
        <v>138</v>
      </c>
    </row>
    <row r="73" spans="2:2" x14ac:dyDescent="0.25">
      <c r="B73" s="20" t="s">
        <v>139</v>
      </c>
    </row>
    <row r="74" spans="2:2" x14ac:dyDescent="0.25">
      <c r="B74" s="20" t="s">
        <v>140</v>
      </c>
    </row>
    <row r="75" spans="2:2" x14ac:dyDescent="0.25">
      <c r="B75" s="20" t="s">
        <v>144</v>
      </c>
    </row>
    <row r="76" spans="2:2" x14ac:dyDescent="0.25">
      <c r="B76" s="20" t="s">
        <v>146</v>
      </c>
    </row>
    <row r="77" spans="2:2" x14ac:dyDescent="0.25">
      <c r="B77" s="20" t="s">
        <v>147</v>
      </c>
    </row>
    <row r="78" spans="2:2" x14ac:dyDescent="0.25">
      <c r="B78" s="20" t="s">
        <v>148</v>
      </c>
    </row>
    <row r="79" spans="2:2" x14ac:dyDescent="0.25">
      <c r="B79" s="20" t="s">
        <v>149</v>
      </c>
    </row>
    <row r="80" spans="2:2" x14ac:dyDescent="0.25">
      <c r="B80" s="20" t="s">
        <v>162</v>
      </c>
    </row>
    <row r="81" spans="1:2" x14ac:dyDescent="0.25">
      <c r="B81" s="21" t="s">
        <v>164</v>
      </c>
    </row>
    <row r="82" spans="1:2" x14ac:dyDescent="0.25">
      <c r="B82" s="21" t="s">
        <v>165</v>
      </c>
    </row>
    <row r="83" spans="1:2" x14ac:dyDescent="0.25">
      <c r="B83" s="21" t="s">
        <v>166</v>
      </c>
    </row>
    <row r="84" spans="1:2" x14ac:dyDescent="0.25">
      <c r="B84" s="21" t="s">
        <v>167</v>
      </c>
    </row>
    <row r="85" spans="1:2" x14ac:dyDescent="0.25">
      <c r="B85" s="21" t="s">
        <v>168</v>
      </c>
    </row>
    <row r="86" spans="1:2" x14ac:dyDescent="0.25">
      <c r="B86" s="21" t="s">
        <v>169</v>
      </c>
    </row>
    <row r="87" spans="1:2" x14ac:dyDescent="0.25">
      <c r="B87" s="21" t="s">
        <v>170</v>
      </c>
    </row>
    <row r="88" spans="1:2" x14ac:dyDescent="0.25">
      <c r="A88" s="22" t="s">
        <v>192</v>
      </c>
      <c r="B88" s="24" t="s">
        <v>171</v>
      </c>
    </row>
    <row r="89" spans="1:2" x14ac:dyDescent="0.25">
      <c r="B89" s="20" t="s">
        <v>172</v>
      </c>
    </row>
    <row r="90" spans="1:2" x14ac:dyDescent="0.25">
      <c r="B90" s="20" t="s">
        <v>173</v>
      </c>
    </row>
    <row r="91" spans="1:2" x14ac:dyDescent="0.25">
      <c r="B91" s="20" t="s">
        <v>174</v>
      </c>
    </row>
    <row r="92" spans="1:2" x14ac:dyDescent="0.25">
      <c r="B92" s="20" t="s">
        <v>175</v>
      </c>
    </row>
    <row r="93" spans="1:2" x14ac:dyDescent="0.25">
      <c r="B93" s="20" t="s">
        <v>176</v>
      </c>
    </row>
    <row r="94" spans="1:2" x14ac:dyDescent="0.25">
      <c r="B94" s="20" t="s">
        <v>177</v>
      </c>
    </row>
    <row r="95" spans="1:2" x14ac:dyDescent="0.25">
      <c r="B95" s="20" t="s">
        <v>178</v>
      </c>
    </row>
    <row r="96" spans="1:2" x14ac:dyDescent="0.25">
      <c r="B96" s="20" t="s">
        <v>179</v>
      </c>
    </row>
    <row r="97" spans="2:2" x14ac:dyDescent="0.25">
      <c r="B97" s="20" t="s">
        <v>180</v>
      </c>
    </row>
    <row r="98" spans="2:2" x14ac:dyDescent="0.25">
      <c r="B98" s="20" t="s">
        <v>181</v>
      </c>
    </row>
    <row r="99" spans="2:2" x14ac:dyDescent="0.25">
      <c r="B99" s="20" t="s">
        <v>182</v>
      </c>
    </row>
    <row r="100" spans="2:2" x14ac:dyDescent="0.25">
      <c r="B100" s="20" t="s">
        <v>183</v>
      </c>
    </row>
    <row r="101" spans="2:2" x14ac:dyDescent="0.25">
      <c r="B101" s="20" t="s">
        <v>184</v>
      </c>
    </row>
    <row r="102" spans="2:2" x14ac:dyDescent="0.25">
      <c r="B102" s="20" t="s">
        <v>185</v>
      </c>
    </row>
    <row r="103" spans="2:2" x14ac:dyDescent="0.25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 Trung</cp:lastModifiedBy>
  <dcterms:created xsi:type="dcterms:W3CDTF">2022-04-01T07:31:40Z</dcterms:created>
  <dcterms:modified xsi:type="dcterms:W3CDTF">2023-04-14T07:40:46Z</dcterms:modified>
</cp:coreProperties>
</file>
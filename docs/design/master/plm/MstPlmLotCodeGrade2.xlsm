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TmvProdV12\docs\design\master\plm\"/>
    </mc:Choice>
  </mc:AlternateContent>
  <xr:revisionPtr revIDLastSave="0" documentId="13_ncr:1_{FC67722C-77F8-44F6-AF31-567835967999}" xr6:coauthVersionLast="47" xr6:coauthVersionMax="47" xr10:uidLastSave="{00000000-0000-0000-0000-000000000000}"/>
  <bookViews>
    <workbookView xWindow="19080" yWindow="-120" windowWidth="19440" windowHeight="15000" activeTab="2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0" i="5" l="1"/>
  <c r="F40" i="5"/>
  <c r="E40" i="5"/>
  <c r="V40" i="5" s="1"/>
  <c r="C40" i="5"/>
  <c r="B40" i="5"/>
  <c r="D40" i="5" s="1"/>
  <c r="T40" i="5" s="1"/>
  <c r="L39" i="5"/>
  <c r="G39" i="5"/>
  <c r="F39" i="5"/>
  <c r="K39" i="5" s="1"/>
  <c r="E39" i="5"/>
  <c r="I39" i="5" s="1"/>
  <c r="C39" i="5"/>
  <c r="B39" i="5"/>
  <c r="D39" i="5" s="1"/>
  <c r="F38" i="5"/>
  <c r="E38" i="5"/>
  <c r="C38" i="5"/>
  <c r="B38" i="5"/>
  <c r="D38" i="5" s="1"/>
  <c r="T38" i="5" s="1"/>
  <c r="F37" i="5"/>
  <c r="E37" i="5"/>
  <c r="I37" i="5" s="1"/>
  <c r="C37" i="5"/>
  <c r="B37" i="5"/>
  <c r="D37" i="5" s="1"/>
  <c r="F36" i="5"/>
  <c r="E36" i="5"/>
  <c r="I36" i="5" s="1"/>
  <c r="C36" i="5"/>
  <c r="B36" i="5"/>
  <c r="D36" i="5" s="1"/>
  <c r="T36" i="5" s="1"/>
  <c r="F35" i="5"/>
  <c r="E35" i="5"/>
  <c r="I35" i="5" s="1"/>
  <c r="C35" i="5"/>
  <c r="B35" i="5"/>
  <c r="D35" i="5" s="1"/>
  <c r="B25" i="5"/>
  <c r="D25" i="5" s="1"/>
  <c r="T25" i="5" s="1"/>
  <c r="C25" i="5"/>
  <c r="E25" i="5"/>
  <c r="F25" i="5"/>
  <c r="I25" i="5"/>
  <c r="B26" i="5"/>
  <c r="D26" i="5" s="1"/>
  <c r="C26" i="5"/>
  <c r="E26" i="5"/>
  <c r="L26" i="5" s="1"/>
  <c r="F26" i="5"/>
  <c r="B27" i="5"/>
  <c r="D27" i="5" s="1"/>
  <c r="T27" i="5" s="1"/>
  <c r="C27" i="5"/>
  <c r="E27" i="5"/>
  <c r="I27" i="5" s="1"/>
  <c r="F27" i="5"/>
  <c r="K27" i="5"/>
  <c r="V27" i="5"/>
  <c r="B28" i="5"/>
  <c r="D28" i="5" s="1"/>
  <c r="C28" i="5"/>
  <c r="E28" i="5"/>
  <c r="F28" i="5"/>
  <c r="B29" i="5"/>
  <c r="D29" i="5" s="1"/>
  <c r="C29" i="5"/>
  <c r="E29" i="5"/>
  <c r="L29" i="5" s="1"/>
  <c r="F29" i="5"/>
  <c r="K29" i="5"/>
  <c r="B30" i="5"/>
  <c r="D30" i="5" s="1"/>
  <c r="C30" i="5"/>
  <c r="E30" i="5"/>
  <c r="V30" i="5" s="1"/>
  <c r="F30" i="5"/>
  <c r="I30" i="5"/>
  <c r="L30" i="5"/>
  <c r="B31" i="5"/>
  <c r="D31" i="5" s="1"/>
  <c r="T31" i="5" s="1"/>
  <c r="C31" i="5"/>
  <c r="E31" i="5"/>
  <c r="U31" i="5" s="1"/>
  <c r="F31" i="5"/>
  <c r="V31" i="5"/>
  <c r="B32" i="5"/>
  <c r="D32" i="5" s="1"/>
  <c r="C32" i="5"/>
  <c r="E32" i="5"/>
  <c r="F32" i="5"/>
  <c r="B33" i="5"/>
  <c r="D33" i="5" s="1"/>
  <c r="C33" i="5"/>
  <c r="E33" i="5"/>
  <c r="I33" i="5" s="1"/>
  <c r="F33" i="5"/>
  <c r="K33" i="5" s="1"/>
  <c r="G33" i="5"/>
  <c r="L33" i="5"/>
  <c r="V33" i="5"/>
  <c r="B34" i="5"/>
  <c r="D34" i="5" s="1"/>
  <c r="C34" i="5"/>
  <c r="E34" i="5"/>
  <c r="G34" i="5" s="1"/>
  <c r="F34" i="5"/>
  <c r="K34" i="5" s="1"/>
  <c r="L34" i="5"/>
  <c r="E16" i="5"/>
  <c r="G16" i="5" s="1"/>
  <c r="F16" i="5"/>
  <c r="E17" i="5"/>
  <c r="G17" i="5" s="1"/>
  <c r="F17" i="5"/>
  <c r="E18" i="5"/>
  <c r="G18" i="5" s="1"/>
  <c r="F18" i="5"/>
  <c r="E19" i="5"/>
  <c r="G19" i="5" s="1"/>
  <c r="F19" i="5"/>
  <c r="E20" i="5"/>
  <c r="I20" i="5" s="1"/>
  <c r="F20" i="5"/>
  <c r="E21" i="5"/>
  <c r="G21" i="5" s="1"/>
  <c r="F21" i="5"/>
  <c r="E22" i="5"/>
  <c r="G22" i="5" s="1"/>
  <c r="F22" i="5"/>
  <c r="E23" i="5"/>
  <c r="F23" i="5"/>
  <c r="E24" i="5"/>
  <c r="L24" i="5" s="1"/>
  <c r="F24" i="5"/>
  <c r="D24" i="5"/>
  <c r="C24" i="5"/>
  <c r="B24" i="5"/>
  <c r="C23" i="5"/>
  <c r="B23" i="5"/>
  <c r="D23" i="5" s="1"/>
  <c r="C22" i="5"/>
  <c r="B22" i="5"/>
  <c r="D22" i="5" s="1"/>
  <c r="C21" i="5"/>
  <c r="B21" i="5"/>
  <c r="D21" i="5" s="1"/>
  <c r="C20" i="5"/>
  <c r="B20" i="5"/>
  <c r="D20" i="5" s="1"/>
  <c r="C19" i="5"/>
  <c r="B19" i="5"/>
  <c r="D19" i="5" s="1"/>
  <c r="T19" i="5" s="1"/>
  <c r="C18" i="5"/>
  <c r="B18" i="5"/>
  <c r="D18" i="5" s="1"/>
  <c r="G24" i="1"/>
  <c r="E24" i="1"/>
  <c r="H24" i="1" s="1"/>
  <c r="D24" i="1"/>
  <c r="V24" i="1" s="1"/>
  <c r="G23" i="1"/>
  <c r="E23" i="1"/>
  <c r="H23" i="1" s="1"/>
  <c r="D23" i="1"/>
  <c r="T23" i="1" s="1"/>
  <c r="G22" i="1"/>
  <c r="E22" i="1"/>
  <c r="H22" i="1" s="1"/>
  <c r="D22" i="1"/>
  <c r="V22" i="1" s="1"/>
  <c r="G21" i="1"/>
  <c r="E21" i="1"/>
  <c r="H21" i="1" s="1"/>
  <c r="D21" i="1"/>
  <c r="T21" i="1" s="1"/>
  <c r="G20" i="1"/>
  <c r="E20" i="1"/>
  <c r="H20" i="1" s="1"/>
  <c r="D20" i="1"/>
  <c r="V20" i="1" s="1"/>
  <c r="G19" i="1"/>
  <c r="E19" i="1"/>
  <c r="H19" i="1" s="1"/>
  <c r="I19" i="1" s="1"/>
  <c r="D19" i="1"/>
  <c r="T19" i="1" s="1"/>
  <c r="G18" i="1"/>
  <c r="E18" i="1"/>
  <c r="H18" i="1" s="1"/>
  <c r="D18" i="1"/>
  <c r="V18" i="1" s="1"/>
  <c r="G17" i="1"/>
  <c r="E17" i="1"/>
  <c r="H17" i="1" s="1"/>
  <c r="I17" i="1" s="1"/>
  <c r="D17" i="1"/>
  <c r="T17" i="1" s="1"/>
  <c r="G16" i="1"/>
  <c r="E16" i="1"/>
  <c r="H16" i="1" s="1"/>
  <c r="D16" i="1"/>
  <c r="V16" i="1" s="1"/>
  <c r="G15" i="1"/>
  <c r="E15" i="1"/>
  <c r="H15" i="1" s="1"/>
  <c r="I15" i="1" s="1"/>
  <c r="D15" i="1"/>
  <c r="T15" i="1" s="1"/>
  <c r="G14" i="1"/>
  <c r="E14" i="1"/>
  <c r="H14" i="1" s="1"/>
  <c r="D14" i="1"/>
  <c r="V14" i="1" s="1"/>
  <c r="G13" i="1"/>
  <c r="E13" i="1"/>
  <c r="H13" i="1" s="1"/>
  <c r="I13" i="1" s="1"/>
  <c r="D13" i="1"/>
  <c r="T13" i="1" s="1"/>
  <c r="G12" i="1"/>
  <c r="E12" i="1"/>
  <c r="H12" i="1" s="1"/>
  <c r="D12" i="1"/>
  <c r="V12" i="1" s="1"/>
  <c r="G11" i="1"/>
  <c r="E11" i="1"/>
  <c r="H11" i="1" s="1"/>
  <c r="I11" i="1" s="1"/>
  <c r="D11" i="1"/>
  <c r="T11" i="1" s="1"/>
  <c r="G10" i="1"/>
  <c r="E10" i="1"/>
  <c r="H10" i="1" s="1"/>
  <c r="D10" i="1"/>
  <c r="V10" i="1" s="1"/>
  <c r="G9" i="1"/>
  <c r="E9" i="1"/>
  <c r="H9" i="1" s="1"/>
  <c r="D9" i="1"/>
  <c r="T9" i="1" s="1"/>
  <c r="T34" i="1"/>
  <c r="G34" i="1"/>
  <c r="E34" i="1"/>
  <c r="H34" i="1" s="1"/>
  <c r="W34" i="1" s="1"/>
  <c r="D34" i="1"/>
  <c r="V34" i="1" s="1"/>
  <c r="G33" i="1"/>
  <c r="E33" i="1"/>
  <c r="H33" i="1" s="1"/>
  <c r="D33" i="1"/>
  <c r="T33" i="1" s="1"/>
  <c r="G32" i="1"/>
  <c r="E32" i="1"/>
  <c r="H32" i="1" s="1"/>
  <c r="W32" i="1" s="1"/>
  <c r="D32" i="1"/>
  <c r="V32" i="1" s="1"/>
  <c r="G31" i="1"/>
  <c r="E31" i="1"/>
  <c r="H31" i="1" s="1"/>
  <c r="D31" i="1"/>
  <c r="T31" i="1" s="1"/>
  <c r="H30" i="1"/>
  <c r="W30" i="1" s="1"/>
  <c r="G30" i="1"/>
  <c r="E30" i="1"/>
  <c r="D30" i="1"/>
  <c r="V30" i="1" s="1"/>
  <c r="G29" i="1"/>
  <c r="E29" i="1"/>
  <c r="H29" i="1" s="1"/>
  <c r="D29" i="1"/>
  <c r="T29" i="1" s="1"/>
  <c r="G28" i="1"/>
  <c r="E28" i="1"/>
  <c r="H28" i="1" s="1"/>
  <c r="W28" i="1" s="1"/>
  <c r="D28" i="1"/>
  <c r="V28" i="1" s="1"/>
  <c r="G27" i="1"/>
  <c r="E27" i="1"/>
  <c r="H27" i="1" s="1"/>
  <c r="D27" i="1"/>
  <c r="T27" i="1" s="1"/>
  <c r="B7" i="5"/>
  <c r="B6" i="5"/>
  <c r="B2" i="5"/>
  <c r="K26" i="5" l="1"/>
  <c r="I34" i="5"/>
  <c r="G30" i="5"/>
  <c r="I29" i="5"/>
  <c r="I26" i="5"/>
  <c r="U35" i="5"/>
  <c r="G35" i="5"/>
  <c r="V37" i="5"/>
  <c r="V34" i="5"/>
  <c r="H33" i="5"/>
  <c r="K30" i="5"/>
  <c r="V29" i="5"/>
  <c r="G29" i="5"/>
  <c r="H28" i="5"/>
  <c r="V26" i="5"/>
  <c r="G26" i="5"/>
  <c r="K35" i="5"/>
  <c r="G37" i="5"/>
  <c r="U39" i="5"/>
  <c r="L35" i="5"/>
  <c r="L37" i="5"/>
  <c r="H40" i="5"/>
  <c r="H36" i="5"/>
  <c r="U29" i="5"/>
  <c r="H29" i="5"/>
  <c r="T29" i="5"/>
  <c r="U33" i="5"/>
  <c r="T33" i="5"/>
  <c r="T28" i="5"/>
  <c r="H34" i="5"/>
  <c r="H32" i="5"/>
  <c r="S26" i="5"/>
  <c r="H26" i="5"/>
  <c r="U32" i="5"/>
  <c r="G31" i="5"/>
  <c r="S31" i="5" s="1"/>
  <c r="L31" i="5"/>
  <c r="H31" i="5"/>
  <c r="H25" i="5"/>
  <c r="U34" i="5"/>
  <c r="S34" i="5"/>
  <c r="T34" i="5"/>
  <c r="K31" i="5"/>
  <c r="H30" i="5"/>
  <c r="K28" i="5"/>
  <c r="V28" i="5"/>
  <c r="G28" i="5"/>
  <c r="S28" i="5" s="1"/>
  <c r="L28" i="5"/>
  <c r="U25" i="5"/>
  <c r="H35" i="5"/>
  <c r="K37" i="5"/>
  <c r="K32" i="5"/>
  <c r="V32" i="5"/>
  <c r="G32" i="5"/>
  <c r="S32" i="5" s="1"/>
  <c r="L32" i="5"/>
  <c r="U30" i="5"/>
  <c r="S30" i="5"/>
  <c r="T30" i="5"/>
  <c r="U24" i="5"/>
  <c r="I24" i="5"/>
  <c r="G20" i="5"/>
  <c r="L20" i="5"/>
  <c r="S33" i="5"/>
  <c r="I32" i="5"/>
  <c r="T37" i="5"/>
  <c r="S37" i="5"/>
  <c r="V38" i="5"/>
  <c r="L38" i="5"/>
  <c r="G38" i="5"/>
  <c r="S38" i="5" s="1"/>
  <c r="U38" i="5"/>
  <c r="K38" i="5"/>
  <c r="G23" i="5"/>
  <c r="I23" i="5"/>
  <c r="T32" i="5"/>
  <c r="I31" i="5"/>
  <c r="S29" i="5"/>
  <c r="I28" i="5"/>
  <c r="U28" i="5"/>
  <c r="U27" i="5"/>
  <c r="G27" i="5"/>
  <c r="S27" i="5" s="1"/>
  <c r="L27" i="5"/>
  <c r="H27" i="5"/>
  <c r="T26" i="5"/>
  <c r="U26" i="5"/>
  <c r="K25" i="5"/>
  <c r="V25" i="5"/>
  <c r="G25" i="5"/>
  <c r="S25" i="5" s="1"/>
  <c r="L25" i="5"/>
  <c r="T35" i="5"/>
  <c r="S35" i="5"/>
  <c r="V35" i="5"/>
  <c r="V36" i="5"/>
  <c r="L36" i="5"/>
  <c r="G36" i="5"/>
  <c r="S36" i="5" s="1"/>
  <c r="U36" i="5"/>
  <c r="K36" i="5"/>
  <c r="H38" i="5"/>
  <c r="T39" i="5"/>
  <c r="S39" i="5"/>
  <c r="V39" i="5"/>
  <c r="U37" i="5"/>
  <c r="I38" i="5"/>
  <c r="H37" i="5"/>
  <c r="H39" i="5"/>
  <c r="K40" i="5"/>
  <c r="U40" i="5"/>
  <c r="V20" i="5"/>
  <c r="G40" i="5"/>
  <c r="S40" i="5" s="1"/>
  <c r="L40" i="5"/>
  <c r="H22" i="5"/>
  <c r="V24" i="5"/>
  <c r="G24" i="5"/>
  <c r="H23" i="5"/>
  <c r="H19" i="5"/>
  <c r="K22" i="5"/>
  <c r="V19" i="5"/>
  <c r="I21" i="5"/>
  <c r="S22" i="5"/>
  <c r="I18" i="5"/>
  <c r="K21" i="5"/>
  <c r="I22" i="5"/>
  <c r="L22" i="5"/>
  <c r="L18" i="5"/>
  <c r="S20" i="5"/>
  <c r="V22" i="5"/>
  <c r="U22" i="5"/>
  <c r="T23" i="5"/>
  <c r="U23" i="5"/>
  <c r="T21" i="5"/>
  <c r="U21" i="5"/>
  <c r="H24" i="5"/>
  <c r="S24" i="5"/>
  <c r="T20" i="5"/>
  <c r="S21" i="5"/>
  <c r="L21" i="5"/>
  <c r="V21" i="5"/>
  <c r="T22" i="5"/>
  <c r="S23" i="5"/>
  <c r="L23" i="5"/>
  <c r="V23" i="5"/>
  <c r="T24" i="5"/>
  <c r="H20" i="5"/>
  <c r="K23" i="5"/>
  <c r="K20" i="5"/>
  <c r="U20" i="5"/>
  <c r="H21" i="5"/>
  <c r="K24" i="5"/>
  <c r="U18" i="5"/>
  <c r="T18" i="5"/>
  <c r="S18" i="5"/>
  <c r="H18" i="5"/>
  <c r="K18" i="5"/>
  <c r="V18" i="5"/>
  <c r="I19" i="5"/>
  <c r="K19" i="5"/>
  <c r="U19" i="5"/>
  <c r="S19" i="5"/>
  <c r="L19" i="5"/>
  <c r="I21" i="1"/>
  <c r="M9" i="1"/>
  <c r="I9" i="1"/>
  <c r="M23" i="1"/>
  <c r="I23" i="1"/>
  <c r="P22" i="1"/>
  <c r="P10" i="1"/>
  <c r="M11" i="1"/>
  <c r="P14" i="1"/>
  <c r="M15" i="1"/>
  <c r="P18" i="1"/>
  <c r="M19" i="1"/>
  <c r="P12" i="1"/>
  <c r="M13" i="1"/>
  <c r="P20" i="1"/>
  <c r="M21" i="1"/>
  <c r="P16" i="1"/>
  <c r="M17" i="1"/>
  <c r="P24" i="1"/>
  <c r="W24" i="1"/>
  <c r="O24" i="1"/>
  <c r="J24" i="1"/>
  <c r="N24" i="1"/>
  <c r="I24" i="1"/>
  <c r="M24" i="1"/>
  <c r="W14" i="1"/>
  <c r="O14" i="1"/>
  <c r="J14" i="1"/>
  <c r="N14" i="1"/>
  <c r="I14" i="1"/>
  <c r="M14" i="1"/>
  <c r="W22" i="1"/>
  <c r="O22" i="1"/>
  <c r="J22" i="1"/>
  <c r="N22" i="1"/>
  <c r="I22" i="1"/>
  <c r="M22" i="1"/>
  <c r="W16" i="1"/>
  <c r="O16" i="1"/>
  <c r="J16" i="1"/>
  <c r="N16" i="1"/>
  <c r="I16" i="1"/>
  <c r="M16" i="1"/>
  <c r="W10" i="1"/>
  <c r="O10" i="1"/>
  <c r="J10" i="1"/>
  <c r="N10" i="1"/>
  <c r="I10" i="1"/>
  <c r="M10" i="1"/>
  <c r="W18" i="1"/>
  <c r="O18" i="1"/>
  <c r="J18" i="1"/>
  <c r="N18" i="1"/>
  <c r="I18" i="1"/>
  <c r="M18" i="1"/>
  <c r="W12" i="1"/>
  <c r="O12" i="1"/>
  <c r="J12" i="1"/>
  <c r="N12" i="1"/>
  <c r="I12" i="1"/>
  <c r="M12" i="1"/>
  <c r="W20" i="1"/>
  <c r="O20" i="1"/>
  <c r="J20" i="1"/>
  <c r="N20" i="1"/>
  <c r="I20" i="1"/>
  <c r="M20" i="1"/>
  <c r="N11" i="1"/>
  <c r="N13" i="1"/>
  <c r="N19" i="1"/>
  <c r="N21" i="1"/>
  <c r="V21" i="1"/>
  <c r="N23" i="1"/>
  <c r="V23" i="1"/>
  <c r="J9" i="1"/>
  <c r="O9" i="1"/>
  <c r="W9" i="1"/>
  <c r="T10" i="1"/>
  <c r="J11" i="1"/>
  <c r="O11" i="1"/>
  <c r="W11" i="1"/>
  <c r="T12" i="1"/>
  <c r="J13" i="1"/>
  <c r="O13" i="1"/>
  <c r="W13" i="1"/>
  <c r="T14" i="1"/>
  <c r="J15" i="1"/>
  <c r="O15" i="1"/>
  <c r="W15" i="1"/>
  <c r="T16" i="1"/>
  <c r="J17" i="1"/>
  <c r="O17" i="1"/>
  <c r="W17" i="1"/>
  <c r="T18" i="1"/>
  <c r="J19" i="1"/>
  <c r="O19" i="1"/>
  <c r="W19" i="1"/>
  <c r="T20" i="1"/>
  <c r="J21" i="1"/>
  <c r="O21" i="1"/>
  <c r="W21" i="1"/>
  <c r="T22" i="1"/>
  <c r="J23" i="1"/>
  <c r="O23" i="1"/>
  <c r="W23" i="1"/>
  <c r="T24" i="1"/>
  <c r="V9" i="1"/>
  <c r="V11" i="1"/>
  <c r="V13" i="1"/>
  <c r="N15" i="1"/>
  <c r="V15" i="1"/>
  <c r="V17" i="1"/>
  <c r="V19" i="1"/>
  <c r="P9" i="1"/>
  <c r="P11" i="1"/>
  <c r="P13" i="1"/>
  <c r="P15" i="1"/>
  <c r="P17" i="1"/>
  <c r="P19" i="1"/>
  <c r="P21" i="1"/>
  <c r="P23" i="1"/>
  <c r="N9" i="1"/>
  <c r="N17" i="1"/>
  <c r="P34" i="1"/>
  <c r="M33" i="1"/>
  <c r="O33" i="1"/>
  <c r="N33" i="1"/>
  <c r="W33" i="1"/>
  <c r="J33" i="1"/>
  <c r="I33" i="1"/>
  <c r="M34" i="1"/>
  <c r="T30" i="1"/>
  <c r="P32" i="1"/>
  <c r="P33" i="1"/>
  <c r="I34" i="1"/>
  <c r="N34" i="1"/>
  <c r="V33" i="1"/>
  <c r="P30" i="1"/>
  <c r="T32" i="1"/>
  <c r="J34" i="1"/>
  <c r="O34" i="1"/>
  <c r="M31" i="1"/>
  <c r="W31" i="1"/>
  <c r="O31" i="1"/>
  <c r="J31" i="1"/>
  <c r="I31" i="1"/>
  <c r="N31" i="1"/>
  <c r="M29" i="1"/>
  <c r="W29" i="1"/>
  <c r="O29" i="1"/>
  <c r="J29" i="1"/>
  <c r="N29" i="1"/>
  <c r="I29" i="1"/>
  <c r="V29" i="1"/>
  <c r="I30" i="1"/>
  <c r="N30" i="1"/>
  <c r="P31" i="1"/>
  <c r="I32" i="1"/>
  <c r="N32" i="1"/>
  <c r="V31" i="1"/>
  <c r="M30" i="1"/>
  <c r="M32" i="1"/>
  <c r="P28" i="1"/>
  <c r="P29" i="1"/>
  <c r="T28" i="1"/>
  <c r="J30" i="1"/>
  <c r="O30" i="1"/>
  <c r="J32" i="1"/>
  <c r="O32" i="1"/>
  <c r="M27" i="1"/>
  <c r="W27" i="1"/>
  <c r="O27" i="1"/>
  <c r="J27" i="1"/>
  <c r="N27" i="1"/>
  <c r="I27" i="1"/>
  <c r="M28" i="1"/>
  <c r="P27" i="1"/>
  <c r="I28" i="1"/>
  <c r="N28" i="1"/>
  <c r="V27" i="1"/>
  <c r="J28" i="1"/>
  <c r="O28" i="1"/>
  <c r="B8" i="5"/>
  <c r="B3" i="5"/>
  <c r="C17" i="5" l="1"/>
  <c r="B17" i="5"/>
  <c r="D17" i="5" s="1"/>
  <c r="T17" i="5" s="1"/>
  <c r="C16" i="5"/>
  <c r="B16" i="5"/>
  <c r="D16" i="5" s="1"/>
  <c r="T16" i="5" s="1"/>
  <c r="B6" i="1" l="1"/>
  <c r="C15" i="5" l="1"/>
  <c r="B15" i="5"/>
  <c r="D15" i="5" s="1"/>
  <c r="T15" i="5" s="1"/>
  <c r="S17" i="5" l="1"/>
  <c r="V17" i="5"/>
  <c r="U17" i="5"/>
  <c r="K17" i="5"/>
  <c r="I17" i="5"/>
  <c r="H17" i="5"/>
  <c r="L17" i="5"/>
  <c r="G25" i="1" l="1"/>
  <c r="F15" i="5" s="1"/>
  <c r="E25" i="1"/>
  <c r="H25" i="1" s="1"/>
  <c r="E15" i="5" s="1"/>
  <c r="D25" i="1"/>
  <c r="V25" i="1" l="1"/>
  <c r="U15" i="5"/>
  <c r="H15" i="5"/>
  <c r="G15" i="5"/>
  <c r="S15" i="5" s="1"/>
  <c r="V15" i="5"/>
  <c r="I15" i="5"/>
  <c r="L15" i="5"/>
  <c r="K15" i="5"/>
  <c r="W25" i="1"/>
  <c r="P25" i="1"/>
  <c r="T25" i="1"/>
  <c r="I25" i="1"/>
  <c r="N25" i="1"/>
  <c r="M25" i="1"/>
  <c r="J25" i="1"/>
  <c r="O25" i="1"/>
  <c r="Q3" i="1" l="1"/>
  <c r="B4" i="5" s="1"/>
  <c r="B5" i="5" s="1"/>
  <c r="G26" i="1" l="1"/>
  <c r="E26" i="1"/>
  <c r="H26" i="1" s="1"/>
  <c r="D26" i="1"/>
  <c r="T26" i="1" s="1"/>
  <c r="V16" i="5" l="1"/>
  <c r="U16" i="5"/>
  <c r="K16" i="5"/>
  <c r="I16" i="5"/>
  <c r="H16" i="5"/>
  <c r="S16" i="5"/>
  <c r="L16" i="5"/>
  <c r="P26" i="1"/>
  <c r="V26" i="1"/>
  <c r="W26" i="1"/>
  <c r="J26" i="1"/>
  <c r="I26" i="1"/>
  <c r="O26" i="1"/>
  <c r="N26" i="1"/>
  <c r="M26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36" i="1"/>
  <c r="K12" i="5" l="1"/>
  <c r="H12" i="5"/>
  <c r="V12" i="5"/>
  <c r="T12" i="5"/>
  <c r="U12" i="5"/>
  <c r="I12" i="5"/>
  <c r="L12" i="5"/>
  <c r="S12" i="5"/>
  <c r="R3" i="1" l="1"/>
  <c r="D1" i="1"/>
  <c r="F6" i="1"/>
  <c r="T36" i="1"/>
  <c r="T13" i="5"/>
  <c r="T7" i="1" l="1"/>
  <c r="W36" i="1"/>
  <c r="G6" i="1" l="1"/>
  <c r="H13" i="5"/>
  <c r="U13" i="5"/>
  <c r="K13" i="5"/>
  <c r="V13" i="5"/>
  <c r="L13" i="5"/>
  <c r="S13" i="5"/>
  <c r="I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2" i="1" l="1"/>
  <c r="L18" i="1"/>
  <c r="L16" i="1"/>
  <c r="L14" i="1"/>
  <c r="L10" i="1"/>
  <c r="L24" i="1"/>
  <c r="L22" i="1"/>
  <c r="L20" i="1"/>
  <c r="L9" i="1"/>
  <c r="L13" i="1"/>
  <c r="L17" i="1"/>
  <c r="L21" i="1"/>
  <c r="L11" i="1"/>
  <c r="L15" i="1"/>
  <c r="L19" i="1"/>
  <c r="L23" i="1"/>
  <c r="L34" i="1"/>
  <c r="L33" i="1"/>
  <c r="L32" i="1"/>
  <c r="L30" i="1"/>
  <c r="L31" i="1"/>
  <c r="L29" i="1"/>
  <c r="L25" i="1"/>
  <c r="L28" i="1"/>
  <c r="L27" i="1"/>
  <c r="L26" i="1"/>
  <c r="C7" i="1"/>
  <c r="P36" i="1"/>
  <c r="O36" i="1"/>
  <c r="N36" i="1"/>
  <c r="I36" i="1"/>
  <c r="J36" i="1"/>
  <c r="Q7" i="1" l="1"/>
  <c r="M68" i="3" s="1"/>
  <c r="L7" i="1"/>
  <c r="G68" i="3" s="1"/>
  <c r="K68" i="3"/>
  <c r="J68" i="3"/>
  <c r="M36" i="1"/>
  <c r="K36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<sst xmlns="http://schemas.openxmlformats.org/spreadsheetml/2006/main" count="540" uniqueCount="390">
  <si>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</si>
  <si>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</si>
  <si>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</si>
  <si>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</si>
  <si>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</si>
  <si>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</si>
  <si>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</si>
  <si>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</si>
  <si>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</si>
  <si>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</si>
  <si>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</si>
  <si>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</si>
  <si>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</si>
  <si>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</si>
  <si>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</si>
  <si>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</si>
  <si>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</si>
  <si>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</si>
  <si>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</si>
  <si>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</si>
  <si>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</si>
  <si>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</si>
  <si>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</si>
  <si>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</si>
  <si>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</si>
  <si>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</si>
  <si>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</si>
  <si>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</si>
  <si>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</si>
  <si>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</si>
  <si>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</si>
  <si>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</si>
  <si>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</si>
  <si>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</si>
  <si>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</si>
  <si>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</si>
  <si>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</si>
  <si>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</si>
  <si>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</si>
  <si>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</si>
  <si>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</si>
  <si>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</si>
  <si>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</si>
  <si>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</si>
  <si>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</si>
  <si>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</si>
  <si>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</si>
  <si>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</si>
  <si>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</si>
  <si>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</si>
  <si>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</si>
  <si>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</si>
  <si>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</si>
  <si>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</si>
  <si>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</si>
  <si>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</si>
  <si>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</si>
  <si>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</si>
  <si>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</si>
  <si>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</si>
  <si>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</si>
  <si>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</si>
  <si>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</si>
  <si>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</si>
  <si>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</si>
  <si>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</si>
  <si>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</si>
  <si>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</si>
  <si>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</si>
  <si>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</si>
  <si>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</si>
  <si>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</si>
  <si>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</si>
  <si>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</si>
  <si>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</si>
  <si>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</si>
  <si>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</si>
  <si>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</si>
  <si>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</si>
  <si>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</si>
  <si>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</si>
  <si>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</si>
  <si>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</si>
  <si>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</si>
  <si>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</si>
  <si>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</si>
  <si>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</si>
  <si>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</si>
  <si>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</si>
  <si>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</si>
  <si>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</si>
  <si>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</si>
  <si>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</si>
  <si>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</si>
  <si>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</si>
  <si>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</si>
  <si>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</si>
  <si>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</si>
  <si>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</si>
  <si>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</si>
  <si>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</si>
  <si>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</si>
  <si>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</si>
  <si>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</si>
  <si>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</si>
  <si>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</si>
  <si>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</si>
  <si>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</si>
  <si>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</si>
  <si>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</si>
  <si>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</si>
  <si>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</si>
  <si>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</si>
  <si>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</si>
  <si>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</si>
  <si>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</si>
  <si>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</si>
  <si>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</si>
  <si>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</si>
  <si>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</si>
  <si>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</si>
  <si>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</si>
  <si>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</si>
  <si>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</si>
  <si>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</si>
  <si>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</si>
  <si>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</si>
  <si>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</si>
  <si>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</si>
  <si>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</si>
  <si>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</si>
  <si>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</si>
  <si>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</si>
  <si>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</si>
  <si>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</si>
  <si>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</si>
  <si>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</si>
  <si>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</si>
  <si>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</si>
  <si>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</si>
  <si>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</si>
  <si>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</si>
  <si>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</si>
  <si>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</si>
  <si>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</si>
  <si>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</si>
  <si>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</si>
  <si>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</si>
  <si>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</si>
  <si>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</si>
  <si>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</si>
  <si>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</si>
  <si>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</si>
  <si>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</si>
  <si>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</si>
  <si>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</si>
  <si>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</si>
  <si>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</si>
  <si>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</si>
  <si>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</si>
  <si>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</si>
  <si>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</si>
  <si>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</si>
  <si>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</si>
  <si>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</si>
  <si>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</si>
  <si>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</si>
  <si>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</si>
  <si>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</si>
  <si>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</si>
  <si>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</si>
  <si>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</si>
  <si>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</si>
  <si>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</si>
  <si>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</si>
  <si>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</si>
  <si>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</si>
  <si>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</si>
  <si>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</si>
  <si>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</si>
  <si>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</si>
  <si>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</si>
  <si>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</si>
  <si>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</si>
  <si>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</si>
  <si>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</si>
  <si>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</si>
  <si>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</si>
  <si>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</si>
  <si>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</si>
  <si>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</si>
  <si>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</si>
  <si>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</si>
  <si>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</si>
  <si>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</si>
  <si>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</si>
  <si>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</si>
  <si>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</si>
  <si>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</si>
  <si>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</si>
  <si>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</si>
  <si>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</si>
  <si>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</si>
  <si>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</si>
  <si>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</si>
  <si>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</si>
  <si>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</si>
  <si>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</si>
  <si>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</si>
  <si>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</si>
  <si>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</si>
  <si>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</si>
  <si>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</si>
  <si>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</si>
  <si>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</si>
  <si>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</si>
  <si>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</si>
  <si>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</si>
  <si>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</si>
  <si>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</si>
  <si>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</si>
  <si>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</si>
  <si>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</si>
  <si>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</si>
  <si>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</si>
  <si>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</si>
  <si>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</si>
  <si>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</si>
  <si>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</si>
  <si>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</si>
  <si>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</si>
  <si>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</si>
  <si>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</si>
  <si>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</si>
  <si>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</si>
  <si>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</si>
  <si>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</si>
  <si>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</si>
  <si>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</si>
  <si>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</si>
  <si>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</si>
  <si>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</si>
  <si>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</si>
  <si>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</si>
  <si>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</si>
  <si>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</si>
  <si>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</si>
  <si>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</si>
  <si>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</si>
  <si>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</si>
  <si>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</si>
  <si>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</si>
  <si>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</si>
  <si>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</si>
  <si>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</si>
  <si>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</si>
  <si>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</si>
  <si>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</si>
  <si>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</si>
  <si>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</si>
  <si>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</si>
  <si>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</si>
  <si>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</si>
  <si>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</si>
  <si>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</si>
  <si>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</si>
  <si>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</si>
  <si>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</si>
  <si>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</si>
  <si>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</si>
  <si>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</si>
  <si>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</si>
  <si>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</si>
  <si>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</si>
  <si>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</si>
  <si>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</si>
  <si>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</si>
  <si>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</si>
  <si>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</si>
  <si>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</si>
  <si>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</si>
  <si>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</si>
  <si>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</si>
  <si>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</si>
  <si>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</si>
  <si>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</si>
  <si>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</si>
  <si>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</si>
  <si>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</si>
  <si>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</si>
  <si>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</si>
  <si>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</si>
  <si>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</si>
  <si>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</si>
  <si>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</si>
  <si>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</si>
  <si>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</si>
  <si>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</si>
  <si>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</si>
  <si>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</si>
  <si>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</si>
  <si>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</si>
  <si>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</si>
  <si>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</si>
  <si>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</si>
  <si>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</si>
  <si>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</si>
  <si>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</si>
  <si>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</si>
  <si>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</si>
  <si>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</si>
  <si>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</si>
  <si>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</si>
  <si>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</si>
  <si>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</si>
  <si>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</si>
  <si>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</si>
  <si>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</si>
  <si>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</si>
  <si>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</si>
  <si>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</si>
  <si>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</si>
  <si>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</si>
  <si>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</si>
  <si>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</si>
  <si>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</si>
  <si>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</si>
  <si>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</si>
  <si>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</si>
  <si>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</si>
  <si>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</si>
  <si>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</si>
  <si>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</si>
  <si>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</si>
  <si>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</si>
  <si>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</si>
  <si>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</si>
  <si>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</si>
  <si>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</si>
  <si>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</si>
  <si>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</si>
  <si>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</si>
  <si>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</si>
  <si>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</si>
  <si>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</si>
  <si>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</si>
  <si>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</si>
  <si>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</si>
  <si>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</si>
  <si>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</si>
  <si>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</si>
  <si>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</si>
  <si>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</si>
  <si>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</si>
  <si>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Container Invoice</t>
  </si>
  <si>
    <t>Master.Plm</t>
  </si>
  <si>
    <t>Y</t>
  </si>
  <si>
    <t>MODEL_ID</t>
  </si>
  <si>
    <t>LOT_CODE</t>
  </si>
  <si>
    <t>CFC</t>
  </si>
  <si>
    <t>ODERING</t>
  </si>
  <si>
    <t>GRADE_NAME</t>
  </si>
  <si>
    <t>MODE_CODE</t>
  </si>
  <si>
    <t>MODEL_VIN</t>
  </si>
  <si>
    <t>VIS_START</t>
  </si>
  <si>
    <t>VIS_END</t>
  </si>
  <si>
    <t>MA_LOT_CODE</t>
  </si>
  <si>
    <t>VEHICLE_ID</t>
  </si>
  <si>
    <t>TEST_NO</t>
  </si>
  <si>
    <t>DAB</t>
  </si>
  <si>
    <t>PAB</t>
  </si>
  <si>
    <t>ENG_CODE</t>
  </si>
  <si>
    <t>LAB</t>
  </si>
  <si>
    <t>RAB</t>
  </si>
  <si>
    <t>KAB</t>
  </si>
  <si>
    <t>IS_FC_LABEL</t>
  </si>
  <si>
    <t>IS_ACTIVE</t>
  </si>
  <si>
    <t>R</t>
  </si>
  <si>
    <t>G</t>
  </si>
  <si>
    <t>B</t>
  </si>
  <si>
    <t>CLAB</t>
  </si>
  <si>
    <t>CHAR_STR</t>
  </si>
  <si>
    <t>nvarchar(50)</t>
  </si>
  <si>
    <t>nvarchar(20)</t>
  </si>
  <si>
    <t>nvarchar(10)</t>
  </si>
  <si>
    <t>nvarchar(3)</t>
  </si>
  <si>
    <t>nvarchar(255)</t>
  </si>
  <si>
    <t>GRADE</t>
  </si>
  <si>
    <t>MstPlmLotCodeGrade</t>
  </si>
  <si>
    <t>LotCodeGrade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</si>
</sst>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2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9" fillId="0" borderId="3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opLeftCell="A61" zoomScaleNormal="100" workbookViewId="0">
      <selection activeCell="C68" sqref="C6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prod.Master.Plm
{
	[Table("MstPlmLotCodeGrade")]
	[Index(nameof(LotCode), Name="IX_MstPlmLotCodeGrade_LotCode")]
	[Index(nameof(Cfc), Name="IX_MstPlmLotCodeGrade_Cfc")]
	[Index(nameof(ModeCode), Name="IX_MstPlmLotCodeGrade_ModeCode")]
	[Index(nameof(ModelVin), Name="IX_MstPlmLotCodeGrade_ModelVin")]
	[Index(nameof(MaLotCode), Name="IX_MstPlmLotCodeGrade_MaLotCode")]
	public class MstPlmLotCodeGrade: FullAuditedEntity&lt;long&gt;, IEntity&lt;long&gt;	
	{
		public const int MaxLotCodeLength = 50;
		public const int MaxCfcLength = 50;
		public const int MaxGradeLength = 50;
		public const int MaxGradeNameLength = 50;
		public const int MaxModeCodeLength = 20;
		public const int MaxModelVinLength = 20;
		public const int MaxMaLotCodeLength = 50;
		public const int MaxVehicleIdLength = 10;
		public const int MaxTestNoLength = 10;
		public const int MaxDabLength = 3;
		public const int MaxPabLength = 3;
		public const int MaxEngCodeLength = 3;
		public const int MaxLabLength = 255;
		public const int MaxRabLength = 255;
		public const int MaxKabLength = 255;
		public const int MaxClabLength = 255;
		public const int MaxCharStrLength = 255;
		public virtual int? ModelId { get; set; }
		[StringLength(MaxLotCodeLength)]
		public virtual string LotCode { get; set; }
		[StringLength(MaxCfcLength)]
		public virtual string Cfc { get; set; }
		[StringLength(MaxGradeLength)]
		public virtual string Grade { get; set; }
		public virtual int? Odering { get; set; }
		[StringLength(MaxGradeNameLength)]
		public virtual string GradeName { get; set; }
		[StringLength(MaxModeCodeLength)]
		public virtual string ModeCode { get; set; }
		[StringLength(MaxModelVinLength)]
		public virtual string ModelVin { get; set; }
		public virtual int? VisStart { get; set; }
		public virtual int? VisEnd { get; set; }
		[StringLength(MaxMaLotCodeLength)]
		public virtual string MaLotCode { get; set; }
		[StringLength(MaxVehicleIdLength)]
		public virtual string VehicleId { get; set; }
		[StringLength(MaxTestNoLength)]
		public virtual string TestNo { get; set; }
		[StringLength(MaxDabLength)]
		public virtual string Dab { get; set; }
		[StringLength(MaxPabLength)]
		public virtual string Pab { get; set; }
		[StringLength(MaxEngCodeLength)]
		public virtual string EngCode { get; set; }
		[StringLength(MaxLabLength)]
		public virtual string Lab { get; set; }
		[StringLength(MaxRabLength)]
		public virtual string Rab { get; set; }
		[StringLength(MaxKabLength)]
		public virtual string Kab { get; set; }
		public virtual int? IsFcLabel { get; set; }
		public virtual int? IsActive { get; set; }
		public virtual int? R { get; set; }
		public virtual int? G { get; set; }
		public virtual int? B { get; set; }
		[StringLength(MaxClabLength)]
		public virtual string Clab { get; set; }
		[StringLength(MaxCharStrLength)]
		public virtual string CharStr { get; set; }
	}
}
</v>
      </c>
      <c r="D68" s="48" t="str">
        <f>A.Backend!O7</f>
        <v xml:space="preserve">		public const string Pages_Master_Plm_LotCodeGrade = "Pages.Master.Plm.LotCodeGrade";
		public const string Pages_Master_Plm_LotCodeGrade_CreateEdit = "Pages.Master.Plm.LotCodeGrade.CreateEdit";
		public const string Pages_Master_Plm_LotCodeGrade_Delete = "Pages.Master.Plm.LotCodeGrade.Delete";
</v>
      </c>
      <c r="E68" s="48" t="str">
        <f>A.Backend!N7</f>
        <v xml:space="preserve">		var perMstPlmLotCodeGrade = PARENTS.CreateChildPermission(AppPermissions.Pages_Master_Plm_LotCodeGrade, L( "MasterPlmLotCodeGrade"), multiTenancySides: MultiTenancySides.Tenant);
		perMstPlmLotCodeGrade.CreateChildPermission(AppPermissions.Pages_Master_Plm_LotCodeGrade_CreateEdit, L( "MasterPlmLotCodeGradeCreateEdit"), multiTenancySides: MultiTenancySides.Tenant);
		perMstPlmLotCodeGrade.CreateChildPermission(AppPermissions.Pages_Master_Plm_LotCodeGrade_Delete, L( "MasterPlmLotCodeGradeDelete"), multiTenancySides: MultiTenancySides.Tenant);</v>
      </c>
      <c r="F68" s="48" t="str">
        <f>A.Backend!K7</f>
        <v>public virtual DbSet&lt;MstPlmLotCodeGrade&gt; MstPlmLotCodeGrades { get; set; }</v>
      </c>
      <c r="G68" s="48" t="str">
        <f ca="1">A.Backend!L7</f>
        <v xml:space="preserve">namespace prod.Master.Plm
{
	public class MstPlmLotCodeGradeConsts	
	{
		public const int MaxLotCodeLength = 50;
		public const int MaxCfcLength = 50;
		public const int MaxGradeLength = 50;
		public const int MaxGradeNameLength = 50;
		public const int MaxModeCodeLength = 20;
		public const int MaxModelVinLength = 20;
		public const int MaxMaLotCodeLength = 50;
		public const int MaxVehicleIdLength = 10;
		public const int MaxTestNoLength = 10;
		public const int MaxDabLength = 3;
		public const int MaxPabLength = 3;
		public const int MaxEngCodeLength = 3;
		public const int MaxLabLength = 255;
		public const int MaxRabLength = 255;
		public const int MaxKabLength = 255;
		public const int MaxClabLength = 255;
		public const int MaxCharStrLength = 255;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prod.Master.Plm.Dto
{
	public class MstPlmLotCodeGradeDto : EntityDto&lt;long?&gt;	
	{
		public virtual int? ModelId { get; set; }
		public virtual string LotCode { get; set; }
		public virtual string Cfc { get; set; }
		public virtual string Grade { get; set; }
		public virtual int? Odering { get; set; }
		public virtual string GradeName { get; set; }
		public virtual string ModeCode { get; set; }
		public virtual string ModelVin { get; set; }
		public virtual int? VisStart { get; set; }
		public virtual int? VisEnd { get; set; }
		public virtual string MaLotCode { get; set; }
		public virtual string VehicleId { get; set; }
		public virtual string TestNo { get; set; }
		public virtual string Dab { get; set; }
		public virtual string Pab { get; set; }
		public virtual string EngCode { get; set; }
		public virtual string Lab { get; set; }
		public virtual string Rab { get; set; }
		public virtual string Kab { get; set; }
		public virtual int? IsFcLabel { get; set; }
		public virtual int? IsActive { get; set; }
		public virtual int? R { get; set; }
		public virtual int? G { get; set; }
		public virtual int? B { get; set; }
		public virtual string Clab { get; set; }
		public virtual string CharStr { get; set; }
	}
	public class CreateOrEditMstPlmLotCodeGradeDto : EntityDto&lt;long?&gt;	
	{
		public virtual int? ModelId { get; set; }
		[StringLength(MstPlmLotCodeGradeConsts.MaxLotCodeLength)]
		public virtual string LotCode { get; set; }
		[StringLength(MstPlmLotCodeGradeConsts.MaxCfcLength)]
		public virtual string Cfc { get; set; }
		[StringLength(MstPlmLotCodeGradeConsts.MaxGradeLength)]
		public virtual string Grade { get; set; }
		public virtual int? Odering { get; set; }
		[StringLength(MstPlmLotCodeGradeConsts.MaxGradeNameLength)]
		public virtual string GradeName { get; set; }
		[StringLength(MstPlmLotCodeGradeConsts.MaxModeCodeLength)]
		public virtual string ModeCode { get; set; }
		[StringLength(MstPlmLotCodeGradeConsts.MaxModelVinLength)]
		public virtual string ModelVin { get; set; }
		public virtual int? VisStart { get; set; }
		public virtual int? VisEnd { get; set; }
		[StringLength(MstPlmLotCodeGradeConsts.MaxMaLotCodeLength)]
		public virtual string MaLotCode { get; set; }
		[StringLength(MstPlmLotCodeGradeConsts.MaxVehicleIdLength)]
		public virtual string VehicleId { get; set; }
		[StringLength(MstPlmLotCodeGradeConsts.MaxTestNoLength)]
		public virtual string TestNo { get; set; }
		[StringLength(MstPlmLotCodeGradeConsts.MaxDabLength)]
		public virtual string Dab { get; set; }
		[StringLength(MstPlmLotCodeGradeConsts.MaxPabLength)]
		public virtual string Pab { get; set; }
		[StringLength(MstPlmLotCodeGradeConsts.MaxEngCodeLength)]
		public virtual string EngCode { get; set; }
		[StringLength(MstPlmLotCodeGradeConsts.MaxLabLength)]
		public virtual string Lab { get; set; }
		[StringLength(MstPlmLotCodeGradeConsts.MaxRabLength)]
		public virtual string Rab { get; set; }
		[StringLength(MstPlmLotCodeGradeConsts.MaxKabLength)]
		public virtual string Kab { get; set; }
		public virtual int? IsFcLabel { get; set; }
		public virtual int? IsActive { get; set; }
		public virtual int? R { get; set; }
		public virtual int? G { get; set; }
		public virtual int? B { get; set; }
		[StringLength(MstPlmLotCodeGradeConsts.MaxClabLength)]
		public virtual string Clab { get; set; }
		[StringLength(MstPlmLotCodeGradeConsts.MaxCharStrLength)]
		public virtual string CharStr { get; set; }
	}
	public class GetMstPlmLotCodeGradeInput : PagedAndSortedResultRequestDto	
	{
		public virtual string LotCode { get; set; }
		public virtual string Cfc { get; set; }
		public virtual string Grade { get; set; }
		public virtual string GradeName { get; set; }
		public virtual string ModeCode { get; set; }
		public virtual string ModelVin { get; set; }
		public virtual string MaLotCode { get; set; }
		public virtual string VehicleId { get; set; }
		public virtual string TestNo { get; set; }
		public virtual string Dab { get; set; }
		public virtual string Pab { get; set; }
		public virtual string EngCode { get; set; }
		public virtual string Lab { get; set; }
		public virtual string Rab { get; set; }
		public virtual string Kab { get; set; }
		public virtual string Clab { get; set; }
		public virtual string CharStr { get; set; }
	}
}
</v>
      </c>
      <c r="I68" s="48" t="str">
        <f ca="1">A.Backend!R7</f>
        <v xml:space="preserve">using Abp.Application.Services.Dto;
using System;
using System.ComponentModel.DataAnnotations;
namespace prod.Master.Plm.Dto
{
	public class MstPlmLotCodeGradeExportInput{
		public virtual int? ModelId { get; set; }
		public virtual string LotCode { get; set; }
		public virtual string Cfc { get; set; }
		public virtual string Grade { get; set; }
		public virtual int? Odering { get; set; }
		public virtual string GradeName { get; set; }
		public virtual string ModeCode { get; set; }
		public virtual string ModelVin { get; set; }
		public virtual int? VisStart { get; set; }
		public virtual int? VisEnd { get; set; }
		public virtual string MaLotCode { get; set; }
		public virtual string VehicleId { get; set; }
		public virtual string TestNo { get; set; }
		public virtual string Dab { get; set; }
		public virtual string Pab { get; set; }
		public virtual string EngCode { get; set; }
		public virtual string Lab { get; set; }
		public virtual string Rab { get; set; }
		public virtual string Kab { get; set; }
		public virtual int? IsFcLabel { get; set; }
		public virtual int? IsActive { get; set; }
		public virtual int? R { get; set; }
		public virtual int? G { get; set; }
		public virtual int? B { get; set; }
		public virtual string Clab { get; set; }
		public virtual string CharStr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vovina.Master.Plm.Dto;
namespace prod.Master.Plm
{
	public interface IMstPlmLotCodeGradeAppService : IApplicationService
	{
		Task&lt;PagedResultDto&lt;MstPlmLotCodeGradeDto&gt;&gt; GetAll(GetMstPlmLotCodeGradeInput input);
		Task CreateOrEdit(CreateOrEditMstPlmLotCodeGradeDto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vovina.Master.Plm.Dto;
namespace prod.Master.Plm.Exporting
{
	public interface IMstPlmLotCodeGradeExcelExporter : IApplicationService
	{
		FileDto ExportToFile(List&lt;MstPlmLotCodeGradeDto&gt; mstplmlotcodegrade);
	}
}
</v>
      </c>
      <c r="L68" s="48" t="str">
        <f ca="1">A.Backend!T7</f>
        <v>using System.Collections.Generic;
using vovina.DataExporting.Excel.NPOI;
using vovina.Dto;
using vovina.Master.Plm.Exporting;
using vovina.Master.Plm.Dto;
using vovina.Storage;
using vovina.Master.Plm.Dto;
namespace vovina.Master.Plm.Exporting
{
    public class MstPlmLotCodeGradeExcelExporter : NpoiExcelExporterBase, IMstPlmLotCodeGradeExcelExporter
    {
        public MstPlmLotCodeGradeExcelExporter(ITempFileCacheManager tempFileCacheManager) : base(tempFileCacheManager) { }
        public FileDto ExportToFile(List&lt;MstPlmLotCodeGradeDto&gt; lotcodegrade)
        {
            return CreateExcelPackage(
				"MasterPlmLotCodeGrade.xlsx",
				excelPackage =&gt;
				 {
					var sheet = excelPackage.CreateSheet("LotCodeGrade");
					AddHeader(
								sheet,
								("ModelId"),
								("LotCode"),
								("Cfc"),
								("Grade"),
								("Odering"),
								("GradeName"),
								("ModeCode"),
								("ModelVin"),
								("VisStart"),
								("VisEnd"),
								("MaLotCode"),
								("VehicleId"),
								("TestNo"),
								("Dab"),
								("Pab"),
								("EngCode"),
								("Lab"),
								("Rab"),
								("Kab"),
								("IsFcLabel"),
								("IsActive"),
								("R"),
								("G"),
								("B"),
								("Clab"),
								("CharStr"),
							   );
					AddObjects(
						 sheet, 1, lotcodegrade,                                       
								_ =&gt; _.ModelId,
								_ =&gt; _.LotCode,
								_ =&gt; _.Cfc,
								_ =&gt; _.Grade,
								_ =&gt; _.Odering,
								_ =&gt; _.GradeName,
								_ =&gt; _.ModeCode,
								_ =&gt; _.ModelVin,
								_ =&gt; _.VisStart,
								_ =&gt; _.VisEnd,
								_ =&gt; _.MaLotCode,
								_ =&gt; _.VehicleId,
								_ =&gt; _.TestNo,
								_ =&gt; _.Dab,
								_ =&gt; _.Pab,
								_ =&gt; _.EngCode,
								_ =&gt; _.Lab,
								_ =&gt; _.Rab,
								_ =&gt; _.Kab,
								_ =&gt; _.IsFcLabel,
								_ =&gt; _.IsActive,
								_ =&gt; _.R,
								_ =&gt; _.G,
								_ =&gt; _.B,
								_ =&gt; _.Clab,
								_ =&gt; _.CharStr,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vovina.Master.Plm.Dto;
using vovina.Master.Plm.Exporting;
namespace vovina.Master.Plm
{
    [AbpAuthorize(AppPermissions.Pages_Master_Plm_LotCodeGrade)]
    public class MstPlmLotCodeGradeAppService : vovinaAppServiceBase, IMstPlmLotCodeGradeAppService
    {
        private readonly IDapperRepository&lt;MstPlmLotCodeGrade, long&gt; _dapperRepo;
        private readonly IRepository&lt;MstPlmLotCodeGrade, long&gt; _repo;
        private readonly IMstPlmLotCodeGradeExcelExporter _calendarListExcelExporter;
        public MstPlmLotCodeGradeAppService(IRepository&lt;MstPlmLotCodeGrade,long&gt; repo, 
                                         IDapperRepository&lt;MstPlmLotCodeGrade,long&gt; dapperRepo,
                                        IMstPlmLotCodeGradeExcelExporter calendarListExcelExporter
            )
        {
            _repo = repo;
            _dapperRepo = dapperRepo;
            _calendarListExcelExporter = calendarListExcelExporter;
        }
        [AbpAuthorize(AppPermissions.Pages_Master_Plm_LotCodeGrade_CreateEdit)]
        public async Task CreateOrEdit(CreateOrEditMstPlmLotCodeGradeDto input)
        {
            if (input.Id == null) await Create(input);
            else await Update(input);
        }
        //CREATE
        private async Task Create(CreateOrEditMstPlmLotCodeGradeDto input)
        {          
            var mainObj = ObjectMapper.Map&lt;MstPlmLotCodeGrade&gt;(input);
            await CurrentUnitOfWork.GetDbContext&lt;vovinaDbContext&gt;().AddAsync(mainObj);
        }
        // EDIT
        private async Task Update(CreateOrEditMstPlmLotCodeGradeDto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[AbpAuthorize(AppPermissions.Pages_Master_Plm_LotCodeGrade_Delete)]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Task&lt;PagedResultDto&lt;MstPlmLotCodeGradeDto&gt;&gt; GetAll(GetMstPlmLotCodeGradeInput input)
        {
            var filtered = _repo.GetAll()
				.WhereIf(!string.IsNullOrWhiteSpace(input.LotCode), e =&gt; e.LotCode.Contains(input.LotCode))
				.WhereIf(!string.IsNullOrWhiteSpace(input.Cfc), e =&gt; e.Cfc.Contains(input.Cfc))
				.WhereIf(!string.IsNullOrWhiteSpace(input.Grade), e =&gt; e.Grade.Contains(input.Grade))
				.WhereIf(!string.IsNullOrWhiteSpace(input.GradeName), e =&gt; e.GradeName.Contains(input.GradeName))
				.WhereIf(!string.IsNullOrWhiteSpace(input.ModeCode), e =&gt; e.ModeCode.Contains(input.ModeCode))
				.WhereIf(!string.IsNullOrWhiteSpace(input.ModelVin), e =&gt; e.ModelVin.Contains(input.ModelVin))
				.WhereIf(!string.IsNullOrWhiteSpace(input.MaLotCode), e =&gt; e.MaLotCode.Contains(input.MaLotCode))
				.WhereIf(!string.IsNullOrWhiteSpace(input.VehicleId), e =&gt; e.VehicleId.Contains(input.VehicleId))
				.WhereIf(!string.IsNullOrWhiteSpace(input.TestNo), e =&gt; e.TestNo.Contains(input.TestNo))
				.WhereIf(!string.IsNullOrWhiteSpace(input.Dab), e =&gt; e.Dab.Contains(input.Dab))
				.WhereIf(!string.IsNullOrWhiteSpace(input.Pab), e =&gt; e.Pab.Contains(input.Pab))
				.WhereIf(!string.IsNullOrWhiteSpace(input.EngCode), e =&gt; e.EngCode.Contains(input.EngCode))
				.WhereIf(!string.IsNullOrWhiteSpace(input.Lab), e =&gt; e.Lab.Contains(input.Lab))
				.WhereIf(!string.IsNullOrWhiteSpace(input.Rab), e =&gt; e.Rab.Contains(input.Rab))
				.WhereIf(!string.IsNullOrWhiteSpace(input.Kab), e =&gt; e.Kab.Contains(input.Kab))
				.WhereIf(!string.IsNullOrWhiteSpace(input.Clab), e =&gt; e.Clab.Contains(input.Clab))
				.WhereIf(!string.IsNullOrWhiteSpace(input.CharStr), e =&gt; e.CharStr.Contains(input.CharStr))                   
				;
            var pageAndFiltered = filtered.OrderBy(s =&gt; s.Id);
            var system = from o in pageAndFiltered
                         select new MstPlmLotCodeGradeDto
                        {
							Id = o.Id,
							ModelId = o.ModelId,
							LotCode = o.LotCode,
							Cfc = o.Cfc,
							Grade = o.Grade,
							Odering = o.Odering,
							GradeName = o.GradeName,
							ModeCode = o.ModeCode,
							ModelVin = o.ModelVin,
							VisStart = o.VisStart,
							VisEnd = o.VisEnd,
							MaLotCode = o.MaLotCode,
							VehicleId = o.VehicleId,
							TestNo = o.TestNo,
							Dab = o.Dab,
							Pab = o.Pab,
							EngCode = o.EngCode,
							Lab = o.Lab,
							Rab = o.Rab,
							Kab = o.Kab,
							IsFcLabel = o.IsFcLabel,
							IsActive = o.IsActive,
							R = o.R,
							G = o.G,
							B = o.B,
							Clab = o.Clab,
							CharStr = o.CharStr,
                        };
            var totalCount = await filtered.CountAsync();
			var paged = system.PageBy(input);
            return new PagedResultDto&lt;MstPlmLotCodeGradeDto&gt;(
                totalCount,
                 await paged.ToListAsync()
            );
        }
        public async Task&lt;FileDto&gt; GetLotCodeGradeToExcel(MstPlmLotCodeGradeExportInput input)
        {
            var query = from o in _repo.GetAll()
                        select new MstPlmLotCodeGradeDto
                        {
							Id = o.Id,
							ModelId = o.ModelId,
							LotCode = o.LotCode,
							Cfc = o.Cfc,
							Grade = o.Grade,
							Odering = o.Odering,
							GradeName = o.GradeName,
							ModeCode = o.ModeCode,
							ModelVin = o.ModelVin,
							VisStart = o.VisStart,
							VisEnd = o.VisEnd,
							MaLotCode = o.MaLotCode,
							VehicleId = o.VehicleId,
							TestNo = o.TestNo,
							Dab = o.Dab,
							Pab = o.Pab,
							EngCode = o.EngCode,
							Lab = o.Lab,
							Rab = o.Rab,
							Kab = o.Kab,
							IsFcLabel = o.IsFcLabel,
							IsActive = o.IsActive,
							R = o.R,
							G = o.G,
							B = o.B,
							Clab = o.Clab,
							CharStr = o.CharStr,
                        };
            var exportToExcel = await query.ToListAsync();
            return _calendarListExcelExporter.ExportToFile(exportToExcel);
        }
       // public async Task GenerateAsync()
      //  {
        //    await _dapperRepo.ExecuteAsync(MstPlmLotCodeGradeConsts.SP_MST_WPT_CALENDAR_GENERATE);
       // }
    }
}</v>
      </c>
      <c r="N68" s="58" t="str">
        <f>A.Backend!U7</f>
        <v xml:space="preserve">  configuration.CreateMap&lt;MstPlmLotCodeGradeDto, MstPlmLotCodeGrade&gt;();
  configuration.CreateMap&lt;MstPlmLotCodeGrade, MstPlmLotCodeGradeDto&gt;();
  configuration.CreateMap&lt;CreateOrEditMstPlmLotCodeGradeDto, MstPlmLotCodeGrade&gt;();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lotcodegrade</v>
      </c>
      <c r="C73" s="66" t="str">
        <f>"create folder " &amp;B73</f>
        <v>create folder lotcodegrade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lotcodegrade.component.ts</v>
      </c>
      <c r="D74" s="28" t="str">
        <f>B.Frontend!I14</f>
        <v>lotcodegrade.component.html</v>
      </c>
      <c r="E74" s="28" t="str">
        <f>B.Frontend!J14</f>
        <v>lotcodegrade.component.less</v>
      </c>
      <c r="F74" s="28" t="str">
        <f>B.Frontend!K14</f>
        <v>create-or-edit-lotcodegrade-modal.component.html</v>
      </c>
      <c r="G74" s="28" t="str">
        <f>B.Frontend!L14</f>
        <v>create-or-edit-lotcodegrade-modal.component.ts</v>
      </c>
      <c r="H74" s="28" t="str">
        <f>B.Frontend!M14</f>
        <v>create-or-edit-lotcodegrade-modal.component.less</v>
      </c>
      <c r="I74" s="28" t="str">
        <f>B.Frontend!N14</f>
        <v>lotcodegrade.module.ts</v>
      </c>
      <c r="J74" s="28" t="str">
        <f>B.Frontend!O14</f>
        <v>lotcodegrade-routing.module.ts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MstPlmLotCodeGradeDto, MstPlmLotCodeGradeServiceProxy } from '@shared/service-proxies/service-proxies';
import { finalize } from 'rxjs/internal/operators/finalize';
import { CreateOrEditLotCodeGradeModalComponent } from './create-or-edit-lotcodegrade-modal.component';
import { DatePipe } from '@angular/common';
import { FileDownloadService } from '@shared/utils/file-download.service';
import ceil from 'lodash-es/ceil';
import { Paginator } from 'primeng/paginator';
@Component({
    templateUrl: './lotcodegrade.component.html',
    styleUrls: ['./lotcodegrade.component.less'],
})
export class LotCodeGradeComponent extends AppComponentBase implements OnInit {
    @ViewChild('createOrEditModalLotCodeGrade', { static: true }) createOrEditModalLotCodeGrade:| CreateOrEditLotCodeGradeModalComponent|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MstPlmLotCodeGradeDto = new MstPlmLotCodeGradeDto();
    saveSelectedRow: MstPlmLotCodeGradeDto = new MstPlmLotCodeGradeDto();
    datas: MstPlmLotCodeGradeDto = new MstPlmLotCodeGradeDto();
    isLoading: boolean = false;
    dataParams: GridParams | undefined;
    rowData: any[] = [];
    gridApi!: GridApi;
    rowSelection = 'multiple';
    filter: string = '';
	pipe = new DatePipe('en-US');
	frameworkComponents: FrameworkComponent;
    	modelId : string = '' ; 
	lotCode : string = '' ; 
	cfc : string = '' ; 
	grade
	odering
	gradeName
	modeCode
	modelVin
	visStart : string = '' ; 
	visEnd : string = '' ; 
	maLotCode
	vehicleId
	testNo
	dab
	pab
	engCode
	lab
	rab
	kab
	isFcLabel
	isActive
	r
	g
	b
	clab
	charStr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MstPlmLotCodeGradeServiceProxy,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this.l('Model Id'),headerTooltip: this.l('Model Id'),field: 'modelId',flex: 1},
			{headerName: this.l('Lot Code'),headerTooltip: this.l('Lot Code'),field: 'lotCode',flex: 1},
			{headerName: this.l('Cfc'),headerTooltip: this.l('Cfc'),field: 'cfc',flex: 1},
			{headerName: this.l('Grade'),headerTooltip: this.l('Grade'),field: 'grade',flex: 1},
			{headerName: this.l('Odering'),headerTooltip: this.l('Odering'),field: 'odering',flex: 1},
			{headerName: this.l('Grade Name'),headerTooltip: this.l('Grade Name'),field: 'gradeName',flex: 1},
			{headerName: this.l('Mode Code'),headerTooltip: this.l('Mode Code'),field: 'modeCode',flex: 1},
			{headerName: this.l('Model Vin'),headerTooltip: this.l('Model Vin'),field: 'modelVin',flex: 1},
			{headerName: this.l('Vis Start'),headerTooltip: this.l('Vis Start'),field: 'visStart',flex: 1},
			{headerName: this.l('Vis End'),headerTooltip: this.l('Vis End'),field: 'visEnd',flex: 1},
			{headerName: this.l('Ma Lot Code'),headerTooltip: this.l('Ma Lot Code'),field: 'maLotCode',flex: 1},
			{headerName: this.l('Vehicle Id'),headerTooltip: this.l('Vehicle Id'),field: 'vehicleId',flex: 1},
			{headerName: this.l('Test No'),headerTooltip: this.l('Test No'),field: 'testNo',flex: 1},
			{headerName: this.l('Dab'),headerTooltip: this.l('Dab'),field: 'dab',flex: 1},
			{headerName: this.l('Pab'),headerTooltip: this.l('Pab'),field: 'pab',flex: 1},
			{headerName: this.l('Eng Code'),headerTooltip: this.l('Eng Code'),field: 'engCode',flex: 1},
			{headerName: this.l('Lab'),headerTooltip: this.l('Lab'),field: 'lab',flex: 1},
			{headerName: this.l('Rab'),headerTooltip: this.l('Rab'),field: 'rab',flex: 1},
			{headerName: this.l('Kab'),headerTooltip: this.l('Kab'),field: 'kab',flex: 1},
			{headerName: this.l('Is Fc Label'),headerTooltip: this.l('Is Fc Label'),field: 'isFcLabel',flex: 1},
			{headerName: this.l('Is Active'),headerTooltip: this.l('Is Active'),field: 'isActive',flex: 1},
			{headerName: this.l('R'),headerTooltip: this.l('R'),field: 'r',flex: 1},
			{headerName: this.l('G'),headerTooltip: this.l('G'),field: 'g',flex: 1},
			{headerName: this.l('B'),headerTooltip: this.l('B'),field: 'b',flex: 1},
			{headerName: this.l('Clab'),headerTooltip: this.l('Clab'),field: 'clab',flex: 1},
			{headerName: this.l('Char Str'),headerTooltip: this.l('Char Str'),field: 'charStr',flex: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this.modelId,
			this.lotCode,
			this.cfc,
			this.grade,
			this.odering,
			this.gradeName,
			this.modeCode,
			this.modelVin,
			this.visStart,
			this.visEnd,
			this.maLotCode,
			this.vehicleId,
			this.testNo,
			this.dab,
			this.pab,
			this.engCode,
			this.lab,
			this.rab,
			this.kab,
			this.isFcLabel,
			this.isActive,
			this.r,
			this.g,
			this.b,
			this.clab,
			this.charStr,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this.modelId = '',
		this.lotCode = '',
		this.cfc = '',
		this.grade = '',
		this.odering = '',
		this.gradeName = '',
		this.modeCode = '',
		this.modelVin = '',
		this.visStart = '',
		this.visEnd = '',
		this.maLotCode = '',
		this.vehicleId = '',
		this.testNo = '',
		this.dab = '',
		this.pab = '',
		this.engCode = '',
		this.lab = '',
		this.rab = '',
		this.kab = '',
		this.isFcLabel = '',
		this.isActive = '',
		this.r = '',
		this.g = '',
		this.b = '',
		this.clab = '',
		this.charStr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this.modelId,
			this.lotCode,
			this.cfc,
			this.grade,
			this.odering,
			this.gradeName,
			this.modeCode,
			this.modelVin,
			this.visStart,
			this.visEnd,
			this.maLotCode,
			this.vehicleId,
			this.testNo,
			this.dab,
			this.pab,
			this.engCode,
			this.lab,
			this.rab,
			this.kab,
			this.isFcLabel,
			this.isActive,
			this.r,
			this.g,
			this.b,
			this.clab,
			this.charStr,
			'',
            this.paginationParams.skipCount,
            this.paginationParams.pageSize
        );
    }
    onChangeRowSelection(params: { api: { getSelectedRows: () =&gt; MstPlmLotCodeGradeDto[] } }) {
        this.saveSelectedRow = params.api.getSelectedRows()[0] ?? new MstPlmLotCodeGradeDto();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MstPlmLotCodeGradeDto):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this._service.getLotCodeGradeToExcel(
			this.modelId,
			this.lotCode,
			this.cfc,
			this.grade,
			this.odering,
			this.gradeName,
			this.modeCode,
			this.modelVin,
			this.visStart,
			this.visEnd,
			this.maLotCode,
			this.vehicleId,
			this.testNo,
			this.dab,
			this.pab,
			this.engCode,
			this.lab,
			this.rab,
			this.kab,
			this.isFcLabel,
			this.isActive,
			this.r,
			this.g,
			this.b,
			this.clab,
			this.charStr,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Invoice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[(ngModel)]='modelId' name='modelId'
									class='form-control' [placeholder]="l('Model Id')"
									type='text' (keyup.enter)='searchDatas()'&gt;
								&lt;/div&gt;
								&lt;div class='input-search'&gt;
									&lt;input [(ngModel)]='lotCode' name='lotCode'
									class='form-control' [placeholder]="l('Lot Code')"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[(ngModel)]='visStart' name='visStart'
									class='form-control' [placeholder]="l('Vis Start')"
									type='text' (keyup.enter)='searchDatas()'&gt;
								&lt;/div&gt;
								&lt;div class='input-search'&gt;
									&lt;input [(ngModel)]='visEnd' name='visEnd'
									class='form-control' [placeholder]="l('Vis End')"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(click)="createOrEditModalLotCodeGrade.show()"&gt;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(click)="createOrEditModalLotCodeGrade.show(selectedRow)"&gt;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&lt;create-or-edit-lotcodegrade-modal
    #createOrEditModalLotCodeGrade
    (modalSave)="callBackDataGrid(dataParams)"
    (modalClose)="onChangeRowSelection(dataParams)"
&gt;
&lt;/create-or-edit-lotcodegrade-modal&gt;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#createOrEditModalLotCodeGrade="bs-modal"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LotCodeGrade')}}&lt;/h3&gt;
                    &lt;h3 *ngIf="!rowdata.id"&gt;{{('Create New LotCodeGrade')}}&lt;/h3&gt;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title'&gt;Model Id&lt;/label&gt;
						&lt;input type='text' class='col-md-10 form-control input-text' name='ModelId' [(ngModel)]='rowdata.modelId'&gt;
					&lt;/div&gt;
					&lt;div class='col-md-12 form-group row'&gt;
						&lt;label class='col-md-2 form-control title'&gt;Lot Code&lt;/label&gt;
						&lt;input type='text' class='col-md-10 form-control input-text' name='LotCode' [(ngModel)]='rowdata.lotCode'&gt;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title'&gt;Vis Start&lt;/label&gt;
						&lt;input type='text' class='col-md-10 form-control input-text' name='VisStart' [(ngModel)]='rowdata.visStart'&gt;
					&lt;/div&gt;
					&lt;div class='col-md-12 form-group row'&gt;
						&lt;label class='col-md-2 form-control title'&gt;Vis End&lt;/label&gt;
						&lt;input type='text' class='col-md-10 form-control input-text' name='VisEnd' [(ngModel)]='rowdata.visEnd'&gt;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CreateOrEditMstPlmLotCodeGradeDto, MstPlmLotCodeGradeServiceProxy } from '@shared/service-proxies/service-proxies';
import { BsDatepickerDirective } from 'ngx-bootstrap/datepicker';
@Component({
    selector: 'create-or-edit-lotcodegrade-modal',
    templateUrl: './create-or-edit-lotcodegrade-modal.component.html',
    styleUrls: ['./create-or-edit-lotcodegrade-modal.component.less']
    })
export class CreateOrEditLotCodeGradeModalComponent extends AppComponentBase {
    @ViewChild('createOrEditModalLotCodeGrade',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CreateOrEditMstPlmLotCodeGradeDto = new CreateOrEditMstPlmLotCodeGradeDto();
    active: boolean = false;
    saving: boolean = false;
    _: boolean;
    constructor(
        injector: Injector,
        private _mstwptLotCodeGradeService: MstPlmLotCodeGradeServiceProxy,
    ) 
    {
        super(injector);
    }
    show(rowdata?: CreateOrEditMstPlmLotCodeGradeDto): void {
        if (!rowdata) this.rowdata = new CreateOrEditMstPlmLotCodeGradeDto();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this._mstwptLotCodeGradeService.createOrEdit(this.rowdata)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LotCodeGradeRoutingModule } from './lotcodegrade-routing.module';
import { LotCodeGradeComponent } from './lotcodegrade.component';
import { CreateOrEditLotCodeGradeModalComponent } from './create-or-edit-lotcodegrade-modal.component';
@NgModule({
    declarations: [
       LotCodeGradeComponent, 
        CreateOrEditLotCodeGradeModalComponent
    ],
    imports: [
        AppSharedModule, LotCodeGradeRoutingModule]
})
export class LotCodeGradeModule {}</v>
      </c>
      <c r="J75" s="46" t="str">
        <f>B.Frontend!O10</f>
        <v>import {NgModule} from '@angular/core';
import {RouterModule, Routes} from '@angular/router';
import { LotCodeGradeComponent } from './lotcodegrade.component';
const routes: Routes = [{
    path: '',
    component: LotCodeGradeComponent,
    pathMatch: 'full'
}];
@NgModule({
    imports: [RouterModule.forChild(routes)],
    exports: [RouterModule],
})
export class LotCodeGradeRoutingModule {}</v>
      </c>
      <c r="K75" s="46" t="str">
        <f>B.Frontend!P10</f>
        <v xml:space="preserve"> new AppMenuItem("LotCodeGrade", "Pages.Master.Plm.LotCodeGrade", "flaticon-book",   "/app/main/master/plm/lotcodegrade"),</v>
      </c>
      <c r="L75" s="47" t="str">
        <f>B.Frontend!Q10</f>
        <v>{
    path: 'master/plm/lotcodegrade',
    loadChildren: () =&gt; import('./master/plm/lotcodegrade/lotcodegrade.module').then(m =&gt; m.LotCodeGradeModule),
    data: { permission: 'Pages.Master.Plm.LotCodeGrade' }
},</v>
      </c>
      <c r="M75" s="45" t="str">
        <f>B.Frontend!R10</f>
        <v>ApiServiceProxies.MstPlmLotCodeGradeServiceProxy,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36"/>
  <sheetViews>
    <sheetView zoomScale="66" zoomScaleNormal="66" workbookViewId="0">
      <pane xSplit="1" topLeftCell="B1" activePane="topRight" state="frozen"/>
      <selection pane="topRight" activeCell="D37" sqref="D37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vovina.Master.Plm.Dto;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355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388</v>
      </c>
      <c r="C3" s="9" t="s">
        <v>41</v>
      </c>
      <c r="D3" s="9" t="s">
        <v>42</v>
      </c>
      <c r="E3" s="9" t="s">
        <v>37</v>
      </c>
      <c r="F3" s="10" t="str">
        <f>"J"&amp;COUNTA($A:$A)</f>
        <v>J34</v>
      </c>
      <c r="G3" s="4" t="s">
        <v>54</v>
      </c>
      <c r="H3" s="9" t="str">
        <f>"I"&amp;COUNTA($A:$A)</f>
        <v>I34</v>
      </c>
      <c r="I3" s="9" t="str">
        <f>REPT(CHAR(9),2)&amp;"[Required]"&amp;"
"</f>
        <v xml:space="preserve">		[Required]
</v>
      </c>
      <c r="J3" s="10" t="str">
        <f>"L"&amp;COUNTA($A:$A)</f>
        <v>L34</v>
      </c>
      <c r="K3" s="5" t="s">
        <v>53</v>
      </c>
      <c r="L3" s="10" t="str">
        <f>"M"&amp;COUNTA($A:$A)</f>
        <v>M34</v>
      </c>
      <c r="M3" s="10" t="str">
        <f>"N"&amp;COUNTA($A:$A)</f>
        <v>N34</v>
      </c>
      <c r="N3" s="10" t="str">
        <f>"O"&amp;COUNTA($A:$A)</f>
        <v>O34</v>
      </c>
      <c r="O3" s="10" t="str">
        <f>"P"&amp;COUNTA($A:$A)</f>
        <v>P34</v>
      </c>
      <c r="Q3" s="10" t="str">
        <f>RIGHT(B2,(LEN(B2)-FIND(".",B2,1)))</f>
        <v>Plm</v>
      </c>
      <c r="R3" s="29" t="str">
        <f>REPT(CHAR(9),1)&amp;"public class "&amp;B3&amp;"ExportInput"&amp;C3</f>
        <v xml:space="preserve">	public class MstPlmLotCodeGradeExportInput{
</v>
      </c>
      <c r="S3" s="10" t="str">
        <f>"namespace "&amp;$B$6&amp;".Exporting
"&amp;$C$3</f>
        <v xml:space="preserve">namespace prod.Master.Plm.Exporting
{
</v>
      </c>
      <c r="T3" s="10" t="str">
        <f>"T"&amp;COUNTA($A:$A)</f>
        <v>T34</v>
      </c>
      <c r="V3" s="10" t="str">
        <f>"V"&amp;COUNTA($A:$A)</f>
        <v>V34</v>
      </c>
      <c r="W3" s="9" t="str">
        <f>"W"&amp;COUNTA($A:$A)</f>
        <v>W34</v>
      </c>
    </row>
    <row r="4" spans="1:23" s="10" customFormat="1" ht="33" customHeight="1" x14ac:dyDescent="0.25">
      <c r="A4" s="1" t="s">
        <v>233</v>
      </c>
      <c r="B4" s="65" t="s">
        <v>85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389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prod.Master.Plm</v>
      </c>
      <c r="C6" s="10" t="str">
        <f>"namespace "&amp;$B$6&amp;"
"&amp;$C$3</f>
        <v xml:space="preserve">namespace prod.Master.Plm
{
</v>
      </c>
      <c r="D6" s="10" t="str">
        <f>REPT(CHAR(9),1)&amp;"public class "&amp;B3&amp;G3&amp;REPT(CHAR(9),1)&amp;"
"&amp;REPT(CHAR(9),1)&amp;C3</f>
        <v xml:space="preserve">	public class MstPlmLotCodeGrade: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MstPlmLotCodeGradeConsts	
	{
</v>
      </c>
      <c r="F6" s="10" t="str">
        <f>REPT(CHAR(9),1)&amp;"public class "&amp;B3&amp;"Dto"&amp;K3&amp;REPT(CHAR(9),1)&amp;"
"&amp;REPT(CHAR(9),1)&amp;C3</f>
        <v xml:space="preserve">	public class MstPlmLotCodeGradeDto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CreateOrEditMstPlmLotCodeGradeDto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GetMstPlmLotCodeGradeInput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MstPlmLotCodeGrade</v>
      </c>
      <c r="C7" s="10" t="str">
        <f>REPT(CHAR(9),1)&amp;"[Table("""&amp;B7&amp;""")]"&amp;"
"</f>
        <v xml:space="preserve">	[Table("MstPlmLotCodeGrade")]
</v>
      </c>
      <c r="D7" s="10"/>
      <c r="E7" s="10"/>
      <c r="F7" s="10"/>
      <c r="G7" s="10"/>
      <c r="H7" s="10"/>
      <c r="I7" s="10"/>
      <c r="J7" t="str">
        <f ca="1">SUBSTITUTE(SUBSTITUTE((B1&amp;C6&amp;C7&amp;K36&amp;D6&amp;I36&amp;E3&amp;J36&amp;""&amp;REPT(CHAR(9),1)&amp;D3&amp;D3),"WorkingPattern",$Q$3),"Master",$B$4)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prod.Master.Plm
{
	[Table("MstPlmLotCodeGrade")]
	[Index(nameof(LotCode), Name="IX_MstPlmLotCodeGrade_LotCode")]
	[Index(nameof(Cfc), Name="IX_MstPlmLotCodeGrade_Cfc")]
	[Index(nameof(ModeCode), Name="IX_MstPlmLotCodeGrade_ModeCode")]
	[Index(nameof(ModelVin), Name="IX_MstPlmLotCodeGrade_ModelVin")]
	[Index(nameof(MaLotCode), Name="IX_MstPlmLotCodeGrade_MaLotCode")]
	public class MstPlmLotCodeGrade: FullAuditedEntity&lt;long&gt;, IEntity&lt;long&gt;	
	{
		public const int MaxLotCodeLength = 50;
		public const int MaxCfcLength = 50;
		public const int MaxGradeLength = 50;
		public const int MaxGradeNameLength = 50;
		public const int MaxModeCodeLength = 20;
		public const int MaxModelVinLength = 20;
		public const int MaxMaLotCodeLength = 50;
		public const int MaxVehicleIdLength = 10;
		public const int MaxTestNoLength = 10;
		public const int MaxDabLength = 3;
		public const int MaxPabLength = 3;
		public const int MaxEngCodeLength = 3;
		public const int MaxLabLength = 255;
		public const int MaxRabLength = 255;
		public const int MaxKabLength = 255;
		public const int MaxClabLength = 255;
		public const int MaxCharStrLength = 255;
		public virtual int? ModelId { get; set; }
		[StringLength(MaxLotCodeLength)]
		public virtual string LotCode { get; set; }
		[StringLength(MaxCfcLength)]
		public virtual string Cfc { get; set; }
		[StringLength(MaxGradeLength)]
		public virtual string Grade { get; set; }
		public virtual int? Odering { get; set; }
		[StringLength(MaxGradeNameLength)]
		public virtual string GradeName { get; set; }
		[StringLength(MaxModeCodeLength)]
		public virtual string ModeCode { get; set; }
		[StringLength(MaxModelVinLength)]
		public virtual string ModelVin { get; set; }
		public virtual int? VisStart { get; set; }
		public virtual int? VisEnd { get; set; }
		[StringLength(MaxMaLotCodeLength)]
		public virtual string MaLotCode { get; set; }
		[StringLength(MaxVehicleIdLength)]
		public virtual string VehicleId { get; set; }
		[StringLength(MaxTestNoLength)]
		public virtual string TestNo { get; set; }
		[StringLength(MaxDabLength)]
		public virtual string Dab { get; set; }
		[StringLength(MaxPabLength)]
		public virtual string Pab { get; set; }
		[StringLength(MaxEngCodeLength)]
		public virtual string EngCode { get; set; }
		[StringLength(MaxLabLength)]
		public virtual string Lab { get; set; }
		[StringLength(MaxRabLength)]
		public virtual string Rab { get; set; }
		[StringLength(MaxKabLength)]
		public virtual string Kab { get; set; }
		public virtual int? IsFcLabel { get; set; }
		public virtual int? IsActive { get; set; }
		public virtual int? R { get; set; }
		public virtual int? G { get; set; }
		public virtual int? B { get; set; }
		[StringLength(MaxClabLength)]
		public virtual string Clab { get; set; }
		[StringLength(MaxCharStrLength)]
		public virtual string CharStr { get; set; }
	}
}
</v>
      </c>
      <c r="K7" t="str">
        <f>SUBSTITUTE(SUBSTITUTE(("public virtual DbSet&lt;"&amp;B3&amp;"&gt; "&amp;B3&amp;"s { get; set; }"),"WorkingPattern",$Q$3),"Master",$B$4)</f>
        <v>public virtual DbSet&lt;MstPlmLotCodeGrade&gt; MstPlmLotCodeGrades { get; set; }</v>
      </c>
      <c r="L7" t="str">
        <f ca="1">SUBSTITUTE(SUBSTITUTE((C6&amp;E6&amp;I36&amp;"
"&amp;REPT(CHAR(9),2)&amp;"// Define Store Name: Format SP_ + &lt;Store Name&gt; = &lt;Store Name&gt;
"&amp;E3&amp;REPT(CHAR(9),1)&amp;D3&amp;D3),"WorkingPattern",$Q$3),"Master",$B$4)</f>
        <v xml:space="preserve">namespace prod.Master.Plm
{
	public class MstPlmLotCodeGradeConsts	
	{
		public const int MaxLotCodeLength = 50;
		public const int MaxCfcLength = 50;
		public const int MaxGradeLength = 50;
		public const int MaxGradeNameLength = 50;
		public const int MaxModeCodeLength = 20;
		public const int MaxModelVinLength = 20;
		public const int MaxMaLotCodeLength = 50;
		public const int MaxVehicleIdLength = 10;
		public const int MaxTestNoLength = 10;
		public const int MaxDabLength = 3;
		public const int MaxPabLength = 3;
		public const int MaxEngCodeLength = 3;
		public const int MaxLabLength = 255;
		public const int MaxRabLength = 255;
		public const int MaxKabLength = 255;
		public const int MaxClabLength = 255;
		public const int MaxCharStrLength = 255;
		// Define Store Name: Format SP_ + &lt;Store Name&gt; = &lt;Store Name&gt;
	}
}
</v>
      </c>
      <c r="M7" t="str">
        <f ca="1">SUBSTITUTE(SUBSTITUTE((C1&amp;"namespace "&amp;B6&amp;".Dto"&amp;E3&amp;C3&amp;F6&amp;M36&amp;E3&amp;REPT(CHAR(9),1)&amp;D3&amp;G6&amp;N36&amp;REPT(CHAR(9),1)&amp;D3&amp;H6&amp;O36&amp;"
"&amp;REPT(CHAR(9),1)&amp;D3&amp;D3),"WorkingPattern",$Q$3),"Master",$B$4)</f>
        <v xml:space="preserve">using Abp.Application.Services.Dto;
using System;
using System.ComponentModel.DataAnnotations;
namespace prod.Master.Plm.Dto
{
	public class MstPlmLotCodeGradeDto : EntityDto&lt;long?&gt;	
	{
		public virtual int? ModelId { get; set; }
		public virtual string LotCode { get; set; }
		public virtual string Cfc { get; set; }
		public virtual string Grade { get; set; }
		public virtual int? Odering { get; set; }
		public virtual string GradeName { get; set; }
		public virtual string ModeCode { get; set; }
		public virtual string ModelVin { get; set; }
		public virtual int? VisStart { get; set; }
		public virtual int? VisEnd { get; set; }
		public virtual string MaLotCode { get; set; }
		public virtual string VehicleId { get; set; }
		public virtual string TestNo { get; set; }
		public virtual string Dab { get; set; }
		public virtual string Pab { get; set; }
		public virtual string EngCode { get; set; }
		public virtual string Lab { get; set; }
		public virtual string Rab { get; set; }
		public virtual string Kab { get; set; }
		public virtual int? IsFcLabel { get; set; }
		public virtual int? IsActive { get; set; }
		public virtual int? R { get; set; }
		public virtual int? G { get; set; }
		public virtual int? B { get; set; }
		public virtual string Clab { get; set; }
		public virtual string CharStr { get; set; }
	}
	public class CreateOrEditMstPlmLotCodeGradeDto : EntityDto&lt;long?&gt;	
	{
		public virtual int? ModelId { get; set; }
		[StringLength(MstPlmLotCodeGradeConsts.MaxLotCodeLength)]
		public virtual string LotCode { get; set; }
		[StringLength(MstPlmLotCodeGradeConsts.MaxCfcLength)]
		public virtual string Cfc { get; set; }
		[StringLength(MstPlmLotCodeGradeConsts.MaxGradeLength)]
		public virtual string Grade { get; set; }
		public virtual int? Odering { get; set; }
		[StringLength(MstPlmLotCodeGradeConsts.MaxGradeNameLength)]
		public virtual string GradeName { get; set; }
		[StringLength(MstPlmLotCodeGradeConsts.MaxModeCodeLength)]
		public virtual string ModeCode { get; set; }
		[StringLength(MstPlmLotCodeGradeConsts.MaxModelVinLength)]
		public virtual string ModelVin { get; set; }
		public virtual int? VisStart { get; set; }
		public virtual int? VisEnd { get; set; }
		[StringLength(MstPlmLotCodeGradeConsts.MaxMaLotCodeLength)]
		public virtual string MaLotCode { get; set; }
		[StringLength(MstPlmLotCodeGradeConsts.MaxVehicleIdLength)]
		public virtual string VehicleId { get; set; }
		[StringLength(MstPlmLotCodeGradeConsts.MaxTestNoLength)]
		public virtual string TestNo { get; set; }
		[StringLength(MstPlmLotCodeGradeConsts.MaxDabLength)]
		public virtual string Dab { get; set; }
		[StringLength(MstPlmLotCodeGradeConsts.MaxPabLength)]
		public virtual string Pab { get; set; }
		[StringLength(MstPlmLotCodeGradeConsts.MaxEngCodeLength)]
		public virtual string EngCode { get; set; }
		[StringLength(MstPlmLotCodeGradeConsts.MaxLabLength)]
		public virtual string Lab { get; set; }
		[StringLength(MstPlmLotCodeGradeConsts.MaxRabLength)]
		public virtual string Rab { get; set; }
		[StringLength(MstPlmLotCodeGradeConsts.MaxKabLength)]
		public virtual string Kab { get; set; }
		public virtual int? IsFcLabel { get; set; }
		public virtual int? IsActive { get; set; }
		public virtual int? R { get; set; }
		public virtual int? G { get; set; }
		public virtual int? B { get; set; }
		[StringLength(MstPlmLotCodeGradeConsts.MaxClabLength)]
		public virtual string Clab { get; set; }
		[StringLength(MstPlmLotCodeGradeConsts.MaxCharStrLength)]
		public virtual string CharStr { get; set; }
	}
	public class GetMstPlmLotCodeGradeInput : PagedAndSortedResultRequestDto	
	{
		public virtual string LotCode { get; set; }
		public virtual string Cfc { get; set; }
		public virtual string Grade { get; set; }
		public virtual string GradeName { get; set; }
		public virtual string ModeCode { get; set; }
		public virtual string ModelVin { get; set; }
		public virtual string MaLotCode { get; set; }
		public virtual string VehicleId { get; set; }
		public virtual string TestNo { get; set; }
		public virtual string Dab { get; set; }
		public virtual string Pab { get; set; }
		public virtual string EngCode { get; set; }
		public virtual string Lab { get; set; }
		public virtual string Rab { get; set; }
		public virtual string Kab { get; set; }
		public virtual string Clab { get; set; }
		public virtual string CharStr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perMstPlmLotCodeGrade = PARENTS.CreateChildPermission(AppPermissions.Pages_Master_Plm_LotCodeGrade, L( "MasterPlmLotCodeGrade"), multiTenancySides: MultiTenancySides.Tenant);
		perMstPlmLotCodeGrade.CreateChildPermission(AppPermissions.Pages_Master_Plm_LotCodeGrade_CreateEdit, L( "MasterPlmLotCodeGradeCreateEdit"), multiTenancySides: MultiTenancySides.Tenant);
		perMstPlmLotCodeGrade.CreateChildPermission(AppPermissions.Pages_Master_Plm_LotCodeGrade_Delete, L( "MasterPlmLotCodeGradeDelete"),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Pages_Master_Plm_LotCodeGrade = "Pages.Master.Plm.LotCodeGrade";
		public const string Pages_Master_Plm_LotCodeGrade_CreateEdit = "Pages.Master.Plm.LotCodeGrade.CreateEdit";
		public const string Pages_Master_Plm_LotCodeGrade_Delete = "Pages.Master.Plm.LotCodeGrade.Delete";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vovina.Master.Plm.Dto;
namespace prod.Master.Plm
{
	public interface IMstPlmLotCodeGradeAppService : IApplicationService
	{
		Task&lt;PagedResultDto&lt;MstPlmLotCodeGradeDto&gt;&gt; GetAll(GetMstPlmLotCodeGradeInput input);
		Task CreateOrEdit(CreateOrEditMstPlmLotCodeGradeDto input);
		Task Delete(EntityDto input);
	}
}
</v>
      </c>
      <c r="Q7" t="str">
        <f ca="1">SUBSTITUTE(SUBSTITUTE(SUBSTITUTE(SUBSTITUTE(SUBSTITUTE(SUBSTITUTE(E1,"MstWptCalendar",$B$3),"&lt;PROPERTIES&gt;",P36),"Calendar",$B$5),"WorkingPattern",$Q$3),"Master",$B$4),"&lt;PARAMS_SEARCH&gt;",$W$36)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vovina.Master.Plm.Dto;
using vovina.Master.Plm.Exporting;
namespace vovina.Master.Plm
{
    [AbpAuthorize(AppPermissions.Pages_Master_Plm_LotCodeGrade)]
    public class MstPlmLotCodeGradeAppService : vovinaAppServiceBase, IMstPlmLotCodeGradeAppService
    {
        private readonly IDapperRepository&lt;MstPlmLotCodeGrade, long&gt; _dapperRepo;
        private readonly IRepository&lt;MstPlmLotCodeGrade, long&gt; _repo;
        private readonly IMstPlmLotCodeGradeExcelExporter _calendarListExcelExporter;
        public MstPlmLotCodeGradeAppService(IRepository&lt;MstPlmLotCodeGrade,long&gt; repo, 
                                         IDapperRepository&lt;MstPlmLotCodeGrade,long&gt; dapperRepo,
                                        IMstPlmLotCodeGradeExcelExporter calendarListExcelExporter
            )
        {
            _repo = repo;
            _dapperRepo = dapperRepo;
            _calendarListExcelExporter = calendarListExcelExporter;
        }
        [AbpAuthorize(AppPermissions.Pages_Master_Plm_LotCodeGrade_CreateEdit)]
        public async Task CreateOrEdit(CreateOrEditMstPlmLotCodeGradeDto input)
        {
            if (input.Id == null) await Create(input);
            else await Update(input);
        }
        //CREATE
        private async Task Create(CreateOrEditMstPlmLotCodeGradeDto input)
        {          
            var mainObj = ObjectMapper.Map&lt;MstPlmLotCodeGrade&gt;(input);
            await CurrentUnitOfWork.GetDbContext&lt;vovinaDbContext&gt;().AddAsync(mainObj);
        }
        // EDIT
        private async Task Update(CreateOrEditMstPlmLotCodeGradeDto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[AbpAuthorize(AppPermissions.Pages_Master_Plm_LotCodeGrade_Delete)]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Task&lt;PagedResultDto&lt;MstPlmLotCodeGradeDto&gt;&gt; GetAll(GetMstPlmLotCodeGradeInput input)
        {
            var filtered = _repo.GetAll()
				.WhereIf(!string.IsNullOrWhiteSpace(input.LotCode), e =&gt; e.LotCode.Contains(input.LotCode))
				.WhereIf(!string.IsNullOrWhiteSpace(input.Cfc), e =&gt; e.Cfc.Contains(input.Cfc))
				.WhereIf(!string.IsNullOrWhiteSpace(input.Grade), e =&gt; e.Grade.Contains(input.Grade))
				.WhereIf(!string.IsNullOrWhiteSpace(input.GradeName), e =&gt; e.GradeName.Contains(input.GradeName))
				.WhereIf(!string.IsNullOrWhiteSpace(input.ModeCode), e =&gt; e.ModeCode.Contains(input.ModeCode))
				.WhereIf(!string.IsNullOrWhiteSpace(input.ModelVin), e =&gt; e.ModelVin.Contains(input.ModelVin))
				.WhereIf(!string.IsNullOrWhiteSpace(input.MaLotCode), e =&gt; e.MaLotCode.Contains(input.MaLotCode))
				.WhereIf(!string.IsNullOrWhiteSpace(input.VehicleId), e =&gt; e.VehicleId.Contains(input.VehicleId))
				.WhereIf(!string.IsNullOrWhiteSpace(input.TestNo), e =&gt; e.TestNo.Contains(input.TestNo))
				.WhereIf(!string.IsNullOrWhiteSpace(input.Dab), e =&gt; e.Dab.Contains(input.Dab))
				.WhereIf(!string.IsNullOrWhiteSpace(input.Pab), e =&gt; e.Pab.Contains(input.Pab))
				.WhereIf(!string.IsNullOrWhiteSpace(input.EngCode), e =&gt; e.EngCode.Contains(input.EngCode))
				.WhereIf(!string.IsNullOrWhiteSpace(input.Lab), e =&gt; e.Lab.Contains(input.Lab))
				.WhereIf(!string.IsNullOrWhiteSpace(input.Rab), e =&gt; e.Rab.Contains(input.Rab))
				.WhereIf(!string.IsNullOrWhiteSpace(input.Kab), e =&gt; e.Kab.Contains(input.Kab))
				.WhereIf(!string.IsNullOrWhiteSpace(input.Clab), e =&gt; e.Clab.Contains(input.Clab))
				.WhereIf(!string.IsNullOrWhiteSpace(input.CharStr), e =&gt; e.CharStr.Contains(input.CharStr))                   
				;
            var pageAndFiltered = filtered.OrderBy(s =&gt; s.Id);
            var system = from o in pageAndFiltered
                         select new MstPlmLotCodeGradeDto
                        {
							Id = o.Id,
							ModelId = o.ModelId,
							LotCode = o.LotCode,
							Cfc = o.Cfc,
							Grade = o.Grade,
							Odering = o.Odering,
							GradeName = o.GradeName,
							ModeCode = o.ModeCode,
							ModelVin = o.ModelVin,
							VisStart = o.VisStart,
							VisEnd = o.VisEnd,
							MaLotCode = o.MaLotCode,
							VehicleId = o.VehicleId,
							TestNo = o.TestNo,
							Dab = o.Dab,
							Pab = o.Pab,
							EngCode = o.EngCode,
							Lab = o.Lab,
							Rab = o.Rab,
							Kab = o.Kab,
							IsFcLabel = o.IsFcLabel,
							IsActive = o.IsActive,
							R = o.R,
							G = o.G,
							B = o.B,
							Clab = o.Clab,
							CharStr = o.CharStr,
                        };
            var totalCount = await filtered.CountAsync();
			var paged = system.PageBy(input);
            return new PagedResultDto&lt;MstPlmLotCodeGradeDto&gt;(
                totalCount,
                 await paged.ToListAsync()
            );
        }
        public async Task&lt;FileDto&gt; GetLotCodeGradeToExcel(MstPlmLotCodeGradeExportInput input)
        {
            var query = from o in _repo.GetAll()
                        select new MstPlmLotCodeGradeDto
                        {
							Id = o.Id,
							ModelId = o.ModelId,
							LotCode = o.LotCode,
							Cfc = o.Cfc,
							Grade = o.Grade,
							Odering = o.Odering,
							GradeName = o.GradeName,
							ModeCode = o.ModeCode,
							ModelVin = o.ModelVin,
							VisStart = o.VisStart,
							VisEnd = o.VisEnd,
							MaLotCode = o.MaLotCode,
							VehicleId = o.VehicleId,
							TestNo = o.TestNo,
							Dab = o.Dab,
							Pab = o.Pab,
							EngCode = o.EngCode,
							Lab = o.Lab,
							Rab = o.Rab,
							Kab = o.Kab,
							IsFcLabel = o.IsFcLabel,
							IsActive = o.IsActive,
							R = o.R,
							G = o.G,
							B = o.B,
							Clab = o.Clab,
							CharStr = o.CharStr,
                        };
            var exportToExcel = await query.ToListAsync();
            return _calendarListExcelExporter.ExportToFile(exportToExcel);
        }
       // public async Task GenerateAsync()
      //  {
        //    await _dapperRepo.ExecuteAsync(MstPlmLotCodeGradeConsts.SP_MST_WPT_CALENDAR_GENERATE);
       // }
    }
}</v>
      </c>
      <c r="R7" t="str">
        <f ca="1">SUBSTITUTE(SUBSTITUTE((C1&amp;"namespace "&amp;B6&amp;".Dto"&amp;E3&amp;C3&amp;R3&amp;M36&amp;E3&amp;REPT(CHAR(9),1)&amp;D3&amp;D3),"WorkingPattern",$Q$3),"Master",$B$4)</f>
        <v xml:space="preserve">using Abp.Application.Services.Dto;
using System;
using System.ComponentModel.DataAnnotations;
namespace prod.Master.Plm.Dto
{
	public class MstPlmLotCodeGradeExportInput{
		public virtual int? ModelId { get; set; }
		public virtual string LotCode { get; set; }
		public virtual string Cfc { get; set; }
		public virtual string Grade { get; set; }
		public virtual int? Odering { get; set; }
		public virtual string GradeName { get; set; }
		public virtual string ModeCode { get; set; }
		public virtual string ModelVin { get; set; }
		public virtual int? VisStart { get; set; }
		public virtual int? VisEnd { get; set; }
		public virtual string MaLotCode { get; set; }
		public virtual string VehicleId { get; set; }
		public virtual string TestNo { get; set; }
		public virtual string Dab { get; set; }
		public virtual string Pab { get; set; }
		public virtual string EngCode { get; set; }
		public virtual string Lab { get; set; }
		public virtual string Rab { get; set; }
		public virtual string Kab { get; set; }
		public virtual int? IsFcLabel { get; set; }
		public virtual int? IsActive { get; set; }
		public virtual int? R { get; set; }
		public virtual int? G { get; set; }
		public virtual int? B { get; set; }
		public virtual string Clab { get; set; }
		public virtual string CharStr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vovina.Master.Plm.Dto;
namespace prod.Master.Plm.Exporting
{
	public interface IMstPlmLotCodeGradeExcelExporter : IApplicationService
	{
		FileDto ExportToFile(List&lt;MstPlmLotCodeGradeDto&gt; mstplmlotcodegrade);
	}
}
</v>
      </c>
      <c r="T7" s="26" t="str">
        <f ca="1">SUBSTITUTE(SUBSTITUTE(SUBSTITUTE(SUBSTITUTE(SUBSTITUTE(SUBSTITUTE(SUBSTITUTE(T1,"MstWptCalendar",$B$3),"&lt;PROPERTIES1&gt;",V36),"&lt;PROPERTIES&gt;",T36),"Calendar",$B$5),"calendar",LOWER(B5)),"WorkingPattern",$Q$3),"Master",$B$4)</f>
        <v>using System.Collections.Generic;
using vovina.DataExporting.Excel.NPOI;
using vovina.Dto;
using vovina.Master.Plm.Exporting;
using vovina.Master.Plm.Dto;
using vovina.Storage;
using vovina.Master.Plm.Dto;
namespace vovina.Master.Plm.Exporting
{
    public class MstPlmLotCodeGradeExcelExporter : NpoiExcelExporterBase, IMstPlmLotCodeGradeExcelExporter
    {
        public MstPlmLotCodeGradeExcelExporter(ITempFileCacheManager tempFileCacheManager) : base(tempFileCacheManager) { }
        public FileDto ExportToFile(List&lt;MstPlmLotCodeGradeDto&gt; lotcodegrade)
        {
            return CreateExcelPackage(
				"MasterPlmLotCodeGrade.xlsx",
				excelPackage =&gt;
				 {
					var sheet = excelPackage.CreateSheet("LotCodeGrade");
					AddHeader(
								sheet,
								("ModelId"),
								("LotCode"),
								("Cfc"),
								("Grade"),
								("Odering"),
								("GradeName"),
								("ModeCode"),
								("ModelVin"),
								("VisStart"),
								("VisEnd"),
								("MaLotCode"),
								("VehicleId"),
								("TestNo"),
								("Dab"),
								("Pab"),
								("EngCode"),
								("Lab"),
								("Rab"),
								("Kab"),
								("IsFcLabel"),
								("IsActive"),
								("R"),
								("G"),
								("B"),
								("Clab"),
								("CharStr"),
							   );
					AddObjects(
						 sheet, 1, lotcodegrade,                                       
								_ =&gt; _.ModelId,
								_ =&gt; _.LotCode,
								_ =&gt; _.Cfc,
								_ =&gt; _.Grade,
								_ =&gt; _.Odering,
								_ =&gt; _.GradeName,
								_ =&gt; _.ModeCode,
								_ =&gt; _.ModelVin,
								_ =&gt; _.VisStart,
								_ =&gt; _.VisEnd,
								_ =&gt; _.MaLotCode,
								_ =&gt; _.VehicleId,
								_ =&gt; _.TestNo,
								_ =&gt; _.Dab,
								_ =&gt; _.Pab,
								_ =&gt; _.EngCode,
								_ =&gt; _.Lab,
								_ =&gt; _.Rab,
								_ =&gt; _.Kab,
								_ =&gt; _.IsFcLabel,
								_ =&gt; _.IsActive,
								_ =&gt; _.R,
								_ =&gt; _.G,
								_ =&gt; _.B,
								_ =&gt; _.Clab,
								_ =&gt; _.CharStr,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configuration.CreateMap&lt;MstPlmLotCodeGradeDto, MstPlmLotCodeGrade&gt;();
  configuration.CreateMap&lt;MstPlmLotCodeGrade, MstPlmLotCodeGradeDto&gt;();
  configuration.CreateMap&lt;CreateOrEditMstPlmLotCodeGradeDto, MstPlmLotCodeGrade&gt;();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s="68" t="s">
        <v>357</v>
      </c>
      <c r="B9" t="s">
        <v>4</v>
      </c>
      <c r="C9" t="s">
        <v>1</v>
      </c>
      <c r="D9" t="str">
        <f t="shared" ref="D9:D24" si="0">SUBSTITUTE(PROPER(A9),"_","")</f>
        <v>ModelId</v>
      </c>
      <c r="E9" t="str">
        <f t="shared" ref="E9:E24" si="1">IFERROR(LEFT(B9, FIND("(",B9)-1),B9)</f>
        <v>int</v>
      </c>
      <c r="F9" s="6"/>
      <c r="G9" t="str">
        <f t="shared" ref="G9:G24" si="2">IFERROR(MID(B9,FIND("(",B9) +1, FIND(")",B9) - FIND("(",B9) - 1),"")</f>
        <v/>
      </c>
      <c r="H9" t="str">
        <f>+VLOOKUP(E9,'Data Type Mapping'!A:B,2,)</f>
        <v>int?</v>
      </c>
      <c r="I9" t="str">
        <f t="shared" ref="I9:I24" si="3">IF(H9="string",REPT(CHAR(9),2)&amp;"public const int Max"&amp;D9&amp;"Length = "&amp;G9&amp;";"&amp;$E$3,"" )</f>
        <v/>
      </c>
      <c r="J9" t="str">
        <f t="shared" ref="J9:J24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int? ModelId { get; set; }
</v>
      </c>
      <c r="K9" s="6"/>
      <c r="L9" t="str">
        <f t="shared" ref="L9:L24" si="5">IF(K9="","",REPT(CHAR(9),1)&amp;"[Index(nameof("&amp;IF(D9="","",""&amp;D9)&amp;")"&amp;", Name="&amp;"""IX_"&amp;$B$7&amp;"_"&amp;D9&amp;""")]")</f>
        <v/>
      </c>
      <c r="M9" t="str">
        <f t="shared" ref="M9:M24" si="6">REPT(CHAR(9),2)&amp;"public virtual "&amp;IF(OR(H9="DateTime",H9="TimeSpan"),H9&amp;"?",H9)&amp;IF(C9="?","? "," ")&amp;D9&amp;" { get; set; }" &amp; "
"</f>
        <v xml:space="preserve">		public virtual int? ModelId { get; set; }
</v>
      </c>
      <c r="N9" t="str">
        <f t="shared" ref="N9:N24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int? ModelId { get; set; }
</v>
      </c>
      <c r="O9" t="str">
        <f t="shared" ref="O9:O24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:P24" si="9">REPT(CHAR(9),7)&amp;D9&amp;" = o." &amp;D9 &amp;","</f>
        <v xml:space="preserve">							ModelId = o.ModelId,</v>
      </c>
      <c r="T9" s="63" t="str">
        <f t="shared" ref="T9:T24" si="10">REPT(CHAR(9),8)&amp;"("""&amp;D9&amp;"""),"</f>
        <v xml:space="preserve">								("ModelId"),</v>
      </c>
      <c r="V9" s="64" t="str">
        <f t="shared" ref="V9:V24" si="11">REPT(CHAR(9),8)&amp;"_ =&gt; _."&amp;D9&amp;","</f>
        <v xml:space="preserve">								_ =&gt; _.ModelId,</v>
      </c>
      <c r="W9" s="63" t="str">
        <f t="shared" ref="W9:W24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18.75" customHeight="1" x14ac:dyDescent="0.25">
      <c r="A10" s="68" t="s">
        <v>358</v>
      </c>
      <c r="B10" t="s">
        <v>382</v>
      </c>
      <c r="C10" t="s">
        <v>1</v>
      </c>
      <c r="D10" t="str">
        <f t="shared" si="0"/>
        <v>LotCode</v>
      </c>
      <c r="E10" t="str">
        <f t="shared" si="1"/>
        <v>nvarchar</v>
      </c>
      <c r="F10" s="6"/>
      <c r="G10" t="str">
        <f t="shared" si="2"/>
        <v>50</v>
      </c>
      <c r="H10" t="str">
        <f>+VLOOKUP(E10,'Data Type Mapping'!A:B,2,)</f>
        <v>string</v>
      </c>
      <c r="I10" t="str">
        <f t="shared" si="3"/>
        <v xml:space="preserve">		public const int MaxLotCodeLength = 50;
</v>
      </c>
      <c r="J10" t="str">
        <f t="shared" si="4"/>
        <v xml:space="preserve">		[StringLength(MaxLotCodeLength)]
		public virtual string LotCode { get; set; }
</v>
      </c>
      <c r="K10" s="6" t="s">
        <v>356</v>
      </c>
      <c r="L10" t="str">
        <f t="shared" si="5"/>
        <v xml:space="preserve">	[Index(nameof(LotCode), Name="IX_MstPlmLotCodeGrade_LotCode")]</v>
      </c>
      <c r="M10" t="str">
        <f t="shared" si="6"/>
        <v xml:space="preserve">		public virtual string LotCode { get; set; }
</v>
      </c>
      <c r="N10" t="str">
        <f t="shared" si="7"/>
        <v xml:space="preserve">		[StringLength(MstPlmLotCodeGradeConsts.MaxLotCodeLength)]
		public virtual string LotCode { get; set; }
</v>
      </c>
      <c r="O10" t="str">
        <f t="shared" si="8"/>
        <v xml:space="preserve">		public virtual string LotCode { get; set; }
</v>
      </c>
      <c r="P10" t="str">
        <f t="shared" si="9"/>
        <v xml:space="preserve">							LotCode = o.LotCode,</v>
      </c>
      <c r="T10" s="63" t="str">
        <f t="shared" si="10"/>
        <v xml:space="preserve">								("LotCode"),</v>
      </c>
      <c r="V10" s="64" t="str">
        <f t="shared" si="11"/>
        <v xml:space="preserve">								_ =&gt; _.LotCode,</v>
      </c>
      <c r="W10" s="63" t="str">
        <f t="shared" si="12"/>
        <v xml:space="preserve">				.WhereIf(!string.IsNullOrWhiteSpace(input.LotCode), e =&gt; e.LotCode.Contains(input.LotCode))</v>
      </c>
    </row>
    <row r="11" spans="1:23" customFormat="1" ht="18.75" customHeight="1" x14ac:dyDescent="0.25">
      <c r="A11" s="68" t="s">
        <v>359</v>
      </c>
      <c r="B11" t="s">
        <v>382</v>
      </c>
      <c r="C11" t="s">
        <v>1</v>
      </c>
      <c r="D11" t="str">
        <f t="shared" si="0"/>
        <v>Cfc</v>
      </c>
      <c r="E11" t="str">
        <f t="shared" si="1"/>
        <v>nvarchar</v>
      </c>
      <c r="F11" s="6"/>
      <c r="G11" t="str">
        <f t="shared" si="2"/>
        <v>50</v>
      </c>
      <c r="H11" t="str">
        <f>+VLOOKUP(E11,'Data Type Mapping'!A:B,2,)</f>
        <v>string</v>
      </c>
      <c r="I11" t="str">
        <f t="shared" si="3"/>
        <v xml:space="preserve">		public const int MaxCfcLength = 50;
</v>
      </c>
      <c r="J11" t="str">
        <f t="shared" si="4"/>
        <v xml:space="preserve">		[StringLength(MaxCfcLength)]
		public virtual string Cfc { get; set; }
</v>
      </c>
      <c r="K11" s="6" t="s">
        <v>356</v>
      </c>
      <c r="L11" t="str">
        <f t="shared" si="5"/>
        <v xml:space="preserve">	[Index(nameof(Cfc), Name="IX_MstPlmLotCodeGrade_Cfc")]</v>
      </c>
      <c r="M11" t="str">
        <f t="shared" si="6"/>
        <v xml:space="preserve">		public virtual string Cfc { get; set; }
</v>
      </c>
      <c r="N11" t="str">
        <f t="shared" si="7"/>
        <v xml:space="preserve">		[StringLength(MstPlmLotCodeGradeConsts.MaxCfcLength)]
		public virtual string Cfc { get; set; }
</v>
      </c>
      <c r="O11" t="str">
        <f t="shared" si="8"/>
        <v xml:space="preserve">		public virtual string Cfc { get; set; }
</v>
      </c>
      <c r="P11" t="str">
        <f t="shared" si="9"/>
        <v xml:space="preserve">							Cfc = o.Cfc,</v>
      </c>
      <c r="T11" s="63" t="str">
        <f t="shared" si="10"/>
        <v xml:space="preserve">								("Cfc"),</v>
      </c>
      <c r="V11" s="64" t="str">
        <f t="shared" si="11"/>
        <v xml:space="preserve">								_ =&gt; _.Cfc,</v>
      </c>
      <c r="W11" s="63" t="str">
        <f t="shared" si="12"/>
        <v xml:space="preserve">				.WhereIf(!string.IsNullOrWhiteSpace(input.Cfc), e =&gt; e.Cfc.Contains(input.Cfc))</v>
      </c>
    </row>
    <row r="12" spans="1:23" customFormat="1" ht="18.75" customHeight="1" x14ac:dyDescent="0.25">
      <c r="A12" s="68" t="s">
        <v>387</v>
      </c>
      <c r="B12" t="s">
        <v>382</v>
      </c>
      <c r="C12" t="s">
        <v>1</v>
      </c>
      <c r="D12" t="str">
        <f t="shared" si="0"/>
        <v>Grade</v>
      </c>
      <c r="E12" t="str">
        <f t="shared" si="1"/>
        <v>nvarchar</v>
      </c>
      <c r="F12" s="6"/>
      <c r="G12" t="str">
        <f t="shared" si="2"/>
        <v>50</v>
      </c>
      <c r="H12" t="str">
        <f>+VLOOKUP(E12,'Data Type Mapping'!A:B,2,)</f>
        <v>string</v>
      </c>
      <c r="I12" t="str">
        <f t="shared" si="3"/>
        <v xml:space="preserve">		public const int MaxGradeLength = 50;
</v>
      </c>
      <c r="J12" t="str">
        <f t="shared" si="4"/>
        <v xml:space="preserve">		[StringLength(MaxGradeLength)]
		public virtual string Grade { get; set; }
</v>
      </c>
      <c r="K12" s="6"/>
      <c r="L12" t="str">
        <f t="shared" si="5"/>
        <v/>
      </c>
      <c r="M12" t="str">
        <f t="shared" si="6"/>
        <v xml:space="preserve">		public virtual string Grade { get; set; }
</v>
      </c>
      <c r="N12" t="str">
        <f t="shared" si="7"/>
        <v xml:space="preserve">		[StringLength(MstPlmLotCodeGradeConsts.MaxGradeLength)]
		public virtual string Grade { get; set; }
</v>
      </c>
      <c r="O12" t="str">
        <f t="shared" si="8"/>
        <v xml:space="preserve">		public virtual string Grade { get; set; }
</v>
      </c>
      <c r="P12" t="str">
        <f t="shared" si="9"/>
        <v xml:space="preserve">							Grade = o.Grade,</v>
      </c>
      <c r="T12" s="63" t="str">
        <f t="shared" si="10"/>
        <v xml:space="preserve">								("Grade"),</v>
      </c>
      <c r="V12" s="64" t="str">
        <f t="shared" si="11"/>
        <v xml:space="preserve">								_ =&gt; _.Grade,</v>
      </c>
      <c r="W12" s="63" t="str">
        <f t="shared" si="12"/>
        <v xml:space="preserve">				.WhereIf(!string.IsNullOrWhiteSpace(input.Grade), e =&gt; e.Grade.Contains(input.Grade))</v>
      </c>
    </row>
    <row r="13" spans="1:23" customFormat="1" ht="18.75" customHeight="1" x14ac:dyDescent="0.25">
      <c r="A13" s="68" t="s">
        <v>360</v>
      </c>
      <c r="B13" t="s">
        <v>4</v>
      </c>
      <c r="C13" t="s">
        <v>1</v>
      </c>
      <c r="D13" t="str">
        <f t="shared" si="0"/>
        <v>Odering</v>
      </c>
      <c r="E13" t="str">
        <f t="shared" si="1"/>
        <v>int</v>
      </c>
      <c r="F13" s="6"/>
      <c r="G13" t="str">
        <f t="shared" si="2"/>
        <v/>
      </c>
      <c r="H13" t="str">
        <f>+VLOOKUP(E13,'Data Type Mapping'!A:B,2,)</f>
        <v>int?</v>
      </c>
      <c r="I13" t="str">
        <f t="shared" si="3"/>
        <v/>
      </c>
      <c r="J13" t="str">
        <f t="shared" si="4"/>
        <v xml:space="preserve">		public virtual int? Odering { get; set; }
</v>
      </c>
      <c r="K13" s="6"/>
      <c r="L13" t="str">
        <f t="shared" si="5"/>
        <v/>
      </c>
      <c r="M13" t="str">
        <f t="shared" si="6"/>
        <v xml:space="preserve">		public virtual int? Odering { get; set; }
</v>
      </c>
      <c r="N13" t="str">
        <f t="shared" si="7"/>
        <v xml:space="preserve">		public virtual int? Odering { get; set; }
</v>
      </c>
      <c r="O13" t="str">
        <f t="shared" si="8"/>
        <v/>
      </c>
      <c r="P13" t="str">
        <f t="shared" si="9"/>
        <v xml:space="preserve">							Odering = o.Odering,</v>
      </c>
      <c r="T13" s="63" t="str">
        <f t="shared" si="10"/>
        <v xml:space="preserve">								("Odering"),</v>
      </c>
      <c r="V13" s="64" t="str">
        <f t="shared" si="11"/>
        <v xml:space="preserve">								_ =&gt; _.Odering,</v>
      </c>
      <c r="W13" s="63" t="str">
        <f t="shared" si="12"/>
        <v/>
      </c>
    </row>
    <row r="14" spans="1:23" customFormat="1" ht="18.75" customHeight="1" x14ac:dyDescent="0.25">
      <c r="A14" s="68" t="s">
        <v>361</v>
      </c>
      <c r="B14" t="s">
        <v>382</v>
      </c>
      <c r="C14" t="s">
        <v>1</v>
      </c>
      <c r="D14" t="str">
        <f t="shared" si="0"/>
        <v>GradeName</v>
      </c>
      <c r="E14" t="str">
        <f t="shared" si="1"/>
        <v>nvarchar</v>
      </c>
      <c r="F14" s="6"/>
      <c r="G14" t="str">
        <f t="shared" si="2"/>
        <v>50</v>
      </c>
      <c r="H14" t="str">
        <f>+VLOOKUP(E14,'Data Type Mapping'!A:B,2,)</f>
        <v>string</v>
      </c>
      <c r="I14" t="str">
        <f t="shared" si="3"/>
        <v xml:space="preserve">		public const int MaxGradeNameLength = 50;
</v>
      </c>
      <c r="J14" t="str">
        <f t="shared" si="4"/>
        <v xml:space="preserve">		[StringLength(MaxGradeNameLength)]
		public virtual string GradeName { get; set; }
</v>
      </c>
      <c r="K14" s="6"/>
      <c r="L14" t="str">
        <f t="shared" si="5"/>
        <v/>
      </c>
      <c r="M14" t="str">
        <f t="shared" si="6"/>
        <v xml:space="preserve">		public virtual string GradeName { get; set; }
</v>
      </c>
      <c r="N14" t="str">
        <f t="shared" si="7"/>
        <v xml:space="preserve">		[StringLength(MstPlmLotCodeGradeConsts.MaxGradeNameLength)]
		public virtual string GradeName { get; set; }
</v>
      </c>
      <c r="O14" t="str">
        <f t="shared" si="8"/>
        <v xml:space="preserve">		public virtual string GradeName { get; set; }
</v>
      </c>
      <c r="P14" t="str">
        <f t="shared" si="9"/>
        <v xml:space="preserve">							GradeName = o.GradeName,</v>
      </c>
      <c r="T14" s="63" t="str">
        <f t="shared" si="10"/>
        <v xml:space="preserve">								("GradeName"),</v>
      </c>
      <c r="V14" s="64" t="str">
        <f t="shared" si="11"/>
        <v xml:space="preserve">								_ =&gt; _.GradeName,</v>
      </c>
      <c r="W14" s="63" t="str">
        <f t="shared" si="12"/>
        <v xml:space="preserve">				.WhereIf(!string.IsNullOrWhiteSpace(input.GradeName), e =&gt; e.GradeName.Contains(input.GradeName))</v>
      </c>
    </row>
    <row r="15" spans="1:23" customFormat="1" ht="18.75" customHeight="1" x14ac:dyDescent="0.25">
      <c r="A15" s="68" t="s">
        <v>362</v>
      </c>
      <c r="B15" t="s">
        <v>383</v>
      </c>
      <c r="C15" t="s">
        <v>1</v>
      </c>
      <c r="D15" t="str">
        <f t="shared" si="0"/>
        <v>ModeCode</v>
      </c>
      <c r="E15" t="str">
        <f t="shared" si="1"/>
        <v>nvarchar</v>
      </c>
      <c r="F15" s="6"/>
      <c r="G15" t="str">
        <f t="shared" si="2"/>
        <v>20</v>
      </c>
      <c r="H15" t="str">
        <f>+VLOOKUP(E15,'Data Type Mapping'!A:B,2,)</f>
        <v>string</v>
      </c>
      <c r="I15" t="str">
        <f t="shared" si="3"/>
        <v xml:space="preserve">		public const int MaxModeCodeLength = 20;
</v>
      </c>
      <c r="J15" t="str">
        <f t="shared" si="4"/>
        <v xml:space="preserve">		[StringLength(MaxModeCodeLength)]
		public virtual string ModeCode { get; set; }
</v>
      </c>
      <c r="K15" s="6" t="s">
        <v>356</v>
      </c>
      <c r="L15" t="str">
        <f t="shared" si="5"/>
        <v xml:space="preserve">	[Index(nameof(ModeCode), Name="IX_MstPlmLotCodeGrade_ModeCode")]</v>
      </c>
      <c r="M15" t="str">
        <f t="shared" si="6"/>
        <v xml:space="preserve">		public virtual string ModeCode { get; set; }
</v>
      </c>
      <c r="N15" t="str">
        <f t="shared" si="7"/>
        <v xml:space="preserve">		[StringLength(MstPlmLotCodeGradeConsts.MaxModeCodeLength)]
		public virtual string ModeCode { get; set; }
</v>
      </c>
      <c r="O15" t="str">
        <f t="shared" si="8"/>
        <v xml:space="preserve">		public virtual string ModeCode { get; set; }
</v>
      </c>
      <c r="P15" t="str">
        <f t="shared" si="9"/>
        <v xml:space="preserve">							ModeCode = o.ModeCode,</v>
      </c>
      <c r="T15" s="63" t="str">
        <f t="shared" si="10"/>
        <v xml:space="preserve">								("ModeCode"),</v>
      </c>
      <c r="V15" s="64" t="str">
        <f t="shared" si="11"/>
        <v xml:space="preserve">								_ =&gt; _.ModeCode,</v>
      </c>
      <c r="W15" s="63" t="str">
        <f t="shared" si="12"/>
        <v xml:space="preserve">				.WhereIf(!string.IsNullOrWhiteSpace(input.ModeCode), e =&gt; e.ModeCode.Contains(input.ModeCode))</v>
      </c>
    </row>
    <row r="16" spans="1:23" customFormat="1" ht="18.75" customHeight="1" x14ac:dyDescent="0.25">
      <c r="A16" s="68" t="s">
        <v>363</v>
      </c>
      <c r="B16" t="s">
        <v>383</v>
      </c>
      <c r="C16" t="s">
        <v>1</v>
      </c>
      <c r="D16" t="str">
        <f t="shared" si="0"/>
        <v>ModelVin</v>
      </c>
      <c r="E16" t="str">
        <f t="shared" si="1"/>
        <v>nvarchar</v>
      </c>
      <c r="F16" s="6"/>
      <c r="G16" t="str">
        <f t="shared" si="2"/>
        <v>20</v>
      </c>
      <c r="H16" t="str">
        <f>+VLOOKUP(E16,'Data Type Mapping'!A:B,2,)</f>
        <v>string</v>
      </c>
      <c r="I16" t="str">
        <f t="shared" si="3"/>
        <v xml:space="preserve">		public const int MaxModelVinLength = 20;
</v>
      </c>
      <c r="J16" t="str">
        <f t="shared" si="4"/>
        <v xml:space="preserve">		[StringLength(MaxModelVinLength)]
		public virtual string ModelVin { get; set; }
</v>
      </c>
      <c r="K16" s="6" t="s">
        <v>356</v>
      </c>
      <c r="L16" t="str">
        <f t="shared" si="5"/>
        <v xml:space="preserve">	[Index(nameof(ModelVin), Name="IX_MstPlmLotCodeGrade_ModelVin")]</v>
      </c>
      <c r="M16" t="str">
        <f t="shared" si="6"/>
        <v xml:space="preserve">		public virtual string ModelVin { get; set; }
</v>
      </c>
      <c r="N16" t="str">
        <f t="shared" si="7"/>
        <v xml:space="preserve">		[StringLength(MstPlmLotCodeGradeConsts.MaxModelVinLength)]
		public virtual string ModelVin { get; set; }
</v>
      </c>
      <c r="O16" t="str">
        <f t="shared" si="8"/>
        <v xml:space="preserve">		public virtual string ModelVin { get; set; }
</v>
      </c>
      <c r="P16" t="str">
        <f t="shared" si="9"/>
        <v xml:space="preserve">							ModelVin = o.ModelVin,</v>
      </c>
      <c r="T16" s="63" t="str">
        <f t="shared" si="10"/>
        <v xml:space="preserve">								("ModelVin"),</v>
      </c>
      <c r="V16" s="64" t="str">
        <f t="shared" si="11"/>
        <v xml:space="preserve">								_ =&gt; _.ModelVin,</v>
      </c>
      <c r="W16" s="63" t="str">
        <f t="shared" si="12"/>
        <v xml:space="preserve">				.WhereIf(!string.IsNullOrWhiteSpace(input.ModelVin), e =&gt; e.ModelVin.Contains(input.ModelVin))</v>
      </c>
    </row>
    <row r="17" spans="1:23" customFormat="1" ht="18.75" customHeight="1" x14ac:dyDescent="0.25">
      <c r="A17" s="68" t="s">
        <v>364</v>
      </c>
      <c r="B17" t="s">
        <v>4</v>
      </c>
      <c r="C17" t="s">
        <v>1</v>
      </c>
      <c r="D17" t="str">
        <f t="shared" si="0"/>
        <v>VisStart</v>
      </c>
      <c r="E17" t="str">
        <f t="shared" si="1"/>
        <v>int</v>
      </c>
      <c r="F17" s="6"/>
      <c r="G17" t="str">
        <f t="shared" si="2"/>
        <v/>
      </c>
      <c r="H17" t="str">
        <f>+VLOOKUP(E17,'Data Type Mapping'!A:B,2,)</f>
        <v>int?</v>
      </c>
      <c r="I17" t="str">
        <f t="shared" si="3"/>
        <v/>
      </c>
      <c r="J17" t="str">
        <f t="shared" si="4"/>
        <v xml:space="preserve">		public virtual int? VisStart { get; set; }
</v>
      </c>
      <c r="K17" s="6"/>
      <c r="L17" t="str">
        <f t="shared" si="5"/>
        <v/>
      </c>
      <c r="M17" t="str">
        <f t="shared" si="6"/>
        <v xml:space="preserve">		public virtual int? VisStart { get; set; }
</v>
      </c>
      <c r="N17" t="str">
        <f t="shared" si="7"/>
        <v xml:space="preserve">		public virtual int? VisStart { get; set; }
</v>
      </c>
      <c r="O17" t="str">
        <f t="shared" si="8"/>
        <v/>
      </c>
      <c r="P17" t="str">
        <f t="shared" si="9"/>
        <v xml:space="preserve">							VisStart = o.VisStart,</v>
      </c>
      <c r="T17" s="63" t="str">
        <f t="shared" si="10"/>
        <v xml:space="preserve">								("VisStart"),</v>
      </c>
      <c r="V17" s="64" t="str">
        <f t="shared" si="11"/>
        <v xml:space="preserve">								_ =&gt; _.VisStart,</v>
      </c>
      <c r="W17" s="63" t="str">
        <f t="shared" si="12"/>
        <v/>
      </c>
    </row>
    <row r="18" spans="1:23" customFormat="1" ht="18.75" customHeight="1" x14ac:dyDescent="0.25">
      <c r="A18" s="68" t="s">
        <v>365</v>
      </c>
      <c r="B18" t="s">
        <v>4</v>
      </c>
      <c r="C18" t="s">
        <v>1</v>
      </c>
      <c r="D18" t="str">
        <f t="shared" si="0"/>
        <v>VisEnd</v>
      </c>
      <c r="E18" t="str">
        <f t="shared" si="1"/>
        <v>int</v>
      </c>
      <c r="F18" s="6"/>
      <c r="G18" t="str">
        <f t="shared" si="2"/>
        <v/>
      </c>
      <c r="H18" t="str">
        <f>+VLOOKUP(E18,'Data Type Mapping'!A:B,2,)</f>
        <v>int?</v>
      </c>
      <c r="I18" t="str">
        <f t="shared" si="3"/>
        <v/>
      </c>
      <c r="J18" t="str">
        <f t="shared" si="4"/>
        <v xml:space="preserve">		public virtual int? VisEnd { get; set; }
</v>
      </c>
      <c r="K18" s="6"/>
      <c r="L18" t="str">
        <f t="shared" si="5"/>
        <v/>
      </c>
      <c r="M18" t="str">
        <f t="shared" si="6"/>
        <v xml:space="preserve">		public virtual int? VisEnd { get; set; }
</v>
      </c>
      <c r="N18" t="str">
        <f t="shared" si="7"/>
        <v xml:space="preserve">		public virtual int? VisEnd { get; set; }
</v>
      </c>
      <c r="O18" t="str">
        <f t="shared" si="8"/>
        <v/>
      </c>
      <c r="P18" t="str">
        <f t="shared" si="9"/>
        <v xml:space="preserve">							VisEnd = o.VisEnd,</v>
      </c>
      <c r="T18" s="63" t="str">
        <f t="shared" si="10"/>
        <v xml:space="preserve">								("VisEnd"),</v>
      </c>
      <c r="V18" s="64" t="str">
        <f t="shared" si="11"/>
        <v xml:space="preserve">								_ =&gt; _.VisEnd,</v>
      </c>
      <c r="W18" s="63" t="str">
        <f t="shared" si="12"/>
        <v/>
      </c>
    </row>
    <row r="19" spans="1:23" customFormat="1" ht="18.75" customHeight="1" x14ac:dyDescent="0.25">
      <c r="A19" s="68" t="s">
        <v>366</v>
      </c>
      <c r="B19" t="s">
        <v>382</v>
      </c>
      <c r="C19" t="s">
        <v>1</v>
      </c>
      <c r="D19" t="str">
        <f t="shared" si="0"/>
        <v>MaLotCode</v>
      </c>
      <c r="E19" t="str">
        <f t="shared" si="1"/>
        <v>nvarchar</v>
      </c>
      <c r="F19" s="6"/>
      <c r="G19" t="str">
        <f t="shared" si="2"/>
        <v>50</v>
      </c>
      <c r="H19" t="str">
        <f>+VLOOKUP(E19,'Data Type Mapping'!A:B,2,)</f>
        <v>string</v>
      </c>
      <c r="I19" t="str">
        <f t="shared" si="3"/>
        <v xml:space="preserve">		public const int MaxMaLotCodeLength = 50;
</v>
      </c>
      <c r="J19" t="str">
        <f t="shared" si="4"/>
        <v xml:space="preserve">		[StringLength(MaxMaLotCodeLength)]
		public virtual string MaLotCode { get; set; }
</v>
      </c>
      <c r="K19" s="6" t="s">
        <v>356</v>
      </c>
      <c r="L19" t="str">
        <f t="shared" si="5"/>
        <v xml:space="preserve">	[Index(nameof(MaLotCode), Name="IX_MstPlmLotCodeGrade_MaLotCode")]</v>
      </c>
      <c r="M19" t="str">
        <f t="shared" si="6"/>
        <v xml:space="preserve">		public virtual string MaLotCode { get; set; }
</v>
      </c>
      <c r="N19" t="str">
        <f t="shared" si="7"/>
        <v xml:space="preserve">		[StringLength(MstPlmLotCodeGradeConsts.MaxMaLotCodeLength)]
		public virtual string MaLotCode { get; set; }
</v>
      </c>
      <c r="O19" t="str">
        <f t="shared" si="8"/>
        <v xml:space="preserve">		public virtual string MaLotCode { get; set; }
</v>
      </c>
      <c r="P19" t="str">
        <f t="shared" si="9"/>
        <v xml:space="preserve">							MaLotCode = o.MaLotCode,</v>
      </c>
      <c r="T19" s="63" t="str">
        <f t="shared" si="10"/>
        <v xml:space="preserve">								("MaLotCode"),</v>
      </c>
      <c r="V19" s="64" t="str">
        <f t="shared" si="11"/>
        <v xml:space="preserve">								_ =&gt; _.MaLotCode,</v>
      </c>
      <c r="W19" s="63" t="str">
        <f t="shared" si="12"/>
        <v xml:space="preserve">				.WhereIf(!string.IsNullOrWhiteSpace(input.MaLotCode), e =&gt; e.MaLotCode.Contains(input.MaLotCode))</v>
      </c>
    </row>
    <row r="20" spans="1:23" customFormat="1" ht="18.75" customHeight="1" x14ac:dyDescent="0.25">
      <c r="A20" s="68" t="s">
        <v>367</v>
      </c>
      <c r="B20" t="s">
        <v>384</v>
      </c>
      <c r="C20" t="s">
        <v>1</v>
      </c>
      <c r="D20" t="str">
        <f t="shared" si="0"/>
        <v>VehicleId</v>
      </c>
      <c r="E20" t="str">
        <f t="shared" si="1"/>
        <v>nvarchar</v>
      </c>
      <c r="F20" s="6"/>
      <c r="G20" t="str">
        <f t="shared" si="2"/>
        <v>10</v>
      </c>
      <c r="H20" t="str">
        <f>+VLOOKUP(E20,'Data Type Mapping'!A:B,2,)</f>
        <v>string</v>
      </c>
      <c r="I20" t="str">
        <f t="shared" si="3"/>
        <v xml:space="preserve">		public const int MaxVehicleIdLength = 10;
</v>
      </c>
      <c r="J20" t="str">
        <f t="shared" si="4"/>
        <v xml:space="preserve">		[StringLength(MaxVehicleIdLength)]
		public virtual string VehicleId { get; set; }
</v>
      </c>
      <c r="K20" s="6"/>
      <c r="L20" t="str">
        <f t="shared" si="5"/>
        <v/>
      </c>
      <c r="M20" t="str">
        <f t="shared" si="6"/>
        <v xml:space="preserve">		public virtual string VehicleId { get; set; }
</v>
      </c>
      <c r="N20" t="str">
        <f t="shared" si="7"/>
        <v xml:space="preserve">		[StringLength(MstPlmLotCodeGradeConsts.MaxVehicleIdLength)]
		public virtual string VehicleId { get; set; }
</v>
      </c>
      <c r="O20" t="str">
        <f t="shared" si="8"/>
        <v xml:space="preserve">		public virtual string VehicleId { get; set; }
</v>
      </c>
      <c r="P20" t="str">
        <f t="shared" si="9"/>
        <v xml:space="preserve">							VehicleId = o.VehicleId,</v>
      </c>
      <c r="T20" s="63" t="str">
        <f t="shared" si="10"/>
        <v xml:space="preserve">								("VehicleId"),</v>
      </c>
      <c r="V20" s="64" t="str">
        <f t="shared" si="11"/>
        <v xml:space="preserve">								_ =&gt; _.VehicleId,</v>
      </c>
      <c r="W20" s="63" t="str">
        <f t="shared" si="12"/>
        <v xml:space="preserve">				.WhereIf(!string.IsNullOrWhiteSpace(input.VehicleId), e =&gt; e.VehicleId.Contains(input.VehicleId))</v>
      </c>
    </row>
    <row r="21" spans="1:23" customFormat="1" ht="18.75" customHeight="1" x14ac:dyDescent="0.25">
      <c r="A21" s="68" t="s">
        <v>368</v>
      </c>
      <c r="B21" t="s">
        <v>384</v>
      </c>
      <c r="C21" t="s">
        <v>1</v>
      </c>
      <c r="D21" t="str">
        <f t="shared" si="0"/>
        <v>TestNo</v>
      </c>
      <c r="E21" t="str">
        <f t="shared" si="1"/>
        <v>nvarchar</v>
      </c>
      <c r="F21" s="6"/>
      <c r="G21" t="str">
        <f t="shared" si="2"/>
        <v>10</v>
      </c>
      <c r="H21" t="str">
        <f>+VLOOKUP(E21,'Data Type Mapping'!A:B,2,)</f>
        <v>string</v>
      </c>
      <c r="I21" t="str">
        <f t="shared" si="3"/>
        <v xml:space="preserve">		public const int MaxTestNoLength = 10;
</v>
      </c>
      <c r="J21" t="str">
        <f t="shared" si="4"/>
        <v xml:space="preserve">		[StringLength(MaxTestNoLength)]
		public virtual string TestNo { get; set; }
</v>
      </c>
      <c r="K21" s="6"/>
      <c r="L21" t="str">
        <f t="shared" si="5"/>
        <v/>
      </c>
      <c r="M21" t="str">
        <f t="shared" si="6"/>
        <v xml:space="preserve">		public virtual string TestNo { get; set; }
</v>
      </c>
      <c r="N21" t="str">
        <f t="shared" si="7"/>
        <v xml:space="preserve">		[StringLength(MstPlmLotCodeGradeConsts.MaxTestNoLength)]
		public virtual string TestNo { get; set; }
</v>
      </c>
      <c r="O21" t="str">
        <f t="shared" si="8"/>
        <v xml:space="preserve">		public virtual string TestNo { get; set; }
</v>
      </c>
      <c r="P21" t="str">
        <f t="shared" si="9"/>
        <v xml:space="preserve">							TestNo = o.TestNo,</v>
      </c>
      <c r="T21" s="63" t="str">
        <f t="shared" si="10"/>
        <v xml:space="preserve">								("TestNo"),</v>
      </c>
      <c r="V21" s="64" t="str">
        <f t="shared" si="11"/>
        <v xml:space="preserve">								_ =&gt; _.TestNo,</v>
      </c>
      <c r="W21" s="63" t="str">
        <f t="shared" si="12"/>
        <v xml:space="preserve">				.WhereIf(!string.IsNullOrWhiteSpace(input.TestNo), e =&gt; e.TestNo.Contains(input.TestNo))</v>
      </c>
    </row>
    <row r="22" spans="1:23" customFormat="1" ht="18.75" customHeight="1" x14ac:dyDescent="0.25">
      <c r="A22" s="68" t="s">
        <v>369</v>
      </c>
      <c r="B22" t="s">
        <v>385</v>
      </c>
      <c r="C22" t="s">
        <v>1</v>
      </c>
      <c r="D22" t="str">
        <f t="shared" si="0"/>
        <v>Dab</v>
      </c>
      <c r="E22" t="str">
        <f t="shared" si="1"/>
        <v>nvarchar</v>
      </c>
      <c r="F22" s="6"/>
      <c r="G22" t="str">
        <f t="shared" si="2"/>
        <v>3</v>
      </c>
      <c r="H22" t="str">
        <f>+VLOOKUP(E22,'Data Type Mapping'!A:B,2,)</f>
        <v>string</v>
      </c>
      <c r="I22" t="str">
        <f t="shared" si="3"/>
        <v xml:space="preserve">		public const int MaxDabLength = 3;
</v>
      </c>
      <c r="J22" t="str">
        <f t="shared" si="4"/>
        <v xml:space="preserve">		[StringLength(MaxDabLength)]
		public virtual string Dab { get; set; }
</v>
      </c>
      <c r="K22" s="6"/>
      <c r="L22" t="str">
        <f t="shared" si="5"/>
        <v/>
      </c>
      <c r="M22" t="str">
        <f t="shared" si="6"/>
        <v xml:space="preserve">		public virtual string Dab { get; set; }
</v>
      </c>
      <c r="N22" t="str">
        <f t="shared" si="7"/>
        <v xml:space="preserve">		[StringLength(MstPlmLotCodeGradeConsts.MaxDabLength)]
		public virtual string Dab { get; set; }
</v>
      </c>
      <c r="O22" t="str">
        <f t="shared" si="8"/>
        <v xml:space="preserve">		public virtual string Dab { get; set; }
</v>
      </c>
      <c r="P22" t="str">
        <f t="shared" si="9"/>
        <v xml:space="preserve">							Dab = o.Dab,</v>
      </c>
      <c r="T22" s="63" t="str">
        <f t="shared" si="10"/>
        <v xml:space="preserve">								("Dab"),</v>
      </c>
      <c r="V22" s="64" t="str">
        <f t="shared" si="11"/>
        <v xml:space="preserve">								_ =&gt; _.Dab,</v>
      </c>
      <c r="W22" s="63" t="str">
        <f t="shared" si="12"/>
        <v xml:space="preserve">				.WhereIf(!string.IsNullOrWhiteSpace(input.Dab), e =&gt; e.Dab.Contains(input.Dab))</v>
      </c>
    </row>
    <row r="23" spans="1:23" customFormat="1" ht="18.75" customHeight="1" x14ac:dyDescent="0.25">
      <c r="A23" s="68" t="s">
        <v>370</v>
      </c>
      <c r="B23" t="s">
        <v>385</v>
      </c>
      <c r="C23" t="s">
        <v>1</v>
      </c>
      <c r="D23" t="str">
        <f t="shared" si="0"/>
        <v>Pab</v>
      </c>
      <c r="E23" t="str">
        <f t="shared" si="1"/>
        <v>nvarchar</v>
      </c>
      <c r="F23" s="6"/>
      <c r="G23" t="str">
        <f t="shared" si="2"/>
        <v>3</v>
      </c>
      <c r="H23" t="str">
        <f>+VLOOKUP(E23,'Data Type Mapping'!A:B,2,)</f>
        <v>string</v>
      </c>
      <c r="I23" t="str">
        <f t="shared" si="3"/>
        <v xml:space="preserve">		public const int MaxPabLength = 3;
</v>
      </c>
      <c r="J23" t="str">
        <f t="shared" si="4"/>
        <v xml:space="preserve">		[StringLength(MaxPabLength)]
		public virtual string Pab { get; set; }
</v>
      </c>
      <c r="K23" s="6"/>
      <c r="L23" t="str">
        <f t="shared" si="5"/>
        <v/>
      </c>
      <c r="M23" t="str">
        <f t="shared" si="6"/>
        <v xml:space="preserve">		public virtual string Pab { get; set; }
</v>
      </c>
      <c r="N23" t="str">
        <f t="shared" si="7"/>
        <v xml:space="preserve">		[StringLength(MstPlmLotCodeGradeConsts.MaxPabLength)]
		public virtual string Pab { get; set; }
</v>
      </c>
      <c r="O23" t="str">
        <f t="shared" si="8"/>
        <v xml:space="preserve">		public virtual string Pab { get; set; }
</v>
      </c>
      <c r="P23" t="str">
        <f t="shared" si="9"/>
        <v xml:space="preserve">							Pab = o.Pab,</v>
      </c>
      <c r="T23" s="63" t="str">
        <f t="shared" si="10"/>
        <v xml:space="preserve">								("Pab"),</v>
      </c>
      <c r="V23" s="64" t="str">
        <f t="shared" si="11"/>
        <v xml:space="preserve">								_ =&gt; _.Pab,</v>
      </c>
      <c r="W23" s="63" t="str">
        <f t="shared" si="12"/>
        <v xml:space="preserve">				.WhereIf(!string.IsNullOrWhiteSpace(input.Pab), e =&gt; e.Pab.Contains(input.Pab))</v>
      </c>
    </row>
    <row r="24" spans="1:23" customFormat="1" ht="18.75" customHeight="1" x14ac:dyDescent="0.25">
      <c r="A24" s="68" t="s">
        <v>371</v>
      </c>
      <c r="B24" t="s">
        <v>385</v>
      </c>
      <c r="C24" t="s">
        <v>1</v>
      </c>
      <c r="D24" t="str">
        <f t="shared" si="0"/>
        <v>EngCode</v>
      </c>
      <c r="E24" t="str">
        <f t="shared" si="1"/>
        <v>nvarchar</v>
      </c>
      <c r="F24" s="6"/>
      <c r="G24" t="str">
        <f t="shared" si="2"/>
        <v>3</v>
      </c>
      <c r="H24" t="str">
        <f>+VLOOKUP(E24,'Data Type Mapping'!A:B,2,)</f>
        <v>string</v>
      </c>
      <c r="I24" t="str">
        <f t="shared" si="3"/>
        <v xml:space="preserve">		public const int MaxEngCodeLength = 3;
</v>
      </c>
      <c r="J24" t="str">
        <f t="shared" si="4"/>
        <v xml:space="preserve">		[StringLength(MaxEngCodeLength)]
		public virtual string EngCode { get; set; }
</v>
      </c>
      <c r="K24" s="6"/>
      <c r="L24" t="str">
        <f t="shared" si="5"/>
        <v/>
      </c>
      <c r="M24" t="str">
        <f t="shared" si="6"/>
        <v xml:space="preserve">		public virtual string EngCode { get; set; }
</v>
      </c>
      <c r="N24" t="str">
        <f t="shared" si="7"/>
        <v xml:space="preserve">		[StringLength(MstPlmLotCodeGradeConsts.MaxEngCodeLength)]
		public virtual string EngCode { get; set; }
</v>
      </c>
      <c r="O24" t="str">
        <f t="shared" si="8"/>
        <v xml:space="preserve">		public virtual string EngCode { get; set; }
</v>
      </c>
      <c r="P24" t="str">
        <f t="shared" si="9"/>
        <v xml:space="preserve">							EngCode = o.EngCode,</v>
      </c>
      <c r="T24" s="63" t="str">
        <f t="shared" si="10"/>
        <v xml:space="preserve">								("EngCode"),</v>
      </c>
      <c r="V24" s="64" t="str">
        <f t="shared" si="11"/>
        <v xml:space="preserve">								_ =&gt; _.EngCode,</v>
      </c>
      <c r="W24" s="63" t="str">
        <f t="shared" si="12"/>
        <v xml:space="preserve">				.WhereIf(!string.IsNullOrWhiteSpace(input.EngCode), e =&gt; e.EngCode.Contains(input.EngCode))</v>
      </c>
    </row>
    <row r="25" spans="1:23" customFormat="1" ht="18.75" customHeight="1" x14ac:dyDescent="0.25">
      <c r="A25" s="68" t="s">
        <v>372</v>
      </c>
      <c r="B25" t="s">
        <v>386</v>
      </c>
      <c r="C25" t="s">
        <v>1</v>
      </c>
      <c r="D25" t="str">
        <f t="shared" ref="D25" si="13">SUBSTITUTE(PROPER(A25),"_","")</f>
        <v>Lab</v>
      </c>
      <c r="E25" t="str">
        <f t="shared" ref="E25" si="14">IFERROR(LEFT(B25, FIND("(",B25)-1),B25)</f>
        <v>nvarchar</v>
      </c>
      <c r="F25" s="6"/>
      <c r="G25" t="str">
        <f t="shared" ref="G25" si="15">IFERROR(MID(B25,FIND("(",B25) +1, FIND(")",B25) - FIND("(",B25) - 1),"")</f>
        <v>255</v>
      </c>
      <c r="H25" t="str">
        <f>+VLOOKUP(E25,'Data Type Mapping'!A:B,2,)</f>
        <v>string</v>
      </c>
      <c r="I25" t="str">
        <f t="shared" ref="I25" si="16">IF(H25="string",REPT(CHAR(9),2)&amp;"public const int Max"&amp;D25&amp;"Length = "&amp;G25&amp;";"&amp;$E$3,"" )</f>
        <v xml:space="preserve">		public const int MaxLabLength = 255;
</v>
      </c>
      <c r="J25" t="str">
        <f t="shared" ref="J25" si="17">IF(F25="","",REPT(CHAR(9),2)&amp;"[Column(TypeName="""&amp;F25&amp;""")]"&amp;$E$3)&amp;IF(C25="Checked","",$I$3)&amp;IF(H25="string",REPT(CHAR(9),2)&amp;"[StringLength(Max"&amp;D25&amp;"Length"&amp;")]"&amp;$E$3,"")&amp;REPT(CHAR(9),2)&amp;"public virtual "&amp;H25&amp;IF(C25="?","? "," ")&amp;D25&amp;" { get; set; }" &amp; "
"</f>
        <v xml:space="preserve">		[StringLength(MaxLabLength)]
		public virtual string Lab { get; set; }
</v>
      </c>
      <c r="K25" s="6"/>
      <c r="L25" t="str">
        <f t="shared" ref="L25:L26" si="18">IF(K25="","",REPT(CHAR(9),1)&amp;"[Index(nameof("&amp;IF(D25="","",""&amp;D25)&amp;")"&amp;", Name="&amp;"""IX_"&amp;$B$7&amp;"_"&amp;D25&amp;""")]")</f>
        <v/>
      </c>
      <c r="M25" t="str">
        <f t="shared" ref="M25" si="19">REPT(CHAR(9),2)&amp;"public virtual "&amp;IF(OR(H25="DateTime",H25="TimeSpan"),H25&amp;"?",H25)&amp;IF(C25="?","? "," ")&amp;D25&amp;" { get; set; }" &amp; "
"</f>
        <v xml:space="preserve">		public virtual string Lab { get; set; }
</v>
      </c>
      <c r="N25" t="str">
        <f t="shared" ref="N25" si="20">IF(C25="Checked","",$I$3)&amp;IF(H25="string",REPT(CHAR(9),2)&amp;"[StringLength("&amp;$B$3&amp;"Consts.Max"&amp;D25&amp;"Length"&amp;")]"&amp;$E$3,"")&amp;REPT(CHAR(9),2)&amp;"public virtual "&amp;IF(OR(H25="DateTime",H25="TimeSpan"),H25&amp;"?",H25)&amp;IF(C25="?","? "," ")&amp;D25&amp;" { get; set; }" &amp; "
"</f>
        <v xml:space="preserve">		[StringLength(MstPlmLotCodeGradeConsts.MaxLabLength)]
		public virtual string Lab { get; set; }
</v>
      </c>
      <c r="O25" t="str">
        <f t="shared" ref="O25" si="21">IF(OR(H25="string",H25="DateTime",H25="int"),REPT(CHAR(9),2)&amp;"public virtual "&amp;IF(OR(H25="DateTime",H25="TimeSpan"),H25&amp;"?",H25)&amp;IF(C25="?","? "," ")&amp;D25&amp;" { get; set; }"&amp;$E$3,"")</f>
        <v xml:space="preserve">		public virtual string Lab { get; set; }
</v>
      </c>
      <c r="P25" t="str">
        <f t="shared" ref="P25" si="22">REPT(CHAR(9),7)&amp;D25&amp;" = o." &amp;D25 &amp;","</f>
        <v xml:space="preserve">							Lab = o.Lab,</v>
      </c>
      <c r="T25" s="63" t="str">
        <f t="shared" ref="T25" si="23">REPT(CHAR(9),8)&amp;"("""&amp;D25&amp;"""),"</f>
        <v xml:space="preserve">								("Lab"),</v>
      </c>
      <c r="V25" s="64" t="str">
        <f t="shared" ref="V25" si="24">REPT(CHAR(9),8)&amp;"_ =&gt; _."&amp;D25&amp;","</f>
        <v xml:space="preserve">								_ =&gt; _.Lab,</v>
      </c>
      <c r="W25" s="63" t="str">
        <f t="shared" ref="W25" si="25">IF(H25="string",REPT(CHAR(9),4)&amp;".WhereIf(!string.IsNullOrWhiteSpace(input."&amp;D25&amp;"), e =&gt; e."&amp;D25&amp;".Contains(input."&amp;D25&amp;"))",IF(H25="DateTime",REPT(CHAR(9),4)&amp;".WhereIf(input."&amp;D25&amp;".HasValue, t =&gt; t."&amp;D25&amp;" == input."&amp;D25&amp;".Value)",""))</f>
        <v xml:space="preserve">				.WhereIf(!string.IsNullOrWhiteSpace(input.Lab), e =&gt; e.Lab.Contains(input.Lab))</v>
      </c>
    </row>
    <row r="26" spans="1:23" customFormat="1" ht="18.75" customHeight="1" x14ac:dyDescent="0.25">
      <c r="A26" s="68" t="s">
        <v>373</v>
      </c>
      <c r="B26" t="s">
        <v>386</v>
      </c>
      <c r="C26" t="s">
        <v>1</v>
      </c>
      <c r="D26" t="str">
        <f t="shared" ref="D26:D27" si="26">SUBSTITUTE(PROPER(A26),"_","")</f>
        <v>Rab</v>
      </c>
      <c r="E26" t="str">
        <f t="shared" ref="E26:E27" si="27">IFERROR(LEFT(B26, FIND("(",B26)-1),B26)</f>
        <v>nvarchar</v>
      </c>
      <c r="F26" s="6"/>
      <c r="G26" t="str">
        <f t="shared" ref="G26:G27" si="28">IFERROR(MID(B26,FIND("(",B26) +1, FIND(")",B26) - FIND("(",B26) - 1),"")</f>
        <v>255</v>
      </c>
      <c r="H26" t="str">
        <f>+VLOOKUP(E26,'Data Type Mapping'!A:B,2,)</f>
        <v>string</v>
      </c>
      <c r="I26" t="str">
        <f t="shared" ref="I26:I27" si="29">IF(H26="string",REPT(CHAR(9),2)&amp;"public const int Max"&amp;D26&amp;"Length = "&amp;G26&amp;";"&amp;$E$3,"" )</f>
        <v xml:space="preserve">		public const int MaxRabLength = 255;
</v>
      </c>
      <c r="J26" t="str">
        <f t="shared" ref="J26:J27" si="30">IF(F26="","",REPT(CHAR(9),2)&amp;"[Column(TypeName="""&amp;F26&amp;""")]"&amp;$E$3)&amp;IF(C26="Checked","",$I$3)&amp;IF(H26="string",REPT(CHAR(9),2)&amp;"[StringLength(Max"&amp;D26&amp;"Length"&amp;")]"&amp;$E$3,"")&amp;REPT(CHAR(9),2)&amp;"public virtual "&amp;H26&amp;IF(C26="?","? "," ")&amp;D26&amp;" { get; set; }" &amp; "
"</f>
        <v xml:space="preserve">		[StringLength(MaxRabLength)]
		public virtual string Rab { get; set; }
</v>
      </c>
      <c r="K26" s="6"/>
      <c r="L26" t="str">
        <f t="shared" si="18"/>
        <v/>
      </c>
      <c r="M26" t="str">
        <f t="shared" ref="M26:M27" si="31">REPT(CHAR(9),2)&amp;"public virtual "&amp;IF(OR(H26="DateTime",H26="TimeSpan"),H26&amp;"?",H26)&amp;IF(C26="?","? "," ")&amp;D26&amp;" { get; set; }" &amp; "
"</f>
        <v xml:space="preserve">		public virtual string Rab { get; set; }
</v>
      </c>
      <c r="N26" t="str">
        <f t="shared" ref="N26:N27" si="32">IF(C26="Checked","",$I$3)&amp;IF(H26="string",REPT(CHAR(9),2)&amp;"[StringLength("&amp;$B$3&amp;"Consts.Max"&amp;D26&amp;"Length"&amp;")]"&amp;$E$3,"")&amp;REPT(CHAR(9),2)&amp;"public virtual "&amp;IF(OR(H26="DateTime",H26="TimeSpan"),H26&amp;"?",H26)&amp;IF(C26="?","? "," ")&amp;D26&amp;" { get; set; }" &amp; "
"</f>
        <v xml:space="preserve">		[StringLength(MstPlmLotCodeGradeConsts.MaxRabLength)]
		public virtual string Rab { get; set; }
</v>
      </c>
      <c r="O26" t="str">
        <f t="shared" ref="O26:O27" si="33">IF(OR(H26="string",H26="DateTime",H26="int"),REPT(CHAR(9),2)&amp;"public virtual "&amp;IF(OR(H26="DateTime",H26="TimeSpan"),H26&amp;"?",H26)&amp;IF(C26="?","? "," ")&amp;D26&amp;" { get; set; }"&amp;$E$3,"")</f>
        <v xml:space="preserve">		public virtual string Rab { get; set; }
</v>
      </c>
      <c r="P26" t="str">
        <f t="shared" ref="P26:P27" si="34">REPT(CHAR(9),7)&amp;D26&amp;" = o." &amp;D26 &amp;","</f>
        <v xml:space="preserve">							Rab = o.Rab,</v>
      </c>
      <c r="T26" s="63" t="str">
        <f t="shared" ref="T26:T27" si="35">REPT(CHAR(9),8)&amp;"("""&amp;D26&amp;"""),"</f>
        <v xml:space="preserve">								("Rab"),</v>
      </c>
      <c r="V26" s="64" t="str">
        <f t="shared" ref="V26:V27" si="36">REPT(CHAR(9),8)&amp;"_ =&gt; _."&amp;D26&amp;","</f>
        <v xml:space="preserve">								_ =&gt; _.Rab,</v>
      </c>
      <c r="W26" s="63" t="str">
        <f t="shared" ref="W26:W27" si="37">IF(H26="string",REPT(CHAR(9),4)&amp;".WhereIf(!string.IsNullOrWhiteSpace(input."&amp;D26&amp;"), e =&gt; e."&amp;D26&amp;".Contains(input."&amp;D26&amp;"))",IF(H26="DateTime",REPT(CHAR(9),4)&amp;".WhereIf(input."&amp;D26&amp;".HasValue, t =&gt; t."&amp;D26&amp;" == input."&amp;D26&amp;".Value)",""))</f>
        <v xml:space="preserve">				.WhereIf(!string.IsNullOrWhiteSpace(input.Rab), e =&gt; e.Rab.Contains(input.Rab))</v>
      </c>
    </row>
    <row r="27" spans="1:23" customFormat="1" ht="18.75" customHeight="1" x14ac:dyDescent="0.25">
      <c r="A27" s="68" t="s">
        <v>374</v>
      </c>
      <c r="B27" t="s">
        <v>386</v>
      </c>
      <c r="C27" t="s">
        <v>1</v>
      </c>
      <c r="D27" t="str">
        <f t="shared" si="26"/>
        <v>Kab</v>
      </c>
      <c r="E27" t="str">
        <f t="shared" si="27"/>
        <v>nvarchar</v>
      </c>
      <c r="F27" s="6"/>
      <c r="G27" t="str">
        <f t="shared" si="28"/>
        <v>255</v>
      </c>
      <c r="H27" t="str">
        <f>+VLOOKUP(E27,'Data Type Mapping'!A:B,2,)</f>
        <v>string</v>
      </c>
      <c r="I27" t="str">
        <f t="shared" si="29"/>
        <v xml:space="preserve">		public const int MaxKabLength = 255;
</v>
      </c>
      <c r="J27" t="str">
        <f t="shared" si="30"/>
        <v xml:space="preserve">		[StringLength(MaxKabLength)]
		public virtual string Kab { get; set; }
</v>
      </c>
      <c r="K27" s="6"/>
      <c r="L27" t="str">
        <f t="shared" ref="L27:L30" si="38">IF(K27="","",REPT(CHAR(9),1)&amp;"[Index(nameof("&amp;IF(D27="","",""&amp;D27)&amp;")"&amp;", Name="&amp;"""IX_"&amp;$B$7&amp;"_"&amp;D27&amp;""")]")</f>
        <v/>
      </c>
      <c r="M27" t="str">
        <f t="shared" si="31"/>
        <v xml:space="preserve">		public virtual string Kab { get; set; }
</v>
      </c>
      <c r="N27" t="str">
        <f t="shared" si="32"/>
        <v xml:space="preserve">		[StringLength(MstPlmLotCodeGradeConsts.MaxKabLength)]
		public virtual string Kab { get; set; }
</v>
      </c>
      <c r="O27" t="str">
        <f t="shared" si="33"/>
        <v xml:space="preserve">		public virtual string Kab { get; set; }
</v>
      </c>
      <c r="P27" t="str">
        <f t="shared" si="34"/>
        <v xml:space="preserve">							Kab = o.Kab,</v>
      </c>
      <c r="T27" s="63" t="str">
        <f t="shared" si="35"/>
        <v xml:space="preserve">								("Kab"),</v>
      </c>
      <c r="V27" s="64" t="str">
        <f t="shared" si="36"/>
        <v xml:space="preserve">								_ =&gt; _.Kab,</v>
      </c>
      <c r="W27" s="63" t="str">
        <f t="shared" si="37"/>
        <v xml:space="preserve">				.WhereIf(!string.IsNullOrWhiteSpace(input.Kab), e =&gt; e.Kab.Contains(input.Kab))</v>
      </c>
    </row>
    <row r="28" spans="1:23" customFormat="1" ht="18.75" customHeight="1" x14ac:dyDescent="0.25">
      <c r="A28" s="68" t="s">
        <v>375</v>
      </c>
      <c r="B28" t="s">
        <v>4</v>
      </c>
      <c r="C28" t="s">
        <v>1</v>
      </c>
      <c r="D28" t="str">
        <f t="shared" ref="D28:D31" si="39">SUBSTITUTE(PROPER(A28),"_","")</f>
        <v>IsFcLabel</v>
      </c>
      <c r="E28" t="str">
        <f t="shared" ref="E28:E31" si="40">IFERROR(LEFT(B28, FIND("(",B28)-1),B28)</f>
        <v>int</v>
      </c>
      <c r="F28" s="6"/>
      <c r="G28" t="str">
        <f t="shared" ref="G28:G31" si="41">IFERROR(MID(B28,FIND("(",B28) +1, FIND(")",B28) - FIND("(",B28) - 1),"")</f>
        <v/>
      </c>
      <c r="H28" t="str">
        <f>+VLOOKUP(E28,'Data Type Mapping'!A:B,2,)</f>
        <v>int?</v>
      </c>
      <c r="I28" t="str">
        <f t="shared" ref="I28:I31" si="42">IF(H28="string",REPT(CHAR(9),2)&amp;"public const int Max"&amp;D28&amp;"Length = "&amp;G28&amp;";"&amp;$E$3,"" )</f>
        <v/>
      </c>
      <c r="J28" t="str">
        <f t="shared" ref="J28:J31" si="43">IF(F28="","",REPT(CHAR(9),2)&amp;"[Column(TypeName="""&amp;F28&amp;""")]"&amp;$E$3)&amp;IF(C28="Checked","",$I$3)&amp;IF(H28="string",REPT(CHAR(9),2)&amp;"[StringLength(Max"&amp;D28&amp;"Length"&amp;")]"&amp;$E$3,"")&amp;REPT(CHAR(9),2)&amp;"public virtual "&amp;H28&amp;IF(C28="?","? "," ")&amp;D28&amp;" { get; set; }" &amp; "
"</f>
        <v xml:space="preserve">		public virtual int? IsFcLabel { get; set; }
</v>
      </c>
      <c r="K28" s="6"/>
      <c r="L28" t="str">
        <f t="shared" si="38"/>
        <v/>
      </c>
      <c r="M28" t="str">
        <f t="shared" ref="M28:M31" si="44">REPT(CHAR(9),2)&amp;"public virtual "&amp;IF(OR(H28="DateTime",H28="TimeSpan"),H28&amp;"?",H28)&amp;IF(C28="?","? "," ")&amp;D28&amp;" { get; set; }" &amp; "
"</f>
        <v xml:space="preserve">		public virtual int? IsFcLabel { get; set; }
</v>
      </c>
      <c r="N28" t="str">
        <f t="shared" ref="N28:N31" si="45">IF(C28="Checked","",$I$3)&amp;IF(H28="string",REPT(CHAR(9),2)&amp;"[StringLength("&amp;$B$3&amp;"Consts.Max"&amp;D28&amp;"Length"&amp;")]"&amp;$E$3,"")&amp;REPT(CHAR(9),2)&amp;"public virtual "&amp;IF(OR(H28="DateTime",H28="TimeSpan"),H28&amp;"?",H28)&amp;IF(C28="?","? "," ")&amp;D28&amp;" { get; set; }" &amp; "
"</f>
        <v xml:space="preserve">		public virtual int? IsFcLabel { get; set; }
</v>
      </c>
      <c r="O28" t="str">
        <f t="shared" ref="O28:O31" si="46">IF(OR(H28="string",H28="DateTime",H28="int"),REPT(CHAR(9),2)&amp;"public virtual "&amp;IF(OR(H28="DateTime",H28="TimeSpan"),H28&amp;"?",H28)&amp;IF(C28="?","? "," ")&amp;D28&amp;" { get; set; }"&amp;$E$3,"")</f>
        <v/>
      </c>
      <c r="P28" t="str">
        <f t="shared" ref="P28:P31" si="47">REPT(CHAR(9),7)&amp;D28&amp;" = o." &amp;D28 &amp;","</f>
        <v xml:space="preserve">							IsFcLabel = o.IsFcLabel,</v>
      </c>
      <c r="T28" s="63" t="str">
        <f t="shared" ref="T28:T31" si="48">REPT(CHAR(9),8)&amp;"("""&amp;D28&amp;"""),"</f>
        <v xml:space="preserve">								("IsFcLabel"),</v>
      </c>
      <c r="V28" s="64" t="str">
        <f t="shared" ref="V28:V31" si="49">REPT(CHAR(9),8)&amp;"_ =&gt; _."&amp;D28&amp;","</f>
        <v xml:space="preserve">								_ =&gt; _.IsFcLabel,</v>
      </c>
      <c r="W28" s="63" t="str">
        <f t="shared" ref="W28:W31" si="50">IF(H28="string",REPT(CHAR(9),4)&amp;".WhereIf(!string.IsNullOrWhiteSpace(input."&amp;D28&amp;"), e =&gt; e."&amp;D28&amp;".Contains(input."&amp;D28&amp;"))",IF(H28="DateTime",REPT(CHAR(9),4)&amp;".WhereIf(input."&amp;D28&amp;".HasValue, t =&gt; t."&amp;D28&amp;" == input."&amp;D28&amp;".Value)",""))</f>
        <v/>
      </c>
    </row>
    <row r="29" spans="1:23" customFormat="1" ht="18.75" customHeight="1" x14ac:dyDescent="0.25">
      <c r="A29" s="68" t="s">
        <v>376</v>
      </c>
      <c r="B29" t="s">
        <v>4</v>
      </c>
      <c r="C29" t="s">
        <v>1</v>
      </c>
      <c r="D29" t="str">
        <f t="shared" si="39"/>
        <v>IsActive</v>
      </c>
      <c r="E29" t="str">
        <f t="shared" si="40"/>
        <v>int</v>
      </c>
      <c r="F29" s="6"/>
      <c r="G29" t="str">
        <f t="shared" si="41"/>
        <v/>
      </c>
      <c r="H29" t="str">
        <f>+VLOOKUP(E29,'Data Type Mapping'!A:B,2,)</f>
        <v>int?</v>
      </c>
      <c r="I29" t="str">
        <f t="shared" si="42"/>
        <v/>
      </c>
      <c r="J29" t="str">
        <f t="shared" si="43"/>
        <v xml:space="preserve">		public virtual int? IsActive { get; set; }
</v>
      </c>
      <c r="K29" s="6"/>
      <c r="L29" t="str">
        <f t="shared" si="38"/>
        <v/>
      </c>
      <c r="M29" t="str">
        <f t="shared" si="44"/>
        <v xml:space="preserve">		public virtual int? IsActive { get; set; }
</v>
      </c>
      <c r="N29" t="str">
        <f t="shared" si="45"/>
        <v xml:space="preserve">		public virtual int? IsActive { get; set; }
</v>
      </c>
      <c r="O29" t="str">
        <f t="shared" si="46"/>
        <v/>
      </c>
      <c r="P29" t="str">
        <f t="shared" si="47"/>
        <v xml:space="preserve">							IsActive = o.IsActive,</v>
      </c>
      <c r="T29" s="63" t="str">
        <f t="shared" si="48"/>
        <v xml:space="preserve">								("IsActive"),</v>
      </c>
      <c r="V29" s="64" t="str">
        <f t="shared" si="49"/>
        <v xml:space="preserve">								_ =&gt; _.IsActive,</v>
      </c>
      <c r="W29" s="63" t="str">
        <f t="shared" si="50"/>
        <v/>
      </c>
    </row>
    <row r="30" spans="1:23" customFormat="1" ht="18.75" customHeight="1" x14ac:dyDescent="0.25">
      <c r="A30" s="68" t="s">
        <v>377</v>
      </c>
      <c r="B30" t="s">
        <v>4</v>
      </c>
      <c r="C30" t="s">
        <v>1</v>
      </c>
      <c r="D30" t="str">
        <f t="shared" si="39"/>
        <v>R</v>
      </c>
      <c r="E30" t="str">
        <f t="shared" si="40"/>
        <v>int</v>
      </c>
      <c r="F30" s="6"/>
      <c r="G30" t="str">
        <f t="shared" si="41"/>
        <v/>
      </c>
      <c r="H30" t="str">
        <f>+VLOOKUP(E30,'Data Type Mapping'!A:B,2,)</f>
        <v>int?</v>
      </c>
      <c r="I30" t="str">
        <f t="shared" si="42"/>
        <v/>
      </c>
      <c r="J30" t="str">
        <f t="shared" si="43"/>
        <v xml:space="preserve">		public virtual int? R { get; set; }
</v>
      </c>
      <c r="K30" s="6"/>
      <c r="L30" t="str">
        <f t="shared" si="38"/>
        <v/>
      </c>
      <c r="M30" t="str">
        <f t="shared" si="44"/>
        <v xml:space="preserve">		public virtual int? R { get; set; }
</v>
      </c>
      <c r="N30" t="str">
        <f t="shared" si="45"/>
        <v xml:space="preserve">		public virtual int? R { get; set; }
</v>
      </c>
      <c r="O30" t="str">
        <f t="shared" si="46"/>
        <v/>
      </c>
      <c r="P30" t="str">
        <f t="shared" si="47"/>
        <v xml:space="preserve">							R = o.R,</v>
      </c>
      <c r="T30" s="63" t="str">
        <f t="shared" si="48"/>
        <v xml:space="preserve">								("R"),</v>
      </c>
      <c r="V30" s="64" t="str">
        <f t="shared" si="49"/>
        <v xml:space="preserve">								_ =&gt; _.R,</v>
      </c>
      <c r="W30" s="63" t="str">
        <f t="shared" si="50"/>
        <v/>
      </c>
    </row>
    <row r="31" spans="1:23" customFormat="1" ht="18.75" customHeight="1" x14ac:dyDescent="0.25">
      <c r="A31" s="68" t="s">
        <v>378</v>
      </c>
      <c r="B31" t="s">
        <v>4</v>
      </c>
      <c r="C31" t="s">
        <v>1</v>
      </c>
      <c r="D31" t="str">
        <f t="shared" si="39"/>
        <v>G</v>
      </c>
      <c r="E31" t="str">
        <f t="shared" si="40"/>
        <v>int</v>
      </c>
      <c r="F31" s="6"/>
      <c r="G31" t="str">
        <f t="shared" si="41"/>
        <v/>
      </c>
      <c r="H31" t="str">
        <f>+VLOOKUP(E31,'Data Type Mapping'!A:B,2,)</f>
        <v>int?</v>
      </c>
      <c r="I31" t="str">
        <f t="shared" si="42"/>
        <v/>
      </c>
      <c r="J31" t="str">
        <f t="shared" si="43"/>
        <v xml:space="preserve">		public virtual int? G { get; set; }
</v>
      </c>
      <c r="K31" s="6"/>
      <c r="L31" t="str">
        <f t="shared" ref="L31:L34" si="51">IF(K31="","",REPT(CHAR(9),1)&amp;"[Index(nameof("&amp;IF(D31="","",""&amp;D31)&amp;")"&amp;", Name="&amp;"""IX_"&amp;$B$7&amp;"_"&amp;D31&amp;""")]")</f>
        <v/>
      </c>
      <c r="M31" t="str">
        <f t="shared" si="44"/>
        <v xml:space="preserve">		public virtual int? G { get; set; }
</v>
      </c>
      <c r="N31" t="str">
        <f t="shared" si="45"/>
        <v xml:space="preserve">		public virtual int? G { get; set; }
</v>
      </c>
      <c r="O31" t="str">
        <f t="shared" si="46"/>
        <v/>
      </c>
      <c r="P31" t="str">
        <f t="shared" si="47"/>
        <v xml:space="preserve">							G = o.G,</v>
      </c>
      <c r="T31" s="63" t="str">
        <f t="shared" si="48"/>
        <v xml:space="preserve">								("G"),</v>
      </c>
      <c r="V31" s="64" t="str">
        <f t="shared" si="49"/>
        <v xml:space="preserve">								_ =&gt; _.G,</v>
      </c>
      <c r="W31" s="63" t="str">
        <f t="shared" si="50"/>
        <v/>
      </c>
    </row>
    <row r="32" spans="1:23" customFormat="1" ht="18.75" customHeight="1" x14ac:dyDescent="0.25">
      <c r="A32" s="68" t="s">
        <v>379</v>
      </c>
      <c r="B32" t="s">
        <v>4</v>
      </c>
      <c r="C32" t="s">
        <v>1</v>
      </c>
      <c r="D32" t="str">
        <f t="shared" ref="D32:D34" si="52">SUBSTITUTE(PROPER(A32),"_","")</f>
        <v>B</v>
      </c>
      <c r="E32" t="str">
        <f t="shared" ref="E32:E34" si="53">IFERROR(LEFT(B32, FIND("(",B32)-1),B32)</f>
        <v>int</v>
      </c>
      <c r="F32" s="6"/>
      <c r="G32" t="str">
        <f t="shared" ref="G32:G34" si="54">IFERROR(MID(B32,FIND("(",B32) +1, FIND(")",B32) - FIND("(",B32) - 1),"")</f>
        <v/>
      </c>
      <c r="H32" t="str">
        <f>+VLOOKUP(E32,'Data Type Mapping'!A:B,2,)</f>
        <v>int?</v>
      </c>
      <c r="I32" t="str">
        <f t="shared" ref="I32:I34" si="55">IF(H32="string",REPT(CHAR(9),2)&amp;"public const int Max"&amp;D32&amp;"Length = "&amp;G32&amp;";"&amp;$E$3,"" )</f>
        <v/>
      </c>
      <c r="J32" t="str">
        <f t="shared" ref="J32:J34" si="56">IF(F32="","",REPT(CHAR(9),2)&amp;"[Column(TypeName="""&amp;F32&amp;""")]"&amp;$E$3)&amp;IF(C32="Checked","",$I$3)&amp;IF(H32="string",REPT(CHAR(9),2)&amp;"[StringLength(Max"&amp;D32&amp;"Length"&amp;")]"&amp;$E$3,"")&amp;REPT(CHAR(9),2)&amp;"public virtual "&amp;H32&amp;IF(C32="?","? "," ")&amp;D32&amp;" { get; set; }" &amp; "
"</f>
        <v xml:space="preserve">		public virtual int? B { get; set; }
</v>
      </c>
      <c r="K32" s="6"/>
      <c r="L32" t="str">
        <f t="shared" si="51"/>
        <v/>
      </c>
      <c r="M32" t="str">
        <f t="shared" ref="M32:M34" si="57">REPT(CHAR(9),2)&amp;"public virtual "&amp;IF(OR(H32="DateTime",H32="TimeSpan"),H32&amp;"?",H32)&amp;IF(C32="?","? "," ")&amp;D32&amp;" { get; set; }" &amp; "
"</f>
        <v xml:space="preserve">		public virtual int? B { get; set; }
</v>
      </c>
      <c r="N32" t="str">
        <f t="shared" ref="N32:N34" si="58">IF(C32="Checked","",$I$3)&amp;IF(H32="string",REPT(CHAR(9),2)&amp;"[StringLength("&amp;$B$3&amp;"Consts.Max"&amp;D32&amp;"Length"&amp;")]"&amp;$E$3,"")&amp;REPT(CHAR(9),2)&amp;"public virtual "&amp;IF(OR(H32="DateTime",H32="TimeSpan"),H32&amp;"?",H32)&amp;IF(C32="?","? "," ")&amp;D32&amp;" { get; set; }" &amp; "
"</f>
        <v xml:space="preserve">		public virtual int? B { get; set; }
</v>
      </c>
      <c r="O32" t="str">
        <f t="shared" ref="O32:O34" si="59">IF(OR(H32="string",H32="DateTime",H32="int"),REPT(CHAR(9),2)&amp;"public virtual "&amp;IF(OR(H32="DateTime",H32="TimeSpan"),H32&amp;"?",H32)&amp;IF(C32="?","? "," ")&amp;D32&amp;" { get; set; }"&amp;$E$3,"")</f>
        <v/>
      </c>
      <c r="P32" t="str">
        <f t="shared" ref="P32:P34" si="60">REPT(CHAR(9),7)&amp;D32&amp;" = o." &amp;D32 &amp;","</f>
        <v xml:space="preserve">							B = o.B,</v>
      </c>
      <c r="T32" s="63" t="str">
        <f t="shared" ref="T32:T34" si="61">REPT(CHAR(9),8)&amp;"("""&amp;D32&amp;"""),"</f>
        <v xml:space="preserve">								("B"),</v>
      </c>
      <c r="V32" s="64" t="str">
        <f t="shared" ref="V32:V34" si="62">REPT(CHAR(9),8)&amp;"_ =&gt; _."&amp;D32&amp;","</f>
        <v xml:space="preserve">								_ =&gt; _.B,</v>
      </c>
      <c r="W32" s="63" t="str">
        <f t="shared" ref="W32:W34" si="63">IF(H32="string",REPT(CHAR(9),4)&amp;".WhereIf(!string.IsNullOrWhiteSpace(input."&amp;D32&amp;"), e =&gt; e."&amp;D32&amp;".Contains(input."&amp;D32&amp;"))",IF(H32="DateTime",REPT(CHAR(9),4)&amp;".WhereIf(input."&amp;D32&amp;".HasValue, t =&gt; t."&amp;D32&amp;" == input."&amp;D32&amp;".Value)",""))</f>
        <v/>
      </c>
    </row>
    <row r="33" spans="1:23" customFormat="1" ht="18.75" customHeight="1" x14ac:dyDescent="0.25">
      <c r="A33" s="68" t="s">
        <v>380</v>
      </c>
      <c r="B33" t="s">
        <v>386</v>
      </c>
      <c r="C33" t="s">
        <v>1</v>
      </c>
      <c r="D33" t="str">
        <f t="shared" si="52"/>
        <v>Clab</v>
      </c>
      <c r="E33" t="str">
        <f t="shared" si="53"/>
        <v>nvarchar</v>
      </c>
      <c r="F33" s="6"/>
      <c r="G33" t="str">
        <f t="shared" si="54"/>
        <v>255</v>
      </c>
      <c r="H33" t="str">
        <f>+VLOOKUP(E33,'Data Type Mapping'!A:B,2,)</f>
        <v>string</v>
      </c>
      <c r="I33" t="str">
        <f t="shared" si="55"/>
        <v xml:space="preserve">		public const int MaxClabLength = 255;
</v>
      </c>
      <c r="J33" t="str">
        <f t="shared" si="56"/>
        <v xml:space="preserve">		[StringLength(MaxClabLength)]
		public virtual string Clab { get; set; }
</v>
      </c>
      <c r="K33" s="6"/>
      <c r="L33" t="str">
        <f t="shared" si="51"/>
        <v/>
      </c>
      <c r="M33" t="str">
        <f t="shared" si="57"/>
        <v xml:space="preserve">		public virtual string Clab { get; set; }
</v>
      </c>
      <c r="N33" t="str">
        <f t="shared" si="58"/>
        <v xml:space="preserve">		[StringLength(MstPlmLotCodeGradeConsts.MaxClabLength)]
		public virtual string Clab { get; set; }
</v>
      </c>
      <c r="O33" t="str">
        <f t="shared" si="59"/>
        <v xml:space="preserve">		public virtual string Clab { get; set; }
</v>
      </c>
      <c r="P33" t="str">
        <f t="shared" si="60"/>
        <v xml:space="preserve">							Clab = o.Clab,</v>
      </c>
      <c r="T33" s="63" t="str">
        <f t="shared" si="61"/>
        <v xml:space="preserve">								("Clab"),</v>
      </c>
      <c r="V33" s="64" t="str">
        <f t="shared" si="62"/>
        <v xml:space="preserve">								_ =&gt; _.Clab,</v>
      </c>
      <c r="W33" s="63" t="str">
        <f t="shared" si="63"/>
        <v xml:space="preserve">				.WhereIf(!string.IsNullOrWhiteSpace(input.Clab), e =&gt; e.Clab.Contains(input.Clab))</v>
      </c>
    </row>
    <row r="34" spans="1:23" customFormat="1" ht="18.75" customHeight="1" x14ac:dyDescent="0.25">
      <c r="A34" s="68" t="s">
        <v>381</v>
      </c>
      <c r="B34" t="s">
        <v>386</v>
      </c>
      <c r="C34" t="s">
        <v>1</v>
      </c>
      <c r="D34" t="str">
        <f t="shared" si="52"/>
        <v>CharStr</v>
      </c>
      <c r="E34" t="str">
        <f t="shared" si="53"/>
        <v>nvarchar</v>
      </c>
      <c r="F34" s="6"/>
      <c r="G34" t="str">
        <f t="shared" si="54"/>
        <v>255</v>
      </c>
      <c r="H34" t="str">
        <f>+VLOOKUP(E34,'Data Type Mapping'!A:B,2,)</f>
        <v>string</v>
      </c>
      <c r="I34" t="str">
        <f t="shared" si="55"/>
        <v xml:space="preserve">		public const int MaxCharStrLength = 255;
</v>
      </c>
      <c r="J34" t="str">
        <f t="shared" si="56"/>
        <v xml:space="preserve">		[StringLength(MaxCharStrLength)]
		public virtual string CharStr { get; set; }
</v>
      </c>
      <c r="K34" s="6"/>
      <c r="L34" t="str">
        <f t="shared" si="51"/>
        <v/>
      </c>
      <c r="M34" t="str">
        <f t="shared" si="57"/>
        <v xml:space="preserve">		public virtual string CharStr { get; set; }
</v>
      </c>
      <c r="N34" t="str">
        <f t="shared" si="58"/>
        <v xml:space="preserve">		[StringLength(MstPlmLotCodeGradeConsts.MaxCharStrLength)]
		public virtual string CharStr { get; set; }
</v>
      </c>
      <c r="O34" t="str">
        <f t="shared" si="59"/>
        <v xml:space="preserve">		public virtual string CharStr { get; set; }
</v>
      </c>
      <c r="P34" t="str">
        <f t="shared" si="60"/>
        <v xml:space="preserve">							CharStr = o.CharStr,</v>
      </c>
      <c r="T34" s="63" t="str">
        <f t="shared" si="61"/>
        <v xml:space="preserve">								("CharStr"),</v>
      </c>
      <c r="V34" s="64" t="str">
        <f t="shared" si="62"/>
        <v xml:space="preserve">								_ =&gt; _.CharStr,</v>
      </c>
      <c r="W34" s="63" t="str">
        <f t="shared" si="63"/>
        <v xml:space="preserve">				.WhereIf(!string.IsNullOrWhiteSpace(input.CharStr), e =&gt; e.CharStr.Contains(input.CharStr))</v>
      </c>
    </row>
    <row r="36" spans="1:23" ht="45.75" customHeight="1" x14ac:dyDescent="0.25">
      <c r="H36" s="11"/>
      <c r="I36" s="31" t="str">
        <f ca="1">TEXTJOIN2("
", TRUE,INDIRECT( $H$1):INDIRECT( $H$3))</f>
        <v xml:space="preserve">		public const int MaxLotCodeLength = 50;
		public const int MaxCfcLength = 50;
		public const int MaxGradeLength = 50;
		public const int MaxGradeNameLength = 50;
		public const int MaxModeCodeLength = 20;
		public const int MaxModelVinLength = 20;
		public const int MaxMaLotCodeLength = 50;
		public const int MaxVehicleIdLength = 10;
		public const int MaxTestNoLength = 10;
		public const int MaxDabLength = 3;
		public const int MaxPabLength = 3;
		public const int MaxEngCodeLength = 3;
		public const int MaxLabLength = 255;
		public const int MaxRabLength = 255;
		public const int MaxKabLength = 255;
		public const int MaxClabLength = 255;
		public const int MaxCharStrLength = 255;
</v>
      </c>
      <c r="J36" s="30" t="str">
        <f ca="1">TEXTJOIN2("
", TRUE,INDIRECT( $F$1):INDIRECT( $F$3))</f>
        <v xml:space="preserve">		public virtual int? ModelId { get; set; }
		[StringLength(MaxLotCodeLength)]
		public virtual string LotCode { get; set; }
		[StringLength(MaxCfcLength)]
		public virtual string Cfc { get; set; }
		[StringLength(MaxGradeLength)]
		public virtual string Grade { get; set; }
		public virtual int? Odering { get; set; }
		[StringLength(MaxGradeNameLength)]
		public virtual string GradeName { get; set; }
		[StringLength(MaxModeCodeLength)]
		public virtual string ModeCode { get; set; }
		[StringLength(MaxModelVinLength)]
		public virtual string ModelVin { get; set; }
		public virtual int? VisStart { get; set; }
		public virtual int? VisEnd { get; set; }
		[StringLength(MaxMaLotCodeLength)]
		public virtual string MaLotCode { get; set; }
		[StringLength(MaxVehicleIdLength)]
		public virtual string VehicleId { get; set; }
		[StringLength(MaxTestNoLength)]
		public virtual string TestNo { get; set; }
		[StringLength(MaxDabLength)]
		public virtual string Dab { get; set; }
		[StringLength(MaxPabLength)]
		public virtual string Pab { get; set; }
		[StringLength(MaxEngCodeLength)]
		public virtual string EngCode { get; set; }
		[StringLength(MaxLabLength)]
		public virtual string Lab { get; set; }
		[StringLength(MaxRabLength)]
		public virtual string Rab { get; set; }
		[StringLength(MaxKabLength)]
		public virtual string Kab { get; set; }
		public virtual int? IsFcLabel { get; set; }
		public virtual int? IsActive { get; set; }
		public virtual int? R { get; set; }
		public virtual int? G { get; set; }
		public virtual int? B { get; set; }
		[StringLength(MaxClabLength)]
		public virtual string Clab { get; set; }
		[StringLength(MaxCharStrLength)]
		public virtual string CharStr { get; set; }
</v>
      </c>
      <c r="K36" s="32" t="str">
        <f ca="1">TEXTJOIN2("
", TRUE,INDIRECT( $J$1):INDIRECT( $J$3))</f>
        <v xml:space="preserve">	[Index(nameof(LotCode), Name="IX_MstPlmLotCodeGrade_LotCode")]
	[Index(nameof(Cfc), Name="IX_MstPlmLotCodeGrade_Cfc")]
	[Index(nameof(ModeCode), Name="IX_MstPlmLotCodeGrade_ModeCode")]
	[Index(nameof(ModelVin), Name="IX_MstPlmLotCodeGrade_ModelVin")]
	[Index(nameof(MaLotCode), Name="IX_MstPlmLotCodeGrade_MaLotCode")]
</v>
      </c>
      <c r="L36" s="12" t="s">
        <v>57</v>
      </c>
      <c r="M36" s="33" t="str">
        <f ca="1">TEXTJOIN2("
",TRUE,INDIRECT( $L$1):INDIRECT($L$3))</f>
        <v xml:space="preserve">		public virtual int? ModelId { get; set; }
		public virtual string LotCode { get; set; }
		public virtual string Cfc { get; set; }
		public virtual string Grade { get; set; }
		public virtual int? Odering { get; set; }
		public virtual string GradeName { get; set; }
		public virtual string ModeCode { get; set; }
		public virtual string ModelVin { get; set; }
		public virtual int? VisStart { get; set; }
		public virtual int? VisEnd { get; set; }
		public virtual string MaLotCode { get; set; }
		public virtual string VehicleId { get; set; }
		public virtual string TestNo { get; set; }
		public virtual string Dab { get; set; }
		public virtual string Pab { get; set; }
		public virtual string EngCode { get; set; }
		public virtual string Lab { get; set; }
		public virtual string Rab { get; set; }
		public virtual string Kab { get; set; }
		public virtual int? IsFcLabel { get; set; }
		public virtual int? IsActive { get; set; }
		public virtual int? R { get; set; }
		public virtual int? G { get; set; }
		public virtual int? B { get; set; }
		public virtual string Clab { get; set; }
		public virtual string CharStr { get; set; }
</v>
      </c>
      <c r="N36" s="30" t="str">
        <f ca="1">TEXTJOIN2("
",TRUE,INDIRECT( $M$1):INDIRECT($M$3))</f>
        <v xml:space="preserve">		public virtual int? ModelId { get; set; }
		[StringLength(MstPlmLotCodeGradeConsts.MaxLotCodeLength)]
		public virtual string LotCode { get; set; }
		[StringLength(MstPlmLotCodeGradeConsts.MaxCfcLength)]
		public virtual string Cfc { get; set; }
		[StringLength(MstPlmLotCodeGradeConsts.MaxGradeLength)]
		public virtual string Grade { get; set; }
		public virtual int? Odering { get; set; }
		[StringLength(MstPlmLotCodeGradeConsts.MaxGradeNameLength)]
		public virtual string GradeName { get; set; }
		[StringLength(MstPlmLotCodeGradeConsts.MaxModeCodeLength)]
		public virtual string ModeCode { get; set; }
		[StringLength(MstPlmLotCodeGradeConsts.MaxModelVinLength)]
		public virtual string ModelVin { get; set; }
		public virtual int? VisStart { get; set; }
		public virtual int? VisEnd { get; set; }
		[StringLength(MstPlmLotCodeGradeConsts.MaxMaLotCodeLength)]
		public virtual string MaLotCode { get; set; }
		[StringLength(MstPlmLotCodeGradeConsts.MaxVehicleIdLength)]
		public virtual string VehicleId { get; set; }
		[StringLength(MstPlmLotCodeGradeConsts.MaxTestNoLength)]
		public virtual string TestNo { get; set; }
		[StringLength(MstPlmLotCodeGradeConsts.MaxDabLength)]
		public virtual string Dab { get; set; }
		[StringLength(MstPlmLotCodeGradeConsts.MaxPabLength)]
		public virtual string Pab { get; set; }
		[StringLength(MstPlmLotCodeGradeConsts.MaxEngCodeLength)]
		public virtual string EngCode { get; set; }
		[StringLength(MstPlmLotCodeGradeConsts.MaxLabLength)]
		public virtual string Lab { get; set; }
		[StringLength(MstPlmLotCodeGradeConsts.MaxRabLength)]
		public virtual string Rab { get; set; }
		[StringLength(MstPlmLotCodeGradeConsts.MaxKabLength)]
		public virtual string Kab { get; set; }
		public virtual int? IsFcLabel { get; set; }
		public virtual int? IsActive { get; set; }
		public virtual int? R { get; set; }
		public virtual int? G { get; set; }
		public virtual int? B { get; set; }
		[StringLength(MstPlmLotCodeGradeConsts.MaxClabLength)]
		public virtual string Clab { get; set; }
		[StringLength(MstPlmLotCodeGradeConsts.MaxCharStrLength)]
		public virtual string CharStr { get; set; }
</v>
      </c>
      <c r="O36" s="30" t="str">
        <f ca="1">TEXTJOIN2("
",TRUE,INDIRECT( $N$1):INDIRECT($N$3))</f>
        <v xml:space="preserve">		public virtual string LotCode { get; set; }
		public virtual string Cfc { get; set; }
		public virtual string Grade { get; set; }
		public virtual string GradeName { get; set; }
		public virtual string ModeCode { get; set; }
		public virtual string ModelVin { get; set; }
		public virtual string MaLotCode { get; set; }
		public virtual string VehicleId { get; set; }
		public virtual string TestNo { get; set; }
		public virtual string Dab { get; set; }
		public virtual string Pab { get; set; }
		public virtual string EngCode { get; set; }
		public virtual string Lab { get; set; }
		public virtual string Rab { get; set; }
		public virtual string Kab { get; set; }
		public virtual string Clab { get; set; }
		public virtual string CharStr { get; set; }
</v>
      </c>
      <c r="P36" s="8" t="str">
        <f ca="1">TEXTJOIN2("
",TRUE,INDIRECT( $O$1):INDIRECT($O$3))</f>
        <v xml:space="preserve">							ModelId = o.ModelId,
							LotCode = o.LotCode,
							Cfc = o.Cfc,
							Grade = o.Grade,
							Odering = o.Odering,
							GradeName = o.GradeName,
							ModeCode = o.ModeCode,
							ModelVin = o.ModelVin,
							VisStart = o.VisStart,
							VisEnd = o.VisEnd,
							MaLotCode = o.MaLotCode,
							VehicleId = o.VehicleId,
							TestNo = o.TestNo,
							Dab = o.Dab,
							Pab = o.Pab,
							EngCode = o.EngCode,
							Lab = o.Lab,
							Rab = o.Rab,
							Kab = o.Kab,
							IsFcLabel = o.IsFcLabel,
							IsActive = o.IsActive,
							R = o.R,
							G = o.G,
							B = o.B,
							Clab = o.Clab,
							CharStr = o.CharStr,</v>
      </c>
      <c r="T36" s="8" t="str">
        <f ca="1">TEXTJOIN2("
",TRUE,INDIRECT( $T$2):INDIRECT($T$3))</f>
        <v xml:space="preserve">								("ModelId"),
								("LotCode"),
								("Cfc"),
								("Grade"),
								("Odering"),
								("GradeName"),
								("ModeCode"),
								("ModelVin"),
								("VisStart"),
								("VisEnd"),
								("MaLotCode"),
								("VehicleId"),
								("TestNo"),
								("Dab"),
								("Pab"),
								("EngCode"),
								("Lab"),
								("Rab"),
								("Kab"),
								("IsFcLabel"),
								("IsActive"),
								("R"),
								("G"),
								("B"),
								("Clab"),
								("CharStr"),</v>
      </c>
      <c r="V36" s="8" t="str">
        <f ca="1">TEXTJOIN2("
",TRUE,INDIRECT( $V$2):INDIRECT($V$3))</f>
        <v xml:space="preserve">								_ =&gt; _.ModelId,
								_ =&gt; _.LotCode,
								_ =&gt; _.Cfc,
								_ =&gt; _.Grade,
								_ =&gt; _.Odering,
								_ =&gt; _.GradeName,
								_ =&gt; _.ModeCode,
								_ =&gt; _.ModelVin,
								_ =&gt; _.VisStart,
								_ =&gt; _.VisEnd,
								_ =&gt; _.MaLotCode,
								_ =&gt; _.VehicleId,
								_ =&gt; _.TestNo,
								_ =&gt; _.Dab,
								_ =&gt; _.Pab,
								_ =&gt; _.EngCode,
								_ =&gt; _.Lab,
								_ =&gt; _.Rab,
								_ =&gt; _.Kab,
								_ =&gt; _.IsFcLabel,
								_ =&gt; _.IsActive,
								_ =&gt; _.R,
								_ =&gt; _.G,
								_ =&gt; _.B,
								_ =&gt; _.Clab,
								_ =&gt; _.CharStr,</v>
      </c>
      <c r="W36" s="8" t="str">
        <f ca="1">TEXTJOIN2("
",TRUE,INDIRECT( $W$2):INDIRECT($W$3))</f>
        <v xml:space="preserve">				.WhereIf(!string.IsNullOrWhiteSpace(input.LotCode), e =&gt; e.LotCode.Contains(input.LotCode))
				.WhereIf(!string.IsNullOrWhiteSpace(input.Cfc), e =&gt; e.Cfc.Contains(input.Cfc))
				.WhereIf(!string.IsNullOrWhiteSpace(input.Grade), e =&gt; e.Grade.Contains(input.Grade))
				.WhereIf(!string.IsNullOrWhiteSpace(input.GradeName), e =&gt; e.GradeName.Contains(input.GradeName))
				.WhereIf(!string.IsNullOrWhiteSpace(input.ModeCode), e =&gt; e.ModeCode.Contains(input.ModeCode))
				.WhereIf(!string.IsNullOrWhiteSpace(input.ModelVin), e =&gt; e.ModelVin.Contains(input.ModelVin))
				.WhereIf(!string.IsNullOrWhiteSpace(input.MaLotCode), e =&gt; e.MaLotCode.Contains(input.MaLotCode))
				.WhereIf(!string.IsNullOrWhiteSpace(input.VehicleId), e =&gt; e.VehicleId.Contains(input.VehicleId))
				.WhereIf(!string.IsNullOrWhiteSpace(input.TestNo), e =&gt; e.TestNo.Contains(input.TestNo))
				.WhereIf(!string.IsNullOrWhiteSpace(input.Dab), e =&gt; e.Dab.Contains(input.Dab))
				.WhereIf(!string.IsNullOrWhiteSpace(input.Pab), e =&gt; e.Pab.Contains(input.Pab))
				.WhereIf(!string.IsNullOrWhiteSpace(input.EngCode), e =&gt; e.EngCode.Contains(input.EngCode))
				.WhereIf(!string.IsNullOrWhiteSpace(input.Lab), e =&gt; e.Lab.Contains(input.Lab))
				.WhereIf(!string.IsNullOrWhiteSpace(input.Rab), e =&gt; e.Rab.Contains(input.Rab))
				.WhereIf(!string.IsNullOrWhiteSpace(input.Kab), e =&gt; e.Kab.Contains(input.Kab))
				.WhereIf(!string.IsNullOrWhiteSpace(input.Clab), e =&gt; e.Clab.Contains(input.Clab))
				.WhereIf(!string.IsNullOrWhiteSpace(input.CharStr), e =&gt; e.CharStr.Contains(input.CharStr))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42"/>
  <sheetViews>
    <sheetView tabSelected="1" topLeftCell="A16" workbookViewId="0">
      <selection activeCell="B31" sqref="B31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208</v>
      </c>
      <c r="B1" s="39" t="s">
        <v>354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Plm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plm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MstPlmLotCodeGrade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LotCodeGrade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lotcodegrade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MstPlmLotCodeGradeDto, MstPlmLotCodeGradeServiceProxy } from '@shared/service-proxies/service-proxies';
import { finalize } from 'rxjs/internal/operators/finalize';
import { CreateOrEditLotCodeGradeModalComponent } from './create-or-edit-lotcodegrade-modal.component';
import { DatePipe } from '@angular/common';
import { FileDownloadService } from '@shared/utils/file-download.service';
import ceil from 'lodash-es/ceil';
import { Paginator } from 'primeng/paginator';
@Component({
    templateUrl: './lotcodegrade.component.html',
    styleUrls: ['./lotcodegrade.component.less'],
})
export class LotCodeGradeComponent extends AppComponentBase implements OnInit {
    @ViewChild('createOrEditModalLotCodeGrade', { static: true }) createOrEditModalLotCodeGrade:| CreateOrEditLotCodeGradeModalComponent|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MstPlmLotCodeGradeDto = new MstPlmLotCodeGradeDto();
    saveSelectedRow: MstPlmLotCodeGradeDto = new MstPlmLotCodeGradeDto();
    datas: MstPlmLotCodeGradeDto = new MstPlmLotCodeGradeDto();
    isLoading: boolean = false;
    dataParams: GridParams | undefined;
    rowData: any[] = [];
    gridApi!: GridApi;
    rowSelection = 'multiple';
    filter: string = '';
	pipe = new DatePipe('en-US');
	frameworkComponents: FrameworkComponent;
    	modelId : string = '' ; 
	lotCode : string = '' ; 
	cfc : string = '' ; 
	grade
	odering
	gradeName
	modeCode
	modelVin
	visStart : string = '' ; 
	visEnd : string = '' ; 
	maLotCode
	vehicleId
	testNo
	dab
	pab
	engCode
	lab
	rab
	kab
	isFcLabel
	isActive
	r
	g
	b
	clab
	charStr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MstPlmLotCodeGradeServiceProxy,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this.l('Model Id'),headerTooltip: this.l('Model Id'),field: 'modelId',flex: 1},
			{headerName: this.l('Lot Code'),headerTooltip: this.l('Lot Code'),field: 'lotCode',flex: 1},
			{headerName: this.l('Cfc'),headerTooltip: this.l('Cfc'),field: 'cfc',flex: 1},
			{headerName: this.l('Grade'),headerTooltip: this.l('Grade'),field: 'grade',flex: 1},
			{headerName: this.l('Odering'),headerTooltip: this.l('Odering'),field: 'odering',flex: 1},
			{headerName: this.l('Grade Name'),headerTooltip: this.l('Grade Name'),field: 'gradeName',flex: 1},
			{headerName: this.l('Mode Code'),headerTooltip: this.l('Mode Code'),field: 'modeCode',flex: 1},
			{headerName: this.l('Model Vin'),headerTooltip: this.l('Model Vin'),field: 'modelVin',flex: 1},
			{headerName: this.l('Vis Start'),headerTooltip: this.l('Vis Start'),field: 'visStart',flex: 1},
			{headerName: this.l('Vis End'),headerTooltip: this.l('Vis End'),field: 'visEnd',flex: 1},
			{headerName: this.l('Ma Lot Code'),headerTooltip: this.l('Ma Lot Code'),field: 'maLotCode',flex: 1},
			{headerName: this.l('Vehicle Id'),headerTooltip: this.l('Vehicle Id'),field: 'vehicleId',flex: 1},
			{headerName: this.l('Test No'),headerTooltip: this.l('Test No'),field: 'testNo',flex: 1},
			{headerName: this.l('Dab'),headerTooltip: this.l('Dab'),field: 'dab',flex: 1},
			{headerName: this.l('Pab'),headerTooltip: this.l('Pab'),field: 'pab',flex: 1},
			{headerName: this.l('Eng Code'),headerTooltip: this.l('Eng Code'),field: 'engCode',flex: 1},
			{headerName: this.l('Lab'),headerTooltip: this.l('Lab'),field: 'lab',flex: 1},
			{headerName: this.l('Rab'),headerTooltip: this.l('Rab'),field: 'rab',flex: 1},
			{headerName: this.l('Kab'),headerTooltip: this.l('Kab'),field: 'kab',flex: 1},
			{headerName: this.l('Is Fc Label'),headerTooltip: this.l('Is Fc Label'),field: 'isFcLabel',flex: 1},
			{headerName: this.l('Is Active'),headerTooltip: this.l('Is Active'),field: 'isActive',flex: 1},
			{headerName: this.l('R'),headerTooltip: this.l('R'),field: 'r',flex: 1},
			{headerName: this.l('G'),headerTooltip: this.l('G'),field: 'g',flex: 1},
			{headerName: this.l('B'),headerTooltip: this.l('B'),field: 'b',flex: 1},
			{headerName: this.l('Clab'),headerTooltip: this.l('Clab'),field: 'clab',flex: 1},
			{headerName: this.l('Char Str'),headerTooltip: this.l('Char Str'),field: 'charStr',flex: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this.modelId,
			this.lotCode,
			this.cfc,
			this.grade,
			this.odering,
			this.gradeName,
			this.modeCode,
			this.modelVin,
			this.visStart,
			this.visEnd,
			this.maLotCode,
			this.vehicleId,
			this.testNo,
			this.dab,
			this.pab,
			this.engCode,
			this.lab,
			this.rab,
			this.kab,
			this.isFcLabel,
			this.isActive,
			this.r,
			this.g,
			this.b,
			this.clab,
			this.charStr,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this.modelId = '',
		this.lotCode = '',
		this.cfc = '',
		this.grade = '',
		this.odering = '',
		this.gradeName = '',
		this.modeCode = '',
		this.modelVin = '',
		this.visStart = '',
		this.visEnd = '',
		this.maLotCode = '',
		this.vehicleId = '',
		this.testNo = '',
		this.dab = '',
		this.pab = '',
		this.engCode = '',
		this.lab = '',
		this.rab = '',
		this.kab = '',
		this.isFcLabel = '',
		this.isActive = '',
		this.r = '',
		this.g = '',
		this.b = '',
		this.clab = '',
		this.charStr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this.modelId,
			this.lotCode,
			this.cfc,
			this.grade,
			this.odering,
			this.gradeName,
			this.modeCode,
			this.modelVin,
			this.visStart,
			this.visEnd,
			this.maLotCode,
			this.vehicleId,
			this.testNo,
			this.dab,
			this.pab,
			this.engCode,
			this.lab,
			this.rab,
			this.kab,
			this.isFcLabel,
			this.isActive,
			this.r,
			this.g,
			this.b,
			this.clab,
			this.charStr,
			'',
            this.paginationParams.skipCount,
            this.paginationParams.pageSize
        );
    }
    onChangeRowSelection(params: { api: { getSelectedRows: () =&gt; MstPlmLotCodeGradeDto[] } }) {
        this.saveSelectedRow = params.api.getSelectedRows()[0] ?? new MstPlmLotCodeGradeDto();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MstPlmLotCodeGradeDto):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this._service.getLotCodeGradeToExcel(
			this.modelId,
			this.lotCode,
			this.cfc,
			this.grade,
			this.odering,
			this.gradeName,
			this.modeCode,
			this.modelVin,
			this.visStart,
			this.visEnd,
			this.maLotCode,
			this.vehicleId,
			this.testNo,
			this.dab,
			this.pab,
			this.engCode,
			this.lab,
			this.rab,
			this.kab,
			this.isFcLabel,
			this.isActive,
			this.r,
			this.g,
			this.b,
			this.clab,
			this.charStr,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Invoice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[(ngModel)]='modelId' name='modelId'
									class='form-control' [placeholder]="l('Model Id')"
									type='text' (keyup.enter)='searchDatas()'&gt;
								&lt;/div&gt;
								&lt;div class='input-search'&gt;
									&lt;input [(ngModel)]='lotCode' name='lotCode'
									class='form-control' [placeholder]="l('Lot Code')"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[(ngModel)]='visStart' name='visStart'
									class='form-control' [placeholder]="l('Vis Start')"
									type='text' (keyup.enter)='searchDatas()'&gt;
								&lt;/div&gt;
								&lt;div class='input-search'&gt;
									&lt;input [(ngModel)]='visEnd' name='visEnd'
									class='form-control' [placeholder]="l('Vis End')"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(click)="createOrEditModalLotCodeGrade.show()"&gt;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(click)="createOrEditModalLotCodeGrade.show(selectedRow)"&gt;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&lt;create-or-edit-lotcodegrade-modal
    #createOrEditModalLotCodeGrade
    (modalSave)="callBackDataGrid(dataParams)"
    (modalClose)="onChangeRowSelection(dataParams)"
&gt;
&lt;/create-or-edit-lotcodegrade-modal&gt;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#createOrEditModalLotCodeGrade="bs-modal"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LotCodeGrade')}}&lt;/h3&gt;
                    &lt;h3 *ngIf="!rowdata.id"&gt;{{('Create New LotCodeGrade')}}&lt;/h3&gt;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title'&gt;Model Id&lt;/label&gt;
						&lt;input type='text' class='col-md-10 form-control input-text' name='ModelId' [(ngModel)]='rowdata.modelId'&gt;
					&lt;/div&gt;
					&lt;div class='col-md-12 form-group row'&gt;
						&lt;label class='col-md-2 form-control title'&gt;Lot Code&lt;/label&gt;
						&lt;input type='text' class='col-md-10 form-control input-text' name='LotCode' [(ngModel)]='rowdata.lotCode'&gt;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title'&gt;Vis Start&lt;/label&gt;
						&lt;input type='text' class='col-md-10 form-control input-text' name='VisStart' [(ngModel)]='rowdata.visStart'&gt;
					&lt;/div&gt;
					&lt;div class='col-md-12 form-group row'&gt;
						&lt;label class='col-md-2 form-control title'&gt;Vis End&lt;/label&gt;
						&lt;input type='text' class='col-md-10 form-control input-text' name='VisEnd' [(ngModel)]='rowdata.visEnd'&gt;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CreateOrEditMstPlmLotCodeGradeDto, MstPlmLotCodeGradeServiceProxy } from '@shared/service-proxies/service-proxies';
import { BsDatepickerDirective } from 'ngx-bootstrap/datepicker';
@Component({
    selector: 'create-or-edit-lotcodegrade-modal',
    templateUrl: './create-or-edit-lotcodegrade-modal.component.html',
    styleUrls: ['./create-or-edit-lotcodegrade-modal.component.less']
    })
export class CreateOrEditLotCodeGradeModalComponent extends AppComponentBase {
    @ViewChild('createOrEditModalLotCodeGrade',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CreateOrEditMstPlmLotCodeGradeDto = new CreateOrEditMstPlmLotCodeGradeDto();
    active: boolean = false;
    saving: boolean = false;
    _: boolean;
    constructor(
        injector: Injector,
        private _mstwptLotCodeGradeService: MstPlmLotCodeGradeServiceProxy,
    ) 
    {
        super(injector);
    }
    show(rowdata?: CreateOrEditMstPlmLotCodeGradeDto): void {
        if (!rowdata) this.rowdata = new CreateOrEditMstPlmLotCodeGradeDto();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this._mstwptLotCodeGradeService.createOrEdit(this.rowdata)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LotCodeGradeRoutingModule } from './lotcodegrade-routing.module';
import { LotCodeGradeComponent } from './lotcodegrade.component';
import { CreateOrEditLotCodeGradeModalComponent } from './create-or-edit-lotcodegrade-modal.component';
@NgModule({
    declarations: [
       LotCodeGradeComponent, 
        CreateOrEditLotCodeGradeModalComponent
    ],
    imports: [
        AppSharedModule, LotCodeGradeRoutingModule]
})
export class LotCodeGradeModule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LotCodeGradeComponent } from './lotcodegrade.component';
const routes: Routes = [{
    path: '',
    component: LotCodeGradeComponent,
    pathMatch: 'full'
}];
@NgModule({
    imports: [RouterModule.forChild(routes)],
    exports: [RouterModule],
})
export class LotCodeGradeRoutingModule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AppMenuItem("LotCodeGrade", "Pages.Master.Plm.LotCodeGrade", "flaticon-book",   "/app/main/master/plm/lotcodegrade"),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'master/plm/lotcodegrade',
    loadChildren: () =&gt; import('./master/plm/lotcodegrade/lotcodegrade.module').then(m =&gt; m.LotCodeGradeModule),
    data: { permission: 'Pages.Master.Plm.LotCodeGrade' }
},</v>
      </c>
      <c r="R10" s="47" t="str">
        <f>SUBSTITUTE(R9,"MstWptCalendar",$B$6)</f>
        <v>ApiServiceProxies.MstPlmLotCodeGradeServiceProxy,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H40</v>
      </c>
      <c r="I12" s="28" t="str">
        <f>"I"&amp;COUNTA($A:$A)</f>
        <v>I40</v>
      </c>
      <c r="J12" s="28"/>
      <c r="K12" s="28" t="str">
        <f>"K"&amp;COUNTA($A:$A)</f>
        <v>K40</v>
      </c>
      <c r="L12" s="28" t="str">
        <f>"L"&amp;COUNTA($A:$A)</f>
        <v>L40</v>
      </c>
      <c r="M12" s="28"/>
      <c r="N12" s="28"/>
      <c r="O12" s="28"/>
      <c r="P12" s="28"/>
      <c r="Q12" s="28"/>
      <c r="R12" s="28"/>
      <c r="S12" s="28" t="str">
        <f>"S"&amp;COUNTA($A:$A)</f>
        <v>S40</v>
      </c>
      <c r="T12" s="28" t="str">
        <f>"T"&amp;COUNTA($A:$A)</f>
        <v>T40</v>
      </c>
      <c r="U12" s="28" t="str">
        <f>"U"&amp;COUNTA($A:$A)</f>
        <v>U40</v>
      </c>
      <c r="V12" s="28" t="str">
        <f>"V"&amp;COUNTA($A:$A)</f>
        <v>V40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this.l('Model Id'),headerTooltip: this.l('Model Id'),field: 'modelId',flex: 1},
			{headerName: this.l('Lot Code'),headerTooltip: this.l('Lot Code'),field: 'lotCode',flex: 1},
			{headerName: this.l('Cfc'),headerTooltip: this.l('Cfc'),field: 'cfc',flex: 1},
			{headerName: this.l('Grade'),headerTooltip: this.l('Grade'),field: 'grade',flex: 1},
			{headerName: this.l('Odering'),headerTooltip: this.l('Odering'),field: 'odering',flex: 1},
			{headerName: this.l('Grade Name'),headerTooltip: this.l('Grade Name'),field: 'gradeName',flex: 1},
			{headerName: this.l('Mode Code'),headerTooltip: this.l('Mode Code'),field: 'modeCode',flex: 1},
			{headerName: this.l('Model Vin'),headerTooltip: this.l('Model Vin'),field: 'modelVin',flex: 1},
			{headerName: this.l('Vis Start'),headerTooltip: this.l('Vis Start'),field: 'visStart',flex: 1},
			{headerName: this.l('Vis End'),headerTooltip: this.l('Vis End'),field: 'visEnd',flex: 1},
			{headerName: this.l('Ma Lot Code'),headerTooltip: this.l('Ma Lot Code'),field: 'maLotCode',flex: 1},
			{headerName: this.l('Vehicle Id'),headerTooltip: this.l('Vehicle Id'),field: 'vehicleId',flex: 1},
			{headerName: this.l('Test No'),headerTooltip: this.l('Test No'),field: 'testNo',flex: 1},
			{headerName: this.l('Dab'),headerTooltip: this.l('Dab'),field: 'dab',flex: 1},
			{headerName: this.l('Pab'),headerTooltip: this.l('Pab'),field: 'pab',flex: 1},
			{headerName: this.l('Eng Code'),headerTooltip: this.l('Eng Code'),field: 'engCode',flex: 1},
			{headerName: this.l('Lab'),headerTooltip: this.l('Lab'),field: 'lab',flex: 1},
			{headerName: this.l('Rab'),headerTooltip: this.l('Rab'),field: 'rab',flex: 1},
			{headerName: this.l('Kab'),headerTooltip: this.l('Kab'),field: 'kab',flex: 1},
			{headerName: this.l('Is Fc Label'),headerTooltip: this.l('Is Fc Label'),field: 'isFcLabel',flex: 1},
			{headerName: this.l('Is Active'),headerTooltip: this.l('Is Active'),field: 'isActive',flex: 1},
			{headerName: this.l('R'),headerTooltip: this.l('R'),field: 'r',flex: 1},
			{headerName: this.l('G'),headerTooltip: this.l('G'),field: 'g',flex: 1},
			{headerName: this.l('B'),headerTooltip: this.l('B'),field: 'b',flex: 1},
			{headerName: this.l('Clab'),headerTooltip: this.l('Clab'),field: 'clab',flex: 1},
			{headerName: this.l('Char Str'),headerTooltip: this.l('Char Str'),field: 'charStr',flex: 1},</v>
      </c>
      <c r="I13" s="35" t="str">
        <f ca="1">TEXTJOIN2("
",TRUE,INDIRECT(I11):INDIRECT(I12))</f>
        <v xml:space="preserve">								&lt;div class='input-search'&gt;
									&lt;input [(ngModel)]='modelId' name='modelId'
									class='form-control' [placeholder]="l('Model Id')"
									type='text' (keyup.enter)='searchDatas()'&gt;
								&lt;/div&gt;
								&lt;div class='input-search'&gt;
									&lt;input [(ngModel)]='lotCode' name='lotCode'
									class='form-control' [placeholder]="l('Lot Code')"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[(ngModel)]='visStart' name='visStart'
									class='form-control' [placeholder]="l('Vis Start')"
									type='text' (keyup.enter)='searchDatas()'&gt;
								&lt;/div&gt;
								&lt;div class='input-search'&gt;
									&lt;input [(ngModel)]='visEnd' name='visEnd'
									class='form-control' [placeholder]="l('Vis End')"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title'&gt;Model Id&lt;/label&gt;
						&lt;input type='text' class='col-md-10 form-control input-text' name='ModelId' [(ngModel)]='rowdata.modelId'&gt;
					&lt;/div&gt;
					&lt;div class='col-md-12 form-group row'&gt;
						&lt;label class='col-md-2 form-control title'&gt;Lot Code&lt;/label&gt;
						&lt;input type='text' class='col-md-10 form-control input-text' name='LotCode' [(ngModel)]='rowdata.lotCode'&gt;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title'&gt;Vis Start&lt;/label&gt;
						&lt;input type='text' class='col-md-10 form-control input-text' name='VisStart' [(ngModel)]='rowdata.visStart'&gt;
					&lt;/div&gt;
					&lt;div class='col-md-12 form-group row'&gt;
						&lt;label class='col-md-2 form-control title'&gt;Vis End&lt;/label&gt;
						&lt;input type='text' class='col-md-10 form-control input-text' name='VisEnd' [(ngModel)]='rowdata.visEnd'&gt;
					&lt;/div&gt;
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modelId : string = '' ; 
	lotCode : string = '' ; 
	cfc : string = '' ; 
	grade
	odering
	gradeName
	modeCode
	modelVin
	visStart : string = '' ; 
	visEnd : string = '' ; 
	maLotCode
	vehicleId
	testNo
	dab
	pab
	engCode
	lab
	rab
	kab
	isFcLabel
	isActive
	r
	g
	b
	clab
	charStr</v>
      </c>
      <c r="T13" s="62" t="str">
        <f ca="1">TEXTJOIN2("
",TRUE,INDIRECT(T11):INDIRECT(T12))</f>
        <v xml:space="preserve">			this.modelId,
			this.lotCode,
			this.cfc,
			this.grade,
			this.odering,
			this.gradeName,
			this.modeCode,
			this.modelVin,
			this.visStart,
			this.visEnd,
			this.maLotCode,
			this.vehicleId,
			this.testNo,
			this.dab,
			this.pab,
			this.engCode,
			this.lab,
			this.rab,
			this.kab,
			this.isFcLabel,
			this.isActive,
			this.r,
			this.g,
			this.b,
			this.clab,
			this.charStr,</v>
      </c>
      <c r="U13" s="62" t="str">
        <f ca="1">TEXTJOIN2("
",TRUE,INDIRECT(U11):INDIRECT(U12))</f>
        <v xml:space="preserve">		this.modelId = '',
		this.lotCode = '',
		this.cfc = '',
		this.grade = '',
		this.odering = '',
		this.gradeName = '',
		this.modeCode = '',
		this.modelVin = '',
		this.visStart = '',
		this.visEnd = '',
		this.maLotCode = '',
		this.vehicleId = '',
		this.testNo = '',
		this.dab = '',
		this.pab = '',
		this.engCode = '',
		this.lab = '',
		this.rab = '',
		this.kab = '',
		this.isFcLabel = '',
		this.isActive = '',
		this.r = '',
		this.g = '',
		this.b = '',
		this.clab = '',
		this.charStr = '',</v>
      </c>
      <c r="V13" s="28" t="str">
        <f ca="1">TEXTJOIN2("
",TRUE,INDIRECT(V11):INDIRECT(V12))</f>
        <v/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lotcodegrade.component.ts</v>
      </c>
      <c r="I14" s="37" t="str">
        <f>B8&amp;".component.html"</f>
        <v>lotcodegrade.component.html</v>
      </c>
      <c r="J14" s="36" t="str">
        <f>B8&amp;".component.less"</f>
        <v>lotcodegrade.component.less</v>
      </c>
      <c r="K14" s="37" t="str">
        <f>"create-or-edit-"&amp;B8&amp;"-modal.component.html"</f>
        <v>create-or-edit-lotcodegrade-modal.component.html</v>
      </c>
      <c r="L14" s="37" t="str">
        <f>"create-or-edit-"&amp;B8&amp;"-modal.component.ts"</f>
        <v>create-or-edit-lotcodegrade-modal.component.ts</v>
      </c>
      <c r="M14" s="37" t="str">
        <f>"create-or-edit-"&amp;B8&amp;"-modal.component.less"</f>
        <v>create-or-edit-lotcodegrade-modal.component.less</v>
      </c>
      <c r="N14" s="37" t="str">
        <f>B8&amp;".module.ts"</f>
        <v>lotcodegrade.module.ts</v>
      </c>
      <c r="O14" s="37" t="str">
        <f>B8&amp;"-routing.module.ts"</f>
        <v>lotcodegrade-routing.module.ts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s="68" t="s">
        <v>357</v>
      </c>
      <c r="B15" s="28" t="str">
        <f t="shared" ref="B15" si="0">SUBSTITUTE(PROPER(A15),"_","")</f>
        <v>ModelId</v>
      </c>
      <c r="C15" s="28" t="str">
        <f t="shared" ref="C15" si="1">SUBSTITUTE(PROPER(A15),"_"," ")</f>
        <v>Model Id</v>
      </c>
      <c r="D15" s="28" t="str">
        <f t="shared" ref="D15" si="2">LOWER(LEFT(B15,1))&amp;RIGHT(B15,LEN(B15) - 1)</f>
        <v>modelId</v>
      </c>
      <c r="E15" s="28" t="str">
        <f>A.Backend!H25</f>
        <v>string</v>
      </c>
      <c r="F15" s="28" t="str">
        <f>A.Backend!G25</f>
        <v>255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:H17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this.l('Model Id'),headerTooltip: this.l('Model Id'),field: 'modelId',flex: 1},</v>
      </c>
      <c r="I15" s="35" t="str">
        <f t="shared" ref="I15:I17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[(ngModel)]='modelId' name='modelId'
									class='form-control' [placeholder]="l('Model Id')"
									type='text' (keyup.enter)='searchDatas()'&gt;
								&lt;/div&gt;</v>
      </c>
      <c r="J15" s="28"/>
      <c r="K15" s="35" t="str">
        <f t="shared" ref="K15:K17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title'&gt;Model Id&lt;/label&gt;
						&lt;input type='text' class='col-md-10 form-control input-text' name='ModelId' [(ngModel)]='rowdata.modelId'&gt;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modelId : string = '' ; </v>
      </c>
      <c r="T15" s="28" t="str">
        <f>REPT(CHAR(9),3)&amp;"this."&amp;D15&amp;","</f>
        <v xml:space="preserve">			this.modelId,</v>
      </c>
      <c r="U15" s="28" t="str">
        <f>IF(E15="int",REPT(CHAR(9),2)&amp;"this."&amp;D15&amp;" = 0,",REPT(CHAR(9),2)&amp;"this."&amp;D15&amp;" = '',")</f>
        <v xml:space="preserve">		this.modelId = '',</v>
      </c>
      <c r="V15" s="28" t="str">
        <f t="shared" ref="V15:V17" si="8">IF(AND(E15="string",F15="1"),D15,"")</f>
        <v/>
      </c>
    </row>
    <row r="16" spans="1:22" ht="18" customHeight="1" x14ac:dyDescent="0.25">
      <c r="A16" s="68" t="s">
        <v>358</v>
      </c>
      <c r="B16" s="28" t="str">
        <f t="shared" ref="B16" si="9">SUBSTITUTE(PROPER(A16),"_","")</f>
        <v>LotCode</v>
      </c>
      <c r="C16" s="28" t="str">
        <f t="shared" ref="C16" si="10">SUBSTITUTE(PROPER(A16),"_"," ")</f>
        <v>Lot Code</v>
      </c>
      <c r="D16" s="28" t="str">
        <f t="shared" ref="D16" si="11">LOWER(LEFT(B16,1))&amp;RIGHT(B16,LEN(B16) - 1)</f>
        <v>lotCode</v>
      </c>
      <c r="E16" s="28" t="str">
        <f>A.Backend!H26</f>
        <v>string</v>
      </c>
      <c r="F16" s="28" t="str">
        <f>A.Backend!G26</f>
        <v>255</v>
      </c>
      <c r="G16" s="28" t="str">
        <f t="shared" ref="G16:G25" si="12">IF(E16="string"," : string = '' ; ",IF(OR(E16="DateTime",E16="TimeSpan")," : any ;",IF(E16="int"," : number = 0 ;","")))</f>
        <v xml:space="preserve"> : string = '' ; </v>
      </c>
      <c r="H16" s="35" t="str">
        <f t="shared" si="4"/>
        <v xml:space="preserve">			{headerName: this.l('Lot Code'),headerTooltip: this.l('Lot Code'),field: 'lotCode',flex: 1},</v>
      </c>
      <c r="I16" s="35" t="str">
        <f t="shared" si="5"/>
        <v xml:space="preserve">								&lt;div class='input-search'&gt;
									&lt;input [(ngModel)]='lotCode' name='lotCode'
									class='form-control' [placeholder]="l('Lot Code')"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title'&gt;Lot Code&lt;/label&gt;
						&lt;input type='text' class='col-md-10 form-control input-text' name='LotCode' [(ngModel)]='rowdata.lotCode'&gt;
					&lt;/div&gt;</v>
      </c>
      <c r="L16" s="56" t="str">
        <f t="shared" ref="L16" si="13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7" si="14">REPT(CHAR(9),1)&amp;D16&amp;G16</f>
        <v xml:space="preserve">	lotCode : string = '' ; </v>
      </c>
      <c r="T16" s="28" t="str">
        <f t="shared" ref="T16:T17" si="15">REPT(CHAR(9),3)&amp;"this."&amp;D16&amp;","</f>
        <v xml:space="preserve">			this.lotCode,</v>
      </c>
      <c r="U16" s="28" t="str">
        <f t="shared" ref="U16:U17" si="16">IF(E16="int",REPT(CHAR(9),2)&amp;"this."&amp;D16&amp;" = 0,",REPT(CHAR(9),2)&amp;"this."&amp;D16&amp;" = '',")</f>
        <v xml:space="preserve">		this.lotCode = '',</v>
      </c>
      <c r="V16" s="28" t="str">
        <f t="shared" si="8"/>
        <v/>
      </c>
    </row>
    <row r="17" spans="1:22" ht="18" customHeight="1" x14ac:dyDescent="0.25">
      <c r="A17" s="68" t="s">
        <v>359</v>
      </c>
      <c r="B17" s="28" t="str">
        <f>SUBSTITUTE(PROPER(A17),"_","")</f>
        <v>Cfc</v>
      </c>
      <c r="C17" s="28" t="str">
        <f>SUBSTITUTE(PROPER(A17),"_"," ")</f>
        <v>Cfc</v>
      </c>
      <c r="D17" s="28" t="str">
        <f>LOWER(LEFT(B17,1))&amp;RIGHT(B17,LEN(B17) - 1)</f>
        <v>cfc</v>
      </c>
      <c r="E17" s="28" t="str">
        <f>A.Backend!H27</f>
        <v>string</v>
      </c>
      <c r="F17" s="28" t="str">
        <f>A.Backend!G27</f>
        <v>255</v>
      </c>
      <c r="G17" s="28" t="str">
        <f t="shared" si="12"/>
        <v xml:space="preserve"> : string = '' ; </v>
      </c>
      <c r="H17" s="35" t="str">
        <f t="shared" si="4"/>
        <v xml:space="preserve">			{headerName: this.l('Cfc'),headerTooltip: this.l('Cfc'),field: 'cfc',flex: 1},</v>
      </c>
      <c r="I17" s="35" t="str">
        <f t="shared" si="5"/>
        <v xml:space="preserve">								&lt;div class='input-search'&gt;
									&lt;input [(ngModel)]='cfc' name='cfc'
									class='form-control' [placeholder]="l('Cfc')"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title'&gt;Cfc&lt;/label&gt;
						&lt;input type='text' class='col-md-10 form-control input-text' name='Cfc' [(ngModel)]='rowdata.cfc'&gt;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4"/>
        <v xml:space="preserve">	cfc : string = '' ; </v>
      </c>
      <c r="T17" s="28" t="str">
        <f t="shared" si="15"/>
        <v xml:space="preserve">			this.cfc,</v>
      </c>
      <c r="U17" s="28" t="str">
        <f t="shared" si="16"/>
        <v xml:space="preserve">		this.cfc = '',</v>
      </c>
      <c r="V17" s="28" t="str">
        <f t="shared" si="8"/>
        <v/>
      </c>
    </row>
    <row r="18" spans="1:22" ht="15" customHeight="1" x14ac:dyDescent="0.25">
      <c r="A18" s="68" t="s">
        <v>387</v>
      </c>
      <c r="B18" s="28" t="str">
        <f t="shared" ref="B18:B21" si="17">SUBSTITUTE(PROPER(A18),"_","")</f>
        <v>Grade</v>
      </c>
      <c r="C18" s="28" t="str">
        <f t="shared" ref="C18:C21" si="18">SUBSTITUTE(PROPER(A18),"_"," ")</f>
        <v>Grade</v>
      </c>
      <c r="D18" s="28" t="str">
        <f t="shared" ref="D18:D21" si="19">LOWER(LEFT(B18,1))&amp;RIGHT(B18,LEN(B18) - 1)</f>
        <v>grade</v>
      </c>
      <c r="E18" s="28" t="str">
        <f>A.Backend!H28</f>
        <v>int?</v>
      </c>
      <c r="F18" s="28" t="str">
        <f>A.Backend!G28</f>
        <v/>
      </c>
      <c r="G18" s="28" t="str">
        <f t="shared" si="12"/>
        <v/>
      </c>
      <c r="H18" s="35" t="str">
        <f t="shared" ref="H18:H22" si="20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this.l('Grade'),headerTooltip: this.l('Grade'),field: 'grade',flex: 1},</v>
      </c>
      <c r="I18" s="35" t="str">
        <f t="shared" ref="I18:I22" si="21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/>
      </c>
      <c r="J18" s="28"/>
      <c r="K18" s="35" t="str">
        <f t="shared" ref="K18:K22" si="22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/>
      </c>
      <c r="L18" s="56" t="str">
        <f t="shared" ref="L18:L21" si="23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>REPT(CHAR(9),1)&amp;D18&amp;G18</f>
        <v xml:space="preserve">	grade</v>
      </c>
      <c r="T18" s="28" t="str">
        <f>REPT(CHAR(9),3)&amp;"this."&amp;D18&amp;","</f>
        <v xml:space="preserve">			this.grade,</v>
      </c>
      <c r="U18" s="28" t="str">
        <f>IF(E18="int",REPT(CHAR(9),2)&amp;"this."&amp;D18&amp;" = 0,",REPT(CHAR(9),2)&amp;"this."&amp;D18&amp;" = '',")</f>
        <v xml:space="preserve">		this.grade = '',</v>
      </c>
      <c r="V18" s="28" t="str">
        <f t="shared" ref="V18:V22" si="24">IF(AND(E18="string",F18="1"),D18,"")</f>
        <v/>
      </c>
    </row>
    <row r="19" spans="1:22" ht="18" customHeight="1" x14ac:dyDescent="0.25">
      <c r="A19" s="68" t="s">
        <v>360</v>
      </c>
      <c r="B19" s="28" t="str">
        <f t="shared" si="17"/>
        <v>Odering</v>
      </c>
      <c r="C19" s="28" t="str">
        <f t="shared" si="18"/>
        <v>Odering</v>
      </c>
      <c r="D19" s="28" t="str">
        <f t="shared" si="19"/>
        <v>odering</v>
      </c>
      <c r="E19" s="28" t="str">
        <f>A.Backend!H29</f>
        <v>int?</v>
      </c>
      <c r="F19" s="28" t="str">
        <f>A.Backend!G29</f>
        <v/>
      </c>
      <c r="G19" s="28" t="str">
        <f t="shared" si="12"/>
        <v/>
      </c>
      <c r="H19" s="35" t="str">
        <f t="shared" si="20"/>
        <v xml:space="preserve">			{headerName: this.l('Odering'),headerTooltip: this.l('Odering'),field: 'odering',flex: 1},</v>
      </c>
      <c r="I19" s="35" t="str">
        <f t="shared" si="21"/>
        <v/>
      </c>
      <c r="J19" s="28"/>
      <c r="K19" s="35" t="str">
        <f t="shared" si="22"/>
        <v/>
      </c>
      <c r="L19" s="56" t="str">
        <f t="shared" si="23"/>
        <v/>
      </c>
      <c r="M19" s="28"/>
      <c r="N19" s="28"/>
      <c r="O19" s="28"/>
      <c r="P19" s="28"/>
      <c r="Q19" s="28"/>
      <c r="R19" s="28"/>
      <c r="S19" s="28" t="str">
        <f t="shared" ref="S19" si="25">REPT(CHAR(9),1)&amp;D19&amp;G19</f>
        <v xml:space="preserve">	odering</v>
      </c>
      <c r="T19" s="28" t="str">
        <f t="shared" ref="T19" si="26">REPT(CHAR(9),3)&amp;"this."&amp;D19&amp;","</f>
        <v xml:space="preserve">			this.odering,</v>
      </c>
      <c r="U19" s="28" t="str">
        <f t="shared" ref="U19" si="27">IF(E19="int",REPT(CHAR(9),2)&amp;"this."&amp;D19&amp;" = 0,",REPT(CHAR(9),2)&amp;"this."&amp;D19&amp;" = '',")</f>
        <v xml:space="preserve">		this.odering = '',</v>
      </c>
      <c r="V19" s="28" t="str">
        <f t="shared" si="24"/>
        <v/>
      </c>
    </row>
    <row r="20" spans="1:22" ht="15" customHeight="1" x14ac:dyDescent="0.25">
      <c r="A20" s="68" t="s">
        <v>361</v>
      </c>
      <c r="B20" s="28" t="str">
        <f t="shared" si="17"/>
        <v>GradeName</v>
      </c>
      <c r="C20" s="28" t="str">
        <f t="shared" si="18"/>
        <v>Grade Name</v>
      </c>
      <c r="D20" s="28" t="str">
        <f t="shared" si="19"/>
        <v>gradeName</v>
      </c>
      <c r="E20" s="28" t="str">
        <f>A.Backend!H30</f>
        <v>int?</v>
      </c>
      <c r="F20" s="28" t="str">
        <f>A.Backend!G30</f>
        <v/>
      </c>
      <c r="G20" s="28" t="str">
        <f t="shared" si="12"/>
        <v/>
      </c>
      <c r="H20" s="35" t="str">
        <f t="shared" si="20"/>
        <v xml:space="preserve">			{headerName: this.l('Grade Name'),headerTooltip: this.l('Grade Name'),field: 'gradeName',flex: 1},</v>
      </c>
      <c r="I20" s="35" t="str">
        <f t="shared" si="21"/>
        <v/>
      </c>
      <c r="J20" s="28"/>
      <c r="K20" s="35" t="str">
        <f t="shared" si="22"/>
        <v/>
      </c>
      <c r="L20" s="56" t="str">
        <f t="shared" si="23"/>
        <v/>
      </c>
      <c r="M20" s="28"/>
      <c r="N20" s="28"/>
      <c r="O20" s="28"/>
      <c r="P20" s="28"/>
      <c r="Q20" s="28"/>
      <c r="R20" s="28"/>
      <c r="S20" s="28" t="str">
        <f>REPT(CHAR(9),1)&amp;D20&amp;G20</f>
        <v xml:space="preserve">	gradeName</v>
      </c>
      <c r="T20" s="28" t="str">
        <f>REPT(CHAR(9),3)&amp;"this."&amp;D20&amp;","</f>
        <v xml:space="preserve">			this.gradeName,</v>
      </c>
      <c r="U20" s="28" t="str">
        <f>IF(E20="int",REPT(CHAR(9),2)&amp;"this."&amp;D20&amp;" = 0,",REPT(CHAR(9),2)&amp;"this."&amp;D20&amp;" = '',")</f>
        <v xml:space="preserve">		this.gradeName = '',</v>
      </c>
      <c r="V20" s="28" t="str">
        <f t="shared" si="24"/>
        <v/>
      </c>
    </row>
    <row r="21" spans="1:22" ht="18" customHeight="1" x14ac:dyDescent="0.25">
      <c r="A21" s="68" t="s">
        <v>362</v>
      </c>
      <c r="B21" s="28" t="str">
        <f t="shared" si="17"/>
        <v>ModeCode</v>
      </c>
      <c r="C21" s="28" t="str">
        <f t="shared" si="18"/>
        <v>Mode Code</v>
      </c>
      <c r="D21" s="28" t="str">
        <f t="shared" si="19"/>
        <v>modeCode</v>
      </c>
      <c r="E21" s="28" t="str">
        <f>A.Backend!H31</f>
        <v>int?</v>
      </c>
      <c r="F21" s="28" t="str">
        <f>A.Backend!G31</f>
        <v/>
      </c>
      <c r="G21" s="28" t="str">
        <f t="shared" si="12"/>
        <v/>
      </c>
      <c r="H21" s="35" t="str">
        <f t="shared" si="20"/>
        <v xml:space="preserve">			{headerName: this.l('Mode Code'),headerTooltip: this.l('Mode Code'),field: 'modeCode',flex: 1},</v>
      </c>
      <c r="I21" s="35" t="str">
        <f t="shared" si="21"/>
        <v/>
      </c>
      <c r="J21" s="28"/>
      <c r="K21" s="35" t="str">
        <f t="shared" si="22"/>
        <v/>
      </c>
      <c r="L21" s="56" t="str">
        <f t="shared" si="23"/>
        <v/>
      </c>
      <c r="M21" s="28"/>
      <c r="N21" s="28"/>
      <c r="O21" s="28"/>
      <c r="P21" s="28"/>
      <c r="Q21" s="28"/>
      <c r="R21" s="28"/>
      <c r="S21" s="28" t="str">
        <f t="shared" ref="S21:S22" si="28">REPT(CHAR(9),1)&amp;D21&amp;G21</f>
        <v xml:space="preserve">	modeCode</v>
      </c>
      <c r="T21" s="28" t="str">
        <f t="shared" ref="T21:T22" si="29">REPT(CHAR(9),3)&amp;"this."&amp;D21&amp;","</f>
        <v xml:space="preserve">			this.modeCode,</v>
      </c>
      <c r="U21" s="28" t="str">
        <f t="shared" ref="U21:U22" si="30">IF(E21="int",REPT(CHAR(9),2)&amp;"this."&amp;D21&amp;" = 0,",REPT(CHAR(9),2)&amp;"this."&amp;D21&amp;" = '',")</f>
        <v xml:space="preserve">		this.modeCode = '',</v>
      </c>
      <c r="V21" s="28" t="str">
        <f t="shared" si="24"/>
        <v/>
      </c>
    </row>
    <row r="22" spans="1:22" ht="18" customHeight="1" x14ac:dyDescent="0.25">
      <c r="A22" s="68" t="s">
        <v>363</v>
      </c>
      <c r="B22" s="28" t="str">
        <f>SUBSTITUTE(PROPER(A22),"_","")</f>
        <v>ModelVin</v>
      </c>
      <c r="C22" s="28" t="str">
        <f>SUBSTITUTE(PROPER(A22),"_"," ")</f>
        <v>Model Vin</v>
      </c>
      <c r="D22" s="28" t="str">
        <f>LOWER(LEFT(B22,1))&amp;RIGHT(B22,LEN(B22) - 1)</f>
        <v>modelVin</v>
      </c>
      <c r="E22" s="28" t="str">
        <f>A.Backend!H32</f>
        <v>int?</v>
      </c>
      <c r="F22" s="28" t="str">
        <f>A.Backend!G32</f>
        <v/>
      </c>
      <c r="G22" s="28" t="str">
        <f t="shared" si="12"/>
        <v/>
      </c>
      <c r="H22" s="35" t="str">
        <f t="shared" si="20"/>
        <v xml:space="preserve">			{headerName: this.l('Model Vin'),headerTooltip: this.l('Model Vin'),field: 'modelVin',flex: 1},</v>
      </c>
      <c r="I22" s="35" t="str">
        <f t="shared" si="21"/>
        <v/>
      </c>
      <c r="J22" s="28"/>
      <c r="K22" s="35" t="str">
        <f t="shared" si="22"/>
        <v/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28"/>
        <v xml:space="preserve">	modelVin</v>
      </c>
      <c r="T22" s="28" t="str">
        <f t="shared" si="29"/>
        <v xml:space="preserve">			this.modelVin,</v>
      </c>
      <c r="U22" s="28" t="str">
        <f t="shared" si="30"/>
        <v xml:space="preserve">		this.modelVin = '',</v>
      </c>
      <c r="V22" s="28" t="str">
        <f t="shared" si="24"/>
        <v/>
      </c>
    </row>
    <row r="23" spans="1:22" ht="15" customHeight="1" x14ac:dyDescent="0.25">
      <c r="A23" s="68" t="s">
        <v>364</v>
      </c>
      <c r="B23" s="28" t="str">
        <f t="shared" ref="B23:B26" si="31">SUBSTITUTE(PROPER(A23),"_","")</f>
        <v>VisStart</v>
      </c>
      <c r="C23" s="28" t="str">
        <f t="shared" ref="C23:C26" si="32">SUBSTITUTE(PROPER(A23),"_"," ")</f>
        <v>Vis Start</v>
      </c>
      <c r="D23" s="28" t="str">
        <f t="shared" ref="D23:D26" si="33">LOWER(LEFT(B23,1))&amp;RIGHT(B23,LEN(B23) - 1)</f>
        <v>visStart</v>
      </c>
      <c r="E23" s="28" t="str">
        <f>A.Backend!H33</f>
        <v>string</v>
      </c>
      <c r="F23" s="28" t="str">
        <f>A.Backend!G33</f>
        <v>255</v>
      </c>
      <c r="G23" s="28" t="str">
        <f t="shared" si="12"/>
        <v xml:space="preserve"> : string = '' ; </v>
      </c>
      <c r="H23" s="35" t="str">
        <f t="shared" ref="H23:H32" si="34">IF(E23="DateTime",
REPT(CHAR(9),3)&amp;"{headerName: this.l('"&amp;C23&amp;"'),headerTooltip: this.l('"&amp;C23&amp;"'),field: '"&amp;D23&amp;"',valueGetter: (params) =&gt; this.pipe.transform(params.data?."&amp;D23&amp;", 'dd/MM/yyyy'),flex: 1},",
IF(AND(E23="string",F23="1"),
REPT(CHAR(9),3)&amp;"{headerName: this.l('"&amp;C23&amp;"'),headerTooltip: this.l('"&amp;C23&amp;"'),field:  '"&amp;D23&amp;"', cellClass: ['text-center'], width: 120, cellRenderer: 'agCellButtonComponent',
buttonDefTwo: { text: params =&gt; (params.data?.'"&amp;D23&amp;"' == 'Y') ? 'Active' : 'Inactive',iconName: 'fa fa-circle',className: params =&gt; (params.data?.'"&amp;D23&amp;"' == 'Y') ? 'btnActive' : 'btnInActive',},}",
REPT(CHAR(9),3)&amp;"{headerName: this.l('"&amp;C23&amp;"'),headerTooltip: this.l('"&amp;C23&amp;"'),field: '"&amp;D23&amp;"',flex: 1},"))</f>
        <v xml:space="preserve">			{headerName: this.l('Vis Start'),headerTooltip: this.l('Vis Start'),field: 'visStart',flex: 1},</v>
      </c>
      <c r="I23" s="35" t="str">
        <f t="shared" ref="I23:I32" si="35"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IF(E23="string",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 xml:space="preserve">								&lt;div class='input-search'&gt;
									&lt;input [(ngModel)]='visStart' name='visStart'
									class='form-control' [placeholder]="l('Vis Start')"
									type='text' (keyup.enter)='searchDatas()'&gt;
								&lt;/div&gt;</v>
      </c>
      <c r="J23" s="28"/>
      <c r="K23" s="35" t="str">
        <f t="shared" ref="K23:K32" si="36">IF(OR(E23="DateTime",E23="TimeSpan"),
REPT(CHAR(9),5)&amp;"&lt;div class='col-md-12 form-group row'&gt;
"&amp;REPT(CHAR(9),6)&amp;"&lt;label class='col-md-2 form-control title'&gt;"&amp;C23&amp;"&lt;/label&gt;
"&amp;REPT(CHAR(9),6)&amp;"&lt;input type='text' class='col-md-10 form-control input-text' name='"&amp;D23&amp;"' 
"&amp;REPT(CHAR(9),6)&amp;"#datepicker='bsDatepicker' [(ngModel)]='rowdata."&amp;D23&amp;"'  bsDatepicker &gt;
"&amp;REPT(CHAR(9),5)&amp;"&lt;/div&gt;",
IF(AND(E23="string",F23="1"),
REPT(CHAR(9),5)&amp;"&lt;div class='col-md-12 form-group row'&gt;
"&amp;REPT(CHAR(9),6)&amp;"&lt;label class='col-md-2 form-control title'&gt;"&amp;C23&amp;"&lt;/label&gt;
"&amp;REPT(CHAR(9),6)&amp;"&lt;new-checkbox [(ngModel)]='_"&amp;D23&amp;"' name='"&amp;D23&amp;"' className='col-md-10' &gt; &lt;/new-checkbox&gt;
"&amp;REPT(CHAR(9),5)&amp;"&lt;/div&gt;",
IF(E23="string",
REPT(CHAR(9),5)&amp;"&lt;div class='col-md-12 form-group row'&gt;
"&amp;REPT(CHAR(9),6)&amp;"&lt;label class='col-md-2 form-control title'&gt;"&amp;C23&amp;"&lt;/label&gt;
"&amp;REPT(CHAR(9),6)&amp;"&lt;input type='text' class='col-md-10 form-control input-text' name='"&amp;B23&amp;"' [(ngModel)]='rowdata."&amp;D23&amp;"'&gt;
"&amp;REPT(CHAR(9),5)&amp;"&lt;/div&gt;",
IF(E23="int",
REPT(CHAR(9),5)&amp;"&lt;div class='col-md-12 form-group row'&gt;
"&amp;REPT(CHAR(9),6)&amp;"&lt;label class='col-md-2 form-control title'&gt;"&amp;C23&amp;"&lt;/label&gt;
"&amp;REPT(CHAR(9),6)&amp;"&lt;input type='number' class='col-md-10 form-control input-text' name='"&amp;B23&amp;"' [(ngModel)]='rowdata."&amp;D23&amp;"'&gt;
"&amp;REPT(CHAR(9),5)&amp;"&lt;/div&gt;",""))))</f>
        <v xml:space="preserve">					&lt;div class='col-md-12 form-group row'&gt;
						&lt;label class='col-md-2 form-control title'&gt;Vis Start&lt;/label&gt;
						&lt;input type='text' class='col-md-10 form-control input-text' name='VisStart' [(ngModel)]='rowdata.visStart'&gt;
					&lt;/div&gt;</v>
      </c>
      <c r="L23" s="56" t="str">
        <f t="shared" ref="L23:L26" si="37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>REPT(CHAR(9),1)&amp;D23&amp;G23</f>
        <v xml:space="preserve">	visStart : string = '' ; </v>
      </c>
      <c r="T23" s="28" t="str">
        <f>REPT(CHAR(9),3)&amp;"this."&amp;D23&amp;","</f>
        <v xml:space="preserve">			this.visStart,</v>
      </c>
      <c r="U23" s="28" t="str">
        <f>IF(E23="int",REPT(CHAR(9),2)&amp;"this."&amp;D23&amp;" = 0,",REPT(CHAR(9),2)&amp;"this."&amp;D23&amp;" = '',")</f>
        <v xml:space="preserve">		this.visStart = '',</v>
      </c>
      <c r="V23" s="28" t="str">
        <f t="shared" ref="V23:V32" si="38">IF(AND(E23="string",F23="1"),D23,"")</f>
        <v/>
      </c>
    </row>
    <row r="24" spans="1:22" ht="18" customHeight="1" x14ac:dyDescent="0.25">
      <c r="A24" s="68" t="s">
        <v>365</v>
      </c>
      <c r="B24" s="28" t="str">
        <f t="shared" si="31"/>
        <v>VisEnd</v>
      </c>
      <c r="C24" s="28" t="str">
        <f t="shared" si="32"/>
        <v>Vis End</v>
      </c>
      <c r="D24" s="28" t="str">
        <f t="shared" si="33"/>
        <v>visEnd</v>
      </c>
      <c r="E24" s="28" t="str">
        <f>A.Backend!H34</f>
        <v>string</v>
      </c>
      <c r="F24" s="28" t="str">
        <f>A.Backend!G34</f>
        <v>255</v>
      </c>
      <c r="G24" s="28" t="str">
        <f t="shared" si="12"/>
        <v xml:space="preserve"> : string = '' ; </v>
      </c>
      <c r="H24" s="35" t="str">
        <f t="shared" si="34"/>
        <v xml:space="preserve">			{headerName: this.l('Vis End'),headerTooltip: this.l('Vis End'),field: 'visEnd',flex: 1},</v>
      </c>
      <c r="I24" s="35" t="str">
        <f t="shared" si="35"/>
        <v xml:space="preserve">								&lt;div class='input-search'&gt;
									&lt;input [(ngModel)]='visEnd' name='visEnd'
									class='form-control' [placeholder]="l('Vis End')"
									type='text' (keyup.enter)='searchDatas()'&gt;
								&lt;/div&gt;</v>
      </c>
      <c r="J24" s="28"/>
      <c r="K24" s="35" t="str">
        <f t="shared" si="36"/>
        <v xml:space="preserve">					&lt;div class='col-md-12 form-group row'&gt;
						&lt;label class='col-md-2 form-control title'&gt;Vis End&lt;/label&gt;
						&lt;input type='text' class='col-md-10 form-control input-text' name='VisEnd' [(ngModel)]='rowdata.visEnd'&gt;
					&lt;/div&gt;</v>
      </c>
      <c r="L24" s="56" t="str">
        <f t="shared" si="37"/>
        <v/>
      </c>
      <c r="M24" s="28"/>
      <c r="N24" s="28"/>
      <c r="O24" s="28"/>
      <c r="P24" s="28"/>
      <c r="Q24" s="28"/>
      <c r="R24" s="28"/>
      <c r="S24" s="28" t="str">
        <f t="shared" ref="S24" si="39">REPT(CHAR(9),1)&amp;D24&amp;G24</f>
        <v xml:space="preserve">	visEnd : string = '' ; </v>
      </c>
      <c r="T24" s="28" t="str">
        <f t="shared" ref="T24" si="40">REPT(CHAR(9),3)&amp;"this."&amp;D24&amp;","</f>
        <v xml:space="preserve">			this.visEnd,</v>
      </c>
      <c r="U24" s="28" t="str">
        <f t="shared" ref="U24" si="41">IF(E24="int",REPT(CHAR(9),2)&amp;"this."&amp;D24&amp;" = 0,",REPT(CHAR(9),2)&amp;"this."&amp;D24&amp;" = '',")</f>
        <v xml:space="preserve">		this.visEnd = '',</v>
      </c>
      <c r="V24" s="28" t="str">
        <f t="shared" si="38"/>
        <v/>
      </c>
    </row>
    <row r="25" spans="1:22" ht="15" customHeight="1" x14ac:dyDescent="0.25">
      <c r="A25" s="68" t="s">
        <v>366</v>
      </c>
      <c r="B25" s="28" t="str">
        <f t="shared" si="31"/>
        <v>MaLotCode</v>
      </c>
      <c r="C25" s="28" t="str">
        <f t="shared" si="32"/>
        <v>Ma Lot Code</v>
      </c>
      <c r="D25" s="28" t="str">
        <f t="shared" si="33"/>
        <v>maLotCode</v>
      </c>
      <c r="E25" s="28">
        <f>A.Backend!H35</f>
        <v>0</v>
      </c>
      <c r="F25" s="28">
        <f>A.Backend!G35</f>
        <v>0</v>
      </c>
      <c r="G25" s="28" t="str">
        <f t="shared" si="12"/>
        <v/>
      </c>
      <c r="H25" s="35" t="str">
        <f t="shared" si="34"/>
        <v xml:space="preserve">			{headerName: this.l('Ma Lot Code'),headerTooltip: this.l('Ma Lot Code'),field: 'maLotCode',flex: 1},</v>
      </c>
      <c r="I25" s="35" t="str">
        <f t="shared" si="35"/>
        <v/>
      </c>
      <c r="J25" s="28"/>
      <c r="K25" s="35" t="str">
        <f t="shared" si="36"/>
        <v/>
      </c>
      <c r="L25" s="56" t="str">
        <f t="shared" si="37"/>
        <v/>
      </c>
      <c r="M25" s="28"/>
      <c r="N25" s="28"/>
      <c r="O25" s="28"/>
      <c r="P25" s="28"/>
      <c r="Q25" s="28"/>
      <c r="R25" s="28"/>
      <c r="S25" s="28" t="str">
        <f>REPT(CHAR(9),1)&amp;D25&amp;G25</f>
        <v xml:space="preserve">	maLotCode</v>
      </c>
      <c r="T25" s="28" t="str">
        <f>REPT(CHAR(9),3)&amp;"this."&amp;D25&amp;","</f>
        <v xml:space="preserve">			this.maLotCode,</v>
      </c>
      <c r="U25" s="28" t="str">
        <f>IF(E25="int",REPT(CHAR(9),2)&amp;"this."&amp;D25&amp;" = 0,",REPT(CHAR(9),2)&amp;"this."&amp;D25&amp;" = '',")</f>
        <v xml:space="preserve">		this.maLotCode = '',</v>
      </c>
      <c r="V25" s="28" t="str">
        <f t="shared" si="38"/>
        <v/>
      </c>
    </row>
    <row r="26" spans="1:22" ht="18" customHeight="1" x14ac:dyDescent="0.25">
      <c r="A26" s="68" t="s">
        <v>367</v>
      </c>
      <c r="B26" s="28" t="str">
        <f t="shared" si="31"/>
        <v>VehicleId</v>
      </c>
      <c r="C26" s="28" t="str">
        <f t="shared" si="32"/>
        <v>Vehicle Id</v>
      </c>
      <c r="D26" s="28" t="str">
        <f t="shared" si="33"/>
        <v>vehicleId</v>
      </c>
      <c r="E26" s="28">
        <f>A.Backend!H36</f>
        <v>0</v>
      </c>
      <c r="F26" s="28">
        <f>A.Backend!G36</f>
        <v>0</v>
      </c>
      <c r="G26" s="28" t="str">
        <f t="shared" ref="G26:G40" si="42">IF(E26="string"," : string = '' ; ",IF(OR(E26="DateTime",E26="TimeSpan")," : any ;",IF(E26="int"," : number = 0 ;","")))</f>
        <v/>
      </c>
      <c r="H26" s="35" t="str">
        <f t="shared" si="34"/>
        <v xml:space="preserve">			{headerName: this.l('Vehicle Id'),headerTooltip: this.l('Vehicle Id'),field: 'vehicleId',flex: 1},</v>
      </c>
      <c r="I26" s="35" t="str">
        <f t="shared" si="35"/>
        <v/>
      </c>
      <c r="J26" s="28"/>
      <c r="K26" s="35" t="str">
        <f t="shared" si="36"/>
        <v/>
      </c>
      <c r="L26" s="56" t="str">
        <f t="shared" si="37"/>
        <v/>
      </c>
      <c r="M26" s="28"/>
      <c r="N26" s="28"/>
      <c r="O26" s="28"/>
      <c r="P26" s="28"/>
      <c r="Q26" s="28"/>
      <c r="R26" s="28"/>
      <c r="S26" s="28" t="str">
        <f t="shared" ref="S26:S27" si="43">REPT(CHAR(9),1)&amp;D26&amp;G26</f>
        <v xml:space="preserve">	vehicleId</v>
      </c>
      <c r="T26" s="28" t="str">
        <f t="shared" ref="T26:T27" si="44">REPT(CHAR(9),3)&amp;"this."&amp;D26&amp;","</f>
        <v xml:space="preserve">			this.vehicleId,</v>
      </c>
      <c r="U26" s="28" t="str">
        <f t="shared" ref="U26:U27" si="45">IF(E26="int",REPT(CHAR(9),2)&amp;"this."&amp;D26&amp;" = 0,",REPT(CHAR(9),2)&amp;"this."&amp;D26&amp;" = '',")</f>
        <v xml:space="preserve">		this.vehicleId = '',</v>
      </c>
      <c r="V26" s="28" t="str">
        <f t="shared" si="38"/>
        <v/>
      </c>
    </row>
    <row r="27" spans="1:22" ht="18" customHeight="1" x14ac:dyDescent="0.25">
      <c r="A27" s="68" t="s">
        <v>368</v>
      </c>
      <c r="B27" s="28" t="str">
        <f>SUBSTITUTE(PROPER(A27),"_","")</f>
        <v>TestNo</v>
      </c>
      <c r="C27" s="28" t="str">
        <f>SUBSTITUTE(PROPER(A27),"_"," ")</f>
        <v>Test No</v>
      </c>
      <c r="D27" s="28" t="str">
        <f>LOWER(LEFT(B27,1))&amp;RIGHT(B27,LEN(B27) - 1)</f>
        <v>testNo</v>
      </c>
      <c r="E27" s="28">
        <f>A.Backend!H37</f>
        <v>0</v>
      </c>
      <c r="F27" s="28">
        <f>A.Backend!G37</f>
        <v>0</v>
      </c>
      <c r="G27" s="28" t="str">
        <f t="shared" si="42"/>
        <v/>
      </c>
      <c r="H27" s="35" t="str">
        <f t="shared" si="34"/>
        <v xml:space="preserve">			{headerName: this.l('Test No'),headerTooltip: this.l('Test No'),field: 'testNo',flex: 1},</v>
      </c>
      <c r="I27" s="35" t="str">
        <f t="shared" si="35"/>
        <v/>
      </c>
      <c r="J27" s="28"/>
      <c r="K27" s="35" t="str">
        <f t="shared" si="36"/>
        <v/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43"/>
        <v xml:space="preserve">	testNo</v>
      </c>
      <c r="T27" s="28" t="str">
        <f t="shared" si="44"/>
        <v xml:space="preserve">			this.testNo,</v>
      </c>
      <c r="U27" s="28" t="str">
        <f t="shared" si="45"/>
        <v xml:space="preserve">		this.testNo = '',</v>
      </c>
      <c r="V27" s="28" t="str">
        <f t="shared" si="38"/>
        <v/>
      </c>
    </row>
    <row r="28" spans="1:22" ht="15" customHeight="1" x14ac:dyDescent="0.25">
      <c r="A28" s="68" t="s">
        <v>369</v>
      </c>
      <c r="B28" s="28" t="str">
        <f t="shared" ref="B28:B31" si="46">SUBSTITUTE(PROPER(A28),"_","")</f>
        <v>Dab</v>
      </c>
      <c r="C28" s="28" t="str">
        <f t="shared" ref="C28:C31" si="47">SUBSTITUTE(PROPER(A28),"_"," ")</f>
        <v>Dab</v>
      </c>
      <c r="D28" s="28" t="str">
        <f t="shared" ref="D28:D31" si="48">LOWER(LEFT(B28,1))&amp;RIGHT(B28,LEN(B28) - 1)</f>
        <v>dab</v>
      </c>
      <c r="E28" s="28">
        <f>A.Backend!H38</f>
        <v>0</v>
      </c>
      <c r="F28" s="28">
        <f>A.Backend!G38</f>
        <v>0</v>
      </c>
      <c r="G28" s="28" t="str">
        <f t="shared" si="42"/>
        <v/>
      </c>
      <c r="H28" s="35" t="str">
        <f t="shared" si="34"/>
        <v xml:space="preserve">			{headerName: this.l('Dab'),headerTooltip: this.l('Dab'),field: 'dab',flex: 1},</v>
      </c>
      <c r="I28" s="35" t="str">
        <f t="shared" si="35"/>
        <v/>
      </c>
      <c r="J28" s="28"/>
      <c r="K28" s="35" t="str">
        <f t="shared" si="36"/>
        <v/>
      </c>
      <c r="L28" s="56" t="str">
        <f t="shared" ref="L28:L31" si="49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>REPT(CHAR(9),1)&amp;D28&amp;G28</f>
        <v xml:space="preserve">	dab</v>
      </c>
      <c r="T28" s="28" t="str">
        <f>REPT(CHAR(9),3)&amp;"this."&amp;D28&amp;","</f>
        <v xml:space="preserve">			this.dab,</v>
      </c>
      <c r="U28" s="28" t="str">
        <f>IF(E28="int",REPT(CHAR(9),2)&amp;"this."&amp;D28&amp;" = 0,",REPT(CHAR(9),2)&amp;"this."&amp;D28&amp;" = '',")</f>
        <v xml:space="preserve">		this.dab = '',</v>
      </c>
      <c r="V28" s="28" t="str">
        <f t="shared" si="38"/>
        <v/>
      </c>
    </row>
    <row r="29" spans="1:22" ht="18" customHeight="1" x14ac:dyDescent="0.25">
      <c r="A29" s="68" t="s">
        <v>370</v>
      </c>
      <c r="B29" s="28" t="str">
        <f t="shared" si="46"/>
        <v>Pab</v>
      </c>
      <c r="C29" s="28" t="str">
        <f t="shared" si="47"/>
        <v>Pab</v>
      </c>
      <c r="D29" s="28" t="str">
        <f t="shared" si="48"/>
        <v>pab</v>
      </c>
      <c r="E29" s="28">
        <f>A.Backend!H39</f>
        <v>0</v>
      </c>
      <c r="F29" s="28">
        <f>A.Backend!G39</f>
        <v>0</v>
      </c>
      <c r="G29" s="28" t="str">
        <f t="shared" si="42"/>
        <v/>
      </c>
      <c r="H29" s="35" t="str">
        <f t="shared" si="34"/>
        <v xml:space="preserve">			{headerName: this.l('Pab'),headerTooltip: this.l('Pab'),field: 'pab',flex: 1},</v>
      </c>
      <c r="I29" s="35" t="str">
        <f t="shared" si="35"/>
        <v/>
      </c>
      <c r="J29" s="28"/>
      <c r="K29" s="35" t="str">
        <f t="shared" si="36"/>
        <v/>
      </c>
      <c r="L29" s="56" t="str">
        <f t="shared" si="49"/>
        <v/>
      </c>
      <c r="M29" s="28"/>
      <c r="N29" s="28"/>
      <c r="O29" s="28"/>
      <c r="P29" s="28"/>
      <c r="Q29" s="28"/>
      <c r="R29" s="28"/>
      <c r="S29" s="28" t="str">
        <f t="shared" ref="S29" si="50">REPT(CHAR(9),1)&amp;D29&amp;G29</f>
        <v xml:space="preserve">	pab</v>
      </c>
      <c r="T29" s="28" t="str">
        <f t="shared" ref="T29" si="51">REPT(CHAR(9),3)&amp;"this."&amp;D29&amp;","</f>
        <v xml:space="preserve">			this.pab,</v>
      </c>
      <c r="U29" s="28" t="str">
        <f t="shared" ref="U29" si="52">IF(E29="int",REPT(CHAR(9),2)&amp;"this."&amp;D29&amp;" = 0,",REPT(CHAR(9),2)&amp;"this."&amp;D29&amp;" = '',")</f>
        <v xml:space="preserve">		this.pab = '',</v>
      </c>
      <c r="V29" s="28" t="str">
        <f t="shared" si="38"/>
        <v/>
      </c>
    </row>
    <row r="30" spans="1:22" ht="15" customHeight="1" x14ac:dyDescent="0.25">
      <c r="A30" s="68" t="s">
        <v>371</v>
      </c>
      <c r="B30" s="28" t="str">
        <f t="shared" si="46"/>
        <v>EngCode</v>
      </c>
      <c r="C30" s="28" t="str">
        <f t="shared" si="47"/>
        <v>Eng Code</v>
      </c>
      <c r="D30" s="28" t="str">
        <f t="shared" si="48"/>
        <v>engCode</v>
      </c>
      <c r="E30" s="28">
        <f>A.Backend!H40</f>
        <v>0</v>
      </c>
      <c r="F30" s="28">
        <f>A.Backend!G40</f>
        <v>0</v>
      </c>
      <c r="G30" s="28" t="str">
        <f t="shared" si="42"/>
        <v/>
      </c>
      <c r="H30" s="35" t="str">
        <f t="shared" si="34"/>
        <v xml:space="preserve">			{headerName: this.l('Eng Code'),headerTooltip: this.l('Eng Code'),field: 'engCode',flex: 1},</v>
      </c>
      <c r="I30" s="35" t="str">
        <f t="shared" si="35"/>
        <v/>
      </c>
      <c r="J30" s="28"/>
      <c r="K30" s="35" t="str">
        <f t="shared" si="36"/>
        <v/>
      </c>
      <c r="L30" s="56" t="str">
        <f t="shared" si="49"/>
        <v/>
      </c>
      <c r="M30" s="28"/>
      <c r="N30" s="28"/>
      <c r="O30" s="28"/>
      <c r="P30" s="28"/>
      <c r="Q30" s="28"/>
      <c r="R30" s="28"/>
      <c r="S30" s="28" t="str">
        <f>REPT(CHAR(9),1)&amp;D30&amp;G30</f>
        <v xml:space="preserve">	engCode</v>
      </c>
      <c r="T30" s="28" t="str">
        <f>REPT(CHAR(9),3)&amp;"this."&amp;D30&amp;","</f>
        <v xml:space="preserve">			this.engCode,</v>
      </c>
      <c r="U30" s="28" t="str">
        <f>IF(E30="int",REPT(CHAR(9),2)&amp;"this."&amp;D30&amp;" = 0,",REPT(CHAR(9),2)&amp;"this."&amp;D30&amp;" = '',")</f>
        <v xml:space="preserve">		this.engCode = '',</v>
      </c>
      <c r="V30" s="28" t="str">
        <f t="shared" si="38"/>
        <v/>
      </c>
    </row>
    <row r="31" spans="1:22" ht="18" customHeight="1" x14ac:dyDescent="0.25">
      <c r="A31" s="68" t="s">
        <v>372</v>
      </c>
      <c r="B31" s="28" t="str">
        <f t="shared" si="46"/>
        <v>Lab</v>
      </c>
      <c r="C31" s="28" t="str">
        <f t="shared" si="47"/>
        <v>Lab</v>
      </c>
      <c r="D31" s="28" t="str">
        <f t="shared" si="48"/>
        <v>lab</v>
      </c>
      <c r="E31" s="28">
        <f>A.Backend!H41</f>
        <v>0</v>
      </c>
      <c r="F31" s="28">
        <f>A.Backend!G41</f>
        <v>0</v>
      </c>
      <c r="G31" s="28" t="str">
        <f t="shared" si="42"/>
        <v/>
      </c>
      <c r="H31" s="35" t="str">
        <f t="shared" si="34"/>
        <v xml:space="preserve">			{headerName: this.l('Lab'),headerTooltip: this.l('Lab'),field: 'lab',flex: 1},</v>
      </c>
      <c r="I31" s="35" t="str">
        <f t="shared" si="35"/>
        <v/>
      </c>
      <c r="J31" s="28"/>
      <c r="K31" s="35" t="str">
        <f t="shared" si="36"/>
        <v/>
      </c>
      <c r="L31" s="56" t="str">
        <f t="shared" si="49"/>
        <v/>
      </c>
      <c r="M31" s="28"/>
      <c r="N31" s="28"/>
      <c r="O31" s="28"/>
      <c r="P31" s="28"/>
      <c r="Q31" s="28"/>
      <c r="R31" s="28"/>
      <c r="S31" s="28" t="str">
        <f t="shared" ref="S31:S32" si="53">REPT(CHAR(9),1)&amp;D31&amp;G31</f>
        <v xml:space="preserve">	lab</v>
      </c>
      <c r="T31" s="28" t="str">
        <f t="shared" ref="T31:T32" si="54">REPT(CHAR(9),3)&amp;"this."&amp;D31&amp;","</f>
        <v xml:space="preserve">			this.lab,</v>
      </c>
      <c r="U31" s="28" t="str">
        <f t="shared" ref="U31:U32" si="55">IF(E31="int",REPT(CHAR(9),2)&amp;"this."&amp;D31&amp;" = 0,",REPT(CHAR(9),2)&amp;"this."&amp;D31&amp;" = '',")</f>
        <v xml:space="preserve">		this.lab = '',</v>
      </c>
      <c r="V31" s="28" t="str">
        <f t="shared" si="38"/>
        <v/>
      </c>
    </row>
    <row r="32" spans="1:22" ht="18" customHeight="1" x14ac:dyDescent="0.25">
      <c r="A32" s="68" t="s">
        <v>373</v>
      </c>
      <c r="B32" s="28" t="str">
        <f>SUBSTITUTE(PROPER(A32),"_","")</f>
        <v>Rab</v>
      </c>
      <c r="C32" s="28" t="str">
        <f>SUBSTITUTE(PROPER(A32),"_"," ")</f>
        <v>Rab</v>
      </c>
      <c r="D32" s="28" t="str">
        <f>LOWER(LEFT(B32,1))&amp;RIGHT(B32,LEN(B32) - 1)</f>
        <v>rab</v>
      </c>
      <c r="E32" s="28">
        <f>A.Backend!H42</f>
        <v>0</v>
      </c>
      <c r="F32" s="28">
        <f>A.Backend!G42</f>
        <v>0</v>
      </c>
      <c r="G32" s="28" t="str">
        <f t="shared" si="42"/>
        <v/>
      </c>
      <c r="H32" s="35" t="str">
        <f t="shared" si="34"/>
        <v xml:space="preserve">			{headerName: this.l('Rab'),headerTooltip: this.l('Rab'),field: 'rab',flex: 1},</v>
      </c>
      <c r="I32" s="35" t="str">
        <f t="shared" si="35"/>
        <v/>
      </c>
      <c r="J32" s="28"/>
      <c r="K32" s="35" t="str">
        <f t="shared" si="36"/>
        <v/>
      </c>
      <c r="L32" s="56" t="str">
        <f>IF(E32="DateTime",
REPT(CHAR(9),2)&amp;"const dateValue =  this.rowdata."&amp;D32&amp;" ? new Date(this.rowdata."&amp;D32&amp;"?.toString()) : new Date();
"&amp;REPT(CHAR(9),2)&amp;"this.datepicker?.bsValueChange.emit(dateValue);","")</f>
        <v/>
      </c>
      <c r="M32" s="28"/>
      <c r="N32" s="28"/>
      <c r="O32" s="28"/>
      <c r="P32" s="28"/>
      <c r="Q32" s="28"/>
      <c r="R32" s="28"/>
      <c r="S32" s="28" t="str">
        <f t="shared" si="53"/>
        <v xml:space="preserve">	rab</v>
      </c>
      <c r="T32" s="28" t="str">
        <f t="shared" si="54"/>
        <v xml:space="preserve">			this.rab,</v>
      </c>
      <c r="U32" s="28" t="str">
        <f t="shared" si="55"/>
        <v xml:space="preserve">		this.rab = '',</v>
      </c>
      <c r="V32" s="28" t="str">
        <f t="shared" si="38"/>
        <v/>
      </c>
    </row>
    <row r="33" spans="1:22" ht="15" customHeight="1" x14ac:dyDescent="0.25">
      <c r="A33" s="68" t="s">
        <v>374</v>
      </c>
      <c r="B33" s="28" t="str">
        <f t="shared" ref="B33:B36" si="56">SUBSTITUTE(PROPER(A33),"_","")</f>
        <v>Kab</v>
      </c>
      <c r="C33" s="28" t="str">
        <f t="shared" ref="C33:C36" si="57">SUBSTITUTE(PROPER(A33),"_"," ")</f>
        <v>Kab</v>
      </c>
      <c r="D33" s="28" t="str">
        <f t="shared" ref="D33:D36" si="58">LOWER(LEFT(B33,1))&amp;RIGHT(B33,LEN(B33) - 1)</f>
        <v>kab</v>
      </c>
      <c r="E33" s="28">
        <f>A.Backend!H43</f>
        <v>0</v>
      </c>
      <c r="F33" s="28">
        <f>A.Backend!G43</f>
        <v>0</v>
      </c>
      <c r="G33" s="28" t="str">
        <f t="shared" si="42"/>
        <v/>
      </c>
      <c r="H33" s="35" t="str">
        <f t="shared" ref="H33:H40" si="59">IF(E33="DateTime",
REPT(CHAR(9),3)&amp;"{headerName: this.l('"&amp;C33&amp;"'),headerTooltip: this.l('"&amp;C33&amp;"'),field: '"&amp;D33&amp;"',valueGetter: (params) =&gt; this.pipe.transform(params.data?."&amp;D33&amp;", 'dd/MM/yyyy'),flex: 1},",
IF(AND(E33="string",F33="1"),
REPT(CHAR(9),3)&amp;"{headerName: this.l('"&amp;C33&amp;"'),headerTooltip: this.l('"&amp;C33&amp;"'),field:  '"&amp;D33&amp;"', cellClass: ['text-center'], width: 120, cellRenderer: 'agCellButtonComponent',
buttonDefTwo: { text: params =&gt; (params.data?.'"&amp;D33&amp;"' == 'Y') ? 'Active' : 'Inactive',iconName: 'fa fa-circle',className: params =&gt; (params.data?.'"&amp;D33&amp;"' == 'Y') ? 'btnActive' : 'btnInActive',},}",
REPT(CHAR(9),3)&amp;"{headerName: this.l('"&amp;C33&amp;"'),headerTooltip: this.l('"&amp;C33&amp;"'),field: '"&amp;D33&amp;"',flex: 1},"))</f>
        <v xml:space="preserve">			{headerName: this.l('Kab'),headerTooltip: this.l('Kab'),field: 'kab',flex: 1},</v>
      </c>
      <c r="I33" s="35" t="str">
        <f t="shared" ref="I33:I40" si="60">IF(E33="DateTime",
REPT(CHAR(9),8)&amp;"&lt;div class='input-search'&gt;
"&amp;REPT(CHAR(9),9)&amp;"&lt;input type='text' [placeholder]=""l('"&amp;C33&amp;"')"" [(ngModel)]='"&amp;D33&amp;"' 
"&amp;REPT(CHAR(9),9)&amp;"name='"&amp;D33&amp;"'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IF(E33="string",
REPT(CHAR(9),8)&amp;"&lt;div class='input-search'&gt;
"&amp;REPT(CHAR(9),9)&amp;"&lt;input [(ngModel)]='"&amp;D33&amp;"' name='"&amp;D33&amp;"'
"&amp;REPT(CHAR(9),9)&amp;"class='form-control' [placeholder]=""l('"&amp;C33&amp;"')""
"&amp;REPT(CHAR(9),9)&amp;"type='text' (keyup.enter)='searchDatas()'&gt;
"&amp;REPT(CHAR(9),8)&amp;"&lt;/div&gt;",""))</f>
        <v/>
      </c>
      <c r="J33" s="28"/>
      <c r="K33" s="35" t="str">
        <f t="shared" ref="K33:K40" si="61">IF(OR(E33="DateTime",E33="TimeSpan"),
REPT(CHAR(9),5)&amp;"&lt;div class='col-md-12 form-group row'&gt;
"&amp;REPT(CHAR(9),6)&amp;"&lt;label class='col-md-2 form-control title'&gt;"&amp;C33&amp;"&lt;/label&gt;
"&amp;REPT(CHAR(9),6)&amp;"&lt;input type='text' class='col-md-10 form-control input-text' name='"&amp;D33&amp;"' 
"&amp;REPT(CHAR(9),6)&amp;"#datepicker='bsDatepicker' [(ngModel)]='rowdata."&amp;D33&amp;"'  bsDatepicker &gt;
"&amp;REPT(CHAR(9),5)&amp;"&lt;/div&gt;",
IF(AND(E33="string",F33="1"),
REPT(CHAR(9),5)&amp;"&lt;div class='col-md-12 form-group row'&gt;
"&amp;REPT(CHAR(9),6)&amp;"&lt;label class='col-md-2 form-control title'&gt;"&amp;C33&amp;"&lt;/label&gt;
"&amp;REPT(CHAR(9),6)&amp;"&lt;new-checkbox [(ngModel)]='_"&amp;D33&amp;"' name='"&amp;D33&amp;"' className='col-md-10' &gt; &lt;/new-checkbox&gt;
"&amp;REPT(CHAR(9),5)&amp;"&lt;/div&gt;",
IF(E33="string",
REPT(CHAR(9),5)&amp;"&lt;div class='col-md-12 form-group row'&gt;
"&amp;REPT(CHAR(9),6)&amp;"&lt;label class='col-md-2 form-control title'&gt;"&amp;C33&amp;"&lt;/label&gt;
"&amp;REPT(CHAR(9),6)&amp;"&lt;input type='text' class='col-md-10 form-control input-text' name='"&amp;B33&amp;"' [(ngModel)]='rowdata."&amp;D33&amp;"'&gt;
"&amp;REPT(CHAR(9),5)&amp;"&lt;/div&gt;",
IF(E33="int",
REPT(CHAR(9),5)&amp;"&lt;div class='col-md-12 form-group row'&gt;
"&amp;REPT(CHAR(9),6)&amp;"&lt;label class='col-md-2 form-control title'&gt;"&amp;C33&amp;"&lt;/label&gt;
"&amp;REPT(CHAR(9),6)&amp;"&lt;input type='number' class='col-md-10 form-control input-text' name='"&amp;B33&amp;"' [(ngModel)]='rowdata."&amp;D33&amp;"'&gt;
"&amp;REPT(CHAR(9),5)&amp;"&lt;/div&gt;",""))))</f>
        <v/>
      </c>
      <c r="L33" s="56" t="str">
        <f t="shared" ref="L33:L36" si="62">IF(E33="DateTime",
REPT(CHAR(9),2)&amp;"const dateValue =  this.rowdata."&amp;D33&amp;" ? new Date(this.rowdata."&amp;D33&amp;"?.toString()) : new Date();
"&amp;REPT(CHAR(9),2)&amp;"this.datepicker?.bsValueChange.emit(dateValue);","")</f>
        <v/>
      </c>
      <c r="M33" s="28"/>
      <c r="N33" s="28"/>
      <c r="O33" s="28"/>
      <c r="P33" s="28"/>
      <c r="Q33" s="28"/>
      <c r="R33" s="28"/>
      <c r="S33" s="28" t="str">
        <f>REPT(CHAR(9),1)&amp;D33&amp;G33</f>
        <v xml:space="preserve">	kab</v>
      </c>
      <c r="T33" s="28" t="str">
        <f>REPT(CHAR(9),3)&amp;"this."&amp;D33&amp;","</f>
        <v xml:space="preserve">			this.kab,</v>
      </c>
      <c r="U33" s="28" t="str">
        <f>IF(E33="int",REPT(CHAR(9),2)&amp;"this."&amp;D33&amp;" = 0,",REPT(CHAR(9),2)&amp;"this."&amp;D33&amp;" = '',")</f>
        <v xml:space="preserve">		this.kab = '',</v>
      </c>
      <c r="V33" s="28" t="str">
        <f t="shared" ref="V33:V40" si="63">IF(AND(E33="string",F33="1"),D33,"")</f>
        <v/>
      </c>
    </row>
    <row r="34" spans="1:22" ht="18" customHeight="1" x14ac:dyDescent="0.25">
      <c r="A34" s="68" t="s">
        <v>375</v>
      </c>
      <c r="B34" s="28" t="str">
        <f t="shared" si="56"/>
        <v>IsFcLabel</v>
      </c>
      <c r="C34" s="28" t="str">
        <f t="shared" si="57"/>
        <v>Is Fc Label</v>
      </c>
      <c r="D34" s="28" t="str">
        <f t="shared" si="58"/>
        <v>isFcLabel</v>
      </c>
      <c r="E34" s="28">
        <f>A.Backend!H44</f>
        <v>0</v>
      </c>
      <c r="F34" s="28">
        <f>A.Backend!G44</f>
        <v>0</v>
      </c>
      <c r="G34" s="28" t="str">
        <f t="shared" si="42"/>
        <v/>
      </c>
      <c r="H34" s="35" t="str">
        <f t="shared" si="59"/>
        <v xml:space="preserve">			{headerName: this.l('Is Fc Label'),headerTooltip: this.l('Is Fc Label'),field: 'isFcLabel',flex: 1},</v>
      </c>
      <c r="I34" s="35" t="str">
        <f t="shared" si="60"/>
        <v/>
      </c>
      <c r="J34" s="28"/>
      <c r="K34" s="35" t="str">
        <f t="shared" si="61"/>
        <v/>
      </c>
      <c r="L34" s="56" t="str">
        <f t="shared" si="62"/>
        <v/>
      </c>
      <c r="M34" s="28"/>
      <c r="N34" s="28"/>
      <c r="O34" s="28"/>
      <c r="P34" s="28"/>
      <c r="Q34" s="28"/>
      <c r="R34" s="28"/>
      <c r="S34" s="28" t="str">
        <f t="shared" ref="S34" si="64">REPT(CHAR(9),1)&amp;D34&amp;G34</f>
        <v xml:space="preserve">	isFcLabel</v>
      </c>
      <c r="T34" s="28" t="str">
        <f t="shared" ref="T34" si="65">REPT(CHAR(9),3)&amp;"this."&amp;D34&amp;","</f>
        <v xml:space="preserve">			this.isFcLabel,</v>
      </c>
      <c r="U34" s="28" t="str">
        <f t="shared" ref="U34" si="66">IF(E34="int",REPT(CHAR(9),2)&amp;"this."&amp;D34&amp;" = 0,",REPT(CHAR(9),2)&amp;"this."&amp;D34&amp;" = '',")</f>
        <v xml:space="preserve">		this.isFcLabel = '',</v>
      </c>
      <c r="V34" s="28" t="str">
        <f t="shared" si="63"/>
        <v/>
      </c>
    </row>
    <row r="35" spans="1:22" ht="15" customHeight="1" x14ac:dyDescent="0.25">
      <c r="A35" s="68" t="s">
        <v>376</v>
      </c>
      <c r="B35" s="28" t="str">
        <f t="shared" si="56"/>
        <v>IsActive</v>
      </c>
      <c r="C35" s="28" t="str">
        <f t="shared" si="57"/>
        <v>Is Active</v>
      </c>
      <c r="D35" s="28" t="str">
        <f t="shared" si="58"/>
        <v>isActive</v>
      </c>
      <c r="E35" s="28">
        <f>A.Backend!H45</f>
        <v>0</v>
      </c>
      <c r="F35" s="28">
        <f>A.Backend!G45</f>
        <v>0</v>
      </c>
      <c r="G35" s="28" t="str">
        <f t="shared" si="42"/>
        <v/>
      </c>
      <c r="H35" s="35" t="str">
        <f t="shared" si="59"/>
        <v xml:space="preserve">			{headerName: this.l('Is Active'),headerTooltip: this.l('Is Active'),field: 'isActive',flex: 1},</v>
      </c>
      <c r="I35" s="35" t="str">
        <f t="shared" si="60"/>
        <v/>
      </c>
      <c r="J35" s="28"/>
      <c r="K35" s="35" t="str">
        <f t="shared" si="61"/>
        <v/>
      </c>
      <c r="L35" s="56" t="str">
        <f t="shared" si="62"/>
        <v/>
      </c>
      <c r="M35" s="28"/>
      <c r="N35" s="28"/>
      <c r="O35" s="28"/>
      <c r="P35" s="28"/>
      <c r="Q35" s="28"/>
      <c r="R35" s="28"/>
      <c r="S35" s="28" t="str">
        <f>REPT(CHAR(9),1)&amp;D35&amp;G35</f>
        <v xml:space="preserve">	isActive</v>
      </c>
      <c r="T35" s="28" t="str">
        <f>REPT(CHAR(9),3)&amp;"this."&amp;D35&amp;","</f>
        <v xml:space="preserve">			this.isActive,</v>
      </c>
      <c r="U35" s="28" t="str">
        <f>IF(E35="int",REPT(CHAR(9),2)&amp;"this."&amp;D35&amp;" = 0,",REPT(CHAR(9),2)&amp;"this."&amp;D35&amp;" = '',")</f>
        <v xml:space="preserve">		this.isActive = '',</v>
      </c>
      <c r="V35" s="28" t="str">
        <f t="shared" si="63"/>
        <v/>
      </c>
    </row>
    <row r="36" spans="1:22" ht="18" customHeight="1" x14ac:dyDescent="0.25">
      <c r="A36" s="68" t="s">
        <v>377</v>
      </c>
      <c r="B36" s="28" t="str">
        <f t="shared" si="56"/>
        <v>R</v>
      </c>
      <c r="C36" s="28" t="str">
        <f t="shared" si="57"/>
        <v>R</v>
      </c>
      <c r="D36" s="28" t="str">
        <f t="shared" si="58"/>
        <v>r</v>
      </c>
      <c r="E36" s="28">
        <f>A.Backend!H46</f>
        <v>0</v>
      </c>
      <c r="F36" s="28">
        <f>A.Backend!G46</f>
        <v>0</v>
      </c>
      <c r="G36" s="28" t="str">
        <f t="shared" si="42"/>
        <v/>
      </c>
      <c r="H36" s="35" t="str">
        <f t="shared" si="59"/>
        <v xml:space="preserve">			{headerName: this.l('R'),headerTooltip: this.l('R'),field: 'r',flex: 1},</v>
      </c>
      <c r="I36" s="35" t="str">
        <f t="shared" si="60"/>
        <v/>
      </c>
      <c r="J36" s="28"/>
      <c r="K36" s="35" t="str">
        <f t="shared" si="61"/>
        <v/>
      </c>
      <c r="L36" s="56" t="str">
        <f t="shared" si="62"/>
        <v/>
      </c>
      <c r="M36" s="28"/>
      <c r="N36" s="28"/>
      <c r="O36" s="28"/>
      <c r="P36" s="28"/>
      <c r="Q36" s="28"/>
      <c r="R36" s="28"/>
      <c r="S36" s="28" t="str">
        <f t="shared" ref="S36:S37" si="67">REPT(CHAR(9),1)&amp;D36&amp;G36</f>
        <v xml:space="preserve">	r</v>
      </c>
      <c r="T36" s="28" t="str">
        <f t="shared" ref="T36:T37" si="68">REPT(CHAR(9),3)&amp;"this."&amp;D36&amp;","</f>
        <v xml:space="preserve">			this.r,</v>
      </c>
      <c r="U36" s="28" t="str">
        <f t="shared" ref="U36:U37" si="69">IF(E36="int",REPT(CHAR(9),2)&amp;"this."&amp;D36&amp;" = 0,",REPT(CHAR(9),2)&amp;"this."&amp;D36&amp;" = '',")</f>
        <v xml:space="preserve">		this.r = '',</v>
      </c>
      <c r="V36" s="28" t="str">
        <f t="shared" si="63"/>
        <v/>
      </c>
    </row>
    <row r="37" spans="1:22" ht="18" customHeight="1" x14ac:dyDescent="0.25">
      <c r="A37" s="68" t="s">
        <v>378</v>
      </c>
      <c r="B37" s="28" t="str">
        <f>SUBSTITUTE(PROPER(A37),"_","")</f>
        <v>G</v>
      </c>
      <c r="C37" s="28" t="str">
        <f>SUBSTITUTE(PROPER(A37),"_"," ")</f>
        <v>G</v>
      </c>
      <c r="D37" s="28" t="str">
        <f>LOWER(LEFT(B37,1))&amp;RIGHT(B37,LEN(B37) - 1)</f>
        <v>g</v>
      </c>
      <c r="E37" s="28">
        <f>A.Backend!H47</f>
        <v>0</v>
      </c>
      <c r="F37" s="28">
        <f>A.Backend!G47</f>
        <v>0</v>
      </c>
      <c r="G37" s="28" t="str">
        <f t="shared" si="42"/>
        <v/>
      </c>
      <c r="H37" s="35" t="str">
        <f t="shared" si="59"/>
        <v xml:space="preserve">			{headerName: this.l('G'),headerTooltip: this.l('G'),field: 'g',flex: 1},</v>
      </c>
      <c r="I37" s="35" t="str">
        <f t="shared" si="60"/>
        <v/>
      </c>
      <c r="J37" s="28"/>
      <c r="K37" s="35" t="str">
        <f t="shared" si="61"/>
        <v/>
      </c>
      <c r="L37" s="56" t="str">
        <f>IF(E37="DateTime",
REPT(CHAR(9),2)&amp;"const dateValue =  this.rowdata."&amp;D37&amp;" ? new Date(this.rowdata."&amp;D37&amp;"?.toString()) : new Date();
"&amp;REPT(CHAR(9),2)&amp;"this.datepicker?.bsValueChange.emit(dateValue);","")</f>
        <v/>
      </c>
      <c r="M37" s="28"/>
      <c r="N37" s="28"/>
      <c r="O37" s="28"/>
      <c r="P37" s="28"/>
      <c r="Q37" s="28"/>
      <c r="R37" s="28"/>
      <c r="S37" s="28" t="str">
        <f t="shared" si="67"/>
        <v xml:space="preserve">	g</v>
      </c>
      <c r="T37" s="28" t="str">
        <f t="shared" si="68"/>
        <v xml:space="preserve">			this.g,</v>
      </c>
      <c r="U37" s="28" t="str">
        <f t="shared" si="69"/>
        <v xml:space="preserve">		this.g = '',</v>
      </c>
      <c r="V37" s="28" t="str">
        <f t="shared" si="63"/>
        <v/>
      </c>
    </row>
    <row r="38" spans="1:22" ht="15" customHeight="1" x14ac:dyDescent="0.25">
      <c r="A38" s="68" t="s">
        <v>379</v>
      </c>
      <c r="B38" s="28" t="str">
        <f t="shared" ref="B38:B40" si="70">SUBSTITUTE(PROPER(A38),"_","")</f>
        <v>B</v>
      </c>
      <c r="C38" s="28" t="str">
        <f t="shared" ref="C38:C40" si="71">SUBSTITUTE(PROPER(A38),"_"," ")</f>
        <v>B</v>
      </c>
      <c r="D38" s="28" t="str">
        <f t="shared" ref="D38:D40" si="72">LOWER(LEFT(B38,1))&amp;RIGHT(B38,LEN(B38) - 1)</f>
        <v>b</v>
      </c>
      <c r="E38" s="28">
        <f>A.Backend!H48</f>
        <v>0</v>
      </c>
      <c r="F38" s="28">
        <f>A.Backend!G48</f>
        <v>0</v>
      </c>
      <c r="G38" s="28" t="str">
        <f t="shared" si="42"/>
        <v/>
      </c>
      <c r="H38" s="35" t="str">
        <f t="shared" si="59"/>
        <v xml:space="preserve">			{headerName: this.l('B'),headerTooltip: this.l('B'),field: 'b',flex: 1},</v>
      </c>
      <c r="I38" s="35" t="str">
        <f t="shared" si="60"/>
        <v/>
      </c>
      <c r="J38" s="28"/>
      <c r="K38" s="35" t="str">
        <f t="shared" si="61"/>
        <v/>
      </c>
      <c r="L38" s="56" t="str">
        <f t="shared" ref="L38:L40" si="73">IF(E38="DateTime",
REPT(CHAR(9),2)&amp;"const dateValue =  this.rowdata."&amp;D38&amp;" ? new Date(this.rowdata."&amp;D38&amp;"?.toString()) : new Date();
"&amp;REPT(CHAR(9),2)&amp;"this.datepicker?.bsValueChange.emit(dateValue);","")</f>
        <v/>
      </c>
      <c r="M38" s="28"/>
      <c r="N38" s="28"/>
      <c r="O38" s="28"/>
      <c r="P38" s="28"/>
      <c r="Q38" s="28"/>
      <c r="R38" s="28"/>
      <c r="S38" s="28" t="str">
        <f>REPT(CHAR(9),1)&amp;D38&amp;G38</f>
        <v xml:space="preserve">	b</v>
      </c>
      <c r="T38" s="28" t="str">
        <f>REPT(CHAR(9),3)&amp;"this."&amp;D38&amp;","</f>
        <v xml:space="preserve">			this.b,</v>
      </c>
      <c r="U38" s="28" t="str">
        <f>IF(E38="int",REPT(CHAR(9),2)&amp;"this."&amp;D38&amp;" = 0,",REPT(CHAR(9),2)&amp;"this."&amp;D38&amp;" = '',")</f>
        <v xml:space="preserve">		this.b = '',</v>
      </c>
      <c r="V38" s="28" t="str">
        <f t="shared" si="63"/>
        <v/>
      </c>
    </row>
    <row r="39" spans="1:22" ht="18" customHeight="1" x14ac:dyDescent="0.25">
      <c r="A39" s="68" t="s">
        <v>380</v>
      </c>
      <c r="B39" s="28" t="str">
        <f t="shared" si="70"/>
        <v>Clab</v>
      </c>
      <c r="C39" s="28" t="str">
        <f t="shared" si="71"/>
        <v>Clab</v>
      </c>
      <c r="D39" s="28" t="str">
        <f t="shared" si="72"/>
        <v>clab</v>
      </c>
      <c r="E39" s="28">
        <f>A.Backend!H49</f>
        <v>0</v>
      </c>
      <c r="F39" s="28">
        <f>A.Backend!G49</f>
        <v>0</v>
      </c>
      <c r="G39" s="28" t="str">
        <f t="shared" si="42"/>
        <v/>
      </c>
      <c r="H39" s="35" t="str">
        <f t="shared" si="59"/>
        <v xml:space="preserve">			{headerName: this.l('Clab'),headerTooltip: this.l('Clab'),field: 'clab',flex: 1},</v>
      </c>
      <c r="I39" s="35" t="str">
        <f t="shared" si="60"/>
        <v/>
      </c>
      <c r="J39" s="28"/>
      <c r="K39" s="35" t="str">
        <f t="shared" si="61"/>
        <v/>
      </c>
      <c r="L39" s="56" t="str">
        <f t="shared" si="73"/>
        <v/>
      </c>
      <c r="M39" s="28"/>
      <c r="N39" s="28"/>
      <c r="O39" s="28"/>
      <c r="P39" s="28"/>
      <c r="Q39" s="28"/>
      <c r="R39" s="28"/>
      <c r="S39" s="28" t="str">
        <f t="shared" ref="S39" si="74">REPT(CHAR(9),1)&amp;D39&amp;G39</f>
        <v xml:space="preserve">	clab</v>
      </c>
      <c r="T39" s="28" t="str">
        <f t="shared" ref="T39" si="75">REPT(CHAR(9),3)&amp;"this."&amp;D39&amp;","</f>
        <v xml:space="preserve">			this.clab,</v>
      </c>
      <c r="U39" s="28" t="str">
        <f t="shared" ref="U39" si="76">IF(E39="int",REPT(CHAR(9),2)&amp;"this."&amp;D39&amp;" = 0,",REPT(CHAR(9),2)&amp;"this."&amp;D39&amp;" = '',")</f>
        <v xml:space="preserve">		this.clab = '',</v>
      </c>
      <c r="V39" s="28" t="str">
        <f t="shared" si="63"/>
        <v/>
      </c>
    </row>
    <row r="40" spans="1:22" ht="15" customHeight="1" x14ac:dyDescent="0.25">
      <c r="A40" s="68" t="s">
        <v>381</v>
      </c>
      <c r="B40" s="28" t="str">
        <f t="shared" si="70"/>
        <v>CharStr</v>
      </c>
      <c r="C40" s="28" t="str">
        <f t="shared" si="71"/>
        <v>Char Str</v>
      </c>
      <c r="D40" s="28" t="str">
        <f t="shared" si="72"/>
        <v>charStr</v>
      </c>
      <c r="E40" s="28">
        <f>A.Backend!H50</f>
        <v>0</v>
      </c>
      <c r="F40" s="28">
        <f>A.Backend!G50</f>
        <v>0</v>
      </c>
      <c r="G40" s="28" t="str">
        <f t="shared" si="42"/>
        <v/>
      </c>
      <c r="H40" s="35" t="str">
        <f t="shared" si="59"/>
        <v xml:space="preserve">			{headerName: this.l('Char Str'),headerTooltip: this.l('Char Str'),field: 'charStr',flex: 1},</v>
      </c>
      <c r="I40" s="35" t="str">
        <f t="shared" si="60"/>
        <v/>
      </c>
      <c r="J40" s="28"/>
      <c r="K40" s="35" t="str">
        <f t="shared" si="61"/>
        <v/>
      </c>
      <c r="L40" s="56" t="str">
        <f t="shared" si="73"/>
        <v/>
      </c>
      <c r="M40" s="28"/>
      <c r="N40" s="28"/>
      <c r="O40" s="28"/>
      <c r="P40" s="28"/>
      <c r="Q40" s="28"/>
      <c r="R40" s="28"/>
      <c r="S40" s="28" t="str">
        <f>REPT(CHAR(9),1)&amp;D40&amp;G40</f>
        <v xml:space="preserve">	charStr</v>
      </c>
      <c r="T40" s="28" t="str">
        <f>REPT(CHAR(9),3)&amp;"this."&amp;D40&amp;","</f>
        <v xml:space="preserve">			this.charStr,</v>
      </c>
      <c r="U40" s="28" t="str">
        <f>IF(E40="int",REPT(CHAR(9),2)&amp;"this."&amp;D40&amp;" = 0,",REPT(CHAR(9),2)&amp;"this."&amp;D40&amp;" = '',")</f>
        <v xml:space="preserve">		this.charStr = '',</v>
      </c>
      <c r="V40" s="28" t="str">
        <f t="shared" si="63"/>
        <v/>
      </c>
    </row>
    <row r="42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2023-04-14T08:18:05Z</dcterms:modified>
</cp:coreProperties>
</file>
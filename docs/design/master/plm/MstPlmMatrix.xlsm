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master\plm\"/>
    </mc:Choice>
  </mc:AlternateContent>
  <xr:revisionPtr revIDLastSave="0" documentId="13_ncr:1_{342EA2B8-8A01-4FAA-A465-8F89CEED15C7}" xr6:coauthVersionLast="47" xr6:coauthVersionMax="47" xr10:uidLastSave="{00000000-0000-0000-0000-000000000000}"/>
  <bookViews>
    <workbookView xWindow="19080" yWindow="-120" windowWidth="19440" windowHeight="1500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B18" i="5"/>
  <c r="D18" i="5" s="1"/>
  <c r="T18" i="5" s="1"/>
  <c r="B7" i="5" l="1"/>
  <c r="B6" i="5"/>
  <c r="B2" i="5"/>
  <c r="B8" i="5" l="1"/>
  <c r="B3" i="5"/>
  <c r="L12" i="1"/>
  <c r="G12" i="1"/>
  <c r="F18" i="5" s="1"/>
  <c r="E12" i="1"/>
  <c r="H12" i="1" s="1"/>
  <c r="E18" i="5" s="1"/>
  <c r="G18" i="5" s="1"/>
  <c r="D12" i="1"/>
  <c r="T12" i="1" s="1"/>
  <c r="L11" i="1"/>
  <c r="G11" i="1"/>
  <c r="F17" i="5" s="1"/>
  <c r="E11" i="1"/>
  <c r="H11" i="1" s="1"/>
  <c r="E17" i="5" s="1"/>
  <c r="G17" i="5" s="1"/>
  <c r="D11" i="1"/>
  <c r="V11" i="1" s="1"/>
  <c r="P11" i="1" l="1"/>
  <c r="W11" i="1"/>
  <c r="M12" i="1"/>
  <c r="N12" i="1"/>
  <c r="I12" i="1"/>
  <c r="W12" i="1"/>
  <c r="O12" i="1"/>
  <c r="J12" i="1"/>
  <c r="M11" i="1"/>
  <c r="T11" i="1"/>
  <c r="V12" i="1"/>
  <c r="I11" i="1"/>
  <c r="N11" i="1"/>
  <c r="P12" i="1"/>
  <c r="J11" i="1"/>
  <c r="O11" i="1"/>
  <c r="C17" i="5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H18" i="5" l="1"/>
  <c r="S18" i="5"/>
  <c r="V18" i="5"/>
  <c r="U18" i="5"/>
  <c r="K18" i="5"/>
  <c r="I18" i="5"/>
  <c r="L18" i="5"/>
  <c r="S17" i="5"/>
  <c r="V17" i="5"/>
  <c r="U17" i="5"/>
  <c r="K17" i="5"/>
  <c r="I17" i="5"/>
  <c r="H17" i="5"/>
  <c r="L17" i="5"/>
  <c r="G9" i="1" l="1"/>
  <c r="F15" i="5" s="1"/>
  <c r="E9" i="1"/>
  <c r="H9" i="1" s="1"/>
  <c r="E15" i="5" s="1"/>
  <c r="D9" i="1"/>
  <c r="V9" i="1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R3" i="1" l="1"/>
  <c r="D1" i="1"/>
  <c r="F6" i="1"/>
  <c r="T14" i="1"/>
  <c r="T13" i="5"/>
  <c r="T7" i="1" l="1"/>
  <c r="W14" i="1"/>
  <c r="G6" i="1" l="1"/>
  <c r="U13" i="5"/>
  <c r="I13" i="5"/>
  <c r="L13" i="5"/>
  <c r="V13" i="5"/>
  <c r="S13" i="5"/>
  <c r="H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s="1"/>
  <c r="L10" i="1" l="1"/>
  <c r="C7" i="1"/>
  <c r="O14" i="1"/>
  <c r="I14" i="1"/>
  <c r="N14" i="1"/>
  <c r="P14" i="1"/>
  <c r="J14" i="1"/>
  <c r="Q7" i="1" l="1"/>
  <c r="M68" i="3" s="1"/>
  <c r="L7" i="1"/>
  <c r="G68" i="3" s="1"/>
  <c r="K68" i="3"/>
  <c r="J68" i="3"/>
  <c r="K14" i="1"/>
  <c r="M1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<sst xmlns="http://schemas.openxmlformats.org/spreadsheetml/2006/main" count="449" uniqueCount="363">
  <si>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</si>
  <si>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</si>
  <si>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</si>
  <si>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</si>
  <si>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</si>
  <si>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</si>
  <si>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</si>
  <si>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</si>
  <si>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</si>
  <si>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</si>
  <si>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</si>
  <si>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</si>
  <si>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</si>
  <si>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</si>
  <si>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</si>
  <si>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</si>
  <si>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</si>
  <si>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</si>
  <si>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</si>
  <si>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</si>
  <si>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</si>
  <si>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</si>
  <si>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</si>
  <si>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</si>
  <si>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</si>
  <si>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</si>
  <si>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</si>
  <si>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</si>
  <si>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</si>
  <si>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</si>
  <si>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</si>
  <si>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</si>
  <si>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</si>
  <si>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</si>
  <si>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</si>
  <si>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</si>
  <si>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</si>
  <si>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</si>
  <si>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</si>
  <si>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</si>
  <si>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</si>
  <si>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</si>
  <si>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</si>
  <si>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</si>
  <si>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</si>
  <si>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</si>
  <si>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</si>
  <si>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</si>
  <si>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</si>
  <si>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</si>
  <si>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</si>
  <si>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</si>
  <si>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</si>
  <si>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</si>
  <si>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</si>
  <si>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</si>
  <si>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</si>
  <si>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</si>
  <si>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</si>
  <si>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</si>
  <si>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</si>
  <si>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</si>
  <si>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</si>
  <si>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</si>
  <si>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</si>
  <si>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</si>
  <si>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</si>
  <si>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</si>
  <si>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</si>
  <si>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</si>
  <si>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</si>
  <si>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</si>
  <si>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</si>
  <si>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</si>
  <si>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</si>
  <si>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</si>
  <si>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</si>
  <si>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</si>
  <si>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</si>
  <si>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</si>
  <si>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</si>
  <si>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</si>
  <si>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</si>
  <si>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</si>
  <si>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</si>
  <si>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</si>
  <si>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</si>
  <si>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</si>
  <si>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</si>
  <si>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</si>
  <si>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</si>
  <si>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</si>
  <si>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</si>
  <si>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</si>
  <si>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</si>
  <si>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</si>
  <si>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</si>
  <si>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</si>
  <si>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</si>
  <si>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</si>
  <si>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</si>
  <si>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</si>
  <si>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</si>
  <si>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</si>
  <si>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</si>
  <si>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</si>
  <si>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</si>
  <si>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</si>
  <si>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</si>
  <si>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</si>
  <si>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</si>
  <si>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</si>
  <si>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</si>
  <si>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</si>
  <si>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</si>
  <si>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</si>
  <si>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</si>
  <si>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</si>
  <si>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</si>
  <si>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</si>
  <si>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</si>
  <si>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</si>
  <si>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</si>
  <si>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</si>
  <si>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</si>
  <si>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</si>
  <si>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</si>
  <si>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</si>
  <si>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</si>
  <si>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</si>
  <si>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</si>
  <si>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</si>
  <si>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</si>
  <si>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</si>
  <si>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</si>
  <si>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</si>
  <si>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</si>
  <si>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</si>
  <si>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</si>
  <si>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</si>
  <si>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</si>
  <si>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</si>
  <si>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</si>
  <si>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</si>
  <si>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</si>
  <si>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</si>
  <si>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</si>
  <si>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</si>
  <si>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</si>
  <si>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</si>
  <si>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</si>
  <si>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</si>
  <si>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</si>
  <si>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</si>
  <si>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</si>
  <si>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</si>
  <si>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</si>
  <si>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</si>
  <si>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</si>
  <si>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</si>
  <si>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</si>
  <si>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</si>
  <si>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</si>
  <si>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</si>
  <si>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</si>
  <si>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</si>
  <si>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</si>
  <si>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</si>
  <si>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</si>
  <si>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</si>
  <si>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</si>
  <si>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</si>
  <si>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</si>
  <si>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</si>
  <si>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</si>
  <si>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</si>
  <si>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</si>
  <si>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</si>
  <si>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</si>
  <si>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</si>
  <si>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</si>
  <si>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</si>
  <si>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</si>
  <si>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</si>
  <si>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</si>
  <si>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</si>
  <si>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</si>
  <si>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</si>
  <si>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</si>
  <si>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</si>
  <si>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</si>
  <si>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</si>
  <si>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</si>
  <si>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</si>
  <si>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</si>
  <si>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</si>
  <si>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</si>
  <si>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</si>
  <si>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</si>
  <si>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</si>
  <si>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</si>
  <si>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</si>
  <si>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</si>
  <si>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</si>
  <si>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</si>
  <si>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</si>
  <si>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</si>
  <si>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</si>
  <si>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</si>
  <si>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</si>
  <si>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</si>
  <si>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</si>
  <si>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</si>
  <si>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</si>
  <si>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</si>
  <si>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</si>
  <si>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</si>
  <si>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</si>
  <si>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</si>
  <si>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</si>
  <si>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</si>
  <si>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</si>
  <si>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</si>
  <si>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</si>
  <si>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</si>
  <si>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</si>
  <si>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</si>
  <si>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</si>
  <si>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</si>
  <si>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</si>
  <si>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</si>
  <si>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</si>
  <si>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</si>
  <si>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</si>
  <si>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</si>
  <si>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</si>
  <si>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</si>
  <si>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</si>
  <si>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</si>
  <si>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</si>
  <si>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</si>
  <si>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</si>
  <si>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</si>
  <si>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</si>
  <si>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</si>
  <si>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</si>
  <si>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</si>
  <si>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</si>
  <si>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</si>
  <si>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</si>
  <si>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</si>
  <si>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</si>
  <si>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</si>
  <si>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</si>
  <si>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</si>
  <si>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</si>
  <si>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</si>
  <si>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</si>
  <si>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</si>
  <si>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</si>
  <si>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</si>
  <si>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</si>
  <si>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</si>
  <si>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</si>
  <si>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</si>
  <si>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</si>
  <si>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</si>
  <si>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</si>
  <si>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</si>
  <si>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</si>
  <si>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</si>
  <si>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</si>
  <si>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</si>
  <si>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</si>
  <si>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</si>
  <si>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</si>
  <si>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</si>
  <si>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</si>
  <si>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</si>
  <si>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</si>
  <si>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</si>
  <si>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</si>
  <si>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</si>
  <si>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</si>
  <si>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</si>
  <si>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</si>
  <si>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</si>
  <si>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</si>
  <si>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</si>
  <si>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</si>
  <si>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</si>
  <si>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</si>
  <si>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</si>
  <si>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</si>
  <si>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</si>
  <si>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</si>
  <si>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</si>
  <si>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</si>
  <si>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</si>
  <si>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</si>
  <si>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</si>
  <si>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</si>
  <si>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</si>
  <si>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</si>
  <si>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</si>
  <si>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</si>
  <si>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</si>
  <si>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</si>
  <si>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</si>
  <si>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</si>
  <si>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</si>
  <si>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</si>
  <si>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</si>
  <si>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</si>
  <si>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</si>
  <si>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</si>
  <si>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</si>
  <si>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</si>
  <si>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</si>
  <si>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</si>
  <si>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</si>
  <si>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</si>
  <si>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</si>
  <si>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</si>
  <si>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</si>
  <si>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</si>
  <si>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</si>
  <si>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</si>
  <si>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</si>
  <si>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</si>
  <si>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</si>
  <si>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</si>
  <si>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</si>
  <si>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</si>
  <si>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</si>
  <si>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</si>
  <si>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</si>
  <si>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</si>
  <si>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</si>
  <si>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</si>
  <si>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</si>
  <si>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</si>
  <si>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</si>
  <si>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</si>
  <si>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</si>
  <si>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</si>
  <si>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</si>
  <si>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</si>
  <si>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</si>
  <si>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</si>
  <si>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</si>
  <si>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</si>
  <si>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</si>
  <si>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</si>
  <si>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</si>
  <si>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Master.Plm</t>
  </si>
  <si>
    <t>Y</t>
  </si>
  <si>
    <t>SCREEN_ID</t>
  </si>
  <si>
    <t>PART_ID</t>
  </si>
  <si>
    <t>ORDERING</t>
  </si>
  <si>
    <t>SIDE_ID</t>
  </si>
  <si>
    <t>MasterPlmMatrix</t>
  </si>
  <si>
    <t>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</si>
</sst>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1" zoomScaleNormal="100" workbookViewId="0">
      <selection activeCell="D81" sqref="D81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[Table("MasterPlmMatrix")]
	[Index(nameof(ScreenId), Name="IX_MasterPlmMatrix_ScreenId")]
	[Index(nameof(PartId), Name="IX_MasterPlmMatrix_PartId")]
	public class MasterPlmMatrix: FullAuditedEntity&lt;long&gt;, IEntity&lt;long&gt;	
	{
		public virtual int? ScreenId { get; set; }
		public virtual int? PartId { get; set; }
		public virtual int? Ordering { get; set; }
		public virtual int? SideId { get; set; }
	}
}
</v>
      </c>
      <c r="D68" s="48" t="str">
        <f>A.Backend!O7</f>
        <v xml:space="preserve">		public const string Pages_Master_Plm_Matrix = "Pages.Master.Plm.Matrix";
		public const string Pages_Master_Plm_Matrix_CreateEdit = "Pages.Master.Plm.Matrix.CreateEdit";
		public const string Pages_Master_Plm_Matrix_Delete = "Pages.Master.Plm.Matrix.Delete";
</v>
      </c>
      <c r="E68" s="48" t="str">
        <f>A.Backend!N7</f>
        <v xml:space="preserve">		var perMasterPlmMatrix = PARENTS.CreateChildPermission(AppPermissions.Pages_Master_Plm_Matrix, L( "MasterPlmMatrix"), multiTenancySides: MultiTenancySides.Tenant);
		perMasterPlmMatrix.CreateChildPermission(AppPermissions.Pages_Master_Plm_Matrix_CreateEdit, L( "MasterPlmMatrixCreateEdit"), multiTenancySides: MultiTenancySides.Tenant);
		perMasterPlmMatrix.CreateChildPermission(AppPermissions.Pages_Master_Plm_Matrix_Delete, L( "MasterPlmMatrixDelete"), multiTenancySides: MultiTenancySides.Tenant);</v>
      </c>
      <c r="F68" s="48" t="str">
        <f>A.Backend!K7</f>
        <v>public virtual DbSet&lt;MasterPlmMatrix&gt; MasterPlmMatrixs { get; set; }</v>
      </c>
      <c r="G68" s="48" t="str">
        <f ca="1">A.Backend!L7</f>
        <v xml:space="preserve">namespace prod.Master.Plm
{
	public class MasterPlmMatrixConsts	
	{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prod.Master.Plm.Dto
{
	public class MasterPlmMatrixDto : EntityDto&lt;long?&gt;	
	{
		public virtual int? ScreenId { get; set; }
		public virtual int? PartId { get; set; }
		public virtual int? Ordering { get; set; }
		public virtual int? SideId { get; set; }
	}
	public class CreateOrEditMasterPlmMatrixDto : EntityDto&lt;long?&gt;	
	{
		public virtual int? ScreenId { get; set; }
		public virtual int? PartId { get; set; }
		public virtual int? Ordering { get; set; }
		public virtual int? SideId { get; set; }
	}
	public class GetMasterPlmMatrixInput : PagedAndSortedResultRequestDto	
	{
	}
}
</v>
      </c>
      <c r="I68" s="48" t="str">
        <f ca="1">A.Backend!R7</f>
        <v xml:space="preserve">using Abp.Application.Services.Dto;
using System;
using System.ComponentModel.DataAnnotations;
namespace prod.Master.Plm.Dto
{
	public class MasterPlmMatrixExportInput{
		public virtual int? ScreenId { get; set; }
		public virtual int? PartId { get; set; }
		public virtual int? Ordering { get; set; }
		public virtual int? SideId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vovina.Master.Plm.Dto;
namespace prod.Master.Plm
{
	public interface IMasterPlmMatrixAppService : IApplicationService
	{
		Task&lt;PagedResultDto&lt;MasterPlmMatrixDto&gt;&gt; GetAll(GetMasterPlmMatrixInput input);
		Task CreateOrEdit(CreateOrEditMasterPlmMatrixDto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IMasterPlmMatrixExcelExporter : IApplicationService
	{
		FileDto ExportToFile(List&lt;MasterPlmMatrixDto&gt; masterplmmatrix);
	}
}
</v>
      </c>
      <c r="L68" s="48" t="str">
        <f ca="1">A.Backend!T7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MasterPlmMatrixExcelExporter : NpoiExcelExporterBase, IMasterPlmMatrixExcelExporter
    {
        public MasterPlmMatrixExcelExporter(ITempFileCacheManager tempFileCacheManager) : base(tempFileCacheManager) { }
        public FileDto ExportToFile(List&lt;MasterPlmMatrixDto&gt; matrix)
        {
            return CreateExcelPackage(
				"MasterPlmMatrix.xlsx",
				excelPackage =&gt;
				 {
					var sheet = excelPackage.CreateSheet("Matrix");
					AddHeader(
								sheet,
								("ScreenId"),
								("PartId"),
								("Ordering"),
								("SideId"),
							   );
					AddObjects(
						 sheet, 1, matrix,                                       
								_ =&gt; _.ScreenId,
								_ =&gt; _.PartId,
								_ =&gt; _.Ordering,
								_ =&gt; _.SideId,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[AbpAuthorize(AppPermissions.Pages_Master_Plm_Matrix)]
    public class MasterPlmMatrixAppService : vovinaAppServiceBase, IMasterPlmMatrixAppService
    {
        private readonly IDapperRepository&lt;MasterPlmMatrix, long&gt; _dapperRepo;
        private readonly IRepository&lt;MasterPlmMatrix, long&gt; _repo;
        private readonly IMasterPlmMatrixExcelExporter _calendarListExcelExporter;
        public MasterPlmMatrixAppService(IRepository&lt;MasterPlmMatrix,long&gt; repo, 
                                         IDapperRepository&lt;MasterPlmMatrix,long&gt; dapperRepo,
                                        IMasterPlmMatrixExcelExporter calendarListExcelExporter
            )
        {
            _repo = repo;
            _dapperRepo = dapperRepo;
            _calendarListExcelExporter = calendarListExcelExporter;
        }
        [AbpAuthorize(AppPermissions.Pages_Master_Plm_Matrix_CreateEdit)]
        public async Task CreateOrEdit(CreateOrEditMasterPlmMatrixDto input)
        {
            if (input.Id == null) await Create(input);
            else await Update(input);
        }
        //CREATE
        private async Task Create(CreateOrEditMasterPlmMatrixDto input)
        {          
            var mainObj = ObjectMapper.Map&lt;MasterPlmMatrix&gt;(input);
            await CurrentUnitOfWork.GetDbContext&lt;vovinaDbContext&gt;().AddAsync(mainObj);
        }
        // EDIT
        private async Task Update(CreateOrEditMasterPlmMatrixDto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[AbpAuthorize(AppPermissions.Pages_Master_Plm_Matrix_Delete)]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Task&lt;PagedResultDto&lt;MasterPlmMatrixDto&gt;&gt; GetAll(GetMasterPlmMatrixInput input)
        {
            var filtered = _repo.GetAll()
				;
            var pageAndFiltered = filtered.OrderBy(s =&gt; s.Id);
            var system = from o in pageAndFiltered
                         select new MasterPlmMatrixDto
                        {
							Id = o.Id,
							ScreenId = o.ScreenId,
							PartId = o.PartId,
							Ordering = o.Ordering,
							SideId = o.SideId,
                        };
            var totalCount = await filtered.CountAsync();
			var paged = system.PageBy(input);
            return new PagedResultDto&lt;MasterPlmMatrixDto&gt;(
                totalCount,
                 await paged.ToListAsync()
            );
        }
        public async Task&lt;FileDto&gt; GetMatrixToExcel(MasterPlmMatrixExportInput input)
        {
            var query = from o in _repo.GetAll()
                        select new MasterPlmMatrixDto
                        {
							Id = o.Id,
							ScreenId = o.ScreenId,
							PartId = o.PartId,
							Ordering = o.Ordering,
							SideId = o.SideId,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_dapperRepo.ExecuteAsync(MasterPlmMatrixConsts.SP_MST_WPT_CALENDAR_GENERATE);
       // }
    }
}</v>
      </c>
      <c r="N68" s="58" t="str">
        <f>A.Backend!U7</f>
        <v xml:space="preserve">  configuration.CreateMap&lt;MasterPlmMatrixDto, MasterPlmMatrix&gt;();
  configuration.CreateMap&lt;MasterPlmMatrix, MasterPlmMatrixDto&gt;();
  configuration.CreateMap&lt;CreateOrEditMasterPlmMatrixDto, MasterPlmMatrix&gt;();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matrix</v>
      </c>
      <c r="C73" s="66" t="str">
        <f>"create folder " &amp;B73</f>
        <v>create folder matrix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matrix.component.ts</v>
      </c>
      <c r="D74" s="28" t="str">
        <f>B.Frontend!I14</f>
        <v>matrix.component.html</v>
      </c>
      <c r="E74" s="28" t="str">
        <f>B.Frontend!J14</f>
        <v>matrix.component.less</v>
      </c>
      <c r="F74" s="28" t="str">
        <f>B.Frontend!K14</f>
        <v>create-or-edit-matrix-modal.component.html</v>
      </c>
      <c r="G74" s="28" t="str">
        <f>B.Frontend!L14</f>
        <v>create-or-edit-matrix-modal.component.ts</v>
      </c>
      <c r="H74" s="28" t="str">
        <f>B.Frontend!M14</f>
        <v>create-or-edit-matrix-modal.component.less</v>
      </c>
      <c r="I74" s="28" t="str">
        <f>B.Frontend!N14</f>
        <v>matrix.module.ts</v>
      </c>
      <c r="J74" s="28" t="str">
        <f>B.Frontend!O14</f>
        <v>matrix-routing.module.ts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MasterPlmMatrixDto, MasterPlmMatrixServiceProxy } from '@shared/service-proxies/service-proxies';
import { finalize } from 'rxjs/internal/operators/finalize';
import { CreateOrEditMatrixModalComponent } from './create-or-edit-matrix-modal.component';
import { DatePipe } from '@angular/common';
import { FileDownloadService } from '@shared/utils/file-download.service';
import ceil from 'lodash-es/ceil';
import { Paginator } from 'primeng/paginator';
@Component({
    templateUrl: './matrix.component.html',
    styleUrls: ['./matrix.component.less'],
})
export class MatrixComponent extends AppComponentBase implements OnInit {
    @ViewChild('createOrEditModalMatrix', { static: true }) createOrEditModalMatrix:| CreateOrEditMatrixModalComponent|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MasterPlmMatrixDto = new MasterPlmMatrixDto();
    saveSelectedRow: MasterPlmMatrixDto = new MasterPlmMatrixDto();
    datas: MasterPlmMatrixDto = new MasterPlmMatrixDto();
    isLoading: boolean = false;
    dataParams: GridParams | undefined;
    rowData: any[] = [];
    gridApi!: GridApi;
    rowSelection = 'multiple';
    filter: string = '';
	pipe = new DatePipe('en-US');
	frameworkComponents: FrameworkComponent;
    	screenId
	partId
	ordering
	sideId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MasterPlmMatrixServiceProxy,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Id'),headerTooltip: this.l('Screen Id'),field: 'screenId',flex: 1},
			{headerName: this.l('Part Id'),headerTooltip: this.l('Part Id'),field: 'partId',flex: 1},
			{headerName: this.l('Ordering'),headerTooltip: this.l('Ordering'),field: 'ordering',flex: 1},
			{headerName: this.l('Side Id'),headerTooltip: this.l('Side Id'),field: 'sideId',flex: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this.screenId,
			this.partId,
			this.ordering,
			this.sideId,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this.screenId = '',
		this.partId = '',
		this.ordering = '',
		this.sideId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this.screenId,
			this.partId,
			this.ordering,
			this.sideId,
			'',
            this.paginationParams.skipCount,
            this.paginationParams.pageSize
        );
    }
    onChangeRowSelection(params: { api: { getSelectedRows: () =&gt; MasterPlmMatrixDto[] } }) {
        this.saveSelectedRow = params.api.getSelectedRows()[0] ?? new MasterPlmMatrixDto();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MasterPlmMatrixDto):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this._service.getMatrixToExcel(
			this.screenId,
			this.partId,
			this.ordering,
			this.sideId,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(click)="createOrEditModalMatrix.show()"&gt;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(click)="createOrEditModalMatrix.show(selectedRow)"&gt;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&lt;create-or-edit-matrix-modal
    #createOrEditModalMatrix
    (modalSave)="callBackDataGrid(dataParams)"
    (modalClose)="onChangeRowSelection(dataParams)"
&gt;
&lt;/create-or-edit-matrix-modal&gt;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#createOrEditModalMatrix="bs-modal"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Matrix')}}&lt;/h3&gt;
                    &lt;h3 *ngIf="!rowdata.id"&gt;{{('Create New Matrix')}}&lt;/h3&gt;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CreateOrEditMasterPlmMatrixDto, MasterPlmMatrixServiceProxy } from '@shared/service-proxies/service-proxies';
import { BsDatepickerDirective } from 'ngx-bootstrap/datepicker';
@Component({
    selector: 'create-or-edit-matrix-modal',
    templateUrl: './create-or-edit-matrix-modal.component.html',
    styleUrls: ['./create-or-edit-matrix-modal.component.less']
    })
export class CreateOrEditMatrixModalComponent extends AppComponentBase {
    @ViewChild('createOrEditModalMatrix',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CreateOrEditMasterPlmMatrixDto = new CreateOrEditMasterPlmMatrixDto();
    active: boolean = false;
    saving: boolean = false;
    _: boolean;
    constructor(
        injector: Injector,
        private _mstwptMatrixService: MasterPlmMatrixServiceProxy,
    ) 
    {
        super(injector);
    }
    show(rowdata?: CreateOrEditMasterPlmMatrixDto): void {
        if (!rowdata) this.rowdata = new CreateOrEditMasterPlmMatrixDto();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this._mstwptMatrixService.createOrEdit(this.rowdata)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MatrixRoutingModule } from './matrix-routing.module';
import { MatrixComponent } from './matrix.component';
import { CreateOrEditMatrixModalComponent } from './create-or-edit-matrix-modal.component';
@NgModule({
    declarations: [
       MatrixComponent, 
        CreateOrEditMatrixModalComponent
    ],
    imports: [
        AppSharedModule, MatrixRoutingModule]
})
export class MatrixModule {}</v>
      </c>
      <c r="J75" s="46" t="str">
        <f>B.Frontend!O10</f>
        <v>import {NgModule} from '@angular/core';
import {RouterModule, Routes} from '@angular/router';
import { MatrixComponent } from './matrix.component';
const routes: Routes = [{
    path: '',
    component: MatrixComponent,
    pathMatch: 'full'
}];
@NgModule({
    imports: [RouterModule.forChild(routes)],
    exports: [RouterModule],
})
export class MatrixRoutingModule {}</v>
      </c>
      <c r="K75" s="46" t="str">
        <f>B.Frontend!P10</f>
        <v xml:space="preserve"> new AppMenuItem("Matrix", "Pages.Master.Plm.Matrix", "flaticon-book",   "/app/main/master/plm/matrix"),</v>
      </c>
      <c r="L75" s="47" t="str">
        <f>B.Frontend!Q10</f>
        <v>{
    path: 'master/plm/matrix',
    loadChildren: () =&gt; import('./master/plm/matrix/matrix.module').then(m =&gt; m.MatrixModule),
    data: { permission: 'Pages.Master.Plm.Matrix' }
},</v>
      </c>
      <c r="M75" s="45" t="str">
        <f>B.Frontend!R10</f>
        <v>ApiServiceProxies.MasterPlmMatrixServiceProxy,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workbookViewId="0">
      <pane xSplit="1" topLeftCell="B1" activePane="topRight" state="frozen"/>
      <selection pane="topRight" activeCell="B14" sqref="B14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41</v>
      </c>
      <c r="D3" s="9" t="s">
        <v>42</v>
      </c>
      <c r="E3" s="9" t="s">
        <v>37</v>
      </c>
      <c r="F3" s="10" t="str">
        <f>"J"&amp;COUNTA($A:$A)</f>
        <v>J12</v>
      </c>
      <c r="G3" s="4" t="s">
        <v>54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53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MasterPlmMatrixExportInput{
</v>
      </c>
      <c r="S3" s="10" t="str">
        <f>"namespace "&amp;$B$6&amp;".Exporting
"&amp;$C$3</f>
        <v xml:space="preserve">namespace prod.Master.Plm.Exporting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3" s="10" customFormat="1" ht="33" customHeight="1" x14ac:dyDescent="0.25">
      <c r="A4" s="1" t="s">
        <v>233</v>
      </c>
      <c r="B4" s="65" t="s">
        <v>85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prod.Master.Plm</v>
      </c>
      <c r="C6" s="10" t="str">
        <f>"namespace "&amp;$B$6&amp;"
"&amp;$C$3</f>
        <v xml:space="preserve">namespace prod.Master.Plm
{
</v>
      </c>
      <c r="D6" s="10" t="str">
        <f>REPT(CHAR(9),1)&amp;"public class "&amp;B3&amp;G3&amp;REPT(CHAR(9),1)&amp;"
"&amp;REPT(CHAR(9),1)&amp;C3</f>
        <v xml:space="preserve">	public class MasterPlmMatrix: FullAuditedEntity&lt;long&gt;, IEntity&lt;long&gt;	
	{
</v>
      </c>
      <c r="E6" s="10" t="str">
        <f>REPT(CHAR(9),1)&amp;"public class "&amp;B3&amp;"Consts"&amp;REPT(CHAR(9),1)&amp;"
"&amp;REPT(CHAR(9),1)&amp;C3</f>
        <v xml:space="preserve">	public class MasterPlmMatrixConsts	
	{
</v>
      </c>
      <c r="F6" s="10" t="str">
        <f>REPT(CHAR(9),1)&amp;"public class "&amp;B3&amp;"Dto"&amp;K3&amp;REPT(CHAR(9),1)&amp;"
"&amp;REPT(CHAR(9),1)&amp;C3</f>
        <v xml:space="preserve">	public class MasterPlmMatrixDto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CreateOrEditMasterPlmMatrixDto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GetMasterPlmMatrixInput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MasterPlmMatrix</v>
      </c>
      <c r="C7" s="10" t="str">
        <f>REPT(CHAR(9),1)&amp;"[Table("""&amp;B7&amp;""")]"&amp;"
"</f>
        <v xml:space="preserve">	[Table("MasterPlmMatrix")]
</v>
      </c>
      <c r="D7" s="10"/>
      <c r="E7" s="10"/>
      <c r="F7" s="10"/>
      <c r="G7" s="10"/>
      <c r="H7" s="10"/>
      <c r="I7" s="10"/>
      <c r="J7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prod.Master.Plm
{
	[Table("MasterPlmMatrix")]
	[Index(nameof(ScreenId), Name="IX_MasterPlmMatrix_ScreenId")]
	[Index(nameof(PartId), Name="IX_MasterPlmMatrix_PartId")]
	public class MasterPlmMatrix: FullAuditedEntity&lt;long&gt;, IEntity&lt;long&gt;	
	{
		public virtual int? ScreenId { get; set; }
		public virtual int? PartId { get; set; }
		public virtual int? Ordering { get; set; }
		public virtual int? SideId { get; set; }
	}
}
</v>
      </c>
      <c r="K7" t="str">
        <f>SUBSTITUTE(SUBSTITUTE(("public virtual DbSet&lt;"&amp;B3&amp;"&gt; "&amp;B3&amp;"s { get; set; }"),"WorkingPattern",$Q$3),"Master",$B$4)</f>
        <v>public virtual DbSet&lt;MasterPlmMatrix&gt; MasterPlmMatrixs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prod.Master.Plm
{
	public class MasterPlmMatrixConsts	
	{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prod.Master.Plm.Dto
{
	public class MasterPlmMatrixDto : EntityDto&lt;long?&gt;	
	{
		public virtual int? ScreenId { get; set; }
		public virtual int? PartId { get; set; }
		public virtual int? Ordering { get; set; }
		public virtual int? SideId { get; set; }
	}
	public class CreateOrEditMasterPlmMatrixDto : EntityDto&lt;long?&gt;	
	{
		public virtual int? ScreenId { get; set; }
		public virtual int? PartId { get; set; }
		public virtual int? Ordering { get; set; }
		public virtual int? SideId { get; set; }
	}
	public class GetMasterPlmMatrixInput : PagedAndSortedResultRequestDto	
	{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perMasterPlmMatrix = PARENTS.CreateChildPermission(AppPermissions.Pages_Master_Plm_Matrix, L( "MasterPlmMatrix"), multiTenancySides: MultiTenancySides.Tenant);
		perMasterPlmMatrix.CreateChildPermission(AppPermissions.Pages_Master_Plm_Matrix_CreateEdit, L( "MasterPlmMatrixCreateEdit"), multiTenancySides: MultiTenancySides.Tenant);
		perMasterPlmMatrix.CreateChildPermission(AppPermissions.Pages_Master_Plm_Matrix_Delete, L( "MasterPlmMatrixDelete"),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Pages_Master_Plm_Matrix = "Pages.Master.Plm.Matrix";
		public const string Pages_Master_Plm_Matrix_CreateEdit = "Pages.Master.Plm.Matrix.CreateEdit";
		public const string Pages_Master_Plm_Matrix_Delete = "Pages.Master.Plm.Matrix.Delete";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
{
	public interface IMasterPlmMatrixAppService : IApplicationService
	{
		Task&lt;PagedResultDto&lt;MasterPlmMatrixDto&gt;&gt; GetAll(GetMasterPlmMatrixInput input);
		Task CreateOrEdit(CreateOrEditMasterPlmMatrixDto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vovina.Master.Plm.Dto;
using vovina.Master.Plm.Exporting;
namespace vovina.Master.Plm
{
    [AbpAuthorize(AppPermissions.Pages_Master_Plm_Matrix)]
    public class MasterPlmMatrixAppService : vovinaAppServiceBase, IMasterPlmMatrixAppService
    {
        private readonly IDapperRepository&lt;MasterPlmMatrix, long&gt; _dapperRepo;
        private readonly IRepository&lt;MasterPlmMatrix, long&gt; _repo;
        private readonly IMasterPlmMatrixExcelExporter _calendarListExcelExporter;
        public MasterPlmMatrixAppService(IRepository&lt;MasterPlmMatrix,long&gt; repo, 
                                         IDapperRepository&lt;MasterPlmMatrix,long&gt; dapperRepo,
                                        IMasterPlmMatrixExcelExporter calendarListExcelExporter
            )
        {
            _repo = repo;
            _dapperRepo = dapperRepo;
            _calendarListExcelExporter = calendarListExcelExporter;
        }
        [AbpAuthorize(AppPermissions.Pages_Master_Plm_Matrix_CreateEdit)]
        public async Task CreateOrEdit(CreateOrEditMasterPlmMatrixDto input)
        {
            if (input.Id == null) await Create(input);
            else await Update(input);
        }
        //CREATE
        private async Task Create(CreateOrEditMasterPlmMatrixDto input)
        {          
            var mainObj = ObjectMapper.Map&lt;MasterPlmMatrix&gt;(input);
            await CurrentUnitOfWork.GetDbContext&lt;vovinaDbContext&gt;().AddAsync(mainObj);
        }
        // EDIT
        private async Task Update(CreateOrEditMasterPlmMatrixDto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[AbpAuthorize(AppPermissions.Pages_Master_Plm_Matrix_Delete)]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Task&lt;PagedResultDto&lt;MasterPlmMatrixDto&gt;&gt; GetAll(GetMasterPlmMatrixInput input)
        {
            var filtered = _repo.GetAll()
				;
            var pageAndFiltered = filtered.OrderBy(s =&gt; s.Id);
            var system = from o in pageAndFiltered
                         select new MasterPlmMatrixDto
                        {
							Id = o.Id,
							ScreenId = o.ScreenId,
							PartId = o.PartId,
							Ordering = o.Ordering,
							SideId = o.SideId,
                        };
            var totalCount = await filtered.CountAsync();
			var paged = system.PageBy(input);
            return new PagedResultDto&lt;MasterPlmMatrixDto&gt;(
                totalCount,
                 await paged.ToListAsync()
            );
        }
        public async Task&lt;FileDto&gt; GetMatrixToExcel(MasterPlmMatrixExportInput input)
        {
            var query = from o in _repo.GetAll()
                        select new MasterPlmMatrixDto
                        {
							Id = o.Id,
							ScreenId = o.ScreenId,
							PartId = o.PartId,
							Ordering = o.Ordering,
							SideId = o.SideId,
                        };
            var exportToExcel = await query.ToListAsync();
            return _calendarListExcelExporter.ExportToFile(exportToExcel);
        }
       // public async Task GenerateAsync()
      //  {
        //    await _dapperRepo.ExecuteAsync(MasterPlmMatrixConsts.SP_MST_WPT_CALENDAR_GENERATE);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prod.Master.Plm.Dto
{
	public class MasterPlmMatrixExportInput{
		public virtual int? ScreenId { get; set; }
		public virtual int? PartId { get; set; }
		public virtual int? Ordering { get; set; }
		public virtual int? SideId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vovina.Master.Plm.Dto;
namespace prod.Master.Plm.Exporting
{
	public interface IMasterPlmMatrixExcelExporter : IApplicationService
	{
		FileDto ExportToFile(List&lt;MasterPlmMatrixDto&gt; masterplmmatrix);
	}
}
</v>
      </c>
      <c r="T7" s="26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vovina.Master.Plm.Exporting;
using vovina.Master.Plm.Dto;
using vovina.Storage;
using vovina.Master.Plm.Dto;
namespace vovina.Master.Plm.Exporting
{
    public class MasterPlmMatrixExcelExporter : NpoiExcelExporterBase, IMasterPlmMatrixExcelExporter
    {
        public MasterPlmMatrixExcelExporter(ITempFileCacheManager tempFileCacheManager) : base(tempFileCacheManager) { }
        public FileDto ExportToFile(List&lt;MasterPlmMatrixDto&gt; matrix)
        {
            return CreateExcelPackage(
				"MasterPlmMatrix.xlsx",
				excelPackage =&gt;
				 {
					var sheet = excelPackage.CreateSheet("Matrix");
					AddHeader(
								sheet,
								("ScreenId"),
								("PartId"),
								("Ordering"),
								("SideId"),
							   );
					AddObjects(
						 sheet, 1, matrix,                                       
								_ =&gt; _.ScreenId,
								_ =&gt; _.PartId,
								_ =&gt; _.Ordering,
								_ =&gt; _.SideId,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configuration.CreateMap&lt;MasterPlmMatrixDto, MasterPlmMatrix&gt;();
  configuration.CreateMap&lt;MasterPlmMatrix, MasterPlmMatrixDto&gt;();
  configuration.CreateMap&lt;CreateOrEditMasterPlmMatrixDto, MasterPlmMatrix&gt;();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357</v>
      </c>
      <c r="B9" t="s">
        <v>4</v>
      </c>
      <c r="C9" t="s">
        <v>1</v>
      </c>
      <c r="D9" t="str">
        <f t="shared" ref="D9" si="0">SUBSTITUTE(PROPER(A9),"_","")</f>
        <v>ScreenId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ScreenId { get; set; }
</v>
      </c>
      <c r="K9" s="6" t="s">
        <v>356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[Index(nameof(ScreenId), Name="IX_MasterPlmMatrix_ScreenId")]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ScreenId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ScreenId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ScreenId = o.ScreenId,</v>
      </c>
      <c r="T9" s="63" t="str">
        <f t="shared" ref="T9" si="10">REPT(CHAR(9),8)&amp;"("""&amp;D9&amp;"""),"</f>
        <v xml:space="preserve">								("ScreenId"),</v>
      </c>
      <c r="V9" s="64" t="str">
        <f t="shared" ref="V9" si="11">REPT(CHAR(9),8)&amp;"_ =&gt; _."&amp;D9&amp;","</f>
        <v xml:space="preserve">								_ =&gt; _.ScreenId,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t="s">
        <v>358</v>
      </c>
      <c r="B10" t="s">
        <v>4</v>
      </c>
      <c r="C10" t="s">
        <v>1</v>
      </c>
      <c r="D10" t="str">
        <f t="shared" ref="D10" si="13">SUBSTITUTE(PROPER(A10),"_","")</f>
        <v>PartId</v>
      </c>
      <c r="E10" t="str">
        <f t="shared" ref="E10" si="14">IFERROR(LEFT(B10, FIND("(",B10)-1),B10)</f>
        <v>int</v>
      </c>
      <c r="F10" s="6"/>
      <c r="G10" t="str">
        <f t="shared" ref="G10" si="15">IFERROR(MID(B10,FIND("(",B10) +1, FIND(")",B10) - FIND("(",B10) - 1),"")</f>
        <v/>
      </c>
      <c r="H10" t="str">
        <f>+VLOOKUP(E10,'Data Type Mapping'!A:B,2,)</f>
        <v>int?</v>
      </c>
      <c r="I10" t="str">
        <f t="shared" ref="I10" si="16">IF(H10="string",REPT(CHAR(9),2)&amp;"public const int Max"&amp;D10&amp;"Length = "&amp;G10&amp;";"&amp;$E$3,"" )</f>
        <v/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int? PartId { get; set; }
</v>
      </c>
      <c r="K10" s="6" t="s">
        <v>356</v>
      </c>
      <c r="L10" t="str">
        <f t="shared" si="5"/>
        <v xml:space="preserve">	[Index(nameof(PartId), Name="IX_MasterPlmMatrix_PartId")]</v>
      </c>
      <c r="M10" t="str">
        <f t="shared" ref="M10" si="18">REPT(CHAR(9),2)&amp;"public virtual "&amp;IF(OR(H10="DateTime",H10="TimeSpan"),H10&amp;"?",H10)&amp;IF(C10="?","? "," ")&amp;D10&amp;" { get; set; }" &amp; "
"</f>
        <v xml:space="preserve">		public virtual int? PartId { get; set; }
</v>
      </c>
      <c r="N10" t="str">
        <f t="shared" ref="N10" si="19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int? PartId { get; set; }
</v>
      </c>
      <c r="O10" t="str">
        <f t="shared" ref="O10" si="20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" si="21">REPT(CHAR(9),7)&amp;D10&amp;" = o." &amp;D10 &amp;","</f>
        <v xml:space="preserve">							PartId = o.PartId,</v>
      </c>
      <c r="T10" s="63" t="str">
        <f t="shared" ref="T10" si="22">REPT(CHAR(9),8)&amp;"("""&amp;D10&amp;"""),"</f>
        <v xml:space="preserve">								("PartId"),</v>
      </c>
      <c r="V10" s="64" t="str">
        <f t="shared" ref="V10" si="23">REPT(CHAR(9),8)&amp;"_ =&gt; _."&amp;D10&amp;","</f>
        <v xml:space="preserve">								_ =&gt; _.PartId,</v>
      </c>
      <c r="W10" s="63" t="str">
        <f t="shared" ref="W10" si="24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359</v>
      </c>
      <c r="B11" t="s">
        <v>4</v>
      </c>
      <c r="C11" t="s">
        <v>1</v>
      </c>
      <c r="D11" t="str">
        <f t="shared" ref="D11" si="25">SUBSTITUTE(PROPER(A11),"_","")</f>
        <v>Ordering</v>
      </c>
      <c r="E11" t="str">
        <f t="shared" ref="E11" si="26">IFERROR(LEFT(B11, FIND("(",B11)-1),B11)</f>
        <v>int</v>
      </c>
      <c r="F11" s="6"/>
      <c r="G11" t="str">
        <f t="shared" ref="G11" si="27">IFERROR(MID(B11,FIND("(",B11) +1, FIND(")",B11) - FIND("(",B11) - 1),"")</f>
        <v/>
      </c>
      <c r="H11" t="str">
        <f>+VLOOKUP(E11,'Data Type Mapping'!A:B,2,)</f>
        <v>int?</v>
      </c>
      <c r="I11" t="str">
        <f t="shared" ref="I11" si="28">IF(H11="string",REPT(CHAR(9),2)&amp;"public const int Max"&amp;D11&amp;"Length = "&amp;G11&amp;";"&amp;$E$3,"" )</f>
        <v/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int? Ordering { get; set; }
</v>
      </c>
      <c r="K11" s="6"/>
      <c r="L11" t="str">
        <f t="shared" ref="L11" si="30">IF(K11="","",REPT(CHAR(9),1)&amp;"[Index(nameof("&amp;IF(D11="","",""&amp;D11)&amp;")"&amp;", Name="&amp;"""IX_"&amp;$B$7&amp;"_"&amp;D11&amp;""")]")</f>
        <v/>
      </c>
      <c r="M11" t="str">
        <f t="shared" ref="M11" si="31">REPT(CHAR(9),2)&amp;"public virtual "&amp;IF(OR(H11="DateTime",H11="TimeSpan"),H11&amp;"?",H11)&amp;IF(C11="?","? "," ")&amp;D11&amp;" { get; set; }" &amp; "
"</f>
        <v xml:space="preserve">		public virtual int? Ordering { get; set; }
</v>
      </c>
      <c r="N11" t="str">
        <f t="shared" ref="N11" si="32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int? Ordering { get; set; }
</v>
      </c>
      <c r="O11" t="str">
        <f t="shared" ref="O11" si="33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34">REPT(CHAR(9),7)&amp;D11&amp;" = o." &amp;D11 &amp;","</f>
        <v xml:space="preserve">							Ordering = o.Ordering,</v>
      </c>
      <c r="T11" s="63" t="str">
        <f t="shared" ref="T11" si="35">REPT(CHAR(9),8)&amp;"("""&amp;D11&amp;"""),"</f>
        <v xml:space="preserve">								("Ordering"),</v>
      </c>
      <c r="V11" s="64" t="str">
        <f t="shared" ref="V11" si="36">REPT(CHAR(9),8)&amp;"_ =&gt; _."&amp;D11&amp;","</f>
        <v xml:space="preserve">								_ =&gt; _.Ordering,</v>
      </c>
      <c r="W11" s="63" t="str">
        <f t="shared" ref="W11" si="3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t="s">
        <v>360</v>
      </c>
      <c r="B12" t="s">
        <v>4</v>
      </c>
      <c r="C12" t="s">
        <v>1</v>
      </c>
      <c r="D12" t="str">
        <f t="shared" ref="D12" si="38">SUBSTITUTE(PROPER(A12),"_","")</f>
        <v>SideId</v>
      </c>
      <c r="E12" t="str">
        <f t="shared" ref="E12" si="39">IFERROR(LEFT(B12, FIND("(",B12)-1),B12)</f>
        <v>int</v>
      </c>
      <c r="F12" s="6"/>
      <c r="G12" t="str">
        <f t="shared" ref="G12" si="40">IFERROR(MID(B12,FIND("(",B12) +1, FIND(")",B12) - FIND("(",B12) - 1),"")</f>
        <v/>
      </c>
      <c r="H12" t="str">
        <f>+VLOOKUP(E12,'Data Type Mapping'!A:B,2,)</f>
        <v>int?</v>
      </c>
      <c r="I12" t="str">
        <f t="shared" ref="I12" si="41">IF(H12="string",REPT(CHAR(9),2)&amp;"public const int Max"&amp;D12&amp;"Length = "&amp;G12&amp;";"&amp;$E$3,"" )</f>
        <v/>
      </c>
      <c r="J12" t="str">
        <f t="shared" ref="J12" si="42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SideId { get; set; }
</v>
      </c>
      <c r="K12" s="6"/>
      <c r="L12" t="str">
        <f t="shared" ref="L12" si="43">IF(K12="","",REPT(CHAR(9),1)&amp;"[Index(nameof("&amp;IF(D12="","",""&amp;D12)&amp;")"&amp;", Name="&amp;"""IX_"&amp;$B$7&amp;"_"&amp;D12&amp;""")]")</f>
        <v/>
      </c>
      <c r="M12" t="str">
        <f t="shared" ref="M12" si="44">REPT(CHAR(9),2)&amp;"public virtual "&amp;IF(OR(H12="DateTime",H12="TimeSpan"),H12&amp;"?",H12)&amp;IF(C12="?","? "," ")&amp;D12&amp;" { get; set; }" &amp; "
"</f>
        <v xml:space="preserve">		public virtual int? SideId { get; set; }
</v>
      </c>
      <c r="N12" t="str">
        <f t="shared" ref="N12" si="4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SideId { get; set; }
</v>
      </c>
      <c r="O12" t="str">
        <f t="shared" ref="O12" si="46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" si="47">REPT(CHAR(9),7)&amp;D12&amp;" = o." &amp;D12 &amp;","</f>
        <v xml:space="preserve">							SideId = o.SideId,</v>
      </c>
      <c r="T12" s="63" t="str">
        <f t="shared" ref="T12" si="48">REPT(CHAR(9),8)&amp;"("""&amp;D12&amp;"""),"</f>
        <v xml:space="preserve">								("SideId"),</v>
      </c>
      <c r="V12" s="64" t="str">
        <f t="shared" ref="V12" si="49">REPT(CHAR(9),8)&amp;"_ =&gt; _."&amp;D12&amp;","</f>
        <v xml:space="preserve">								_ =&gt; _.SideId,</v>
      </c>
      <c r="W12" s="63" t="str">
        <f t="shared" ref="W12" si="5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4" spans="1:23" ht="45.75" customHeight="1" x14ac:dyDescent="0.25">
      <c r="H14" s="11"/>
      <c r="I14" s="31" t="str">
        <f ca="1">TEXTJOIN2("
", TRUE,INDIRECT( $H$1):INDIRECT( $H$3))</f>
        <v/>
      </c>
      <c r="J14" s="30" t="str">
        <f ca="1">TEXTJOIN2("
", TRUE,INDIRECT( $F$1):INDIRECT( $F$3))</f>
        <v xml:space="preserve">		public virtual int? ScreenId { get; set; }
		public virtual int? PartId { get; set; }
		public virtual int? Ordering { get; set; }
		public virtual int? SideId { get; set; }
</v>
      </c>
      <c r="K14" s="32" t="str">
        <f ca="1">TEXTJOIN2("
", TRUE,INDIRECT( $J$1):INDIRECT( $J$3))</f>
        <v xml:space="preserve">	[Index(nameof(ScreenId), Name="IX_MasterPlmMatrix_ScreenId")]
	[Index(nameof(PartId), Name="IX_MasterPlmMatrix_PartId")]
</v>
      </c>
      <c r="L14" s="12" t="s">
        <v>57</v>
      </c>
      <c r="M14" s="33" t="str">
        <f ca="1">TEXTJOIN2("
",TRUE,INDIRECT( $L$1):INDIRECT($L$3))</f>
        <v xml:space="preserve">		public virtual int? ScreenId { get; set; }
		public virtual int? PartId { get; set; }
		public virtual int? Ordering { get; set; }
		public virtual int? SideId { get; set; }
</v>
      </c>
      <c r="N14" s="30" t="str">
        <f ca="1">TEXTJOIN2("
",TRUE,INDIRECT( $M$1):INDIRECT($M$3))</f>
        <v xml:space="preserve">		public virtual int? ScreenId { get; set; }
		public virtual int? PartId { get; set; }
		public virtual int? Ordering { get; set; }
		public virtual int? SideId { get; set; }
</v>
      </c>
      <c r="O14" s="30" t="str">
        <f ca="1">TEXTJOIN2("
",TRUE,INDIRECT( $N$1):INDIRECT($N$3))</f>
        <v/>
      </c>
      <c r="P14" s="8" t="str">
        <f ca="1">TEXTJOIN2("
",TRUE,INDIRECT( $O$1):INDIRECT($O$3))</f>
        <v xml:space="preserve">							ScreenId = o.ScreenId,
							PartId = o.PartId,
							Ordering = o.Ordering,
							SideId = o.SideId,</v>
      </c>
      <c r="T14" s="8" t="str">
        <f ca="1">TEXTJOIN2("
",TRUE,INDIRECT( $T$2):INDIRECT($T$3))</f>
        <v xml:space="preserve">								("ScreenId"),
								("PartId"),
								("Ordering"),
								("SideId"),</v>
      </c>
      <c r="V14" s="8" t="str">
        <f ca="1">TEXTJOIN2("
",TRUE,INDIRECT( $V$2):INDIRECT($V$3))</f>
        <v xml:space="preserve">								_ =&gt; _.ScreenId,
								_ =&gt; _.PartId,
								_ =&gt; _.Ordering,
								_ =&gt; _.SideId,</v>
      </c>
      <c r="W14" s="8" t="str">
        <f ca="1">TEXTJOIN2("
",TRUE,INDIRECT( $W$2):INDIRECT($W$3))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tabSelected="1" topLeftCell="A2" workbookViewId="0">
      <selection activeCell="E29" sqref="E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MasterPlmMatrix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Matrix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matrix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MasterPlmMatrixDto, MasterPlmMatrixServiceProxy } from '@shared/service-proxies/service-proxies';
import { finalize } from 'rxjs/internal/operators/finalize';
import { CreateOrEditMatrixModalComponent } from './create-or-edit-matrix-modal.component';
import { DatePipe } from '@angular/common';
import { FileDownloadService } from '@shared/utils/file-download.service';
import ceil from 'lodash-es/ceil';
import { Paginator } from 'primeng/paginator';
@Component({
    templateUrl: './matrix.component.html',
    styleUrls: ['./matrix.component.less'],
})
export class MatrixComponent extends AppComponentBase implements OnInit {
    @ViewChild('createOrEditModalMatrix', { static: true }) createOrEditModalMatrix:| CreateOrEditMatrixModalComponent|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MasterPlmMatrixDto = new MasterPlmMatrixDto();
    saveSelectedRow: MasterPlmMatrixDto = new MasterPlmMatrixDto();
    datas: MasterPlmMatrixDto = new MasterPlmMatrixDto();
    isLoading: boolean = false;
    dataParams: GridParams | undefined;
    rowData: any[] = [];
    gridApi!: GridApi;
    rowSelection = 'multiple';
    filter: string = '';
	pipe = new DatePipe('en-US');
	frameworkComponents: FrameworkComponent;
    	screenId
	partId
	ordering
	sideId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MasterPlmMatrixServiceProxy,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this.l('Screen Id'),headerTooltip: this.l('Screen Id'),field: 'screenId',flex: 1},
			{headerName: this.l('Part Id'),headerTooltip: this.l('Part Id'),field: 'partId',flex: 1},
			{headerName: this.l('Ordering'),headerTooltip: this.l('Ordering'),field: 'ordering',flex: 1},
			{headerName: this.l('Side Id'),headerTooltip: this.l('Side Id'),field: 'sideId',flex: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this.screenId,
			this.partId,
			this.ordering,
			this.sideId,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this.screenId = '',
		this.partId = '',
		this.ordering = '',
		this.sideId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this.screenId,
			this.partId,
			this.ordering,
			this.sideId,
			'',
            this.paginationParams.skipCount,
            this.paginationParams.pageSize
        );
    }
    onChangeRowSelection(params: { api: { getSelectedRows: () =&gt; MasterPlmMatrixDto[] } }) {
        this.saveSelectedRow = params.api.getSelectedRows()[0] ?? new MasterPlmMatrixDto();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MasterPlmMatrixDto):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this._service.getMatrixToExcel(
			this.screenId,
			this.partId,
			this.ordering,
			this.sideId,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(click)="createOrEditModalMatrix.show()"&gt;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(click)="createOrEditModalMatrix.show(selectedRow)"&gt;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&lt;create-or-edit-matrix-modal
    #createOrEditModalMatrix
    (modalSave)="callBackDataGrid(dataParams)"
    (modalClose)="onChangeRowSelection(dataParams)"
&gt;
&lt;/create-or-edit-matrix-modal&gt;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#createOrEditModalMatrix="bs-modal"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Matrix')}}&lt;/h3&gt;
                    &lt;h3 *ngIf="!rowdata.id"&gt;{{('Create New Matrix')}}&lt;/h3&gt;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CreateOrEditMasterPlmMatrixDto, MasterPlmMatrixServiceProxy } from '@shared/service-proxies/service-proxies';
import { BsDatepickerDirective } from 'ngx-bootstrap/datepicker';
@Component({
    selector: 'create-or-edit-matrix-modal',
    templateUrl: './create-or-edit-matrix-modal.component.html',
    styleUrls: ['./create-or-edit-matrix-modal.component.less']
    })
export class CreateOrEditMatrixModalComponent extends AppComponentBase {
    @ViewChild('createOrEditModalMatrix',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CreateOrEditMasterPlmMatrixDto = new CreateOrEditMasterPlmMatrixDto();
    active: boolean = false;
    saving: boolean = false;
    _: boolean;
    constructor(
        injector: Injector,
        private _mstwptMatrixService: MasterPlmMatrixServiceProxy,
    ) 
    {
        super(injector);
    }
    show(rowdata?: CreateOrEditMasterPlmMatrixDto): void {
        if (!rowdata) this.rowdata = new CreateOrEditMasterPlmMatrixDto();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this._mstwptMatrixService.createOrEdit(this.rowdata)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MatrixRoutingModule } from './matrix-routing.module';
import { MatrixComponent } from './matrix.component';
import { CreateOrEditMatrixModalComponent } from './create-or-edit-matrix-modal.component';
@NgModule({
    declarations: [
       MatrixComponent, 
        CreateOrEditMatrixModalComponent
    ],
    imports: [
        AppSharedModule, MatrixRoutingModule]
})
export class MatrixModule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MatrixComponent } from './matrix.component';
const routes: Routes = [{
    path: '',
    component: MatrixComponent,
    pathMatch: 'full'
}];
@NgModule({
    imports: [RouterModule.forChild(routes)],
    exports: [RouterModule],
})
export class MatrixRoutingModule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AppMenuItem("Matrix", "Pages.Master.Plm.Matrix", "flaticon-book",   "/app/main/master/plm/matrix"),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'master/plm/matrix',
    loadChildren: () =&gt; import('./master/plm/matrix/matrix.module').then(m =&gt; m.MatrixModule),
    data: { permission: 'Pages.Master.Plm.Matrix' }
},</v>
      </c>
      <c r="R10" s="47" t="str">
        <f>SUBSTITUTE(R9,"MstWptCalendar",$B$6)</f>
        <v>ApiServiceProxies.MasterPlmMatrixServiceProxy,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this.l('Screen Id'),headerTooltip: this.l('Screen Id'),field: 'screenId',flex: 1},
			{headerName: this.l('Part Id'),headerTooltip: this.l('Part Id'),field: 'partId',flex: 1},
			{headerName: this.l('Ordering'),headerTooltip: this.l('Ordering'),field: 'ordering',flex: 1},
			{headerName: this.l('Side Id'),headerTooltip: this.l('Side Id'),field: 'sideId',flex: 1},</v>
      </c>
      <c r="I13" s="35" t="str">
        <f ca="1">TEXTJOIN2("
",TRUE,INDIRECT(I11):INDIRECT(I12))</f>
        <v/>
      </c>
      <c r="J13" s="28"/>
      <c r="K13" s="35" t="str">
        <f ca="1">TEXTJOIN2("
",TRUE,INDIRECT(K11):INDIRECT(K12))</f>
        <v/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screenId
	partId
	ordering
	sideId</v>
      </c>
      <c r="T13" s="62" t="str">
        <f ca="1">TEXTJOIN2("
",TRUE,INDIRECT(T11):INDIRECT(T12))</f>
        <v xml:space="preserve">			this.screenId,
			this.partId,
			this.ordering,
			this.sideId,</v>
      </c>
      <c r="U13" s="62" t="str">
        <f ca="1">TEXTJOIN2("
",TRUE,INDIRECT(U11):INDIRECT(U12))</f>
        <v xml:space="preserve">		this.screenId = '',
		this.partId = '',
		this.ordering = '',
		this.sideId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matrix.component.ts</v>
      </c>
      <c r="I14" s="37" t="str">
        <f>B8&amp;".component.html"</f>
        <v>matrix.component.html</v>
      </c>
      <c r="J14" s="36" t="str">
        <f>B8&amp;".component.less"</f>
        <v>matrix.component.less</v>
      </c>
      <c r="K14" s="37" t="str">
        <f>"create-or-edit-"&amp;B8&amp;"-modal.component.html"</f>
        <v>create-or-edit-matrix-modal.component.html</v>
      </c>
      <c r="L14" s="37" t="str">
        <f>"create-or-edit-"&amp;B8&amp;"-modal.component.ts"</f>
        <v>create-or-edit-matrix-modal.component.ts</v>
      </c>
      <c r="M14" s="37" t="str">
        <f>"create-or-edit-"&amp;B8&amp;"-modal.component.less"</f>
        <v>create-or-edit-matrix-modal.component.less</v>
      </c>
      <c r="N14" s="37" t="str">
        <f>B8&amp;".module.ts"</f>
        <v>matrix.module.ts</v>
      </c>
      <c r="O14" s="37" t="str">
        <f>B8&amp;"-routing.module.ts"</f>
        <v>matrix-routing.module.ts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357</v>
      </c>
      <c r="B15" s="28" t="str">
        <f t="shared" ref="B15" si="0">SUBSTITUTE(PROPER(A15),"_","")</f>
        <v>ScreenId</v>
      </c>
      <c r="C15" s="28" t="str">
        <f t="shared" ref="C15" si="1">SUBSTITUTE(PROPER(A15),"_"," ")</f>
        <v>Screen Id</v>
      </c>
      <c r="D15" s="28" t="str">
        <f t="shared" ref="D15" si="2">LOWER(LEFT(B15,1))&amp;RIGHT(B15,LEN(B15) - 1)</f>
        <v>screenId</v>
      </c>
      <c r="E15" s="28" t="str">
        <f>A.Backend!H9</f>
        <v>int?</v>
      </c>
      <c r="F15" s="28" t="str">
        <f>A.Backend!G9</f>
        <v/>
      </c>
      <c r="G15" s="28" t="str">
        <f t="shared" ref="G15:G16" si="3">IF(E15="string"," : string = '' ; ",IF(OR(E15="DateTime",E15="TimeSpan")," : any ;",IF(E15="int"," : number = 0 ;","")))</f>
        <v/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this.l('Screen Id'),headerTooltip: this.l('Screen Id'),field: 'screenId',flex: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screenId</v>
      </c>
      <c r="T15" s="28" t="str">
        <f>REPT(CHAR(9),3)&amp;"this."&amp;D15&amp;","</f>
        <v xml:space="preserve">			this.screenId,</v>
      </c>
      <c r="U15" s="28" t="str">
        <f>IF(E15="int",REPT(CHAR(9),2)&amp;"this."&amp;D15&amp;" = 0,",REPT(CHAR(9),2)&amp;"this."&amp;D15&amp;" = '',")</f>
        <v xml:space="preserve">		this.screenId = '',</v>
      </c>
      <c r="V15" s="28" t="str">
        <f t="shared" ref="V15:V18" si="8">IF(AND(E15="string",F15="1"),D15,"")</f>
        <v/>
      </c>
    </row>
    <row r="16" spans="1:22" ht="18" customHeight="1" x14ac:dyDescent="0.25">
      <c r="A16" t="s">
        <v>358</v>
      </c>
      <c r="B16" s="28" t="str">
        <f t="shared" ref="B16" si="9">SUBSTITUTE(PROPER(A16),"_","")</f>
        <v>PartId</v>
      </c>
      <c r="C16" s="28" t="str">
        <f t="shared" ref="C16" si="10">SUBSTITUTE(PROPER(A16),"_"," ")</f>
        <v>Part Id</v>
      </c>
      <c r="D16" s="28" t="str">
        <f t="shared" ref="D16" si="11">LOWER(LEFT(B16,1))&amp;RIGHT(B16,LEN(B16) - 1)</f>
        <v>partId</v>
      </c>
      <c r="E16" s="28" t="str">
        <f>A.Backend!H10</f>
        <v>int?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this.l('Part Id'),headerTooltip: this.l('Part Id'),field: 'partId',flex: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3">REPT(CHAR(9),1)&amp;D16&amp;G16</f>
        <v xml:space="preserve">	partId</v>
      </c>
      <c r="T16" s="28" t="str">
        <f t="shared" ref="T16:T18" si="14">REPT(CHAR(9),3)&amp;"this."&amp;D16&amp;","</f>
        <v xml:space="preserve">			this.partId,</v>
      </c>
      <c r="U16" s="28" t="str">
        <f t="shared" ref="U16:U18" si="15">IF(E16="int",REPT(CHAR(9),2)&amp;"this."&amp;D16&amp;" = 0,",REPT(CHAR(9),2)&amp;"this."&amp;D16&amp;" = '',")</f>
        <v xml:space="preserve">		this.partId = '',</v>
      </c>
      <c r="V16" s="28" t="str">
        <f t="shared" si="8"/>
        <v/>
      </c>
    </row>
    <row r="17" spans="1:22" ht="18" customHeight="1" x14ac:dyDescent="0.25">
      <c r="A17" t="s">
        <v>359</v>
      </c>
      <c r="B17" s="28" t="str">
        <f>SUBSTITUTE(PROPER(A17),"_","")</f>
        <v>Ordering</v>
      </c>
      <c r="C17" s="28" t="str">
        <f>SUBSTITUTE(PROPER(A17),"_"," ")</f>
        <v>Ordering</v>
      </c>
      <c r="D17" s="28" t="str">
        <f>LOWER(LEFT(B17,1))&amp;RIGHT(B17,LEN(B17) - 1)</f>
        <v>ordering</v>
      </c>
      <c r="E17" s="28" t="str">
        <f>A.Backend!H11</f>
        <v>int?</v>
      </c>
      <c r="F17" s="28" t="str">
        <f>A.Backend!G11</f>
        <v/>
      </c>
      <c r="G17" s="28" t="str">
        <f t="shared" ref="G17:G18" si="16">IF(E17="string"," : string = '' ; ",IF(OR(E17="DateTime",E17="TimeSpan")," : any ;",IF(E17="int"," : number = 0 ;","")))</f>
        <v/>
      </c>
      <c r="H17" s="35" t="str">
        <f t="shared" si="4"/>
        <v xml:space="preserve">			{headerName: this.l('Ordering'),headerTooltip: this.l('Ordering'),field: 'ordering',flex: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ordering</v>
      </c>
      <c r="T17" s="28" t="str">
        <f t="shared" si="14"/>
        <v xml:space="preserve">			this.ordering,</v>
      </c>
      <c r="U17" s="28" t="str">
        <f t="shared" si="15"/>
        <v xml:space="preserve">		this.ordering = '',</v>
      </c>
      <c r="V17" s="28" t="str">
        <f t="shared" si="8"/>
        <v/>
      </c>
    </row>
    <row r="18" spans="1:22" ht="15" customHeight="1" x14ac:dyDescent="0.25">
      <c r="A18" t="s">
        <v>360</v>
      </c>
      <c r="B18" s="28" t="str">
        <f t="shared" ref="B18" si="17">SUBSTITUTE(PROPER(A18),"_","")</f>
        <v>SideId</v>
      </c>
      <c r="C18" s="28" t="str">
        <f t="shared" ref="C18" si="18">SUBSTITUTE(PROPER(A18),"_"," ")</f>
        <v>Side Id</v>
      </c>
      <c r="D18" s="28" t="str">
        <f t="shared" ref="D18" si="19">LOWER(LEFT(B18,1))&amp;RIGHT(B18,LEN(B18) - 1)</f>
        <v>sideId</v>
      </c>
      <c r="E18" s="28" t="str">
        <f>A.Backend!H12</f>
        <v>int?</v>
      </c>
      <c r="F18" s="28" t="str">
        <f>A.Backend!G12</f>
        <v/>
      </c>
      <c r="G18" s="28" t="str">
        <f t="shared" si="16"/>
        <v/>
      </c>
      <c r="H18" s="35" t="str">
        <f t="shared" si="4"/>
        <v xml:space="preserve">			{headerName: this.l('Side Id'),headerTooltip: this.l('Side Id'),field: 'sideId',flex: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sideId</v>
      </c>
      <c r="T18" s="28" t="str">
        <f t="shared" si="14"/>
        <v xml:space="preserve">			this.sideId,</v>
      </c>
      <c r="U18" s="28" t="str">
        <f t="shared" si="15"/>
        <v xml:space="preserve">		this.sideId = '',</v>
      </c>
      <c r="V18" s="28" t="str">
        <f t="shared" si="8"/>
        <v/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2023-04-14T07:02:32Z</dcterms:modified>
</cp:coreProperties>
</file>
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master\inventory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17" i="5"/>
  <c r="D17" i="5" s="1"/>
  <c r="C17" i="5"/>
  <c r="L11" i="1" l="1"/>
  <c r="G11" i="1"/>
  <c r="F17" i="5" s="1"/>
  <c r="E11" i="1"/>
  <c r="H11" i="1" s="1"/>
  <c r="D11" i="1"/>
  <c r="V11" i="1" s="1"/>
  <c r="W11" i="1" l="1"/>
  <c r="E17" i="5"/>
  <c r="P11" i="1"/>
  <c r="T11" i="1"/>
  <c r="I11" i="1"/>
  <c r="N11" i="1"/>
  <c r="M11" i="1"/>
  <c r="J11" i="1"/>
  <c r="O11" i="1"/>
  <c r="B7" i="5"/>
  <c r="B6" i="5"/>
  <c r="B2" i="5"/>
  <c r="G17" i="5" l="1"/>
  <c r="T17" i="5"/>
  <c r="K17" i="5"/>
  <c r="I17" i="5"/>
  <c r="V17" i="5"/>
  <c r="S17" i="5"/>
  <c r="U17" i="5"/>
  <c r="H17" i="5"/>
  <c r="B8" i="5"/>
  <c r="B3" i="5"/>
  <c r="L17" i="5" l="1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T16" i="5"/>
  <c r="G16" i="5"/>
  <c r="S16" i="5" s="1"/>
  <c r="V16" i="5"/>
  <c r="K16" i="5"/>
  <c r="I16" i="5"/>
  <c r="L16" i="5"/>
  <c r="P10" i="1"/>
  <c r="V10" i="1"/>
  <c r="W10" i="1"/>
  <c r="J10" i="1"/>
  <c r="I10" i="1"/>
  <c r="O10" i="1"/>
  <c r="N10" i="1"/>
  <c r="M10" i="1"/>
  <c r="U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1"/>
  <c r="T13" i="5"/>
  <c r="T7" i="1" l="1"/>
  <c r="W13" i="1"/>
  <c r="G6" i="1" l="1"/>
  <c r="S13" i="5"/>
  <c r="K13" i="5"/>
  <c r="U13" i="5"/>
  <c r="L13" i="5"/>
  <c r="I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I13" i="1"/>
  <c r="O13" i="1"/>
  <c r="N13" i="1"/>
  <c r="P13" i="1"/>
  <c r="J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<sst xmlns="http://schemas.openxmlformats.org/spreadsheetml/2006/main" count="446" uniqueCount="367">
  <si>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</si>
  <si>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</si>
  <si>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</si>
  <si>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</si>
  <si>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</si>
  <si>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</si>
  <si>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</si>
  <si>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</si>
  <si>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</si>
  <si>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</si>
  <si>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</si>
  <si>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</si>
  <si>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</si>
  <si>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</si>
  <si>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</si>
  <si>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</si>
  <si>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</si>
  <si>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</si>
  <si>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</si>
  <si>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</si>
  <si>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</si>
  <si>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</si>
  <si>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</si>
  <si>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</si>
  <si>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</si>
  <si>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</si>
  <si>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</si>
  <si>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</si>
  <si>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</si>
  <si>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</si>
  <si>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</si>
  <si>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</si>
  <si>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</si>
  <si>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</si>
  <si>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</si>
  <si>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</si>
  <si>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</si>
  <si>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</si>
  <si>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</si>
  <si>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</si>
  <si>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</si>
  <si>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</si>
  <si>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</si>
  <si>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</si>
  <si>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</si>
  <si>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</si>
  <si>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</si>
  <si>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</si>
  <si>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</si>
  <si>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</si>
  <si>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</si>
  <si>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</si>
  <si>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</si>
  <si>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</si>
  <si>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</si>
  <si>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</si>
  <si>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</si>
  <si>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</si>
  <si>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</si>
  <si>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</si>
  <si>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</si>
  <si>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</si>
  <si>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</si>
  <si>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</si>
  <si>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</si>
  <si>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</si>
  <si>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</si>
  <si>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</si>
  <si>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</si>
  <si>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</si>
  <si>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</si>
  <si>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</si>
  <si>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</si>
  <si>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</si>
  <si>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</si>
  <si>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</si>
  <si>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</si>
  <si>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</si>
  <si>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</si>
  <si>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</si>
  <si>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</si>
  <si>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</si>
  <si>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</si>
  <si>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</si>
  <si>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</si>
  <si>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</si>
  <si>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</si>
  <si>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</si>
  <si>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</si>
  <si>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</si>
  <si>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</si>
  <si>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</si>
  <si>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</si>
  <si>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</si>
  <si>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</si>
  <si>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</si>
  <si>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</si>
  <si>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</si>
  <si>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</si>
  <si>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</si>
  <si>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</si>
  <si>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</si>
  <si>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</si>
  <si>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</si>
  <si>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</si>
  <si>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</si>
  <si>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</si>
  <si>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</si>
  <si>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</si>
  <si>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</si>
  <si>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</si>
  <si>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</si>
  <si>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</si>
  <si>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</si>
  <si>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</si>
  <si>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</si>
  <si>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</si>
  <si>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</si>
  <si>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</si>
  <si>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</si>
  <si>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</si>
  <si>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</si>
  <si>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</si>
  <si>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</si>
  <si>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</si>
  <si>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</si>
  <si>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</si>
  <si>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</si>
  <si>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</si>
  <si>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</si>
  <si>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</si>
  <si>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</si>
  <si>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</si>
  <si>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</si>
  <si>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</si>
  <si>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</si>
  <si>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</si>
  <si>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</si>
  <si>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</si>
  <si>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</si>
  <si>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</si>
  <si>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</si>
  <si>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</si>
  <si>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</si>
  <si>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</si>
  <si>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</si>
  <si>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</si>
  <si>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</si>
  <si>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</si>
  <si>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</si>
  <si>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</si>
  <si>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</si>
  <si>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</si>
  <si>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</si>
  <si>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</si>
  <si>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</si>
  <si>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</si>
  <si>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</si>
  <si>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</si>
  <si>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</si>
  <si>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</si>
  <si>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</si>
  <si>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</si>
  <si>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</si>
  <si>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</si>
  <si>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</si>
  <si>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</si>
  <si>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</si>
  <si>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</si>
  <si>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</si>
  <si>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</si>
  <si>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</si>
  <si>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</si>
  <si>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</si>
  <si>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</si>
  <si>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</si>
  <si>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</si>
  <si>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</si>
  <si>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</si>
  <si>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</si>
  <si>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</si>
  <si>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</si>
  <si>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</si>
  <si>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</si>
  <si>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</si>
  <si>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</si>
  <si>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</si>
  <si>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</si>
  <si>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</si>
  <si>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</si>
  <si>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</si>
  <si>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</si>
  <si>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</si>
  <si>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</si>
  <si>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</si>
  <si>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</si>
  <si>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</si>
  <si>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</si>
  <si>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</si>
  <si>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</si>
  <si>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</si>
  <si>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</si>
  <si>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</si>
  <si>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</si>
  <si>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</si>
  <si>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</si>
  <si>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</si>
  <si>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</si>
  <si>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</si>
  <si>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</si>
  <si>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</si>
  <si>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</si>
  <si>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</si>
  <si>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</si>
  <si>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</si>
  <si>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</si>
  <si>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</si>
  <si>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</si>
  <si>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</si>
  <si>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</si>
  <si>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</si>
  <si>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</si>
  <si>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</si>
  <si>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</si>
  <si>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</si>
  <si>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</si>
  <si>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</si>
  <si>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</si>
  <si>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</si>
  <si>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</si>
  <si>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</si>
  <si>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</si>
  <si>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</si>
  <si>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</si>
  <si>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</si>
  <si>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</si>
  <si>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</si>
  <si>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</si>
  <si>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</si>
  <si>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</si>
  <si>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</si>
  <si>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</si>
  <si>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</si>
  <si>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</si>
  <si>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</si>
  <si>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</si>
  <si>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</si>
  <si>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</si>
  <si>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</si>
  <si>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</si>
  <si>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</si>
  <si>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</si>
  <si>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</si>
  <si>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</si>
  <si>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</si>
  <si>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</si>
  <si>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</si>
  <si>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</si>
  <si>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</si>
  <si>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</si>
  <si>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</si>
  <si>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</si>
  <si>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</si>
  <si>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</si>
  <si>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</si>
  <si>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</si>
  <si>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</si>
  <si>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</si>
  <si>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</si>
  <si>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</si>
  <si>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</si>
  <si>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</si>
  <si>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</si>
  <si>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</si>
  <si>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</si>
  <si>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</si>
  <si>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</si>
  <si>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</si>
  <si>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</si>
  <si>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</si>
  <si>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</si>
  <si>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</si>
  <si>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</si>
  <si>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</si>
  <si>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</si>
  <si>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</si>
  <si>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</si>
  <si>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</si>
  <si>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</si>
  <si>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</si>
  <si>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</si>
  <si>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</si>
  <si>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</si>
  <si>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</si>
  <si>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</si>
  <si>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</si>
  <si>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</si>
  <si>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</si>
  <si>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</si>
  <si>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</si>
  <si>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</si>
  <si>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</si>
  <si>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</si>
  <si>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</si>
  <si>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</si>
  <si>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</si>
  <si>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</si>
  <si>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</si>
  <si>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</si>
  <si>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</si>
  <si>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</si>
  <si>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</si>
  <si>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</si>
  <si>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</si>
  <si>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</si>
  <si>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</si>
  <si>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</si>
  <si>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</si>
  <si>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</si>
  <si>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</si>
  <si>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</si>
  <si>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</si>
  <si>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</si>
  <si>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</si>
  <si>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</si>
  <si>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</si>
  <si>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</si>
  <si>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</si>
  <si>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</si>
  <si>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</si>
  <si>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</si>
  <si>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</si>
  <si>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</si>
  <si>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</si>
  <si>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</si>
  <si>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</si>
  <si>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</si>
  <si>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</si>
  <si>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</si>
  <si>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</si>
  <si>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</si>
  <si>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</si>
  <si>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</si>
  <si>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</si>
  <si>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</si>
  <si>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</si>
  <si>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</si>
  <si>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</si>
  <si>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</si>
  <si>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</si>
  <si>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</si>
  <si>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</si>
  <si>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</si>
  <si>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</si>
  <si>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</si>
  <si>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</si>
  <si>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nvarchar(255)</t>
  </si>
  <si>
    <t>nvarchar(50)</t>
  </si>
  <si>
    <t>CPS</t>
  </si>
  <si>
    <t>Cps</t>
  </si>
  <si>
    <t>InvCps</t>
  </si>
  <si>
    <t>ProductGroupCode</t>
  </si>
  <si>
    <t>ProductGroupName</t>
  </si>
  <si>
    <t>MstInvCpsInventoryGroup</t>
  </si>
  <si>
    <t>CpsInventoryGroup</t>
  </si>
  <si>
    <t>Cps Inventory Group</t>
  </si>
  <si>
    <t>Master.Inventory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</si>
</sst>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28" zoomScaleNormal="100" workbookViewId="0">
      <selection activeCell="F50" sqref="F50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  <c r="D51" t="s">
        <v>358</v>
      </c>
      <c r="F51" s="1" t="s">
        <v>359</v>
      </c>
      <c r="G51" t="s">
        <v>360</v>
      </c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[Table("MstInvCpsInventoryGroup")]
	public class MstInvCpsInventoryGroup: FullAuditedEntity&lt;long&gt;, IEntity&lt;long&gt;	
	{
		public const int MaxProductgroupcodeLength = 255;
		public const int MaxProductgroupnameLength = 50;
		public const int MaxIsActiveLength = 1;
		[StringLength(MaxProductgroupcodeLength)]
		public virtual string Productgroupcode { get; set; }
		[StringLength(MaxProductgroupnameLength)]
		public virtual string Productgroupname { get; set; }
		[StringLength(MaxIsActiveLength)]
		public virtual string IsActive { get; set; }
	}
}
</v>
      </c>
      <c r="D68" s="48" t="str">
        <f>A.Backend!O7</f>
        <v xml:space="preserve">		public const string Pages_Master_Inventory_CpsInventoryGroup = "Pages.Master.Inventory.CpsInventoryGroup";
		public const string Pages_Master_Inventory_CpsInventoryGroup_CreateEdit = "Pages.Master.Inventory.CpsInventoryGroup.CreateEdit";
		public const string Pages_Master_Inventory_CpsInventoryGroup_Delete = "Pages.Master.Inventory.CpsInventoryGroup.Delete";
</v>
      </c>
      <c r="E68" s="48" t="str">
        <f>A.Backend!N7</f>
        <v xml:space="preserve">		var perMstInvCpsInventoryGroup = PARENTS.CreateChildPermission(AppPermissions.Pages_Master_Inventory_CpsInventoryGroup, L( "MasterInventoryCpsInventoryGroup"), multiTenancySides: MultiTenancySides.Tenant);
		perMstInvCpsInventoryGroup.CreateChildPermission(AppPermissions.Pages_Master_Inventory_CpsInventoryGroup_CreateEdit, L( "MasterInventoryCpsInventoryGroupCreateEdit"), multiTenancySides: MultiTenancySides.Tenant);
		perMstInvCpsInventoryGroup.CreateChildPermission(AppPermissions.Pages_Master_Inventory_CpsInventoryGroup_Delete, L( "MasterInventoryCpsInventoryGroupDelete"), multiTenancySides: MultiTenancySides.Tenant);</v>
      </c>
      <c r="F68" s="48" t="str">
        <f>A.Backend!K7</f>
        <v>public virtual DbSet&lt;MstInvCpsInventoryGroup&gt; MstInvCpsInventoryGroups { get; set; }</v>
      </c>
      <c r="G68" s="48" t="str">
        <f ca="1">A.Backend!L7</f>
        <v xml:space="preserve">namespace prod.Master.Inventory
{
	public class MstInvCpsInventoryGroupConsts	
	{
		public const int MaxProductgroupcodeLength = 255;
		public const int MaxProductgroupnameLength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prod.Master.Inventory.Dto
{
	public class MstInvCpsInventoryGroupDto : EntityDto&lt;long?&gt;	
	{
		public virtual string Productgroupcode { get; set; }
		public virtual string Productgroupname { get; set; }
		public virtual string IsActive { get; set; }
	}
	public class CreateOrEditMstInvCpsInventoryGroupDto : EntityDto&lt;long?&gt;	
	{
		[StringLength(MstInvCpsInventoryGroupConsts.MaxProductgroupcodeLength)]
		public virtual string Productgroupcode { get; set; }
		[StringLength(MstInvCpsInventoryGroupConsts.MaxProductgroupnameLength)]
		public virtual string Productgroupname { get; set; }
		[StringLength(MstInvCpsInventoryGroupConsts.MaxIsActiveLength)]
		public virtual string IsActive { get; set; }
	}
	public class GetMstInvCpsInventoryGroupInput : PagedAndSortedResultRequestDto	
	{
		public virtual string Productgroupcode { get; set; }
		public virtual string Productgroupname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prod.Master.Inventory.Dto
{
	public class MstInvCpsInventoryGroupExportInput{
		public virtual string Productgroupcode { get; set; }
		public virtual string Productgroupname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IMstInvCpsInventoryGroupAppService : IApplicationService
	{
		Task&lt;PagedResultDto&lt;MstInvCpsInventoryGroupDto&gt;&gt; GetAll(GetMstInvCpsInventoryGroupInput input);
		Task CreateOrEdit(CreateOrEditMstInvCpsInventoryGroupDto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IMstInvCpsInventoryGroupExcelExporter : IApplicationService
	{
		FileDto ExportToFile(List&lt;MstInvCpsInventoryGroupDto&gt; mstinvcpsinventorygroup);
	}
}
</v>
      </c>
      <c r="L68" s="48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MstInvCpsInventoryGroupExcelExporter : NpoiExcelExporterBase, IMstInvCpsInventoryGroupExcelExporter
    {
        public MstInvCpsInventoryGroupExcelExporter(ITempFileCacheManager tempFileCacheManager) : base(tempFileCacheManager) { }
        public FileDto ExportToFile(List&lt;MstInvCpsInventoryGroupDto&gt; cpsinventorygroup)
        {
            return CreateExcelPackage(
				"MasterInventoryCpsInventoryGroup.xlsx",
				excelPackage =&gt;
				 {
					var sheet = excelPackage.CreateSheet("CpsInventoryGroup");
					AddHeader(
								sheet,
								("Productgroupcode"),
								("Productgroupname"),
								("IsActive"),
							   );
					AddObjects(
						 sheet, 1, cpsinventorygroup,                                       
								_ =&gt; _.Productgroupcode,
								_ =&gt; _.Productgroupname,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[AbpAuthorize(AppPermissions.Pages_Master_Inventory_CpsInventoryGroup)]
    public class MstInvCpsInventoryGroupAppService : vovinaAppServiceBase, IMstInvCpsInventoryGroupAppService
    {
        private readonly IDapperRepository&lt;MstInvCpsInventoryGroup, long&gt; _dapperRepo;
        private readonly IRepository&lt;MstInvCpsInventoryGroup, long&gt; _repo;
        private readonly IMstInvCpsInventoryGroupExcelExporter _calendarListExcelExporter;
        public MstInvCpsInventoryGroupAppService(IRepository&lt;MstInvCpsInventoryGroup,long&gt; repo, 
                                         IDapperRepository&lt;MstInvCpsInventoryGroup,long&gt; dapperRepo,
                                        IMstInvCpsInventoryGroupExcelExporter calendarListExcelExporter
            )
        {
            _repo = repo;
            _dapperRepo = dapperRepo;
            _calendarListExcelExporter = calendarListExcelExporter;
        }
        [AbpAuthorize(AppPermissions.Pages_Master_Inventory_CpsInventoryGroup_CreateEdit)]
        public async Task CreateOrEdit(CreateOrEditMstInvCpsInventoryGroupDto input)
        {
            if (input.Id == null) await Create(input);
            else await Update(input);
        }
        //CREATE
        private async Task Create(CreateOrEditMstInvCpsInventoryGroupDto input)
        {          
            var mainObj = ObjectMapper.Map&lt;MstInvCpsInventoryGroup&gt;(input);
            await CurrentUnitOfWork.GetDbContext&lt;vovinaDbContext&gt;().AddAsync(mainObj);
        }
        // EDIT
        private async Task Update(CreateOrEditMstInvCpsInventoryGroupDto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[AbpAuthorize(AppPermissions.Pages_Master_Inventory_CpsInventoryGroup_Delete)]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Task&lt;PagedResultDto&lt;MstInvCpsInventoryGroupDto&gt;&gt; GetAll(GetMstInvCpsInventoryGroupInput input)
        {
            var filtered = _repo.GetAll()
				.WhereIf(!string.IsNullOrWhiteSpace(input.Productgroupcode), e =&gt; e.Productgroupcode.Contains(input.Productgroupcode))
				.WhereIf(!string.IsNullOrWhiteSpace(input.Productgroupname), e =&gt; e.Productgroupname.Contains(input.Productgroupname))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MstInvCpsInventoryGroupDto
                        {
							Id = o.Id,
							Productgroupcode = o.Productgroupcode,
							Productgroupname = o.Productgroupname,
							IsActive = o.IsActive,
                        };
            var totalCount = await filtered.CountAsync();
			var paged = system.PageBy(input);
            return new PagedResultDto&lt;MstInvCpsInventoryGroupDto&gt;(
                totalCount,
                 await paged.ToListAsync()
            );
        }
        public async Task&lt;FileDto&gt; GetCpsInventoryGroupToExcel(MstInvCpsInventoryGroupExportInput input)
        {
            var query = from o in _repo.GetAll()
                        select new MstInvCpsInventoryGroupDto
                        {
							Id = o.Id,
							Productgroupcode = o.Productgroupcode,
							Productgroupname = o.Productgroupname,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_dapperRepo.ExecuteAsync(MstInvCpsInventoryGroupConsts.SP_MST_WPT_CALENDAR_GENERATE);
       // }
    }
}</v>
      </c>
      <c r="N68" s="58" t="str">
        <f>A.Backend!U7</f>
        <v xml:space="preserve">  configuration.CreateMap&lt;MstInvCpsInventoryGroupDto, MstInvCpsInventoryGroup&gt;();
  configuration.CreateMap&lt;MstInvCpsInventoryGroup, MstInvCpsInventoryGroupDto&gt;();
  configuration.CreateMap&lt;CreateOrEditMstInvCpsInventoryGroupDto, MstInvCpsInventoryGroup&gt;();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cpsinventorygroup</v>
      </c>
      <c r="C73" s="66" t="str">
        <f>"create folder " &amp;B73</f>
        <v>create folder cpsinventorygroup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cpsinventorygroup.component.ts</v>
      </c>
      <c r="D74" s="28" t="str">
        <f>B.Frontend!I14</f>
        <v>cpsinventorygroup.component.html</v>
      </c>
      <c r="E74" s="28" t="str">
        <f>B.Frontend!J14</f>
        <v>cpsinventorygroup.component.less</v>
      </c>
      <c r="F74" s="28" t="str">
        <f>B.Frontend!K14</f>
        <v>create-or-edit-cpsinventorygroup-modal.component.html</v>
      </c>
      <c r="G74" s="28" t="str">
        <f>B.Frontend!L14</f>
        <v>create-or-edit-cpsinventorygroup-modal.component.ts</v>
      </c>
      <c r="H74" s="28" t="str">
        <f>B.Frontend!M14</f>
        <v>create-or-edit-cpsinventorygroup-modal.component.less</v>
      </c>
      <c r="I74" s="28" t="str">
        <f>B.Frontend!N14</f>
        <v>cpsinventorygroup.module.ts</v>
      </c>
      <c r="J74" s="28" t="str">
        <f>B.Frontend!O14</f>
        <v>cpsinventorygroup-routing.module.ts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MstInvCpsInventoryGroupDto, MstInvCpsInventoryGroupServiceProxy } from '@shared/service-proxies/service-proxies';
import { finalize } from 'rxjs/internal/operators/finalize';
import { CreateOrEditCpsInventoryGroupModalComponent } from './create-or-edit-cpsinventorygroup-modal.component';
import { DatePipe } from '@angular/common';
import { FileDownloadService } from '@shared/utils/file-download.service';
import ceil from 'lodash-es/ceil';
import { Paginator } from 'primeng/paginator';
@Component({
    templateUrl: './cpsinventorygroup.component.html',
    styleUrls: ['./cpsinventorygroup.component.less'],
})
export class CpsInventoryGroupComponent extends AppComponentBase implements OnInit {
    @ViewChild('createOrEditModalCpsInventoryGroup', { static: true }) createOrEditModalCpsInventoryGroup:| CreateOrEditCpsInventoryGroupModalComponent|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MstInvCpsInventoryGroupDto = new MstInvCpsInventoryGroupDto();
    saveSelectedRow: MstInvCpsInventoryGroupDto = new MstInvCpsInventoryGroupDto();
    datas: MstInvCpsInventoryGroupDto = new MstInvCpsInventoryGroupDto();
    isLoading: boolean = false;
    dataParams: GridParams | undefined;
    rowData: any[] = [];
    gridApi!: GridApi;
    rowSelection = 'multiple';
    filter: string = '';
	pipe = new DatePipe('en-US');
	frameworkComponents: FrameworkComponent;
    	productgroupcode : string = '' ; 
	productgroupname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MstInvCpsInventoryGroupServiceProxy,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this.l('Productgroupcode'),headerTooltip: this.l('Productgroupcode'),field: 'productgroupcode',flex: 1},
			{headerName: this.l('Productgroupname'),headerTooltip: this.l('Productgroupname'),field: 'productgroupname',flex: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this.productgroupcode,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productgroupcode : string = '' ; 
	productgroupname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this.productgroupcode,
			'',
            this.paginationParams.skipCount,
            this.paginationParams.pageSize
        );
    }
    onChangeRowSelection(params: { api: { getSelectedRows: () =&gt; MstInvCpsInventoryGroupDto[] } }) {
        this.saveSelectedRow = params.api.getSelectedRows()[0] ?? new MstInvCpsInventoryGroupDto();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MstInvCpsInventoryGroupDto):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this._service.getCpsInventoryGroupToExcel(
			this.,
			this.productgroupcode,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Inventory Group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[(ngModel)]='productgroupcode' name='productgroupcode'
									class='form-control' [placeholder]="l('Productgroupcode')"
									type='text' (keyup.enter)='searchDatas()'&gt;
								&lt;/div&gt;
								&lt;div class='input-search'&gt;
									&lt;input [(ngModel)]='productgroupname' name='productgroupname'
									class='form-control' [placeholder]="l('Productgroupname')"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(click)="createOrEditModalCpsInventoryGroup.show()"&gt;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(click)="createOrEditModalCpsInventoryGroup.show(selectedRow)"&gt;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&lt;create-or-edit-cpsinventorygroup-modal
    #createOrEditModalCpsInventoryGroup
    (modalSave)="callBackDataGrid(dataParams)"
    (modalClose)="onChangeRowSelection(dataParams)"
&gt;
&lt;/create-or-edit-cpsinventorygroup-modal&gt;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#createOrEditModalCpsInventoryGroup="bs-modal"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CpsInventoryGroup')}}&lt;/h3&gt;
                    &lt;h3 *ngIf="!rowdata.id"&gt;{{('Create New CpsInventoryGroup')}}&lt;/h3&gt;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title'&gt;Productgroupcode&lt;/label&gt;
						&lt;input type='text' class='col-md-10 form-control input-text' name='Productgroupcode' [(ngModel)]='rowdata.productgroupcode'&gt;
					&lt;/div&gt;
					&lt;div class='col-md-12 form-group row'&gt;
						&lt;label class='col-md-2 form-control title'&gt;Productgroupname&lt;/label&gt;
						&lt;input type='text' class='col-md-10 form-control input-text' name='Productgroupname' [(ngModel)]='rowdata.productgroupname'&gt;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CreateOrEditMstInvCpsInventoryGroupDto, MstInvCpsInventoryGroupServiceProxy } from '@shared/service-proxies/service-proxies';
import { BsDatepickerDirective } from 'ngx-bootstrap/datepicker';
@Component({
    selector: 'create-or-edit-cpsinventorygroup-modal',
    templateUrl: './create-or-edit-cpsinventorygroup-modal.component.html',
    styleUrls: ['./create-or-edit-cpsinventorygroup-modal.component.less']
    })
export class CreateOrEditCpsInventoryGroupModalComponent extends AppComponentBase {
    @ViewChild('createOrEditModalCpsInventoryGroup',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CreateOrEditMstInvCpsInventoryGroupDto = new CreateOrEditMstInvCpsInventoryGroupDto();
    active: boolean = false;
    saving: boolean = false;
    _isActive: boolean;
    constructor(
        injector: Injector,
        private _mstwptCpsInventoryGroupService: MstInvCpsInventoryGroupServiceProxy,
    ) 
    {
        super(injector);
    }
    show(rowdata?: CreateOrEditMstInvCpsInventoryGroupDto): void {
        if (!rowdata) this.rowdata = new CreateOrEditMstInvCpsInventoryGroupDto();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this._mstwptCpsInventoryGroupService.createOrEdit(this.rowdata)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CpsInventoryGroupRoutingModule } from './cpsinventorygroup-routing.module';
import { CpsInventoryGroupComponent } from './cpsinventorygroup.component';
import { CreateOrEditCpsInventoryGroupModalComponent } from './create-or-edit-cpsinventorygroup-modal.component';
@NgModule({
    declarations: [
       CpsInventoryGroupComponent, 
        CreateOrEditCpsInventoryGroupModalComponent
    ],
    imports: [
        AppSharedModule, CpsInventoryGroupRoutingModule]
})
export class CpsInventoryGroupModule {}</v>
      </c>
      <c r="J75" s="46" t="str">
        <f>B.Frontend!O10</f>
        <v>import {NgModule} from '@angular/core';
import {RouterModule, Routes} from '@angular/router';
import { CpsInventoryGroupComponent } from './cpsinventorygroup.component';
const routes: Routes = [{
    path: '',
    component: CpsInventoryGroupComponent,
    pathMatch: 'full'
}];
@NgModule({
    imports: [RouterModule.forChild(routes)],
    exports: [RouterModule],
})
export class CpsInventoryGroupRoutingModule {}</v>
      </c>
      <c r="K75" s="46" t="str">
        <f>B.Frontend!P10</f>
        <v xml:space="preserve"> new AppMenuItem("CpsInventoryGroup", "Pages.Master.Inventory.CpsInventoryGroup", "flaticon-book",   "/app/main/master/inventory/cpsinventorygroup"),</v>
      </c>
      <c r="L75" s="47" t="str">
        <f>B.Frontend!Q10</f>
        <v>{
    path: 'master/inventory/cpsinventorygroup',
    loadChildren: () =&gt; import('./master/inventory/cpsinventorygroup/cpsinventorygroup.module').then(m =&gt; m.CpsInventoryGroupModule),
    data: { permission: 'Pages.Master.Inventory.CpsInventoryGroup' }
},</v>
      </c>
      <c r="M75" s="45" t="str">
        <f>B.Frontend!R10</f>
        <v>ApiServiceProxies.MstInvCpsInventoryGroupServiceProxy,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B2" sqref="B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366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363</v>
      </c>
      <c r="C3" s="9" t="s">
        <v>40</v>
      </c>
      <c r="D3" s="9" t="s">
        <v>41</v>
      </c>
      <c r="E3" s="9" t="s">
        <v>36</v>
      </c>
      <c r="F3" s="10" t="str">
        <f>"J"&amp;COUNTA($A:$A)</f>
        <v>J11</v>
      </c>
      <c r="G3" s="4" t="s">
        <v>53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52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Inventory</v>
      </c>
      <c r="R3" s="29" t="str">
        <f>REPT(CHAR(9),1)&amp;"public class "&amp;B3&amp;"ExportInput"&amp;C3</f>
        <v xml:space="preserve">	public class MstInvCpsInventoryGroupExportInput{
</v>
      </c>
      <c r="S3" s="10" t="str">
        <f>"namespace "&amp;$B$6&amp;".Exporting
"&amp;$C$3</f>
        <v xml:space="preserve">namespace prod.Master.Inventory.Exporting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364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prod.Master.Inventory</v>
      </c>
      <c r="C6" s="10" t="str">
        <f>"namespace "&amp;$B$6&amp;"
"&amp;$C$3</f>
        <v xml:space="preserve">namespace prod.Master.Inventory
{
</v>
      </c>
      <c r="D6" s="10" t="str">
        <f>REPT(CHAR(9),1)&amp;"public class "&amp;B3&amp;G3&amp;REPT(CHAR(9),1)&amp;"
"&amp;REPT(CHAR(9),1)&amp;C3</f>
        <v xml:space="preserve">	public class MstInvCpsInventoryGroup: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MstInvCpsInventoryGroupConsts	
	{
</v>
      </c>
      <c r="F6" s="10" t="str">
        <f>REPT(CHAR(9),1)&amp;"public class "&amp;B3&amp;"Dto"&amp;K3&amp;REPT(CHAR(9),1)&amp;"
"&amp;REPT(CHAR(9),1)&amp;C3</f>
        <v xml:space="preserve">	public class MstInvCpsInventoryGroupDto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CreateOrEditMstInvCpsInventoryGroupDto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GetMstInvCpsInventoryGroupInput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MstInvCpsInventoryGroup</v>
      </c>
      <c r="C7" s="10" t="str">
        <f>REPT(CHAR(9),1)&amp;"[Table("""&amp;B7&amp;""")]"&amp;"
"</f>
        <v xml:space="preserve">	[Table("MstInvCpsInventoryGroup")]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[Table("MstInvCpsInventoryGroup")]
	public class MstInvCpsInventoryGroup: FullAuditedEntity&lt;long&gt;, IEntity&lt;long&gt;	
	{
		public const int MaxProductgroupcodeLength = 255;
		public const int MaxProductgroupnameLength = 50;
		public const int MaxIsActiveLength = 1;
		[StringLength(MaxProductgroupcodeLength)]
		public virtual string Productgroupcode { get; set; }
		[StringLength(MaxProductgroupnameLength)]
		public virtual string Productgroupname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DbSet&lt;MstInvCpsInventoryGroup&gt; MstInvCpsInventoryGroups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MstInvCpsInventoryGroupConsts	
	{
		public const int MaxProductgroupcodeLength = 255;
		public const int MaxProductgroupnameLength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prod.Master.Inventory.Dto
{
	public class MstInvCpsInventoryGroupDto : EntityDto&lt;long?&gt;	
	{
		public virtual string Productgroupcode { get; set; }
		public virtual string Productgroupname { get; set; }
		public virtual string IsActive { get; set; }
	}
	public class CreateOrEditMstInvCpsInventoryGroupDto : EntityDto&lt;long?&gt;	
	{
		[StringLength(MstInvCpsInventoryGroupConsts.MaxProductgroupcodeLength)]
		public virtual string Productgroupcode { get; set; }
		[StringLength(MstInvCpsInventoryGroupConsts.MaxProductgroupnameLength)]
		public virtual string Productgroupname { get; set; }
		[StringLength(MstInvCpsInventoryGroupConsts.MaxIsActiveLength)]
		public virtual string IsActive { get; set; }
	}
	public class GetMstInvCpsInventoryGroupInput : PagedAndSortedResultRequestDto	
	{
		public virtual string Productgroupcode { get; set; }
		public virtual string Productgroupname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perMstInvCpsInventoryGroup = PARENTS.CreateChildPermission(AppPermissions.Pages_Master_Inventory_CpsInventoryGroup, L( "MasterInventoryCpsInventoryGroup"), multiTenancySides: MultiTenancySides.Tenant);
		perMstInvCpsInventoryGroup.CreateChildPermission(AppPermissions.Pages_Master_Inventory_CpsInventoryGroup_CreateEdit, L( "MasterInventoryCpsInventoryGroupCreateEdit"), multiTenancySides: MultiTenancySides.Tenant);
		perMstInvCpsInventoryGroup.CreateChildPermission(AppPermissions.Pages_Master_Inventory_CpsInventoryGroup_Delete, L( "MasterInventoryCpsInventoryGroupDelete"),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Pages_Master_Inventory_CpsInventoryGroup = "Pages.Master.Inventory.CpsInventoryGroup";
		public const string Pages_Master_Inventory_CpsInventoryGroup_CreateEdit = "Pages.Master.Inventory.CpsInventoryGroup.CreateEdit";
		public const string Pages_Master_Inventory_CpsInventoryGroup_Delete = "Pages.Master.Inventory.CpsInventoryGroup.Delete";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IMstInvCpsInventoryGroupAppService : IApplicationService
	{
		Task&lt;PagedResultDto&lt;MstInvCpsInventoryGroupDto&gt;&gt; GetAll(GetMstInvCpsInventoryGroupInput input);
		Task CreateOrEdit(CreateOrEditMstInvCpsInventoryGroupDto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[AbpAuthorize(AppPermissions.Pages_Master_Inventory_CpsInventoryGroup)]
    public class MstInvCpsInventoryGroupAppService : vovinaAppServiceBase, IMstInvCpsInventoryGroupAppService
    {
        private readonly IDapperRepository&lt;MstInvCpsInventoryGroup, long&gt; _dapperRepo;
        private readonly IRepository&lt;MstInvCpsInventoryGroup, long&gt; _repo;
        private readonly IMstInvCpsInventoryGroupExcelExporter _calendarListExcelExporter;
        public MstInvCpsInventoryGroupAppService(IRepository&lt;MstInvCpsInventoryGroup,long&gt; repo, 
                                         IDapperRepository&lt;MstInvCpsInventoryGroup,long&gt; dapperRepo,
                                        IMstInvCpsInventoryGroupExcelExporter calendarListExcelExporter
            )
        {
            _repo = repo;
            _dapperRepo = dapperRepo;
            _calendarListExcelExporter = calendarListExcelExporter;
        }
        [AbpAuthorize(AppPermissions.Pages_Master_Inventory_CpsInventoryGroup_CreateEdit)]
        public async Task CreateOrEdit(CreateOrEditMstInvCpsInventoryGroupDto input)
        {
            if (input.Id == null) await Create(input);
            else await Update(input);
        }
        //CREATE
        private async Task Create(CreateOrEditMstInvCpsInventoryGroupDto input)
        {          
            var mainObj = ObjectMapper.Map&lt;MstInvCpsInventoryGroup&gt;(input);
            await CurrentUnitOfWork.GetDbContext&lt;vovinaDbContext&gt;().AddAsync(mainObj);
        }
        // EDIT
        private async Task Update(CreateOrEditMstInvCpsInventoryGroupDto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[AbpAuthorize(AppPermissions.Pages_Master_Inventory_CpsInventoryGroup_Delete)]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Task&lt;PagedResultDto&lt;MstInvCpsInventoryGroupDto&gt;&gt; GetAll(GetMstInvCpsInventoryGroupInput input)
        {
            var filtered = _repo.GetAll()
				.WhereIf(!string.IsNullOrWhiteSpace(input.Productgroupcode), e =&gt; e.Productgroupcode.Contains(input.Productgroupcode))
				.WhereIf(!string.IsNullOrWhiteSpace(input.Productgroupname), e =&gt; e.Productgroupname.Contains(input.Productgroupname))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MstInvCpsInventoryGroupDto
                        {
							Id = o.Id,
							Productgroupcode = o.Productgroupcode,
							Productgroupname = o.Productgroupname,
							IsActive = o.IsActive,
                        };
            var totalCount = await filtered.CountAsync();
			var paged = system.PageBy(input);
            return new PagedResultDto&lt;MstInvCpsInventoryGroupDto&gt;(
                totalCount,
                 await paged.ToListAsync()
            );
        }
        public async Task&lt;FileDto&gt; GetCpsInventoryGroupToExcel(MstInvCpsInventoryGroupExportInput input)
        {
            var query = from o in _repo.GetAll()
                        select new MstInvCpsInventoryGroupDto
                        {
							Id = o.Id,
							Productgroupcode = o.Productgroupcode,
							Productgroupname = o.Productgroupname,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_dapperRepo.ExecuteAsync(MstInvCpsInventoryGroupConsts.SP_MST_WPT_CALENDAR_GENERATE);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prod.Master.Inventory.Dto
{
	public class MstInvCpsInventoryGroupExportInput{
		public virtual string Productgroupcode { get; set; }
		public virtual string Productgroupname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IMstInvCpsInventoryGroupExcelExporter : IApplicationService
	{
		FileDto ExportToFile(List&lt;MstInvCpsInventoryGroupDto&gt; mstinvcpsinventorygroup);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MstInvCpsInventoryGroupExcelExporter : NpoiExcelExporterBase, IMstInvCpsInventoryGroupExcelExporter
    {
        public MstInvCpsInventoryGroupExcelExporter(ITempFileCacheManager tempFileCacheManager) : base(tempFileCacheManager) { }
        public FileDto ExportToFile(List&lt;MstInvCpsInventoryGroupDto&gt; cpsinventorygroup)
        {
            return CreateExcelPackage(
				"MasterInventoryCpsInventoryGroup.xlsx",
				excelPackage =&gt;
				 {
					var sheet = excelPackage.CreateSheet("CpsInventoryGroup");
					AddHeader(
								sheet,
								("Productgroupcode"),
								("Productgroupname"),
								("IsActive"),
							   );
					AddObjects(
						 sheet, 1, cpsinventorygroup,                                       
								_ =&gt; _.Productgroupcode,
								_ =&gt; _.Productgroupname,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configuration.CreateMap&lt;MstInvCpsInventoryGroupDto, MstInvCpsInventoryGroup&gt;();
  configuration.CreateMap&lt;MstInvCpsInventoryGroup, MstInvCpsInventoryGroupDto&gt;();
  configuration.CreateMap&lt;CreateOrEditMstInvCpsInventoryGroupDto, MstInvCpsInventoryGroup&gt;();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361</v>
      </c>
      <c r="B9" s="28" t="s">
        <v>356</v>
      </c>
      <c r="C9" t="s">
        <v>1</v>
      </c>
      <c r="D9" t="str">
        <f t="shared" ref="D9" si="0">SUBSTITUTE(PROPER(A9),"_","")</f>
        <v>Productgroupcode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255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MaxProductgroupcodeLength = 255;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[StringLength(MaxProductgroupcodeLength)]
		public virtual string Productgroupcode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Productgroupcode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[StringLength(MstInvCpsInventoryGroupConsts.MaxProductgroupcodeLength)]
		public virtual string Productgroupcode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Productgroupcode { get; set; }
</v>
      </c>
      <c r="P9" t="str">
        <f t="shared" ref="P9" si="9">REPT(CHAR(9),7)&amp;D9&amp;" = o." &amp;D9 &amp;","</f>
        <v xml:space="preserve">							Productgroupcode = o.Productgroupcode,</v>
      </c>
      <c r="T9" s="63" t="str">
        <f t="shared" ref="T9" si="10">REPT(CHAR(9),8)&amp;"("""&amp;D9&amp;"""),"</f>
        <v xml:space="preserve">								("Productgroupcode"),</v>
      </c>
      <c r="V9" s="64" t="str">
        <f t="shared" ref="V9" si="11">REPT(CHAR(9),8)&amp;"_ =&gt; _."&amp;D9&amp;","</f>
        <v xml:space="preserve">								_ =&gt; _.Productgroupcode,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.WhereIf(!string.IsNullOrWhiteSpace(input.Productgroupcode), e =&gt; e.Productgroupcode.Contains(input.Productgroupcode))</v>
      </c>
    </row>
    <row r="10" spans="1:23" customFormat="1" ht="18.75" customHeight="1" x14ac:dyDescent="0.25">
      <c r="A10" s="28" t="s">
        <v>362</v>
      </c>
      <c r="B10" s="28" t="s">
        <v>357</v>
      </c>
      <c r="C10" t="s">
        <v>1</v>
      </c>
      <c r="D10" t="str">
        <f t="shared" ref="D10" si="13">SUBSTITUTE(PROPER(A10),"_","")</f>
        <v>Productgroupname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MaxProductgroupnameLength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[StringLength(MaxProductgroupnameLength)]
		public virtual string Productgroupname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Productgroupname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[StringLength(MstInvCpsInventoryGroupConsts.MaxProductgroupnameLength)]
		public virtual string Productgroupname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Productgroupname { get; set; }
</v>
      </c>
      <c r="P10" t="str">
        <f t="shared" ref="P10" si="22">REPT(CHAR(9),7)&amp;D10&amp;" = o." &amp;D10 &amp;","</f>
        <v xml:space="preserve">							Productgroupname = o.Productgroupname,</v>
      </c>
      <c r="T10" s="63" t="str">
        <f t="shared" ref="T10" si="23">REPT(CHAR(9),8)&amp;"("""&amp;D10&amp;"""),"</f>
        <v xml:space="preserve">								("Productgroupname"),</v>
      </c>
      <c r="V10" s="64" t="str">
        <f t="shared" ref="V10" si="24">REPT(CHAR(9),8)&amp;"_ =&gt; _."&amp;D10&amp;","</f>
        <v xml:space="preserve">								_ =&gt; _.Productgroupname,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.WhereIf(!string.IsNullOrWhiteSpace(input.Productgroupname), e =&gt; e.Productgroupname.Contains(input.Productgroupname))</v>
      </c>
    </row>
    <row r="11" spans="1:23" customFormat="1" ht="18.75" customHeight="1" x14ac:dyDescent="0.25">
      <c r="A11" s="28" t="s">
        <v>318</v>
      </c>
      <c r="B11" s="28" t="s">
        <v>355</v>
      </c>
      <c r="C11" t="s">
        <v>1</v>
      </c>
      <c r="D11" t="str">
        <f t="shared" ref="D11" si="26">SUBSTITUTE(PROPER(A11),"_","")</f>
        <v>IsActive</v>
      </c>
      <c r="E11" t="str">
        <f t="shared" ref="E11" si="27">IFERROR(LEFT(B11, FIND("(",B11)-1),B11)</f>
        <v>varchar</v>
      </c>
      <c r="F11" s="6"/>
      <c r="G11" t="str">
        <f t="shared" ref="G11" si="28">IFERROR(MID(B11,FIND("(",B11) +1, FIND(")",B11) - FIND("(",B11) - 1),"")</f>
        <v>1</v>
      </c>
      <c r="H11" t="str">
        <f>+VLOOKUP(E11,'Data Type Mapping'!A:B,2,)</f>
        <v>string</v>
      </c>
      <c r="I11" t="str">
        <f t="shared" ref="I11" si="29">IF(H11="string",REPT(CHAR(9),2)&amp;"public const int Max"&amp;D11&amp;"Length = "&amp;G11&amp;";"&amp;$E$3,"" )</f>
        <v xml:space="preserve">		public const int MaxIsActiveLength = 1;
</v>
      </c>
      <c r="J11" t="str">
        <f t="shared" ref="J1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/>
      <c r="L11" t="str">
        <f t="shared" ref="L11" si="31">IF(K11="","",REPT(CHAR(9),1)&amp;"[Index(nameof("&amp;IF(D11="","",""&amp;D11)&amp;")"&amp;", Name="&amp;"""IX_"&amp;$B$7&amp;"_"&amp;D11&amp;""")]")</f>
        <v/>
      </c>
      <c r="M11" t="str">
        <f t="shared" ref="M11" si="32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[StringLength(MstInvCpsInventoryGroupConsts.MaxIsActiveLength)]
		public virtual string IsActive { get; set; }
</v>
      </c>
      <c r="O11" t="str">
        <f t="shared" ref="O11" si="34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5">REPT(CHAR(9),7)&amp;D11&amp;" = o." &amp;D11 &amp;","</f>
        <v xml:space="preserve">							IsActive = o.IsActive,</v>
      </c>
      <c r="T11" s="63" t="str">
        <f t="shared" ref="T11" si="36">REPT(CHAR(9),8)&amp;"("""&amp;D11&amp;"""),"</f>
        <v xml:space="preserve">								("IsActive"),</v>
      </c>
      <c r="V11" s="64" t="str">
        <f t="shared" ref="V11" si="37">REPT(CHAR(9),8)&amp;"_ =&gt; _."&amp;D11&amp;","</f>
        <v xml:space="preserve">								_ =&gt; _.IsActive,</v>
      </c>
      <c r="W11" s="63" t="str">
        <f t="shared" ref="W1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MaxProductgroupcodeLength = 255;
		public const int MaxProductgroupnameLength = 50;
		public const int MaxIsActiveLength = 1;
</v>
      </c>
      <c r="J13" s="30" t="str">
        <f ca="1">TEXTJOIN2("
", TRUE,INDIRECT( $F$1):INDIRECT( $F$3))</f>
        <v xml:space="preserve">		[StringLength(MaxProductgroupcodeLength)]
		public virtual string Productgroupcode { get; set; }
		[StringLength(MaxProductgroupnameLength)]
		public virtual string Productgroupname { get; set; }
		[StringLength(MaxIsActiveLength)]
		public virtual string IsActive { get; set; }
</v>
      </c>
      <c r="K13" s="32" t="str">
        <f ca="1">TEXTJOIN2("
", TRUE,INDIRECT( $J$1):INDIRECT( $J$3))</f>
        <v/>
      </c>
      <c r="L13" s="12" t="s">
        <v>56</v>
      </c>
      <c r="M13" s="33" t="str">
        <f ca="1">TEXTJOIN2("
",TRUE,INDIRECT( $L$1):INDIRECT($L$3))</f>
        <v xml:space="preserve">		public virtual string Productgroupcode { get; set; }
		public virtual string Productgroupname { get; set; }
		public virtual string IsActive { get; set; }
</v>
      </c>
      <c r="N13" s="30" t="str">
        <f ca="1">TEXTJOIN2("
",TRUE,INDIRECT( $M$1):INDIRECT($M$3))</f>
        <v xml:space="preserve">		[StringLength(MstInvCpsInventoryGroupConsts.MaxProductgroupcodeLength)]
		public virtual string Productgroupcode { get; set; }
		[StringLength(MstInvCpsInventoryGroupConsts.MaxProductgroupnameLength)]
		public virtual string Productgroupname { get; set; }
		[StringLength(MstInvCpsInventoryGroupConsts.MaxIsActiveLength)]
		public virtual string IsActive { get; set; }
</v>
      </c>
      <c r="O13" s="30" t="str">
        <f ca="1">TEXTJOIN2("
",TRUE,INDIRECT( $N$1):INDIRECT($N$3))</f>
        <v xml:space="preserve">		public virtual string Productgroupcode { get; set; }
		public virtual string Productgroupname { get; set; }
		public virtual string IsActive { get; set; }
</v>
      </c>
      <c r="P13" s="8" t="str">
        <f ca="1">TEXTJOIN2("
",TRUE,INDIRECT( $O$1):INDIRECT($O$3))</f>
        <v xml:space="preserve">							Productgroupcode = o.Productgroupcode,
							Productgroupname = o.Productgroupname,
							IsActive = o.IsActive,</v>
      </c>
      <c r="T13" s="8" t="str">
        <f ca="1">TEXTJOIN2("
",TRUE,INDIRECT( $T$2):INDIRECT($T$3))</f>
        <v xml:space="preserve">								("Productgroupcode"),
								("Productgroupname"),
								("IsActive"),</v>
      </c>
      <c r="V13" s="8" t="str">
        <f ca="1">TEXTJOIN2("
",TRUE,INDIRECT( $V$2):INDIRECT($V$3))</f>
        <v xml:space="preserve">								_ =&gt; _.Productgroupcode,
								_ =&gt; _.Productgroupname,
								_ =&gt; _.IsActive,</v>
      </c>
      <c r="W13" s="8" t="str">
        <f ca="1">TEXTJOIN2("
",TRUE,INDIRECT( $W$2):INDIRECT($W$3))</f>
        <v xml:space="preserve">				.WhereIf(!string.IsNullOrWhiteSpace(input.Productgroupcode), e =&gt; e.Productgroupcode.Contains(input.Productgroupcode))
				.WhereIf(!string.IsNullOrWhiteSpace(input.Productgroupname), e =&gt; e.Productgroupname.Contains(input.Productgroupname))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11" sqref="B10:B1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Inventory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inventory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MstInvCpsInventoryGroup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CpsInventoryGroup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cpsinventorygroup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MstInvCpsInventoryGroupDto, MstInvCpsInventoryGroupServiceProxy } from '@shared/service-proxies/service-proxies';
import { finalize } from 'rxjs/internal/operators/finalize';
import { CreateOrEditCpsInventoryGroupModalComponent } from './create-or-edit-cpsinventorygroup-modal.component';
import { DatePipe } from '@angular/common';
import { FileDownloadService } from '@shared/utils/file-download.service';
import ceil from 'lodash-es/ceil';
import { Paginator } from 'primeng/paginator';
@Component({
    templateUrl: './cpsinventorygroup.component.html',
    styleUrls: ['./cpsinventorygroup.component.less'],
})
export class CpsInventoryGroupComponent extends AppComponentBase implements OnInit {
    @ViewChild('createOrEditModalCpsInventoryGroup', { static: true }) createOrEditModalCpsInventoryGroup:| CreateOrEditCpsInventoryGroupModalComponent|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MstInvCpsInventoryGroupDto = new MstInvCpsInventoryGroupDto();
    saveSelectedRow: MstInvCpsInventoryGroupDto = new MstInvCpsInventoryGroupDto();
    datas: MstInvCpsInventoryGroupDto = new MstInvCpsInventoryGroupDto();
    isLoading: boolean = false;
    dataParams: GridParams | undefined;
    rowData: any[] = [];
    gridApi!: GridApi;
    rowSelection = 'multiple';
    filter: string = '';
	pipe = new DatePipe('en-US');
	frameworkComponents: FrameworkComponent;
    	productgroupcode : string = '' ; 
	productgroupname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MstInvCpsInventoryGroupServiceProxy,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this.l('Productgroupcode'),headerTooltip: this.l('Productgroupcode'),field: 'productgroupcode',flex: 1},
			{headerName: this.l('Productgroupname'),headerTooltip: this.l('Productgroupname'),field: 'productgroupname',flex: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this.productgroupcode,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productgroupcode : string = '' ; 
	productgroupname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this.productgroupcode,
			'',
            this.paginationParams.skipCount,
            this.paginationParams.pageSize
        );
    }
    onChangeRowSelection(params: { api: { getSelectedRows: () =&gt; MstInvCpsInventoryGroupDto[] } }) {
        this.saveSelectedRow = params.api.getSelectedRows()[0] ?? new MstInvCpsInventoryGroupDto();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MstInvCpsInventoryGroupDto):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this._service.getCpsInventoryGroupToExcel(
			this.,
			this.productgroupcode,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Inventory Group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[(ngModel)]='productgroupcode' name='productgroupcode'
									class='form-control' [placeholder]="l('Productgroupcode')"
									type='text' (keyup.enter)='searchDatas()'&gt;
								&lt;/div&gt;
								&lt;div class='input-search'&gt;
									&lt;input [(ngModel)]='productgroupname' name='productgroupname'
									class='form-control' [placeholder]="l('Productgroupname')"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(click)="createOrEditModalCpsInventoryGroup.show()"&gt;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(click)="createOrEditModalCpsInventoryGroup.show(selectedRow)"&gt;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&lt;create-or-edit-cpsinventorygroup-modal
    #createOrEditModalCpsInventoryGroup
    (modalSave)="callBackDataGrid(dataParams)"
    (modalClose)="onChangeRowSelection(dataParams)"
&gt;
&lt;/create-or-edit-cpsinventorygroup-modal&gt;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#createOrEditModalCpsInventoryGroup="bs-modal"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CpsInventoryGroup')}}&lt;/h3&gt;
                    &lt;h3 *ngIf="!rowdata.id"&gt;{{('Create New CpsInventoryGroup')}}&lt;/h3&gt;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title'&gt;Productgroupcode&lt;/label&gt;
						&lt;input type='text' class='col-md-10 form-control input-text' name='Productgroupcode' [(ngModel)]='rowdata.productgroupcode'&gt;
					&lt;/div&gt;
					&lt;div class='col-md-12 form-group row'&gt;
						&lt;label class='col-md-2 form-control title'&gt;Productgroupname&lt;/label&gt;
						&lt;input type='text' class='col-md-10 form-control input-text' name='Productgroupname' [(ngModel)]='rowdata.productgroupname'&gt;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CreateOrEditMstInvCpsInventoryGroupDto, MstInvCpsInventoryGroupServiceProxy } from '@shared/service-proxies/service-proxies';
import { BsDatepickerDirective } from 'ngx-bootstrap/datepicker';
@Component({
    selector: 'create-or-edit-cpsinventorygroup-modal',
    templateUrl: './create-or-edit-cpsinventorygroup-modal.component.html',
    styleUrls: ['./create-or-edit-cpsinventorygroup-modal.component.less']
    })
export class CreateOrEditCpsInventoryGroupModalComponent extends AppComponentBase {
    @ViewChild('createOrEditModalCpsInventoryGroup',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CreateOrEditMstInvCpsInventoryGroupDto = new CreateOrEditMstInvCpsInventoryGroupDto();
    active: boolean = false;
    saving: boolean = false;
    _isActive: boolean;
    constructor(
        injector: Injector,
        private _mstwptCpsInventoryGroupService: MstInvCpsInventoryGroupServiceProxy,
    ) 
    {
        super(injector);
    }
    show(rowdata?: CreateOrEditMstInvCpsInventoryGroupDto): void {
        if (!rowdata) this.rowdata = new CreateOrEditMstInvCpsInventoryGroupDto();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this._mstwptCpsInventoryGroupService.createOrEdit(this.rowdata)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CpsInventoryGroupRoutingModule } from './cpsinventorygroup-routing.module';
import { CpsInventoryGroupComponent } from './cpsinventorygroup.component';
import { CreateOrEditCpsInventoryGroupModalComponent } from './create-or-edit-cpsinventorygroup-modal.component';
@NgModule({
    declarations: [
       CpsInventoryGroupComponent, 
        CreateOrEditCpsInventoryGroupModalComponent
    ],
    imports: [
        AppSharedModule, CpsInventoryGroupRoutingModule]
})
export class CpsInventoryGroupModule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CpsInventoryGroupComponent } from './cpsinventorygroup.component';
const routes: Routes = [{
    path: '',
    component: CpsInventoryGroupComponent,
    pathMatch: 'full'
}];
@NgModule({
    imports: [RouterModule.forChild(routes)],
    exports: [RouterModule],
})
export class CpsInventoryGroupRoutingModule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AppMenuItem("CpsInventoryGroup", "Pages.Master.Inventory.CpsInventoryGroup", "flaticon-book",   "/app/main/master/inventory/cpsinventorygroup"),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'master/inventory/cpsinventorygroup',
    loadChildren: () =&gt; import('./master/inventory/cpsinventorygroup/cpsinventorygroup.module').then(m =&gt; m.CpsInventoryGroupModule),
    data: { permission: 'Pages.Master.Inventory.CpsInventoryGroup' }
},</v>
      </c>
      <c r="R10" s="47" t="str">
        <f>SUBSTITUTE(R9,"MstWptCalendar",$B$6)</f>
        <v>ApiServiceProxies.MstInvCpsInventoryGroupServiceProxy,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this.l('Productgroupcode'),headerTooltip: this.l('Productgroupcode'),field: 'productgroupcode',flex: 1},
			{headerName: this.l('Productgroupname'),headerTooltip: this.l('Productgroupname'),field: 'productgroupname',flex: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[(ngModel)]='productgroupcode' name='productgroupcode'
									class='form-control' [placeholder]="l('Productgroupcode')"
									type='text' (keyup.enter)='searchDatas()'&gt;
								&lt;/div&gt;
								&lt;div class='input-search'&gt;
									&lt;input [(ngModel)]='productgroupname' name='productgroupname'
									class='form-control' [placeholder]="l('Productgroupname')"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title'&gt;Productgroupcode&lt;/label&gt;
						&lt;input type='text' class='col-md-10 form-control input-text' name='Productgroupcode' [(ngModel)]='rowdata.productgroupcode'&gt;
					&lt;/div&gt;
					&lt;div class='col-md-12 form-group row'&gt;
						&lt;label class='col-md-2 form-control title'&gt;Productgroupname&lt;/label&gt;
						&lt;input type='text' class='col-md-10 form-control input-text' name='Productgroupname' [(ngModel)]='rowdata.productgroupname'&gt;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productgroupcode : string = '' ; 
	productgroupname : string = '' ; 
</v>
      </c>
      <c r="T13" s="62" t="str">
        <f ca="1">TEXTJOIN2("
",TRUE,INDIRECT(T11):INDIRECT(T12))</f>
        <v xml:space="preserve">			this.,
			this.productgroupcode,
</v>
      </c>
      <c r="U13" s="62" t="str">
        <f ca="1">TEXTJOIN2("
",TRUE,INDIRECT(U11):INDIRECT(U12))</f>
        <v xml:space="preserve">	productgroupcode : string = '' ; 
	productgroupname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cpsinventorygroup.component.ts</v>
      </c>
      <c r="I14" s="37" t="str">
        <f>B8&amp;".component.html"</f>
        <v>cpsinventorygroup.component.html</v>
      </c>
      <c r="J14" s="36" t="str">
        <f>B8&amp;".component.less"</f>
        <v>cpsinventorygroup.component.less</v>
      </c>
      <c r="K14" s="37" t="str">
        <f>"create-or-edit-"&amp;B8&amp;"-modal.component.html"</f>
        <v>create-or-edit-cpsinventorygroup-modal.component.html</v>
      </c>
      <c r="L14" s="37" t="str">
        <f>"create-or-edit-"&amp;B8&amp;"-modal.component.ts"</f>
        <v>create-or-edit-cpsinventorygroup-modal.component.ts</v>
      </c>
      <c r="M14" s="37" t="str">
        <f>"create-or-edit-"&amp;B8&amp;"-modal.component.less"</f>
        <v>create-or-edit-cpsinventorygroup-modal.component.less</v>
      </c>
      <c r="N14" s="37" t="str">
        <f>B8&amp;".module.ts"</f>
        <v>cpsinventorygroup.module.ts</v>
      </c>
      <c r="O14" s="37" t="str">
        <f>B8&amp;"-routing.module.ts"</f>
        <v>cpsinventorygroup-routing.module.ts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361</v>
      </c>
      <c r="B15" s="28" t="str">
        <f t="shared" ref="B15" si="0">SUBSTITUTE(PROPER(A15),"_","")</f>
        <v>Productgroupcode</v>
      </c>
      <c r="C15" s="28" t="str">
        <f t="shared" ref="C15" si="1">SUBSTITUTE(PROPER(A15),"_"," ")</f>
        <v>Productgroupcode</v>
      </c>
      <c r="D15" s="28" t="str">
        <f t="shared" ref="D15" si="2">LOWER(LEFT(B15,1))&amp;RIGHT(B15,LEN(B15) - 1)</f>
        <v>productgroupcode</v>
      </c>
      <c r="E15" s="28" t="str">
        <f>A.Backend!H9</f>
        <v>string</v>
      </c>
      <c r="F15" s="28" t="str">
        <f>A.Backend!G9</f>
        <v>255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this.l('Productgroupcode'),headerTooltip: this.l('Productgroupcode'),field: 'productgroupcode',flex: 1},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[(ngModel)]='productgroupcode' name='productgroupcode'
									class='form-control' [placeholder]="l('Productgroupcode')"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title'&gt;Productgroupcode&lt;/label&gt;
						&lt;input type='text' class='col-md-10 form-control input-text' name='Productgroupcode' [(ngModel)]='rowdata.productgroupcode'&gt;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productgroupcode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productgroupcode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362</v>
      </c>
      <c r="B16" s="28" t="str">
        <f t="shared" ref="B16:B17" si="8">SUBSTITUTE(PROPER(A16),"_","")</f>
        <v>Productgroupname</v>
      </c>
      <c r="C16" s="28" t="str">
        <f t="shared" ref="C16:C17" si="9">SUBSTITUTE(PROPER(A16),"_"," ")</f>
        <v>Productgroupname</v>
      </c>
      <c r="D16" s="28" t="str">
        <f t="shared" ref="D16:D17" si="10">LOWER(LEFT(B16,1))&amp;RIGHT(B16,LEN(B16) - 1)</f>
        <v>productgroupname</v>
      </c>
      <c r="E16" s="28" t="str">
        <f>A.Backend!H10</f>
        <v>string</v>
      </c>
      <c r="F16" s="28" t="str">
        <f>A.Backend!G10</f>
        <v>50</v>
      </c>
      <c r="G16" s="28" t="str">
        <f t="shared" ref="G16:G17" si="11">IF(E16="string"," : string = '' ; ",IF(OR(E16="DateTime",E16="TimeSpan")," : any ;",IF(E16="int"," : number = 0 ;","")))</f>
        <v xml:space="preserve"> : string = '' ; </v>
      </c>
      <c r="H16" s="35" t="str">
        <f t="shared" ref="H16:H17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this.l('Productgroupname'),headerTooltip: this.l('Productgroupname'),field: 'productgroupname',flex: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[(ngModel)]='productgroupname' name='productgroupname'
									class='form-control' [placeholder]="l('Productgroupname')"
									type='text' (keyup.enter)='searchDatas()'&gt;
								&lt;/div&gt;</v>
      </c>
      <c r="J16" s="28"/>
      <c r="K16" s="35" t="str">
        <f t="shared" ref="K16:K17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title'&gt;Productgroupname&lt;/label&gt;
						&lt;input type='text' class='col-md-10 form-control input-text' name='Productgroupname' [(ngModel)]='rowdata.productgroupname'&gt;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5">IF(AND(E16="string",F16 &lt;&gt;"1"),(REPT(CHAR(9),1)&amp;D16&amp;G16),"")</f>
        <v xml:space="preserve">	productgroupname : string = '' ; </v>
      </c>
      <c r="T16" s="28" t="str">
        <f>IF(AND(E16="string",F16 &lt;&gt;"1"),(REPT(CHAR(9),3)&amp;"this."&amp;D15&amp;","),"")</f>
        <v xml:space="preserve">			this.productgroupcode,</v>
      </c>
      <c r="U16" s="28" t="str">
        <f t="shared" ref="U16:U17" si="16">IF(AND(E16="string",F16 &lt;&gt;"1"),(REPT(CHAR(9),1)&amp;D16&amp;G16),"")</f>
        <v xml:space="preserve">	productgroupname : string = '' ; </v>
      </c>
      <c r="V16" s="28" t="str">
        <f t="shared" ref="V16:V17" si="17">IF(AND(E16="string",F16="1"),D16,"")</f>
        <v/>
      </c>
    </row>
    <row r="17" spans="1:22" ht="18" customHeight="1" x14ac:dyDescent="0.25">
      <c r="A17" s="28" t="s">
        <v>318</v>
      </c>
      <c r="B17" s="28" t="str">
        <f t="shared" si="8"/>
        <v>IsActive</v>
      </c>
      <c r="C17" s="28" t="str">
        <f t="shared" si="9"/>
        <v>Is Active</v>
      </c>
      <c r="D17" s="28" t="str">
        <f t="shared" si="10"/>
        <v>isActive</v>
      </c>
      <c r="E17" s="28" t="str">
        <f>A.Backend!H11</f>
        <v>string</v>
      </c>
      <c r="F17" s="28" t="str">
        <f>A.Backend!G11</f>
        <v>1</v>
      </c>
      <c r="G17" s="28" t="str">
        <f t="shared" si="11"/>
        <v xml:space="preserve"> : string = '' ; </v>
      </c>
      <c r="H17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si="5"/>
        <v/>
      </c>
      <c r="J17" s="28"/>
      <c r="K17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8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>IF(AND(E17="string",F17 &lt;&gt;"1"),(REPT(CHAR(9),3)&amp;"this."&amp;#REF!&amp;","),"")</f>
        <v/>
      </c>
      <c r="U17" s="28" t="str">
        <f t="shared" si="16"/>
        <v/>
      </c>
      <c r="V17" s="28" t="str">
        <f t="shared" si="17"/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2023-05-09T08:00:01Z</dcterms:modified>
</cp:coreProperties>
</file>
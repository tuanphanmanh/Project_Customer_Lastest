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master\inventory\"/>
    </mc:Choice>
  </mc:AlternateContent>
  <bookViews>
    <workbookView xWindow="0" yWindow="2720" windowWidth="28800" windowHeight="1643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C18" i="5" l="1"/>
  <c r="B18" i="5"/>
  <c r="D18" i="5" s="1"/>
  <c r="G12" i="1"/>
  <c r="F18" i="5" s="1"/>
  <c r="E12" i="1"/>
  <c r="H12" i="1" s="1"/>
  <c r="E18" i="5" s="1"/>
  <c r="D12" i="1"/>
  <c r="T12" i="1" s="1"/>
  <c r="L18" i="5" l="1"/>
  <c r="G18" i="5"/>
  <c r="S18" i="5" s="1"/>
  <c r="K18" i="5"/>
  <c r="T18" i="5"/>
  <c r="U18" i="5"/>
  <c r="V18" i="5"/>
  <c r="H18" i="5"/>
  <c r="I18" i="5"/>
  <c r="O12" i="1"/>
  <c r="N12" i="1"/>
  <c r="M12" i="1"/>
  <c r="W12" i="1"/>
  <c r="J12" i="1"/>
  <c r="I12" i="1"/>
  <c r="V12" i="1"/>
  <c r="P12" i="1"/>
  <c r="B2" i="5"/>
  <c r="C17" i="5" l="1"/>
  <c r="B17" i="5"/>
  <c r="D17" i="5" s="1"/>
  <c r="C16" i="5"/>
  <c r="B16" i="5"/>
  <c r="D16" i="5" s="1"/>
  <c r="T16" i="5" l="1"/>
  <c r="T17" i="5"/>
  <c r="B6" i="1"/>
  <c r="C15" i="5" l="1"/>
  <c r="B15" i="5"/>
  <c r="D15" i="5" s="1"/>
  <c r="T15" i="5" s="1"/>
  <c r="G11" i="1"/>
  <c r="F17" i="5" s="1"/>
  <c r="E11" i="1"/>
  <c r="D11" i="1"/>
  <c r="T11" i="1" s="1"/>
  <c r="H11" i="1" l="1"/>
  <c r="I11" i="1" s="1"/>
  <c r="M11" i="1"/>
  <c r="L11" i="1"/>
  <c r="P11" i="1"/>
  <c r="V11" i="1"/>
  <c r="W11" i="1" l="1"/>
  <c r="O11" i="1"/>
  <c r="E17" i="5"/>
  <c r="J11" i="1"/>
  <c r="N11" i="1"/>
  <c r="F15" i="5"/>
  <c r="E9" i="1"/>
  <c r="H9" i="1" s="1"/>
  <c r="E15" i="5" s="1"/>
  <c r="D9" i="1"/>
  <c r="V9" i="1" s="1"/>
  <c r="I17" i="5" l="1"/>
  <c r="V17" i="5"/>
  <c r="K17" i="5"/>
  <c r="L17" i="5"/>
  <c r="H17" i="5"/>
  <c r="G17" i="5"/>
  <c r="S17" i="5" s="1"/>
  <c r="U17" i="5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D10" i="1"/>
  <c r="T10" i="1" s="1"/>
  <c r="H10" i="1" l="1"/>
  <c r="W10" i="1" s="1"/>
  <c r="P10" i="1"/>
  <c r="V10" i="1"/>
  <c r="N10" i="1" l="1"/>
  <c r="O10" i="1"/>
  <c r="I10" i="1"/>
  <c r="J10" i="1"/>
  <c r="M10" i="1"/>
  <c r="E16" i="5"/>
  <c r="H16" i="5" s="1"/>
  <c r="I16" i="5"/>
  <c r="W3" i="1"/>
  <c r="V3" i="1"/>
  <c r="G16" i="5" l="1"/>
  <c r="S16" i="5" s="1"/>
  <c r="L16" i="5"/>
  <c r="K16" i="5"/>
  <c r="U16" i="5"/>
  <c r="V16" i="5"/>
  <c r="B3" i="5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3" i="1"/>
  <c r="T7" i="1" l="1"/>
  <c r="W13" i="1"/>
  <c r="G6" i="1" l="1"/>
  <c r="V13" i="5"/>
  <c r="S13" i="5"/>
  <c r="U13" i="5"/>
  <c r="H13" i="5"/>
  <c r="L13" i="5"/>
  <c r="K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2" i="1" s="1"/>
  <c r="L9" i="1" l="1"/>
  <c r="L10" i="1"/>
  <c r="C7" i="1"/>
  <c r="P13" i="1"/>
  <c r="J13" i="1"/>
  <c r="N13" i="1"/>
  <c r="O13" i="1"/>
  <c r="I13" i="1"/>
  <c r="Q7" i="1" l="1"/>
  <c r="M68" i="3" s="1"/>
  <c r="L7" i="1"/>
  <c r="G68" i="3" s="1"/>
  <c r="K68" i="3"/>
  <c r="J68" i="3"/>
  <c r="M13" i="1"/>
  <c r="K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<sst xmlns="http://schemas.openxmlformats.org/spreadsheetml/2006/main" count="449" uniqueCount="364">
  <si>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</si>
  <si>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</si>
  <si>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</si>
  <si>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</si>
  <si>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</si>
  <si>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</si>
  <si>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</si>
  <si>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</si>
  <si>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</si>
  <si>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</si>
  <si>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</si>
  <si>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</si>
  <si>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</si>
  <si>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</si>
  <si>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</si>
  <si>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</si>
  <si>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</si>
  <si>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</si>
  <si>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</si>
  <si>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</si>
  <si>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</si>
  <si>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</si>
  <si>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</si>
  <si>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</si>
  <si>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</si>
  <si>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</si>
  <si>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</si>
  <si>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</si>
  <si>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</si>
  <si>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</si>
  <si>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</si>
  <si>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</si>
  <si>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</si>
  <si>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</si>
  <si>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</si>
  <si>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</si>
  <si>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</si>
  <si>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</si>
  <si>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</si>
  <si>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</si>
  <si>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</si>
  <si>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</si>
  <si>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</si>
  <si>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</si>
  <si>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</si>
  <si>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</si>
  <si>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</si>
  <si>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</si>
  <si>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</si>
  <si>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</si>
  <si>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</si>
  <si>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</si>
  <si>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</si>
  <si>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</si>
  <si>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</si>
  <si>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</si>
  <si>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</si>
  <si>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</si>
  <si>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</si>
  <si>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</si>
  <si>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</si>
  <si>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</si>
  <si>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</si>
  <si>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</si>
  <si>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</si>
  <si>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</si>
  <si>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</si>
  <si>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</si>
  <si>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</si>
  <si>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</si>
  <si>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</si>
  <si>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</si>
  <si>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</si>
  <si>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</si>
  <si>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</si>
  <si>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</si>
  <si>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</si>
  <si>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</si>
  <si>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</si>
  <si>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</si>
  <si>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</si>
  <si>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</si>
  <si>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</si>
  <si>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</si>
  <si>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</si>
  <si>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</si>
  <si>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</si>
  <si>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</si>
  <si>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</si>
  <si>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</si>
  <si>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</si>
  <si>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</si>
  <si>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</si>
  <si>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</si>
  <si>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</si>
  <si>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</si>
  <si>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</si>
  <si>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</si>
  <si>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</si>
  <si>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</si>
  <si>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</si>
  <si>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</si>
  <si>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</si>
  <si>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</si>
  <si>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</si>
  <si>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</si>
  <si>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</si>
  <si>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</si>
  <si>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</si>
  <si>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</si>
  <si>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</si>
  <si>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</si>
  <si>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</si>
  <si>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</si>
  <si>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</si>
  <si>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</si>
  <si>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</si>
  <si>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</si>
  <si>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</si>
  <si>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</si>
  <si>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</si>
  <si>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</si>
  <si>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</si>
  <si>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</si>
  <si>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</si>
  <si>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</si>
  <si>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</si>
  <si>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</si>
  <si>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</si>
  <si>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</si>
  <si>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</si>
  <si>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</si>
  <si>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</si>
  <si>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</si>
  <si>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</si>
  <si>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</si>
  <si>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</si>
  <si>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</si>
  <si>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</si>
  <si>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</si>
  <si>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</si>
  <si>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</si>
  <si>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</si>
  <si>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</si>
  <si>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</si>
  <si>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</si>
  <si>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</si>
  <si>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</si>
  <si>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</si>
  <si>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</si>
  <si>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</si>
  <si>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</si>
  <si>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</si>
  <si>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</si>
  <si>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</si>
  <si>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</si>
  <si>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</si>
  <si>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</si>
  <si>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</si>
  <si>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</si>
  <si>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</si>
  <si>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</si>
  <si>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</si>
  <si>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</si>
  <si>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</si>
  <si>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</si>
  <si>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</si>
  <si>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</si>
  <si>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</si>
  <si>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</si>
  <si>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</si>
  <si>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</si>
  <si>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</si>
  <si>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</si>
  <si>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</si>
  <si>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</si>
  <si>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</si>
  <si>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</si>
  <si>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</si>
  <si>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</si>
  <si>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</si>
  <si>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</si>
  <si>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</si>
  <si>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</si>
  <si>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</si>
  <si>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</si>
  <si>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</si>
  <si>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</si>
  <si>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</si>
  <si>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</si>
  <si>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</si>
  <si>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</si>
  <si>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</si>
  <si>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</si>
  <si>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</si>
  <si>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</si>
  <si>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</si>
  <si>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</si>
  <si>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</si>
  <si>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</si>
  <si>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</si>
  <si>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</si>
  <si>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</si>
  <si>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</si>
  <si>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</si>
  <si>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</si>
  <si>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</si>
  <si>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</si>
  <si>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</si>
  <si>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</si>
  <si>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</si>
  <si>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</si>
  <si>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</si>
  <si>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</si>
  <si>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</si>
  <si>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</si>
  <si>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</si>
  <si>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</si>
  <si>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</si>
  <si>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</si>
  <si>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</si>
  <si>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</si>
  <si>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</si>
  <si>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</si>
  <si>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</si>
  <si>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</si>
  <si>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</si>
  <si>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</si>
  <si>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</si>
  <si>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</si>
  <si>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</si>
  <si>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</si>
  <si>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</si>
  <si>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</si>
  <si>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</si>
  <si>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</si>
  <si>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</si>
  <si>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</si>
  <si>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</si>
  <si>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</si>
  <si>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</si>
  <si>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</si>
  <si>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</si>
  <si>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</si>
  <si>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</si>
  <si>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</si>
  <si>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</si>
  <si>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</si>
  <si>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</si>
  <si>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</si>
  <si>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</si>
  <si>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</si>
  <si>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</si>
  <si>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</si>
  <si>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</si>
  <si>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</si>
  <si>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</si>
  <si>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</si>
  <si>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</si>
  <si>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</si>
  <si>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</si>
  <si>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</si>
  <si>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</si>
  <si>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</si>
  <si>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</si>
  <si>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</si>
  <si>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</si>
  <si>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</si>
  <si>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</si>
  <si>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</si>
  <si>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</si>
  <si>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</si>
  <si>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</si>
  <si>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</si>
  <si>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</si>
  <si>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</si>
  <si>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</si>
  <si>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</si>
  <si>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</si>
  <si>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</si>
  <si>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</si>
  <si>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</si>
  <si>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</si>
  <si>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</si>
  <si>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</si>
  <si>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</si>
  <si>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</si>
  <si>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</si>
  <si>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</si>
  <si>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</si>
  <si>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</si>
  <si>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</si>
  <si>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</si>
  <si>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</si>
  <si>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</si>
  <si>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</si>
  <si>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</si>
  <si>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</si>
  <si>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</si>
  <si>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</si>
  <si>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</si>
  <si>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</si>
  <si>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</si>
  <si>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</si>
  <si>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</si>
  <si>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</si>
  <si>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</si>
  <si>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</si>
  <si>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</si>
  <si>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</si>
  <si>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</si>
  <si>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</si>
  <si>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</si>
  <si>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</si>
  <si>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</si>
  <si>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</si>
  <si>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</si>
  <si>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</si>
  <si>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</si>
  <si>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</si>
  <si>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</si>
  <si>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</si>
  <si>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</si>
  <si>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</si>
  <si>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</si>
  <si>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</si>
  <si>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</si>
  <si>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</si>
  <si>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</si>
  <si>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</si>
  <si>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</si>
  <si>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</si>
  <si>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</si>
  <si>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</si>
  <si>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</si>
  <si>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</si>
  <si>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</si>
  <si>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</si>
  <si>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</si>
  <si>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</si>
  <si>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</si>
  <si>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</si>
  <si>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</si>
  <si>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</si>
  <si>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</si>
  <si>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</si>
  <si>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</si>
  <si>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</si>
  <si>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</si>
  <si>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</si>
  <si>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</si>
  <si>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</si>
  <si>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</si>
  <si>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Master.Inventory</t>
  </si>
  <si>
    <t>varchar(50)</t>
  </si>
  <si>
    <t>IS_ACTIVE</t>
  </si>
  <si>
    <t>varchar(1)</t>
  </si>
  <si>
    <t>Code</t>
  </si>
  <si>
    <t>Description</t>
  </si>
  <si>
    <t>varchar(500)</t>
  </si>
  <si>
    <t>varchar(100)</t>
  </si>
  <si>
    <t>HrTitles</t>
  </si>
  <si>
    <t>MstInvHrTitles</t>
  </si>
  <si>
    <t>Hr Titles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</si>
</sst>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0" borderId="0" xfId="0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49" zoomScaleNormal="100" workbookViewId="0">
      <selection activeCell="C68" sqref="C68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29.4531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5" t="s">
        <v>74</v>
      </c>
    </row>
    <row r="2" spans="1:7" ht="15.5" x14ac:dyDescent="0.35">
      <c r="A2" s="1"/>
      <c r="B2" s="27" t="s">
        <v>196</v>
      </c>
    </row>
    <row r="3" spans="1:7" x14ac:dyDescent="0.35">
      <c r="A3" s="1"/>
      <c r="B3" s="1" t="s">
        <v>77</v>
      </c>
    </row>
    <row r="4" spans="1:7" x14ac:dyDescent="0.35">
      <c r="A4" s="1"/>
      <c r="B4" s="17" t="s">
        <v>76</v>
      </c>
    </row>
    <row r="5" spans="1:7" x14ac:dyDescent="0.35">
      <c r="A5" s="1"/>
      <c r="B5" s="17" t="s">
        <v>79</v>
      </c>
    </row>
    <row r="6" spans="1:7" x14ac:dyDescent="0.35">
      <c r="A6" s="1"/>
      <c r="B6" s="17" t="s">
        <v>87</v>
      </c>
    </row>
    <row r="7" spans="1:7" x14ac:dyDescent="0.3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3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3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3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3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3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3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3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3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3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3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35">
      <c r="A18" s="1"/>
      <c r="B18" s="17"/>
      <c r="D18" t="s">
        <v>350</v>
      </c>
      <c r="F18" s="1" t="s">
        <v>352</v>
      </c>
      <c r="G18" s="17" t="s">
        <v>351</v>
      </c>
    </row>
    <row r="19" spans="1:7" x14ac:dyDescent="0.3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3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3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3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3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3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3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3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3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3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3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3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3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3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3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35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35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35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3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35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35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35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35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35">
      <c r="A42" s="1"/>
      <c r="B42" s="17"/>
      <c r="C42" t="s">
        <v>324</v>
      </c>
      <c r="F42" s="1" t="s">
        <v>337</v>
      </c>
      <c r="G42" s="17" t="s">
        <v>337</v>
      </c>
    </row>
    <row r="43" spans="1:8" x14ac:dyDescent="0.35">
      <c r="A43" s="1"/>
      <c r="B43" s="17"/>
      <c r="D43" t="s">
        <v>325</v>
      </c>
      <c r="F43" s="1" t="s">
        <v>331</v>
      </c>
      <c r="G43" s="17" t="s">
        <v>338</v>
      </c>
    </row>
    <row r="44" spans="1:8" x14ac:dyDescent="0.35">
      <c r="A44" s="1"/>
      <c r="B44" s="17"/>
      <c r="D44" t="s">
        <v>327</v>
      </c>
      <c r="F44" s="1" t="s">
        <v>332</v>
      </c>
      <c r="G44" s="17" t="s">
        <v>339</v>
      </c>
    </row>
    <row r="45" spans="1:8" x14ac:dyDescent="0.35">
      <c r="A45" s="1"/>
      <c r="B45" s="17"/>
      <c r="D45" t="s">
        <v>326</v>
      </c>
      <c r="F45" s="1" t="s">
        <v>333</v>
      </c>
      <c r="G45" s="17" t="s">
        <v>340</v>
      </c>
    </row>
    <row r="46" spans="1:8" x14ac:dyDescent="0.35">
      <c r="A46" s="1"/>
      <c r="B46" s="17"/>
      <c r="D46" t="s">
        <v>329</v>
      </c>
      <c r="F46" s="1" t="s">
        <v>334</v>
      </c>
      <c r="G46" s="17" t="s">
        <v>341</v>
      </c>
    </row>
    <row r="47" spans="1:8" x14ac:dyDescent="0.35">
      <c r="A47" s="1"/>
      <c r="B47" s="17"/>
      <c r="D47" t="s">
        <v>347</v>
      </c>
      <c r="F47" s="1" t="s">
        <v>348</v>
      </c>
      <c r="G47" s="17" t="s">
        <v>349</v>
      </c>
    </row>
    <row r="48" spans="1:8" x14ac:dyDescent="0.35">
      <c r="A48" s="1"/>
      <c r="B48" s="17"/>
      <c r="D48" t="s">
        <v>330</v>
      </c>
      <c r="F48" s="1" t="s">
        <v>335</v>
      </c>
      <c r="G48" s="17" t="s">
        <v>342</v>
      </c>
    </row>
    <row r="49" spans="1:7" x14ac:dyDescent="0.35">
      <c r="A49" s="1"/>
      <c r="B49" s="17"/>
      <c r="D49" t="s">
        <v>328</v>
      </c>
      <c r="F49" s="1" t="s">
        <v>336</v>
      </c>
      <c r="G49" s="17" t="s">
        <v>343</v>
      </c>
    </row>
    <row r="50" spans="1:7" x14ac:dyDescent="0.35">
      <c r="A50" s="1"/>
      <c r="B50" s="17"/>
      <c r="D50" t="s">
        <v>344</v>
      </c>
      <c r="F50" s="1" t="s">
        <v>345</v>
      </c>
      <c r="G50" s="17" t="s">
        <v>346</v>
      </c>
    </row>
    <row r="51" spans="1:7" x14ac:dyDescent="0.35">
      <c r="A51" s="1"/>
      <c r="B51" s="17"/>
    </row>
    <row r="52" spans="1:7" x14ac:dyDescent="0.35">
      <c r="A52" s="1"/>
      <c r="B52" s="17" t="s">
        <v>86</v>
      </c>
    </row>
    <row r="53" spans="1:7" x14ac:dyDescent="0.35">
      <c r="A53" s="1"/>
      <c r="B53" s="17" t="s">
        <v>83</v>
      </c>
    </row>
    <row r="54" spans="1:7" x14ac:dyDescent="0.35">
      <c r="A54" s="1"/>
      <c r="B54" s="17"/>
      <c r="C54" s="19" t="s">
        <v>80</v>
      </c>
    </row>
    <row r="55" spans="1:7" x14ac:dyDescent="0.35">
      <c r="A55" s="1"/>
      <c r="B55" s="17"/>
      <c r="C55" s="18" t="s">
        <v>81</v>
      </c>
    </row>
    <row r="56" spans="1:7" x14ac:dyDescent="0.35">
      <c r="A56" s="1"/>
      <c r="B56" s="17"/>
      <c r="C56" s="18" t="s">
        <v>82</v>
      </c>
    </row>
    <row r="57" spans="1:7" x14ac:dyDescent="0.35">
      <c r="A57" s="1"/>
      <c r="B57" s="17" t="s">
        <v>106</v>
      </c>
      <c r="C57" s="18"/>
    </row>
    <row r="58" spans="1:7" x14ac:dyDescent="0.35">
      <c r="A58" s="1"/>
      <c r="B58" s="17"/>
      <c r="C58" s="18" t="s">
        <v>107</v>
      </c>
    </row>
    <row r="59" spans="1:7" x14ac:dyDescent="0.35">
      <c r="A59" s="1"/>
      <c r="B59" s="17"/>
      <c r="C59" s="18" t="s">
        <v>108</v>
      </c>
    </row>
    <row r="60" spans="1:7" x14ac:dyDescent="0.35">
      <c r="A60" s="1"/>
      <c r="B60" s="17"/>
      <c r="C60" s="18" t="s">
        <v>109</v>
      </c>
    </row>
    <row r="61" spans="1:7" x14ac:dyDescent="0.35">
      <c r="A61" s="1"/>
      <c r="B61" s="17"/>
      <c r="C61" s="18" t="s">
        <v>111</v>
      </c>
    </row>
    <row r="62" spans="1:7" x14ac:dyDescent="0.35">
      <c r="A62" s="1"/>
      <c r="B62" s="17"/>
      <c r="C62" s="18" t="s">
        <v>113</v>
      </c>
    </row>
    <row r="63" spans="1:7" x14ac:dyDescent="0.35">
      <c r="A63" s="1"/>
      <c r="B63" s="17"/>
      <c r="C63" s="18" t="s">
        <v>112</v>
      </c>
    </row>
    <row r="64" spans="1:7" x14ac:dyDescent="0.35">
      <c r="A64" s="1"/>
      <c r="B64" s="17"/>
      <c r="C64" s="18" t="s">
        <v>110</v>
      </c>
    </row>
    <row r="65" spans="2:14" ht="21" customHeight="1" x14ac:dyDescent="0.35">
      <c r="B65" s="21" t="s">
        <v>78</v>
      </c>
    </row>
    <row r="66" spans="2:14" ht="21" customHeight="1" x14ac:dyDescent="0.35">
      <c r="B66" s="63" t="s">
        <v>231</v>
      </c>
    </row>
    <row r="67" spans="2:14" ht="15" thickBot="1" x14ac:dyDescent="0.4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4">
      <c r="B68" s="52" t="s">
        <v>226</v>
      </c>
      <c r="C68" s="51" t="e">
        <f ca="1">A.Backend!J7</f>
        <v>#NAME?</v>
      </c>
      <c r="D68" s="51" t="str">
        <f>A.Backend!O7</f>
        <v xml:space="preserve">		public const string Pages_Master_Inventory_HrTitles = "Pages.Master.Inventory.HrTitles";
		public const string Pages_Master_Inventory_HrTitles_CreateEdit = "Pages.Master.Inventory.HrTitles.CreateEdit";
		public const string Pages_Master_Inventory_HrTitles_Delete = "Pages.Master.Inventory.HrTitles.Delete";
</v>
      </c>
      <c r="E68" s="51" t="str">
        <f>A.Backend!N7</f>
        <v xml:space="preserve">		var perMstInvHrTitles = PARENTS.CreateChildPermission(AppPermissions.Pages_Master_Inventory_HrTitles, L( "MasterInventoryHrTitles"), multiTenancySides: MultiTenancySides.Tenant);
		perMstInvHrTitles.CreateChildPermission(AppPermissions.Pages_Master_Inventory_HrTitles_CreateEdit, L( "MasterInventoryHrTitlesCreateEdit"), multiTenancySides: MultiTenancySides.Tenant);
		perMstInvHrTitles.CreateChildPermission(AppPermissions.Pages_Master_Inventory_HrTitles_Delete, L( "MasterInventoryHrTitlesDelete"), multiTenancySides: MultiTenancySides.Tenant);</v>
      </c>
      <c r="F68" s="51" t="str">
        <f>A.Backend!K7</f>
        <v>public virtual DbSet&lt;MstInvHrTitles&gt; MstInvHrTitless { get; set; }</v>
      </c>
      <c r="G68" s="51" t="e">
        <f ca="1">A.Backend!L7</f>
        <v>#NAME?</v>
      </c>
      <c r="H68" s="51" t="e">
        <f ca="1">A.Backend!M7</f>
        <v>#NAME?</v>
      </c>
      <c r="I68" s="51" t="e">
        <f ca="1">A.Backend!R7</f>
        <v>#NAME?</v>
      </c>
      <c r="J68" s="51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IMstInvHrTitlesAppService : IApplicationService
	{
		Task&lt;PagedResultDto&lt;MstInvHrTitlesDto&gt;&gt; GetAll(GetMstInvHrTitlesInput input);
		Task CreateOrEdit(CreateOrEditMstInvHrTitlesDto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IMstInvHrTitlesExcelExporter : IApplicationService
	{
		FileDto ExportToFile(List&lt;MstInvHrTitlesDto&gt; mstinvhrtitles);
	}
}
</v>
      </c>
      <c r="L68" s="51" t="e">
        <f ca="1">A.Backend!T7</f>
        <v>#NAME?</v>
      </c>
      <c r="M68" s="59" t="e">
        <f ca="1">A.Backend!Q7</f>
        <v>#NAME?</v>
      </c>
      <c r="N68" s="62" t="str">
        <f>A.Backend!U7</f>
        <v xml:space="preserve">  configuration.CreateMap&lt;MstInvHrTitlesDto, MstInvHrTitles&gt;();
  configuration.CreateMap&lt;MstInvHrTitles, MstInvHrTitlesDto&gt;();
  configuration.CreateMap&lt;CreateOrEditMstInvHrTitlesDto, MstInvHrTitles&gt;();</v>
      </c>
    </row>
    <row r="69" spans="2:14" s="16" customFormat="1" ht="21.75" customHeight="1" x14ac:dyDescent="0.35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35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35">
      <c r="C71" s="29"/>
      <c r="D71" s="29"/>
      <c r="E71" s="29"/>
      <c r="G71" s="29"/>
      <c r="H71" s="29"/>
    </row>
    <row r="72" spans="2:14" x14ac:dyDescent="0.35">
      <c r="B72" s="1" t="s">
        <v>73</v>
      </c>
    </row>
    <row r="73" spans="2:14" ht="21" x14ac:dyDescent="0.5">
      <c r="B73" t="str">
        <f>B.Frontend!B8</f>
        <v>hrtitles</v>
      </c>
      <c r="C73" s="73" t="str">
        <f>"create folder " &amp;B73</f>
        <v>create folder hrtitles</v>
      </c>
      <c r="D73" s="73"/>
      <c r="E73" s="73"/>
      <c r="F73" s="73"/>
      <c r="G73" s="73"/>
      <c r="H73" s="73"/>
      <c r="I73" s="73"/>
      <c r="J73" s="73"/>
      <c r="K73" s="74" t="s">
        <v>228</v>
      </c>
      <c r="L73" s="74"/>
      <c r="M73" s="31"/>
    </row>
    <row r="74" spans="2:14" s="28" customFormat="1" ht="18" customHeight="1" x14ac:dyDescent="0.35">
      <c r="B74" s="60" t="s">
        <v>229</v>
      </c>
      <c r="C74" s="31" t="str">
        <f>B.Frontend!H14</f>
        <v>hrtitles.component.ts</v>
      </c>
      <c r="D74" s="31" t="str">
        <f>B.Frontend!I14</f>
        <v>hrtitles.component.html</v>
      </c>
      <c r="E74" s="31" t="str">
        <f>B.Frontend!J14</f>
        <v>hrtitles.component.less</v>
      </c>
      <c r="F74" s="31" t="str">
        <f>B.Frontend!K14</f>
        <v>create-or-edit-hrtitles-modal.component.html</v>
      </c>
      <c r="G74" s="31" t="str">
        <f>B.Frontend!L14</f>
        <v>create-or-edit-hrtitles-modal.component.ts</v>
      </c>
      <c r="H74" s="31" t="str">
        <f>B.Frontend!M14</f>
        <v>create-or-edit-hrtitles-modal.component.less</v>
      </c>
      <c r="I74" s="31" t="str">
        <f>B.Frontend!N14</f>
        <v>hrtitles.module.ts</v>
      </c>
      <c r="J74" s="31" t="str">
        <f>B.Frontend!O14</f>
        <v>hrtitles-routing.module.ts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35">
      <c r="B75" s="61" t="s">
        <v>226</v>
      </c>
      <c r="C75" s="49" t="e">
        <f ca="1">B.Frontend!H10</f>
        <v>#NAME?</v>
      </c>
      <c r="D75" s="49" t="e">
        <f ca="1">B.Frontend!I10</f>
        <v>#NAME?</v>
      </c>
      <c r="E75" s="49" t="str">
        <f>B.Frontend!J10</f>
        <v>.input-search{
    width: 250px;
    border-radius: 10px;
    margin-left: 10px;
}
.btn-search{
    width: 50px;
    margin-left: 10px;
}</v>
      </c>
      <c r="F75" s="49" t="e">
        <f ca="1">B.Frontend!K10</f>
        <v>#NAME?</v>
      </c>
      <c r="G75" s="49" t="e">
        <f ca="1">B.Frontend!L10</f>
        <v>#NAME?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HrTitlesRoutingModule } from './hrtitles-routing.module';
import { HrTitlesComponent } from './hrtitles.component';
import { CreateOrEditHrTitlesModalComponent } from './create-or-edit-hrtitles-modal.component';
@NgModule({
    declarations: [
       HrTitlesComponent, 
        CreateOrEditHrTitlesModalComponent
    ],
    imports: [
        AppSharedModule, HrTitlesRoutingModule]
})
export class HrTitlesModule {}</v>
      </c>
      <c r="J75" s="49" t="str">
        <f>B.Frontend!O10</f>
        <v>import {NgModule} from '@angular/core';
import {RouterModule, Routes} from '@angular/router';
import { HrTitlesComponent } from './hrtitles.component';
const routes: Routes = [{
    path: '',
    component: HrTitlesComponent,
    pathMatch: 'full'
}];
@NgModule({
    imports: [RouterModule.forChild(routes)],
    exports: [RouterModule],
})
export class HrTitlesRoutingModule {}</v>
      </c>
      <c r="K75" s="49" t="str">
        <f>B.Frontend!P10</f>
        <v xml:space="preserve"> new AppMenuItem("HrTitles", "Pages.Master.Inventory.HrTitles", "flaticon-book",   "/app/main/master/inventory/hrtitles"),</v>
      </c>
      <c r="L75" s="50" t="str">
        <f>B.Frontend!Q10</f>
        <v>{
    path: 'master/inventory/hrtitles',
    loadChildren: () =&gt; import('./master/inventory/hrtitles/hrtitles.module').then(m =&gt; m.HrTitlesModule),
    data: { permission: 'Pages.Master.Inventory.HrTitles' }
},</v>
      </c>
      <c r="M75" s="48" t="str">
        <f>B.Frontend!R10</f>
        <v>ApiServiceProxies.MstInvHrTitlesServiceProxy,</v>
      </c>
    </row>
    <row r="77" spans="2:14" x14ac:dyDescent="0.3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tabSelected="1" workbookViewId="0">
      <pane xSplit="1" topLeftCell="B1" activePane="topRight" state="frozen"/>
      <selection pane="topRight" activeCell="A9" sqref="A9:A12"/>
    </sheetView>
  </sheetViews>
  <sheetFormatPr defaultColWidth="9.1796875" defaultRowHeight="14.5" x14ac:dyDescent="0.35"/>
  <cols>
    <col min="1" max="1" width="20.81640625" style="8" customWidth="1"/>
    <col min="2" max="2" width="20.453125" style="9" customWidth="1"/>
    <col min="3" max="3" width="19.453125" style="8" customWidth="1"/>
    <col min="4" max="4" width="23.453125" style="8" customWidth="1"/>
    <col min="5" max="5" width="14.453125" style="8" customWidth="1"/>
    <col min="6" max="6" width="14.81640625" style="8" customWidth="1"/>
    <col min="7" max="7" width="17.26953125" style="8" bestFit="1" customWidth="1"/>
    <col min="8" max="8" width="15" style="8" customWidth="1"/>
    <col min="9" max="9" width="16" style="8" customWidth="1"/>
    <col min="10" max="10" width="15.81640625" style="8" customWidth="1"/>
    <col min="11" max="11" width="16" style="8" customWidth="1"/>
    <col min="12" max="12" width="16.7265625" style="8" customWidth="1"/>
    <col min="13" max="13" width="17.453125" style="8" customWidth="1"/>
    <col min="14" max="14" width="16.1796875" style="8" customWidth="1"/>
    <col min="15" max="15" width="14.7265625" style="8" customWidth="1"/>
    <col min="16" max="16" width="16" style="8" customWidth="1"/>
    <col min="17" max="17" width="15.7265625" style="8" customWidth="1"/>
    <col min="18" max="18" width="19.453125" style="8" customWidth="1"/>
    <col min="19" max="19" width="20.453125" style="8" customWidth="1"/>
    <col min="20" max="20" width="17" style="8" customWidth="1"/>
    <col min="21" max="21" width="14" style="8" customWidth="1"/>
    <col min="22" max="22" width="15.1796875" style="8" customWidth="1"/>
    <col min="23" max="23" width="27.81640625" style="9" customWidth="1"/>
    <col min="24" max="16384" width="9.1796875" style="8"/>
  </cols>
  <sheetData>
    <row r="1" spans="1:23" s="11" customFormat="1" ht="14.25" customHeight="1" x14ac:dyDescent="0.3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35">
      <c r="A2" s="1" t="s">
        <v>12</v>
      </c>
      <c r="B2" s="30" t="s">
        <v>353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35">
      <c r="A3" s="1" t="s">
        <v>5</v>
      </c>
      <c r="B3" s="30" t="s">
        <v>362</v>
      </c>
      <c r="C3" s="10" t="s">
        <v>43</v>
      </c>
      <c r="D3" s="10" t="s">
        <v>44</v>
      </c>
      <c r="E3" s="10" t="s">
        <v>39</v>
      </c>
      <c r="F3" s="11" t="str">
        <f>"J"&amp;COUNTA($A:$A)</f>
        <v>J12</v>
      </c>
      <c r="G3" s="4" t="s">
        <v>57</v>
      </c>
      <c r="H3" s="10" t="str">
        <f>"I"&amp;COUNTA($A:$A)</f>
        <v>I12</v>
      </c>
      <c r="I3" s="10" t="str">
        <f>REPT(CHAR(9),2)&amp;"[Required]"&amp;"
"</f>
        <v xml:space="preserve">		[Required]
</v>
      </c>
      <c r="J3" s="11" t="str">
        <f>"L"&amp;COUNTA($A:$A)</f>
        <v>L12</v>
      </c>
      <c r="K3" s="5" t="s">
        <v>56</v>
      </c>
      <c r="L3" s="11" t="str">
        <f>"M"&amp;COUNTA($A:$A)</f>
        <v>M12</v>
      </c>
      <c r="M3" s="11" t="str">
        <f>"N"&amp;COUNTA($A:$A)</f>
        <v>N12</v>
      </c>
      <c r="N3" s="11" t="str">
        <f>"O"&amp;COUNTA($A:$A)</f>
        <v>O12</v>
      </c>
      <c r="O3" s="11" t="str">
        <f>"P"&amp;COUNTA($A:$A)</f>
        <v>P12</v>
      </c>
      <c r="Q3" s="11" t="str">
        <f>RIGHT(B2,(LEN(B2)-FIND(".",B2,1)))</f>
        <v>Inventory</v>
      </c>
      <c r="R3" s="32" t="str">
        <f>REPT(CHAR(9),1)&amp;"public class "&amp;B3&amp;"ExportInput"&amp;C3</f>
        <v xml:space="preserve">	public class MstInvHrTitlesExportInput{
</v>
      </c>
      <c r="S3" s="11" t="str">
        <f>"namespace "&amp;$B$6&amp;".Exporting
"&amp;$C$3</f>
        <v xml:space="preserve">namespace prod.Master.Inventory.Exporting
{
</v>
      </c>
      <c r="T3" s="11" t="str">
        <f>"T"&amp;COUNTA($A:$A)</f>
        <v>T12</v>
      </c>
      <c r="V3" s="11" t="str">
        <f>"V"&amp;COUNTA($A:$A)</f>
        <v>V12</v>
      </c>
      <c r="W3" s="10" t="str">
        <f>"W"&amp;COUNTA($A:$A)</f>
        <v>W12</v>
      </c>
    </row>
    <row r="4" spans="1:23" s="11" customFormat="1" ht="33" customHeight="1" x14ac:dyDescent="0.3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35">
      <c r="A5" s="1" t="s">
        <v>238</v>
      </c>
      <c r="B5" s="64" t="s">
        <v>361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5" customHeight="1" x14ac:dyDescent="0.35">
      <c r="A6" s="1" t="s">
        <v>6</v>
      </c>
      <c r="B6" s="10" t="str">
        <f>"prod."&amp;B2</f>
        <v>prod.Master.Inventory</v>
      </c>
      <c r="C6" s="11" t="str">
        <f>"namespace "&amp;$B$6&amp;"
"&amp;$C$3</f>
        <v xml:space="preserve">namespace prod.Master.Inventory
{
</v>
      </c>
      <c r="D6" s="11" t="str">
        <f>REPT(CHAR(9),1)&amp;"public class "&amp;B3&amp;G3&amp;REPT(CHAR(9),1)&amp;"
"&amp;REPT(CHAR(9),1)&amp;C3</f>
        <v xml:space="preserve">	public class MstInvHrTitles: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MstInvHrTitlesConsts	
	{
</v>
      </c>
      <c r="F6" s="11" t="str">
        <f>REPT(CHAR(9),1)&amp;"public class "&amp;B3&amp;"Dto"&amp;K3&amp;REPT(CHAR(9),1)&amp;"
"&amp;REPT(CHAR(9),1)&amp;C3</f>
        <v xml:space="preserve">	public class MstInvHrTitlesDto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CreateOrEditMstInvHrTitlesDto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GetMstInvHrTitlesInput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5" customHeight="1" x14ac:dyDescent="0.35">
      <c r="A7" s="1" t="s">
        <v>13</v>
      </c>
      <c r="B7" s="10" t="str">
        <f>B3</f>
        <v>MstInvHrTitles</v>
      </c>
      <c r="C7" s="11" t="str">
        <f>REPT(CHAR(9),1)&amp;"[Table("""&amp;B7&amp;""")]"&amp;"
"</f>
        <v xml:space="preserve">	[Table("MstInvHrTitles")]
</v>
      </c>
      <c r="D7" s="11"/>
      <c r="E7" s="11"/>
      <c r="F7" s="11"/>
      <c r="G7" s="11"/>
      <c r="H7" s="11"/>
      <c r="I7" s="11"/>
      <c r="J7" s="6" t="e">
        <f ca="1">SUBSTITUTE(SUBSTITUTE((B1&amp;C6&amp;C7&amp;K13&amp;D6&amp;I13&amp;E3&amp;J13&amp;""&amp;REPT(CHAR(9),1)&amp;D3&amp;D3),"WorkingPattern",$Q$3),"Master",$B$4)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DbSet&lt;MstInvHrTitles&gt; MstInvHrTitless { get; set; }</v>
      </c>
      <c r="L7" t="e">
        <f ca="1">SUBSTITUTE(SUBSTITUTE((C6&amp;E6&amp;I13&amp;"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perMstInvHrTitles = PARENTS.CreateChildPermission(AppPermissions.Pages_Master_Inventory_HrTitles, L( "MasterInventoryHrTitles"), multiTenancySides: MultiTenancySides.Tenant);
		perMstInvHrTitles.CreateChildPermission(AppPermissions.Pages_Master_Inventory_HrTitles_CreateEdit, L( "MasterInventoryHrTitlesCreateEdit"), multiTenancySides: MultiTenancySides.Tenant);
		perMstInvHrTitles.CreateChildPermission(AppPermissions.Pages_Master_Inventory_HrTitles_Delete, L( "MasterInventoryHrTitlesDelete"),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Pages_Master_Inventory_HrTitles = "Pages.Master.Inventory.HrTitles";
		public const string Pages_Master_Inventory_HrTitles_CreateEdit = "Pages.Master.Inventory.HrTitles.CreateEdit";
		public const string Pages_Master_Inventory_HrTitles_Delete = "Pages.Master.Inventory.HrTitles.Delete";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IMstInvHrTitlesAppService : IApplicationService
	{
		Task&lt;PagedResultDto&lt;MstInvHrTitlesDto&gt;&gt; GetAll(GetMstInvHrTitlesInput input);
		Task CreateOrEdit(CreateOrEditMstInvHrTitlesDto input);
		Task Delete(EntityDto input);
	}
}
</v>
      </c>
      <c r="Q7" t="e">
        <f ca="1">SUBSTITUTE(SUBSTITUTE(SUBSTITUTE(SUBSTITUTE(SUBSTITUTE(SUBSTITUTE(E1,"MstWptCalendar",$B$3),"&lt;PROPERTIES&gt;",P13),"Calendar",$B$5),"WorkingPattern",$Q$3),"Master",$B$4),"&lt;PARAMS_SEARCH&gt;",$W$13)</f>
        <v>#NAME?</v>
      </c>
      <c r="R7" t="e">
        <f ca="1">SUBSTITUTE(SUBSTITUTE((C1&amp;"namespace "&amp;B6&amp;".Dto"&amp;E3&amp;C3&amp;R3&amp;M13&amp;E3&amp;REPT(CHAR(9),1)&amp;D3&amp;D3),"WorkingPattern",$Q$3),"Master",$B$4)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IMstInvHrTitlesExcelExporter : IApplicationService
	{
		FileDto ExportToFile(List&lt;MstInvHrTitlesDto&gt; mstinvhrtitles);
	}
}
</v>
      </c>
      <c r="T7" s="28" t="e">
        <f ca="1">SUBSTITUTE(SUBSTITUTE(SUBSTITUTE(SUBSTITUTE(SUBSTITUTE(SUBSTITUTE(SUBSTITUTE(T1,"MstWptCalendar",$B$3),"&lt;PROPERTIES1&gt;",V13),"&lt;PROPERTIES&gt;",T13),"Calendar",$B$5),"calendar",LOWER(B5)),"WorkingPattern",$Q$3),"Master",$B$4)</f>
        <v>#NAME?</v>
      </c>
      <c r="U7" s="28" t="str">
        <f>SUBSTITUTE(SUBSTITUTE(U1,"MstWptCalendar",$B$3),"Master",$B$4)</f>
        <v xml:space="preserve">  configuration.CreateMap&lt;MstInvHrTitlesDto, MstInvHrTitles&gt;();
  configuration.CreateMap&lt;MstInvHrTitles, MstInvHrTitlesDto&gt;();
  configuration.CreateMap&lt;CreateOrEditMstInvHrTitlesDto, MstInvHrTitles&gt;();</v>
      </c>
      <c r="V7" s="28"/>
      <c r="W7" s="28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35">
      <c r="A9" s="72" t="s">
        <v>357</v>
      </c>
      <c r="B9" t="s">
        <v>354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Name="IX_MstInvHrTitles_Code")]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[StringLength(MstInvHrTitlesConsts.MaxCodeLength)]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35">
      <c r="A10" s="72" t="s">
        <v>238</v>
      </c>
      <c r="B10" s="72" t="s">
        <v>359</v>
      </c>
      <c r="C10" t="s">
        <v>1</v>
      </c>
      <c r="D10" t="str">
        <f t="shared" ref="D10:D11" si="13">SUBSTITUTE(PROPER(A10),"_","")</f>
        <v>Name</v>
      </c>
      <c r="E10" t="str">
        <f t="shared" ref="E10:E11" si="14">IFERROR(LEFT(B10, FIND("(",B10)-1),B10)</f>
        <v>varchar</v>
      </c>
      <c r="F10" s="7"/>
      <c r="G10" t="str">
        <f t="shared" ref="G10:G11" si="15">IFERROR(MID(B10,FIND("(",B10) +1, FIND(")",B10) - FIND("(",B10) - 1),"")</f>
        <v>500</v>
      </c>
      <c r="H10" s="72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MaxNameLength = 500;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7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[StringLength(MstInvHrTitlesConsts.MaxNameLength)]
		public virtual string Name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:P11" si="22">REPT(CHAR(9),7)&amp;D10&amp;" = o." &amp;D10 &amp;","</f>
        <v xml:space="preserve">							Name = o.Name,</v>
      </c>
      <c r="T10" s="69" t="str">
        <f t="shared" ref="T10:T11" si="23">REPT(CHAR(9),8)&amp;"("""&amp;D10&amp;"""),"</f>
        <v xml:space="preserve">								("Name"),</v>
      </c>
      <c r="V10" s="70" t="str">
        <f t="shared" ref="V10:V11" si="24">REPT(CHAR(9),8)&amp;"_ =&gt; _."&amp;D10&amp;","</f>
        <v xml:space="preserve">								_ =&gt; _.Name,</v>
      </c>
      <c r="W10" s="69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18.75" customHeight="1" x14ac:dyDescent="0.35">
      <c r="A11" s="72" t="s">
        <v>358</v>
      </c>
      <c r="B11" s="72" t="s">
        <v>360</v>
      </c>
      <c r="C11" t="s">
        <v>1</v>
      </c>
      <c r="D11" t="str">
        <f t="shared" si="13"/>
        <v>Description</v>
      </c>
      <c r="E11" t="str">
        <f t="shared" si="14"/>
        <v>varchar</v>
      </c>
      <c r="F11" s="7"/>
      <c r="G11" t="str">
        <f t="shared" si="15"/>
        <v>100</v>
      </c>
      <c r="H11" s="72" t="str">
        <f>+VLOOKUP(E11,'Data Type Mapping'!A:B,2,)</f>
        <v>string</v>
      </c>
      <c r="I11" t="str">
        <f t="shared" si="16"/>
        <v xml:space="preserve">		public const int MaxDescriptionLength = 100;
</v>
      </c>
      <c r="J11" t="str">
        <f t="shared" si="17"/>
        <v xml:space="preserve">		[StringLength(MaxDescriptionLength)]
		public virtual string Description { get; set; }
</v>
      </c>
      <c r="K11" s="7"/>
      <c r="L11" t="str">
        <f t="shared" si="18"/>
        <v/>
      </c>
      <c r="M11" t="str">
        <f t="shared" si="19"/>
        <v xml:space="preserve">		public virtual string Description { get; set; }
</v>
      </c>
      <c r="N11" t="str">
        <f t="shared" si="20"/>
        <v xml:space="preserve">		[StringLength(MstInvHrTitlesConsts.MaxDescriptionLength)]
		public virtual string Description { get; set; }
</v>
      </c>
      <c r="O11" t="str">
        <f t="shared" si="21"/>
        <v xml:space="preserve">		public virtual string Description { get; set; }
</v>
      </c>
      <c r="P11" t="str">
        <f t="shared" si="22"/>
        <v xml:space="preserve">							Description = o.Description,</v>
      </c>
      <c r="T11" s="69" t="str">
        <f t="shared" si="23"/>
        <v xml:space="preserve">								("Description"),</v>
      </c>
      <c r="V11" s="70" t="str">
        <f t="shared" si="24"/>
        <v xml:space="preserve">								_ =&gt; _.Description,</v>
      </c>
      <c r="W11" s="69" t="str">
        <f t="shared" si="25"/>
        <v xml:space="preserve">				.WhereIf(!string.IsNullOrWhiteSpace(input.Description), e =&gt; e.Description.Contains(input.Description))</v>
      </c>
    </row>
    <row r="12" spans="1:23" s="72" customFormat="1" ht="22.5" customHeight="1" x14ac:dyDescent="0.35">
      <c r="A12" s="72" t="s">
        <v>355</v>
      </c>
      <c r="B12" s="72" t="s">
        <v>356</v>
      </c>
      <c r="C12" s="72" t="s">
        <v>1</v>
      </c>
      <c r="D12" s="72" t="str">
        <f>SUBSTITUTE(PROPER(A12),"_","")</f>
        <v>IsActive</v>
      </c>
      <c r="E12" s="72" t="str">
        <f t="shared" ref="E12" si="26">IFERROR(LEFT(B12, FIND("(",B12)-1),B12)</f>
        <v>varchar</v>
      </c>
      <c r="F12" s="7"/>
      <c r="G12" s="72" t="str">
        <f t="shared" ref="G12" si="27">IFERROR(MID(B12,FIND("(",B12) +1, FIND(")",B12) - FIND("(",B12) - 1),"")</f>
        <v>1</v>
      </c>
      <c r="H12" s="72" t="str">
        <f>+VLOOKUP(E12,'Data Type Mapping'!A:B,2,)</f>
        <v>string</v>
      </c>
      <c r="I12" s="72" t="str">
        <f t="shared" ref="I12" si="28">IF(H12="string",REPT(CHAR(9),2)&amp;"public const int Max"&amp;D12&amp;"Length = "&amp;G12&amp;";"&amp;$E$3,"" )</f>
        <v xml:space="preserve">		public const int MaxIsActiveLength = 1;
</v>
      </c>
      <c r="J12" s="72" t="str">
        <f t="shared" ref="J12" si="29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[StringLength(MaxIsActiveLength)]
		public virtual string IsActive { get; set; }
</v>
      </c>
      <c r="K12" s="7" t="s">
        <v>206</v>
      </c>
      <c r="L12" s="72" t="str">
        <f>IF(K12="","",REPT(CHAR(9),1)&amp;"[Index(nameof("&amp;IF(D12="","",""&amp;D12)&amp;")"&amp;", Name="&amp;"""IX_"&amp;$B$7&amp;"_"&amp;D12&amp;""")]")</f>
        <v xml:space="preserve">	[Index(nameof(IsActive), Name="IX_MstInvHrTitles_IsActive")]</v>
      </c>
      <c r="M12" s="72" t="str">
        <f t="shared" ref="M12" si="30">REPT(CHAR(9),2)&amp;"public virtual "&amp;IF(OR(H12="DateTime",H12="TimeSpan"),H12&amp;"?",H12)&amp;IF(C12="?","? "," ")&amp;D12&amp;" { get; set; }" &amp; "
"</f>
        <v xml:space="preserve">		public virtual string IsActive { get; set; }
</v>
      </c>
      <c r="N12" s="72" t="str">
        <f t="shared" ref="N12" si="31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[StringLength(MstInvHrTitlesConsts.MaxIsActiveLength)]
		public virtual string IsActive { get; set; }
</v>
      </c>
      <c r="O12" s="72" t="str">
        <f t="shared" ref="O12" si="32">IF(OR(H12="string",H12="DateTime",H12="int"),REPT(CHAR(9),2)&amp;"public virtual "&amp;IF(OR(H12="DateTime",H12="TimeSpan"),H12&amp;"?",H12)&amp;IF(C12="?","? "," ")&amp;D12&amp;" { get; set; }"&amp;$E$3,"")</f>
        <v xml:space="preserve">		public virtual string IsActive { get; set; }
</v>
      </c>
      <c r="P12" s="72" t="str">
        <f t="shared" ref="P12" si="33">REPT(CHAR(9),7)&amp;D12&amp;" = o." &amp;D12 &amp;","</f>
        <v xml:space="preserve">							IsActive = o.IsActive,</v>
      </c>
      <c r="T12" s="69" t="str">
        <f t="shared" ref="T12" si="34">REPT(CHAR(9),8)&amp;"("""&amp;D12&amp;"""),"</f>
        <v xml:space="preserve">								("IsActive"),</v>
      </c>
      <c r="V12" s="70" t="str">
        <f t="shared" ref="V12" si="35">REPT(CHAR(9),8)&amp;"_ =&gt; _."&amp;D12&amp;","</f>
        <v xml:space="preserve">								_ =&gt; _.IsActive,</v>
      </c>
      <c r="W12" s="69" t="str">
        <f t="shared" ref="W12" si="36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.WhereIf(!string.IsNullOrWhiteSpace(input.IsActive), e =&gt; e.IsActive.Contains(input.IsActive))</v>
      </c>
    </row>
    <row r="13" spans="1:23" ht="45.75" customHeight="1" x14ac:dyDescent="0.35">
      <c r="H13" s="12"/>
      <c r="I13" s="34" t="e">
        <f ca="1">TEXTJOIN2("
", TRUE,INDIRECT( $H$1):INDIRECT( $H$3))</f>
        <v>#NAME?</v>
      </c>
      <c r="J13" s="33" t="e">
        <f ca="1">TEXTJOIN2("
", TRUE,INDIRECT( $F$1):INDIRECT( $F$3))</f>
        <v>#NAME?</v>
      </c>
      <c r="K13" s="35" t="e">
        <f ca="1">TEXTJOIN2("
", TRUE,INDIRECT( $J$1):INDIRECT( $J$3))</f>
        <v>#NAME?</v>
      </c>
      <c r="L13" s="13" t="s">
        <v>60</v>
      </c>
      <c r="M13" s="36" t="e">
        <f ca="1">TEXTJOIN2("
",TRUE,INDIRECT( $L$1):INDIRECT($L$3))</f>
        <v>#NAME?</v>
      </c>
      <c r="N13" s="33" t="e">
        <f ca="1">TEXTJOIN2("
",TRUE,INDIRECT( $M$1):INDIRECT($M$3))</f>
        <v>#NAME?</v>
      </c>
      <c r="O13" s="33" t="e">
        <f ca="1">TEXTJOIN2("
",TRUE,INDIRECT( $N$1):INDIRECT($N$3))</f>
        <v>#NAME?</v>
      </c>
      <c r="P13" s="9" t="e">
        <f ca="1">TEXTJOIN2("
",TRUE,INDIRECT( $O$1):INDIRECT($O$3))</f>
        <v>#NAME?</v>
      </c>
      <c r="T13" s="9" t="e">
        <f ca="1">TEXTJOIN2("
",TRUE,INDIRECT( $T$2):INDIRECT($T$3))</f>
        <v>#NAME?</v>
      </c>
      <c r="V13" s="9" t="e">
        <f ca="1">TEXTJOIN2("
",TRUE,INDIRECT( $V$2):INDIRECT($V$3))</f>
        <v>#NAME?</v>
      </c>
      <c r="W13" s="9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>
      <selection activeCell="H9" sqref="H9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24.453125" customWidth="1"/>
    <col min="9" max="9" width="26.1796875" customWidth="1"/>
    <col min="10" max="10" width="22.26953125" customWidth="1"/>
    <col min="11" max="11" width="25.81640625" customWidth="1"/>
    <col min="12" max="12" width="23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x14ac:dyDescent="0.35">
      <c r="A1" s="41" t="s">
        <v>212</v>
      </c>
      <c r="B1" s="42" t="s">
        <v>363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3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3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35">
      <c r="A4" s="41" t="s">
        <v>214</v>
      </c>
      <c r="B4" s="43" t="str">
        <f>A.Backend!Q3</f>
        <v>Inventory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35">
      <c r="A5" s="41" t="s">
        <v>214</v>
      </c>
      <c r="B5" s="43" t="str">
        <f>LOWER(B4)</f>
        <v>inventory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35">
      <c r="A6" s="41" t="s">
        <v>224</v>
      </c>
      <c r="B6" s="44" t="str">
        <f>A.Backend!B3</f>
        <v>MstInvHrTitles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35">
      <c r="A7" s="41" t="s">
        <v>215</v>
      </c>
      <c r="B7" s="43" t="str">
        <f>A.Backend!B5</f>
        <v>HrTitles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35">
      <c r="A8" s="41" t="s">
        <v>213</v>
      </c>
      <c r="B8" s="43" t="str">
        <f>LOWER(B7)</f>
        <v>hrtitles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3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35">
      <c r="A10" s="55" t="s">
        <v>217</v>
      </c>
      <c r="B10" s="56"/>
      <c r="C10" s="57"/>
      <c r="D10" s="57"/>
      <c r="E10" s="57"/>
      <c r="F10" s="57"/>
      <c r="G10" s="57"/>
      <c r="H10" s="48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8" t="e">
        <f ca="1">SUBSTITUTE(SUBSTITUTE(SUBSTITUTE(SUBSTITUTE(SUBSTITUTE(I9,"MstWptCalendar",$B$6),"Calendar",$B$7),"calendar",$B$8),"&lt;PROPERTIES&gt;",I13),"&lt;FULL_TITLE&gt;",B1)</f>
        <v>#NAME?</v>
      </c>
      <c r="J10" s="48" t="str">
        <f>J9</f>
        <v>.input-search{
    width: 250px;
    border-radius: 10px;
    margin-left: 10px;
}
.btn-search{
    width: 50px;
    margin-left: 10px;
}</v>
      </c>
      <c r="K10" s="48" t="e">
        <f ca="1">SUBSTITUTE(SUBSTITUTE(SUBSTITUTE(SUBSTITUTE(K9,"MstWptCalendar",$B$6),"Calendar",$B$7),"calendar",$B$8),"&lt;PROPERTIES&gt;",K13)</f>
        <v>#NAME?</v>
      </c>
      <c r="L10" s="48" t="e">
        <f ca="1">SUBSTITUTE(SUBSTITUTE(SUBSTITUTE(SUBSTITUTE(SUBSTITUTE(L9,"MstWptCalendar",$B$6),"Calendar",$B$7),"calendar",$B$8),"&lt;VIEWDATETIME&gt;",$L$13),"isActive",$V$13)</f>
        <v>#NAME?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HrTitlesRoutingModule } from './hrtitles-routing.module';
import { HrTitlesComponent } from './hrtitles.component';
import { CreateOrEditHrTitlesModalComponent } from './create-or-edit-hrtitles-modal.component';
@NgModule({
    declarations: [
       HrTitlesComponent, 
        CreateOrEditHrTitlesModalComponent
    ],
    imports: [
        AppSharedModule, HrTitlesRoutingModule]
})
export class HrTitlesModule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HrTitlesComponent } from './hrtitles.component';
const routes: Routes = [{
    path: '',
    component: HrTitlesComponent,
    pathMatch: 'full'
}];
@NgModule({
    imports: [RouterModule.forChild(routes)],
    exports: [RouterModule],
})
export class HrTitlesRoutingModule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AppMenuItem("HrTitles", "Pages.Master.Inventory.HrTitles", "flaticon-book",   "/app/main/master/inventory/hrtitles"),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'master/inventory/hrtitles',
    loadChildren: () =&gt; import('./master/inventory/hrtitles/hrtitles.module').then(m =&gt; m.HrTitlesModule),
    data: { permission: 'Pages.Master.Inventory.HrTitles' }
},</v>
      </c>
      <c r="R10" s="50" t="str">
        <f>SUBSTITUTE(R9,"MstWptCalendar",$B$6)</f>
        <v>ApiServiceProxies.MstInvHrTitlesServiceProxy,</v>
      </c>
      <c r="S10" s="31"/>
      <c r="T10" s="31"/>
      <c r="U10" s="31"/>
      <c r="V10" s="31"/>
    </row>
    <row r="11" spans="1:22" x14ac:dyDescent="0.3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3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H18</v>
      </c>
      <c r="I12" s="31" t="str">
        <f>"I"&amp;COUNTA($A:$A)</f>
        <v>I18</v>
      </c>
      <c r="J12" s="31"/>
      <c r="K12" s="31" t="str">
        <f>"K"&amp;COUNTA($A:$A)</f>
        <v>K18</v>
      </c>
      <c r="L12" s="31" t="str">
        <f>"L"&amp;COUNTA($A:$A)</f>
        <v>L18</v>
      </c>
      <c r="M12" s="31"/>
      <c r="N12" s="31"/>
      <c r="O12" s="31"/>
      <c r="P12" s="31"/>
      <c r="Q12" s="31"/>
      <c r="R12" s="31"/>
      <c r="S12" s="31" t="str">
        <f>"S"&amp;COUNTA($A:$A)</f>
        <v>S18</v>
      </c>
      <c r="T12" s="31" t="str">
        <f>"T"&amp;COUNTA($A:$A)</f>
        <v>T18</v>
      </c>
      <c r="U12" s="31" t="str">
        <f>"U"&amp;COUNTA($A:$A)</f>
        <v>U18</v>
      </c>
      <c r="V12" s="31" t="str">
        <f>"V"&amp;COUNTA($A:$A)</f>
        <v>V18</v>
      </c>
    </row>
    <row r="13" spans="1:22" ht="17.25" customHeight="1" x14ac:dyDescent="0.35">
      <c r="A13" s="58">
        <v>3</v>
      </c>
      <c r="B13" s="31"/>
      <c r="C13" s="31"/>
      <c r="D13" s="31"/>
      <c r="E13" s="31"/>
      <c r="F13" s="31"/>
      <c r="G13" s="31"/>
      <c r="H13" s="38" t="e">
        <f ca="1">TEXTJOIN2("
",TRUE,INDIRECT(H11):INDIRECT(H12))</f>
        <v>#NAME?</v>
      </c>
      <c r="I13" s="38" t="e">
        <f ca="1">TEXTJOIN2("
",TRUE,INDIRECT(I11):INDIRECT(I12))</f>
        <v>#NAME?</v>
      </c>
      <c r="J13" s="31"/>
      <c r="K13" s="38" t="e">
        <f ca="1">TEXTJOIN2("
",TRUE,INDIRECT(K11):INDIRECT(K12))</f>
        <v>#NAME?</v>
      </c>
      <c r="L13" s="60" t="e">
        <f ca="1">TEXTJOIN2("
",TRUE,INDIRECT(L11):INDIRECT(L12))</f>
        <v>#NAME?</v>
      </c>
      <c r="M13" s="31"/>
      <c r="N13" s="31"/>
      <c r="O13" s="31"/>
      <c r="P13" s="31"/>
      <c r="Q13" s="31"/>
      <c r="R13" s="31"/>
      <c r="S13" s="68" t="e">
        <f ca="1">TEXTJOIN2("
",TRUE,INDIRECT(S11):INDIRECT(S12))</f>
        <v>#NAME?</v>
      </c>
      <c r="T13" s="68" t="e">
        <f ca="1">TEXTJOIN2("
",TRUE,INDIRECT(T11):INDIRECT(T12))</f>
        <v>#NAME?</v>
      </c>
      <c r="U13" s="68" t="e">
        <f ca="1">TEXTJOIN2("
",TRUE,INDIRECT(U11):INDIRECT(U12))</f>
        <v>#NAME?</v>
      </c>
      <c r="V13" s="31" t="e">
        <f ca="1">TEXTJOIN2("
",TRUE,INDIRECT(V11):INDIRECT(V12))</f>
        <v>#NAME?</v>
      </c>
    </row>
    <row r="14" spans="1:22" x14ac:dyDescent="0.3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hrtitles.component.ts</v>
      </c>
      <c r="I14" s="40" t="str">
        <f>B8&amp;".component.html"</f>
        <v>hrtitles.component.html</v>
      </c>
      <c r="J14" s="39" t="str">
        <f>B8&amp;".component.less"</f>
        <v>hrtitles.component.less</v>
      </c>
      <c r="K14" s="40" t="str">
        <f>"create-or-edit-"&amp;B8&amp;"-modal.component.html"</f>
        <v>create-or-edit-hrtitles-modal.component.html</v>
      </c>
      <c r="L14" s="40" t="str">
        <f>"create-or-edit-"&amp;B8&amp;"-modal.component.ts"</f>
        <v>create-or-edit-hrtitles-modal.component.ts</v>
      </c>
      <c r="M14" s="40" t="str">
        <f>"create-or-edit-"&amp;B8&amp;"-modal.component.less"</f>
        <v>create-or-edit-hrtitles-modal.component.less</v>
      </c>
      <c r="N14" s="40" t="str">
        <f>B8&amp;".module.ts"</f>
        <v>hrtitles.module.ts</v>
      </c>
      <c r="O14" s="40" t="str">
        <f>B8&amp;"-routing.module.ts"</f>
        <v>hrtitles-routing.module.ts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35">
      <c r="A15" s="72" t="s">
        <v>357</v>
      </c>
      <c r="B15" s="31" t="str">
        <f t="shared" ref="B15" si="0">SUBSTITUTE(PROPER(A15),"_","")</f>
        <v>Code</v>
      </c>
      <c r="C15" s="31" t="str">
        <f t="shared" ref="C15" si="1">SUBSTITUTE(PROPER(A15),"_"," ")</f>
        <v>Code</v>
      </c>
      <c r="D15" s="31" t="str">
        <f t="shared" ref="D15" si="2">LOWER(LEFT(B15,1))&amp;RIGHT(B15,LEN(B15) - 1)</f>
        <v>code</v>
      </c>
      <c r="E15" s="31" t="str">
        <f>A.Backend!H9</f>
        <v>string</v>
      </c>
      <c r="F15" s="31" t="str">
        <f>A.Backend!G9</f>
        <v>50</v>
      </c>
      <c r="G15" s="31" t="str">
        <f t="shared" ref="G15" si="3">IF(E15="string"," : string = '' ; ",IF(OR(E15="DateTime",E15="TimeSpan")," : any ;",IF(E15="int"," : number = 0 ;","")))</f>
        <v xml:space="preserve"> : string = '' ; </v>
      </c>
      <c r="H15" s="38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 t="shared" ref="K15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code : string = '' ; </v>
      </c>
      <c r="T15" s="31" t="str">
        <f>REPT(CHAR(9),3)&amp;"this."&amp;D15&amp;","</f>
        <v xml:space="preserve">			this.code,</v>
      </c>
      <c r="U15" s="31" t="str">
        <f>IF(E15="int",REPT(CHAR(9),2)&amp;"this."&amp;D15&amp;" = 0,",REPT(CHAR(9),2)&amp;"this."&amp;D15&amp;" = '',")</f>
        <v xml:space="preserve">		this.code = '',</v>
      </c>
      <c r="V15" s="31" t="str">
        <f t="shared" ref="V15" si="8">IF(AND(E15="string",F15="1"),D15,"")</f>
        <v/>
      </c>
    </row>
    <row r="16" spans="1:22" ht="18" customHeight="1" x14ac:dyDescent="0.35">
      <c r="A16" s="72" t="s">
        <v>238</v>
      </c>
      <c r="B16" s="31" t="str">
        <f t="shared" ref="B16" si="9">SUBSTITUTE(PROPER(A16),"_","")</f>
        <v>Name</v>
      </c>
      <c r="C16" s="31" t="str">
        <f t="shared" ref="C16" si="10">SUBSTITUTE(PROPER(A16),"_"," ")</f>
        <v>Name</v>
      </c>
      <c r="D16" s="31" t="str">
        <f t="shared" ref="D16" si="11">LOWER(LEFT(B16,1))&amp;RIGHT(B16,LEN(B16) - 1)</f>
        <v>name</v>
      </c>
      <c r="E16" s="31" t="str">
        <f>A.Backend!H10</f>
        <v>string</v>
      </c>
      <c r="F16" s="31" t="str">
        <f>A.Backend!G10</f>
        <v>500</v>
      </c>
      <c r="G16" s="31" t="str">
        <f t="shared" ref="G16" si="12">IF(E16="string"," : string = '' ; ",IF(OR(E16="DateTime",E16="TimeSpan")," : any ;",IF(E16="int"," : number = 0 ;","")))</f>
        <v xml:space="preserve"> : string = '' ; </v>
      </c>
      <c r="H16" s="38" t="str">
        <f t="shared" ref="H16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this.l('Name'),headerTooltip: this.l('Name'),field: 'name',flex: 1},</v>
      </c>
      <c r="I16" s="38" t="str">
        <f t="shared" ref="I16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31"/>
      <c r="K16" s="38" t="str">
        <f t="shared" ref="K16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60" t="str">
        <f t="shared" ref="L16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" si="17">REPT(CHAR(9),1)&amp;D16&amp;G16</f>
        <v xml:space="preserve">	name : string = '' ; </v>
      </c>
      <c r="T16" s="31" t="str">
        <f t="shared" ref="T16" si="18">REPT(CHAR(9),3)&amp;"this."&amp;D16&amp;","</f>
        <v xml:space="preserve">			this.name,</v>
      </c>
      <c r="U16" s="31" t="str">
        <f t="shared" ref="U16" si="19">IF(E16="int",REPT(CHAR(9),2)&amp;"this."&amp;D16&amp;" = 0,",REPT(CHAR(9),2)&amp;"this."&amp;D16&amp;" = '',")</f>
        <v xml:space="preserve">		this.name = '',</v>
      </c>
      <c r="V16" s="31" t="str">
        <f t="shared" ref="V16" si="20">IF(AND(E16="string",F16="1"),D16,"")</f>
        <v/>
      </c>
    </row>
    <row r="17" spans="1:22" ht="18" customHeight="1" x14ac:dyDescent="0.35">
      <c r="A17" s="72" t="s">
        <v>358</v>
      </c>
      <c r="B17" s="31" t="str">
        <f>SUBSTITUTE(PROPER(A17),"_","")</f>
        <v>Description</v>
      </c>
      <c r="C17" s="31" t="str">
        <f>SUBSTITUTE(PROPER(A17),"_"," ")</f>
        <v>Description</v>
      </c>
      <c r="D17" s="31" t="str">
        <f>LOWER(LEFT(B17,1))&amp;RIGHT(B17,LEN(B17) - 1)</f>
        <v>description</v>
      </c>
      <c r="E17" s="31" t="str">
        <f>A.Backend!H11</f>
        <v>string</v>
      </c>
      <c r="F17" s="31" t="str">
        <f>A.Backend!G11</f>
        <v>100</v>
      </c>
      <c r="G17" s="31" t="str">
        <f>IF(E17="string"," : string = '' ; ",IF(OR(E17="DateTime",E17="TimeSpan")," : any ;",IF(E17="int"," : number = 0 ;","")))</f>
        <v xml:space="preserve"> : string = '' ; </v>
      </c>
      <c r="H17" s="38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this.l('Description'),headerTooltip: this.l('Description'),field: 'description',flex: 1},</v>
      </c>
      <c r="I17" s="38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7" s="31"/>
      <c r="K17" s="38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7" s="60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D17&amp;G17</f>
        <v xml:space="preserve">description : string = '' ; </v>
      </c>
      <c r="T17" s="31" t="str">
        <f>REPT(CHAR(9),3)&amp;"this."&amp;D17&amp;","</f>
        <v xml:space="preserve">			this.description,</v>
      </c>
      <c r="U17" s="31" t="str">
        <f>IF(E17="int","this."&amp;D17&amp;" = 0,","this."&amp;D17&amp;" = '',")</f>
        <v>this.description = '',</v>
      </c>
      <c r="V17" s="31" t="str">
        <f>IF(AND(E17="string",F17="1"),D17,"")</f>
        <v/>
      </c>
    </row>
    <row r="18" spans="1:22" s="72" customFormat="1" ht="18" customHeight="1" x14ac:dyDescent="0.35">
      <c r="A18" s="72" t="s">
        <v>355</v>
      </c>
      <c r="B18" s="31" t="str">
        <f t="shared" ref="B18" si="21">SUBSTITUTE(PROPER(A18),"_","")</f>
        <v>IsActive</v>
      </c>
      <c r="C18" s="31" t="str">
        <f t="shared" ref="C18" si="22">SUBSTITUTE(PROPER(A18),"_"," ")</f>
        <v>Is Active</v>
      </c>
      <c r="D18" s="31" t="str">
        <f t="shared" ref="D18" si="23">LOWER(LEFT(B18,1))&amp;RIGHT(B18,LEN(B18) - 1)</f>
        <v>isActive</v>
      </c>
      <c r="E18" s="31" t="str">
        <f>A.Backend!H12</f>
        <v>string</v>
      </c>
      <c r="F18" s="31" t="str">
        <f>A.Backend!G12</f>
        <v>1</v>
      </c>
      <c r="G18" s="31" t="str">
        <f t="shared" ref="G18" si="24">IF(E18="string"," : string = '' ; ",IF(OR(E18="DateTime",E18="TimeSpan")," : any ;",IF(E18="int"," : number = 0 ;","")))</f>
        <v xml:space="preserve"> : string = '' ; </v>
      </c>
      <c r="H18" s="38" t="str">
        <f t="shared" ref="H18" si="25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8" s="38" t="str">
        <f t="shared" ref="I18" si="26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8" s="31"/>
      <c r="K18" s="38" t="str">
        <f t="shared" ref="K18" si="27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8" s="60" t="str">
        <f t="shared" ref="L18" si="2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 t="shared" ref="S18" si="29">REPT(CHAR(9),1)&amp;D18&amp;G18</f>
        <v xml:space="preserve">	isActive : string = '' ; </v>
      </c>
      <c r="T18" s="31" t="str">
        <f t="shared" ref="T18" si="30">REPT(CHAR(9),3)&amp;"this."&amp;D18&amp;","</f>
        <v xml:space="preserve">			this.isActive,</v>
      </c>
      <c r="U18" s="31" t="str">
        <f t="shared" ref="U18" si="31">IF(E18="int",REPT(CHAR(9),2)&amp;"this."&amp;D18&amp;" = 0,",REPT(CHAR(9),2)&amp;"this."&amp;D18&amp;" = '',")</f>
        <v xml:space="preserve">		this.isActive = '',</v>
      </c>
      <c r="V18" s="31" t="str">
        <f t="shared" ref="V18" si="32">IF(AND(E18="string",F18="1"),D18,"")</f>
        <v>isActive</v>
      </c>
    </row>
    <row r="19" spans="1:22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E18" sqref="E18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33</v>
      </c>
    </row>
    <row r="3" spans="1:2" x14ac:dyDescent="0.35">
      <c r="A3" t="s">
        <v>18</v>
      </c>
      <c r="B3" t="s">
        <v>33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36</v>
      </c>
    </row>
    <row r="6" spans="1:2" x14ac:dyDescent="0.35">
      <c r="A6" t="s">
        <v>23</v>
      </c>
      <c r="B6" t="s">
        <v>34</v>
      </c>
    </row>
    <row r="7" spans="1:2" x14ac:dyDescent="0.35">
      <c r="A7" t="s">
        <v>24</v>
      </c>
      <c r="B7" t="s">
        <v>4</v>
      </c>
    </row>
    <row r="8" spans="1:2" x14ac:dyDescent="0.35">
      <c r="A8" t="s">
        <v>4</v>
      </c>
      <c r="B8" t="s">
        <v>4</v>
      </c>
    </row>
    <row r="9" spans="1:2" x14ac:dyDescent="0.35">
      <c r="A9" t="s">
        <v>0</v>
      </c>
      <c r="B9" t="s">
        <v>48</v>
      </c>
    </row>
    <row r="10" spans="1:2" x14ac:dyDescent="0.35">
      <c r="A10" t="s">
        <v>25</v>
      </c>
      <c r="B10" t="s">
        <v>28</v>
      </c>
    </row>
    <row r="11" spans="1:2" x14ac:dyDescent="0.35">
      <c r="A11" t="s">
        <v>26</v>
      </c>
      <c r="B11" t="s">
        <v>28</v>
      </c>
    </row>
    <row r="12" spans="1:2" x14ac:dyDescent="0.35">
      <c r="A12" t="s">
        <v>27</v>
      </c>
      <c r="B12" t="s">
        <v>28</v>
      </c>
    </row>
    <row r="13" spans="1:2" x14ac:dyDescent="0.35">
      <c r="A13" t="s">
        <v>28</v>
      </c>
      <c r="B13" t="s">
        <v>28</v>
      </c>
    </row>
    <row r="14" spans="1:2" x14ac:dyDescent="0.35">
      <c r="A14" t="s">
        <v>29</v>
      </c>
      <c r="B14" t="s">
        <v>28</v>
      </c>
    </row>
    <row r="15" spans="1:2" x14ac:dyDescent="0.35">
      <c r="A15" t="s">
        <v>30</v>
      </c>
      <c r="B15" t="s">
        <v>28</v>
      </c>
    </row>
    <row r="16" spans="1:2" x14ac:dyDescent="0.35">
      <c r="A16" t="s">
        <v>31</v>
      </c>
      <c r="B16" t="s">
        <v>32</v>
      </c>
    </row>
    <row r="17" spans="1:2" x14ac:dyDescent="0.35">
      <c r="A17" t="s">
        <v>3</v>
      </c>
      <c r="B17" t="s">
        <v>32</v>
      </c>
    </row>
    <row r="18" spans="1:2" x14ac:dyDescent="0.35">
      <c r="A18" t="s">
        <v>35</v>
      </c>
      <c r="B18" t="s">
        <v>32</v>
      </c>
    </row>
    <row r="19" spans="1:2" x14ac:dyDescent="0.35">
      <c r="A19" t="s">
        <v>2</v>
      </c>
      <c r="B19" t="s">
        <v>32</v>
      </c>
    </row>
    <row r="20" spans="1:2" x14ac:dyDescent="0.3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2" customWidth="1"/>
  </cols>
  <sheetData>
    <row r="2" spans="1:2" x14ac:dyDescent="0.35">
      <c r="A2" s="24" t="s">
        <v>193</v>
      </c>
      <c r="B2" s="25" t="s">
        <v>190</v>
      </c>
    </row>
    <row r="3" spans="1:2" x14ac:dyDescent="0.35">
      <c r="B3" s="22" t="s">
        <v>115</v>
      </c>
    </row>
    <row r="4" spans="1:2" x14ac:dyDescent="0.35">
      <c r="B4" s="22" t="s">
        <v>116</v>
      </c>
    </row>
    <row r="5" spans="1:2" x14ac:dyDescent="0.35">
      <c r="B5" s="22" t="s">
        <v>117</v>
      </c>
    </row>
    <row r="6" spans="1:2" x14ac:dyDescent="0.35">
      <c r="B6" s="22" t="s">
        <v>118</v>
      </c>
    </row>
    <row r="7" spans="1:2" x14ac:dyDescent="0.35">
      <c r="B7" s="22" t="s">
        <v>119</v>
      </c>
    </row>
    <row r="8" spans="1:2" x14ac:dyDescent="0.35">
      <c r="B8" s="22" t="s">
        <v>120</v>
      </c>
    </row>
    <row r="9" spans="1:2" x14ac:dyDescent="0.35">
      <c r="B9" s="22" t="s">
        <v>121</v>
      </c>
    </row>
    <row r="10" spans="1:2" x14ac:dyDescent="0.35">
      <c r="B10" s="22" t="s">
        <v>122</v>
      </c>
    </row>
    <row r="11" spans="1:2" x14ac:dyDescent="0.35">
      <c r="B11" s="22" t="s">
        <v>123</v>
      </c>
    </row>
    <row r="12" spans="1:2" x14ac:dyDescent="0.35">
      <c r="B12" s="22" t="s">
        <v>124</v>
      </c>
    </row>
    <row r="13" spans="1:2" x14ac:dyDescent="0.35">
      <c r="B13" s="22" t="s">
        <v>125</v>
      </c>
    </row>
    <row r="14" spans="1:2" x14ac:dyDescent="0.35">
      <c r="B14" s="22" t="s">
        <v>126</v>
      </c>
    </row>
    <row r="15" spans="1:2" x14ac:dyDescent="0.35">
      <c r="B15" s="22" t="s">
        <v>127</v>
      </c>
    </row>
    <row r="16" spans="1:2" x14ac:dyDescent="0.35">
      <c r="B16" s="22" t="s">
        <v>128</v>
      </c>
    </row>
    <row r="17" spans="1:3" x14ac:dyDescent="0.35">
      <c r="B17" s="22" t="s">
        <v>129</v>
      </c>
    </row>
    <row r="18" spans="1:3" x14ac:dyDescent="0.35">
      <c r="B18" s="22" t="s">
        <v>130</v>
      </c>
      <c r="C18" t="s">
        <v>192</v>
      </c>
    </row>
    <row r="19" spans="1:3" x14ac:dyDescent="0.35">
      <c r="B19" s="22" t="s">
        <v>131</v>
      </c>
    </row>
    <row r="20" spans="1:3" x14ac:dyDescent="0.35">
      <c r="B20" s="22" t="s">
        <v>132</v>
      </c>
    </row>
    <row r="21" spans="1:3" x14ac:dyDescent="0.35">
      <c r="B21" s="22" t="s">
        <v>133</v>
      </c>
    </row>
    <row r="22" spans="1:3" x14ac:dyDescent="0.35">
      <c r="B22" s="22" t="s">
        <v>134</v>
      </c>
      <c r="C22" t="s">
        <v>197</v>
      </c>
    </row>
    <row r="23" spans="1:3" x14ac:dyDescent="0.35">
      <c r="B23" s="22" t="s">
        <v>135</v>
      </c>
    </row>
    <row r="24" spans="1:3" x14ac:dyDescent="0.35">
      <c r="B24" s="22" t="s">
        <v>136</v>
      </c>
    </row>
    <row r="25" spans="1:3" x14ac:dyDescent="0.35">
      <c r="B25" s="22" t="s">
        <v>137</v>
      </c>
    </row>
    <row r="26" spans="1:3" x14ac:dyDescent="0.35">
      <c r="A26" s="24" t="s">
        <v>194</v>
      </c>
      <c r="B26" s="25" t="s">
        <v>191</v>
      </c>
    </row>
    <row r="27" spans="1:3" x14ac:dyDescent="0.35">
      <c r="B27" s="22" t="s">
        <v>138</v>
      </c>
    </row>
    <row r="28" spans="1:3" x14ac:dyDescent="0.35">
      <c r="B28" s="23" t="s">
        <v>139</v>
      </c>
    </row>
    <row r="29" spans="1:3" x14ac:dyDescent="0.35">
      <c r="B29" s="22" t="s">
        <v>140</v>
      </c>
    </row>
    <row r="30" spans="1:3" x14ac:dyDescent="0.35">
      <c r="B30" s="22" t="s">
        <v>141</v>
      </c>
    </row>
    <row r="31" spans="1:3" x14ac:dyDescent="0.35">
      <c r="B31" s="22" t="s">
        <v>142</v>
      </c>
    </row>
    <row r="32" spans="1:3" x14ac:dyDescent="0.35">
      <c r="B32" s="22" t="s">
        <v>143</v>
      </c>
    </row>
    <row r="33" spans="2:2" x14ac:dyDescent="0.35">
      <c r="B33" s="22" t="s">
        <v>144</v>
      </c>
    </row>
    <row r="34" spans="2:2" x14ac:dyDescent="0.35">
      <c r="B34" s="22" t="s">
        <v>145</v>
      </c>
    </row>
    <row r="35" spans="2:2" x14ac:dyDescent="0.35">
      <c r="B35" s="22" t="s">
        <v>146</v>
      </c>
    </row>
    <row r="36" spans="2:2" x14ac:dyDescent="0.35">
      <c r="B36" s="22" t="s">
        <v>147</v>
      </c>
    </row>
    <row r="37" spans="2:2" x14ac:dyDescent="0.35">
      <c r="B37" s="22" t="s">
        <v>148</v>
      </c>
    </row>
    <row r="38" spans="2:2" x14ac:dyDescent="0.35">
      <c r="B38" s="22" t="s">
        <v>149</v>
      </c>
    </row>
    <row r="39" spans="2:2" x14ac:dyDescent="0.35">
      <c r="B39" s="22" t="s">
        <v>150</v>
      </c>
    </row>
    <row r="40" spans="2:2" x14ac:dyDescent="0.35">
      <c r="B40" s="22" t="s">
        <v>151</v>
      </c>
    </row>
    <row r="41" spans="2:2" x14ac:dyDescent="0.35">
      <c r="B41" s="22" t="s">
        <v>152</v>
      </c>
    </row>
    <row r="42" spans="2:2" x14ac:dyDescent="0.35">
      <c r="B42" s="22" t="s">
        <v>153</v>
      </c>
    </row>
    <row r="43" spans="2:2" x14ac:dyDescent="0.35">
      <c r="B43" s="23" t="s">
        <v>154</v>
      </c>
    </row>
    <row r="44" spans="2:2" x14ac:dyDescent="0.35">
      <c r="B44" s="22" t="s">
        <v>140</v>
      </c>
    </row>
    <row r="45" spans="2:2" x14ac:dyDescent="0.35">
      <c r="B45" s="22" t="s">
        <v>155</v>
      </c>
    </row>
    <row r="46" spans="2:2" x14ac:dyDescent="0.35">
      <c r="B46" s="22" t="s">
        <v>156</v>
      </c>
    </row>
    <row r="47" spans="2:2" x14ac:dyDescent="0.35">
      <c r="B47" s="22" t="s">
        <v>157</v>
      </c>
    </row>
    <row r="48" spans="2:2" x14ac:dyDescent="0.35">
      <c r="B48" s="22" t="s">
        <v>158</v>
      </c>
    </row>
    <row r="49" spans="2:2" x14ac:dyDescent="0.35">
      <c r="B49" s="22" t="s">
        <v>141</v>
      </c>
    </row>
    <row r="50" spans="2:2" x14ac:dyDescent="0.35">
      <c r="B50" s="22" t="s">
        <v>142</v>
      </c>
    </row>
    <row r="51" spans="2:2" x14ac:dyDescent="0.35">
      <c r="B51" s="22" t="s">
        <v>143</v>
      </c>
    </row>
    <row r="52" spans="2:2" x14ac:dyDescent="0.35">
      <c r="B52" s="22" t="s">
        <v>144</v>
      </c>
    </row>
    <row r="53" spans="2:2" x14ac:dyDescent="0.35">
      <c r="B53" s="22" t="s">
        <v>145</v>
      </c>
    </row>
    <row r="54" spans="2:2" x14ac:dyDescent="0.35">
      <c r="B54" s="22" t="s">
        <v>146</v>
      </c>
    </row>
    <row r="55" spans="2:2" x14ac:dyDescent="0.35">
      <c r="B55" s="22" t="s">
        <v>147</v>
      </c>
    </row>
    <row r="56" spans="2:2" x14ac:dyDescent="0.35">
      <c r="B56" s="22" t="s">
        <v>159</v>
      </c>
    </row>
    <row r="57" spans="2:2" x14ac:dyDescent="0.35">
      <c r="B57" s="22" t="s">
        <v>160</v>
      </c>
    </row>
    <row r="58" spans="2:2" x14ac:dyDescent="0.35">
      <c r="B58" s="22" t="s">
        <v>148</v>
      </c>
    </row>
    <row r="59" spans="2:2" x14ac:dyDescent="0.35">
      <c r="B59" s="22" t="s">
        <v>149</v>
      </c>
    </row>
    <row r="60" spans="2:2" x14ac:dyDescent="0.35">
      <c r="B60" s="22" t="s">
        <v>161</v>
      </c>
    </row>
    <row r="61" spans="2:2" x14ac:dyDescent="0.35">
      <c r="B61" s="22" t="s">
        <v>162</v>
      </c>
    </row>
    <row r="62" spans="2:2" x14ac:dyDescent="0.35">
      <c r="B62" s="22" t="s">
        <v>163</v>
      </c>
    </row>
    <row r="63" spans="2:2" x14ac:dyDescent="0.35">
      <c r="B63" s="22" t="s">
        <v>158</v>
      </c>
    </row>
    <row r="64" spans="2:2" x14ac:dyDescent="0.35">
      <c r="B64" s="22" t="s">
        <v>150</v>
      </c>
    </row>
    <row r="65" spans="2:2" x14ac:dyDescent="0.35">
      <c r="B65" s="22" t="s">
        <v>151</v>
      </c>
    </row>
    <row r="66" spans="2:2" x14ac:dyDescent="0.35">
      <c r="B66" s="22" t="s">
        <v>164</v>
      </c>
    </row>
    <row r="67" spans="2:2" x14ac:dyDescent="0.35">
      <c r="B67" s="22" t="s">
        <v>158</v>
      </c>
    </row>
    <row r="68" spans="2:2" x14ac:dyDescent="0.35">
      <c r="B68" s="22" t="s">
        <v>152</v>
      </c>
    </row>
    <row r="69" spans="2:2" x14ac:dyDescent="0.35">
      <c r="B69" s="22" t="s">
        <v>165</v>
      </c>
    </row>
    <row r="70" spans="2:2" x14ac:dyDescent="0.35">
      <c r="B70" s="23" t="s">
        <v>166</v>
      </c>
    </row>
    <row r="71" spans="2:2" x14ac:dyDescent="0.35">
      <c r="B71" s="22" t="s">
        <v>140</v>
      </c>
    </row>
    <row r="72" spans="2:2" x14ac:dyDescent="0.35">
      <c r="B72" s="22" t="s">
        <v>141</v>
      </c>
    </row>
    <row r="73" spans="2:2" x14ac:dyDescent="0.35">
      <c r="B73" s="22" t="s">
        <v>142</v>
      </c>
    </row>
    <row r="74" spans="2:2" x14ac:dyDescent="0.35">
      <c r="B74" s="22" t="s">
        <v>143</v>
      </c>
    </row>
    <row r="75" spans="2:2" x14ac:dyDescent="0.35">
      <c r="B75" s="22" t="s">
        <v>147</v>
      </c>
    </row>
    <row r="76" spans="2:2" x14ac:dyDescent="0.35">
      <c r="B76" s="22" t="s">
        <v>149</v>
      </c>
    </row>
    <row r="77" spans="2:2" x14ac:dyDescent="0.35">
      <c r="B77" s="22" t="s">
        <v>150</v>
      </c>
    </row>
    <row r="78" spans="2:2" x14ac:dyDescent="0.35">
      <c r="B78" s="22" t="s">
        <v>151</v>
      </c>
    </row>
    <row r="79" spans="2:2" x14ac:dyDescent="0.35">
      <c r="B79" s="22" t="s">
        <v>152</v>
      </c>
    </row>
    <row r="80" spans="2:2" x14ac:dyDescent="0.35">
      <c r="B80" s="22" t="s">
        <v>165</v>
      </c>
    </row>
    <row r="81" spans="1:2" x14ac:dyDescent="0.35">
      <c r="B81" s="23" t="s">
        <v>167</v>
      </c>
    </row>
    <row r="82" spans="1:2" x14ac:dyDescent="0.35">
      <c r="B82" s="23" t="s">
        <v>168</v>
      </c>
    </row>
    <row r="83" spans="1:2" x14ac:dyDescent="0.35">
      <c r="B83" s="23" t="s">
        <v>169</v>
      </c>
    </row>
    <row r="84" spans="1:2" x14ac:dyDescent="0.35">
      <c r="B84" s="23" t="s">
        <v>170</v>
      </c>
    </row>
    <row r="85" spans="1:2" x14ac:dyDescent="0.35">
      <c r="B85" s="23" t="s">
        <v>171</v>
      </c>
    </row>
    <row r="86" spans="1:2" x14ac:dyDescent="0.35">
      <c r="B86" s="23" t="s">
        <v>172</v>
      </c>
    </row>
    <row r="87" spans="1:2" x14ac:dyDescent="0.35">
      <c r="B87" s="23" t="s">
        <v>173</v>
      </c>
    </row>
    <row r="88" spans="1:2" x14ac:dyDescent="0.35">
      <c r="A88" s="24" t="s">
        <v>195</v>
      </c>
      <c r="B88" s="26" t="s">
        <v>174</v>
      </c>
    </row>
    <row r="89" spans="1:2" x14ac:dyDescent="0.35">
      <c r="B89" s="22" t="s">
        <v>175</v>
      </c>
    </row>
    <row r="90" spans="1:2" x14ac:dyDescent="0.35">
      <c r="B90" s="22" t="s">
        <v>176</v>
      </c>
    </row>
    <row r="91" spans="1:2" x14ac:dyDescent="0.35">
      <c r="B91" s="22" t="s">
        <v>177</v>
      </c>
    </row>
    <row r="92" spans="1:2" x14ac:dyDescent="0.35">
      <c r="B92" s="22" t="s">
        <v>178</v>
      </c>
    </row>
    <row r="93" spans="1:2" x14ac:dyDescent="0.35">
      <c r="B93" s="22" t="s">
        <v>179</v>
      </c>
    </row>
    <row r="94" spans="1:2" x14ac:dyDescent="0.35">
      <c r="B94" s="22" t="s">
        <v>180</v>
      </c>
    </row>
    <row r="95" spans="1:2" x14ac:dyDescent="0.35">
      <c r="B95" s="22" t="s">
        <v>181</v>
      </c>
    </row>
    <row r="96" spans="1:2" x14ac:dyDescent="0.35">
      <c r="B96" s="22" t="s">
        <v>182</v>
      </c>
    </row>
    <row r="97" spans="2:2" x14ac:dyDescent="0.35">
      <c r="B97" s="22" t="s">
        <v>183</v>
      </c>
    </row>
    <row r="98" spans="2:2" x14ac:dyDescent="0.35">
      <c r="B98" s="22" t="s">
        <v>184</v>
      </c>
    </row>
    <row r="99" spans="2:2" x14ac:dyDescent="0.35">
      <c r="B99" s="22" t="s">
        <v>185</v>
      </c>
    </row>
    <row r="100" spans="2:2" x14ac:dyDescent="0.35">
      <c r="B100" s="22" t="s">
        <v>186</v>
      </c>
    </row>
    <row r="101" spans="2:2" x14ac:dyDescent="0.35">
      <c r="B101" s="22" t="s">
        <v>187</v>
      </c>
    </row>
    <row r="102" spans="2:2" x14ac:dyDescent="0.35">
      <c r="B102" s="22" t="s">
        <v>188</v>
      </c>
    </row>
    <row r="103" spans="2:2" x14ac:dyDescent="0.3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2023-04-17T07:24:25Z</dcterms:modified>
</cp:coreProperties>
</file>
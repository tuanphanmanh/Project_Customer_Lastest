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master\inventory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S18" i="5" s="1"/>
  <c r="F18" i="5"/>
  <c r="E19" i="5"/>
  <c r="F19" i="5"/>
  <c r="E20" i="5"/>
  <c r="F20" i="5"/>
  <c r="V20" i="5" s="1"/>
  <c r="E21" i="5"/>
  <c r="F21" i="5"/>
  <c r="E22" i="5"/>
  <c r="F22" i="5"/>
  <c r="E23" i="5"/>
  <c r="F23" i="5"/>
  <c r="C20" i="5"/>
  <c r="B20" i="5"/>
  <c r="D20" i="5" s="1"/>
  <c r="U19" i="5"/>
  <c r="C19" i="5"/>
  <c r="B19" i="5"/>
  <c r="D19" i="5" s="1"/>
  <c r="V18" i="5"/>
  <c r="D18" i="5"/>
  <c r="C18" i="5"/>
  <c r="H18" i="5" s="1"/>
  <c r="B18" i="5"/>
  <c r="L17" i="5"/>
  <c r="G17" i="5"/>
  <c r="V17" i="5"/>
  <c r="C17" i="5"/>
  <c r="B17" i="5"/>
  <c r="D17" i="5" s="1"/>
  <c r="S16" i="5"/>
  <c r="V16" i="5"/>
  <c r="D16" i="5"/>
  <c r="C16" i="5"/>
  <c r="B16" i="5"/>
  <c r="L16" i="1"/>
  <c r="G16" i="1"/>
  <c r="E16" i="1"/>
  <c r="H16" i="1" s="1"/>
  <c r="D16" i="1"/>
  <c r="T16" i="1" s="1"/>
  <c r="L15" i="1"/>
  <c r="G15" i="1"/>
  <c r="E15" i="1"/>
  <c r="H15" i="1" s="1"/>
  <c r="D15" i="1"/>
  <c r="V15" i="1" s="1"/>
  <c r="L14" i="1"/>
  <c r="G14" i="1"/>
  <c r="E14" i="1"/>
  <c r="H14" i="1" s="1"/>
  <c r="D14" i="1"/>
  <c r="V14" i="1" s="1"/>
  <c r="H16" i="5" l="1"/>
  <c r="H20" i="5"/>
  <c r="T17" i="5"/>
  <c r="T19" i="5"/>
  <c r="S20" i="5"/>
  <c r="K17" i="5"/>
  <c r="U17" i="5"/>
  <c r="I18" i="5"/>
  <c r="T18" i="5"/>
  <c r="G19" i="5"/>
  <c r="L19" i="5"/>
  <c r="V19" i="5"/>
  <c r="I20" i="5"/>
  <c r="T20" i="5"/>
  <c r="K16" i="5"/>
  <c r="U16" i="5"/>
  <c r="H17" i="5"/>
  <c r="S17" i="5"/>
  <c r="K18" i="5"/>
  <c r="U18" i="5"/>
  <c r="H19" i="5"/>
  <c r="S19" i="5"/>
  <c r="K20" i="5"/>
  <c r="U20" i="5"/>
  <c r="K19" i="5"/>
  <c r="I16" i="5"/>
  <c r="T16" i="5"/>
  <c r="G16" i="5"/>
  <c r="L16" i="5"/>
  <c r="I17" i="5"/>
  <c r="G18" i="5"/>
  <c r="L18" i="5"/>
  <c r="I19" i="5"/>
  <c r="G20" i="5"/>
  <c r="L20" i="5"/>
  <c r="M16" i="1"/>
  <c r="P15" i="1"/>
  <c r="W15" i="1"/>
  <c r="O15" i="1"/>
  <c r="J15" i="1"/>
  <c r="N15" i="1"/>
  <c r="I15" i="1"/>
  <c r="M15" i="1"/>
  <c r="N16" i="1"/>
  <c r="V16" i="1"/>
  <c r="T15" i="1"/>
  <c r="J16" i="1"/>
  <c r="O16" i="1"/>
  <c r="W16" i="1"/>
  <c r="I16" i="1"/>
  <c r="P16" i="1"/>
  <c r="W14" i="1"/>
  <c r="O14" i="1"/>
  <c r="J14" i="1"/>
  <c r="N14" i="1"/>
  <c r="I14" i="1"/>
  <c r="M14" i="1"/>
  <c r="P14" i="1"/>
  <c r="T14" i="1"/>
  <c r="B21" i="5"/>
  <c r="D21" i="5" s="1"/>
  <c r="C21" i="5"/>
  <c r="B22" i="5"/>
  <c r="D22" i="5" s="1"/>
  <c r="C22" i="5"/>
  <c r="B23" i="5"/>
  <c r="D23" i="5" s="1"/>
  <c r="C23" i="5"/>
  <c r="L17" i="1" l="1"/>
  <c r="G17" i="1"/>
  <c r="E17" i="1"/>
  <c r="H17" i="1" s="1"/>
  <c r="D17" i="1"/>
  <c r="V17" i="1" s="1"/>
  <c r="W17" i="1" l="1"/>
  <c r="P17" i="1"/>
  <c r="T17" i="1"/>
  <c r="I17" i="1"/>
  <c r="N17" i="1"/>
  <c r="M17" i="1"/>
  <c r="J17" i="1"/>
  <c r="O17" i="1"/>
  <c r="B7" i="5"/>
  <c r="B6" i="5"/>
  <c r="B2" i="5"/>
  <c r="G23" i="5" l="1"/>
  <c r="T23" i="5"/>
  <c r="I23" i="5"/>
  <c r="U23" i="5"/>
  <c r="S23" i="5"/>
  <c r="V23" i="5"/>
  <c r="K23" i="5"/>
  <c r="H23" i="5"/>
  <c r="B8" i="5"/>
  <c r="B3" i="5"/>
  <c r="L23" i="5" l="1"/>
  <c r="B6" i="1" l="1"/>
  <c r="G13" i="1"/>
  <c r="E13" i="1"/>
  <c r="H13" i="1" s="1"/>
  <c r="D13" i="1"/>
  <c r="V13" i="1" s="1"/>
  <c r="W13" i="1" l="1"/>
  <c r="N13" i="1"/>
  <c r="I13" i="1"/>
  <c r="M13" i="1"/>
  <c r="O13" i="1"/>
  <c r="J13" i="1"/>
  <c r="L13" i="1"/>
  <c r="P13" i="1"/>
  <c r="T13" i="1"/>
  <c r="C15" i="5"/>
  <c r="B15" i="5"/>
  <c r="D15" i="5" s="1"/>
  <c r="L12" i="1"/>
  <c r="G12" i="1"/>
  <c r="E12" i="1"/>
  <c r="H12" i="1" s="1"/>
  <c r="D12" i="1"/>
  <c r="V12" i="1" s="1"/>
  <c r="G11" i="1"/>
  <c r="E11" i="1"/>
  <c r="H11" i="1" s="1"/>
  <c r="D11" i="1"/>
  <c r="T11" i="1" s="1"/>
  <c r="G22" i="5" l="1"/>
  <c r="T22" i="5"/>
  <c r="U22" i="5"/>
  <c r="V22" i="5"/>
  <c r="S22" i="5"/>
  <c r="I22" i="5"/>
  <c r="K22" i="5"/>
  <c r="H22" i="5"/>
  <c r="L22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K15" i="5" l="1"/>
  <c r="S15" i="5"/>
  <c r="I15" i="5"/>
  <c r="U15" i="5"/>
  <c r="T15" i="5"/>
  <c r="H15" i="5"/>
  <c r="G15" i="5"/>
  <c r="V15" i="5"/>
  <c r="L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D10" i="1"/>
  <c r="T10" i="1" s="1"/>
  <c r="H21" i="5" l="1"/>
  <c r="K21" i="5"/>
  <c r="I21" i="5"/>
  <c r="T21" i="5"/>
  <c r="V21" i="5"/>
  <c r="G21" i="5"/>
  <c r="U21" i="5" s="1"/>
  <c r="L21" i="5"/>
  <c r="P10" i="1"/>
  <c r="V10" i="1"/>
  <c r="W10" i="1"/>
  <c r="J10" i="1"/>
  <c r="I10" i="1"/>
  <c r="O10" i="1"/>
  <c r="N10" i="1"/>
  <c r="M10" i="1"/>
  <c r="S21" i="5" l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9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19" i="1"/>
  <c r="T7" i="1" l="1"/>
  <c r="W19" i="1"/>
  <c r="G6" i="1" l="1"/>
  <c r="H13" i="5"/>
  <c r="S13" i="5"/>
  <c r="I13" i="5"/>
  <c r="U13" i="5"/>
  <c r="L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O19" i="1"/>
  <c r="P19" i="1"/>
  <c r="I19" i="1"/>
  <c r="J19" i="1"/>
  <c r="N19" i="1"/>
  <c r="Q7" i="1" l="1"/>
  <c r="M68" i="3" s="1"/>
  <c r="L7" i="1"/>
  <c r="G68" i="3" s="1"/>
  <c r="K68" i="3"/>
  <c r="J68" i="3"/>
  <c r="K19" i="1"/>
  <c r="M19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<sst xmlns="http://schemas.openxmlformats.org/spreadsheetml/2006/main" count="473" uniqueCount="369">
  <si>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</si>
  <si>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</si>
  <si>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</si>
  <si>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</si>
  <si>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</si>
  <si>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</si>
  <si>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</si>
  <si>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</si>
  <si>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</si>
  <si>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</si>
  <si>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</si>
  <si>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</si>
  <si>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</si>
  <si>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</si>
  <si>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</si>
  <si>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</si>
  <si>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</si>
  <si>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</si>
  <si>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</si>
  <si>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</si>
  <si>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</si>
  <si>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</si>
  <si>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</si>
  <si>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</si>
  <si>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</si>
  <si>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</si>
  <si>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</si>
  <si>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</si>
  <si>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</si>
  <si>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</si>
  <si>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</si>
  <si>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</si>
  <si>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</si>
  <si>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</si>
  <si>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</si>
  <si>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</si>
  <si>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</si>
  <si>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</si>
  <si>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</si>
  <si>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</si>
  <si>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</si>
  <si>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</si>
  <si>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</si>
  <si>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</si>
  <si>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</si>
  <si>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</si>
  <si>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</si>
  <si>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</si>
  <si>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</si>
  <si>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</si>
  <si>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</si>
  <si>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</si>
  <si>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</si>
  <si>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</si>
  <si>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</si>
  <si>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</si>
  <si>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</si>
  <si>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</si>
  <si>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</si>
  <si>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</si>
  <si>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</si>
  <si>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</si>
  <si>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</si>
  <si>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</si>
  <si>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</si>
  <si>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</si>
  <si>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</si>
  <si>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</si>
  <si>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</si>
  <si>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</si>
  <si>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</si>
  <si>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</si>
  <si>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</si>
  <si>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</si>
  <si>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</si>
  <si>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</si>
  <si>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</si>
  <si>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</si>
  <si>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</si>
  <si>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</si>
  <si>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</si>
  <si>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</si>
  <si>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</si>
  <si>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</si>
  <si>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</si>
  <si>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</si>
  <si>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</si>
  <si>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</si>
  <si>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</si>
  <si>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</si>
  <si>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</si>
  <si>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</si>
  <si>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</si>
  <si>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</si>
  <si>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</si>
  <si>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</si>
  <si>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</si>
  <si>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</si>
  <si>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</si>
  <si>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</si>
  <si>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</si>
  <si>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</si>
  <si>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</si>
  <si>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</si>
  <si>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</si>
  <si>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</si>
  <si>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</si>
  <si>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</si>
  <si>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</si>
  <si>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</si>
  <si>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</si>
  <si>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</si>
  <si>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</si>
  <si>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</si>
  <si>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</si>
  <si>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</si>
  <si>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</si>
  <si>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</si>
  <si>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</si>
  <si>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</si>
  <si>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</si>
  <si>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</si>
  <si>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</si>
  <si>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</si>
  <si>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</si>
  <si>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</si>
  <si>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</si>
  <si>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</si>
  <si>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</si>
  <si>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</si>
  <si>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</si>
  <si>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</si>
  <si>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</si>
  <si>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</si>
  <si>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</si>
  <si>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</si>
  <si>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</si>
  <si>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</si>
  <si>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</si>
  <si>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</si>
  <si>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</si>
  <si>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</si>
  <si>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</si>
  <si>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</si>
  <si>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</si>
  <si>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</si>
  <si>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</si>
  <si>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</si>
  <si>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</si>
  <si>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</si>
  <si>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</si>
  <si>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</si>
  <si>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</si>
  <si>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</si>
  <si>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</si>
  <si>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</si>
  <si>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</si>
  <si>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</si>
  <si>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</si>
  <si>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</si>
  <si>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</si>
  <si>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</si>
  <si>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</si>
  <si>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</si>
  <si>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</si>
  <si>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</si>
  <si>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</si>
  <si>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</si>
  <si>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</si>
  <si>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</si>
  <si>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</si>
  <si>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</si>
  <si>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</si>
  <si>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</si>
  <si>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</si>
  <si>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</si>
  <si>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</si>
  <si>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</si>
  <si>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</si>
  <si>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</si>
  <si>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</si>
  <si>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</si>
  <si>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</si>
  <si>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</si>
  <si>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</si>
  <si>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</si>
  <si>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</si>
  <si>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</si>
  <si>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</si>
  <si>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</si>
  <si>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</si>
  <si>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</si>
  <si>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</si>
  <si>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</si>
  <si>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</si>
  <si>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</si>
  <si>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</si>
  <si>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</si>
  <si>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</si>
  <si>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</si>
  <si>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</si>
  <si>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</si>
  <si>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</si>
  <si>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</si>
  <si>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</si>
  <si>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</si>
  <si>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</si>
  <si>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</si>
  <si>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</si>
  <si>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</si>
  <si>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</si>
  <si>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</si>
  <si>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</si>
  <si>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</si>
  <si>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</si>
  <si>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</si>
  <si>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</si>
  <si>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</si>
  <si>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</si>
  <si>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</si>
  <si>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</si>
  <si>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</si>
  <si>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</si>
  <si>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</si>
  <si>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</si>
  <si>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</si>
  <si>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</si>
  <si>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</si>
  <si>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</si>
  <si>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</si>
  <si>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</si>
  <si>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</si>
  <si>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</si>
  <si>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</si>
  <si>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</si>
  <si>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</si>
  <si>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</si>
  <si>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</si>
  <si>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</si>
  <si>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</si>
  <si>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</si>
  <si>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</si>
  <si>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</si>
  <si>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</si>
  <si>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</si>
  <si>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</si>
  <si>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</si>
  <si>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</si>
  <si>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</si>
  <si>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</si>
  <si>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</si>
  <si>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</si>
  <si>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</si>
  <si>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</si>
  <si>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</si>
  <si>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</si>
  <si>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</si>
  <si>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</si>
  <si>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</si>
  <si>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</si>
  <si>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</si>
  <si>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</si>
  <si>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</si>
  <si>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</si>
  <si>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</si>
  <si>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</si>
  <si>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</si>
  <si>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</si>
  <si>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</si>
  <si>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</si>
  <si>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</si>
  <si>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</si>
  <si>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</si>
  <si>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</si>
  <si>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</si>
  <si>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</si>
  <si>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</si>
  <si>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</si>
  <si>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</si>
  <si>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</si>
  <si>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</si>
  <si>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</si>
  <si>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</si>
  <si>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</si>
  <si>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</si>
  <si>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</si>
  <si>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</si>
  <si>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</si>
  <si>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</si>
  <si>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</si>
  <si>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</si>
  <si>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</si>
  <si>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</si>
  <si>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</si>
  <si>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</si>
  <si>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</si>
  <si>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</si>
  <si>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</si>
  <si>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</si>
  <si>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</si>
  <si>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</si>
  <si>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</si>
  <si>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</si>
  <si>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</si>
  <si>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</si>
  <si>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</si>
  <si>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</si>
  <si>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</si>
  <si>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</si>
  <si>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</si>
  <si>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</si>
  <si>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</si>
  <si>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</si>
  <si>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</si>
  <si>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</si>
  <si>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</si>
  <si>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</si>
  <si>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</si>
  <si>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</si>
  <si>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</si>
  <si>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</si>
  <si>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</si>
  <si>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</si>
  <si>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</si>
  <si>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</si>
  <si>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</si>
  <si>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</si>
  <si>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</si>
  <si>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</si>
  <si>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</si>
  <si>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</si>
  <si>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</si>
  <si>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</si>
  <si>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</si>
  <si>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</si>
  <si>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</si>
  <si>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</si>
  <si>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</si>
  <si>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</si>
  <si>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</si>
  <si>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</si>
  <si>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</si>
  <si>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</si>
  <si>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</si>
  <si>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</si>
  <si>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</si>
  <si>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</si>
  <si>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</si>
  <si>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</si>
  <si>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</si>
  <si>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</si>
  <si>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</si>
  <si>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</si>
  <si>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</si>
  <si>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</si>
  <si>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SUPPLIER_ID</t>
  </si>
  <si>
    <t>varchar(1)</t>
  </si>
  <si>
    <t>Master.Inv</t>
  </si>
  <si>
    <t>MstInvGpsSupplierOrderTime</t>
  </si>
  <si>
    <t>ORDER_SEQ</t>
  </si>
  <si>
    <t>ORDER_TYPE</t>
  </si>
  <si>
    <t>ORDER_TIME</t>
  </si>
  <si>
    <t>time(7)</t>
  </si>
  <si>
    <t>RECEIVING_DAY</t>
  </si>
  <si>
    <t>RECEIVE_TIME</t>
  </si>
  <si>
    <t>KEIHEN_TIME</t>
  </si>
  <si>
    <t>KEIHEN_DAY</t>
  </si>
  <si>
    <t>Y</t>
  </si>
  <si>
    <t>Supplier Order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</si>
</sst>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14" zoomScaleNormal="100" workbookViewId="0">
      <selection activeCell="E77" sqref="E77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[Table("MstInvGpsSupplierOrderTime")]
	[Index(nameof(SupplierId), Name="IX_MstInvGpsSupplierOrderTime_SupplierId")]
	[Index(nameof(OrderType), Name="IX_MstInvGpsSupplierOrderTime_OrderType")]
	[Index(nameof(IsActive), Name="IX_MstInvGpsSupplierOrderTime_IsActive")]	public class MstInvGpsSupplierOrderTime: FullAuditedEntity&lt;long&gt;, IEntity&lt;long&gt;	
	{
		public const int MaxOrderTypeLength = 1;
		public const int MaxIsActiveLength = 1;
		public virtual long? SupplierId { get; set; }
		public virtual int? OrderSeq { get; set; }
		[StringLength(MaxOrderTypeLength)]
		public virtual string OrderType { get; set; }
		[Column(TypeName="time(7)")]
		public virtual TimeSpan? OrderTime { get; set; }
		public virtual int? ReceivingDay { get; set; }
		[Column(TypeName="time(7)")]
		public virtual TimeSpan? ReceiveTime { get; set; }
		[Column(TypeName="time(7)")]
		public virtual TimeSpan? KeihenTime { get; set; }
		public virtual int? KeihenDay { get; set; }
		[StringLength(MaxIsActiveLength)]
		public virtual string IsActive { get; set; }
	}
}
</v>
      </c>
      <c r="D68" s="48" t="str">
        <f>A.Backend!O7</f>
        <v xml:space="preserve">		public const string Pages_Master_Inv_MstInvGpsSupplierOrderTime = "Pages.Master.Inv.MstInvGpsSupplierOrderTime";
		public const string Pages_Master_Inv_MstInvGpsSupplierOrderTime_CreateEdit = "Pages.Master.Inv.MstInvGpsSupplierOrderTime.CreateEdit";
		public const string Pages_Master_Inv_MstInvGpsSupplierOrderTime_Delete = "Pages.Master.Inv.MstInvGpsSupplierOrderTime.Delete";
</v>
      </c>
      <c r="E68" s="48" t="str">
        <f>A.Backend!N7</f>
        <v xml:space="preserve">		var perMstInvGpsSupplierOrderTime = PARENTS.CreateChildPermission(AppPermissions.Pages_Master_Inv_MstInvGpsSupplierOrderTime, L( "MasterInvMstInvGpsSupplierOrderTime"), multiTenancySides: MultiTenancySides.Tenant);
		perMstInvGpsSupplierOrderTime.CreateChildPermission(AppPermissions.Pages_Master_Inv_MstInvGpsSupplierOrderTime_CreateEdit, L( "MasterInvMstInvGpsSupplierOrderTimeCreateEdit"), multiTenancySides: MultiTenancySides.Tenant);
		perMstInvGpsSupplierOrderTime.CreateChildPermission(AppPermissions.Pages_Master_Inv_MstInvGpsSupplierOrderTime_Delete, L( "MasterInvMstInvGpsSupplierOrderTimeDelete"), multiTenancySides: MultiTenancySides.Tenant);</v>
      </c>
      <c r="F68" s="48" t="str">
        <f>A.Backend!K7</f>
        <v>public virtual DbSet&lt;MstInvGpsSupplierOrderTime&gt; MstInvGpsSupplierOrderTimes { get; set; }</v>
      </c>
      <c r="G68" s="48" t="str">
        <f ca="1">A.Backend!L7</f>
        <v xml:space="preserve">namespace prod.Master.Inv
{
	public class MstInvGpsSupplierOrderTimeConsts	
	{
		public const int MaxOrderTypeLength = 1;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prod.Master.Inv.Dto
{
	public class MstInvGpsSupplierOrderTimeDto : EntityDto&lt;long?&gt;	
	{
		public virtual long? SupplierId { get; set; }
		public virtual int? OrderSeq { get; set; }
		public virtual string OrderType { get; set; }
		public virtual TimeSpan? OrderTime { get; set; }
		public virtual int? ReceivingDay { get; set; }
		public virtual TimeSpan? ReceiveTime { get; set; }
		public virtual TimeSpan? KeihenTime { get; set; }
		public virtual int? KeihenDay { get; set; }
		public virtual string IsActive { get; set; }
	}
	public class CreateOrEditMstInvGpsSupplierOrderTimeDto : EntityDto&lt;long?&gt;	
	{
		public virtual long? SupplierId { get; set; }
		public virtual int? OrderSeq { get; set; }
		[StringLength(MstInvGpsSupplierOrderTimeConsts.MaxOrderTypeLength)]
		public virtual string OrderType { get; set; }
		public virtual TimeSpan? OrderTime { get; set; }
		public virtual int? ReceivingDay { get; set; }
		public virtual TimeSpan? ReceiveTime { get; set; }
		public virtual TimeSpan? KeihenTime { get; set; }
		public virtual int? KeihenDay { get; set; }
		[StringLength(MstInvGpsSupplierOrderTimeConsts.MaxIsActiveLength)]
		public virtual string IsActive { get; set; }
	}
	public class GetMstInvGpsSupplierOrderTimeInput : PagedAndSortedResultRequestDto	
	{
		public virtual string OrderType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prod.Master.Inv.Dto
{
	public class MstInvGpsSupplierOrderTimeExportInput{
		public virtual long? SupplierId { get; set; }
		public virtual int? OrderSeq { get; set; }
		public virtual string OrderType { get; set; }
		public virtual TimeSpan? OrderTime { get; set; }
		public virtual int? ReceivingDay { get; set; }
		public virtual TimeSpan? ReceiveTime { get; set; }
		public virtual TimeSpan? KeihenTime { get; set; }
		public virtual int? KeihenDay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vovina.Master.Inv.Dto;
namespace prod.Master.Inv
{
	public interface IMstInvGpsSupplierOrderTimeAppService : IApplicationService
	{
		Task&lt;PagedResultDto&lt;MstInvGpsSupplierOrderTimeDto&gt;&gt; GetAll(GetMstInvGpsSupplierOrderTimeInput input);
		Task CreateOrEdit(CreateOrEditMstInvGpsSupplierOrderTimeDto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IMstInvGpsSupplierOrderTimeExcelExporter : IApplicationService
	{
		FileDto ExportToFile(List&lt;MstInvGpsSupplierOrderTimeDto&gt; mstinvgpssupplierordertime);
	}
}
</v>
      </c>
      <c r="L68" s="48" t="str">
        <f ca="1">A.Backend!T7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MstInvGpsSupplierOrderTimeExcelExporter : NpoiExcelExporterBase, IMstInvGpsSupplierOrderTimeExcelExporter
    {
        public MstInvGpsSupplierOrderTimeExcelExporter(ITempFileCacheManager tempFileCacheManager) : base(tempFileCacheManager) { }
        public FileDto ExportToFile(List&lt;MstInvGpsSupplierOrderTimeDto&gt; mstinvgpssupplierordertime)
        {
            return CreateExcelPackage(
				"MasterInvMstInvGpsSupplierOrderTime.xlsx",
				excelPackage =&gt;
				 {
					var sheet = excelPackage.CreateSheet("MstInvGpsSupplierOrderTime");
					AddHeader(
								sheet,
								("SupplierId"),
								("OrderSeq"),
								("OrderType"),
								("OrderTime"),
								("ReceivingDay"),
								("ReceiveTime"),
								("KeihenTime"),
								("KeihenDay"),
								("IsActive"),
							   );
					AddObjects(
						 sheet, 1, mstinvgpssupplierordertime,                                       
								_ =&gt; _.SupplierId,
								_ =&gt; _.OrderSeq,
								_ =&gt; _.OrderType,
								_ =&gt; _.OrderTime,
								_ =&gt; _.ReceivingDay,
								_ =&gt; _.ReceiveTime,
								_ =&gt; _.KeihenTime,
								_ =&gt; _.KeihenDay,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[AbpAuthorize(AppPermissions.Pages_Master_Inv_MstInvGpsSupplierOrderTime)]
    public class MstInvGpsSupplierOrderTimeAppService : vovinaAppServiceBase, IMstInvGpsSupplierOrderTimeAppService
    {
        private readonly IDapperRepository&lt;MstInvGpsSupplierOrderTime, long&gt; _dapperRepo;
        private readonly IRepository&lt;MstInvGpsSupplierOrderTime, long&gt; _repo;
        private readonly IMstInvGpsSupplierOrderTimeExcelExporter _calendarListExcelExporter;
        public MstInvGpsSupplierOrderTimeAppService(IRepository&lt;MstInvGpsSupplierOrderTime,long&gt; repo, 
                                         IDapperRepository&lt;MstInvGpsSupplierOrderTime,long&gt; dapperRepo,
                                        IMstInvGpsSupplierOrderTimeExcelExporter calendarListExcelExporter
            )
        {
            _repo = repo;
            _dapperRepo = dapperRepo;
            _calendarListExcelExporter = calendarListExcelExporter;
        }
        [AbpAuthorize(AppPermissions.Pages_Master_Inv_MstInvGpsSupplierOrderTime_CreateEdit)]
        public async Task CreateOrEdit(CreateOrEditMstInvGpsSupplierOrderTimeDto input)
        {
            if (input.Id == null) await Create(input);
            else await Update(input);
        }
        //CREATE
        private async Task Create(CreateOrEditMstInvGpsSupplierOrderTimeDto input)
        {          
            var mainObj = ObjectMapper.Map&lt;MstInvGpsSupplierOrderTime&gt;(input);
            await CurrentUnitOfWork.GetDbContext&lt;vovinaDbContext&gt;().AddAsync(mainObj);
        }
        // EDIT
        private async Task Update(CreateOrEditMstInvGpsSupplierOrderTimeDto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[AbpAuthorize(AppPermissions.Pages_Master_Inv_MstInvGpsSupplierOrderTime_Delete)]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Task&lt;PagedResultDto&lt;MstInvGpsSupplierOrderTimeDto&gt;&gt; GetAll(GetMstInvGpsSupplierOrderTimeInput input)
        {
            var filtered = _repo.GetAll()
				.WhereIf(!string.IsNullOrWhiteSpace(input.OrderType), e =&gt; e.OrderType.Contains(input.OrderType))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MstInvGpsSupplierOrderTimeDto
                        {
							Id = o.Id,
							SupplierId = o.SupplierId,
							OrderSeq = o.OrderSeq,
							OrderType = o.OrderType,
							OrderTime = o.OrderTime,
							ReceivingDay = o.ReceivingDay,
							ReceiveTime = o.ReceiveTime,
							KeihenTime = o.KeihenTime,
							KeihenDay = o.KeihenDay,
							IsActive = o.IsActive,
                        };
            var totalCount = await filtered.CountAsync();
			var paged = system.PageBy(input);
            return new PagedResultDto&lt;MstInvGpsSupplierOrderTimeDto&gt;(
                totalCount,
                 await paged.ToListAsync()
            );
        }
        public async Task&lt;FileDto&gt; GetMstInvGpsSupplierOrderTimeToExcel(MstInvGpsSupplierOrderTimeExportInput input)
        {
            var query = from o in _repo.GetAll()
                        select new MstInvGpsSupplierOrderTimeDto
                        {
							Id = o.Id,
							SupplierId = o.SupplierId,
							OrderSeq = o.OrderSeq,
							OrderType = o.OrderType,
							OrderTime = o.OrderTime,
							ReceivingDay = o.ReceivingDay,
							ReceiveTime = o.ReceiveTime,
							KeihenTime = o.KeihenTime,
							KeihenDay = o.KeihenDay,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_dapperRepo.ExecuteAsync(MstInvGpsSupplierOrderTimeConsts.SP_MST_WPT_CALENDAR_GENERATE);
       // }
    }
}</v>
      </c>
      <c r="N68" s="58" t="str">
        <f>A.Backend!U7</f>
        <v xml:space="preserve">  configuration.CreateMap&lt;MstInvGpsSupplierOrderTimeDto, MstInvGpsSupplierOrderTime&gt;();
  configuration.CreateMap&lt;MstInvGpsSupplierOrderTime, MstInvGpsSupplierOrderTimeDto&gt;();
  configuration.CreateMap&lt;CreateOrEditMstInvGpsSupplierOrderTimeDto, MstInvGpsSupplierOrderTime&gt;();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mstinvgpssupplierordertime</v>
      </c>
      <c r="C73" s="66" t="str">
        <f>"create folder " &amp;B73</f>
        <v>create folder mstinvgpssupplierordertime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25">
      <c r="B74" s="56" t="s">
        <v>224</v>
      </c>
      <c r="C74" s="28" t="str">
        <f>B.Frontend!H14</f>
        <v>mstinvgpssupplierordertime.component.ts</v>
      </c>
      <c r="D74" s="28" t="str">
        <f>B.Frontend!I14</f>
        <v>mstinvgpssupplierordertime.component.html</v>
      </c>
      <c r="E74" s="28" t="str">
        <f>B.Frontend!J14</f>
        <v>mstinvgpssupplierordertime.component.less</v>
      </c>
      <c r="F74" s="28" t="str">
        <f>B.Frontend!K14</f>
        <v>create-or-edit-mstinvgpssupplierordertime-modal.component.html</v>
      </c>
      <c r="G74" s="28" t="str">
        <f>B.Frontend!L14</f>
        <v>create-or-edit-mstinvgpssupplierordertime-modal.component.ts</v>
      </c>
      <c r="H74" s="28" t="str">
        <f>B.Frontend!M14</f>
        <v>create-or-edit-mstinvgpssupplierordertime-modal.component.less</v>
      </c>
      <c r="I74" s="28" t="str">
        <f>B.Frontend!N14</f>
        <v>mstinvgpssupplierordertime.module.ts</v>
      </c>
      <c r="J74" s="28" t="str">
        <f>B.Frontend!O14</f>
        <v>mstinvgpssupplierordertime-routing.module.ts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MstInvGpsSupplierOrderTimeDto, MstInvGpsSupplierOrderTimeServiceProxy } from '@shared/service-proxies/service-proxies';
import { finalize } from 'rxjs/internal/operators/finalize';
import { CreateOrEditMstInvGpsSupplierOrderTimeModalComponent } from './create-or-edit-mstinvgpssupplierordertime-modal.component';
import { DatePipe } from '@angular/common';
import { FileDownloadService } from '@shared/utils/file-download.service';
import ceil from 'lodash-es/ceil';
import { Paginator } from 'primeng/paginator';
@Component({
    templateUrl: './mstinvgpssupplierordertime.component.html',
    styleUrls: ['./mstinvgpssupplierordertime.component.less'],
})
export class MstInvGpsSupplierOrderTimeComponent extends AppComponentBase implements OnInit {
    @ViewChild('createOrEditModalMstInvGpsSupplierOrderTime', { static: true }) createOrEditModalMstInvGpsSupplierOrderTime:| CreateOrEditMstInvGpsSupplierOrderTimeModalComponent|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MstInvGpsSupplierOrderTimeDto = new MstInvGpsSupplierOrderTimeDto();
    saveSelectedRow: MstInvGpsSupplierOrderTimeDto = new MstInvGpsSupplierOrderTimeDto();
    datas: MstInvGpsSupplierOrderTimeDto = new MstInvGpsSupplierOrderTimeDto();
    isLoading: boolean = false;
    dataParams: GridParams | undefined;
    rowData: any[] = [];
    gridApi!: GridApi;
    rowSelection = 'multiple';
    filter: string = '';
	pipe = new DatePipe('en-US');
	frameworkComponents: FrameworkComponent;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MstInvGpsSupplierOrderTimeServiceProxy,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Id'),headerTooltip: this.l('Supplier Id'),field: 'supplierId',flex: 1},
			{headerName: this.l('Order Seq'),headerTooltip: this.l('Order Seq'),field: 'orderSeq',flex: 1},
			{headerName: this.l('Order Type'),headerTooltip: this.l('Order Type'),field:  'orderType', cellClass: ['text-center'], width: 120, cellRenderer: 'agCellButtonComponent',
buttonDefTwo: { text: params =&gt; (params.data?.'orderType' == 'Y') ? 'Active' : 'Inactive',iconName: 'fa fa-circle',className: params =&gt; (params.data?.'orderType' == 'Y') ? 'btnActive' : 'btnInActive',},}
			{headerName: this.l('Order Time'),headerTooltip: this.l('Order Time'),field: 'orderTime',flex: 1},
			{headerName: this.l('Receiving Day'),headerTooltip: this.l('Receiving Day'),field: 'receivingDay',flex: 1},
			{headerName: this.l('Receive Time'),headerTooltip: this.l('Receive Time'),field: 'receiveTime',flex: 1},
			{headerName: this.l('Keihen Time'),headerTooltip: this.l('Keihen Time'),field: 'keihenTime',flex: 1},
			{headerName: this.l('Keihen Day'),headerTooltip: this.l('Keihen Day'),field: 'keihenDay',flex: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			'',
            this.paginationParams.skipCount,
            this.paginationParams.pageSize
        );
    }
    onChangeRowSelection(params: { api: { getSelectedRows: () =&gt; MstInvGpsSupplierOrderTimeDto[] } }) {
        this.saveSelectedRow = params.api.getSelectedRows()[0] ?? new MstInvGpsSupplierOrderTimeDto();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MstInvGpsSupplierOrderTimeDto):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this._service.getMstInvGpsSupplierOrderTimeToExcel(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Supplier Order Time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(click)="createOrEditModalMstInvGpsSupplierOrderTime.show()"&gt;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(click)="createOrEditModalMstInvGpsSupplierOrderTime.show(selectedRow)"&gt;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&lt;create-or-edit-mstinvgpssupplierordertime-modal
    #createOrEditModalMstInvGpsSupplierOrderTime
    (modalSave)="callBackDataGrid(dataParams)"
    (modalClose)="onChangeRowSelection(dataParams)"
&gt;
&lt;/create-or-edit-mstinvgpssupplierordertime-modal&gt;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#createOrEditModalMstInvGpsSupplierOrderTime="bs-modal"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MstInvGpsSupplierOrderTime')}}&lt;/h3&gt;
                    &lt;h3 *ngIf="!rowdata.id"&gt;{{('Create New MstInvGpsSupplierOrderTime')}}&lt;/h3&gt;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Id&lt;/label&gt;
						&lt;input type='number' class='col-md-10 form-control input-text' name='SupplierId' [(ngModel)]='rowdata.supplierId'&gt;
					&lt;/div&gt;
					&lt;div class='col-md-12 form-group row'&gt;
						&lt;label class='col-md-2 form-control title'&gt;Order Seq&lt;/label&gt;
						&lt;input type='number' class='col-md-10 form-control input-text' name='OrderSeq' [(ngModel)]='rowdata.orderSeq'&gt;
					&lt;/div&gt;
					&lt;div class='col-md-12 form-group row'&gt;
						&lt;label class='col-md-2 form-control title'&gt;Order Type&lt;/label&gt;
						&lt;new-checkbox [(ngModel)]='_orderType' name='orderType' className='col-md-10' &gt; &lt;/new-checkbox&gt;
					&lt;/div&gt;
					&lt;div class='col-md-12 form-group row'&gt;
						&lt;label class='col-md-2 form-control title'&gt;Order Time&lt;/label&gt;
						&lt;input type='text' class='col-md-10 form-control input-text' name='orderTime' 
						#datepicker='bsDatepicker' [(ngModel)]='rowdata.orderTime'  bsDatepicker &gt;
					&lt;/div&gt;
					&lt;div class='col-md-12 form-group row'&gt;
						&lt;label class='col-md-2 form-control title'&gt;Receiving Day&lt;/label&gt;
						&lt;input type='number' class='col-md-10 form-control input-text' name='ReceivingDay' [(ngModel)]='rowdata.receivingDay'&gt;
					&lt;/div&gt;
					&lt;div class='col-md-12 form-group row'&gt;
						&lt;label class='col-md-2 form-control title'&gt;Receive Time&lt;/label&gt;
						&lt;input type='text' class='col-md-10 form-control input-text' name='receiveTime' 
						#datepicker='bsDatepicker' [(ngModel)]='rowdata.receiveTime'  bsDatepicker &gt;
					&lt;/div&gt;
					&lt;div class='col-md-12 form-group row'&gt;
						&lt;label class='col-md-2 form-control title'&gt;Keihen Time&lt;/label&gt;
						&lt;input type='text' class='col-md-10 form-control input-text' name='keihenTime' 
						#datepicker='bsDatepicker' [(ngModel)]='rowdata.keihenTime'  bsDatepicker &gt;
					&lt;/div&gt;
					&lt;div class='col-md-12 form-group row'&gt;
						&lt;label class='col-md-2 form-control title'&gt;Keihen Day&lt;/label&gt;
						&lt;input type='number' class='col-md-10 form-control input-text' name='KeihenDay' [(ngModel)]='rowdata.keihenDay'&gt;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CreateOrEditMstInvGpsSupplierOrderTimeDto, MstInvGpsSupplierOrderTimeServiceProxy } from '@shared/service-proxies/service-proxies';
import { BsDatepickerDirective } from 'ngx-bootstrap/datepicker';
@Component({
    selector: 'create-or-edit-mstinvgpssupplierordertime-modal',
    templateUrl: './create-or-edit-mstinvgpssupplierordertime-modal.component.html',
    styleUrls: ['./create-or-edit-mstinvgpssupplierordertime-modal.component.less']
    })
export class CreateOrEditMstInvGpsSupplierOrderTimeModalComponent extends AppComponentBase {
    @ViewChild('createOrEditModalMstInvGpsSupplierOrderTime',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CreateOrEditMstInvGpsSupplierOrderTimeDto = new CreateOrEditMstInvGpsSupplierOrderTimeDto();
    active: boolean = false;
    saving: boolean = false;
    _orderType
isActive: boolean;
    constructor(
        injector: Injector,
        private _mstwptMstInvGpsSupplierOrderTimeService: MstInvGpsSupplierOrderTimeServiceProxy,
    ) 
    {
        super(injector);
    }
    show(rowdata?: CreateOrEditMstInvGpsSupplierOrderTimeDto): void {
        if (!rowdata) this.rowdata = new CreateOrEditMstInvGpsSupplierOrderTimeDto();
        else this.rowdata = rowdata;
        this._orderType
isActive = (this.rowdata.orderType
isActive == "N")? false: true;
        this.active = true;
        this.modal.show();
    } 
    changeActive(event){
        this._orderType
isActive = event.target.checked;
    }
    save(): void {
    this.saving = true; 
    this.rowdata.orderType
isActive = (this._orderType
isActive == true) ? 'Y' : 'N'
    this._mstwptMstInvGpsSupplierOrderTimeService.createOrEdit(this.rowdata)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MstInvGpsSupplierOrderTimeRoutingModule } from './mstinvgpssupplierordertime-routing.module';
import { MstInvGpsSupplierOrderTimeComponent } from './mstinvgpssupplierordertime.component';
import { CreateOrEditMstInvGpsSupplierOrderTimeModalComponent } from './create-or-edit-mstinvgpssupplierordertime-modal.component';
@NgModule({
    declarations: [
       MstInvGpsSupplierOrderTimeComponent, 
        CreateOrEditMstInvGpsSupplierOrderTimeModalComponent
    ],
    imports: [
        AppSharedModule, MstInvGpsSupplierOrderTimeRoutingModule]
})
export class MstInvGpsSupplierOrderTimeModule {}</v>
      </c>
      <c r="J75" s="46" t="str">
        <f>B.Frontend!O10</f>
        <v>import {NgModule} from '@angular/core';
import {RouterModule, Routes} from '@angular/router';
import { MstInvGpsSupplierOrderTimeComponent } from './mstinvgpssupplierordertime.component';
const routes: Routes = [{
    path: '',
    component: MstInvGpsSupplierOrderTimeComponent,
    pathMatch: 'full'
}];
@NgModule({
    imports: [RouterModule.forChild(routes)],
    exports: [RouterModule],
})
export class MstInvGpsSupplierOrderTimeRoutingModule {}</v>
      </c>
      <c r="K75" s="46" t="str">
        <f>B.Frontend!P10</f>
        <v xml:space="preserve"> new AppMenuItem("MstInvGpsSupplierOrderTime", "Pages.Master.Inv.MstInvGpsSupplierOrderTime", "flaticon-book",   "/app/main/master/inv/mstinvgpssupplierordertime"),</v>
      </c>
      <c r="L75" s="47" t="str">
        <f>B.Frontend!Q10</f>
        <v>{
    path: 'master/inv/mstinvgpssupplierordertime',
    loadChildren: () =&gt; import('./master/inv/mstinvgpssupplierordertime/mstinvgpssupplierordertime.module').then(m =&gt; m.MstInvGpsSupplierOrderTimeModule),
    data: { permission: 'Pages.Master.Inv.MstInvGpsSupplierOrderTime' }
},</v>
      </c>
      <c r="M75" s="45" t="str">
        <f>B.Frontend!R10</f>
        <v>ApiServiceProxies.MstInvGpsSupplierOrderTimeServiceProxy,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9"/>
  <sheetViews>
    <sheetView workbookViewId="0">
      <pane xSplit="1" topLeftCell="B1" activePane="topRight" state="frozen"/>
      <selection pane="topRight" activeCell="D13" sqref="D1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357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358</v>
      </c>
      <c r="C3" s="9" t="s">
        <v>40</v>
      </c>
      <c r="D3" s="9" t="s">
        <v>41</v>
      </c>
      <c r="E3" s="9" t="s">
        <v>36</v>
      </c>
      <c r="F3" s="10" t="str">
        <f>"J"&amp;COUNTA($A:$A)</f>
        <v>J17</v>
      </c>
      <c r="G3" s="4" t="s">
        <v>53</v>
      </c>
      <c r="H3" s="9" t="str">
        <f>"I"&amp;COUNTA($A:$A)</f>
        <v>I17</v>
      </c>
      <c r="I3" s="9" t="str">
        <f>REPT(CHAR(9),2)&amp;"[Required]"&amp;"
"</f>
        <v xml:space="preserve">		[Required]
</v>
      </c>
      <c r="J3" s="10" t="str">
        <f>"L"&amp;COUNTA($A:$A)</f>
        <v>L17</v>
      </c>
      <c r="K3" s="5" t="s">
        <v>52</v>
      </c>
      <c r="L3" s="10" t="str">
        <f>"M"&amp;COUNTA($A:$A)</f>
        <v>M17</v>
      </c>
      <c r="M3" s="10" t="str">
        <f>"N"&amp;COUNTA($A:$A)</f>
        <v>N17</v>
      </c>
      <c r="N3" s="10" t="str">
        <f>"O"&amp;COUNTA($A:$A)</f>
        <v>O17</v>
      </c>
      <c r="O3" s="10" t="str">
        <f>"P"&amp;COUNTA($A:$A)</f>
        <v>P17</v>
      </c>
      <c r="Q3" s="10" t="str">
        <f>RIGHT(B2,(LEN(B2)-FIND(".",B2,1)))</f>
        <v>Inv</v>
      </c>
      <c r="R3" s="29" t="str">
        <f>REPT(CHAR(9),1)&amp;"public class "&amp;B3&amp;"ExportInput"&amp;C3</f>
        <v xml:space="preserve">	public class MstInvGpsSupplierOrderTimeExportInput{
</v>
      </c>
      <c r="S3" s="10" t="str">
        <f>"namespace "&amp;$B$6&amp;".Exporting
"&amp;$C$3</f>
        <v xml:space="preserve">namespace prod.Master.Inv.Exporting
{
</v>
      </c>
      <c r="T3" s="10" t="str">
        <f>"T"&amp;COUNTA($A:$A)</f>
        <v>T17</v>
      </c>
      <c r="V3" s="10" t="str">
        <f>"V"&amp;COUNTA($A:$A)</f>
        <v>V17</v>
      </c>
      <c r="W3" s="9" t="str">
        <f>"W"&amp;COUNTA($A:$A)</f>
        <v>W17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358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prod.Master.Inv</v>
      </c>
      <c r="C6" s="10" t="str">
        <f>"namespace "&amp;$B$6&amp;"
"&amp;$C$3</f>
        <v xml:space="preserve">namespace prod.Master.Inv
{
</v>
      </c>
      <c r="D6" s="10" t="str">
        <f>REPT(CHAR(9),1)&amp;"public class "&amp;B3&amp;G3&amp;REPT(CHAR(9),1)&amp;"
"&amp;REPT(CHAR(9),1)&amp;C3</f>
        <v xml:space="preserve">	public class MstInvGpsSupplierOrderTime: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MstInvGpsSupplierOrderTimeConsts	
	{
</v>
      </c>
      <c r="F6" s="10" t="str">
        <f>REPT(CHAR(9),1)&amp;"public class "&amp;B3&amp;"Dto"&amp;K3&amp;REPT(CHAR(9),1)&amp;"
"&amp;REPT(CHAR(9),1)&amp;C3</f>
        <v xml:space="preserve">	public class MstInvGpsSupplierOrderTimeDto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CreateOrEditMstInvGpsSupplierOrderTimeDto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GetMstInvGpsSupplierOrderTimeInput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MstInvGpsSupplierOrderTime</v>
      </c>
      <c r="C7" s="10" t="str">
        <f>REPT(CHAR(9),1)&amp;"[Table("""&amp;B7&amp;""")]"&amp;"
"</f>
        <v xml:space="preserve">	[Table("MstInvGpsSupplierOrderTime")]
</v>
      </c>
      <c r="D7" s="10"/>
      <c r="E7" s="10"/>
      <c r="F7" s="10"/>
      <c r="G7" s="10"/>
      <c r="H7" s="10"/>
      <c r="I7" s="10"/>
      <c r="J7" t="str">
        <f ca="1">SUBSTITUTE(SUBSTITUTE((B1&amp;C6&amp;C7&amp;K19&amp;D6&amp;I19&amp;E3&amp;J19&amp;""&amp;REPT(CHAR(9),1)&amp;D3&amp;D3),"WorkingPattern",$Q$3),"Master",$B$4)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[Table("MstInvGpsSupplierOrderTime")]
	[Index(nameof(SupplierId), Name="IX_MstInvGpsSupplierOrderTime_SupplierId")]
	[Index(nameof(OrderType), Name="IX_MstInvGpsSupplierOrderTime_OrderType")]
	[Index(nameof(IsActive), Name="IX_MstInvGpsSupplierOrderTime_IsActive")]	public class MstInvGpsSupplierOrderTime: FullAuditedEntity&lt;long&gt;, IEntity&lt;long&gt;	
	{
		public const int MaxOrderTypeLength = 1;
		public const int MaxIsActiveLength = 1;
		public virtual long? SupplierId { get; set; }
		public virtual int? OrderSeq { get; set; }
		[StringLength(MaxOrderTypeLength)]
		public virtual string OrderType { get; set; }
		[Column(TypeName="time(7)")]
		public virtual TimeSpan? OrderTime { get; set; }
		public virtual int? ReceivingDay { get; set; }
		[Column(TypeName="time(7)")]
		public virtual TimeSpan? ReceiveTime { get; set; }
		[Column(TypeName="time(7)")]
		public virtual TimeSpan? KeihenTime { get; set; }
		public virtual int? KeihenDay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DbSet&lt;MstInvGpsSupplierOrderTime&gt; MstInvGpsSupplierOrderTimes { get; set; }</v>
      </c>
      <c r="L7" t="str">
        <f ca="1">SUBSTITUTE(SUBSTITUTE((C6&amp;E6&amp;I19&amp;"
"&amp;REPT(CHAR(9),2)&amp;"// Define Store Name: Format SP_ + &lt;Store Name&gt; = &lt;Store Name&gt;
"&amp;E3&amp;REPT(CHAR(9),1)&amp;D3&amp;D3),"WorkingPattern",$Q$3),"Master",$B$4)</f>
        <v xml:space="preserve">namespace prod.Master.Inv
{
	public class MstInvGpsSupplierOrderTimeConsts	
	{
		public const int MaxOrderTypeLength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 xml:space="preserve">using Abp.Application.Services.Dto;
using System;
using System.ComponentModel.DataAnnotations;
namespace prod.Master.Inv.Dto
{
	public class MstInvGpsSupplierOrderTimeDto : EntityDto&lt;long?&gt;	
	{
		public virtual long? SupplierId { get; set; }
		public virtual int? OrderSeq { get; set; }
		public virtual string OrderType { get; set; }
		public virtual TimeSpan? OrderTime { get; set; }
		public virtual int? ReceivingDay { get; set; }
		public virtual TimeSpan? ReceiveTime { get; set; }
		public virtual TimeSpan? KeihenTime { get; set; }
		public virtual int? KeihenDay { get; set; }
		public virtual string IsActive { get; set; }
	}
	public class CreateOrEditMstInvGpsSupplierOrderTimeDto : EntityDto&lt;long?&gt;	
	{
		public virtual long? SupplierId { get; set; }
		public virtual int? OrderSeq { get; set; }
		[StringLength(MstInvGpsSupplierOrderTimeConsts.MaxOrderTypeLength)]
		public virtual string OrderType { get; set; }
		public virtual TimeSpan? OrderTime { get; set; }
		public virtual int? ReceivingDay { get; set; }
		public virtual TimeSpan? ReceiveTime { get; set; }
		public virtual TimeSpan? KeihenTime { get; set; }
		public virtual int? KeihenDay { get; set; }
		[StringLength(MstInvGpsSupplierOrderTimeConsts.MaxIsActiveLength)]
		public virtual string IsActive { get; set; }
	}
	public class GetMstInvGpsSupplierOrderTimeInput : PagedAndSortedResultRequestDto	
	{
		public virtual string OrderType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perMstInvGpsSupplierOrderTime = PARENTS.CreateChildPermission(AppPermissions.Pages_Master_Inv_MstInvGpsSupplierOrderTime, L( "MasterInvMstInvGpsSupplierOrderTime"), multiTenancySides: MultiTenancySides.Tenant);
		perMstInvGpsSupplierOrderTime.CreateChildPermission(AppPermissions.Pages_Master_Inv_MstInvGpsSupplierOrderTime_CreateEdit, L( "MasterInvMstInvGpsSupplierOrderTimeCreateEdit"), multiTenancySides: MultiTenancySides.Tenant);
		perMstInvGpsSupplierOrderTime.CreateChildPermission(AppPermissions.Pages_Master_Inv_MstInvGpsSupplierOrderTime_Delete, L( "MasterInvMstInvGpsSupplierOrderTimeDelete"),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Pages_Master_Inv_MstInvGpsSupplierOrderTime = "Pages.Master.Inv.MstInvGpsSupplierOrderTime";
		public const string Pages_Master_Inv_MstInvGpsSupplierOrderTime_CreateEdit = "Pages.Master.Inv.MstInvGpsSupplierOrderTime.CreateEdit";
		public const string Pages_Master_Inv_MstInvGpsSupplierOrderTime_Delete = "Pages.Master.Inv.MstInvGpsSupplierOrderTime.Delete";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
{
	public interface IMstInvGpsSupplierOrderTimeAppService : IApplicationService
	{
		Task&lt;PagedResultDto&lt;MstInvGpsSupplierOrderTimeDto&gt;&gt; GetAll(GetMstInvGpsSupplierOrderTimeInput input);
		Task CreateOrEdit(CreateOrEditMstInvGpsSupplierOrderTimeDto input);
		Task Delete(EntityDto input);
	}
}
</v>
      </c>
      <c r="Q7" t="str">
        <f ca="1">SUBSTITUTE(SUBSTITUTE(SUBSTITUTE(SUBSTITUTE(SUBSTITUTE(SUBSTITUTE(E1,"MstWptCalendar",$B$3),"&lt;PROPERTIES&gt;",P19),"Calendar",$B$5),"WorkingPattern",$Q$3),"Master",$B$4),"&lt;PARAMS_SEARCH&gt;",$W$19)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[AbpAuthorize(AppPermissions.Pages_Master_Inv_MstInvGpsSupplierOrderTime)]
    public class MstInvGpsSupplierOrderTimeAppService : vovinaAppServiceBase, IMstInvGpsSupplierOrderTimeAppService
    {
        private readonly IDapperRepository&lt;MstInvGpsSupplierOrderTime, long&gt; _dapperRepo;
        private readonly IRepository&lt;MstInvGpsSupplierOrderTime, long&gt; _repo;
        private readonly IMstInvGpsSupplierOrderTimeExcelExporter _calendarListExcelExporter;
        public MstInvGpsSupplierOrderTimeAppService(IRepository&lt;MstInvGpsSupplierOrderTime,long&gt; repo, 
                                         IDapperRepository&lt;MstInvGpsSupplierOrderTime,long&gt; dapperRepo,
                                        IMstInvGpsSupplierOrderTimeExcelExporter calendarListExcelExporter
            )
        {
            _repo = repo;
            _dapperRepo = dapperRepo;
            _calendarListExcelExporter = calendarListExcelExporter;
        }
        [AbpAuthorize(AppPermissions.Pages_Master_Inv_MstInvGpsSupplierOrderTime_CreateEdit)]
        public async Task CreateOrEdit(CreateOrEditMstInvGpsSupplierOrderTimeDto input)
        {
            if (input.Id == null) await Create(input);
            else await Update(input);
        }
        //CREATE
        private async Task Create(CreateOrEditMstInvGpsSupplierOrderTimeDto input)
        {          
            var mainObj = ObjectMapper.Map&lt;MstInvGpsSupplierOrderTime&gt;(input);
            await CurrentUnitOfWork.GetDbContext&lt;vovinaDbContext&gt;().AddAsync(mainObj);
        }
        // EDIT
        private async Task Update(CreateOrEditMstInvGpsSupplierOrderTimeDto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[AbpAuthorize(AppPermissions.Pages_Master_Inv_MstInvGpsSupplierOrderTime_Delete)]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Task&lt;PagedResultDto&lt;MstInvGpsSupplierOrderTimeDto&gt;&gt; GetAll(GetMstInvGpsSupplierOrderTimeInput input)
        {
            var filtered = _repo.GetAll()
				.WhereIf(!string.IsNullOrWhiteSpace(input.OrderType), e =&gt; e.OrderType.Contains(input.OrderType))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MstInvGpsSupplierOrderTimeDto
                        {
							Id = o.Id,
							SupplierId = o.SupplierId,
							OrderSeq = o.OrderSeq,
							OrderType = o.OrderType,
							OrderTime = o.OrderTime,
							ReceivingDay = o.ReceivingDay,
							ReceiveTime = o.ReceiveTime,
							KeihenTime = o.KeihenTime,
							KeihenDay = o.KeihenDay,
							IsActive = o.IsActive,
                        };
            var totalCount = await filtered.CountAsync();
			var paged = system.PageBy(input);
            return new PagedResultDto&lt;MstInvGpsSupplierOrderTimeDto&gt;(
                totalCount,
                 await paged.ToListAsync()
            );
        }
        public async Task&lt;FileDto&gt; GetMstInvGpsSupplierOrderTimeToExcel(MstInvGpsSupplierOrderTimeExportInput input)
        {
            var query = from o in _repo.GetAll()
                        select new MstInvGpsSupplierOrderTimeDto
                        {
							Id = o.Id,
							SupplierId = o.SupplierId,
							OrderSeq = o.OrderSeq,
							OrderType = o.OrderType,
							OrderTime = o.OrderTime,
							ReceivingDay = o.ReceivingDay,
							ReceiveTime = o.ReceiveTime,
							KeihenTime = o.KeihenTime,
							KeihenDay = o.KeihenDay,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_dapperRepo.ExecuteAsync(MstInvGpsSupplierOrderTimeConsts.SP_MST_WPT_CALENDAR_GENERATE);
       // }
    }
}</v>
      </c>
      <c r="R7" t="str">
        <f ca="1">SUBSTITUTE(SUBSTITUTE((C1&amp;"namespace "&amp;B6&amp;".Dto"&amp;E3&amp;C3&amp;R3&amp;M19&amp;E3&amp;REPT(CHAR(9),1)&amp;D3&amp;D3),"WorkingPattern",$Q$3),"Master",$B$4)</f>
        <v xml:space="preserve">using Abp.Application.Services.Dto;
using System;
using System.ComponentModel.DataAnnotations;
namespace prod.Master.Inv.Dto
{
	public class MstInvGpsSupplierOrderTimeExportInput{
		public virtual long? SupplierId { get; set; }
		public virtual int? OrderSeq { get; set; }
		public virtual string OrderType { get; set; }
		public virtual TimeSpan? OrderTime { get; set; }
		public virtual int? ReceivingDay { get; set; }
		public virtual TimeSpan? ReceiveTime { get; set; }
		public virtual TimeSpan? KeihenTime { get; set; }
		public virtual int? KeihenDay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IMstInvGpsSupplierOrderTimeExcelExporter : IApplicationService
	{
		FileDto ExportToFile(List&lt;MstInvGpsSupplierOrderTimeDto&gt; mstinvgpssupplierordertime);
	}
}
</v>
      </c>
      <c r="T7" s="26" t="str">
        <f ca="1">SUBSTITUTE(SUBSTITUTE(SUBSTITUTE(SUBSTITUTE(SUBSTITUTE(SUBSTITUTE(SUBSTITUTE(T1,"MstWptCalendar",$B$3),"&lt;PROPERTIES1&gt;",V19),"&lt;PROPERTIES&gt;",T19),"Calendar",$B$5),"calendar",LOWER(B5)),"WorkingPattern",$Q$3),"Master",$B$4)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MstInvGpsSupplierOrderTimeExcelExporter : NpoiExcelExporterBase, IMstInvGpsSupplierOrderTimeExcelExporter
    {
        public MstInvGpsSupplierOrderTimeExcelExporter(ITempFileCacheManager tempFileCacheManager) : base(tempFileCacheManager) { }
        public FileDto ExportToFile(List&lt;MstInvGpsSupplierOrderTimeDto&gt; mstinvgpssupplierordertime)
        {
            return CreateExcelPackage(
				"MasterInvMstInvGpsSupplierOrderTime.xlsx",
				excelPackage =&gt;
				 {
					var sheet = excelPackage.CreateSheet("MstInvGpsSupplierOrderTime");
					AddHeader(
								sheet,
								("SupplierId"),
								("OrderSeq"),
								("OrderType"),
								("OrderTime"),
								("ReceivingDay"),
								("ReceiveTime"),
								("KeihenTime"),
								("KeihenDay"),
								("IsActive"),
							   );
					AddObjects(
						 sheet, 1, mstinvgpssupplierordertime,                                       
								_ =&gt; _.SupplierId,
								_ =&gt; _.OrderSeq,
								_ =&gt; _.OrderType,
								_ =&gt; _.OrderTime,
								_ =&gt; _.ReceivingDay,
								_ =&gt; _.ReceiveTime,
								_ =&gt; _.KeihenTime,
								_ =&gt; _.KeihenDay,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configuration.CreateMap&lt;MstInvGpsSupplierOrderTimeDto, MstInvGpsSupplierOrderTime&gt;();
  configuration.CreateMap&lt;MstInvGpsSupplierOrderTime, MstInvGpsSupplierOrderTimeDto&gt;();
  configuration.CreateMap&lt;CreateOrEditMstInvGpsSupplierOrderTimeDto, MstInvGpsSupplierOrderTime&gt;();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355</v>
      </c>
      <c r="B9" s="28" t="s">
        <v>0</v>
      </c>
      <c r="C9" t="s">
        <v>1</v>
      </c>
      <c r="D9" t="str">
        <f t="shared" ref="D9" si="0">SUBSTITUTE(PROPER(A9),"_","")</f>
        <v>SupplierId</v>
      </c>
      <c r="E9" t="str">
        <f t="shared" ref="E9" si="1">IFERROR(LEFT(B9, FIND("(",B9)-1),B9)</f>
        <v>bigint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long?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long? SupplierId { get; set; }
</v>
      </c>
      <c r="K9" s="6" t="s">
        <v>367</v>
      </c>
      <c r="L9" t="str">
        <f t="shared" ref="L9" si="5">IF(K9="","",REPT(CHAR(9),1)&amp;"[Index(nameof("&amp;IF(D9="","",""&amp;D9)&amp;")"&amp;", Name="&amp;"""IX_"&amp;$B$7&amp;"_"&amp;D9&amp;""")]")</f>
        <v xml:space="preserve">	[Index(nameof(SupplierId), Name="IX_MstInvGpsSupplierOrderTime_SupplierId")]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long? SupplierId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long? SupplierId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SupplierId = o.SupplierId,</v>
      </c>
      <c r="T9" s="63" t="str">
        <f t="shared" ref="T9" si="10">REPT(CHAR(9),8)&amp;"("""&amp;D9&amp;"""),"</f>
        <v xml:space="preserve">								("SupplierId"),</v>
      </c>
      <c r="V9" s="64" t="str">
        <f t="shared" ref="V9" si="11">REPT(CHAR(9),8)&amp;"_ =&gt; _."&amp;D9&amp;","</f>
        <v xml:space="preserve">								_ =&gt; _.SupplierId,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s="28" t="s">
        <v>359</v>
      </c>
      <c r="B10" s="28" t="s">
        <v>4</v>
      </c>
      <c r="C10" t="s">
        <v>1</v>
      </c>
      <c r="D10" t="str">
        <f t="shared" ref="D10:D11" si="13">SUBSTITUTE(PROPER(A10),"_","")</f>
        <v>OrderSeq</v>
      </c>
      <c r="E10" t="str">
        <f t="shared" ref="E10:E11" si="14">IFERROR(LEFT(B10, FIND("(",B10)-1),B10)</f>
        <v>int</v>
      </c>
      <c r="F10" s="6"/>
      <c r="G10" t="str">
        <f t="shared" ref="G10:G11" si="15">IFERROR(MID(B10,FIND("(",B10) +1, FIND(")",B10) - FIND("(",B10) - 1),"")</f>
        <v/>
      </c>
      <c r="H10" t="str">
        <f>+VLOOKUP(E10,'Data Type Mapping'!A:B,2,)</f>
        <v>int?</v>
      </c>
      <c r="I10" t="str">
        <f t="shared" ref="I10:I11" si="16">IF(H10="string",REPT(CHAR(9),2)&amp;"public const int Max"&amp;D10&amp;"Length = "&amp;G10&amp;";"&amp;$E$3,"" )</f>
        <v/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int? OrderSeq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int? OrderSeq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int? OrderSeq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:P11" si="22">REPT(CHAR(9),7)&amp;D10&amp;" = o." &amp;D10 &amp;","</f>
        <v xml:space="preserve">							OrderSeq = o.OrderSeq,</v>
      </c>
      <c r="T10" s="63" t="str">
        <f t="shared" ref="T10:T11" si="23">REPT(CHAR(9),8)&amp;"("""&amp;D10&amp;"""),"</f>
        <v xml:space="preserve">								("OrderSeq"),</v>
      </c>
      <c r="V10" s="64" t="str">
        <f t="shared" ref="V10:V11" si="24">REPT(CHAR(9),8)&amp;"_ =&gt; _."&amp;D10&amp;","</f>
        <v xml:space="preserve">								_ =&gt; _.OrderSeq,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25">
      <c r="A11" s="28" t="s">
        <v>360</v>
      </c>
      <c r="B11" s="28" t="s">
        <v>356</v>
      </c>
      <c r="C11" t="s">
        <v>1</v>
      </c>
      <c r="D11" t="str">
        <f t="shared" si="13"/>
        <v>OrderType</v>
      </c>
      <c r="E11" t="str">
        <f t="shared" si="14"/>
        <v>varchar</v>
      </c>
      <c r="F11" s="6"/>
      <c r="G11" t="str">
        <f t="shared" si="15"/>
        <v>1</v>
      </c>
      <c r="H11" t="str">
        <f>+VLOOKUP(E11,'Data Type Mapping'!A:B,2,)</f>
        <v>string</v>
      </c>
      <c r="I11" t="str">
        <f t="shared" si="16"/>
        <v xml:space="preserve">		public const int MaxOrderTypeLength = 1;
</v>
      </c>
      <c r="J11" t="str">
        <f t="shared" si="17"/>
        <v xml:space="preserve">		[StringLength(MaxOrderTypeLength)]
		public virtual string OrderType { get; set; }
</v>
      </c>
      <c r="K11" s="6" t="s">
        <v>367</v>
      </c>
      <c r="L11" t="str">
        <f t="shared" si="18"/>
        <v xml:space="preserve">	[Index(nameof(OrderType), Name="IX_MstInvGpsSupplierOrderTime_OrderType")]</v>
      </c>
      <c r="M11" t="str">
        <f t="shared" si="19"/>
        <v xml:space="preserve">		public virtual string OrderType { get; set; }
</v>
      </c>
      <c r="N11" t="str">
        <f t="shared" si="20"/>
        <v xml:space="preserve">		[StringLength(MstInvGpsSupplierOrderTimeConsts.MaxOrderTypeLength)]
		public virtual string OrderType { get; set; }
</v>
      </c>
      <c r="O11" t="str">
        <f t="shared" si="21"/>
        <v xml:space="preserve">		public virtual string OrderType { get; set; }
</v>
      </c>
      <c r="P11" t="str">
        <f t="shared" si="22"/>
        <v xml:space="preserve">							OrderType = o.OrderType,</v>
      </c>
      <c r="T11" s="63" t="str">
        <f t="shared" si="23"/>
        <v xml:space="preserve">								("OrderType"),</v>
      </c>
      <c r="V11" s="64" t="str">
        <f t="shared" si="24"/>
        <v xml:space="preserve">								_ =&gt; _.OrderType,</v>
      </c>
      <c r="W11" s="63" t="str">
        <f t="shared" si="25"/>
        <v xml:space="preserve">				.WhereIf(!string.IsNullOrWhiteSpace(input.OrderType), e =&gt; e.OrderType.Contains(input.OrderType))</v>
      </c>
    </row>
    <row r="12" spans="1:23" customFormat="1" ht="18.75" customHeight="1" x14ac:dyDescent="0.25">
      <c r="A12" s="28" t="s">
        <v>361</v>
      </c>
      <c r="B12" s="28" t="s">
        <v>362</v>
      </c>
      <c r="C12" t="s">
        <v>1</v>
      </c>
      <c r="D12" t="str">
        <f t="shared" ref="D12:D13" si="26">SUBSTITUTE(PROPER(A12),"_","")</f>
        <v>OrderTime</v>
      </c>
      <c r="E12" t="str">
        <f t="shared" ref="E12:E13" si="27">IFERROR(LEFT(B12, FIND("(",B12)-1),B12)</f>
        <v>time</v>
      </c>
      <c r="F12" s="6" t="s">
        <v>362</v>
      </c>
      <c r="G12" t="str">
        <f t="shared" ref="G12:G13" si="28">IFERROR(MID(B12,FIND("(",B12) +1, FIND(")",B12) - FIND("(",B12) - 1),"")</f>
        <v>7</v>
      </c>
      <c r="H12" t="str">
        <f>+VLOOKUP(E12,'Data Type Mapping'!A:B,2,)</f>
        <v>TimeSpan?</v>
      </c>
      <c r="I12" t="str">
        <f t="shared" ref="I12:I13" si="29">IF(H12="string",REPT(CHAR(9),2)&amp;"public const int Max"&amp;D12&amp;"Length = "&amp;G12&amp;";"&amp;$E$3,"" )</f>
        <v/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[Column(TypeName="time(7)")]
		public virtual TimeSpan? OrderTime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TimeSpan? OrderTime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TimeSpan? OrderTime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3" si="35">REPT(CHAR(9),7)&amp;D12&amp;" = o." &amp;D12 &amp;","</f>
        <v xml:space="preserve">							OrderTime = o.OrderTime,</v>
      </c>
      <c r="T12" s="63" t="str">
        <f t="shared" ref="T12:T13" si="36">REPT(CHAR(9),8)&amp;"("""&amp;D12&amp;"""),"</f>
        <v xml:space="preserve">								("OrderTime"),</v>
      </c>
      <c r="V12" s="64" t="str">
        <f t="shared" ref="V12:V13" si="37">REPT(CHAR(9),8)&amp;"_ =&gt; _."&amp;D12&amp;","</f>
        <v xml:space="preserve">								_ =&gt; _.OrderTime,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25">
      <c r="A13" s="28" t="s">
        <v>363</v>
      </c>
      <c r="B13" s="28" t="s">
        <v>4</v>
      </c>
      <c r="C13" t="s">
        <v>1</v>
      </c>
      <c r="D13" t="str">
        <f t="shared" si="26"/>
        <v>ReceivingDay</v>
      </c>
      <c r="E13" t="str">
        <f t="shared" si="27"/>
        <v>int</v>
      </c>
      <c r="F13" s="6"/>
      <c r="G13" t="str">
        <f t="shared" si="28"/>
        <v/>
      </c>
      <c r="H13" t="str">
        <f>+VLOOKUP(E13,'Data Type Mapping'!A:B,2,)</f>
        <v>int?</v>
      </c>
      <c r="I13" t="str">
        <f t="shared" si="29"/>
        <v/>
      </c>
      <c r="J13" t="str">
        <f t="shared" si="30"/>
        <v xml:space="preserve">		public virtual int? ReceivingDay { get; set; }
</v>
      </c>
      <c r="K13" s="6"/>
      <c r="L13" t="str">
        <f t="shared" si="31"/>
        <v/>
      </c>
      <c r="M13" t="str">
        <f t="shared" si="32"/>
        <v xml:space="preserve">		public virtual int? ReceivingDay { get; set; }
</v>
      </c>
      <c r="N13" t="str">
        <f t="shared" si="33"/>
        <v xml:space="preserve">		public virtual int? ReceivingDay { get; set; }
</v>
      </c>
      <c r="O13" t="str">
        <f t="shared" si="34"/>
        <v/>
      </c>
      <c r="P13" t="str">
        <f t="shared" si="35"/>
        <v xml:space="preserve">							ReceivingDay = o.ReceivingDay,</v>
      </c>
      <c r="T13" s="63" t="str">
        <f t="shared" si="36"/>
        <v xml:space="preserve">								("ReceivingDay"),</v>
      </c>
      <c r="V13" s="64" t="str">
        <f t="shared" si="37"/>
        <v xml:space="preserve">								_ =&gt; _.ReceivingDay,</v>
      </c>
      <c r="W13" s="63" t="str">
        <f t="shared" si="38"/>
        <v/>
      </c>
    </row>
    <row r="14" spans="1:23" customFormat="1" ht="18.75" customHeight="1" x14ac:dyDescent="0.25">
      <c r="A14" s="28" t="s">
        <v>364</v>
      </c>
      <c r="B14" s="28" t="s">
        <v>362</v>
      </c>
      <c r="C14" t="s">
        <v>1</v>
      </c>
      <c r="D14" t="str">
        <f t="shared" ref="D14:D16" si="39">SUBSTITUTE(PROPER(A14),"_","")</f>
        <v>ReceiveTime</v>
      </c>
      <c r="E14" t="str">
        <f t="shared" ref="E14:E16" si="40">IFERROR(LEFT(B14, FIND("(",B14)-1),B14)</f>
        <v>time</v>
      </c>
      <c r="F14" s="6" t="s">
        <v>362</v>
      </c>
      <c r="G14" t="str">
        <f t="shared" ref="G14:G16" si="41">IFERROR(MID(B14,FIND("(",B14) +1, FIND(")",B14) - FIND("(",B14) - 1),"")</f>
        <v>7</v>
      </c>
      <c r="H14" t="str">
        <f>+VLOOKUP(E14,'Data Type Mapping'!A:B,2,)</f>
        <v>TimeSpan?</v>
      </c>
      <c r="I14" t="str">
        <f t="shared" ref="I14:I16" si="42">IF(H14="string",REPT(CHAR(9),2)&amp;"public const int Max"&amp;D14&amp;"Length = "&amp;G14&amp;";"&amp;$E$3,"" )</f>
        <v/>
      </c>
      <c r="J14" t="str">
        <f t="shared" ref="J14:J16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[Column(TypeName="time(7)")]
		public virtual TimeSpan? ReceiveTime { get; set; }
</v>
      </c>
      <c r="K14" s="6"/>
      <c r="L14" t="str">
        <f t="shared" ref="L14:L16" si="44">IF(K14="","",REPT(CHAR(9),1)&amp;"[Index(nameof("&amp;IF(D14="","",""&amp;D14)&amp;")"&amp;", Name="&amp;"""IX_"&amp;$B$7&amp;"_"&amp;D14&amp;""")]")</f>
        <v/>
      </c>
      <c r="M14" t="str">
        <f t="shared" ref="M14:M16" si="45">REPT(CHAR(9),2)&amp;"public virtual "&amp;IF(OR(H14="DateTime",H14="TimeSpan"),H14&amp;"?",H14)&amp;IF(C14="?","? "," ")&amp;D14&amp;" { get; set; }" &amp; "
"</f>
        <v xml:space="preserve">		public virtual TimeSpan? ReceiveTime { get; set; }
</v>
      </c>
      <c r="N14" t="str">
        <f t="shared" ref="N14:N16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TimeSpan? ReceiveTime { get; set; }
</v>
      </c>
      <c r="O14" t="str">
        <f t="shared" ref="O14:O16" si="47">IF(OR(H14="string",H14="DateTime",H14="int"),REPT(CHAR(9),2)&amp;"public virtual "&amp;IF(OR(H14="DateTime",H14="TimeSpan"),H14&amp;"?",H14)&amp;IF(C14="?","? "," ")&amp;D14&amp;" { get; set; }"&amp;$E$3,"")</f>
        <v/>
      </c>
      <c r="P14" t="str">
        <f t="shared" ref="P14:P16" si="48">REPT(CHAR(9),7)&amp;D14&amp;" = o." &amp;D14 &amp;","</f>
        <v xml:space="preserve">							ReceiveTime = o.ReceiveTime,</v>
      </c>
      <c r="T14" s="63" t="str">
        <f t="shared" ref="T14:T16" si="49">REPT(CHAR(9),8)&amp;"("""&amp;D14&amp;"""),"</f>
        <v xml:space="preserve">								("ReceiveTime"),</v>
      </c>
      <c r="V14" s="64" t="str">
        <f t="shared" ref="V14:V16" si="50">REPT(CHAR(9),8)&amp;"_ =&gt; _."&amp;D14&amp;","</f>
        <v xml:space="preserve">								_ =&gt; _.ReceiveTime,</v>
      </c>
      <c r="W14" s="63" t="str">
        <f t="shared" ref="W14:W16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5">
      <c r="A15" s="28" t="s">
        <v>365</v>
      </c>
      <c r="B15" s="28" t="s">
        <v>362</v>
      </c>
      <c r="C15" t="s">
        <v>1</v>
      </c>
      <c r="D15" t="str">
        <f t="shared" si="39"/>
        <v>KeihenTime</v>
      </c>
      <c r="E15" t="str">
        <f t="shared" si="40"/>
        <v>time</v>
      </c>
      <c r="F15" s="6" t="s">
        <v>362</v>
      </c>
      <c r="G15" t="str">
        <f t="shared" si="41"/>
        <v>7</v>
      </c>
      <c r="H15" t="str">
        <f>+VLOOKUP(E15,'Data Type Mapping'!A:B,2,)</f>
        <v>TimeSpan?</v>
      </c>
      <c r="I15" t="str">
        <f t="shared" si="42"/>
        <v/>
      </c>
      <c r="J15" t="str">
        <f t="shared" si="43"/>
        <v xml:space="preserve">		[Column(TypeName="time(7)")]
		public virtual TimeSpan? KeihenTime { get; set; }
</v>
      </c>
      <c r="K15" s="6"/>
      <c r="L15" t="str">
        <f t="shared" si="44"/>
        <v/>
      </c>
      <c r="M15" t="str">
        <f t="shared" si="45"/>
        <v xml:space="preserve">		public virtual TimeSpan? KeihenTime { get; set; }
</v>
      </c>
      <c r="N15" t="str">
        <f t="shared" si="46"/>
        <v xml:space="preserve">		public virtual TimeSpan? KeihenTime { get; set; }
</v>
      </c>
      <c r="O15" t="str">
        <f t="shared" si="47"/>
        <v/>
      </c>
      <c r="P15" t="str">
        <f t="shared" si="48"/>
        <v xml:space="preserve">							KeihenTime = o.KeihenTime,</v>
      </c>
      <c r="T15" s="63" t="str">
        <f t="shared" si="49"/>
        <v xml:space="preserve">								("KeihenTime"),</v>
      </c>
      <c r="V15" s="64" t="str">
        <f t="shared" si="50"/>
        <v xml:space="preserve">								_ =&gt; _.KeihenTime,</v>
      </c>
      <c r="W15" s="63" t="str">
        <f t="shared" si="51"/>
        <v/>
      </c>
    </row>
    <row r="16" spans="1:23" customFormat="1" ht="18.75" customHeight="1" x14ac:dyDescent="0.25">
      <c r="A16" s="28" t="s">
        <v>366</v>
      </c>
      <c r="B16" s="28" t="s">
        <v>4</v>
      </c>
      <c r="C16" t="s">
        <v>1</v>
      </c>
      <c r="D16" t="str">
        <f t="shared" si="39"/>
        <v>KeihenDay</v>
      </c>
      <c r="E16" t="str">
        <f t="shared" si="40"/>
        <v>int</v>
      </c>
      <c r="F16" s="6"/>
      <c r="G16" t="str">
        <f t="shared" si="41"/>
        <v/>
      </c>
      <c r="H16" t="str">
        <f>+VLOOKUP(E16,'Data Type Mapping'!A:B,2,)</f>
        <v>int?</v>
      </c>
      <c r="I16" t="str">
        <f t="shared" si="42"/>
        <v/>
      </c>
      <c r="J16" t="str">
        <f t="shared" si="43"/>
        <v xml:space="preserve">		public virtual int? KeihenDay { get; set; }
</v>
      </c>
      <c r="K16" s="6"/>
      <c r="L16" t="str">
        <f t="shared" si="44"/>
        <v/>
      </c>
      <c r="M16" t="str">
        <f t="shared" si="45"/>
        <v xml:space="preserve">		public virtual int? KeihenDay { get; set; }
</v>
      </c>
      <c r="N16" t="str">
        <f t="shared" si="46"/>
        <v xml:space="preserve">		public virtual int? KeihenDay { get; set; }
</v>
      </c>
      <c r="O16" t="str">
        <f t="shared" si="47"/>
        <v/>
      </c>
      <c r="P16" t="str">
        <f t="shared" si="48"/>
        <v xml:space="preserve">							KeihenDay = o.KeihenDay,</v>
      </c>
      <c r="T16" s="63" t="str">
        <f t="shared" si="49"/>
        <v xml:space="preserve">								("KeihenDay"),</v>
      </c>
      <c r="V16" s="64" t="str">
        <f t="shared" si="50"/>
        <v xml:space="preserve">								_ =&gt; _.KeihenDay,</v>
      </c>
      <c r="W16" s="63" t="str">
        <f t="shared" si="51"/>
        <v/>
      </c>
    </row>
    <row r="17" spans="1:23" customFormat="1" ht="18.75" customHeight="1" x14ac:dyDescent="0.25">
      <c r="A17" s="28" t="s">
        <v>318</v>
      </c>
      <c r="B17" s="28" t="s">
        <v>356</v>
      </c>
      <c r="C17" t="s">
        <v>1</v>
      </c>
      <c r="D17" t="str">
        <f t="shared" ref="D17" si="52">SUBSTITUTE(PROPER(A17),"_","")</f>
        <v>IsActive</v>
      </c>
      <c r="E17" t="str">
        <f t="shared" ref="E17" si="53">IFERROR(LEFT(B17, FIND("(",B17)-1),B17)</f>
        <v>varchar</v>
      </c>
      <c r="F17" s="6"/>
      <c r="G17" t="str">
        <f t="shared" ref="G17" si="54">IFERROR(MID(B17,FIND("(",B17) +1, FIND(")",B17) - FIND("(",B17) - 1),"")</f>
        <v>1</v>
      </c>
      <c r="H17" t="str">
        <f>+VLOOKUP(E17,'Data Type Mapping'!A:B,2,)</f>
        <v>string</v>
      </c>
      <c r="I17" t="str">
        <f t="shared" ref="I17" si="55">IF(H17="string",REPT(CHAR(9),2)&amp;"public const int Max"&amp;D17&amp;"Length = "&amp;G17&amp;";"&amp;$E$3,"" )</f>
        <v xml:space="preserve">		public const int MaxIsActiveLength = 1;
</v>
      </c>
      <c r="J17" t="str">
        <f t="shared" ref="J17" si="56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[StringLength(MaxIsActiveLength)]
		public virtual string IsActive { get; set; }
</v>
      </c>
      <c r="K17" s="6" t="s">
        <v>367</v>
      </c>
      <c r="L17" t="str">
        <f t="shared" ref="L17" si="57">IF(K17="","",REPT(CHAR(9),1)&amp;"[Index(nameof("&amp;IF(D17="","",""&amp;D17)&amp;")"&amp;", Name="&amp;"""IX_"&amp;$B$7&amp;"_"&amp;D17&amp;""")]")</f>
        <v xml:space="preserve">	[Index(nameof(IsActive), Name="IX_MstInvGpsSupplierOrderTime_IsActive")]</v>
      </c>
      <c r="M17" t="str">
        <f t="shared" ref="M17" si="58">REPT(CHAR(9),2)&amp;"public virtual "&amp;IF(OR(H17="DateTime",H17="TimeSpan"),H17&amp;"?",H17)&amp;IF(C17="?","? "," ")&amp;D17&amp;" { get; set; }" &amp; "
"</f>
        <v xml:space="preserve">		public virtual string IsActive { get; set; }
</v>
      </c>
      <c r="N17" t="str">
        <f t="shared" ref="N17" si="59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[StringLength(MstInvGpsSupplierOrderTimeConsts.MaxIsActiveLength)]
		public virtual string IsActive { get; set; }
</v>
      </c>
      <c r="O17" t="str">
        <f t="shared" ref="O17" si="60">IF(OR(H17="string",H17="DateTime",H17="int"),REPT(CHAR(9),2)&amp;"public virtual "&amp;IF(OR(H17="DateTime",H17="TimeSpan"),H17&amp;"?",H17)&amp;IF(C17="?","? "," ")&amp;D17&amp;" { get; set; }"&amp;$E$3,"")</f>
        <v xml:space="preserve">		public virtual string IsActive { get; set; }
</v>
      </c>
      <c r="P17" t="str">
        <f t="shared" ref="P17" si="61">REPT(CHAR(9),7)&amp;D17&amp;" = o." &amp;D17 &amp;","</f>
        <v xml:space="preserve">							IsActive = o.IsActive,</v>
      </c>
      <c r="T17" s="63" t="str">
        <f t="shared" ref="T17" si="62">REPT(CHAR(9),8)&amp;"("""&amp;D17&amp;"""),"</f>
        <v xml:space="preserve">								("IsActive"),</v>
      </c>
      <c r="V17" s="64" t="str">
        <f t="shared" ref="V17" si="63">REPT(CHAR(9),8)&amp;"_ =&gt; _."&amp;D17&amp;","</f>
        <v xml:space="preserve">								_ =&gt; _.IsActive,</v>
      </c>
      <c r="W17" s="63" t="str">
        <f t="shared" ref="W17" si="64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.WhereIf(!string.IsNullOrWhiteSpace(input.IsActive), e =&gt; e.IsActive.Contains(input.IsActive))</v>
      </c>
    </row>
    <row r="19" spans="1:23" ht="45.75" customHeight="1" x14ac:dyDescent="0.25">
      <c r="H19" s="11"/>
      <c r="I19" s="31" t="str">
        <f ca="1">TEXTJOIN2("
", TRUE,INDIRECT( $H$1):INDIRECT( $H$3))</f>
        <v xml:space="preserve">		public const int MaxOrderTypeLength = 1;
		public const int MaxIsActiveLength = 1;
</v>
      </c>
      <c r="J19" s="30" t="str">
        <f ca="1">TEXTJOIN2("
", TRUE,INDIRECT( $F$1):INDIRECT( $F$3))</f>
        <v xml:space="preserve">		public virtual long? SupplierId { get; set; }
		public virtual int? OrderSeq { get; set; }
		[StringLength(MaxOrderTypeLength)]
		public virtual string OrderType { get; set; }
		[Column(TypeName="time(7)")]
		public virtual TimeSpan? OrderTime { get; set; }
		public virtual int? ReceivingDay { get; set; }
		[Column(TypeName="time(7)")]
		public virtual TimeSpan? ReceiveTime { get; set; }
		[Column(TypeName="time(7)")]
		public virtual TimeSpan? KeihenTime { get; set; }
		public virtual int? KeihenDay { get; set; }
		[StringLength(MaxIsActiveLength)]
		public virtual string IsActive { get; set; }
</v>
      </c>
      <c r="K19" s="32" t="str">
        <f ca="1">TEXTJOIN2("
", TRUE,INDIRECT( $J$1):INDIRECT( $J$3))</f>
        <v xml:space="preserve">	[Index(nameof(SupplierId), Name="IX_MstInvGpsSupplierOrderTime_SupplierId")]
	[Index(nameof(OrderType), Name="IX_MstInvGpsSupplierOrderTime_OrderType")]
	[Index(nameof(IsActive), Name="IX_MstInvGpsSupplierOrderTime_IsActive")]</v>
      </c>
      <c r="L19" s="12" t="s">
        <v>56</v>
      </c>
      <c r="M19" s="33" t="str">
        <f ca="1">TEXTJOIN2("
",TRUE,INDIRECT( $L$1):INDIRECT($L$3))</f>
        <v xml:space="preserve">		public virtual long? SupplierId { get; set; }
		public virtual int? OrderSeq { get; set; }
		public virtual string OrderType { get; set; }
		public virtual TimeSpan? OrderTime { get; set; }
		public virtual int? ReceivingDay { get; set; }
		public virtual TimeSpan? ReceiveTime { get; set; }
		public virtual TimeSpan? KeihenTime { get; set; }
		public virtual int? KeihenDay { get; set; }
		public virtual string IsActive { get; set; }
</v>
      </c>
      <c r="N19" s="30" t="str">
        <f ca="1">TEXTJOIN2("
",TRUE,INDIRECT( $M$1):INDIRECT($M$3))</f>
        <v xml:space="preserve">		public virtual long? SupplierId { get; set; }
		public virtual int? OrderSeq { get; set; }
		[StringLength(MstInvGpsSupplierOrderTimeConsts.MaxOrderTypeLength)]
		public virtual string OrderType { get; set; }
		public virtual TimeSpan? OrderTime { get; set; }
		public virtual int? ReceivingDay { get; set; }
		public virtual TimeSpan? ReceiveTime { get; set; }
		public virtual TimeSpan? KeihenTime { get; set; }
		public virtual int? KeihenDay { get; set; }
		[StringLength(MstInvGpsSupplierOrderTimeConsts.MaxIsActiveLength)]
		public virtual string IsActive { get; set; }
</v>
      </c>
      <c r="O19" s="30" t="str">
        <f ca="1">TEXTJOIN2("
",TRUE,INDIRECT( $N$1):INDIRECT($N$3))</f>
        <v xml:space="preserve">		public virtual string OrderType { get; set; }
		public virtual string IsActive { get; set; }
</v>
      </c>
      <c r="P19" s="8" t="str">
        <f ca="1">TEXTJOIN2("
",TRUE,INDIRECT( $O$1):INDIRECT($O$3))</f>
        <v xml:space="preserve">							SupplierId = o.SupplierId,
							OrderSeq = o.OrderSeq,
							OrderType = o.OrderType,
							OrderTime = o.OrderTime,
							ReceivingDay = o.ReceivingDay,
							ReceiveTime = o.ReceiveTime,
							KeihenTime = o.KeihenTime,
							KeihenDay = o.KeihenDay,
							IsActive = o.IsActive,</v>
      </c>
      <c r="T19" s="8" t="str">
        <f ca="1">TEXTJOIN2("
",TRUE,INDIRECT( $T$2):INDIRECT($T$3))</f>
        <v xml:space="preserve">								("SupplierId"),
								("OrderSeq"),
								("OrderType"),
								("OrderTime"),
								("ReceivingDay"),
								("ReceiveTime"),
								("KeihenTime"),
								("KeihenDay"),
								("IsActive"),</v>
      </c>
      <c r="V19" s="8" t="str">
        <f ca="1">TEXTJOIN2("
",TRUE,INDIRECT( $V$2):INDIRECT($V$3))</f>
        <v xml:space="preserve">								_ =&gt; _.SupplierId,
								_ =&gt; _.OrderSeq,
								_ =&gt; _.OrderType,
								_ =&gt; _.OrderTime,
								_ =&gt; _.ReceivingDay,
								_ =&gt; _.ReceiveTime,
								_ =&gt; _.KeihenTime,
								_ =&gt; _.KeihenDay,
								_ =&gt; _.IsActive,</v>
      </c>
      <c r="W19" s="8" t="str">
        <f ca="1">TEXTJOIN2("
",TRUE,INDIRECT( $W$2):INDIRECT($W$3))</f>
        <v xml:space="preserve">				.WhereIf(!string.IsNullOrWhiteSpace(input.OrderType), e =&gt; e.OrderType.Contains(input.OrderType))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5"/>
  <sheetViews>
    <sheetView tabSelected="1" workbookViewId="0">
      <selection activeCell="D15" sqref="D1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368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Inv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inv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MstInvGpsSupplierOrderTime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MstInvGpsSupplierOrderTime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mstinvgpssupplierordertime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MstInvGpsSupplierOrderTimeDto, MstInvGpsSupplierOrderTimeServiceProxy } from '@shared/service-proxies/service-proxies';
import { finalize } from 'rxjs/internal/operators/finalize';
import { CreateOrEditMstInvGpsSupplierOrderTimeModalComponent } from './create-or-edit-mstinvgpssupplierordertime-modal.component';
import { DatePipe } from '@angular/common';
import { FileDownloadService } from '@shared/utils/file-download.service';
import ceil from 'lodash-es/ceil';
import { Paginator } from 'primeng/paginator';
@Component({
    templateUrl: './mstinvgpssupplierordertime.component.html',
    styleUrls: ['./mstinvgpssupplierordertime.component.less'],
})
export class MstInvGpsSupplierOrderTimeComponent extends AppComponentBase implements OnInit {
    @ViewChild('createOrEditModalMstInvGpsSupplierOrderTime', { static: true }) createOrEditModalMstInvGpsSupplierOrderTime:| CreateOrEditMstInvGpsSupplierOrderTimeModalComponent|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MstInvGpsSupplierOrderTimeDto = new MstInvGpsSupplierOrderTimeDto();
    saveSelectedRow: MstInvGpsSupplierOrderTimeDto = new MstInvGpsSupplierOrderTimeDto();
    datas: MstInvGpsSupplierOrderTimeDto = new MstInvGpsSupplierOrderTimeDto();
    isLoading: boolean = false;
    dataParams: GridParams | undefined;
    rowData: any[] = [];
    gridApi!: GridApi;
    rowSelection = 'multiple';
    filter: string = '';
	pipe = new DatePipe('en-US');
	frameworkComponents: FrameworkComponent;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MstInvGpsSupplierOrderTimeServiceProxy,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Id'),headerTooltip: this.l('Supplier Id'),field: 'supplierId',flex: 1},
			{headerName: this.l('Order Seq'),headerTooltip: this.l('Order Seq'),field: 'orderSeq',flex: 1},
			{headerName: this.l('Order Type'),headerTooltip: this.l('Order Type'),field:  'orderType', cellClass: ['text-center'], width: 120, cellRenderer: 'agCellButtonComponent',
buttonDefTwo: { text: params =&gt; (params.data?.'orderType' == 'Y') ? 'Active' : 'Inactive',iconName: 'fa fa-circle',className: params =&gt; (params.data?.'orderType' == 'Y') ? 'btnActive' : 'btnInActive',},}
			{headerName: this.l('Order Time'),headerTooltip: this.l('Order Time'),field: 'orderTime',flex: 1},
			{headerName: this.l('Receiving Day'),headerTooltip: this.l('Receiving Day'),field: 'receivingDay',flex: 1},
			{headerName: this.l('Receive Time'),headerTooltip: this.l('Receive Time'),field: 'receiveTime',flex: 1},
			{headerName: this.l('Keihen Time'),headerTooltip: this.l('Keihen Time'),field: 'keihenTime',flex: 1},
			{headerName: this.l('Keihen Day'),headerTooltip: this.l('Keihen Day'),field: 'keihenDay',flex: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			'',
            this.paginationParams.skipCount,
            this.paginationParams.pageSize
        );
    }
    onChangeRowSelection(params: { api: { getSelectedRows: () =&gt; MstInvGpsSupplierOrderTimeDto[] } }) {
        this.saveSelectedRow = params.api.getSelectedRows()[0] ?? new MstInvGpsSupplierOrderTimeDto();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MstInvGpsSupplierOrderTimeDto):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this._service.getMstInvGpsSupplierOrderTimeToExcel(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Supplier Order Time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(click)="createOrEditModalMstInvGpsSupplierOrderTime.show()"&gt;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(click)="createOrEditModalMstInvGpsSupplierOrderTime.show(selectedRow)"&gt;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&lt;create-or-edit-mstinvgpssupplierordertime-modal
    #createOrEditModalMstInvGpsSupplierOrderTime
    (modalSave)="callBackDataGrid(dataParams)"
    (modalClose)="onChangeRowSelection(dataParams)"
&gt;
&lt;/create-or-edit-mstinvgpssupplierordertime-modal&gt;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#createOrEditModalMstInvGpsSupplierOrderTime="bs-modal"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MstInvGpsSupplierOrderTime')}}&lt;/h3&gt;
                    &lt;h3 *ngIf="!rowdata.id"&gt;{{('Create New MstInvGpsSupplierOrderTime')}}&lt;/h3&gt;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Id&lt;/label&gt;
						&lt;input type='number' class='col-md-10 form-control input-text' name='SupplierId' [(ngModel)]='rowdata.supplierId'&gt;
					&lt;/div&gt;
					&lt;div class='col-md-12 form-group row'&gt;
						&lt;label class='col-md-2 form-control title'&gt;Order Seq&lt;/label&gt;
						&lt;input type='number' class='col-md-10 form-control input-text' name='OrderSeq' [(ngModel)]='rowdata.orderSeq'&gt;
					&lt;/div&gt;
					&lt;div class='col-md-12 form-group row'&gt;
						&lt;label class='col-md-2 form-control title'&gt;Order Type&lt;/label&gt;
						&lt;new-checkbox [(ngModel)]='_orderType' name='orderType' className='col-md-10' &gt; &lt;/new-checkbox&gt;
					&lt;/div&gt;
					&lt;div class='col-md-12 form-group row'&gt;
						&lt;label class='col-md-2 form-control title'&gt;Order Time&lt;/label&gt;
						&lt;input type='text' class='col-md-10 form-control input-text' name='orderTime' 
						#datepicker='bsDatepicker' [(ngModel)]='rowdata.orderTime'  bsDatepicker &gt;
					&lt;/div&gt;
					&lt;div class='col-md-12 form-group row'&gt;
						&lt;label class='col-md-2 form-control title'&gt;Receiving Day&lt;/label&gt;
						&lt;input type='number' class='col-md-10 form-control input-text' name='ReceivingDay' [(ngModel)]='rowdata.receivingDay'&gt;
					&lt;/div&gt;
					&lt;div class='col-md-12 form-group row'&gt;
						&lt;label class='col-md-2 form-control title'&gt;Receive Time&lt;/label&gt;
						&lt;input type='text' class='col-md-10 form-control input-text' name='receiveTime' 
						#datepicker='bsDatepicker' [(ngModel)]='rowdata.receiveTime'  bsDatepicker &gt;
					&lt;/div&gt;
					&lt;div class='col-md-12 form-group row'&gt;
						&lt;label class='col-md-2 form-control title'&gt;Keihen Time&lt;/label&gt;
						&lt;input type='text' class='col-md-10 form-control input-text' name='keihenTime' 
						#datepicker='bsDatepicker' [(ngModel)]='rowdata.keihenTime'  bsDatepicker &gt;
					&lt;/div&gt;
					&lt;div class='col-md-12 form-group row'&gt;
						&lt;label class='col-md-2 form-control title'&gt;Keihen Day&lt;/label&gt;
						&lt;input type='number' class='col-md-10 form-control input-text' name='KeihenDay' [(ngModel)]='rowdata.keihenDay'&gt;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CreateOrEditMstInvGpsSupplierOrderTimeDto, MstInvGpsSupplierOrderTimeServiceProxy } from '@shared/service-proxies/service-proxies';
import { BsDatepickerDirective } from 'ngx-bootstrap/datepicker';
@Component({
    selector: 'create-or-edit-mstinvgpssupplierordertime-modal',
    templateUrl: './create-or-edit-mstinvgpssupplierordertime-modal.component.html',
    styleUrls: ['./create-or-edit-mstinvgpssupplierordertime-modal.component.less']
    })
export class CreateOrEditMstInvGpsSupplierOrderTimeModalComponent extends AppComponentBase {
    @ViewChild('createOrEditModalMstInvGpsSupplierOrderTime',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CreateOrEditMstInvGpsSupplierOrderTimeDto = new CreateOrEditMstInvGpsSupplierOrderTimeDto();
    active: boolean = false;
    saving: boolean = false;
    _orderType
isActive: boolean;
    constructor(
        injector: Injector,
        private _mstwptMstInvGpsSupplierOrderTimeService: MstInvGpsSupplierOrderTimeServiceProxy,
    ) 
    {
        super(injector);
    }
    show(rowdata?: CreateOrEditMstInvGpsSupplierOrderTimeDto): void {
        if (!rowdata) this.rowdata = new CreateOrEditMstInvGpsSupplierOrderTimeDto();
        else this.rowdata = rowdata;
        this._orderType
isActive = (this.rowdata.orderType
isActive == "N")? false: true;
        this.active = true;
        this.modal.show();
    } 
    changeActive(event){
        this._orderType
isActive = event.target.checked;
    }
    save(): void {
    this.saving = true; 
    this.rowdata.orderType
isActive = (this._orderType
isActive == true) ? 'Y' : 'N'
    this._mstwptMstInvGpsSupplierOrderTimeService.createOrEdit(this.rowdata)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MstInvGpsSupplierOrderTimeRoutingModule } from './mstinvgpssupplierordertime-routing.module';
import { MstInvGpsSupplierOrderTimeComponent } from './mstinvgpssupplierordertime.component';
import { CreateOrEditMstInvGpsSupplierOrderTimeModalComponent } from './create-or-edit-mstinvgpssupplierordertime-modal.component';
@NgModule({
    declarations: [
       MstInvGpsSupplierOrderTimeComponent, 
        CreateOrEditMstInvGpsSupplierOrderTimeModalComponent
    ],
    imports: [
        AppSharedModule, MstInvGpsSupplierOrderTimeRoutingModule]
})
export class MstInvGpsSupplierOrderTimeModule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MstInvGpsSupplierOrderTimeComponent } from './mstinvgpssupplierordertime.component';
const routes: Routes = [{
    path: '',
    component: MstInvGpsSupplierOrderTimeComponent,
    pathMatch: 'full'
}];
@NgModule({
    imports: [RouterModule.forChild(routes)],
    exports: [RouterModule],
})
export class MstInvGpsSupplierOrderTimeRoutingModule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AppMenuItem("MstInvGpsSupplierOrderTime", "Pages.Master.Inv.MstInvGpsSupplierOrderTime", "flaticon-book",   "/app/main/master/inv/mstinvgpssupplierordertime"),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'master/inv/mstinvgpssupplierordertime',
    loadChildren: () =&gt; import('./master/inv/mstinvgpssupplierordertime/mstinvgpssupplierordertime.module').then(m =&gt; m.MstInvGpsSupplierOrderTimeModule),
    data: { permission: 'Pages.Master.Inv.MstInvGpsSupplierOrderTime' }
},</v>
      </c>
      <c r="R10" s="47" t="str">
        <f>SUBSTITUTE(R9,"MstWptCalendar",$B$6)</f>
        <v>ApiServiceProxies.MstInvGpsSupplierOrderTimeServiceProxy,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H23</v>
      </c>
      <c r="I12" s="28" t="str">
        <f>"I"&amp;COUNTA($A:$A)</f>
        <v>I23</v>
      </c>
      <c r="J12" s="28"/>
      <c r="K12" s="28" t="str">
        <f>"K"&amp;COUNTA($A:$A)</f>
        <v>K23</v>
      </c>
      <c r="L12" s="28" t="str">
        <f>"L"&amp;COUNTA($A:$A)</f>
        <v>L23</v>
      </c>
      <c r="M12" s="28"/>
      <c r="N12" s="28"/>
      <c r="O12" s="28"/>
      <c r="P12" s="28"/>
      <c r="Q12" s="28"/>
      <c r="R12" s="28"/>
      <c r="S12" s="28" t="str">
        <f>"S"&amp;COUNTA($A:$A)</f>
        <v>S23</v>
      </c>
      <c r="T12" s="28" t="str">
        <f>"T"&amp;COUNTA($A:$A)</f>
        <v>T23</v>
      </c>
      <c r="U12" s="28" t="str">
        <f>"U"&amp;COUNTA($A:$A)</f>
        <v>U23</v>
      </c>
      <c r="V12" s="28" t="str">
        <f>"V"&amp;COUNTA($A:$A)</f>
        <v>V23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this.l('Supplier Id'),headerTooltip: this.l('Supplier Id'),field: 'supplierId',flex: 1},
			{headerName: this.l('Order Seq'),headerTooltip: this.l('Order Seq'),field: 'orderSeq',flex: 1},
			{headerName: this.l('Order Type'),headerTooltip: this.l('Order Type'),field:  'orderType', cellClass: ['text-center'], width: 120, cellRenderer: 'agCellButtonComponent',
buttonDefTwo: { text: params =&gt; (params.data?.'orderType' == 'Y') ? 'Active' : 'Inactive',iconName: 'fa fa-circle',className: params =&gt; (params.data?.'orderType' == 'Y') ? 'btnActive' : 'btnInActive',},}
			{headerName: this.l('Order Time'),headerTooltip: this.l('Order Time'),field: 'orderTime',flex: 1},
			{headerName: this.l('Receiving Day'),headerTooltip: this.l('Receiving Day'),field: 'receivingDay',flex: 1},
			{headerName: this.l('Receive Time'),headerTooltip: this.l('Receive Time'),field: 'receiveTime',flex: 1},
			{headerName: this.l('Keihen Time'),headerTooltip: this.l('Keihen Time'),field: 'keihenTime',flex: 1},
			{headerName: this.l('Keihen Day'),headerTooltip: this.l('Keihen Day'),field: 'keihenDay',flex: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/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title'&gt;Supplier Id&lt;/label&gt;
						&lt;input type='number' class='col-md-10 form-control input-text' name='SupplierId' [(ngModel)]='rowdata.supplierId'&gt;
					&lt;/div&gt;
					&lt;div class='col-md-12 form-group row'&gt;
						&lt;label class='col-md-2 form-control title'&gt;Order Seq&lt;/label&gt;
						&lt;input type='number' class='col-md-10 form-control input-text' name='OrderSeq' [(ngModel)]='rowdata.orderSeq'&gt;
					&lt;/div&gt;
					&lt;div class='col-md-12 form-group row'&gt;
						&lt;label class='col-md-2 form-control title'&gt;Order Type&lt;/label&gt;
						&lt;new-checkbox [(ngModel)]='_orderType' name='orderType' className='col-md-10' &gt; &lt;/new-checkbox&gt;
					&lt;/div&gt;
					&lt;div class='col-md-12 form-group row'&gt;
						&lt;label class='col-md-2 form-control title'&gt;Order Time&lt;/label&gt;
						&lt;input type='text' class='col-md-10 form-control input-text' name='orderTime' 
						#datepicker='bsDatepicker' [(ngModel)]='rowdata.orderTime'  bsDatepicker &gt;
					&lt;/div&gt;
					&lt;div class='col-md-12 form-group row'&gt;
						&lt;label class='col-md-2 form-control title'&gt;Receiving Day&lt;/label&gt;
						&lt;input type='number' class='col-md-10 form-control input-text' name='ReceivingDay' [(ngModel)]='rowdata.receivingDay'&gt;
					&lt;/div&gt;
					&lt;div class='col-md-12 form-group row'&gt;
						&lt;label class='col-md-2 form-control title'&gt;Receive Time&lt;/label&gt;
						&lt;input type='text' class='col-md-10 form-control input-text' name='receiveTime' 
						#datepicker='bsDatepicker' [(ngModel)]='rowdata.receiveTime'  bsDatepicker &gt;
					&lt;/div&gt;
					&lt;div class='col-md-12 form-group row'&gt;
						&lt;label class='col-md-2 form-control title'&gt;Keihen Time&lt;/label&gt;
						&lt;input type='text' class='col-md-10 form-control input-text' name='keihenTime' 
						#datepicker='bsDatepicker' [(ngModel)]='rowdata.keihenTime'  bsDatepicker &gt;
					&lt;/div&gt;
					&lt;div class='col-md-12 form-group row'&gt;
						&lt;label class='col-md-2 form-control title'&gt;Keihen Day&lt;/label&gt;
						&lt;input type='number' class='col-md-10 form-control input-text' name='KeihenDay' [(ngModel)]='rowdata.keihenDay'&gt;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/>
      </c>
      <c r="T13" s="62" t="str">
        <f ca="1">TEXTJOIN2("
",TRUE,INDIRECT(T11):INDIRECT(T12))</f>
        <v/>
      </c>
      <c r="U13" s="62" t="str">
        <f ca="1">TEXTJOIN2("
",TRUE,INDIRECT(U11):INDIRECT(U12))</f>
        <v/>
      </c>
      <c r="V13" s="28" t="str">
        <f ca="1">TEXTJOIN2("
",TRUE,INDIRECT(V11):INDIRECT(V12))</f>
        <v>orderType
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mstinvgpssupplierordertime.component.ts</v>
      </c>
      <c r="I14" s="37" t="str">
        <f>B8&amp;".component.html"</f>
        <v>mstinvgpssupplierordertime.component.html</v>
      </c>
      <c r="J14" s="36" t="str">
        <f>B8&amp;".component.less"</f>
        <v>mstinvgpssupplierordertime.component.less</v>
      </c>
      <c r="K14" s="37" t="str">
        <f>"create-or-edit-"&amp;B8&amp;"-modal.component.html"</f>
        <v>create-or-edit-mstinvgpssupplierordertime-modal.component.html</v>
      </c>
      <c r="L14" s="37" t="str">
        <f>"create-or-edit-"&amp;B8&amp;"-modal.component.ts"</f>
        <v>create-or-edit-mstinvgpssupplierordertime-modal.component.ts</v>
      </c>
      <c r="M14" s="37" t="str">
        <f>"create-or-edit-"&amp;B8&amp;"-modal.component.less"</f>
        <v>create-or-edit-mstinvgpssupplierordertime-modal.component.less</v>
      </c>
      <c r="N14" s="37" t="str">
        <f>B8&amp;".module.ts"</f>
        <v>mstinvgpssupplierordertime.module.ts</v>
      </c>
      <c r="O14" s="37" t="str">
        <f>B8&amp;"-routing.module.ts"</f>
        <v>mstinvgpssupplierordertime-routing.module.ts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355</v>
      </c>
      <c r="B15" s="28" t="str">
        <f t="shared" ref="B15:B20" si="0">SUBSTITUTE(PROPER(A15),"_","")</f>
        <v>SupplierId</v>
      </c>
      <c r="C15" s="28" t="str">
        <f t="shared" ref="C15:C20" si="1">SUBSTITUTE(PROPER(A15),"_"," ")</f>
        <v>Supplier Id</v>
      </c>
      <c r="D15" s="28" t="str">
        <f t="shared" ref="D15:D20" si="2">LOWER(LEFT(B15,1))&amp;RIGHT(B15,LEN(B15) - 1)</f>
        <v>supplierId</v>
      </c>
      <c r="E15" s="28" t="str">
        <f>A.Backend!H9</f>
        <v>long?</v>
      </c>
      <c r="F15" s="28" t="str">
        <f>A.Backend!G9</f>
        <v/>
      </c>
      <c r="G15" s="28" t="str">
        <f t="shared" ref="G15:G20" si="3">IF(E15="string"," : string = '' ; ",IF(OR(E15="DateTime",E15="TimeSpan")," : any ;",IF(E15="int"," : number = 0 ;","")))</f>
        <v/>
      </c>
      <c r="H15" s="35" t="str">
        <f t="shared" ref="H15:H20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Id'),headerTooltip: this.l('Supplier Id'),field: 'supplierId',flex: 1},</v>
      </c>
      <c r="I15" s="35" t="str">
        <f t="shared" ref="I15:I23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Id&lt;/label&gt;
						&lt;input type='number' class='col-md-10 form-control input-text' name='SupplierId' [(ngModel)]='rowdata.supplierId'&gt;
					&lt;/div&gt;</v>
      </c>
      <c r="L15" s="56" t="str">
        <f t="shared" ref="L15:L16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:V20" si="7">IF(AND(E15="string",F15="1"),D15,"")</f>
        <v/>
      </c>
    </row>
    <row r="16" spans="1:22" ht="18" customHeight="1" x14ac:dyDescent="0.25">
      <c r="A16" t="s">
        <v>359</v>
      </c>
      <c r="B16" s="28" t="str">
        <f t="shared" si="0"/>
        <v>OrderSeq</v>
      </c>
      <c r="C16" s="28" t="str">
        <f t="shared" si="1"/>
        <v>Order Seq</v>
      </c>
      <c r="D16" s="28" t="str">
        <f t="shared" si="2"/>
        <v>orderSeq</v>
      </c>
      <c r="E16" s="28" t="str">
        <f>A.Backend!H10</f>
        <v>int?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this.l('Order Seq'),headerTooltip: this.l('Order Seq'),field: 'orderSeq',flex: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28"/>
      <c r="K16" s="35" t="str">
        <f t="shared" ref="K16:K20" si="8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title'&gt;Order Seq&lt;/label&gt;
						&lt;input type='number' class='col-md-10 form-control input-text' name='OrderSeq' [(ngModel)]='rowdata.orderSeq'&gt;
					&lt;/div&gt;</v>
      </c>
      <c r="L16" s="56" t="str">
        <f t="shared" si="6"/>
        <v/>
      </c>
      <c r="M16" s="28"/>
      <c r="N16" s="28"/>
      <c r="O16" s="28"/>
      <c r="P16" s="28"/>
      <c r="Q16" s="28"/>
      <c r="R16" s="28"/>
      <c r="S16" s="28" t="str">
        <f t="shared" ref="S16:S20" si="9">IF(AND(E16="string",F16 &lt;&gt;"1"),(REPT(CHAR(9),1)&amp;D16&amp;G16),"")</f>
        <v/>
      </c>
      <c r="T16" s="28" t="str">
        <f>IF(AND(E16="string",F16 &lt;&gt;"1"),(REPT(CHAR(9),3)&amp;"this."&amp;D10&amp;","),"")</f>
        <v/>
      </c>
      <c r="U16" s="28" t="str">
        <f t="shared" ref="U16:U20" si="10">IF(AND(E16="string",F16 &lt;&gt;"1"),(REPT(CHAR(9),1)&amp;D16&amp;G16),"")</f>
        <v/>
      </c>
      <c r="V16" s="28" t="str">
        <f t="shared" si="7"/>
        <v/>
      </c>
    </row>
    <row r="17" spans="1:22" ht="18" customHeight="1" x14ac:dyDescent="0.25">
      <c r="A17" t="s">
        <v>360</v>
      </c>
      <c r="B17" s="28" t="str">
        <f t="shared" si="0"/>
        <v>OrderType</v>
      </c>
      <c r="C17" s="28" t="str">
        <f t="shared" si="1"/>
        <v>Order Type</v>
      </c>
      <c r="D17" s="28" t="str">
        <f t="shared" si="2"/>
        <v>orderType</v>
      </c>
      <c r="E17" s="28" t="str">
        <f>A.Backend!H11</f>
        <v>string</v>
      </c>
      <c r="F17" s="28" t="str">
        <f>A.Backend!G11</f>
        <v>1</v>
      </c>
      <c r="G17" s="28" t="str">
        <f t="shared" si="3"/>
        <v xml:space="preserve"> : string = '' ; </v>
      </c>
      <c r="H17" s="35" t="str">
        <f t="shared" si="4"/>
        <v xml:space="preserve">			{headerName: this.l('Order Type'),headerTooltip: this.l('Order Type'),field:  'orderType', cellClass: ['text-center'], width: 120, cellRenderer: 'agCellButtonComponent',
buttonDefTwo: { text: params =&gt; (params.data?.'orderType' == 'Y') ? 'Active' : 'Inactive',iconName: 'fa fa-circle',className: params =&gt; (params.data?.'orderType' == 'Y') ? 'btnActive' : 'btnInActive',},}</v>
      </c>
      <c r="I17" s="35" t="str">
        <f t="shared" ref="I17:I18" si="11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IF(AND(E17="string",F17 &lt;&gt;"1"),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/>
      </c>
      <c r="J17" s="28"/>
      <c r="K17" s="35" t="str">
        <f t="shared" si="8"/>
        <v xml:space="preserve">					&lt;div class='col-md-12 form-group row'&gt;
						&lt;label class='col-md-2 form-control title'&gt;Order Type&lt;/label&gt;
						&lt;new-checkbox [(ngModel)]='_orderType' name='orderType' className='col-md-10' &gt; &lt;/new-checkbox&gt;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9"/>
        <v/>
      </c>
      <c r="T17" s="28" t="str">
        <f t="shared" ref="T17:T20" si="12">IF(AND(E17="string",F17 &lt;&gt;"1"),(REPT(CHAR(9),3)&amp;"this."&amp;D16&amp;","),"")</f>
        <v/>
      </c>
      <c r="U17" s="28" t="str">
        <f t="shared" si="10"/>
        <v/>
      </c>
      <c r="V17" s="28" t="str">
        <f t="shared" si="7"/>
        <v>orderType</v>
      </c>
    </row>
    <row r="18" spans="1:22" ht="15" customHeight="1" x14ac:dyDescent="0.25">
      <c r="A18" t="s">
        <v>361</v>
      </c>
      <c r="B18" s="28" t="str">
        <f t="shared" si="0"/>
        <v>OrderTime</v>
      </c>
      <c r="C18" s="28" t="str">
        <f t="shared" si="1"/>
        <v>Order Time</v>
      </c>
      <c r="D18" s="28" t="str">
        <f t="shared" si="2"/>
        <v>orderTime</v>
      </c>
      <c r="E18" s="28" t="str">
        <f>A.Backend!H12</f>
        <v>TimeSpan?</v>
      </c>
      <c r="F18" s="28" t="str">
        <f>A.Backend!G12</f>
        <v>7</v>
      </c>
      <c r="G18" s="28" t="str">
        <f t="shared" si="3"/>
        <v/>
      </c>
      <c r="H18" s="35" t="str">
        <f t="shared" si="4"/>
        <v xml:space="preserve">			{headerName: this.l('Order Time'),headerTooltip: this.l('Order Time'),field: 'orderTime',flex: 1},</v>
      </c>
      <c r="I18" s="35" t="str">
        <f t="shared" si="11"/>
        <v/>
      </c>
      <c r="J18" s="28"/>
      <c r="K18" s="35" t="str">
        <f t="shared" si="8"/>
        <v xml:space="preserve">					&lt;div class='col-md-12 form-group row'&gt;
						&lt;label class='col-md-2 form-control title'&gt;Order Time&lt;/label&gt;
						&lt;input type='text' class='col-md-10 form-control input-text' name='orderTime' 
						#datepicker='bsDatepicker' [(ngModel)]='rowdata.orderTime'  bsDatepicker &gt;
					&lt;/div&gt;</v>
      </c>
      <c r="L18" s="56" t="str">
        <f t="shared" ref="L18:L20" si="13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9"/>
        <v/>
      </c>
      <c r="T18" s="28" t="str">
        <f t="shared" si="12"/>
        <v/>
      </c>
      <c r="U18" s="28" t="str">
        <f t="shared" si="10"/>
        <v/>
      </c>
      <c r="V18" s="28" t="str">
        <f t="shared" si="7"/>
        <v/>
      </c>
    </row>
    <row r="19" spans="1:22" ht="18" customHeight="1" x14ac:dyDescent="0.25">
      <c r="A19" t="s">
        <v>363</v>
      </c>
      <c r="B19" s="28" t="str">
        <f t="shared" si="0"/>
        <v>ReceivingDay</v>
      </c>
      <c r="C19" s="28" t="str">
        <f t="shared" si="1"/>
        <v>Receiving Day</v>
      </c>
      <c r="D19" s="28" t="str">
        <f t="shared" si="2"/>
        <v>receivingDay</v>
      </c>
      <c r="E19" s="28" t="str">
        <f>A.Backend!H13</f>
        <v>int?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this.l('Receiving Day'),headerTooltip: this.l('Receiving Day'),field: 'receivingDay',flex: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/>
      </c>
      <c r="J19" s="28"/>
      <c r="K19" s="35" t="str">
        <f t="shared" si="8"/>
        <v xml:space="preserve">					&lt;div class='col-md-12 form-group row'&gt;
						&lt;label class='col-md-2 form-control title'&gt;Receiving Day&lt;/label&gt;
						&lt;input type='number' class='col-md-10 form-control input-text' name='ReceivingDay' [(ngModel)]='rowdata.receivingDay'&gt;
					&lt;/div&gt;</v>
      </c>
      <c r="L19" s="56" t="str">
        <f t="shared" si="13"/>
        <v/>
      </c>
      <c r="M19" s="28"/>
      <c r="N19" s="28"/>
      <c r="O19" s="28"/>
      <c r="P19" s="28"/>
      <c r="Q19" s="28"/>
      <c r="R19" s="28"/>
      <c r="S19" s="28" t="str">
        <f t="shared" si="9"/>
        <v/>
      </c>
      <c r="T19" s="28" t="str">
        <f t="shared" si="12"/>
        <v/>
      </c>
      <c r="U19" s="28" t="str">
        <f t="shared" si="10"/>
        <v/>
      </c>
      <c r="V19" s="28" t="str">
        <f t="shared" si="7"/>
        <v/>
      </c>
    </row>
    <row r="20" spans="1:22" ht="15" customHeight="1" x14ac:dyDescent="0.25">
      <c r="A20" t="s">
        <v>364</v>
      </c>
      <c r="B20" s="28" t="str">
        <f t="shared" si="0"/>
        <v>ReceiveTime</v>
      </c>
      <c r="C20" s="28" t="str">
        <f t="shared" si="1"/>
        <v>Receive Time</v>
      </c>
      <c r="D20" s="28" t="str">
        <f t="shared" si="2"/>
        <v>receiveTime</v>
      </c>
      <c r="E20" s="28" t="str">
        <f>A.Backend!H14</f>
        <v>TimeSpan?</v>
      </c>
      <c r="F20" s="28" t="str">
        <f>A.Backend!G14</f>
        <v>7</v>
      </c>
      <c r="G20" s="28" t="str">
        <f t="shared" si="3"/>
        <v/>
      </c>
      <c r="H20" s="35" t="str">
        <f t="shared" si="4"/>
        <v xml:space="preserve">			{headerName: this.l('Receive Time'),headerTooltip: this.l('Receive Time'),field: 'receiveTime',flex: 1},</v>
      </c>
      <c r="I20" s="35" t="str">
        <f t="shared" ref="I20" si="14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IF(AND(E20="string",F20 &lt;&gt;"1"),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/>
      </c>
      <c r="J20" s="28"/>
      <c r="K20" s="35" t="str">
        <f t="shared" si="8"/>
        <v xml:space="preserve">					&lt;div class='col-md-12 form-group row'&gt;
						&lt;label class='col-md-2 form-control title'&gt;Receive Time&lt;/label&gt;
						&lt;input type='text' class='col-md-10 form-control input-text' name='receiveTime' 
						#datepicker='bsDatepicker' [(ngModel)]='rowdata.receiveTime'  bsDatepicker &gt;
					&lt;/div&gt;</v>
      </c>
      <c r="L20" s="56" t="str">
        <f t="shared" si="13"/>
        <v/>
      </c>
      <c r="M20" s="28"/>
      <c r="N20" s="28"/>
      <c r="O20" s="28"/>
      <c r="P20" s="28"/>
      <c r="Q20" s="28"/>
      <c r="R20" s="28"/>
      <c r="S20" s="28" t="str">
        <f t="shared" si="9"/>
        <v/>
      </c>
      <c r="T20" s="28" t="str">
        <f t="shared" si="12"/>
        <v/>
      </c>
      <c r="U20" s="28" t="str">
        <f t="shared" si="10"/>
        <v/>
      </c>
      <c r="V20" s="28" t="str">
        <f t="shared" si="7"/>
        <v/>
      </c>
    </row>
    <row r="21" spans="1:22" ht="18" customHeight="1" x14ac:dyDescent="0.25">
      <c r="A21" t="s">
        <v>365</v>
      </c>
      <c r="B21" s="28" t="str">
        <f t="shared" ref="B21:B23" si="15">SUBSTITUTE(PROPER(A21),"_","")</f>
        <v>KeihenTime</v>
      </c>
      <c r="C21" s="28" t="str">
        <f t="shared" ref="C21:C23" si="16">SUBSTITUTE(PROPER(A21),"_"," ")</f>
        <v>Keihen Time</v>
      </c>
      <c r="D21" s="28" t="str">
        <f t="shared" ref="D21:D23" si="17">LOWER(LEFT(B21,1))&amp;RIGHT(B21,LEN(B21) - 1)</f>
        <v>keihenTime</v>
      </c>
      <c r="E21" s="28" t="str">
        <f>A.Backend!H15</f>
        <v>TimeSpan?</v>
      </c>
      <c r="F21" s="28" t="str">
        <f>A.Backend!G15</f>
        <v>7</v>
      </c>
      <c r="G21" s="28" t="str">
        <f t="shared" ref="G21:G23" si="18">IF(E21="string"," : string = '' ; ",IF(OR(E21="DateTime",E21="TimeSpan")," : any ;",IF(E21="int"," : number = 0 ;","")))</f>
        <v/>
      </c>
      <c r="H21" s="35" t="str">
        <f t="shared" ref="H21:H23" si="19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this.l('Keihen Time'),headerTooltip: this.l('Keihen Time'),field: 'keihenTime',flex: 1},</v>
      </c>
      <c r="I21" s="35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28"/>
      <c r="K21" s="35" t="str">
        <f t="shared" ref="K21:K23" si="20"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title'&gt;Keihen Time&lt;/label&gt;
						&lt;input type='text' class='col-md-10 form-control input-text' name='keihenTime' 
						#datepicker='bsDatepicker' [(ngModel)]='rowdata.keihenTime'  bsDatepicker &gt;
					&lt;/div&gt;</v>
      </c>
      <c r="L21" s="56" t="str">
        <f t="shared" ref="L21" si="21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ref="S21:S23" si="22">IF(AND(E21="string",F21 &lt;&gt;"1"),(REPT(CHAR(9),1)&amp;D21&amp;G21),"")</f>
        <v/>
      </c>
      <c r="T21" s="28" t="str">
        <f>IF(AND(E21="string",F21 &lt;&gt;"1"),(REPT(CHAR(9),3)&amp;"this."&amp;D15&amp;","),"")</f>
        <v/>
      </c>
      <c r="U21" s="28" t="str">
        <f t="shared" ref="U21:U23" si="23">IF(AND(E21="string",F21 &lt;&gt;"1"),(REPT(CHAR(9),1)&amp;D21&amp;G21),"")</f>
        <v/>
      </c>
      <c r="V21" s="28" t="str">
        <f t="shared" ref="V21:V23" si="24">IF(AND(E21="string",F21="1"),D21,"")</f>
        <v/>
      </c>
    </row>
    <row r="22" spans="1:22" ht="18" customHeight="1" x14ac:dyDescent="0.25">
      <c r="A22" t="s">
        <v>366</v>
      </c>
      <c r="B22" s="28" t="str">
        <f t="shared" si="15"/>
        <v>KeihenDay</v>
      </c>
      <c r="C22" s="28" t="str">
        <f t="shared" si="16"/>
        <v>Keihen Day</v>
      </c>
      <c r="D22" s="28" t="str">
        <f t="shared" si="17"/>
        <v>keihenDay</v>
      </c>
      <c r="E22" s="28" t="str">
        <f>A.Backend!H16</f>
        <v>int?</v>
      </c>
      <c r="F22" s="28" t="str">
        <f>A.Backend!G16</f>
        <v/>
      </c>
      <c r="G22" s="28" t="str">
        <f t="shared" si="18"/>
        <v/>
      </c>
      <c r="H22" s="35" t="str">
        <f t="shared" si="19"/>
        <v xml:space="preserve">			{headerName: this.l('Keihen Day'),headerTooltip: this.l('Keihen Day'),field: 'keihenDay',flex: 1},</v>
      </c>
      <c r="I22" s="35" t="str">
        <f t="shared" si="5"/>
        <v/>
      </c>
      <c r="J22" s="28"/>
      <c r="K22" s="35" t="str">
        <f t="shared" si="20"/>
        <v xml:space="preserve">					&lt;div class='col-md-12 form-group row'&gt;
						&lt;label class='col-md-2 form-control title'&gt;Keihen Day&lt;/label&gt;
						&lt;input type='number' class='col-md-10 form-control input-text' name='KeihenDay' [(ngModel)]='rowdata.keihenDay'&gt;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22"/>
        <v/>
      </c>
      <c r="T22" s="28" t="str">
        <f t="shared" ref="T22" si="25">IF(AND(E22="string",F22 &lt;&gt;"1"),(REPT(CHAR(9),3)&amp;"this."&amp;D21&amp;","),"")</f>
        <v/>
      </c>
      <c r="U22" s="28" t="str">
        <f t="shared" si="23"/>
        <v/>
      </c>
      <c r="V22" s="28" t="str">
        <f t="shared" si="24"/>
        <v/>
      </c>
    </row>
    <row r="23" spans="1:22" ht="18" customHeight="1" x14ac:dyDescent="0.25">
      <c r="A23" t="s">
        <v>318</v>
      </c>
      <c r="B23" s="28" t="str">
        <f t="shared" si="15"/>
        <v>IsActive</v>
      </c>
      <c r="C23" s="28" t="str">
        <f t="shared" si="16"/>
        <v>Is Active</v>
      </c>
      <c r="D23" s="28" t="str">
        <f t="shared" si="17"/>
        <v>isActive</v>
      </c>
      <c r="E23" s="28" t="str">
        <f>A.Backend!H17</f>
        <v>string</v>
      </c>
      <c r="F23" s="28" t="str">
        <f>A.Backend!G17</f>
        <v>1</v>
      </c>
      <c r="G23" s="28" t="str">
        <f t="shared" si="18"/>
        <v xml:space="preserve"> : string = '' ; </v>
      </c>
      <c r="H23" s="35" t="str">
        <f t="shared" si="19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3" s="35" t="str">
        <f t="shared" si="5"/>
        <v/>
      </c>
      <c r="J23" s="28"/>
      <c r="K23" s="35" t="str">
        <f t="shared" si="20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3" s="56" t="str">
        <f t="shared" ref="L23" si="26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22"/>
        <v/>
      </c>
      <c r="T23" s="28" t="str">
        <f>IF(AND(E23="string",F23 &lt;&gt;"1"),(REPT(CHAR(9),3)&amp;"this."&amp;#REF!&amp;","),"")</f>
        <v/>
      </c>
      <c r="U23" s="28" t="str">
        <f t="shared" si="23"/>
        <v/>
      </c>
      <c r="V23" s="28" t="str">
        <f t="shared" si="24"/>
        <v>isActive</v>
      </c>
    </row>
    <row r="2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2023-05-06T11:25:11Z</dcterms:modified>
</cp:coreProperties>
</file>
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E:\TmvProdV12\docs\design\master\inventory\"/>
    </mc:Choice>
  </mc:AlternateContent>
  <xr:revisionPtr revIDLastSave="0" documentId="8_{AC706AA0-9EDC-4A9C-BB13-C192D5F99102}" xr6:coauthVersionLast="47" xr6:coauthVersionMax="47" xr10:uidLastSave="{00000000-0000-0000-0000-000000000000}"/>
  <bookViews>
    <workbookView xWindow="-120" yWindow="-120" windowWidth="19440" windowHeight="15000" xr2:uid="{00000000-000D-0000-FFFF-FFFF00000000}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6" i="5" l="1"/>
  <c r="K17" i="5"/>
  <c r="K18" i="5"/>
  <c r="K19" i="5"/>
  <c r="K20" i="5"/>
  <c r="K21" i="5"/>
  <c r="K15" i="5"/>
  <c r="U16" i="5"/>
  <c r="U17" i="5"/>
  <c r="U18" i="5"/>
  <c r="U19" i="5"/>
  <c r="U20" i="5"/>
  <c r="U21" i="5"/>
  <c r="U15" i="5"/>
  <c r="S16" i="5"/>
  <c r="S17" i="5"/>
  <c r="S18" i="5"/>
  <c r="S19" i="5"/>
  <c r="S20" i="5"/>
  <c r="S21" i="5"/>
  <c r="S15" i="5"/>
  <c r="T15" i="5"/>
  <c r="T17" i="5"/>
  <c r="T18" i="5"/>
  <c r="T19" i="5"/>
  <c r="T20" i="5"/>
  <c r="T21" i="5"/>
  <c r="T16" i="5"/>
  <c r="I16" i="5"/>
  <c r="I20" i="5"/>
  <c r="I21" i="5"/>
  <c r="I15" i="5"/>
  <c r="I17" i="5"/>
  <c r="I18" i="5"/>
  <c r="I19" i="5"/>
  <c r="V16" i="5"/>
  <c r="V17" i="5"/>
  <c r="V18" i="5"/>
  <c r="V19" i="5"/>
  <c r="V20" i="5"/>
  <c r="V21" i="5"/>
  <c r="B16" i="5"/>
  <c r="D16" i="5" s="1"/>
  <c r="C16" i="5"/>
  <c r="E16" i="5"/>
  <c r="H16" i="5" s="1"/>
  <c r="F16" i="5"/>
  <c r="G16" i="5"/>
  <c r="B17" i="5"/>
  <c r="D17" i="5" s="1"/>
  <c r="C17" i="5"/>
  <c r="E17" i="5"/>
  <c r="G17" i="5" s="1"/>
  <c r="F17" i="5"/>
  <c r="B18" i="5"/>
  <c r="D18" i="5" s="1"/>
  <c r="C18" i="5"/>
  <c r="E18" i="5"/>
  <c r="G18" i="5" s="1"/>
  <c r="F18" i="5"/>
  <c r="B19" i="5"/>
  <c r="D19" i="5" s="1"/>
  <c r="C19" i="5"/>
  <c r="E19" i="5"/>
  <c r="G19" i="5" s="1"/>
  <c r="F19" i="5"/>
  <c r="B20" i="5"/>
  <c r="D20" i="5" s="1"/>
  <c r="C20" i="5"/>
  <c r="E20" i="5"/>
  <c r="G20" i="5" s="1"/>
  <c r="F20" i="5"/>
  <c r="B21" i="5"/>
  <c r="D21" i="5" s="1"/>
  <c r="C21" i="5"/>
  <c r="E21" i="5"/>
  <c r="G21" i="5" s="1"/>
  <c r="F21" i="5"/>
  <c r="V13" i="5"/>
  <c r="H21" i="5" l="1"/>
  <c r="H20" i="5"/>
  <c r="H19" i="5"/>
  <c r="H18" i="5"/>
  <c r="H17" i="5"/>
  <c r="L15" i="1"/>
  <c r="G15" i="1"/>
  <c r="E15" i="1"/>
  <c r="H15" i="1" s="1"/>
  <c r="W15" i="1" s="1"/>
  <c r="D15" i="1"/>
  <c r="V15" i="1" s="1"/>
  <c r="P15" i="1" l="1"/>
  <c r="T15" i="1"/>
  <c r="I15" i="1"/>
  <c r="N15" i="1"/>
  <c r="M15" i="1"/>
  <c r="J15" i="1"/>
  <c r="O15" i="1"/>
  <c r="B7" i="5"/>
  <c r="B6" i="5"/>
  <c r="B2" i="5"/>
  <c r="B8" i="5" l="1"/>
  <c r="B3" i="5"/>
  <c r="L14" i="1"/>
  <c r="G14" i="1"/>
  <c r="E14" i="1"/>
  <c r="H14" i="1" s="1"/>
  <c r="D14" i="1"/>
  <c r="T14" i="1" s="1"/>
  <c r="L21" i="5" l="1"/>
  <c r="L20" i="5"/>
  <c r="M14" i="1"/>
  <c r="I14" i="1"/>
  <c r="N14" i="1"/>
  <c r="V14" i="1"/>
  <c r="J14" i="1"/>
  <c r="O14" i="1"/>
  <c r="W14" i="1"/>
  <c r="P14" i="1"/>
  <c r="B6" i="1" l="1"/>
  <c r="G13" i="1"/>
  <c r="E13" i="1"/>
  <c r="H13" i="1" s="1"/>
  <c r="D13" i="1"/>
  <c r="V13" i="1" s="1"/>
  <c r="L19" i="5" l="1"/>
  <c r="W13" i="1"/>
  <c r="N13" i="1"/>
  <c r="I13" i="1"/>
  <c r="M13" i="1"/>
  <c r="O13" i="1"/>
  <c r="J13" i="1"/>
  <c r="L13" i="1"/>
  <c r="P13" i="1"/>
  <c r="T13" i="1"/>
  <c r="C15" i="5"/>
  <c r="B15" i="5"/>
  <c r="D15" i="5" s="1"/>
  <c r="L12" i="1"/>
  <c r="G12" i="1"/>
  <c r="E12" i="1"/>
  <c r="H12" i="1" s="1"/>
  <c r="D12" i="1"/>
  <c r="V12" i="1" s="1"/>
  <c r="G11" i="1"/>
  <c r="E11" i="1"/>
  <c r="H11" i="1" s="1"/>
  <c r="D11" i="1"/>
  <c r="T11" i="1" s="1"/>
  <c r="L18" i="5" l="1"/>
  <c r="L17" i="5"/>
  <c r="M11" i="1"/>
  <c r="L11" i="1"/>
  <c r="P11" i="1"/>
  <c r="W12" i="1"/>
  <c r="O12" i="1"/>
  <c r="J12" i="1"/>
  <c r="I12" i="1"/>
  <c r="N12" i="1"/>
  <c r="M12" i="1"/>
  <c r="I11" i="1"/>
  <c r="N11" i="1"/>
  <c r="V11" i="1"/>
  <c r="P12" i="1"/>
  <c r="J11" i="1"/>
  <c r="O11" i="1"/>
  <c r="W11" i="1"/>
  <c r="T12" i="1"/>
  <c r="G9" i="1" l="1"/>
  <c r="F15" i="5" s="1"/>
  <c r="E9" i="1"/>
  <c r="H9" i="1" s="1"/>
  <c r="E15" i="5" s="1"/>
  <c r="D9" i="1"/>
  <c r="V9" i="1" s="1"/>
  <c r="H15" i="5" l="1"/>
  <c r="G15" i="5"/>
  <c r="V15" i="5"/>
  <c r="L15" i="5"/>
  <c r="W9" i="1"/>
  <c r="P9" i="1"/>
  <c r="T9" i="1"/>
  <c r="I9" i="1"/>
  <c r="N9" i="1"/>
  <c r="M9" i="1"/>
  <c r="J9" i="1"/>
  <c r="O9" i="1"/>
  <c r="Q3" i="1" l="1"/>
  <c r="B4" i="5" s="1"/>
  <c r="B5" i="5" s="1"/>
  <c r="G10" i="1" l="1"/>
  <c r="E10" i="1"/>
  <c r="H10" i="1" s="1"/>
  <c r="D10" i="1"/>
  <c r="T10" i="1" s="1"/>
  <c r="L16" i="5" l="1"/>
  <c r="P10" i="1"/>
  <c r="V10" i="1"/>
  <c r="W10" i="1"/>
  <c r="J10" i="1"/>
  <c r="I10" i="1"/>
  <c r="O10" i="1"/>
  <c r="N10" i="1"/>
  <c r="M10" i="1"/>
  <c r="W3" i="1" l="1"/>
  <c r="V3" i="1"/>
  <c r="U7" i="1" l="1"/>
  <c r="T3" i="1" l="1"/>
  <c r="F3" i="1"/>
  <c r="O7" i="1" l="1"/>
  <c r="N7" i="1"/>
  <c r="E68" i="3" s="1"/>
  <c r="K7" i="1"/>
  <c r="H6" i="1"/>
  <c r="R10" i="5" l="1"/>
  <c r="M75" i="3" s="1"/>
  <c r="N68" i="3" l="1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V17" i="1"/>
  <c r="K12" i="5" l="1"/>
  <c r="H12" i="5"/>
  <c r="V12" i="5"/>
  <c r="T12" i="5"/>
  <c r="U12" i="5"/>
  <c r="I12" i="5"/>
  <c r="L12" i="5"/>
  <c r="S12" i="5"/>
  <c r="R3" i="1" l="1"/>
  <c r="D1" i="1"/>
  <c r="F6" i="1"/>
  <c r="T13" i="5"/>
  <c r="T17" i="1"/>
  <c r="T7" i="1" l="1"/>
  <c r="W17" i="1"/>
  <c r="G6" i="1" l="1"/>
  <c r="U13" i="5"/>
  <c r="H13" i="5"/>
  <c r="S13" i="5"/>
  <c r="L13" i="5"/>
  <c r="K13" i="5"/>
  <c r="I13" i="5"/>
  <c r="K10" i="5" l="1"/>
  <c r="F75" i="3" s="1"/>
  <c r="I10" i="5"/>
  <c r="D75" i="3" s="1"/>
  <c r="H10" i="5"/>
  <c r="C75" i="3" s="1"/>
  <c r="L10" i="5"/>
  <c r="G75" i="3" s="1"/>
  <c r="L68" i="3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B7" i="1"/>
  <c r="L9" i="1" l="1"/>
  <c r="L10" i="1"/>
  <c r="C7" i="1"/>
  <c r="J17" i="1"/>
  <c r="I17" i="1"/>
  <c r="N17" i="1"/>
  <c r="P17" i="1"/>
  <c r="O17" i="1"/>
  <c r="Q7" i="1" l="1"/>
  <c r="M68" i="3" s="1"/>
  <c r="L7" i="1"/>
  <c r="G68" i="3" s="1"/>
  <c r="K68" i="3"/>
  <c r="J68" i="3"/>
  <c r="M17" i="1"/>
  <c r="K17" i="1"/>
  <c r="R7" i="1" l="1"/>
  <c r="I68" i="3" s="1"/>
  <c r="M7" i="1"/>
  <c r="H68" i="3" s="1"/>
  <c r="J7" i="1"/>
  <c r="C68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S_member</author>
    <author>Quang Trung</author>
  </authors>
  <commentList>
    <comment ref="C67" authorId="0" shapeId="0" xr:uid="{00000000-0006-0000-0000-000001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 xr:uid="{00000000-0006-0000-0000-000002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 xr:uid="{00000000-0006-0000-0000-000003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 xr:uid="{00000000-0006-0000-0000-000004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 xr:uid="{00000000-0006-0000-0000-000005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 xr:uid="{00000000-0006-0000-0000-000006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 xr:uid="{00000000-0006-0000-0000-000007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 xr:uid="{00000000-0006-0000-0000-000008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 xr:uid="{00000000-0006-0000-0000-000009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 xr:uid="{00000000-0006-0000-0000-00000A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 xr:uid="{00000000-0006-0000-0000-00000B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 xr:uid="{00000000-0006-0000-0000-00000C000000}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<sst xmlns="http://schemas.openxmlformats.org/spreadsheetml/2006/main" count="459" uniqueCount="369">
  <si>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</si>
  <si>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</si>
  <si>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</si>
  <si>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</si>
  <si>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</si>
  <si>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</si>
  <si>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</si>
  <si>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</si>
  <si>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</si>
  <si>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</si>
  <si>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</si>
  <si>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</si>
  <si>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</si>
  <si>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</si>
  <si>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</si>
  <si>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</si>
  <si>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</si>
  <si>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</si>
  <si>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</si>
  <si>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</si>
  <si>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</si>
  <si>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</si>
  <si>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</si>
  <si>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</si>
  <si>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</si>
  <si>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</si>
  <si>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</si>
  <si>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</si>
  <si>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</si>
  <si>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</si>
  <si>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</si>
  <si>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</si>
  <si>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</si>
  <si>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</si>
  <si>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</si>
  <si>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</si>
  <si>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</si>
  <si>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</si>
  <si>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</si>
  <si>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</si>
  <si>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</si>
  <si>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</si>
  <si>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</si>
  <si>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</si>
  <si>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</si>
  <si>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</si>
  <si>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</si>
  <si>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</si>
  <si>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</si>
  <si>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</si>
  <si>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</si>
  <si>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</si>
  <si>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</si>
  <si>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</si>
  <si>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</si>
  <si>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</si>
  <si>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</si>
  <si>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</si>
  <si>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</si>
  <si>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</si>
  <si>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</si>
  <si>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</si>
  <si>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</si>
  <si>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</si>
  <si>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</si>
  <si>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</si>
  <si>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</si>
  <si>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</si>
  <si>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</si>
  <si>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</si>
  <si>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</si>
  <si>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</si>
  <si>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</si>
  <si>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</si>
  <si>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</si>
  <si>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</si>
  <si>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</si>
  <si>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</si>
  <si>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</si>
  <si>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</si>
  <si>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</si>
  <si>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</si>
  <si>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</si>
  <si>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</si>
  <si>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</si>
  <si>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</si>
  <si>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</si>
  <si>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</si>
  <si>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</si>
  <si>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</si>
  <si>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</si>
  <si>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</si>
  <si>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</si>
  <si>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</si>
  <si>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</si>
  <si>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</si>
  <si>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</si>
  <si>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</si>
  <si>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</si>
  <si>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</si>
  <si>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</si>
  <si>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</si>
  <si>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</si>
  <si>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</si>
  <si>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</si>
  <si>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</si>
  <si>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</si>
  <si>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</si>
  <si>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</si>
  <si>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</si>
  <si>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</si>
  <si>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</si>
  <si>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</si>
  <si>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</si>
  <si>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</si>
  <si>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</si>
  <si>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</si>
  <si>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</si>
  <si>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</si>
  <si>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</si>
  <si>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</si>
  <si>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</si>
  <si>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</si>
  <si>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</si>
  <si>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</si>
  <si>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</si>
  <si>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</si>
  <si>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</si>
  <si>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</si>
  <si>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</si>
  <si>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</si>
  <si>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</si>
  <si>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</si>
  <si>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</si>
  <si>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</si>
  <si>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</si>
  <si>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</si>
  <si>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</si>
  <si>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</si>
  <si>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</si>
  <si>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</si>
  <si>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</si>
  <si>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</si>
  <si>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</si>
  <si>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</si>
  <si>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</si>
  <si>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</si>
  <si>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</si>
  <si>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</si>
  <si>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</si>
  <si>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</si>
  <si>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</si>
  <si>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</si>
  <si>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</si>
  <si>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</si>
  <si>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</si>
  <si>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</si>
  <si>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</si>
  <si>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</si>
  <si>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</si>
  <si>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</si>
  <si>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</si>
  <si>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</si>
  <si>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</si>
  <si>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</si>
  <si>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</si>
  <si>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</si>
  <si>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</si>
  <si>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</si>
  <si>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</si>
  <si>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</si>
  <si>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</si>
  <si>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</si>
  <si>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</si>
  <si>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</si>
  <si>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</si>
  <si>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</si>
  <si>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</si>
  <si>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</si>
  <si>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</si>
  <si>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</si>
  <si>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</si>
  <si>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</si>
  <si>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</si>
  <si>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</si>
  <si>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</si>
  <si>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</si>
  <si>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</si>
  <si>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</si>
  <si>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</si>
  <si>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</si>
  <si>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</si>
  <si>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</si>
  <si>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</si>
  <si>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</si>
  <si>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</si>
  <si>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</si>
  <si>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</si>
  <si>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</si>
  <si>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</si>
  <si>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</si>
  <si>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</si>
  <si>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</si>
  <si>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</si>
  <si>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</si>
  <si>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</si>
  <si>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</si>
  <si>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</si>
  <si>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</si>
  <si>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</si>
  <si>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</si>
  <si>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</si>
  <si>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</si>
  <si>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</si>
  <si>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</si>
  <si>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</si>
  <si>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</si>
  <si>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</si>
  <si>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</si>
  <si>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</si>
  <si>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</si>
  <si>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</si>
  <si>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</si>
  <si>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</si>
  <si>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</si>
  <si>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</si>
  <si>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</si>
  <si>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</si>
  <si>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</si>
  <si>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</si>
  <si>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</si>
  <si>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</si>
  <si>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</si>
  <si>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</si>
  <si>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</si>
  <si>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</si>
  <si>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</si>
  <si>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</si>
  <si>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</si>
  <si>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</si>
  <si>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</si>
  <si>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</si>
  <si>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</si>
  <si>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</si>
  <si>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</si>
  <si>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</si>
  <si>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</si>
  <si>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</si>
  <si>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</si>
  <si>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</si>
  <si>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</si>
  <si>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</si>
  <si>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</si>
  <si>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</si>
  <si>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</si>
  <si>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</si>
  <si>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</si>
  <si>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</si>
  <si>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</si>
  <si>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</si>
  <si>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</si>
  <si>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</si>
  <si>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</si>
  <si>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</si>
  <si>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</si>
  <si>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</si>
  <si>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</si>
  <si>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</si>
  <si>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</si>
  <si>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</si>
  <si>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</si>
  <si>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</si>
  <si>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</si>
  <si>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</si>
  <si>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</si>
  <si>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</si>
  <si>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</si>
  <si>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</si>
  <si>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</si>
  <si>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</si>
  <si>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</si>
  <si>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</si>
  <si>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</si>
  <si>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</si>
  <si>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</si>
  <si>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</si>
  <si>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</si>
  <si>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</si>
  <si>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</si>
  <si>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</si>
  <si>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</si>
  <si>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</si>
  <si>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</si>
  <si>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</si>
  <si>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</si>
  <si>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</si>
  <si>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</si>
  <si>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</si>
  <si>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</si>
  <si>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</si>
  <si>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</si>
  <si>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</si>
  <si>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</si>
  <si>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</si>
  <si>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</si>
  <si>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</si>
  <si>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</si>
  <si>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</si>
  <si>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</si>
  <si>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</si>
  <si>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</si>
  <si>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</si>
  <si>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</si>
  <si>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</si>
  <si>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</si>
  <si>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</si>
  <si>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</si>
  <si>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</si>
  <si>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IS_ACTIVE</t>
  </si>
  <si>
    <t>Inventory</t>
  </si>
  <si>
    <t>CKD</t>
  </si>
  <si>
    <t>PIO</t>
  </si>
  <si>
    <t>GPS</t>
  </si>
  <si>
    <t>SPP</t>
  </si>
  <si>
    <t>Inhouse</t>
  </si>
  <si>
    <t>LSP</t>
  </si>
  <si>
    <t>Ckd</t>
  </si>
  <si>
    <t>Gps</t>
  </si>
  <si>
    <t>Pio</t>
  </si>
  <si>
    <t>Inh</t>
  </si>
  <si>
    <t>Lsp</t>
  </si>
  <si>
    <t>Spp</t>
  </si>
  <si>
    <t>Inv</t>
  </si>
  <si>
    <t>InvCkd</t>
  </si>
  <si>
    <t>InvGps</t>
  </si>
  <si>
    <t>InvPio</t>
  </si>
  <si>
    <t>InvInh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</si>
  <si>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</si>
  <si>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</si>
  <si>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</si>
  <si>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</si>
  <si>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</si>
  <si>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</si>
  <si>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</si>
  <si>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</si>
  <si>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</si>
  <si>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</si>
  <si>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</si>
  <si>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int?</t>
  </si>
  <si>
    <t>long?</t>
  </si>
  <si>
    <t>DateTime?</t>
  </si>
  <si>
    <t>TimeSpan?</t>
  </si>
  <si>
    <t>decimal?</t>
  </si>
  <si>
    <t>byte?</t>
  </si>
  <si>
    <t>Frame Enginer</t>
  </si>
  <si>
    <t>bool?</t>
  </si>
  <si>
    <t>SUPPLIER_ID</t>
  </si>
  <si>
    <t>PIC_NAME</t>
  </si>
  <si>
    <t>nvarchar(40)</t>
  </si>
  <si>
    <t>PIC_TELEPHONE</t>
  </si>
  <si>
    <t>nvarchar(100)</t>
  </si>
  <si>
    <t>PIC_EMAIL</t>
  </si>
  <si>
    <t>IS_MAIN_PIC</t>
  </si>
  <si>
    <t>varchar(50)</t>
  </si>
  <si>
    <t>varchar(1)</t>
  </si>
  <si>
    <t>IS_SEND_EMAIL</t>
  </si>
  <si>
    <t>Master.Inv</t>
  </si>
  <si>
    <t>MstInvGpsSupplierPic</t>
  </si>
  <si>
    <t>GpsSupplierPic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</si>
</sst>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8" borderId="0" xfId="0" applyFill="1" applyAlignment="1">
      <alignment wrapText="1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N77"/>
  <sheetViews>
    <sheetView tabSelected="1" topLeftCell="D64" zoomScaleNormal="100" workbookViewId="0">
      <selection activeCell="E77" sqref="E77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45.8554687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4" t="s">
        <v>70</v>
      </c>
    </row>
    <row r="2" spans="1:7" ht="15.75" x14ac:dyDescent="0.25">
      <c r="A2" s="1"/>
      <c r="B2" s="25" t="s">
        <v>192</v>
      </c>
    </row>
    <row r="3" spans="1:7" x14ac:dyDescent="0.25">
      <c r="A3" s="1"/>
      <c r="B3" s="1" t="s">
        <v>73</v>
      </c>
    </row>
    <row r="4" spans="1:7" x14ac:dyDescent="0.25">
      <c r="A4" s="1"/>
      <c r="B4" t="s">
        <v>72</v>
      </c>
    </row>
    <row r="5" spans="1:7" x14ac:dyDescent="0.25">
      <c r="A5" s="1"/>
      <c r="B5" t="s">
        <v>75</v>
      </c>
    </row>
    <row r="6" spans="1:7" x14ac:dyDescent="0.25">
      <c r="A6" s="1"/>
      <c r="B6" t="s">
        <v>83</v>
      </c>
    </row>
    <row r="7" spans="1:7" x14ac:dyDescent="0.25">
      <c r="A7" s="1"/>
      <c r="C7" s="2" t="s">
        <v>93</v>
      </c>
      <c r="D7" s="2"/>
      <c r="E7" s="2"/>
      <c r="F7" s="2" t="s">
        <v>101</v>
      </c>
      <c r="G7" s="2" t="s">
        <v>279</v>
      </c>
    </row>
    <row r="8" spans="1:7" x14ac:dyDescent="0.25">
      <c r="A8" s="1"/>
      <c r="C8" t="s">
        <v>85</v>
      </c>
      <c r="F8" s="1" t="s">
        <v>229</v>
      </c>
      <c r="G8" t="s">
        <v>229</v>
      </c>
    </row>
    <row r="9" spans="1:7" x14ac:dyDescent="0.25">
      <c r="A9" s="1"/>
      <c r="C9" t="s">
        <v>84</v>
      </c>
      <c r="F9" s="1" t="s">
        <v>94</v>
      </c>
      <c r="G9" t="s">
        <v>94</v>
      </c>
    </row>
    <row r="10" spans="1:7" x14ac:dyDescent="0.25">
      <c r="A10" s="1"/>
      <c r="D10" t="s">
        <v>85</v>
      </c>
      <c r="F10" s="1" t="s">
        <v>229</v>
      </c>
      <c r="G10" t="s">
        <v>280</v>
      </c>
    </row>
    <row r="11" spans="1:7" x14ac:dyDescent="0.25">
      <c r="A11" s="1"/>
      <c r="D11" t="s">
        <v>86</v>
      </c>
      <c r="F11" s="1" t="s">
        <v>95</v>
      </c>
      <c r="G11" t="s">
        <v>281</v>
      </c>
    </row>
    <row r="12" spans="1:7" x14ac:dyDescent="0.25">
      <c r="A12" s="1"/>
      <c r="D12" t="s">
        <v>87</v>
      </c>
      <c r="F12" s="1" t="s">
        <v>96</v>
      </c>
      <c r="G12" t="s">
        <v>282</v>
      </c>
    </row>
    <row r="13" spans="1:7" x14ac:dyDescent="0.25">
      <c r="A13" s="1"/>
      <c r="D13" t="s">
        <v>88</v>
      </c>
      <c r="F13" s="1" t="s">
        <v>97</v>
      </c>
      <c r="G13" t="s">
        <v>283</v>
      </c>
    </row>
    <row r="14" spans="1:7" x14ac:dyDescent="0.25">
      <c r="A14" s="1"/>
      <c r="D14" t="s">
        <v>89</v>
      </c>
      <c r="F14" s="1" t="s">
        <v>98</v>
      </c>
      <c r="G14" t="s">
        <v>284</v>
      </c>
    </row>
    <row r="15" spans="1:7" x14ac:dyDescent="0.25">
      <c r="A15" s="1"/>
      <c r="D15" t="s">
        <v>90</v>
      </c>
      <c r="F15" s="1" t="s">
        <v>99</v>
      </c>
      <c r="G15" t="s">
        <v>285</v>
      </c>
    </row>
    <row r="16" spans="1:7" ht="12" customHeight="1" x14ac:dyDescent="0.25">
      <c r="A16" s="1"/>
      <c r="D16" t="s">
        <v>265</v>
      </c>
      <c r="F16" s="1" t="s">
        <v>266</v>
      </c>
      <c r="G16" t="s">
        <v>286</v>
      </c>
    </row>
    <row r="17" spans="1:7" ht="12" customHeight="1" x14ac:dyDescent="0.25">
      <c r="A17" s="1"/>
      <c r="D17" t="s">
        <v>300</v>
      </c>
      <c r="F17" s="1" t="s">
        <v>301</v>
      </c>
      <c r="G17" t="s">
        <v>302</v>
      </c>
    </row>
    <row r="18" spans="1:7" x14ac:dyDescent="0.25">
      <c r="A18" s="1"/>
      <c r="D18" t="s">
        <v>345</v>
      </c>
      <c r="F18" s="1" t="s">
        <v>347</v>
      </c>
      <c r="G18" t="s">
        <v>346</v>
      </c>
    </row>
    <row r="19" spans="1:7" x14ac:dyDescent="0.25">
      <c r="A19" s="1"/>
      <c r="C19" t="s">
        <v>87</v>
      </c>
      <c r="F19" s="1" t="s">
        <v>96</v>
      </c>
      <c r="G19" t="s">
        <v>96</v>
      </c>
    </row>
    <row r="20" spans="1:7" x14ac:dyDescent="0.25">
      <c r="A20" s="1"/>
      <c r="D20" t="s">
        <v>91</v>
      </c>
      <c r="F20" s="1" t="s">
        <v>110</v>
      </c>
      <c r="G20" t="s">
        <v>287</v>
      </c>
    </row>
    <row r="21" spans="1:7" x14ac:dyDescent="0.25">
      <c r="A21" s="1"/>
      <c r="D21" t="s">
        <v>92</v>
      </c>
      <c r="F21" s="1" t="s">
        <v>100</v>
      </c>
      <c r="G21" t="s">
        <v>288</v>
      </c>
    </row>
    <row r="22" spans="1:7" x14ac:dyDescent="0.25">
      <c r="A22" s="1"/>
      <c r="C22" t="s">
        <v>88</v>
      </c>
      <c r="F22" s="1" t="s">
        <v>97</v>
      </c>
      <c r="G22" t="s">
        <v>97</v>
      </c>
    </row>
    <row r="23" spans="1:7" x14ac:dyDescent="0.25">
      <c r="A23" s="1"/>
      <c r="D23" t="s">
        <v>91</v>
      </c>
      <c r="F23" s="1" t="s">
        <v>110</v>
      </c>
      <c r="G23" t="s">
        <v>297</v>
      </c>
    </row>
    <row r="24" spans="1:7" x14ac:dyDescent="0.25">
      <c r="A24" s="1"/>
      <c r="C24" t="s">
        <v>86</v>
      </c>
      <c r="F24" s="1" t="s">
        <v>95</v>
      </c>
      <c r="G24" t="s">
        <v>95</v>
      </c>
    </row>
    <row r="25" spans="1:7" x14ac:dyDescent="0.25">
      <c r="A25" s="1"/>
      <c r="D25" t="s">
        <v>91</v>
      </c>
      <c r="F25" s="1" t="s">
        <v>110</v>
      </c>
      <c r="G25" t="s">
        <v>296</v>
      </c>
    </row>
    <row r="26" spans="1:7" x14ac:dyDescent="0.25">
      <c r="A26" s="1"/>
      <c r="C26" t="s">
        <v>89</v>
      </c>
      <c r="F26" s="1" t="s">
        <v>98</v>
      </c>
      <c r="G26" t="s">
        <v>98</v>
      </c>
    </row>
    <row r="27" spans="1:7" x14ac:dyDescent="0.25">
      <c r="A27" s="1"/>
      <c r="C27" t="s">
        <v>265</v>
      </c>
      <c r="F27" s="1" t="s">
        <v>266</v>
      </c>
      <c r="G27" t="s">
        <v>266</v>
      </c>
    </row>
    <row r="28" spans="1:7" x14ac:dyDescent="0.25">
      <c r="A28" s="1"/>
      <c r="D28" t="s">
        <v>267</v>
      </c>
      <c r="F28" s="1" t="s">
        <v>269</v>
      </c>
      <c r="G28" t="s">
        <v>289</v>
      </c>
    </row>
    <row r="29" spans="1:7" x14ac:dyDescent="0.25">
      <c r="A29" s="1"/>
      <c r="D29" t="s">
        <v>270</v>
      </c>
      <c r="F29" s="1" t="s">
        <v>268</v>
      </c>
      <c r="G29" t="s">
        <v>290</v>
      </c>
    </row>
    <row r="30" spans="1:7" x14ac:dyDescent="0.25">
      <c r="A30" s="1"/>
      <c r="D30" t="s">
        <v>271</v>
      </c>
      <c r="F30" s="1" t="s">
        <v>274</v>
      </c>
      <c r="G30" t="s">
        <v>291</v>
      </c>
    </row>
    <row r="31" spans="1:7" x14ac:dyDescent="0.25">
      <c r="A31" s="1"/>
      <c r="D31" t="s">
        <v>272</v>
      </c>
      <c r="F31" s="1" t="s">
        <v>275</v>
      </c>
      <c r="G31" t="s">
        <v>292</v>
      </c>
    </row>
    <row r="32" spans="1:7" x14ac:dyDescent="0.25">
      <c r="A32" s="1"/>
      <c r="D32" t="s">
        <v>273</v>
      </c>
      <c r="F32" s="1" t="s">
        <v>276</v>
      </c>
      <c r="G32" t="s">
        <v>293</v>
      </c>
    </row>
    <row r="33" spans="1:8" x14ac:dyDescent="0.25">
      <c r="A33" s="1"/>
      <c r="D33" t="s">
        <v>278</v>
      </c>
      <c r="F33" s="1" t="s">
        <v>277</v>
      </c>
      <c r="G33" t="s">
        <v>294</v>
      </c>
    </row>
    <row r="34" spans="1:8" x14ac:dyDescent="0.25">
      <c r="A34" s="1"/>
      <c r="C34" t="s">
        <v>300</v>
      </c>
      <c r="F34" s="1" t="s">
        <v>301</v>
      </c>
      <c r="G34" t="s">
        <v>301</v>
      </c>
    </row>
    <row r="35" spans="1:8" x14ac:dyDescent="0.25">
      <c r="A35" s="1"/>
      <c r="D35" t="s">
        <v>303</v>
      </c>
      <c r="F35" s="1" t="s">
        <v>304</v>
      </c>
      <c r="G35" t="s">
        <v>305</v>
      </c>
    </row>
    <row r="36" spans="1:8" x14ac:dyDescent="0.25">
      <c r="A36" s="1"/>
      <c r="D36" t="s">
        <v>92</v>
      </c>
      <c r="F36" s="1" t="s">
        <v>100</v>
      </c>
      <c r="G36" t="s">
        <v>306</v>
      </c>
    </row>
    <row r="37" spans="1:8" x14ac:dyDescent="0.25">
      <c r="A37" s="1"/>
      <c r="D37" t="s">
        <v>307</v>
      </c>
      <c r="F37" s="1" t="s">
        <v>308</v>
      </c>
      <c r="G37" t="s">
        <v>309</v>
      </c>
    </row>
    <row r="38" spans="1:8" x14ac:dyDescent="0.25">
      <c r="A38" s="1"/>
      <c r="D38" t="s">
        <v>310</v>
      </c>
      <c r="F38" s="1" t="s">
        <v>311</v>
      </c>
      <c r="G38" t="s">
        <v>312</v>
      </c>
    </row>
    <row r="39" spans="1:8" x14ac:dyDescent="0.25">
      <c r="A39" s="1"/>
      <c r="D39" t="s">
        <v>314</v>
      </c>
      <c r="F39" s="1" t="s">
        <v>315</v>
      </c>
      <c r="G39" t="s">
        <v>316</v>
      </c>
    </row>
    <row r="40" spans="1:8" x14ac:dyDescent="0.25">
      <c r="A40" s="1"/>
      <c r="C40" t="s">
        <v>313</v>
      </c>
      <c r="F40" s="1" t="s">
        <v>295</v>
      </c>
      <c r="G40" t="s">
        <v>295</v>
      </c>
    </row>
    <row r="41" spans="1:8" x14ac:dyDescent="0.25">
      <c r="A41" s="1"/>
      <c r="D41" t="s">
        <v>298</v>
      </c>
      <c r="F41" s="1" t="s">
        <v>298</v>
      </c>
      <c r="G41" t="s">
        <v>299</v>
      </c>
      <c r="H41" t="s">
        <v>317</v>
      </c>
    </row>
    <row r="42" spans="1:8" x14ac:dyDescent="0.25">
      <c r="A42" s="1"/>
      <c r="C42" t="s">
        <v>319</v>
      </c>
      <c r="F42" s="1" t="s">
        <v>332</v>
      </c>
      <c r="G42" t="s">
        <v>332</v>
      </c>
    </row>
    <row r="43" spans="1:8" x14ac:dyDescent="0.25">
      <c r="A43" s="1"/>
      <c r="D43" t="s">
        <v>320</v>
      </c>
      <c r="F43" s="1" t="s">
        <v>326</v>
      </c>
      <c r="G43" t="s">
        <v>333</v>
      </c>
    </row>
    <row r="44" spans="1:8" x14ac:dyDescent="0.25">
      <c r="A44" s="1"/>
      <c r="D44" t="s">
        <v>322</v>
      </c>
      <c r="F44" s="1" t="s">
        <v>327</v>
      </c>
      <c r="G44" t="s">
        <v>334</v>
      </c>
    </row>
    <row r="45" spans="1:8" x14ac:dyDescent="0.25">
      <c r="A45" s="1"/>
      <c r="D45" t="s">
        <v>321</v>
      </c>
      <c r="F45" s="1" t="s">
        <v>328</v>
      </c>
      <c r="G45" t="s">
        <v>335</v>
      </c>
    </row>
    <row r="46" spans="1:8" x14ac:dyDescent="0.25">
      <c r="A46" s="1"/>
      <c r="D46" t="s">
        <v>324</v>
      </c>
      <c r="F46" s="1" t="s">
        <v>329</v>
      </c>
      <c r="G46" t="s">
        <v>336</v>
      </c>
    </row>
    <row r="47" spans="1:8" x14ac:dyDescent="0.25">
      <c r="A47" s="1"/>
      <c r="D47" t="s">
        <v>342</v>
      </c>
      <c r="F47" s="1" t="s">
        <v>343</v>
      </c>
      <c r="G47" t="s">
        <v>344</v>
      </c>
    </row>
    <row r="48" spans="1:8" x14ac:dyDescent="0.25">
      <c r="A48" s="1"/>
      <c r="D48" t="s">
        <v>325</v>
      </c>
      <c r="F48" s="1" t="s">
        <v>330</v>
      </c>
      <c r="G48" t="s">
        <v>337</v>
      </c>
    </row>
    <row r="49" spans="1:7" x14ac:dyDescent="0.25">
      <c r="A49" s="1"/>
      <c r="D49" t="s">
        <v>323</v>
      </c>
      <c r="F49" s="1" t="s">
        <v>331</v>
      </c>
      <c r="G49" t="s">
        <v>338</v>
      </c>
    </row>
    <row r="50" spans="1:7" x14ac:dyDescent="0.25">
      <c r="A50" s="1"/>
      <c r="D50" t="s">
        <v>339</v>
      </c>
      <c r="F50" s="1" t="s">
        <v>340</v>
      </c>
      <c r="G50" t="s">
        <v>341</v>
      </c>
    </row>
    <row r="51" spans="1:7" x14ac:dyDescent="0.25">
      <c r="A51" s="1"/>
    </row>
    <row r="52" spans="1:7" x14ac:dyDescent="0.25">
      <c r="A52" s="1"/>
      <c r="B52" t="s">
        <v>82</v>
      </c>
    </row>
    <row r="53" spans="1:7" x14ac:dyDescent="0.25">
      <c r="A53" s="1"/>
      <c r="B53" t="s">
        <v>79</v>
      </c>
    </row>
    <row r="54" spans="1:7" x14ac:dyDescent="0.25">
      <c r="A54" s="1"/>
      <c r="C54" s="17" t="s">
        <v>76</v>
      </c>
    </row>
    <row r="55" spans="1:7" x14ac:dyDescent="0.25">
      <c r="A55" s="1"/>
      <c r="C55" s="16" t="s">
        <v>77</v>
      </c>
    </row>
    <row r="56" spans="1:7" x14ac:dyDescent="0.25">
      <c r="A56" s="1"/>
      <c r="C56" s="16" t="s">
        <v>78</v>
      </c>
    </row>
    <row r="57" spans="1:7" x14ac:dyDescent="0.25">
      <c r="A57" s="1"/>
      <c r="B57" t="s">
        <v>102</v>
      </c>
      <c r="C57" s="16"/>
    </row>
    <row r="58" spans="1:7" x14ac:dyDescent="0.25">
      <c r="A58" s="1"/>
      <c r="C58" s="16" t="s">
        <v>103</v>
      </c>
    </row>
    <row r="59" spans="1:7" x14ac:dyDescent="0.25">
      <c r="A59" s="1"/>
      <c r="C59" s="16" t="s">
        <v>104</v>
      </c>
    </row>
    <row r="60" spans="1:7" x14ac:dyDescent="0.25">
      <c r="A60" s="1"/>
      <c r="C60" s="16" t="s">
        <v>105</v>
      </c>
    </row>
    <row r="61" spans="1:7" x14ac:dyDescent="0.25">
      <c r="A61" s="1"/>
      <c r="C61" s="16" t="s">
        <v>107</v>
      </c>
    </row>
    <row r="62" spans="1:7" x14ac:dyDescent="0.25">
      <c r="A62" s="1"/>
      <c r="C62" s="16" t="s">
        <v>109</v>
      </c>
    </row>
    <row r="63" spans="1:7" x14ac:dyDescent="0.25">
      <c r="A63" s="1"/>
      <c r="C63" s="16" t="s">
        <v>108</v>
      </c>
    </row>
    <row r="64" spans="1:7" x14ac:dyDescent="0.25">
      <c r="A64" s="1"/>
      <c r="C64" s="16" t="s">
        <v>106</v>
      </c>
    </row>
    <row r="65" spans="2:14" ht="21" customHeight="1" x14ac:dyDescent="0.25">
      <c r="B65" s="19" t="s">
        <v>74</v>
      </c>
    </row>
    <row r="66" spans="2:14" ht="21" customHeight="1" x14ac:dyDescent="0.25">
      <c r="B66" s="59" t="s">
        <v>226</v>
      </c>
    </row>
    <row r="67" spans="2:14" ht="15.75" thickBot="1" x14ac:dyDescent="0.3">
      <c r="C67" s="1" t="s">
        <v>68</v>
      </c>
      <c r="D67" s="1" t="s">
        <v>202</v>
      </c>
      <c r="E67" s="1" t="s">
        <v>203</v>
      </c>
      <c r="F67" s="1" t="s">
        <v>194</v>
      </c>
      <c r="G67" s="1" t="s">
        <v>195</v>
      </c>
      <c r="H67" s="1" t="s">
        <v>196</v>
      </c>
      <c r="I67" s="1" t="s">
        <v>197</v>
      </c>
      <c r="J67" s="1" t="s">
        <v>201</v>
      </c>
      <c r="K67" s="1" t="s">
        <v>204</v>
      </c>
      <c r="L67" s="1" t="s">
        <v>205</v>
      </c>
      <c r="M67" s="1" t="s">
        <v>206</v>
      </c>
      <c r="N67" s="1" t="s">
        <v>222</v>
      </c>
    </row>
    <row r="68" spans="2:14" s="15" customFormat="1" ht="21.75" customHeight="1" thickBot="1" x14ac:dyDescent="0.3">
      <c r="B68" s="49" t="s">
        <v>221</v>
      </c>
      <c r="C68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prod.Master.Inv
{
	[Table("MstInvGpsSupplierPic")]
	public class MstInvGpsSupplierPic: FullAuditedEntity&lt;long&gt;, IEntity&lt;long&gt;	
	{
		public const int MaxPicNameLength = 40;
		public const int MaxPicTelephoneLength = 100;
		public const int MaxPicEmailLength = 100;
		public const int MaxIsMainPicLength = 50;
		public const int MaxIsSendEmailLength = 1;
		public const int MaxIsActiveLength = 1;
		public virtual long? SupplierId { get; set; }
		[StringLength(MaxPicNameLength)]
		public virtual string PicName { get; set; }
		[StringLength(MaxPicTelephoneLength)]
		public virtual string PicTelephone { get; set; }
		[StringLength(MaxPicEmailLength)]
		public virtual string PicEmail { get; set; }
		[StringLength(MaxIsMainPicLength)]
		public virtual string IsMainPic { get; set; }
		[StringLength(MaxIsSendEmailLength)]
		public virtual string IsSendEmail { get; set; }
		[StringLength(MaxIsActiveLength)]
		public virtual string IsActive { get; set; }
	}
}
</v>
      </c>
      <c r="D68" s="48" t="str">
        <f>A.Backend!O7</f>
        <v xml:space="preserve">		public const string Pages_Master_Inv_GpsSupplierPic = "Pages.Master.Inv.GpsSupplierPic";
		public const string Pages_Master_Inv_GpsSupplierPic_CreateEdit = "Pages.Master.Inv.GpsSupplierPic.CreateEdit";
		public const string Pages_Master_Inv_GpsSupplierPic_Delete = "Pages.Master.Inv.GpsSupplierPic.Delete";
</v>
      </c>
      <c r="E68" s="48" t="str">
        <f>A.Backend!N7</f>
        <v xml:space="preserve">		var perMstInvGpsSupplierPic = PARENTS.CreateChildPermission(AppPermissions.Pages_Master_Inv_GpsSupplierPic, L( "MasterInvGpsSupplierPic"), multiTenancySides: MultiTenancySides.Tenant);
		perMstInvGpsSupplierPic.CreateChildPermission(AppPermissions.Pages_Master_Inv_GpsSupplierPic_CreateEdit, L( "MasterInvGpsSupplierPicCreateEdit"), multiTenancySides: MultiTenancySides.Tenant);
		perMstInvGpsSupplierPic.CreateChildPermission(AppPermissions.Pages_Master_Inv_GpsSupplierPic_Delete, L( "MasterInvGpsSupplierPicDelete"), multiTenancySides: MultiTenancySides.Tenant);</v>
      </c>
      <c r="F68" s="48" t="str">
        <f>A.Backend!K7</f>
        <v>public virtual DbSet&lt;MstInvGpsSupplierPic&gt; MstInvGpsSupplierPics { get; set; }</v>
      </c>
      <c r="G68" s="48" t="str">
        <f ca="1">A.Backend!L7</f>
        <v xml:space="preserve">namespace prod.Master.Inv
{
	public class MstInvGpsSupplierPicConsts	
	{
		public const int MaxPicNameLength = 40;
		public const int MaxPicTelephoneLength = 100;
		public const int MaxPicEmailLength = 100;
		public const int MaxIsMainPicLength = 50;
		public const int MaxIsSendEmailLength = 1;
		public const int MaxIsActiveLength = 1;
		// Define Store Name: Format SP_ + &lt;Store Name&gt; = &lt;Store Name&gt;
	}
}
</v>
      </c>
      <c r="H68" s="48" t="str">
        <f ca="1">A.Backend!M7</f>
        <v xml:space="preserve">using Abp.Application.Services.Dto;
using System;
using System.ComponentModel.DataAnnotations;
namespace prod.Master.Inv.Dto
{
	public class MstInvGpsSupplierPicDto : EntityDto&lt;long?&gt;	
	{
		public virtual long? SupplierId { get; set; }
		public virtual string PicName { get; set; }
		public virtual string PicTelephone { get; set; }
		public virtual string PicEmail { get; set; }
		public virtual string IsMainPic { get; set; }
		public virtual string IsSendEmail { get; set; }
		public virtual string IsActive { get; set; }
	}
	public class CreateOrEditMstInvGpsSupplierPicDto : EntityDto&lt;long?&gt;	
	{
		public virtual long? SupplierId { get; set; }
		[StringLength(MstInvGpsSupplierPicConsts.MaxPicNameLength)]
		public virtual string PicName { get; set; }
		[StringLength(MstInvGpsSupplierPicConsts.MaxPicTelephoneLength)]
		public virtual string PicTelephone { get; set; }
		[StringLength(MstInvGpsSupplierPicConsts.MaxPicEmailLength)]
		public virtual string PicEmail { get; set; }
		[StringLength(MstInvGpsSupplierPicConsts.MaxIsMainPicLength)]
		public virtual string IsMainPic { get; set; }
		[StringLength(MstInvGpsSupplierPicConsts.MaxIsSendEmailLength)]
		public virtual string IsSendEmail { get; set; }
		[StringLength(MstInvGpsSupplierPicConsts.MaxIsActiveLength)]
		public virtual string IsActive { get; set; }
	}
	public class GetMstInvGpsSupplierPicInput : PagedAndSortedResultRequestDto	
	{
		public virtual string PicName { get; set; }
		public virtual string PicTelephone { get; set; }
		public virtual string PicEmail { get; set; }
		public virtual string IsMainPic { get; set; }
		public virtual string IsSendEmail { get; set; }
		public virtual string IsActive { get; set; }
	}
}
</v>
      </c>
      <c r="I68" s="48" t="str">
        <f ca="1">A.Backend!R7</f>
        <v xml:space="preserve">using Abp.Application.Services.Dto;
using System;
using System.ComponentModel.DataAnnotations;
namespace prod.Master.Inv.Dto
{
	public class MstInvGpsSupplierPicExportInput{
		public virtual long? SupplierId { get; set; }
		public virtual string PicName { get; set; }
		public virtual string PicTelephone { get; set; }
		public virtual string PicEmail { get; set; }
		public virtual string IsMainPic { get; set; }
		public virtual string IsSendEmail { get; set; }
		public virtual string IsActive { get; set; }
	}
}
</v>
      </c>
      <c r="J68" s="48" t="str">
        <f>A.Backend!P7</f>
        <v xml:space="preserve">using Abp.Application.Services;
using Abp.Application.Services.Dto;
using System.Collections.Generic;using vovina.Dto;
using System.Threading.Tasks;
using vovina.Master.Inv.Dto;
namespace prod.Master.Inv
{
	public interface IMstInvGpsSupplierPicAppService : IApplicationService
	{
		Task&lt;PagedResultDto&lt;MstInvGpsSupplierPicDto&gt;&gt; GetAll(GetMstInvGpsSupplierPicInput input);
		Task CreateOrEdit(CreateOrEditMstInvGpsSupplierPicDto input);
		Task Delete(EntityDto input);
	}
}
</v>
      </c>
      <c r="K68" s="48" t="str">
        <f>A.Backend!S7</f>
        <v xml:space="preserve">using Abp.Application.Services;
using Abp.Application.Services.Dto;
using System.Collections.Generic;using vovina.Dto;
using System.Threading.Tasks;
using vovina.Master.Inv.Dto;
namespace prod.Master.Inv.Exporting
{
	public interface IMstInvGpsSupplierPicExcelExporter : IApplicationService
	{
		FileDto ExportToFile(List&lt;MstInvGpsSupplierPicDto&gt; mstinvgpssupplierpic);
	}
}
</v>
      </c>
      <c r="L68" s="48" t="str">
        <f ca="1">A.Backend!T7</f>
        <v>using System.Collections.Generic;
using vovina.DataExporting.Excel.NPOI;
using vovina.Dto;
using vovina.Master.Inv.Exporting;
using vovina.Master.Inv.Dto;
using vovina.Storage;
using vovina.Master.Inv.Dto;
namespace vovina.Master.Inv.Exporting
{
    public class MstInvGpsSupplierPicExcelExporter : NpoiExcelExporterBase, IMstInvGpsSupplierPicExcelExporter
    {
        public MstInvGpsSupplierPicExcelExporter(ITempFileCacheManager tempFileCacheManager) : base(tempFileCacheManager) { }
        public FileDto ExportToFile(List&lt;MstInvGpsSupplierPicDto&gt; gpssupplierpic)
        {
            return CreateExcelPackage(
				"MasterInvGpsSupplierPic.xlsx",
				excelPackage =&gt;
				 {
					var sheet = excelPackage.CreateSheet("GpsSupplierPic");
					AddHeader(
								sheet,
								("SupplierId"),
								("PicName"),
								("PicTelephone"),
								("PicEmail"),
								("IsMainPic"),
								("IsSendEmail"),
								("IsActive"),
							   );
					AddObjects(
						 sheet, 1, gpssupplierpic,                                       
								_ =&gt; _.SupplierId,
								_ =&gt; _.PicName,
								_ =&gt; _.PicTelephone,
								_ =&gt; _.PicEmail,
								_ =&gt; _.IsMainPic,
								_ =&gt; _.IsSendEmail,
								_ =&gt; _.IsActive,
								);
			for (var i = 0; i &lt; 8; i++)
				{
					sheet.AutoSizeColumn(i);
				}
			});
        }
    }
}</v>
      </c>
      <c r="M68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vovina.Master.Inv.Dto;
using vovina.Master.Inv.Exporting;
namespace vovina.Master.Inv
{
    [AbpAuthorize(AppPermissions.Pages_Master_Inv_GpsSupplierPic)]
    public class MstInvGpsSupplierPicAppService : vovinaAppServiceBase, IMstInvGpsSupplierPicAppService
    {
        private readonly IDapperRepository&lt;MstInvGpsSupplierPic, long&gt; _dapperRepo;
        private readonly IRepository&lt;MstInvGpsSupplierPic, long&gt; _repo;
        private readonly IMstInvGpsSupplierPicExcelExporter _calendarListExcelExporter;
        public MstInvGpsSupplierPicAppService(IRepository&lt;MstInvGpsSupplierPic,long&gt; repo, 
                                         IDapperRepository&lt;MstInvGpsSupplierPic,long&gt; dapperRepo,
                                        IMstInvGpsSupplierPicExcelExporter calendarListExcelExporter
            )
        {
            _repo = repo;
            _dapperRepo = dapperRepo;
            _calendarListExcelExporter = calendarListExcelExporter;
        }
        [AbpAuthorize(AppPermissions.Pages_Master_Inv_GpsSupplierPic_CreateEdit)]
        public async Task CreateOrEdit(CreateOrEditMstInvGpsSupplierPicDto input)
        {
            if (input.Id == null) await Create(input);
            else await Update(input);
        }
        //CREATE
        private async Task Create(CreateOrEditMstInvGpsSupplierPicDto input)
        {          
            var mainObj = ObjectMapper.Map&lt;MstInvGpsSupplierPic&gt;(input);
            await CurrentUnitOfWork.GetDbContext&lt;vovinaDbContext&gt;().AddAsync(mainObj);
        }
        // EDIT
        private async Task Update(CreateOrEditMstInvGpsSupplierPicDto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[AbpAuthorize(AppPermissions.Pages_Master_Inv_GpsSupplierPic_Delete)]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Task&lt;PagedResultDto&lt;MstInvGpsSupplierPicDto&gt;&gt; GetAll(GetMstInvGpsSupplierPicInput input)
        {
            var filtered = _repo.GetAll()
				.WhereIf(!string.IsNullOrWhiteSpace(input.PicName), e =&gt; e.PicName.Contains(input.PicName))
				.WhereIf(!string.IsNullOrWhiteSpace(input.PicTelephone), e =&gt; e.PicTelephone.Contains(input.PicTelephone))
				.WhereIf(!string.IsNullOrWhiteSpace(input.PicEmail), e =&gt; e.PicEmail.Contains(input.PicEmail))
				.WhereIf(!string.IsNullOrWhiteSpace(input.IsMainPic), e =&gt; e.IsMainPic.Contains(input.IsMainPic))
				.WhereIf(!string.IsNullOrWhiteSpace(input.IsSendEmail), e =&gt; e.IsSendEmail.Contains(input.IsSendEmail))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MstInvGpsSupplierPicDto
                        {
							Id = o.Id,
							SupplierId = o.SupplierId,
							PicName = o.PicName,
							PicTelephone = o.PicTelephone,
							PicEmail = o.PicEmail,
							IsMainPic = o.IsMainPic,
							IsSendEmail = o.IsSendEmail,
							IsActive = o.IsActive,
                        };
            var totalCount = await filtered.CountAsync();
			var paged = system.PageBy(input);
            return new PagedResultDto&lt;MstInvGpsSupplierPicDto&gt;(
                totalCount,
                 await paged.ToListAsync()
            );
        }
        public async Task&lt;FileDto&gt; GetGpsSupplierPicToExcel(MstInvGpsSupplierPicExportInput input)
        {
            var query = from o in _repo.GetAll()
                        select new MstInvGpsSupplierPicDto
                        {
							Id = o.Id,
							SupplierId = o.SupplierId,
							PicName = o.PicName,
							PicTelephone = o.PicTelephone,
							PicEmail = o.PicEmail,
							IsMainPic = o.IsMainPic,
							IsSendEmail = o.IsSendEmail,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_dapperRepo.ExecuteAsync(MstInvGpsSupplierPicConsts.SP_MST_WPT_CALENDAR_GENERATE);
       // }
    }
}</v>
      </c>
      <c r="N68" s="58" t="str">
        <f>A.Backend!U7</f>
        <v xml:space="preserve">  configuration.CreateMap&lt;MstInvGpsSupplierPicDto, MstInvGpsSupplierPic&gt;();
  configuration.CreateMap&lt;MstInvGpsSupplierPic, MstInvGpsSupplierPicDto&gt;();
  configuration.CreateMap&lt;CreateOrEditMstInvGpsSupplierPicDto, MstInvGpsSupplierPic&gt;();</v>
      </c>
    </row>
    <row r="69" spans="2:14" s="15" customFormat="1" ht="21.75" customHeight="1" x14ac:dyDescent="0.25">
      <c r="C69" s="60"/>
      <c r="H69" s="61"/>
      <c r="I69" s="61"/>
      <c r="M69" s="61"/>
    </row>
    <row r="70" spans="2:14" s="15" customFormat="1" ht="21.75" customHeight="1" x14ac:dyDescent="0.25"/>
    <row r="71" spans="2:14" s="15" customFormat="1" ht="21.75" customHeight="1" x14ac:dyDescent="0.25"/>
    <row r="72" spans="2:14" x14ac:dyDescent="0.25">
      <c r="B72" s="1" t="s">
        <v>69</v>
      </c>
    </row>
    <row r="73" spans="2:14" ht="21" x14ac:dyDescent="0.35">
      <c r="B73" t="str">
        <f>B.Frontend!B8</f>
        <v>gpssupplierpic</v>
      </c>
      <c r="C73" s="66" t="str">
        <f>"create folder " &amp;B73</f>
        <v>create folder gpssupplierpic</v>
      </c>
      <c r="D73" s="66"/>
      <c r="E73" s="66"/>
      <c r="F73" s="66"/>
      <c r="G73" s="66"/>
      <c r="H73" s="66"/>
      <c r="I73" s="66"/>
      <c r="J73" s="66"/>
      <c r="K73" s="67" t="s">
        <v>223</v>
      </c>
      <c r="L73" s="67"/>
      <c r="M73" s="28"/>
    </row>
    <row r="74" spans="2:14" s="26" customFormat="1" ht="18" customHeight="1" x14ac:dyDescent="0.25">
      <c r="B74" s="56" t="s">
        <v>224</v>
      </c>
      <c r="C74" s="28" t="str">
        <f>B.Frontend!H14</f>
        <v>gpssupplierpic.component.ts</v>
      </c>
      <c r="D74" s="28" t="str">
        <f>B.Frontend!I14</f>
        <v>gpssupplierpic.component.html</v>
      </c>
      <c r="E74" s="28" t="str">
        <f>B.Frontend!J14</f>
        <v>gpssupplierpic.component.less</v>
      </c>
      <c r="F74" s="28" t="str">
        <f>B.Frontend!K14</f>
        <v>create-or-edit-gpssupplierpic-modal.component.html</v>
      </c>
      <c r="G74" s="28" t="str">
        <f>B.Frontend!L14</f>
        <v>create-or-edit-gpssupplierpic-modal.component.ts</v>
      </c>
      <c r="H74" s="28" t="str">
        <f>B.Frontend!M14</f>
        <v>create-or-edit-gpssupplierpic-modal.component.less</v>
      </c>
      <c r="I74" s="28" t="str">
        <f>B.Frontend!N14</f>
        <v>gpssupplierpic.module.ts</v>
      </c>
      <c r="J74" s="28" t="str">
        <f>B.Frontend!O14</f>
        <v>gpssupplierpic-routing.module.ts</v>
      </c>
      <c r="K74" s="28" t="str">
        <f>B.Frontend!P14</f>
        <v>app.navigation.service.ts</v>
      </c>
      <c r="L74" s="28" t="str">
        <f>B.Frontend!Q14</f>
        <v>main.routing.module.ts</v>
      </c>
      <c r="M74" s="56" t="s">
        <v>227</v>
      </c>
    </row>
    <row r="75" spans="2:14" ht="21.75" customHeight="1" x14ac:dyDescent="0.25">
      <c r="B75" s="57" t="s">
        <v>221</v>
      </c>
      <c r="C75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MstInvGpsSupplierPicDto, MstInvGpsSupplierPicServiceProxy } from '@shared/service-proxies/service-proxies';
import { finalize } from 'rxjs/internal/operators/finalize';
import { CreateOrEditGpsSupplierPicModalComponent } from './create-or-edit-gpssupplierpic-modal.component';
import { DatePipe } from '@angular/common';
import { FileDownloadService } from '@shared/utils/file-download.service';
import ceil from 'lodash-es/ceil';
import { Paginator } from 'primeng/paginator';
@Component({
    templateUrl: './gpssupplierpic.component.html',
    styleUrls: ['./gpssupplierpic.component.less'],
})
export class GpsSupplierPicComponent extends AppComponentBase implements OnInit {
    @ViewChild('createOrEditModalGpsSupplierPic', { static: true }) createOrEditModalGpsSupplierPic:| CreateOrEditGpsSupplierPicModalComponent|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MstInvGpsSupplierPicDto = new MstInvGpsSupplierPicDto();
    saveSelectedRow: MstInvGpsSupplierPicDto = new MstInvGpsSupplierPicDto();
    datas: MstInvGpsSupplierPicDto = new MstInvGpsSupplierPicDto();
    isLoading: boolean = false;
    dataParams: GridParams | undefined;
    rowData: any[] = [];
    gridApi!: GridApi;
    rowSelection = 'multiple';
    filter: string = '';
	pipe = new DatePipe('en-US');
	frameworkComponents: FrameworkComponent;
    	picName : string = '' ; 
	picTelephone : string = '' ; 
	picEmail : string = '' ; 
	isMainPic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MstInvGpsSupplierPicServiceProxy,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this.l('Supplier Id'),headerTooltip: this.l('Supplier Id'),field: 'supplierId',flex: 1},
			{headerName: this.l('Pic Name'),headerTooltip: this.l('Pic Name'),field: 'picName',flex: 1},
			{headerName: this.l('Pic Telephone'),headerTooltip: this.l('Pic Telephone'),field: 'picTelephone',flex: 1},
			{headerName: this.l('Pic Email'),headerTooltip: this.l('Pic Email'),field: 'picEmail',flex: 1},
			{headerName: this.l('Is Main Pic'),headerTooltip: this.l('Is Main Pic'),field: 'isMainPic',flex: 1},
			{headerName: this.l('Is Send Email'),headerTooltip: this.l('Is Send Email'),field:  'isSendEmail', cellClass: ['text-center'], width: 120, cellRenderer: 'agCellButtonComponent',
buttonDefTwo: { text: params =&gt; (params.data?.'isSendEmail' == 'Y') ? 'Active' : 'Inactive',iconName: 'fa fa-circle',className: params =&gt; (params.data?.'isSendEmail' == 'Y') ? 'btnActive' : 'btnInActive',},}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this.supplierId,
			this.picName,
			this.picTelephone,
			this.picEmail,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picName : string = '' ; 
	picTelephone : string = '' ; 
	picEmail : string = '' ; 
	isMainPic : string = '' ; 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this.supplierId,
			this.picName,
			this.picTelephone,
			this.picEmail,
			'',
            this.paginationParams.skipCount,
            this.paginationParams.pageSize
        );
    }
    onChangeRowSelection(params: { api: { getSelectedRows: () =&gt; MstInvGpsSupplierPicDto[] } }) {
        this.saveSelectedRow = params.api.getSelectedRows()[0] ?? new MstInvGpsSupplierPicDto();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MstInvGpsSupplierPicDto):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this._service.getGpsSupplierPicToExcel(
			this.supplierId,
			this.picName,
			this.picTelephone,
			this.picEmail,
            )
            .subscribe((result) =&gt; {
                this._fileDownloadService.downloadTempFile(result);
        });
    }
}</v>
      </c>
      <c r="D75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Frame Enginer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[(ngModel)]='picName' name='picName'
									class='form-control' [placeholder]="l('Pic Name')"
									type='text' (keyup.enter)='searchDatas()'&gt;
								&lt;/div&gt;
								&lt;div class='input-search'&gt;
									&lt;input [(ngModel)]='picTelephone' name='picTelephone'
									class='form-control' [placeholder]="l('Pic Telephone')"
									type='text' (keyup.enter)='searchDatas()'&gt;
								&lt;/div&gt;
								&lt;div class='input-search'&gt;
									&lt;input [(ngModel)]='picEmail' name='picEmail'
									class='form-control' [placeholder]="l('Pic Email')"
									type='text' (keyup.enter)='searchDatas()'&gt;
								&lt;/div&gt;
								&lt;div class='input-search'&gt;
									&lt;input [(ngModel)]='isMainPic' name='isMainPic'
									class='form-control' [placeholder]="l('Is Main Pic')"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(click)="createOrEditModalGpsSupplierPic.show()"&gt;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(click)="createOrEditModalGpsSupplierPic.show(selectedRow)"&gt;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&lt;create-or-edit-gpssupplierpic-modal
    #createOrEditModalGpsSupplierPic
    (modalSave)="callBackDataGrid(dataParams)"
    (modalClose)="onChangeRowSelection(dataParams)"
&gt;
&lt;/create-or-edit-gpssupplierpic-modal&gt;</v>
      </c>
      <c r="E75" s="46" t="str">
        <f>B.Frontend!J10</f>
        <v>.input-search{
    width: 250px;
    border-radius: 10px;
    margin-left: 10px;
}
.btn-search{
    width: 50px;
    margin-left: 10px;
}</v>
      </c>
      <c r="F75" s="46" t="str">
        <f ca="1">B.Frontend!K10</f>
        <v>&lt;div bsModal #createOrEditModalGpsSupplierPic="bs-modal"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GpsSupplierPic')}}&lt;/h3&gt;
                    &lt;h3 *ngIf="!rowdata.id"&gt;{{('Create New GpsSupplierPic')}}&lt;/h3&gt;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title'&gt;Supplier Id&lt;/label&gt;
						&lt;input type='number' class='col-md-10 form-control input-text' name='SupplierId' [(ngModel)]='rowdata.supplierId'&gt;
					&lt;/div&gt;
					&lt;div class='col-md-12 form-group row'&gt;
						&lt;label class='col-md-2 form-control title'&gt;Pic Name&lt;/label&gt;
						&lt;input type='text' class='col-md-10 form-control input-text' name='PicName' [(ngModel)]='rowdata.picName'&gt;
					&lt;/div&gt;
					&lt;div class='col-md-12 form-group row'&gt;
						&lt;label class='col-md-2 form-control title'&gt;Pic Telephone&lt;/label&gt;
						&lt;input type='text' class='col-md-10 form-control input-text' name='PicTelephone' [(ngModel)]='rowdata.picTelephone'&gt;
					&lt;/div&gt;
					&lt;div class='col-md-12 form-group row'&gt;
						&lt;label class='col-md-2 form-control title'&gt;Pic Email&lt;/label&gt;
						&lt;input type='text' class='col-md-10 form-control input-text' name='PicEmail' [(ngModel)]='rowdata.picEmail'&gt;
					&lt;/div&gt;
					&lt;div class='col-md-12 form-group row'&gt;
						&lt;label class='col-md-2 form-control title'&gt;Is Main Pic&lt;/label&gt;
						&lt;input type='text' class='col-md-10 form-control input-text' name='IsMainPic' [(ngModel)]='rowdata.isMainPic'&gt;
					&lt;/div&gt;
					&lt;div class='col-md-12 form-group row'&gt;
						&lt;label class='col-md-2 form-control title'&gt;Is Send Email&lt;/label&gt;
						&lt;new-checkbox [(ngModel)]='_isSendEmail' name='isSendEmail' className='col-md-10' &gt; &lt;/new-checkbox&gt;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5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CreateOrEditMstInvGpsSupplierPicDto, MstInvGpsSupplierPicServiceProxy } from '@shared/service-proxies/service-proxies';
import { BsDatepickerDirective } from 'ngx-bootstrap/datepicker';
@Component({
    selector: 'create-or-edit-gpssupplierpic-modal',
    templateUrl: './create-or-edit-gpssupplierpic-modal.component.html',
    styleUrls: ['./create-or-edit-gpssupplierpic-modal.component.less']
    })
export class CreateOrEditGpsSupplierPicModalComponent extends AppComponentBase {
    @ViewChild('createOrEditModalGpsSupplierPic',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CreateOrEditMstInvGpsSupplierPicDto = new CreateOrEditMstInvGpsSupplierPicDto();
    active: boolean = false;
    saving: boolean = false;
    _isSendEmail
isActive: boolean;
    constructor(
        injector: Injector,
        private _mstwptGpsSupplierPicService: MstInvGpsSupplierPicServiceProxy,
    ) 
    {
        super(injector);
    }
    show(rowdata?: CreateOrEditMstInvGpsSupplierPicDto): void {
        if (!rowdata) this.rowdata = new CreateOrEditMstInvGpsSupplierPicDto();
        else this.rowdata = rowdata;
        this._isSendEmail
isActive = (this.rowdata.isSendEmail
isActive == "N")? false: true;
        this.active = true;
        this.modal.show();
    } 
    changeActive(event){
        this._isSendEmail
isActive = event.target.checked;
    }
    save(): void {
    this.saving = true; 
    this.rowdata.isSendEmail
isActive = (this._isSendEmail
isActive == true) ? 'Y' : 'N'
    this._mstwptGpsSupplierPicService.createOrEdit(this.rowdata)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5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6" t="str">
        <f>B.Frontend!N10</f>
        <v>import {NgModule} from '@angular/core';
import {AppSharedModule} from '@app/shared/app-shared.module';
import { GpsSupplierPicRoutingModule } from './gpssupplierpic-routing.module';
import { GpsSupplierPicComponent } from './gpssupplierpic.component';
import { CreateOrEditGpsSupplierPicModalComponent } from './create-or-edit-gpssupplierpic-modal.component';
@NgModule({
    declarations: [
       GpsSupplierPicComponent, 
        CreateOrEditGpsSupplierPicModalComponent
    ],
    imports: [
        AppSharedModule, GpsSupplierPicRoutingModule]
})
export class GpsSupplierPicModule {}</v>
      </c>
      <c r="J75" s="46" t="str">
        <f>B.Frontend!O10</f>
        <v>import {NgModule} from '@angular/core';
import {RouterModule, Routes} from '@angular/router';
import { GpsSupplierPicComponent } from './gpssupplierpic.component';
const routes: Routes = [{
    path: '',
    component: GpsSupplierPicComponent,
    pathMatch: 'full'
}];
@NgModule({
    imports: [RouterModule.forChild(routes)],
    exports: [RouterModule],
})
export class GpsSupplierPicRoutingModule {}</v>
      </c>
      <c r="K75" s="46" t="str">
        <f>B.Frontend!P10</f>
        <v xml:space="preserve"> new AppMenuItem("GpsSupplierPic", "Pages.Master.Inv.GpsSupplierPic", "flaticon-book",   "/app/main/master/inv/gpssupplierpic"),</v>
      </c>
      <c r="L75" s="47" t="str">
        <f>B.Frontend!Q10</f>
        <v>{
    path: 'master/inv/gpssupplierpic',
    loadChildren: () =&gt; import('./master/inv/gpssupplierpic/gpssupplierpic.module').then(m =&gt; m.GpsSupplierPicModule),
    data: { permission: 'Pages.Master.Inv.GpsSupplierPic' }
},</v>
      </c>
      <c r="M75" s="45" t="str">
        <f>B.Frontend!R10</f>
        <v>ApiServiceProxies.MstInvGpsSupplierPicServiceProxy,</v>
      </c>
    </row>
    <row r="77" spans="2:14" x14ac:dyDescent="0.25">
      <c r="B77" s="1" t="s">
        <v>71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W17"/>
  <sheetViews>
    <sheetView topLeftCell="A13" workbookViewId="0">
      <pane xSplit="1" topLeftCell="B1" activePane="topRight" state="frozen"/>
      <selection pane="topRight" activeCell="B6" sqref="B6"/>
    </sheetView>
  </sheetViews>
  <sheetFormatPr defaultColWidth="9.140625" defaultRowHeight="15" x14ac:dyDescent="0.25"/>
  <cols>
    <col min="1" max="1" width="20.85546875" style="7" customWidth="1"/>
    <col min="2" max="2" width="20.42578125" style="8" customWidth="1"/>
    <col min="3" max="3" width="19.42578125" style="7" customWidth="1"/>
    <col min="4" max="4" width="23.42578125" style="7" customWidth="1"/>
    <col min="5" max="5" width="14.42578125" style="7" customWidth="1"/>
    <col min="6" max="6" width="14.85546875" style="7" customWidth="1"/>
    <col min="7" max="7" width="17.28515625" style="7" bestFit="1" customWidth="1"/>
    <col min="8" max="8" width="15" style="7" customWidth="1"/>
    <col min="9" max="9" width="16" style="7" customWidth="1"/>
    <col min="10" max="10" width="15.85546875" style="7" customWidth="1"/>
    <col min="11" max="11" width="16" style="7" customWidth="1"/>
    <col min="12" max="12" width="16.7109375" style="7" customWidth="1"/>
    <col min="13" max="13" width="17.42578125" style="7" customWidth="1"/>
    <col min="14" max="14" width="16.140625" style="7" customWidth="1"/>
    <col min="15" max="15" width="14.7109375" style="7" customWidth="1"/>
    <col min="16" max="16" width="16" style="7" customWidth="1"/>
    <col min="17" max="17" width="15.7109375" style="7" customWidth="1"/>
    <col min="18" max="18" width="19.42578125" style="7" customWidth="1"/>
    <col min="19" max="19" width="20.42578125" style="7" customWidth="1"/>
    <col min="20" max="20" width="17" style="7" customWidth="1"/>
    <col min="21" max="21" width="14" style="7" customWidth="1"/>
    <col min="22" max="22" width="15.140625" style="7" customWidth="1"/>
    <col min="23" max="23" width="27.85546875" style="8" customWidth="1"/>
    <col min="24" max="16384" width="9.140625" style="7"/>
  </cols>
  <sheetData>
    <row r="1" spans="1:23" s="10" customFormat="1" ht="14.25" customHeight="1" x14ac:dyDescent="0.25">
      <c r="A1" s="1" t="s">
        <v>11</v>
      </c>
      <c r="B1" s="9" t="s">
        <v>67</v>
      </c>
      <c r="C1" s="9" t="s">
        <v>50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vovina.Master.Inv.Dto;</v>
      </c>
      <c r="E1" s="9" t="s">
        <v>261</v>
      </c>
      <c r="F1" s="10" t="s">
        <v>234</v>
      </c>
      <c r="H1" s="10" t="s">
        <v>235</v>
      </c>
      <c r="J1" s="10" t="s">
        <v>236</v>
      </c>
      <c r="L1" s="10" t="s">
        <v>237</v>
      </c>
      <c r="M1" s="10" t="s">
        <v>238</v>
      </c>
      <c r="N1" s="10" t="s">
        <v>239</v>
      </c>
      <c r="O1" s="10" t="s">
        <v>240</v>
      </c>
      <c r="T1" s="9" t="s">
        <v>253</v>
      </c>
      <c r="U1" s="9" t="s">
        <v>225</v>
      </c>
      <c r="W1" s="9"/>
    </row>
    <row r="2" spans="1:23" s="10" customFormat="1" x14ac:dyDescent="0.25">
      <c r="A2" s="1" t="s">
        <v>12</v>
      </c>
      <c r="B2" s="27" t="s">
        <v>366</v>
      </c>
      <c r="C2" s="13" t="s">
        <v>37</v>
      </c>
      <c r="D2" s="13" t="s">
        <v>38</v>
      </c>
      <c r="E2" s="13" t="s">
        <v>39</v>
      </c>
      <c r="F2" s="13" t="s">
        <v>47</v>
      </c>
      <c r="G2" s="13" t="s">
        <v>45</v>
      </c>
      <c r="H2" s="13" t="s">
        <v>48</v>
      </c>
      <c r="I2" s="13" t="s">
        <v>42</v>
      </c>
      <c r="J2" s="13" t="s">
        <v>49</v>
      </c>
      <c r="K2" s="13" t="s">
        <v>51</v>
      </c>
      <c r="L2" s="13" t="s">
        <v>58</v>
      </c>
      <c r="M2" s="13" t="s">
        <v>57</v>
      </c>
      <c r="N2" s="13" t="s">
        <v>61</v>
      </c>
      <c r="O2" s="13" t="s">
        <v>81</v>
      </c>
      <c r="T2" s="10" t="s">
        <v>241</v>
      </c>
      <c r="V2" s="10" t="s">
        <v>242</v>
      </c>
      <c r="W2" s="9" t="s">
        <v>252</v>
      </c>
    </row>
    <row r="3" spans="1:23" s="10" customFormat="1" ht="33" customHeight="1" x14ac:dyDescent="0.25">
      <c r="A3" s="1" t="s">
        <v>5</v>
      </c>
      <c r="B3" s="27" t="s">
        <v>367</v>
      </c>
      <c r="C3" s="9" t="s">
        <v>40</v>
      </c>
      <c r="D3" s="9" t="s">
        <v>41</v>
      </c>
      <c r="E3" s="9" t="s">
        <v>36</v>
      </c>
      <c r="F3" s="10" t="str">
        <f>"J"&amp;COUNTA($A:$A)</f>
        <v>J15</v>
      </c>
      <c r="G3" s="4" t="s">
        <v>53</v>
      </c>
      <c r="H3" s="9" t="str">
        <f>"I"&amp;COUNTA($A:$A)</f>
        <v>I15</v>
      </c>
      <c r="I3" s="9" t="str">
        <f>REPT(CHAR(9),2)&amp;"[Required]"&amp;"
"</f>
        <v xml:space="preserve">		[Required]
</v>
      </c>
      <c r="J3" s="10" t="str">
        <f>"L"&amp;COUNTA($A:$A)</f>
        <v>L15</v>
      </c>
      <c r="K3" s="5" t="s">
        <v>52</v>
      </c>
      <c r="L3" s="10" t="str">
        <f>"M"&amp;COUNTA($A:$A)</f>
        <v>M15</v>
      </c>
      <c r="M3" s="10" t="str">
        <f>"N"&amp;COUNTA($A:$A)</f>
        <v>N15</v>
      </c>
      <c r="N3" s="10" t="str">
        <f>"O"&amp;COUNTA($A:$A)</f>
        <v>O15</v>
      </c>
      <c r="O3" s="10" t="str">
        <f>"P"&amp;COUNTA($A:$A)</f>
        <v>P15</v>
      </c>
      <c r="Q3" s="10" t="str">
        <f>RIGHT(B2,(LEN(B2)-FIND(".",B2,1)))</f>
        <v>Inv</v>
      </c>
      <c r="R3" s="29" t="str">
        <f>REPT(CHAR(9),1)&amp;"public class "&amp;B3&amp;"ExportInput"&amp;C3</f>
        <v xml:space="preserve">	public class MstInvGpsSupplierPicExportInput{
</v>
      </c>
      <c r="S3" s="10" t="str">
        <f>"namespace "&amp;$B$6&amp;".Exporting
"&amp;$C$3</f>
        <v xml:space="preserve">namespace prod.Master.Inv.Exporting
{
</v>
      </c>
      <c r="T3" s="10" t="str">
        <f>"T"&amp;COUNTA($A:$A)</f>
        <v>T15</v>
      </c>
      <c r="V3" s="10" t="str">
        <f>"V"&amp;COUNTA($A:$A)</f>
        <v>V15</v>
      </c>
      <c r="W3" s="9" t="str">
        <f>"W"&amp;COUNTA($A:$A)</f>
        <v>W15</v>
      </c>
    </row>
    <row r="4" spans="1:23" s="10" customFormat="1" ht="33" customHeight="1" x14ac:dyDescent="0.25">
      <c r="A4" s="1" t="s">
        <v>232</v>
      </c>
      <c r="B4" s="65" t="s">
        <v>84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25">
      <c r="A5" s="1" t="s">
        <v>233</v>
      </c>
      <c r="B5" s="65" t="s">
        <v>368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4.95" customHeight="1" x14ac:dyDescent="0.25">
      <c r="A6" s="1" t="s">
        <v>6</v>
      </c>
      <c r="B6" s="9" t="str">
        <f>"prod."&amp;B2</f>
        <v>prod.Master.Inv</v>
      </c>
      <c r="C6" s="10" t="str">
        <f>"namespace "&amp;$B$6&amp;"
"&amp;$C$3</f>
        <v xml:space="preserve">namespace prod.Master.Inv
{
</v>
      </c>
      <c r="D6" s="10" t="str">
        <f>REPT(CHAR(9),1)&amp;"public class "&amp;B3&amp;G3&amp;REPT(CHAR(9),1)&amp;"
"&amp;REPT(CHAR(9),1)&amp;C3</f>
        <v xml:space="preserve">	public class MstInvGpsSupplierPic: FullAuditedEntity&lt;long&gt;, IEntity&lt;long&gt;	
	{
</v>
      </c>
      <c r="E6" s="10" t="str">
        <f>REPT(CHAR(9),1)&amp;"public class "&amp;B3&amp;"Consts"&amp;REPT(CHAR(9),1)&amp;"
"&amp;REPT(CHAR(9),1)&amp;C3</f>
        <v xml:space="preserve">	public class MstInvGpsSupplierPicConsts	
	{
</v>
      </c>
      <c r="F6" s="10" t="str">
        <f>REPT(CHAR(9),1)&amp;"public class "&amp;B3&amp;"Dto"&amp;K3&amp;REPT(CHAR(9),1)&amp;"
"&amp;REPT(CHAR(9),1)&amp;C3</f>
        <v xml:space="preserve">	public class MstInvGpsSupplierPicDto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CreateOrEditMstInvGpsSupplierPicDto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GetMstInvGpsSupplierPicInput : PagedAndSortedResultRequestDto	
	{
</v>
      </c>
      <c r="I6" s="10"/>
      <c r="J6" s="1" t="s">
        <v>68</v>
      </c>
      <c r="K6" s="1" t="s">
        <v>62</v>
      </c>
      <c r="L6" s="1" t="s">
        <v>63</v>
      </c>
      <c r="M6" s="1" t="s">
        <v>64</v>
      </c>
      <c r="N6" s="1" t="s">
        <v>231</v>
      </c>
      <c r="O6" s="1" t="s">
        <v>230</v>
      </c>
      <c r="P6" s="1" t="s">
        <v>65</v>
      </c>
      <c r="Q6" s="1" t="s">
        <v>66</v>
      </c>
      <c r="R6" s="1" t="s">
        <v>198</v>
      </c>
      <c r="S6" s="1" t="s">
        <v>200</v>
      </c>
      <c r="T6" s="1" t="s">
        <v>199</v>
      </c>
      <c r="U6" s="1" t="s">
        <v>222</v>
      </c>
      <c r="W6" s="26"/>
    </row>
    <row r="7" spans="1:23" customFormat="1" ht="24.95" customHeight="1" x14ac:dyDescent="0.25">
      <c r="A7" s="1" t="s">
        <v>13</v>
      </c>
      <c r="B7" s="9" t="str">
        <f>B3</f>
        <v>MstInvGpsSupplierPic</v>
      </c>
      <c r="C7" s="10" t="str">
        <f>REPT(CHAR(9),1)&amp;"[Table("""&amp;B7&amp;""")]"&amp;"
"</f>
        <v xml:space="preserve">	[Table("MstInvGpsSupplierPic")]
</v>
      </c>
      <c r="D7" s="10"/>
      <c r="E7" s="10"/>
      <c r="F7" s="10"/>
      <c r="G7" s="10"/>
      <c r="H7" s="10"/>
      <c r="I7" s="10"/>
      <c r="J7" t="str">
        <f ca="1">SUBSTITUTE(SUBSTITUTE((B1&amp;C6&amp;C7&amp;K17&amp;D6&amp;I17&amp;E3&amp;J17&amp;""&amp;REPT(CHAR(9),1)&amp;D3&amp;D3),"WorkingPattern",$Q$3),"Master",$B$4)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prod.Master.Inv
{
	[Table("MstInvGpsSupplierPic")]
	public class MstInvGpsSupplierPic: FullAuditedEntity&lt;long&gt;, IEntity&lt;long&gt;	
	{
		public const int MaxPicNameLength = 40;
		public const int MaxPicTelephoneLength = 100;
		public const int MaxPicEmailLength = 100;
		public const int MaxIsMainPicLength = 50;
		public const int MaxIsSendEmailLength = 1;
		public const int MaxIsActiveLength = 1;
		public virtual long? SupplierId { get; set; }
		[StringLength(MaxPicNameLength)]
		public virtual string PicName { get; set; }
		[StringLength(MaxPicTelephoneLength)]
		public virtual string PicTelephone { get; set; }
		[StringLength(MaxPicEmailLength)]
		public virtual string PicEmail { get; set; }
		[StringLength(MaxIsMainPicLength)]
		public virtual string IsMainPic { get; set; }
		[StringLength(MaxIsSendEmailLength)]
		public virtual string IsSendEmail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DbSet&lt;MstInvGpsSupplierPic&gt; MstInvGpsSupplierPics { get; set; }</v>
      </c>
      <c r="L7" t="str">
        <f ca="1">SUBSTITUTE(SUBSTITUTE((C6&amp;E6&amp;I17&amp;"
"&amp;REPT(CHAR(9),2)&amp;"// Define Store Name: Format SP_ + &lt;Store Name&gt; = &lt;Store Name&gt;
"&amp;E3&amp;REPT(CHAR(9),1)&amp;D3&amp;D3),"WorkingPattern",$Q$3),"Master",$B$4)</f>
        <v xml:space="preserve">namespace prod.Master.Inv
{
	public class MstInvGpsSupplierPicConsts	
	{
		public const int MaxPicNameLength = 40;
		public const int MaxPicTelephoneLength = 100;
		public const int MaxPicEmailLength = 100;
		public const int MaxIsMainPicLength = 50;
		public const int MaxIsSendEmailLength = 1;
		public const int MaxIsActiveLength = 1;
		// Define Store Name: Format SP_ + &lt;Store Name&gt; = &lt;Store Name&gt;
	}
}
</v>
      </c>
      <c r="M7" t="str">
        <f ca="1">SUBSTITUTE(SUBSTITUTE((C1&amp;"namespace "&amp;B6&amp;".Dto"&amp;E3&amp;C3&amp;F6&amp;M17&amp;E3&amp;REPT(CHAR(9),1)&amp;D3&amp;G6&amp;N17&amp;REPT(CHAR(9),1)&amp;D3&amp;H6&amp;O17&amp;"
"&amp;REPT(CHAR(9),1)&amp;D3&amp;D3),"WorkingPattern",$Q$3),"Master",$B$4)</f>
        <v xml:space="preserve">using Abp.Application.Services.Dto;
using System;
using System.ComponentModel.DataAnnotations;
namespace prod.Master.Inv.Dto
{
	public class MstInvGpsSupplierPicDto : EntityDto&lt;long?&gt;	
	{
		public virtual long? SupplierId { get; set; }
		public virtual string PicName { get; set; }
		public virtual string PicTelephone { get; set; }
		public virtual string PicEmail { get; set; }
		public virtual string IsMainPic { get; set; }
		public virtual string IsSendEmail { get; set; }
		public virtual string IsActive { get; set; }
	}
	public class CreateOrEditMstInvGpsSupplierPicDto : EntityDto&lt;long?&gt;	
	{
		public virtual long? SupplierId { get; set; }
		[StringLength(MstInvGpsSupplierPicConsts.MaxPicNameLength)]
		public virtual string PicName { get; set; }
		[StringLength(MstInvGpsSupplierPicConsts.MaxPicTelephoneLength)]
		public virtual string PicTelephone { get; set; }
		[StringLength(MstInvGpsSupplierPicConsts.MaxPicEmailLength)]
		public virtual string PicEmail { get; set; }
		[StringLength(MstInvGpsSupplierPicConsts.MaxIsMainPicLength)]
		public virtual string IsMainPic { get; set; }
		[StringLength(MstInvGpsSupplierPicConsts.MaxIsSendEmailLength)]
		public virtual string IsSendEmail { get; set; }
		[StringLength(MstInvGpsSupplierPicConsts.MaxIsActiveLength)]
		public virtual string IsActive { get; set; }
	}
	public class GetMstInvGpsSupplierPicInput : PagedAndSortedResultRequestDto	
	{
		public virtual string PicName { get; set; }
		public virtual string PicTelephone { get; set; }
		public virtual string PicEmail { get; set; }
		public virtual string IsMainPic { get; set; }
		public virtual string IsSendEmail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perMstInvGpsSupplierPic = PARENTS.CreateChildPermission(AppPermissions.Pages_Master_Inv_GpsSupplierPic, L( "MasterInvGpsSupplierPic"), multiTenancySides: MultiTenancySides.Tenant);
		perMstInvGpsSupplierPic.CreateChildPermission(AppPermissions.Pages_Master_Inv_GpsSupplierPic_CreateEdit, L( "MasterInvGpsSupplierPicCreateEdit"), multiTenancySides: MultiTenancySides.Tenant);
		perMstInvGpsSupplierPic.CreateChildPermission(AppPermissions.Pages_Master_Inv_GpsSupplierPic_Delete, L( "MasterInvGpsSupplierPicDelete"),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Pages_Master_Inv_GpsSupplierPic = "Pages.Master.Inv.GpsSupplierPic";
		public const string Pages_Master_Inv_GpsSupplierPic_CreateEdit = "Pages.Master.Inv.GpsSupplierPic.CreateEdit";
		public const string Pages_Master_Inv_GpsSupplierPic_Delete = "Pages.Master.Inv.GpsSupplierPic.Delete";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vovina.Master.Inv.Dto;
namespace prod.Master.Inv
{
	public interface IMstInvGpsSupplierPicAppService : IApplicationService
	{
		Task&lt;PagedResultDto&lt;MstInvGpsSupplierPicDto&gt;&gt; GetAll(GetMstInvGpsSupplierPicInput input);
		Task CreateOrEdit(CreateOrEditMstInvGpsSupplierPicDto input);
		Task Delete(EntityDto input);
	}
}
</v>
      </c>
      <c r="Q7" t="str">
        <f ca="1">SUBSTITUTE(SUBSTITUTE(SUBSTITUTE(SUBSTITUTE(SUBSTITUTE(SUBSTITUTE(E1,"MstWptCalendar",$B$3),"&lt;PROPERTIES&gt;",P17),"Calendar",$B$5),"WorkingPattern",$Q$3),"Master",$B$4),"&lt;PARAMS_SEARCH&gt;",$W$17)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vovina.Master.Inv.Dto;
using vovina.Master.Inv.Exporting;
namespace vovina.Master.Inv
{
    [AbpAuthorize(AppPermissions.Pages_Master_Inv_GpsSupplierPic)]
    public class MstInvGpsSupplierPicAppService : vovinaAppServiceBase, IMstInvGpsSupplierPicAppService
    {
        private readonly IDapperRepository&lt;MstInvGpsSupplierPic, long&gt; _dapperRepo;
        private readonly IRepository&lt;MstInvGpsSupplierPic, long&gt; _repo;
        private readonly IMstInvGpsSupplierPicExcelExporter _calendarListExcelExporter;
        public MstInvGpsSupplierPicAppService(IRepository&lt;MstInvGpsSupplierPic,long&gt; repo, 
                                         IDapperRepository&lt;MstInvGpsSupplierPic,long&gt; dapperRepo,
                                        IMstInvGpsSupplierPicExcelExporter calendarListExcelExporter
            )
        {
            _repo = repo;
            _dapperRepo = dapperRepo;
            _calendarListExcelExporter = calendarListExcelExporter;
        }
        [AbpAuthorize(AppPermissions.Pages_Master_Inv_GpsSupplierPic_CreateEdit)]
        public async Task CreateOrEdit(CreateOrEditMstInvGpsSupplierPicDto input)
        {
            if (input.Id == null) await Create(input);
            else await Update(input);
        }
        //CREATE
        private async Task Create(CreateOrEditMstInvGpsSupplierPicDto input)
        {          
            var mainObj = ObjectMapper.Map&lt;MstInvGpsSupplierPic&gt;(input);
            await CurrentUnitOfWork.GetDbContext&lt;vovinaDbContext&gt;().AddAsync(mainObj);
        }
        // EDIT
        private async Task Update(CreateOrEditMstInvGpsSupplierPicDto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[AbpAuthorize(AppPermissions.Pages_Master_Inv_GpsSupplierPic_Delete)]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Task&lt;PagedResultDto&lt;MstInvGpsSupplierPicDto&gt;&gt; GetAll(GetMstInvGpsSupplierPicInput input)
        {
            var filtered = _repo.GetAll()
				.WhereIf(!string.IsNullOrWhiteSpace(input.PicName), e =&gt; e.PicName.Contains(input.PicName))
				.WhereIf(!string.IsNullOrWhiteSpace(input.PicTelephone), e =&gt; e.PicTelephone.Contains(input.PicTelephone))
				.WhereIf(!string.IsNullOrWhiteSpace(input.PicEmail), e =&gt; e.PicEmail.Contains(input.PicEmail))
				.WhereIf(!string.IsNullOrWhiteSpace(input.IsMainPic), e =&gt; e.IsMainPic.Contains(input.IsMainPic))
				.WhereIf(!string.IsNullOrWhiteSpace(input.IsSendEmail), e =&gt; e.IsSendEmail.Contains(input.IsSendEmail))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MstInvGpsSupplierPicDto
                        {
							Id = o.Id,
							SupplierId = o.SupplierId,
							PicName = o.PicName,
							PicTelephone = o.PicTelephone,
							PicEmail = o.PicEmail,
							IsMainPic = o.IsMainPic,
							IsSendEmail = o.IsSendEmail,
							IsActive = o.IsActive,
                        };
            var totalCount = await filtered.CountAsync();
			var paged = system.PageBy(input);
            return new PagedResultDto&lt;MstInvGpsSupplierPicDto&gt;(
                totalCount,
                 await paged.ToListAsync()
            );
        }
        public async Task&lt;FileDto&gt; GetGpsSupplierPicToExcel(MstInvGpsSupplierPicExportInput input)
        {
            var query = from o in _repo.GetAll()
                        select new MstInvGpsSupplierPicDto
                        {
							Id = o.Id,
							SupplierId = o.SupplierId,
							PicName = o.PicName,
							PicTelephone = o.PicTelephone,
							PicEmail = o.PicEmail,
							IsMainPic = o.IsMainPic,
							IsSendEmail = o.IsSendEmail,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_dapperRepo.ExecuteAsync(MstInvGpsSupplierPicConsts.SP_MST_WPT_CALENDAR_GENERATE);
       // }
    }
}</v>
      </c>
      <c r="R7" t="str">
        <f ca="1">SUBSTITUTE(SUBSTITUTE((C1&amp;"namespace "&amp;B6&amp;".Dto"&amp;E3&amp;C3&amp;R3&amp;M17&amp;E3&amp;REPT(CHAR(9),1)&amp;D3&amp;D3),"WorkingPattern",$Q$3),"Master",$B$4)</f>
        <v xml:space="preserve">using Abp.Application.Services.Dto;
using System;
using System.ComponentModel.DataAnnotations;
namespace prod.Master.Inv.Dto
{
	public class MstInvGpsSupplierPicExportInput{
		public virtual long? SupplierId { get; set; }
		public virtual string PicName { get; set; }
		public virtual string PicTelephone { get; set; }
		public virtual string PicEmail { get; set; }
		public virtual string IsMainPic { get; set; }
		public virtual string IsSendEmail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vovina.Master.Inv.Dto;
namespace prod.Master.Inv.Exporting
{
	public interface IMstInvGpsSupplierPicExcelExporter : IApplicationService
	{
		FileDto ExportToFile(List&lt;MstInvGpsSupplierPicDto&gt; mstinvgpssupplierpic);
	}
}
</v>
      </c>
      <c r="T7" s="26" t="str">
        <f ca="1">SUBSTITUTE(SUBSTITUTE(SUBSTITUTE(SUBSTITUTE(SUBSTITUTE(SUBSTITUTE(SUBSTITUTE(T1,"MstWptCalendar",$B$3),"&lt;PROPERTIES1&gt;",V17),"&lt;PROPERTIES&gt;",T17),"Calendar",$B$5),"calendar",LOWER(B5)),"WorkingPattern",$Q$3),"Master",$B$4)</f>
        <v>using System.Collections.Generic;
using vovina.DataExporting.Excel.NPOI;
using vovina.Dto;
using vovina.Master.Inv.Exporting;
using vovina.Master.Inv.Dto;
using vovina.Storage;
using vovina.Master.Inv.Dto;
namespace vovina.Master.Inv.Exporting
{
    public class MstInvGpsSupplierPicExcelExporter : NpoiExcelExporterBase, IMstInvGpsSupplierPicExcelExporter
    {
        public MstInvGpsSupplierPicExcelExporter(ITempFileCacheManager tempFileCacheManager) : base(tempFileCacheManager) { }
        public FileDto ExportToFile(List&lt;MstInvGpsSupplierPicDto&gt; gpssupplierpic)
        {
            return CreateExcelPackage(
				"MasterInvGpsSupplierPic.xlsx",
				excelPackage =&gt;
				 {
					var sheet = excelPackage.CreateSheet("GpsSupplierPic");
					AddHeader(
								sheet,
								("SupplierId"),
								("PicName"),
								("PicTelephone"),
								("PicEmail"),
								("IsMainPic"),
								("IsSendEmail"),
								("IsActive"),
							   );
					AddObjects(
						 sheet, 1, gpssupplierpic,                                       
								_ =&gt; _.SupplierId,
								_ =&gt; _.PicName,
								_ =&gt; _.PicTelephone,
								_ =&gt; _.PicEmail,
								_ =&gt; _.IsMainPic,
								_ =&gt; _.IsSendEmail,
								_ =&gt; _.IsActive,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configuration.CreateMap&lt;MstInvGpsSupplierPicDto, MstInvGpsSupplierPic&gt;();
  configuration.CreateMap&lt;MstInvGpsSupplierPic, MstInvGpsSupplierPicDto&gt;();
  configuration.CreateMap&lt;CreateOrEditMstInvGpsSupplierPicDto, MstInvGpsSupplierPic&gt;();</v>
      </c>
      <c r="V7" s="26"/>
      <c r="W7" s="26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34</v>
      </c>
      <c r="F8" s="2" t="s">
        <v>55</v>
      </c>
      <c r="G8" s="2" t="s">
        <v>9</v>
      </c>
      <c r="H8" s="2" t="s">
        <v>15</v>
      </c>
      <c r="I8" s="2" t="s">
        <v>46</v>
      </c>
      <c r="J8" s="2" t="s">
        <v>35</v>
      </c>
      <c r="K8" s="2" t="s">
        <v>43</v>
      </c>
      <c r="L8" s="2" t="s">
        <v>44</v>
      </c>
      <c r="M8" s="2" t="s">
        <v>59</v>
      </c>
      <c r="N8" s="2" t="s">
        <v>54</v>
      </c>
      <c r="O8" s="2" t="s">
        <v>60</v>
      </c>
      <c r="P8" s="18" t="s">
        <v>80</v>
      </c>
      <c r="W8" s="3"/>
    </row>
    <row r="9" spans="1:23" customFormat="1" ht="18.75" customHeight="1" x14ac:dyDescent="0.25">
      <c r="A9" s="28" t="s">
        <v>356</v>
      </c>
      <c r="B9" s="28" t="s">
        <v>0</v>
      </c>
      <c r="C9" t="s">
        <v>1</v>
      </c>
      <c r="D9" t="str">
        <f t="shared" ref="D9" si="0">SUBSTITUTE(PROPER(A9),"_","")</f>
        <v>SupplierId</v>
      </c>
      <c r="E9" t="str">
        <f t="shared" ref="E9" si="1">IFERROR(LEFT(B9, FIND("(",B9)-1),B9)</f>
        <v>bigint</v>
      </c>
      <c r="F9" s="6"/>
      <c r="G9" t="str">
        <f t="shared" ref="G9" si="2">IFERROR(MID(B9,FIND("(",B9) +1, FIND(")",B9) - FIND("(",B9) - 1),"")</f>
        <v/>
      </c>
      <c r="H9" t="str">
        <f>+VLOOKUP(E9,'Data Type Mapping'!A:B,2,)</f>
        <v>long?</v>
      </c>
      <c r="I9" t="str">
        <f t="shared" ref="I9" si="3">IF(H9="string",REPT(CHAR(9),2)&amp;"public const int Max"&amp;D9&amp;"Length = "&amp;G9&amp;";"&amp;$E$3,"" )</f>
        <v/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public virtual long? SupplierId { get; set; }
</v>
      </c>
      <c r="K9" s="6"/>
      <c r="L9" t="str">
        <f t="shared" ref="L9" si="5">IF(K9="","",REPT(CHAR(9),1)&amp;"[Index(nameof("&amp;IF(D9="","",""&amp;D9)&amp;")"&amp;", Name="&amp;"""IX_"&amp;$B$7&amp;"_"&amp;D9&amp;""")]")</f>
        <v/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long? SupplierId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public virtual long? SupplierId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/>
      </c>
      <c r="P9" t="str">
        <f t="shared" ref="P9" si="9">REPT(CHAR(9),7)&amp;D9&amp;" = o." &amp;D9 &amp;","</f>
        <v xml:space="preserve">							SupplierId = o.SupplierId,</v>
      </c>
      <c r="T9" s="63" t="str">
        <f t="shared" ref="T9" si="10">REPT(CHAR(9),8)&amp;"("""&amp;D9&amp;"""),"</f>
        <v xml:space="preserve">								("SupplierId"),</v>
      </c>
      <c r="V9" s="64" t="str">
        <f t="shared" ref="V9" si="11">REPT(CHAR(9),8)&amp;"_ =&gt; _."&amp;D9&amp;","</f>
        <v xml:space="preserve">								_ =&gt; _.SupplierId,</v>
      </c>
      <c r="W9" s="63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/>
      </c>
    </row>
    <row r="10" spans="1:23" customFormat="1" ht="18.75" customHeight="1" x14ac:dyDescent="0.25">
      <c r="A10" s="28" t="s">
        <v>357</v>
      </c>
      <c r="B10" s="28" t="s">
        <v>358</v>
      </c>
      <c r="C10" t="s">
        <v>1</v>
      </c>
      <c r="D10" t="str">
        <f t="shared" ref="D10:D11" si="13">SUBSTITUTE(PROPER(A10),"_","")</f>
        <v>PicName</v>
      </c>
      <c r="E10" t="str">
        <f t="shared" ref="E10:E11" si="14">IFERROR(LEFT(B10, FIND("(",B10)-1),B10)</f>
        <v>nvarchar</v>
      </c>
      <c r="F10" s="6"/>
      <c r="G10" t="str">
        <f t="shared" ref="G10:G11" si="15">IFERROR(MID(B10,FIND("(",B10) +1, FIND(")",B10) - FIND("(",B10) - 1),"")</f>
        <v>40</v>
      </c>
      <c r="H10" t="str">
        <f>+VLOOKUP(E10,'Data Type Mapping'!A:B,2,)</f>
        <v>string</v>
      </c>
      <c r="I10" t="str">
        <f t="shared" ref="I10:I11" si="16">IF(H10="string",REPT(CHAR(9),2)&amp;"public const int Max"&amp;D10&amp;"Length = "&amp;G10&amp;";"&amp;$E$3,"" )</f>
        <v xml:space="preserve">		public const int MaxPicNameLength = 40;
</v>
      </c>
      <c r="J10" t="str">
        <f t="shared" ref="J10:J11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[StringLength(MaxPicNameLength)]
		public virtual string PicName { get; set; }
</v>
      </c>
      <c r="K10" s="6"/>
      <c r="L10" t="str">
        <f t="shared" ref="L10:L11" si="18">IF(K10="","",REPT(CHAR(9),1)&amp;"[Index(nameof("&amp;IF(D10="","",""&amp;D10)&amp;")"&amp;", Name="&amp;"""IX_"&amp;$B$7&amp;"_"&amp;D10&amp;""")]")</f>
        <v/>
      </c>
      <c r="M10" t="str">
        <f t="shared" ref="M10:M11" si="19">REPT(CHAR(9),2)&amp;"public virtual "&amp;IF(OR(H10="DateTime",H10="TimeSpan"),H10&amp;"?",H10)&amp;IF(C10="?","? "," ")&amp;D10&amp;" { get; set; }" &amp; "
"</f>
        <v xml:space="preserve">		public virtual string PicName { get; set; }
</v>
      </c>
      <c r="N10" t="str">
        <f t="shared" ref="N10:N11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[StringLength(MstInvGpsSupplierPicConsts.MaxPicNameLength)]
		public virtual string PicName { get; set; }
</v>
      </c>
      <c r="O10" t="str">
        <f t="shared" ref="O10:O11" si="21">IF(OR(H10="string",H10="DateTime",H10="int"),REPT(CHAR(9),2)&amp;"public virtual "&amp;IF(OR(H10="DateTime",H10="TimeSpan"),H10&amp;"?",H10)&amp;IF(C10="?","? "," ")&amp;D10&amp;" { get; set; }"&amp;$E$3,"")</f>
        <v xml:space="preserve">		public virtual string PicName { get; set; }
</v>
      </c>
      <c r="P10" t="str">
        <f t="shared" ref="P10:P11" si="22">REPT(CHAR(9),7)&amp;D10&amp;" = o." &amp;D10 &amp;","</f>
        <v xml:space="preserve">							PicName = o.PicName,</v>
      </c>
      <c r="T10" s="63" t="str">
        <f t="shared" ref="T10:T11" si="23">REPT(CHAR(9),8)&amp;"("""&amp;D10&amp;"""),"</f>
        <v xml:space="preserve">								("PicName"),</v>
      </c>
      <c r="V10" s="64" t="str">
        <f t="shared" ref="V10:V11" si="24">REPT(CHAR(9),8)&amp;"_ =&gt; _."&amp;D10&amp;","</f>
        <v xml:space="preserve">								_ =&gt; _.PicName,</v>
      </c>
      <c r="W10" s="63" t="str">
        <f t="shared" ref="W10:W11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.WhereIf(!string.IsNullOrWhiteSpace(input.PicName), e =&gt; e.PicName.Contains(input.PicName))</v>
      </c>
    </row>
    <row r="11" spans="1:23" customFormat="1" ht="18.75" customHeight="1" x14ac:dyDescent="0.25">
      <c r="A11" s="28" t="s">
        <v>359</v>
      </c>
      <c r="B11" s="28" t="s">
        <v>360</v>
      </c>
      <c r="C11" t="s">
        <v>1</v>
      </c>
      <c r="D11" t="str">
        <f t="shared" si="13"/>
        <v>PicTelephone</v>
      </c>
      <c r="E11" t="str">
        <f t="shared" si="14"/>
        <v>nvarchar</v>
      </c>
      <c r="F11" s="6"/>
      <c r="G11" t="str">
        <f t="shared" si="15"/>
        <v>100</v>
      </c>
      <c r="H11" t="str">
        <f>+VLOOKUP(E11,'Data Type Mapping'!A:B,2,)</f>
        <v>string</v>
      </c>
      <c r="I11" t="str">
        <f t="shared" si="16"/>
        <v xml:space="preserve">		public const int MaxPicTelephoneLength = 100;
</v>
      </c>
      <c r="J11" t="str">
        <f t="shared" si="17"/>
        <v xml:space="preserve">		[StringLength(MaxPicTelephoneLength)]
		public virtual string PicTelephone { get; set; }
</v>
      </c>
      <c r="K11" s="6"/>
      <c r="L11" t="str">
        <f t="shared" si="18"/>
        <v/>
      </c>
      <c r="M11" t="str">
        <f t="shared" si="19"/>
        <v xml:space="preserve">		public virtual string PicTelephone { get; set; }
</v>
      </c>
      <c r="N11" t="str">
        <f t="shared" si="20"/>
        <v xml:space="preserve">		[StringLength(MstInvGpsSupplierPicConsts.MaxPicTelephoneLength)]
		public virtual string PicTelephone { get; set; }
</v>
      </c>
      <c r="O11" t="str">
        <f t="shared" si="21"/>
        <v xml:space="preserve">		public virtual string PicTelephone { get; set; }
</v>
      </c>
      <c r="P11" t="str">
        <f t="shared" si="22"/>
        <v xml:space="preserve">							PicTelephone = o.PicTelephone,</v>
      </c>
      <c r="T11" s="63" t="str">
        <f t="shared" si="23"/>
        <v xml:space="preserve">								("PicTelephone"),</v>
      </c>
      <c r="V11" s="64" t="str">
        <f t="shared" si="24"/>
        <v xml:space="preserve">								_ =&gt; _.PicTelephone,</v>
      </c>
      <c r="W11" s="63" t="str">
        <f t="shared" si="25"/>
        <v xml:space="preserve">				.WhereIf(!string.IsNullOrWhiteSpace(input.PicTelephone), e =&gt; e.PicTelephone.Contains(input.PicTelephone))</v>
      </c>
    </row>
    <row r="12" spans="1:23" customFormat="1" ht="18.75" customHeight="1" x14ac:dyDescent="0.25">
      <c r="A12" s="28" t="s">
        <v>361</v>
      </c>
      <c r="B12" s="28" t="s">
        <v>360</v>
      </c>
      <c r="C12" t="s">
        <v>1</v>
      </c>
      <c r="D12" t="str">
        <f t="shared" ref="D12:D13" si="26">SUBSTITUTE(PROPER(A12),"_","")</f>
        <v>PicEmail</v>
      </c>
      <c r="E12" t="str">
        <f t="shared" ref="E12:E13" si="27">IFERROR(LEFT(B12, FIND("(",B12)-1),B12)</f>
        <v>nvarchar</v>
      </c>
      <c r="F12" s="6"/>
      <c r="G12" t="str">
        <f t="shared" ref="G12:G13" si="28">IFERROR(MID(B12,FIND("(",B12) +1, FIND(")",B12) - FIND("(",B12) - 1),"")</f>
        <v>100</v>
      </c>
      <c r="H12" t="str">
        <f>+VLOOKUP(E12,'Data Type Mapping'!A:B,2,)</f>
        <v>string</v>
      </c>
      <c r="I12" t="str">
        <f t="shared" ref="I12:I13" si="29">IF(H12="string",REPT(CHAR(9),2)&amp;"public const int Max"&amp;D12&amp;"Length = "&amp;G12&amp;";"&amp;$E$3,"" )</f>
        <v xml:space="preserve">		public const int MaxPicEmailLength = 100;
</v>
      </c>
      <c r="J12" t="str">
        <f t="shared" ref="J12:J13" si="30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[StringLength(MaxPicEmailLength)]
		public virtual string PicEmail { get; set; }
</v>
      </c>
      <c r="K12" s="6"/>
      <c r="L12" t="str">
        <f t="shared" ref="L12:L13" si="31">IF(K12="","",REPT(CHAR(9),1)&amp;"[Index(nameof("&amp;IF(D12="","",""&amp;D12)&amp;")"&amp;", Name="&amp;"""IX_"&amp;$B$7&amp;"_"&amp;D12&amp;""")]")</f>
        <v/>
      </c>
      <c r="M12" t="str">
        <f t="shared" ref="M12:M13" si="32">REPT(CHAR(9),2)&amp;"public virtual "&amp;IF(OR(H12="DateTime",H12="TimeSpan"),H12&amp;"?",H12)&amp;IF(C12="?","? "," ")&amp;D12&amp;" { get; set; }" &amp; "
"</f>
        <v xml:space="preserve">		public virtual string PicEmail { get; set; }
</v>
      </c>
      <c r="N12" t="str">
        <f t="shared" ref="N12:N13" si="33">IF(C12="Checked","",$I$3)&amp;IF(H12="string",REPT(CHAR(9),2)&amp;"[StringLength("&amp;$B$3&amp;"Consts.Max"&amp;D12&amp;"Length"&amp;")]"&amp;$E$3,"")&amp;REPT(CHAR(9),2)&amp;"public virtual "&amp;IF(OR(H12="DateTime",H12="TimeSpan"),H12&amp;"?",H12)&amp;IF(C12="?","? "," ")&amp;D12&amp;" { get; set; }" &amp; "
"</f>
        <v xml:space="preserve">		[StringLength(MstInvGpsSupplierPicConsts.MaxPicEmailLength)]
		public virtual string PicEmail { get; set; }
</v>
      </c>
      <c r="O12" t="str">
        <f t="shared" ref="O12:O13" si="34">IF(OR(H12="string",H12="DateTime",H12="int"),REPT(CHAR(9),2)&amp;"public virtual "&amp;IF(OR(H12="DateTime",H12="TimeSpan"),H12&amp;"?",H12)&amp;IF(C12="?","? "," ")&amp;D12&amp;" { get; set; }"&amp;$E$3,"")</f>
        <v xml:space="preserve">		public virtual string PicEmail { get; set; }
</v>
      </c>
      <c r="P12" t="str">
        <f t="shared" ref="P12:P13" si="35">REPT(CHAR(9),7)&amp;D12&amp;" = o." &amp;D12 &amp;","</f>
        <v xml:space="preserve">							PicEmail = o.PicEmail,</v>
      </c>
      <c r="T12" s="63" t="str">
        <f t="shared" ref="T12:T13" si="36">REPT(CHAR(9),8)&amp;"("""&amp;D12&amp;"""),"</f>
        <v xml:space="preserve">								("PicEmail"),</v>
      </c>
      <c r="V12" s="64" t="str">
        <f t="shared" ref="V12:V13" si="37">REPT(CHAR(9),8)&amp;"_ =&gt; _."&amp;D12&amp;","</f>
        <v xml:space="preserve">								_ =&gt; _.PicEmail,</v>
      </c>
      <c r="W12" s="63" t="str">
        <f t="shared" ref="W12:W13" si="38">IF(H12="string",REPT(CHAR(9),4)&amp;".WhereIf(!string.IsNullOrWhiteSpace(input."&amp;D12&amp;"), e =&gt; e."&amp;D12&amp;".Contains(input."&amp;D12&amp;"))",IF(H12="DateTime",REPT(CHAR(9),4)&amp;".WhereIf(input."&amp;D12&amp;".HasValue, t =&gt; t."&amp;D12&amp;" == input."&amp;D12&amp;".Value)",""))</f>
        <v xml:space="preserve">				.WhereIf(!string.IsNullOrWhiteSpace(input.PicEmail), e =&gt; e.PicEmail.Contains(input.PicEmail))</v>
      </c>
    </row>
    <row r="13" spans="1:23" customFormat="1" ht="18.75" customHeight="1" x14ac:dyDescent="0.25">
      <c r="A13" s="28" t="s">
        <v>362</v>
      </c>
      <c r="B13" s="28" t="s">
        <v>363</v>
      </c>
      <c r="C13" t="s">
        <v>1</v>
      </c>
      <c r="D13" t="str">
        <f t="shared" si="26"/>
        <v>IsMainPic</v>
      </c>
      <c r="E13" t="str">
        <f t="shared" si="27"/>
        <v>varchar</v>
      </c>
      <c r="F13" s="6"/>
      <c r="G13" t="str">
        <f t="shared" si="28"/>
        <v>50</v>
      </c>
      <c r="H13" t="str">
        <f>+VLOOKUP(E13,'Data Type Mapping'!A:B,2,)</f>
        <v>string</v>
      </c>
      <c r="I13" t="str">
        <f t="shared" si="29"/>
        <v xml:space="preserve">		public const int MaxIsMainPicLength = 50;
</v>
      </c>
      <c r="J13" t="str">
        <f t="shared" si="30"/>
        <v xml:space="preserve">		[StringLength(MaxIsMainPicLength)]
		public virtual string IsMainPic { get; set; }
</v>
      </c>
      <c r="K13" s="6"/>
      <c r="L13" t="str">
        <f t="shared" si="31"/>
        <v/>
      </c>
      <c r="M13" t="str">
        <f t="shared" si="32"/>
        <v xml:space="preserve">		public virtual string IsMainPic { get; set; }
</v>
      </c>
      <c r="N13" t="str">
        <f t="shared" si="33"/>
        <v xml:space="preserve">		[StringLength(MstInvGpsSupplierPicConsts.MaxIsMainPicLength)]
		public virtual string IsMainPic { get; set; }
</v>
      </c>
      <c r="O13" t="str">
        <f t="shared" si="34"/>
        <v xml:space="preserve">		public virtual string IsMainPic { get; set; }
</v>
      </c>
      <c r="P13" t="str">
        <f t="shared" si="35"/>
        <v xml:space="preserve">							IsMainPic = o.IsMainPic,</v>
      </c>
      <c r="T13" s="63" t="str">
        <f t="shared" si="36"/>
        <v xml:space="preserve">								("IsMainPic"),</v>
      </c>
      <c r="V13" s="64" t="str">
        <f t="shared" si="37"/>
        <v xml:space="preserve">								_ =&gt; _.IsMainPic,</v>
      </c>
      <c r="W13" s="63" t="str">
        <f t="shared" si="38"/>
        <v xml:space="preserve">				.WhereIf(!string.IsNullOrWhiteSpace(input.IsMainPic), e =&gt; e.IsMainPic.Contains(input.IsMainPic))</v>
      </c>
    </row>
    <row r="14" spans="1:23" customFormat="1" ht="18.75" customHeight="1" x14ac:dyDescent="0.25">
      <c r="A14" s="28" t="s">
        <v>365</v>
      </c>
      <c r="B14" s="28" t="s">
        <v>364</v>
      </c>
      <c r="C14" t="s">
        <v>1</v>
      </c>
      <c r="D14" t="str">
        <f t="shared" ref="D14" si="39">SUBSTITUTE(PROPER(A14),"_","")</f>
        <v>IsSendEmail</v>
      </c>
      <c r="E14" t="str">
        <f t="shared" ref="E14" si="40">IFERROR(LEFT(B14, FIND("(",B14)-1),B14)</f>
        <v>varchar</v>
      </c>
      <c r="F14" s="6"/>
      <c r="G14" t="str">
        <f t="shared" ref="G14" si="41">IFERROR(MID(B14,FIND("(",B14) +1, FIND(")",B14) - FIND("(",B14) - 1),"")</f>
        <v>1</v>
      </c>
      <c r="H14" t="str">
        <f>+VLOOKUP(E14,'Data Type Mapping'!A:B,2,)</f>
        <v>string</v>
      </c>
      <c r="I14" t="str">
        <f t="shared" ref="I14" si="42">IF(H14="string",REPT(CHAR(9),2)&amp;"public const int Max"&amp;D14&amp;"Length = "&amp;G14&amp;";"&amp;$E$3,"" )</f>
        <v xml:space="preserve">		public const int MaxIsSendEmailLength = 1;
</v>
      </c>
      <c r="J14" t="str">
        <f t="shared" ref="J14" si="43">IF(F14="","",REPT(CHAR(9),2)&amp;"[Column(TypeName="""&amp;F14&amp;""")]"&amp;$E$3)&amp;IF(C14="Checked","",$I$3)&amp;IF(H14="string",REPT(CHAR(9),2)&amp;"[StringLength(Max"&amp;D14&amp;"Length"&amp;")]"&amp;$E$3,"")&amp;REPT(CHAR(9),2)&amp;"public virtual "&amp;H14&amp;IF(C14="?","? "," ")&amp;D14&amp;" { get; set; }" &amp; "
"</f>
        <v xml:space="preserve">		[StringLength(MaxIsSendEmailLength)]
		public virtual string IsSendEmail { get; set; }
</v>
      </c>
      <c r="K14" s="6"/>
      <c r="L14" t="str">
        <f t="shared" ref="L14" si="44">IF(K14="","",REPT(CHAR(9),1)&amp;"[Index(nameof("&amp;IF(D14="","",""&amp;D14)&amp;")"&amp;", Name="&amp;"""IX_"&amp;$B$7&amp;"_"&amp;D14&amp;""")]")</f>
        <v/>
      </c>
      <c r="M14" t="str">
        <f t="shared" ref="M14" si="45">REPT(CHAR(9),2)&amp;"public virtual "&amp;IF(OR(H14="DateTime",H14="TimeSpan"),H14&amp;"?",H14)&amp;IF(C14="?","? "," ")&amp;D14&amp;" { get; set; }" &amp; "
"</f>
        <v xml:space="preserve">		public virtual string IsSendEmail { get; set; }
</v>
      </c>
      <c r="N14" t="str">
        <f t="shared" ref="N14" si="46">IF(C14="Checked","",$I$3)&amp;IF(H14="string",REPT(CHAR(9),2)&amp;"[StringLength("&amp;$B$3&amp;"Consts.Max"&amp;D14&amp;"Length"&amp;")]"&amp;$E$3,"")&amp;REPT(CHAR(9),2)&amp;"public virtual "&amp;IF(OR(H14="DateTime",H14="TimeSpan"),H14&amp;"?",H14)&amp;IF(C14="?","? "," ")&amp;D14&amp;" { get; set; }" &amp; "
"</f>
        <v xml:space="preserve">		[StringLength(MstInvGpsSupplierPicConsts.MaxIsSendEmailLength)]
		public virtual string IsSendEmail { get; set; }
</v>
      </c>
      <c r="O14" t="str">
        <f t="shared" ref="O14" si="47">IF(OR(H14="string",H14="DateTime",H14="int"),REPT(CHAR(9),2)&amp;"public virtual "&amp;IF(OR(H14="DateTime",H14="TimeSpan"),H14&amp;"?",H14)&amp;IF(C14="?","? "," ")&amp;D14&amp;" { get; set; }"&amp;$E$3,"")</f>
        <v xml:space="preserve">		public virtual string IsSendEmail { get; set; }
</v>
      </c>
      <c r="P14" t="str">
        <f t="shared" ref="P14" si="48">REPT(CHAR(9),7)&amp;D14&amp;" = o." &amp;D14 &amp;","</f>
        <v xml:space="preserve">							IsSendEmail = o.IsSendEmail,</v>
      </c>
      <c r="T14" s="63" t="str">
        <f t="shared" ref="T14" si="49">REPT(CHAR(9),8)&amp;"("""&amp;D14&amp;"""),"</f>
        <v xml:space="preserve">								("IsSendEmail"),</v>
      </c>
      <c r="V14" s="64" t="str">
        <f t="shared" ref="V14" si="50">REPT(CHAR(9),8)&amp;"_ =&gt; _."&amp;D14&amp;","</f>
        <v xml:space="preserve">								_ =&gt; _.IsSendEmail,</v>
      </c>
      <c r="W14" s="63" t="str">
        <f t="shared" ref="W14" si="51">IF(H14="string",REPT(CHAR(9),4)&amp;".WhereIf(!string.IsNullOrWhiteSpace(input."&amp;D14&amp;"), e =&gt; e."&amp;D14&amp;".Contains(input."&amp;D14&amp;"))",IF(H14="DateTime",REPT(CHAR(9),4)&amp;".WhereIf(input."&amp;D14&amp;".HasValue, t =&gt; t."&amp;D14&amp;" == input."&amp;D14&amp;".Value)",""))</f>
        <v xml:space="preserve">				.WhereIf(!string.IsNullOrWhiteSpace(input.IsSendEmail), e =&gt; e.IsSendEmail.Contains(input.IsSendEmail))</v>
      </c>
    </row>
    <row r="15" spans="1:23" customFormat="1" ht="18.75" customHeight="1" x14ac:dyDescent="0.25">
      <c r="A15" s="28" t="s">
        <v>318</v>
      </c>
      <c r="B15" s="28" t="s">
        <v>364</v>
      </c>
      <c r="C15" t="s">
        <v>1</v>
      </c>
      <c r="D15" t="str">
        <f t="shared" ref="D15" si="52">SUBSTITUTE(PROPER(A15),"_","")</f>
        <v>IsActive</v>
      </c>
      <c r="E15" t="str">
        <f t="shared" ref="E15" si="53">IFERROR(LEFT(B15, FIND("(",B15)-1),B15)</f>
        <v>varchar</v>
      </c>
      <c r="F15" s="6"/>
      <c r="G15" t="str">
        <f t="shared" ref="G15" si="54">IFERROR(MID(B15,FIND("(",B15) +1, FIND(")",B15) - FIND("(",B15) - 1),"")</f>
        <v>1</v>
      </c>
      <c r="H15" t="str">
        <f>+VLOOKUP(E15,'Data Type Mapping'!A:B,2,)</f>
        <v>string</v>
      </c>
      <c r="I15" t="str">
        <f t="shared" ref="I15" si="55">IF(H15="string",REPT(CHAR(9),2)&amp;"public const int Max"&amp;D15&amp;"Length = "&amp;G15&amp;";"&amp;$E$3,"" )</f>
        <v xml:space="preserve">		public const int MaxIsActiveLength = 1;
</v>
      </c>
      <c r="J15" t="str">
        <f t="shared" ref="J15" si="56">IF(F15="","",REPT(CHAR(9),2)&amp;"[Column(TypeName="""&amp;F15&amp;""")]"&amp;$E$3)&amp;IF(C15="Checked","",$I$3)&amp;IF(H15="string",REPT(CHAR(9),2)&amp;"[StringLength(Max"&amp;D15&amp;"Length"&amp;")]"&amp;$E$3,"")&amp;REPT(CHAR(9),2)&amp;"public virtual "&amp;H15&amp;IF(C15="?","? "," ")&amp;D15&amp;" { get; set; }" &amp; "
"</f>
        <v xml:space="preserve">		[StringLength(MaxIsActiveLength)]
		public virtual string IsActive { get; set; }
</v>
      </c>
      <c r="K15" s="6"/>
      <c r="L15" t="str">
        <f t="shared" ref="L15" si="57">IF(K15="","",REPT(CHAR(9),1)&amp;"[Index(nameof("&amp;IF(D15="","",""&amp;D15)&amp;")"&amp;", Name="&amp;"""IX_"&amp;$B$7&amp;"_"&amp;D15&amp;""")]")</f>
        <v/>
      </c>
      <c r="M15" t="str">
        <f t="shared" ref="M15" si="58">REPT(CHAR(9),2)&amp;"public virtual "&amp;IF(OR(H15="DateTime",H15="TimeSpan"),H15&amp;"?",H15)&amp;IF(C15="?","? "," ")&amp;D15&amp;" { get; set; }" &amp; "
"</f>
        <v xml:space="preserve">		public virtual string IsActive { get; set; }
</v>
      </c>
      <c r="N15" t="str">
        <f t="shared" ref="N15" si="59">IF(C15="Checked","",$I$3)&amp;IF(H15="string",REPT(CHAR(9),2)&amp;"[StringLength("&amp;$B$3&amp;"Consts.Max"&amp;D15&amp;"Length"&amp;")]"&amp;$E$3,"")&amp;REPT(CHAR(9),2)&amp;"public virtual "&amp;IF(OR(H15="DateTime",H15="TimeSpan"),H15&amp;"?",H15)&amp;IF(C15="?","? "," ")&amp;D15&amp;" { get; set; }" &amp; "
"</f>
        <v xml:space="preserve">		[StringLength(MstInvGpsSupplierPicConsts.MaxIsActiveLength)]
		public virtual string IsActive { get; set; }
</v>
      </c>
      <c r="O15" t="str">
        <f t="shared" ref="O15" si="60">IF(OR(H15="string",H15="DateTime",H15="int"),REPT(CHAR(9),2)&amp;"public virtual "&amp;IF(OR(H15="DateTime",H15="TimeSpan"),H15&amp;"?",H15)&amp;IF(C15="?","? "," ")&amp;D15&amp;" { get; set; }"&amp;$E$3,"")</f>
        <v xml:space="preserve">		public virtual string IsActive { get; set; }
</v>
      </c>
      <c r="P15" t="str">
        <f t="shared" ref="P15" si="61">REPT(CHAR(9),7)&amp;D15&amp;" = o." &amp;D15 &amp;","</f>
        <v xml:space="preserve">							IsActive = o.IsActive,</v>
      </c>
      <c r="T15" s="63" t="str">
        <f t="shared" ref="T15" si="62">REPT(CHAR(9),8)&amp;"("""&amp;D15&amp;"""),"</f>
        <v xml:space="preserve">								("IsActive"),</v>
      </c>
      <c r="V15" s="64" t="str">
        <f t="shared" ref="V15" si="63">REPT(CHAR(9),8)&amp;"_ =&gt; _."&amp;D15&amp;","</f>
        <v xml:space="preserve">								_ =&gt; _.IsActive,</v>
      </c>
      <c r="W15" s="63" t="str">
        <f t="shared" ref="W15" si="64">IF(H15="string",REPT(CHAR(9),4)&amp;".WhereIf(!string.IsNullOrWhiteSpace(input."&amp;D15&amp;"), e =&gt; e."&amp;D15&amp;".Contains(input."&amp;D15&amp;"))",IF(H15="DateTime",REPT(CHAR(9),4)&amp;".WhereIf(input."&amp;D15&amp;".HasValue, t =&gt; t."&amp;D15&amp;" == input."&amp;D15&amp;".Value)",""))</f>
        <v xml:space="preserve">				.WhereIf(!string.IsNullOrWhiteSpace(input.IsActive), e =&gt; e.IsActive.Contains(input.IsActive))</v>
      </c>
    </row>
    <row r="17" spans="8:23" ht="45.75" customHeight="1" x14ac:dyDescent="0.25">
      <c r="H17" s="11"/>
      <c r="I17" s="31" t="str">
        <f ca="1">TEXTJOIN2("
", TRUE,INDIRECT( $H$1):INDIRECT( $H$3))</f>
        <v xml:space="preserve">		public const int MaxPicNameLength = 40;
		public const int MaxPicTelephoneLength = 100;
		public const int MaxPicEmailLength = 100;
		public const int MaxIsMainPicLength = 50;
		public const int MaxIsSendEmailLength = 1;
		public const int MaxIsActiveLength = 1;
</v>
      </c>
      <c r="J17" s="30" t="str">
        <f ca="1">TEXTJOIN2("
", TRUE,INDIRECT( $F$1):INDIRECT( $F$3))</f>
        <v xml:space="preserve">		public virtual long? SupplierId { get; set; }
		[StringLength(MaxPicNameLength)]
		public virtual string PicName { get; set; }
		[StringLength(MaxPicTelephoneLength)]
		public virtual string PicTelephone { get; set; }
		[StringLength(MaxPicEmailLength)]
		public virtual string PicEmail { get; set; }
		[StringLength(MaxIsMainPicLength)]
		public virtual string IsMainPic { get; set; }
		[StringLength(MaxIsSendEmailLength)]
		public virtual string IsSendEmail { get; set; }
		[StringLength(MaxIsActiveLength)]
		public virtual string IsActive { get; set; }
</v>
      </c>
      <c r="K17" s="32" t="str">
        <f ca="1">TEXTJOIN2("
", TRUE,INDIRECT( $J$1):INDIRECT( $J$3))</f>
        <v/>
      </c>
      <c r="L17" s="12" t="s">
        <v>56</v>
      </c>
      <c r="M17" s="33" t="str">
        <f ca="1">TEXTJOIN2("
",TRUE,INDIRECT( $L$1):INDIRECT($L$3))</f>
        <v xml:space="preserve">		public virtual long? SupplierId { get; set; }
		public virtual string PicName { get; set; }
		public virtual string PicTelephone { get; set; }
		public virtual string PicEmail { get; set; }
		public virtual string IsMainPic { get; set; }
		public virtual string IsSendEmail { get; set; }
		public virtual string IsActive { get; set; }
</v>
      </c>
      <c r="N17" s="30" t="str">
        <f ca="1">TEXTJOIN2("
",TRUE,INDIRECT( $M$1):INDIRECT($M$3))</f>
        <v xml:space="preserve">		public virtual long? SupplierId { get; set; }
		[StringLength(MstInvGpsSupplierPicConsts.MaxPicNameLength)]
		public virtual string PicName { get; set; }
		[StringLength(MstInvGpsSupplierPicConsts.MaxPicTelephoneLength)]
		public virtual string PicTelephone { get; set; }
		[StringLength(MstInvGpsSupplierPicConsts.MaxPicEmailLength)]
		public virtual string PicEmail { get; set; }
		[StringLength(MstInvGpsSupplierPicConsts.MaxIsMainPicLength)]
		public virtual string IsMainPic { get; set; }
		[StringLength(MstInvGpsSupplierPicConsts.MaxIsSendEmailLength)]
		public virtual string IsSendEmail { get; set; }
		[StringLength(MstInvGpsSupplierPicConsts.MaxIsActiveLength)]
		public virtual string IsActive { get; set; }
</v>
      </c>
      <c r="O17" s="30" t="str">
        <f ca="1">TEXTJOIN2("
",TRUE,INDIRECT( $N$1):INDIRECT($N$3))</f>
        <v xml:space="preserve">		public virtual string PicName { get; set; }
		public virtual string PicTelephone { get; set; }
		public virtual string PicEmail { get; set; }
		public virtual string IsMainPic { get; set; }
		public virtual string IsSendEmail { get; set; }
		public virtual string IsActive { get; set; }
</v>
      </c>
      <c r="P17" s="8" t="str">
        <f ca="1">TEXTJOIN2("
",TRUE,INDIRECT( $O$1):INDIRECT($O$3))</f>
        <v xml:space="preserve">							SupplierId = o.SupplierId,
							PicName = o.PicName,
							PicTelephone = o.PicTelephone,
							PicEmail = o.PicEmail,
							IsMainPic = o.IsMainPic,
							IsSendEmail = o.IsSendEmail,
							IsActive = o.IsActive,</v>
      </c>
      <c r="T17" s="8" t="str">
        <f ca="1">TEXTJOIN2("
",TRUE,INDIRECT( $T$2):INDIRECT($T$3))</f>
        <v xml:space="preserve">								("SupplierId"),
								("PicName"),
								("PicTelephone"),
								("PicEmail"),
								("IsMainPic"),
								("IsSendEmail"),
								("IsActive"),</v>
      </c>
      <c r="V17" s="8" t="str">
        <f ca="1">TEXTJOIN2("
",TRUE,INDIRECT( $V$2):INDIRECT($V$3))</f>
        <v xml:space="preserve">								_ =&gt; _.SupplierId,
								_ =&gt; _.PicName,
								_ =&gt; _.PicTelephone,
								_ =&gt; _.PicEmail,
								_ =&gt; _.IsMainPic,
								_ =&gt; _.IsSendEmail,
								_ =&gt; _.IsActive,</v>
      </c>
      <c r="W17" s="8" t="str">
        <f ca="1">TEXTJOIN2("
",TRUE,INDIRECT( $W$2):INDIRECT($W$3))</f>
        <v xml:space="preserve">				.WhereIf(!string.IsNullOrWhiteSpace(input.PicName), e =&gt; e.PicName.Contains(input.PicName))
				.WhereIf(!string.IsNullOrWhiteSpace(input.PicTelephone), e =&gt; e.PicTelephone.Contains(input.PicTelephone))
				.WhereIf(!string.IsNullOrWhiteSpace(input.PicEmail), e =&gt; e.PicEmail.Contains(input.PicEmail))
				.WhereIf(!string.IsNullOrWhiteSpace(input.IsMainPic), e =&gt; e.IsMainPic.Contains(input.IsMainPic))
				.WhereIf(!string.IsNullOrWhiteSpace(input.IsSendEmail), e =&gt; e.IsSendEmail.Contains(input.IsSendEmail))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V23"/>
  <sheetViews>
    <sheetView topLeftCell="A7" workbookViewId="0">
      <selection activeCell="V13" sqref="V13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35.5703125" customWidth="1"/>
    <col min="9" max="9" width="31.7109375" customWidth="1"/>
    <col min="10" max="10" width="22.28515625" customWidth="1"/>
    <col min="11" max="11" width="45.140625" customWidth="1"/>
    <col min="12" max="12" width="51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x14ac:dyDescent="0.25">
      <c r="A1" s="38" t="s">
        <v>207</v>
      </c>
      <c r="B1" s="39" t="s">
        <v>354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25">
      <c r="A2" s="38" t="s">
        <v>232</v>
      </c>
      <c r="B2" s="39" t="str">
        <f>A.Backend!B4</f>
        <v>Master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25">
      <c r="A3" s="38" t="s">
        <v>232</v>
      </c>
      <c r="B3" s="39" t="str">
        <f>LOWER(B2)</f>
        <v>master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25">
      <c r="A4" s="38" t="s">
        <v>209</v>
      </c>
      <c r="B4" s="40" t="str">
        <f>A.Backend!Q3</f>
        <v>Inv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25">
      <c r="A5" s="38" t="s">
        <v>209</v>
      </c>
      <c r="B5" s="40" t="str">
        <f>LOWER(B4)</f>
        <v>inv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25">
      <c r="A6" s="38" t="s">
        <v>219</v>
      </c>
      <c r="B6" s="41" t="str">
        <f>A.Backend!B3</f>
        <v>MstInvGpsSupplierPic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25">
      <c r="A7" s="38" t="s">
        <v>210</v>
      </c>
      <c r="B7" s="40" t="str">
        <f>A.Backend!B5</f>
        <v>GpsSupplierPic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25">
      <c r="A8" s="38" t="s">
        <v>208</v>
      </c>
      <c r="B8" s="40" t="str">
        <f>LOWER(B7)</f>
        <v>gpssupplierpic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25">
      <c r="A9" s="50" t="s">
        <v>211</v>
      </c>
      <c r="B9" s="51"/>
      <c r="C9" s="50"/>
      <c r="D9" s="50"/>
      <c r="E9" s="50"/>
      <c r="F9" s="50"/>
      <c r="G9" s="50"/>
      <c r="H9" s="42" t="s">
        <v>263</v>
      </c>
      <c r="I9" s="43" t="s">
        <v>264</v>
      </c>
      <c r="J9" s="42" t="s">
        <v>214</v>
      </c>
      <c r="K9" s="44" t="s">
        <v>251</v>
      </c>
      <c r="L9" s="43" t="s">
        <v>255</v>
      </c>
      <c r="M9" s="42" t="s">
        <v>244</v>
      </c>
      <c r="N9" s="42" t="s">
        <v>215</v>
      </c>
      <c r="O9" s="42" t="s">
        <v>216</v>
      </c>
      <c r="P9" s="43" t="s">
        <v>218</v>
      </c>
      <c r="Q9" s="42" t="s">
        <v>245</v>
      </c>
      <c r="R9" s="42" t="s">
        <v>228</v>
      </c>
      <c r="S9" s="28"/>
      <c r="T9" s="28"/>
      <c r="U9" s="28"/>
      <c r="V9" s="28"/>
    </row>
    <row r="10" spans="1:22" ht="18.75" customHeight="1" x14ac:dyDescent="0.25">
      <c r="A10" s="52" t="s">
        <v>212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MstInvGpsSupplierPicDto, MstInvGpsSupplierPicServiceProxy } from '@shared/service-proxies/service-proxies';
import { finalize } from 'rxjs/internal/operators/finalize';
import { CreateOrEditGpsSupplierPicModalComponent } from './create-or-edit-gpssupplierpic-modal.component';
import { DatePipe } from '@angular/common';
import { FileDownloadService } from '@shared/utils/file-download.service';
import ceil from 'lodash-es/ceil';
import { Paginator } from 'primeng/paginator';
@Component({
    templateUrl: './gpssupplierpic.component.html',
    styleUrls: ['./gpssupplierpic.component.less'],
})
export class GpsSupplierPicComponent extends AppComponentBase implements OnInit {
    @ViewChild('createOrEditModalGpsSupplierPic', { static: true }) createOrEditModalGpsSupplierPic:| CreateOrEditGpsSupplierPicModalComponent|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MstInvGpsSupplierPicDto = new MstInvGpsSupplierPicDto();
    saveSelectedRow: MstInvGpsSupplierPicDto = new MstInvGpsSupplierPicDto();
    datas: MstInvGpsSupplierPicDto = new MstInvGpsSupplierPicDto();
    isLoading: boolean = false;
    dataParams: GridParams | undefined;
    rowData: any[] = [];
    gridApi!: GridApi;
    rowSelection = 'multiple';
    filter: string = '';
	pipe = new DatePipe('en-US');
	frameworkComponents: FrameworkComponent;
    	picName : string = '' ; 
	picTelephone : string = '' ; 
	picEmail : string = '' ; 
	isMainPic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MstInvGpsSupplierPicServiceProxy,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this.l('Supplier Id'),headerTooltip: this.l('Supplier Id'),field: 'supplierId',flex: 1},
			{headerName: this.l('Pic Name'),headerTooltip: this.l('Pic Name'),field: 'picName',flex: 1},
			{headerName: this.l('Pic Telephone'),headerTooltip: this.l('Pic Telephone'),field: 'picTelephone',flex: 1},
			{headerName: this.l('Pic Email'),headerTooltip: this.l('Pic Email'),field: 'picEmail',flex: 1},
			{headerName: this.l('Is Main Pic'),headerTooltip: this.l('Is Main Pic'),field: 'isMainPic',flex: 1},
			{headerName: this.l('Is Send Email'),headerTooltip: this.l('Is Send Email'),field:  'isSendEmail', cellClass: ['text-center'], width: 120, cellRenderer: 'agCellButtonComponent',
buttonDefTwo: { text: params =&gt; (params.data?.'isSendEmail' == 'Y') ? 'Active' : 'Inactive',iconName: 'fa fa-circle',className: params =&gt; (params.data?.'isSendEmail' == 'Y') ? 'btnActive' : 'btnInActive',},}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this.supplierId,
			this.picName,
			this.picTelephone,
			this.picEmail,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picName : string = '' ; 
	picTelephone : string = '' ; 
	picEmail : string = '' ; 
	isMainPic : string = '' ; 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this.supplierId,
			this.picName,
			this.picTelephone,
			this.picEmail,
			'',
            this.paginationParams.skipCount,
            this.paginationParams.pageSize
        );
    }
    onChangeRowSelection(params: { api: { getSelectedRows: () =&gt; MstInvGpsSupplierPicDto[] } }) {
        this.saveSelectedRow = params.api.getSelectedRows()[0] ?? new MstInvGpsSupplierPicDto();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MstInvGpsSupplierPicDto):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this._service.getGpsSupplierPicToExcel(
			this.supplierId,
			this.picName,
			this.picTelephone,
			this.picEmail,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Frame Enginer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[(ngModel)]='picName' name='picName'
									class='form-control' [placeholder]="l('Pic Name')"
									type='text' (keyup.enter)='searchDatas()'&gt;
								&lt;/div&gt;
								&lt;div class='input-search'&gt;
									&lt;input [(ngModel)]='picTelephone' name='picTelephone'
									class='form-control' [placeholder]="l('Pic Telephone')"
									type='text' (keyup.enter)='searchDatas()'&gt;
								&lt;/div&gt;
								&lt;div class='input-search'&gt;
									&lt;input [(ngModel)]='picEmail' name='picEmail'
									class='form-control' [placeholder]="l('Pic Email')"
									type='text' (keyup.enter)='searchDatas()'&gt;
								&lt;/div&gt;
								&lt;div class='input-search'&gt;
									&lt;input [(ngModel)]='isMainPic' name='isMainPic'
									class='form-control' [placeholder]="l('Is Main Pic')"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(click)="createOrEditModalGpsSupplierPic.show()"&gt;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(click)="createOrEditModalGpsSupplierPic.show(selectedRow)"&gt;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&lt;create-or-edit-gpssupplierpic-modal
    #createOrEditModalGpsSupplierPic
    (modalSave)="callBackDataGrid(dataParams)"
    (modalClose)="onChangeRowSelection(dataParams)"
&gt;
&lt;/create-or-edit-gpssupplierpic-modal&gt;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#createOrEditModalGpsSupplierPic="bs-modal"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GpsSupplierPic')}}&lt;/h3&gt;
                    &lt;h3 *ngIf="!rowdata.id"&gt;{{('Create New GpsSupplierPic')}}&lt;/h3&gt;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title'&gt;Supplier Id&lt;/label&gt;
						&lt;input type='number' class='col-md-10 form-control input-text' name='SupplierId' [(ngModel)]='rowdata.supplierId'&gt;
					&lt;/div&gt;
					&lt;div class='col-md-12 form-group row'&gt;
						&lt;label class='col-md-2 form-control title'&gt;Pic Name&lt;/label&gt;
						&lt;input type='text' class='col-md-10 form-control input-text' name='PicName' [(ngModel)]='rowdata.picName'&gt;
					&lt;/div&gt;
					&lt;div class='col-md-12 form-group row'&gt;
						&lt;label class='col-md-2 form-control title'&gt;Pic Telephone&lt;/label&gt;
						&lt;input type='text' class='col-md-10 form-control input-text' name='PicTelephone' [(ngModel)]='rowdata.picTelephone'&gt;
					&lt;/div&gt;
					&lt;div class='col-md-12 form-group row'&gt;
						&lt;label class='col-md-2 form-control title'&gt;Pic Email&lt;/label&gt;
						&lt;input type='text' class='col-md-10 form-control input-text' name='PicEmail' [(ngModel)]='rowdata.picEmail'&gt;
					&lt;/div&gt;
					&lt;div class='col-md-12 form-group row'&gt;
						&lt;label class='col-md-2 form-control title'&gt;Is Main Pic&lt;/label&gt;
						&lt;input type='text' class='col-md-10 form-control input-text' name='IsMainPic' [(ngModel)]='rowdata.isMainPic'&gt;
					&lt;/div&gt;
					&lt;div class='col-md-12 form-group row'&gt;
						&lt;label class='col-md-2 form-control title'&gt;Is Send Email&lt;/label&gt;
						&lt;new-checkbox [(ngModel)]='_isSendEmail' name='isSendEmail' className='col-md-10' &gt; &lt;/new-checkbox&gt;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CreateOrEditMstInvGpsSupplierPicDto, MstInvGpsSupplierPicServiceProxy } from '@shared/service-proxies/service-proxies';
import { BsDatepickerDirective } from 'ngx-bootstrap/datepicker';
@Component({
    selector: 'create-or-edit-gpssupplierpic-modal',
    templateUrl: './create-or-edit-gpssupplierpic-modal.component.html',
    styleUrls: ['./create-or-edit-gpssupplierpic-modal.component.less']
    })
export class CreateOrEditGpsSupplierPicModalComponent extends AppComponentBase {
    @ViewChild('createOrEditModalGpsSupplierPic',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CreateOrEditMstInvGpsSupplierPicDto = new CreateOrEditMstInvGpsSupplierPicDto();
    active: boolean = false;
    saving: boolean = false;
    _isSendEmail
isActive: boolean;
    constructor(
        injector: Injector,
        private _mstwptGpsSupplierPicService: MstInvGpsSupplierPicServiceProxy,
    ) 
    {
        super(injector);
    }
    show(rowdata?: CreateOrEditMstInvGpsSupplierPicDto): void {
        if (!rowdata) this.rowdata = new CreateOrEditMstInvGpsSupplierPicDto();
        else this.rowdata = rowdata;
        this._isSendEmail
isActive = (this.rowdata.isSendEmail
isActive == "N")? false: true;
        this.active = true;
        this.modal.show();
    } 
    changeActive(event){
        this._isSendEmail
isActive = event.target.checked;
    }
    save(): void {
    this.saving = true; 
    this.rowdata.isSendEmail
isActive = (this._isSendEmail
isActive == true) ? 'Y' : 'N'
    this._mstwptGpsSupplierPicService.createOrEdit(this.rowdata)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GpsSupplierPicRoutingModule } from './gpssupplierpic-routing.module';
import { GpsSupplierPicComponent } from './gpssupplierpic.component';
import { CreateOrEditGpsSupplierPicModalComponent } from './create-or-edit-gpssupplierpic-modal.component';
@NgModule({
    declarations: [
       GpsSupplierPicComponent, 
        CreateOrEditGpsSupplierPicModalComponent
    ],
    imports: [
        AppSharedModule, GpsSupplierPicRoutingModule]
})
export class GpsSupplierPicModule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GpsSupplierPicComponent } from './gpssupplierpic.component';
const routes: Routes = [{
    path: '',
    component: GpsSupplierPicComponent,
    pathMatch: 'full'
}];
@NgModule({
    imports: [RouterModule.forChild(routes)],
    exports: [RouterModule],
})
export class GpsSupplierPicRoutingModule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AppMenuItem("GpsSupplierPic", "Pages.Master.Inv.GpsSupplierPic", "flaticon-book",   "/app/main/master/inv/gpssupplierpic"),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'master/inv/gpssupplierpic',
    loadChildren: () =&gt; import('./master/inv/gpssupplierpic/gpssupplierpic.module').then(m =&gt; m.GpsSupplierPicModule),
    data: { permission: 'Pages.Master.Inv.GpsSupplierPic' }
},</v>
      </c>
      <c r="R10" s="47" t="str">
        <f>SUBSTITUTE(R9,"MstWptCalendar",$B$6)</f>
        <v>ApiServiceProxies.MstInvGpsSupplierPicServiceProxy,</v>
      </c>
      <c r="S10" s="28"/>
      <c r="T10" s="28"/>
      <c r="U10" s="28"/>
      <c r="V10" s="28"/>
    </row>
    <row r="11" spans="1:22" x14ac:dyDescent="0.25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243</v>
      </c>
      <c r="I11" s="28" t="s">
        <v>256</v>
      </c>
      <c r="J11" s="28"/>
      <c r="K11" s="28" t="s">
        <v>254</v>
      </c>
      <c r="L11" s="28" t="s">
        <v>257</v>
      </c>
      <c r="M11" s="35"/>
      <c r="N11" s="28"/>
      <c r="O11" s="28"/>
      <c r="P11" s="28"/>
      <c r="Q11" s="28"/>
      <c r="R11" s="28"/>
      <c r="S11" s="28" t="s">
        <v>248</v>
      </c>
      <c r="T11" s="28" t="s">
        <v>249</v>
      </c>
      <c r="U11" s="28" t="s">
        <v>258</v>
      </c>
      <c r="V11" s="28" t="s">
        <v>260</v>
      </c>
    </row>
    <row r="12" spans="1:22" x14ac:dyDescent="0.25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H21</v>
      </c>
      <c r="I12" s="28" t="str">
        <f>"I"&amp;COUNTA($A:$A)</f>
        <v>I21</v>
      </c>
      <c r="J12" s="28"/>
      <c r="K12" s="28" t="str">
        <f>"K"&amp;COUNTA($A:$A)</f>
        <v>K21</v>
      </c>
      <c r="L12" s="28" t="str">
        <f>"L"&amp;COUNTA($A:$A)</f>
        <v>L21</v>
      </c>
      <c r="M12" s="28"/>
      <c r="N12" s="28"/>
      <c r="O12" s="28"/>
      <c r="P12" s="28"/>
      <c r="Q12" s="28"/>
      <c r="R12" s="28"/>
      <c r="S12" s="28" t="str">
        <f>"S"&amp;COUNTA($A:$A)</f>
        <v>S21</v>
      </c>
      <c r="T12" s="28" t="str">
        <f>"T"&amp;COUNTA($A:$A)</f>
        <v>T21</v>
      </c>
      <c r="U12" s="28" t="str">
        <f>"U"&amp;COUNTA($A:$A)</f>
        <v>U21</v>
      </c>
      <c r="V12" s="28" t="str">
        <f>"V"&amp;COUNTA($A:$A)</f>
        <v>V21</v>
      </c>
    </row>
    <row r="13" spans="1:22" ht="17.25" customHeight="1" x14ac:dyDescent="0.25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this.l('Supplier Id'),headerTooltip: this.l('Supplier Id'),field: 'supplierId',flex: 1},
			{headerName: this.l('Pic Name'),headerTooltip: this.l('Pic Name'),field: 'picName',flex: 1},
			{headerName: this.l('Pic Telephone'),headerTooltip: this.l('Pic Telephone'),field: 'picTelephone',flex: 1},
			{headerName: this.l('Pic Email'),headerTooltip: this.l('Pic Email'),field: 'picEmail',flex: 1},
			{headerName: this.l('Is Main Pic'),headerTooltip: this.l('Is Main Pic'),field: 'isMainPic',flex: 1},
			{headerName: this.l('Is Send Email'),headerTooltip: this.l('Is Send Email'),field:  'isSendEmail', cellClass: ['text-center'], width: 120, cellRenderer: 'agCellButtonComponent',
buttonDefTwo: { text: params =&gt; (params.data?.'isSendEmail' == 'Y') ? 'Active' : 'Inactive',iconName: 'fa fa-circle',className: params =&gt; (params.data?.'isSendEmail' == 'Y') ? 'btnActive' : 'btnInActive',},}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5" t="str">
        <f ca="1">TEXTJOIN2("
",TRUE,INDIRECT(I11):INDIRECT(I12))</f>
        <v xml:space="preserve">								&lt;div class='input-search'&gt;
									&lt;input [(ngModel)]='picName' name='picName'
									class='form-control' [placeholder]="l('Pic Name')"
									type='text' (keyup.enter)='searchDatas()'&gt;
								&lt;/div&gt;
								&lt;div class='input-search'&gt;
									&lt;input [(ngModel)]='picTelephone' name='picTelephone'
									class='form-control' [placeholder]="l('Pic Telephone')"
									type='text' (keyup.enter)='searchDatas()'&gt;
								&lt;/div&gt;
								&lt;div class='input-search'&gt;
									&lt;input [(ngModel)]='picEmail' name='picEmail'
									class='form-control' [placeholder]="l('Pic Email')"
									type='text' (keyup.enter)='searchDatas()'&gt;
								&lt;/div&gt;
								&lt;div class='input-search'&gt;
									&lt;input [(ngModel)]='isMainPic' name='isMainPic'
									class='form-control' [placeholder]="l('Is Main Pic')"
									type='text' (keyup.enter)='searchDatas()'&gt;
								&lt;/div&gt;
</v>
      </c>
      <c r="J13" s="28"/>
      <c r="K13" s="35" t="str">
        <f ca="1">TEXTJOIN2("
",TRUE,INDIRECT(K11):INDIRECT(K12))</f>
        <v xml:space="preserve">					&lt;div class='col-md-12 form-group row'&gt;
						&lt;label class='col-md-2 form-control title'&gt;Supplier Id&lt;/label&gt;
						&lt;input type='number' class='col-md-10 form-control input-text' name='SupplierId' [(ngModel)]='rowdata.supplierId'&gt;
					&lt;/div&gt;
					&lt;div class='col-md-12 form-group row'&gt;
						&lt;label class='col-md-2 form-control title'&gt;Pic Name&lt;/label&gt;
						&lt;input type='text' class='col-md-10 form-control input-text' name='PicName' [(ngModel)]='rowdata.picName'&gt;
					&lt;/div&gt;
					&lt;div class='col-md-12 form-group row'&gt;
						&lt;label class='col-md-2 form-control title'&gt;Pic Telephone&lt;/label&gt;
						&lt;input type='text' class='col-md-10 form-control input-text' name='PicTelephone' [(ngModel)]='rowdata.picTelephone'&gt;
					&lt;/div&gt;
					&lt;div class='col-md-12 form-group row'&gt;
						&lt;label class='col-md-2 form-control title'&gt;Pic Email&lt;/label&gt;
						&lt;input type='text' class='col-md-10 form-control input-text' name='PicEmail' [(ngModel)]='rowdata.picEmail'&gt;
					&lt;/div&gt;
					&lt;div class='col-md-12 form-group row'&gt;
						&lt;label class='col-md-2 form-control title'&gt;Is Main Pic&lt;/label&gt;
						&lt;input type='text' class='col-md-10 form-control input-text' name='IsMainPic' [(ngModel)]='rowdata.isMainPic'&gt;
					&lt;/div&gt;
					&lt;div class='col-md-12 form-group row'&gt;
						&lt;label class='col-md-2 form-control title'&gt;Is Send Email&lt;/label&gt;
						&lt;new-checkbox [(ngModel)]='_isSendEmail' name='isSendEmail' className='col-md-10' &gt; &lt;/new-checkbox&gt;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2" t="str">
        <f ca="1">TEXTJOIN2("
",TRUE,INDIRECT(S11):INDIRECT(S12))</f>
        <v xml:space="preserve">	picName : string = '' ; 
	picTelephone : string = '' ; 
	picEmail : string = '' ; 
	isMainPic : string = '' ; 
</v>
      </c>
      <c r="T13" s="62" t="str">
        <f ca="1">TEXTJOIN2("
",TRUE,INDIRECT(T11):INDIRECT(T12))</f>
        <v xml:space="preserve">			this.supplierId,
			this.picName,
			this.picTelephone,
			this.picEmail,
</v>
      </c>
      <c r="U13" s="62" t="str">
        <f ca="1">TEXTJOIN2("
",TRUE,INDIRECT(U11):INDIRECT(U12))</f>
        <v xml:space="preserve">	picName : string = '' ; 
	picTelephone : string = '' ; 
	picEmail : string = '' ; 
	isMainPic : string = '' ; 
</v>
      </c>
      <c r="V13" s="28" t="str">
        <f ca="1">TEXTJOIN2("
",TRUE,INDIRECT(V11):INDIRECT(V12))</f>
        <v>isSendEmail
isActive</v>
      </c>
    </row>
    <row r="14" spans="1:22" x14ac:dyDescent="0.25">
      <c r="A14" s="38" t="s">
        <v>213</v>
      </c>
      <c r="B14" s="28"/>
      <c r="C14" s="28"/>
      <c r="D14" s="28"/>
      <c r="E14" s="28"/>
      <c r="F14" s="28"/>
      <c r="G14" s="28"/>
      <c r="H14" s="36" t="str">
        <f>B8&amp;".component.ts"</f>
        <v>gpssupplierpic.component.ts</v>
      </c>
      <c r="I14" s="37" t="str">
        <f>B8&amp;".component.html"</f>
        <v>gpssupplierpic.component.html</v>
      </c>
      <c r="J14" s="36" t="str">
        <f>B8&amp;".component.less"</f>
        <v>gpssupplierpic.component.less</v>
      </c>
      <c r="K14" s="37" t="str">
        <f>"create-or-edit-"&amp;B8&amp;"-modal.component.html"</f>
        <v>create-or-edit-gpssupplierpic-modal.component.html</v>
      </c>
      <c r="L14" s="37" t="str">
        <f>"create-or-edit-"&amp;B8&amp;"-modal.component.ts"</f>
        <v>create-or-edit-gpssupplierpic-modal.component.ts</v>
      </c>
      <c r="M14" s="37" t="str">
        <f>"create-or-edit-"&amp;B8&amp;"-modal.component.less"</f>
        <v>create-or-edit-gpssupplierpic-modal.component.less</v>
      </c>
      <c r="N14" s="37" t="str">
        <f>B8&amp;".module.ts"</f>
        <v>gpssupplierpic.module.ts</v>
      </c>
      <c r="O14" s="37" t="str">
        <f>B8&amp;"-routing.module.ts"</f>
        <v>gpssupplierpic-routing.module.ts</v>
      </c>
      <c r="P14" s="37" t="s">
        <v>217</v>
      </c>
      <c r="Q14" s="37" t="s">
        <v>220</v>
      </c>
      <c r="R14" s="38" t="s">
        <v>227</v>
      </c>
      <c r="S14" s="37" t="s">
        <v>246</v>
      </c>
      <c r="T14" s="37" t="s">
        <v>247</v>
      </c>
      <c r="U14" s="37" t="s">
        <v>250</v>
      </c>
      <c r="V14" s="37" t="s">
        <v>259</v>
      </c>
    </row>
    <row r="15" spans="1:22" ht="15" customHeight="1" x14ac:dyDescent="0.25">
      <c r="A15" t="s">
        <v>356</v>
      </c>
      <c r="B15" s="28" t="str">
        <f t="shared" ref="B15" si="0">SUBSTITUTE(PROPER(A15),"_","")</f>
        <v>SupplierId</v>
      </c>
      <c r="C15" s="28" t="str">
        <f t="shared" ref="C15" si="1">SUBSTITUTE(PROPER(A15),"_"," ")</f>
        <v>Supplier Id</v>
      </c>
      <c r="D15" s="28" t="str">
        <f t="shared" ref="D15" si="2">LOWER(LEFT(B15,1))&amp;RIGHT(B15,LEN(B15) - 1)</f>
        <v>supplierId</v>
      </c>
      <c r="E15" s="28" t="str">
        <f>A.Backend!H9</f>
        <v>long?</v>
      </c>
      <c r="F15" s="28" t="str">
        <f>A.Backend!G9</f>
        <v/>
      </c>
      <c r="G15" s="28" t="str">
        <f t="shared" ref="G15:G21" si="3">IF(E15="string"," : string = '' ; ",IF(OR(E15="DateTime",E15="TimeSpan")," : any ;",IF(E15="int"," : number = 0 ;","")))</f>
        <v/>
      </c>
      <c r="H15" s="35" t="str">
        <f t="shared" ref="H15:H21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this.l('Supplier Id'),headerTooltip: this.l('Supplier Id'),field: 'supplierId',flex: 1},</v>
      </c>
      <c r="I15" s="35" t="str">
        <f t="shared" ref="I15:I21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IF(AND(E15="string",F15 &lt;&gt;"1"),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/>
      </c>
      <c r="J15" s="28"/>
      <c r="K15" s="35" t="str">
        <f>IF(OR(E15="DateTime?",E15="TimeSpan?"),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IF(OR(E15="int?",E15="long?"),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title'&gt;Supplier Id&lt;/label&gt;
						&lt;input type='number' class='col-md-10 form-control input-text' name='SupplierId' [(ngModel)]='rowdata.supplierId'&gt;
					&lt;/div&gt;</v>
      </c>
      <c r="L15" s="56" t="str">
        <f t="shared" ref="L15" si="6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IF(AND(E15="string",F15 &lt;&gt;"1"),(REPT(CHAR(9),1)&amp;D15&amp;G15),"")</f>
        <v/>
      </c>
      <c r="T15" s="28" t="str">
        <f>IF(AND(E15="string",F15 &lt;&gt;"1"),(REPT(CHAR(9),3)&amp;"this."&amp;D14&amp;","),"")</f>
        <v/>
      </c>
      <c r="U15" s="28" t="str">
        <f>IF(AND(E15="string",F15 &lt;&gt;"1"),(REPT(CHAR(9),1)&amp;D15&amp;G15),"")</f>
        <v/>
      </c>
      <c r="V15" s="28" t="str">
        <f t="shared" ref="V15:V21" si="7">IF(AND(E15="string",F15="1"),D15,"")</f>
        <v/>
      </c>
    </row>
    <row r="16" spans="1:22" ht="18" customHeight="1" x14ac:dyDescent="0.25">
      <c r="A16" t="s">
        <v>357</v>
      </c>
      <c r="B16" s="28" t="str">
        <f t="shared" ref="B16:B21" si="8">SUBSTITUTE(PROPER(A16),"_","")</f>
        <v>PicName</v>
      </c>
      <c r="C16" s="28" t="str">
        <f t="shared" ref="C16:C21" si="9">SUBSTITUTE(PROPER(A16),"_"," ")</f>
        <v>Pic Name</v>
      </c>
      <c r="D16" s="28" t="str">
        <f t="shared" ref="D16:D21" si="10">LOWER(LEFT(B16,1))&amp;RIGHT(B16,LEN(B16) - 1)</f>
        <v>picName</v>
      </c>
      <c r="E16" s="28" t="str">
        <f>A.Backend!H10</f>
        <v>string</v>
      </c>
      <c r="F16" s="28" t="str">
        <f>A.Backend!G10</f>
        <v>40</v>
      </c>
      <c r="G16" s="28" t="str">
        <f t="shared" ref="G16:G21" si="11">IF(E16="string"," : string = '' ; ",IF(OR(E16="DateTime",E16="TimeSpan")," : any ;",IF(E16="int"," : number = 0 ;","")))</f>
        <v xml:space="preserve"> : string = '' ; </v>
      </c>
      <c r="H16" s="35" t="str">
        <f t="shared" ref="H16:H21" si="12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this.l('Pic Name'),headerTooltip: this.l('Pic Name'),field: 'picName',flex: 1},</v>
      </c>
      <c r="I16" s="35" t="str">
        <f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IF(AND(E16="string",F16 &lt;&gt;"1"),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[(ngModel)]='picName' name='picName'
									class='form-control' [placeholder]="l('Pic Name')"
									type='text' (keyup.enter)='searchDatas()'&gt;
								&lt;/div&gt;</v>
      </c>
      <c r="J16" s="28"/>
      <c r="K16" s="35" t="str">
        <f t="shared" ref="K16:K21" si="13">IF(OR(E16="DateTime?",E16="TimeSpan?"),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IF(OR(E16="int?",E16="long?"),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title'&gt;Pic Name&lt;/label&gt;
						&lt;input type='text' class='col-md-10 form-control input-text' name='PicName' [(ngModel)]='rowdata.picName'&gt;
					&lt;/div&gt;</v>
      </c>
      <c r="L16" s="56" t="str">
        <f t="shared" ref="L16" si="14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28"/>
      <c r="N16" s="28"/>
      <c r="O16" s="28"/>
      <c r="P16" s="28"/>
      <c r="Q16" s="28"/>
      <c r="R16" s="28"/>
      <c r="S16" s="28" t="str">
        <f t="shared" ref="S16:S21" si="15">IF(AND(E16="string",F16 &lt;&gt;"1"),(REPT(CHAR(9),1)&amp;D16&amp;G16),"")</f>
        <v xml:space="preserve">	picName : string = '' ; </v>
      </c>
      <c r="T16" s="28" t="str">
        <f>IF(AND(E16="string",F16 &lt;&gt;"1"),(REPT(CHAR(9),3)&amp;"this."&amp;D15&amp;","),"")</f>
        <v xml:space="preserve">			this.supplierId,</v>
      </c>
      <c r="U16" s="28" t="str">
        <f t="shared" ref="U16:U21" si="16">IF(AND(E16="string",F16 &lt;&gt;"1"),(REPT(CHAR(9),1)&amp;D16&amp;G16),"")</f>
        <v xml:space="preserve">	picName : string = '' ; </v>
      </c>
      <c r="V16" s="28" t="str">
        <f t="shared" ref="V16:V21" si="17">IF(AND(E16="string",F16="1"),D16,"")</f>
        <v/>
      </c>
    </row>
    <row r="17" spans="1:22" ht="18" customHeight="1" x14ac:dyDescent="0.25">
      <c r="A17" t="s">
        <v>359</v>
      </c>
      <c r="B17" s="28" t="str">
        <f t="shared" si="8"/>
        <v>PicTelephone</v>
      </c>
      <c r="C17" s="28" t="str">
        <f t="shared" si="9"/>
        <v>Pic Telephone</v>
      </c>
      <c r="D17" s="28" t="str">
        <f t="shared" si="10"/>
        <v>picTelephone</v>
      </c>
      <c r="E17" s="28" t="str">
        <f>A.Backend!H11</f>
        <v>string</v>
      </c>
      <c r="F17" s="28" t="str">
        <f>A.Backend!G11</f>
        <v>100</v>
      </c>
      <c r="G17" s="28" t="str">
        <f t="shared" si="11"/>
        <v xml:space="preserve"> : string = '' ; </v>
      </c>
      <c r="H17" s="35" t="str">
        <f t="shared" si="12"/>
        <v xml:space="preserve">			{headerName: this.l('Pic Telephone'),headerTooltip: this.l('Pic Telephone'),field: 'picTelephone',flex: 1},</v>
      </c>
      <c r="I17" s="35" t="str">
        <f t="shared" si="5"/>
        <v xml:space="preserve">								&lt;div class='input-search'&gt;
									&lt;input [(ngModel)]='picTelephone' name='picTelephone'
									class='form-control' [placeholder]="l('Pic Telephone')"
									type='text' (keyup.enter)='searchDatas()'&gt;
								&lt;/div&gt;</v>
      </c>
      <c r="J17" s="28"/>
      <c r="K17" s="35" t="str">
        <f t="shared" si="13"/>
        <v xml:space="preserve">					&lt;div class='col-md-12 form-group row'&gt;
						&lt;label class='col-md-2 form-control title'&gt;Pic Telephone&lt;/label&gt;
						&lt;input type='text' class='col-md-10 form-control input-text' name='PicTelephone' [(ngModel)]='rowdata.picTelephone'&gt;
					&lt;/div&gt;</v>
      </c>
      <c r="L17" s="56" t="str">
        <f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28"/>
      <c r="N17" s="28"/>
      <c r="O17" s="28"/>
      <c r="P17" s="28"/>
      <c r="Q17" s="28"/>
      <c r="R17" s="28"/>
      <c r="S17" s="28" t="str">
        <f t="shared" si="15"/>
        <v xml:space="preserve">	picTelephone : string = '' ; </v>
      </c>
      <c r="T17" s="28" t="str">
        <f t="shared" ref="T17:T21" si="18">IF(AND(E17="string",F17 &lt;&gt;"1"),(REPT(CHAR(9),3)&amp;"this."&amp;D16&amp;","),"")</f>
        <v xml:space="preserve">			this.picName,</v>
      </c>
      <c r="U17" s="28" t="str">
        <f t="shared" si="16"/>
        <v xml:space="preserve">	picTelephone : string = '' ; </v>
      </c>
      <c r="V17" s="28" t="str">
        <f t="shared" si="17"/>
        <v/>
      </c>
    </row>
    <row r="18" spans="1:22" ht="15" customHeight="1" x14ac:dyDescent="0.25">
      <c r="A18" t="s">
        <v>361</v>
      </c>
      <c r="B18" s="28" t="str">
        <f t="shared" si="8"/>
        <v>PicEmail</v>
      </c>
      <c r="C18" s="28" t="str">
        <f t="shared" si="9"/>
        <v>Pic Email</v>
      </c>
      <c r="D18" s="28" t="str">
        <f t="shared" si="10"/>
        <v>picEmail</v>
      </c>
      <c r="E18" s="28" t="str">
        <f>A.Backend!H12</f>
        <v>string</v>
      </c>
      <c r="F18" s="28" t="str">
        <f>A.Backend!G12</f>
        <v>100</v>
      </c>
      <c r="G18" s="28" t="str">
        <f t="shared" si="11"/>
        <v xml:space="preserve"> : string = '' ; </v>
      </c>
      <c r="H18" s="35" t="str">
        <f t="shared" si="12"/>
        <v xml:space="preserve">			{headerName: this.l('Pic Email'),headerTooltip: this.l('Pic Email'),field: 'picEmail',flex: 1},</v>
      </c>
      <c r="I18" s="35" t="str">
        <f t="shared" si="5"/>
        <v xml:space="preserve">								&lt;div class='input-search'&gt;
									&lt;input [(ngModel)]='picEmail' name='picEmail'
									class='form-control' [placeholder]="l('Pic Email')"
									type='text' (keyup.enter)='searchDatas()'&gt;
								&lt;/div&gt;</v>
      </c>
      <c r="J18" s="28"/>
      <c r="K18" s="35" t="str">
        <f t="shared" si="13"/>
        <v xml:space="preserve">					&lt;div class='col-md-12 form-group row'&gt;
						&lt;label class='col-md-2 form-control title'&gt;Pic Email&lt;/label&gt;
						&lt;input type='text' class='col-md-10 form-control input-text' name='PicEmail' [(ngModel)]='rowdata.picEmail'&gt;
					&lt;/div&gt;</v>
      </c>
      <c r="L18" s="56" t="str">
        <f t="shared" ref="L18:L21" si="19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28"/>
      <c r="N18" s="28"/>
      <c r="O18" s="28"/>
      <c r="P18" s="28"/>
      <c r="Q18" s="28"/>
      <c r="R18" s="28"/>
      <c r="S18" s="28" t="str">
        <f t="shared" si="15"/>
        <v xml:space="preserve">	picEmail : string = '' ; </v>
      </c>
      <c r="T18" s="28" t="str">
        <f t="shared" si="18"/>
        <v xml:space="preserve">			this.picTelephone,</v>
      </c>
      <c r="U18" s="28" t="str">
        <f t="shared" si="16"/>
        <v xml:space="preserve">	picEmail : string = '' ; </v>
      </c>
      <c r="V18" s="28" t="str">
        <f t="shared" si="17"/>
        <v/>
      </c>
    </row>
    <row r="19" spans="1:22" ht="18" customHeight="1" x14ac:dyDescent="0.25">
      <c r="A19" t="s">
        <v>362</v>
      </c>
      <c r="B19" s="28" t="str">
        <f t="shared" si="8"/>
        <v>IsMainPic</v>
      </c>
      <c r="C19" s="28" t="str">
        <f t="shared" si="9"/>
        <v>Is Main Pic</v>
      </c>
      <c r="D19" s="28" t="str">
        <f t="shared" si="10"/>
        <v>isMainPic</v>
      </c>
      <c r="E19" s="28" t="str">
        <f>A.Backend!H13</f>
        <v>string</v>
      </c>
      <c r="F19" s="28" t="str">
        <f>A.Backend!G13</f>
        <v>50</v>
      </c>
      <c r="G19" s="28" t="str">
        <f t="shared" si="11"/>
        <v xml:space="preserve"> : string = '' ; </v>
      </c>
      <c r="H19" s="35" t="str">
        <f t="shared" si="12"/>
        <v xml:space="preserve">			{headerName: this.l('Is Main Pic'),headerTooltip: this.l('Is Main Pic'),field: 'isMainPic',flex: 1},</v>
      </c>
      <c r="I19" s="35" t="str">
        <f>IF(E19="DateTime",
REPT(CHAR(9),8)&amp;"&lt;div class='input-search'&gt;
"&amp;REPT(CHAR(9),9)&amp;"&lt;input type='text' [placeholder]=""l('"&amp;C19&amp;"')"" [(ngModel)]='"&amp;D19&amp;"' 
"&amp;REPT(CHAR(9),9)&amp;"name='"&amp;D19&amp;"'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IF(AND(E19="string",F19 &lt;&gt;"1"),
REPT(CHAR(9),8)&amp;"&lt;div class='input-search'&gt;
"&amp;REPT(CHAR(9),9)&amp;"&lt;input [(ngModel)]='"&amp;D19&amp;"' name='"&amp;D19&amp;"'
"&amp;REPT(CHAR(9),9)&amp;"class='form-control' [placeholder]=""l('"&amp;C19&amp;"')""
"&amp;REPT(CHAR(9),9)&amp;"type='text' (keyup.enter)='searchDatas()'&gt;
"&amp;REPT(CHAR(9),8)&amp;"&lt;/div&gt;",""))</f>
        <v xml:space="preserve">								&lt;div class='input-search'&gt;
									&lt;input [(ngModel)]='isMainPic' name='isMainPic'
									class='form-control' [placeholder]="l('Is Main Pic')"
									type='text' (keyup.enter)='searchDatas()'&gt;
								&lt;/div&gt;</v>
      </c>
      <c r="J19" s="28"/>
      <c r="K19" s="35" t="str">
        <f t="shared" si="13"/>
        <v xml:space="preserve">					&lt;div class='col-md-12 form-group row'&gt;
						&lt;label class='col-md-2 form-control title'&gt;Is Main Pic&lt;/label&gt;
						&lt;input type='text' class='col-md-10 form-control input-text' name='IsMainPic' [(ngModel)]='rowdata.isMainPic'&gt;
					&lt;/div&gt;</v>
      </c>
      <c r="L19" s="56" t="str">
        <f t="shared" si="19"/>
        <v/>
      </c>
      <c r="M19" s="28"/>
      <c r="N19" s="28"/>
      <c r="O19" s="28"/>
      <c r="P19" s="28"/>
      <c r="Q19" s="28"/>
      <c r="R19" s="28"/>
      <c r="S19" s="28" t="str">
        <f t="shared" si="15"/>
        <v xml:space="preserve">	isMainPic : string = '' ; </v>
      </c>
      <c r="T19" s="28" t="str">
        <f t="shared" si="18"/>
        <v xml:space="preserve">			this.picEmail,</v>
      </c>
      <c r="U19" s="28" t="str">
        <f t="shared" si="16"/>
        <v xml:space="preserve">	isMainPic : string = '' ; </v>
      </c>
      <c r="V19" s="28" t="str">
        <f t="shared" si="17"/>
        <v/>
      </c>
    </row>
    <row r="20" spans="1:22" ht="15" customHeight="1" x14ac:dyDescent="0.25">
      <c r="A20" t="s">
        <v>365</v>
      </c>
      <c r="B20" s="28" t="str">
        <f t="shared" si="8"/>
        <v>IsSendEmail</v>
      </c>
      <c r="C20" s="28" t="str">
        <f t="shared" si="9"/>
        <v>Is Send Email</v>
      </c>
      <c r="D20" s="28" t="str">
        <f t="shared" si="10"/>
        <v>isSendEmail</v>
      </c>
      <c r="E20" s="28" t="str">
        <f>A.Backend!H14</f>
        <v>string</v>
      </c>
      <c r="F20" s="28" t="str">
        <f>A.Backend!G14</f>
        <v>1</v>
      </c>
      <c r="G20" s="28" t="str">
        <f t="shared" si="11"/>
        <v xml:space="preserve"> : string = '' ; </v>
      </c>
      <c r="H20" s="35" t="str">
        <f t="shared" si="12"/>
        <v xml:space="preserve">			{headerName: this.l('Is Send Email'),headerTooltip: this.l('Is Send Email'),field:  'isSendEmail', cellClass: ['text-center'], width: 120, cellRenderer: 'agCellButtonComponent',
buttonDefTwo: { text: params =&gt; (params.data?.'isSendEmail' == 'Y') ? 'Active' : 'Inactive',iconName: 'fa fa-circle',className: params =&gt; (params.data?.'isSendEmail' == 'Y') ? 'btnActive' : 'btnInActive',},}</v>
      </c>
      <c r="I20" s="35" t="str">
        <f t="shared" si="5"/>
        <v/>
      </c>
      <c r="J20" s="28"/>
      <c r="K20" s="35" t="str">
        <f t="shared" si="13"/>
        <v xml:space="preserve">					&lt;div class='col-md-12 form-group row'&gt;
						&lt;label class='col-md-2 form-control title'&gt;Is Send Email&lt;/label&gt;
						&lt;new-checkbox [(ngModel)]='_isSendEmail' name='isSendEmail' className='col-md-10' &gt; &lt;/new-checkbox&gt;
					&lt;/div&gt;</v>
      </c>
      <c r="L20" s="56" t="str">
        <f t="shared" si="19"/>
        <v/>
      </c>
      <c r="M20" s="28"/>
      <c r="N20" s="28"/>
      <c r="O20" s="28"/>
      <c r="P20" s="28"/>
      <c r="Q20" s="28"/>
      <c r="R20" s="28"/>
      <c r="S20" s="28" t="str">
        <f t="shared" si="15"/>
        <v/>
      </c>
      <c r="T20" s="28" t="str">
        <f t="shared" si="18"/>
        <v/>
      </c>
      <c r="U20" s="28" t="str">
        <f t="shared" si="16"/>
        <v/>
      </c>
      <c r="V20" s="28" t="str">
        <f t="shared" si="17"/>
        <v>isSendEmail</v>
      </c>
    </row>
    <row r="21" spans="1:22" ht="18" customHeight="1" x14ac:dyDescent="0.25">
      <c r="A21" t="s">
        <v>318</v>
      </c>
      <c r="B21" s="28" t="str">
        <f t="shared" si="8"/>
        <v>IsActive</v>
      </c>
      <c r="C21" s="28" t="str">
        <f t="shared" si="9"/>
        <v>Is Active</v>
      </c>
      <c r="D21" s="28" t="str">
        <f t="shared" si="10"/>
        <v>isActive</v>
      </c>
      <c r="E21" s="28" t="str">
        <f>A.Backend!H15</f>
        <v>string</v>
      </c>
      <c r="F21" s="28" t="str">
        <f>A.Backend!G15</f>
        <v>1</v>
      </c>
      <c r="G21" s="28" t="str">
        <f t="shared" si="11"/>
        <v xml:space="preserve"> : string = '' ; </v>
      </c>
      <c r="H21" s="35" t="str">
        <f t="shared" si="12"/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21" s="35" t="str">
        <f t="shared" si="5"/>
        <v/>
      </c>
      <c r="J21" s="28"/>
      <c r="K21" s="35" t="str">
        <f t="shared" si="13"/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21" s="56" t="str">
        <f t="shared" si="19"/>
        <v/>
      </c>
      <c r="M21" s="28"/>
      <c r="N21" s="28"/>
      <c r="O21" s="28"/>
      <c r="P21" s="28"/>
      <c r="Q21" s="28"/>
      <c r="R21" s="28"/>
      <c r="S21" s="28" t="str">
        <f t="shared" si="15"/>
        <v/>
      </c>
      <c r="T21" s="28" t="str">
        <f t="shared" si="18"/>
        <v/>
      </c>
      <c r="U21" s="28" t="str">
        <f t="shared" si="16"/>
        <v/>
      </c>
      <c r="V21" s="28" t="str">
        <f t="shared" si="17"/>
        <v>isActive</v>
      </c>
    </row>
    <row r="23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20"/>
  <sheetViews>
    <sheetView workbookViewId="0">
      <selection activeCell="C26" sqref="C26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32</v>
      </c>
    </row>
    <row r="3" spans="1:2" x14ac:dyDescent="0.25">
      <c r="A3" t="s">
        <v>18</v>
      </c>
      <c r="B3" t="s">
        <v>32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355</v>
      </c>
    </row>
    <row r="6" spans="1:2" x14ac:dyDescent="0.25">
      <c r="A6" t="s">
        <v>23</v>
      </c>
      <c r="B6" t="s">
        <v>353</v>
      </c>
    </row>
    <row r="7" spans="1:2" x14ac:dyDescent="0.25">
      <c r="A7" t="s">
        <v>24</v>
      </c>
      <c r="B7" t="s">
        <v>348</v>
      </c>
    </row>
    <row r="8" spans="1:2" x14ac:dyDescent="0.25">
      <c r="A8" t="s">
        <v>4</v>
      </c>
      <c r="B8" t="s">
        <v>348</v>
      </c>
    </row>
    <row r="9" spans="1:2" x14ac:dyDescent="0.25">
      <c r="A9" t="s">
        <v>0</v>
      </c>
      <c r="B9" t="s">
        <v>349</v>
      </c>
    </row>
    <row r="10" spans="1:2" x14ac:dyDescent="0.25">
      <c r="A10" t="s">
        <v>25</v>
      </c>
      <c r="B10" t="s">
        <v>352</v>
      </c>
    </row>
    <row r="11" spans="1:2" x14ac:dyDescent="0.25">
      <c r="A11" t="s">
        <v>26</v>
      </c>
      <c r="B11" t="s">
        <v>352</v>
      </c>
    </row>
    <row r="12" spans="1:2" x14ac:dyDescent="0.25">
      <c r="A12" t="s">
        <v>27</v>
      </c>
      <c r="B12" t="s">
        <v>352</v>
      </c>
    </row>
    <row r="13" spans="1:2" x14ac:dyDescent="0.25">
      <c r="A13" t="s">
        <v>28</v>
      </c>
      <c r="B13" t="s">
        <v>352</v>
      </c>
    </row>
    <row r="14" spans="1:2" x14ac:dyDescent="0.25">
      <c r="A14" t="s">
        <v>29</v>
      </c>
      <c r="B14" t="s">
        <v>352</v>
      </c>
    </row>
    <row r="15" spans="1:2" x14ac:dyDescent="0.25">
      <c r="A15" t="s">
        <v>30</v>
      </c>
      <c r="B15" t="s">
        <v>352</v>
      </c>
    </row>
    <row r="16" spans="1:2" x14ac:dyDescent="0.25">
      <c r="A16" t="s">
        <v>31</v>
      </c>
      <c r="B16" t="s">
        <v>350</v>
      </c>
    </row>
    <row r="17" spans="1:2" x14ac:dyDescent="0.25">
      <c r="A17" t="s">
        <v>3</v>
      </c>
      <c r="B17" t="s">
        <v>350</v>
      </c>
    </row>
    <row r="18" spans="1:2" x14ac:dyDescent="0.25">
      <c r="A18" t="s">
        <v>33</v>
      </c>
      <c r="B18" t="s">
        <v>350</v>
      </c>
    </row>
    <row r="19" spans="1:2" x14ac:dyDescent="0.25">
      <c r="A19" t="s">
        <v>2</v>
      </c>
      <c r="B19" t="s">
        <v>350</v>
      </c>
    </row>
    <row r="20" spans="1:2" x14ac:dyDescent="0.25">
      <c r="A20" t="s">
        <v>262</v>
      </c>
      <c r="B20" t="s">
        <v>351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/>
  <dimension ref="A2:C103"/>
  <sheetViews>
    <sheetView workbookViewId="0">
      <selection activeCell="B99" sqref="B99"/>
    </sheetView>
  </sheetViews>
  <sheetFormatPr defaultColWidth="8.85546875" defaultRowHeight="15.75" x14ac:dyDescent="0.25"/>
  <cols>
    <col min="1" max="1" width="14.28515625" customWidth="1"/>
    <col min="2" max="2" width="71.7109375" style="20" customWidth="1"/>
  </cols>
  <sheetData>
    <row r="2" spans="1:2" x14ac:dyDescent="0.25">
      <c r="A2" s="22" t="s">
        <v>189</v>
      </c>
      <c r="B2" s="23" t="s">
        <v>186</v>
      </c>
    </row>
    <row r="3" spans="1:2" x14ac:dyDescent="0.25">
      <c r="B3" s="20" t="s">
        <v>111</v>
      </c>
    </row>
    <row r="4" spans="1:2" x14ac:dyDescent="0.25">
      <c r="B4" s="20" t="s">
        <v>112</v>
      </c>
    </row>
    <row r="5" spans="1:2" x14ac:dyDescent="0.25">
      <c r="B5" s="20" t="s">
        <v>113</v>
      </c>
    </row>
    <row r="6" spans="1:2" x14ac:dyDescent="0.25">
      <c r="B6" s="20" t="s">
        <v>114</v>
      </c>
    </row>
    <row r="7" spans="1:2" x14ac:dyDescent="0.25">
      <c r="B7" s="20" t="s">
        <v>115</v>
      </c>
    </row>
    <row r="8" spans="1:2" x14ac:dyDescent="0.25">
      <c r="B8" s="20" t="s">
        <v>116</v>
      </c>
    </row>
    <row r="9" spans="1:2" x14ac:dyDescent="0.25">
      <c r="B9" s="20" t="s">
        <v>117</v>
      </c>
    </row>
    <row r="10" spans="1:2" x14ac:dyDescent="0.25">
      <c r="B10" s="20" t="s">
        <v>118</v>
      </c>
    </row>
    <row r="11" spans="1:2" x14ac:dyDescent="0.25">
      <c r="B11" s="20" t="s">
        <v>119</v>
      </c>
    </row>
    <row r="12" spans="1:2" x14ac:dyDescent="0.25">
      <c r="B12" s="20" t="s">
        <v>120</v>
      </c>
    </row>
    <row r="13" spans="1:2" x14ac:dyDescent="0.25">
      <c r="B13" s="20" t="s">
        <v>121</v>
      </c>
    </row>
    <row r="14" spans="1:2" x14ac:dyDescent="0.25">
      <c r="B14" s="20" t="s">
        <v>122</v>
      </c>
    </row>
    <row r="15" spans="1:2" x14ac:dyDescent="0.25">
      <c r="B15" s="20" t="s">
        <v>123</v>
      </c>
    </row>
    <row r="16" spans="1:2" x14ac:dyDescent="0.25">
      <c r="B16" s="20" t="s">
        <v>124</v>
      </c>
    </row>
    <row r="17" spans="1:3" x14ac:dyDescent="0.25">
      <c r="B17" s="20" t="s">
        <v>125</v>
      </c>
    </row>
    <row r="18" spans="1:3" x14ac:dyDescent="0.25">
      <c r="B18" s="20" t="s">
        <v>126</v>
      </c>
      <c r="C18" t="s">
        <v>188</v>
      </c>
    </row>
    <row r="19" spans="1:3" x14ac:dyDescent="0.25">
      <c r="B19" s="20" t="s">
        <v>127</v>
      </c>
    </row>
    <row r="20" spans="1:3" x14ac:dyDescent="0.25">
      <c r="B20" s="20" t="s">
        <v>128</v>
      </c>
    </row>
    <row r="21" spans="1:3" x14ac:dyDescent="0.25">
      <c r="B21" s="20" t="s">
        <v>129</v>
      </c>
    </row>
    <row r="22" spans="1:3" x14ac:dyDescent="0.25">
      <c r="B22" s="20" t="s">
        <v>130</v>
      </c>
      <c r="C22" t="s">
        <v>193</v>
      </c>
    </row>
    <row r="23" spans="1:3" x14ac:dyDescent="0.25">
      <c r="B23" s="20" t="s">
        <v>131</v>
      </c>
    </row>
    <row r="24" spans="1:3" x14ac:dyDescent="0.25">
      <c r="B24" s="20" t="s">
        <v>132</v>
      </c>
    </row>
    <row r="25" spans="1:3" x14ac:dyDescent="0.25">
      <c r="B25" s="20" t="s">
        <v>133</v>
      </c>
    </row>
    <row r="26" spans="1:3" x14ac:dyDescent="0.25">
      <c r="A26" s="22" t="s">
        <v>190</v>
      </c>
      <c r="B26" s="23" t="s">
        <v>187</v>
      </c>
    </row>
    <row r="27" spans="1:3" x14ac:dyDescent="0.25">
      <c r="B27" s="20" t="s">
        <v>134</v>
      </c>
    </row>
    <row r="28" spans="1:3" x14ac:dyDescent="0.25">
      <c r="B28" s="21" t="s">
        <v>135</v>
      </c>
    </row>
    <row r="29" spans="1:3" x14ac:dyDescent="0.25">
      <c r="B29" s="20" t="s">
        <v>136</v>
      </c>
    </row>
    <row r="30" spans="1:3" x14ac:dyDescent="0.25">
      <c r="B30" s="20" t="s">
        <v>137</v>
      </c>
    </row>
    <row r="31" spans="1:3" x14ac:dyDescent="0.25">
      <c r="B31" s="20" t="s">
        <v>138</v>
      </c>
    </row>
    <row r="32" spans="1:3" x14ac:dyDescent="0.25">
      <c r="B32" s="20" t="s">
        <v>139</v>
      </c>
    </row>
    <row r="33" spans="2:2" x14ac:dyDescent="0.25">
      <c r="B33" s="20" t="s">
        <v>140</v>
      </c>
    </row>
    <row r="34" spans="2:2" x14ac:dyDescent="0.25">
      <c r="B34" s="20" t="s">
        <v>141</v>
      </c>
    </row>
    <row r="35" spans="2:2" x14ac:dyDescent="0.25">
      <c r="B35" s="20" t="s">
        <v>142</v>
      </c>
    </row>
    <row r="36" spans="2:2" x14ac:dyDescent="0.25">
      <c r="B36" s="20" t="s">
        <v>143</v>
      </c>
    </row>
    <row r="37" spans="2:2" x14ac:dyDescent="0.25">
      <c r="B37" s="20" t="s">
        <v>144</v>
      </c>
    </row>
    <row r="38" spans="2:2" x14ac:dyDescent="0.25">
      <c r="B38" s="20" t="s">
        <v>145</v>
      </c>
    </row>
    <row r="39" spans="2:2" x14ac:dyDescent="0.25">
      <c r="B39" s="20" t="s">
        <v>146</v>
      </c>
    </row>
    <row r="40" spans="2:2" x14ac:dyDescent="0.25">
      <c r="B40" s="20" t="s">
        <v>147</v>
      </c>
    </row>
    <row r="41" spans="2:2" x14ac:dyDescent="0.25">
      <c r="B41" s="20" t="s">
        <v>148</v>
      </c>
    </row>
    <row r="42" spans="2:2" x14ac:dyDescent="0.25">
      <c r="B42" s="20" t="s">
        <v>149</v>
      </c>
    </row>
    <row r="43" spans="2:2" x14ac:dyDescent="0.25">
      <c r="B43" s="21" t="s">
        <v>150</v>
      </c>
    </row>
    <row r="44" spans="2:2" x14ac:dyDescent="0.25">
      <c r="B44" s="20" t="s">
        <v>136</v>
      </c>
    </row>
    <row r="45" spans="2:2" x14ac:dyDescent="0.25">
      <c r="B45" s="20" t="s">
        <v>151</v>
      </c>
    </row>
    <row r="46" spans="2:2" x14ac:dyDescent="0.25">
      <c r="B46" s="20" t="s">
        <v>152</v>
      </c>
    </row>
    <row r="47" spans="2:2" x14ac:dyDescent="0.25">
      <c r="B47" s="20" t="s">
        <v>153</v>
      </c>
    </row>
    <row r="48" spans="2:2" x14ac:dyDescent="0.25">
      <c r="B48" s="20" t="s">
        <v>154</v>
      </c>
    </row>
    <row r="49" spans="2:2" x14ac:dyDescent="0.25">
      <c r="B49" s="20" t="s">
        <v>137</v>
      </c>
    </row>
    <row r="50" spans="2:2" x14ac:dyDescent="0.25">
      <c r="B50" s="20" t="s">
        <v>138</v>
      </c>
    </row>
    <row r="51" spans="2:2" x14ac:dyDescent="0.25">
      <c r="B51" s="20" t="s">
        <v>139</v>
      </c>
    </row>
    <row r="52" spans="2:2" x14ac:dyDescent="0.25">
      <c r="B52" s="20" t="s">
        <v>140</v>
      </c>
    </row>
    <row r="53" spans="2:2" x14ac:dyDescent="0.25">
      <c r="B53" s="20" t="s">
        <v>141</v>
      </c>
    </row>
    <row r="54" spans="2:2" x14ac:dyDescent="0.25">
      <c r="B54" s="20" t="s">
        <v>142</v>
      </c>
    </row>
    <row r="55" spans="2:2" x14ac:dyDescent="0.25">
      <c r="B55" s="20" t="s">
        <v>143</v>
      </c>
    </row>
    <row r="56" spans="2:2" x14ac:dyDescent="0.25">
      <c r="B56" s="20" t="s">
        <v>155</v>
      </c>
    </row>
    <row r="57" spans="2:2" x14ac:dyDescent="0.25">
      <c r="B57" s="20" t="s">
        <v>156</v>
      </c>
    </row>
    <row r="58" spans="2:2" x14ac:dyDescent="0.25">
      <c r="B58" s="20" t="s">
        <v>144</v>
      </c>
    </row>
    <row r="59" spans="2:2" x14ac:dyDescent="0.25">
      <c r="B59" s="20" t="s">
        <v>145</v>
      </c>
    </row>
    <row r="60" spans="2:2" x14ac:dyDescent="0.25">
      <c r="B60" s="20" t="s">
        <v>157</v>
      </c>
    </row>
    <row r="61" spans="2:2" x14ac:dyDescent="0.25">
      <c r="B61" s="20" t="s">
        <v>158</v>
      </c>
    </row>
    <row r="62" spans="2:2" x14ac:dyDescent="0.25">
      <c r="B62" s="20" t="s">
        <v>159</v>
      </c>
    </row>
    <row r="63" spans="2:2" x14ac:dyDescent="0.25">
      <c r="B63" s="20" t="s">
        <v>154</v>
      </c>
    </row>
    <row r="64" spans="2:2" x14ac:dyDescent="0.25">
      <c r="B64" s="20" t="s">
        <v>146</v>
      </c>
    </row>
    <row r="65" spans="2:2" x14ac:dyDescent="0.25">
      <c r="B65" s="20" t="s">
        <v>147</v>
      </c>
    </row>
    <row r="66" spans="2:2" x14ac:dyDescent="0.25">
      <c r="B66" s="20" t="s">
        <v>160</v>
      </c>
    </row>
    <row r="67" spans="2:2" x14ac:dyDescent="0.25">
      <c r="B67" s="20" t="s">
        <v>154</v>
      </c>
    </row>
    <row r="68" spans="2:2" x14ac:dyDescent="0.25">
      <c r="B68" s="20" t="s">
        <v>148</v>
      </c>
    </row>
    <row r="69" spans="2:2" x14ac:dyDescent="0.25">
      <c r="B69" s="20" t="s">
        <v>161</v>
      </c>
    </row>
    <row r="70" spans="2:2" x14ac:dyDescent="0.25">
      <c r="B70" s="21" t="s">
        <v>162</v>
      </c>
    </row>
    <row r="71" spans="2:2" x14ac:dyDescent="0.25">
      <c r="B71" s="20" t="s">
        <v>136</v>
      </c>
    </row>
    <row r="72" spans="2:2" x14ac:dyDescent="0.25">
      <c r="B72" s="20" t="s">
        <v>137</v>
      </c>
    </row>
    <row r="73" spans="2:2" x14ac:dyDescent="0.25">
      <c r="B73" s="20" t="s">
        <v>138</v>
      </c>
    </row>
    <row r="74" spans="2:2" x14ac:dyDescent="0.25">
      <c r="B74" s="20" t="s">
        <v>139</v>
      </c>
    </row>
    <row r="75" spans="2:2" x14ac:dyDescent="0.25">
      <c r="B75" s="20" t="s">
        <v>143</v>
      </c>
    </row>
    <row r="76" spans="2:2" x14ac:dyDescent="0.25">
      <c r="B76" s="20" t="s">
        <v>145</v>
      </c>
    </row>
    <row r="77" spans="2:2" x14ac:dyDescent="0.25">
      <c r="B77" s="20" t="s">
        <v>146</v>
      </c>
    </row>
    <row r="78" spans="2:2" x14ac:dyDescent="0.25">
      <c r="B78" s="20" t="s">
        <v>147</v>
      </c>
    </row>
    <row r="79" spans="2:2" x14ac:dyDescent="0.25">
      <c r="B79" s="20" t="s">
        <v>148</v>
      </c>
    </row>
    <row r="80" spans="2:2" x14ac:dyDescent="0.25">
      <c r="B80" s="20" t="s">
        <v>161</v>
      </c>
    </row>
    <row r="81" spans="1:2" x14ac:dyDescent="0.25">
      <c r="B81" s="21" t="s">
        <v>163</v>
      </c>
    </row>
    <row r="82" spans="1:2" x14ac:dyDescent="0.25">
      <c r="B82" s="21" t="s">
        <v>164</v>
      </c>
    </row>
    <row r="83" spans="1:2" x14ac:dyDescent="0.25">
      <c r="B83" s="21" t="s">
        <v>165</v>
      </c>
    </row>
    <row r="84" spans="1:2" x14ac:dyDescent="0.25">
      <c r="B84" s="21" t="s">
        <v>166</v>
      </c>
    </row>
    <row r="85" spans="1:2" x14ac:dyDescent="0.25">
      <c r="B85" s="21" t="s">
        <v>167</v>
      </c>
    </row>
    <row r="86" spans="1:2" x14ac:dyDescent="0.25">
      <c r="B86" s="21" t="s">
        <v>168</v>
      </c>
    </row>
    <row r="87" spans="1:2" x14ac:dyDescent="0.25">
      <c r="B87" s="21" t="s">
        <v>169</v>
      </c>
    </row>
    <row r="88" spans="1:2" x14ac:dyDescent="0.25">
      <c r="A88" s="22" t="s">
        <v>191</v>
      </c>
      <c r="B88" s="24" t="s">
        <v>170</v>
      </c>
    </row>
    <row r="89" spans="1:2" x14ac:dyDescent="0.25">
      <c r="B89" s="20" t="s">
        <v>171</v>
      </c>
    </row>
    <row r="90" spans="1:2" x14ac:dyDescent="0.25">
      <c r="B90" s="20" t="s">
        <v>172</v>
      </c>
    </row>
    <row r="91" spans="1:2" x14ac:dyDescent="0.25">
      <c r="B91" s="20" t="s">
        <v>173</v>
      </c>
    </row>
    <row r="92" spans="1:2" x14ac:dyDescent="0.25">
      <c r="B92" s="20" t="s">
        <v>174</v>
      </c>
    </row>
    <row r="93" spans="1:2" x14ac:dyDescent="0.25">
      <c r="B93" s="20" t="s">
        <v>175</v>
      </c>
    </row>
    <row r="94" spans="1:2" x14ac:dyDescent="0.25">
      <c r="B94" s="20" t="s">
        <v>176</v>
      </c>
    </row>
    <row r="95" spans="1:2" x14ac:dyDescent="0.25">
      <c r="B95" s="20" t="s">
        <v>177</v>
      </c>
    </row>
    <row r="96" spans="1:2" x14ac:dyDescent="0.25">
      <c r="B96" s="20" t="s">
        <v>178</v>
      </c>
    </row>
    <row r="97" spans="2:2" x14ac:dyDescent="0.25">
      <c r="B97" s="20" t="s">
        <v>179</v>
      </c>
    </row>
    <row r="98" spans="2:2" x14ac:dyDescent="0.25">
      <c r="B98" s="20" t="s">
        <v>180</v>
      </c>
    </row>
    <row r="99" spans="2:2" x14ac:dyDescent="0.25">
      <c r="B99" s="20" t="s">
        <v>181</v>
      </c>
    </row>
    <row r="100" spans="2:2" x14ac:dyDescent="0.25">
      <c r="B100" s="20" t="s">
        <v>182</v>
      </c>
    </row>
    <row r="101" spans="2:2" x14ac:dyDescent="0.25">
      <c r="B101" s="20" t="s">
        <v>183</v>
      </c>
    </row>
    <row r="102" spans="2:2" x14ac:dyDescent="0.25">
      <c r="B102" s="20" t="s">
        <v>184</v>
      </c>
    </row>
    <row r="103" spans="2:2" x14ac:dyDescent="0.25">
      <c r="B103" s="20" t="s">
        <v>185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Quang Trung</cp:lastModifiedBy>
  <dcterms:created xsi:type="dcterms:W3CDTF">2022-04-01T07:31:40Z</dcterms:created>
  <dcterms:modified xsi:type="dcterms:W3CDTF">2023-04-24T11:54:31Z</dcterms:modified>
</cp:coreProperties>
</file>
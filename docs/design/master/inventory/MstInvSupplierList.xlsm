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master\inventory\"/>
    </mc:Choice>
  </mc:AlternateContent>
  <bookViews>
    <workbookView xWindow="0" yWindow="2730" windowWidth="28800" windowHeight="16425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9" i="5" l="1"/>
  <c r="E19" i="5"/>
  <c r="V19" i="5" s="1"/>
  <c r="C19" i="5"/>
  <c r="B19" i="5"/>
  <c r="D19" i="5" s="1"/>
  <c r="T19" i="5" s="1"/>
  <c r="F18" i="5"/>
  <c r="E18" i="5"/>
  <c r="L18" i="5" s="1"/>
  <c r="C18" i="5"/>
  <c r="B18" i="5"/>
  <c r="D18" i="5" s="1"/>
  <c r="L13" i="1"/>
  <c r="G13" i="1"/>
  <c r="E13" i="1"/>
  <c r="H13" i="1" s="1"/>
  <c r="D13" i="1"/>
  <c r="V13" i="1" s="1"/>
  <c r="K18" i="5" l="1"/>
  <c r="G18" i="5"/>
  <c r="T18" i="5"/>
  <c r="S18" i="5"/>
  <c r="I18" i="5"/>
  <c r="U18" i="5"/>
  <c r="H19" i="5"/>
  <c r="V18" i="5"/>
  <c r="I19" i="5"/>
  <c r="H18" i="5"/>
  <c r="K19" i="5"/>
  <c r="L19" i="5"/>
  <c r="U19" i="5"/>
  <c r="G19" i="5"/>
  <c r="S19" i="5" s="1"/>
  <c r="I13" i="1"/>
  <c r="O13" i="1"/>
  <c r="N13" i="1"/>
  <c r="M13" i="1"/>
  <c r="W13" i="1"/>
  <c r="J13" i="1"/>
  <c r="P13" i="1"/>
  <c r="T13" i="1"/>
  <c r="B2" i="5" l="1"/>
  <c r="C20" i="5" l="1"/>
  <c r="B20" i="5"/>
  <c r="D20" i="5" s="1"/>
  <c r="T20" i="5" s="1"/>
  <c r="C17" i="5"/>
  <c r="B17" i="5"/>
  <c r="D17" i="5" s="1"/>
  <c r="C16" i="5"/>
  <c r="B16" i="5"/>
  <c r="D16" i="5" s="1"/>
  <c r="T16" i="5" l="1"/>
  <c r="T17" i="5"/>
  <c r="B6" i="1"/>
  <c r="G14" i="1"/>
  <c r="E14" i="1"/>
  <c r="D14" i="1"/>
  <c r="V14" i="1" s="1"/>
  <c r="H14" i="1" l="1"/>
  <c r="L14" i="1"/>
  <c r="P14" i="1"/>
  <c r="T14" i="1"/>
  <c r="C15" i="5"/>
  <c r="B15" i="5"/>
  <c r="D15" i="5" s="1"/>
  <c r="T15" i="5" s="1"/>
  <c r="L12" i="1"/>
  <c r="G12" i="1"/>
  <c r="F20" i="5" s="1"/>
  <c r="E12" i="1"/>
  <c r="D12" i="1"/>
  <c r="V12" i="1" s="1"/>
  <c r="G11" i="1"/>
  <c r="F17" i="5" s="1"/>
  <c r="E11" i="1"/>
  <c r="D11" i="1"/>
  <c r="T11" i="1" s="1"/>
  <c r="O14" i="1" l="1"/>
  <c r="M14" i="1"/>
  <c r="J14" i="1"/>
  <c r="I14" i="1"/>
  <c r="W14" i="1"/>
  <c r="N14" i="1"/>
  <c r="H12" i="1"/>
  <c r="M12" i="1" s="1"/>
  <c r="H11" i="1"/>
  <c r="I11" i="1" s="1"/>
  <c r="L11" i="1"/>
  <c r="P11" i="1"/>
  <c r="V11" i="1"/>
  <c r="P12" i="1"/>
  <c r="T12" i="1"/>
  <c r="I12" i="1" l="1"/>
  <c r="J12" i="1"/>
  <c r="N12" i="1"/>
  <c r="W12" i="1"/>
  <c r="E20" i="5"/>
  <c r="O12" i="1"/>
  <c r="W11" i="1"/>
  <c r="E17" i="5"/>
  <c r="J11" i="1"/>
  <c r="M11" i="1"/>
  <c r="O11" i="1"/>
  <c r="N11" i="1"/>
  <c r="G9" i="1"/>
  <c r="F15" i="5" s="1"/>
  <c r="E9" i="1"/>
  <c r="H9" i="1" s="1"/>
  <c r="E15" i="5" s="1"/>
  <c r="D9" i="1"/>
  <c r="V9" i="1" s="1"/>
  <c r="V20" i="5" l="1"/>
  <c r="H20" i="5"/>
  <c r="G20" i="5"/>
  <c r="S20" i="5" s="1"/>
  <c r="I20" i="5"/>
  <c r="L20" i="5"/>
  <c r="U20" i="5"/>
  <c r="K20" i="5"/>
  <c r="V17" i="5"/>
  <c r="K17" i="5"/>
  <c r="L17" i="5"/>
  <c r="H17" i="5"/>
  <c r="U17" i="5"/>
  <c r="I17" i="5"/>
  <c r="G17" i="5"/>
  <c r="S17" i="5" s="1"/>
  <c r="U15" i="5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G10" i="1" l="1"/>
  <c r="F16" i="5" s="1"/>
  <c r="E10" i="1"/>
  <c r="D10" i="1"/>
  <c r="T10" i="1" s="1"/>
  <c r="H10" i="1" l="1"/>
  <c r="E16" i="5" s="1"/>
  <c r="P10" i="1"/>
  <c r="V10" i="1"/>
  <c r="W10" i="1"/>
  <c r="J10" i="1"/>
  <c r="I10" i="1"/>
  <c r="O10" i="1"/>
  <c r="N10" i="1"/>
  <c r="M10" i="1"/>
  <c r="U16" i="5" l="1"/>
  <c r="K16" i="5"/>
  <c r="V16" i="5"/>
  <c r="I16" i="5"/>
  <c r="L16" i="5"/>
  <c r="H16" i="5"/>
  <c r="G16" i="5"/>
  <c r="S16" i="5" s="1"/>
  <c r="W3" i="1"/>
  <c r="V3" i="1"/>
  <c r="B3" i="5" l="1"/>
  <c r="B6" i="5" l="1"/>
  <c r="U7" i="1" l="1"/>
  <c r="B7" i="5" l="1"/>
  <c r="T3" i="1" l="1"/>
  <c r="F3" i="1"/>
  <c r="O7" i="1" l="1"/>
  <c r="N7" i="1"/>
  <c r="E68" i="3" s="1"/>
  <c r="B4" i="5"/>
  <c r="K7" i="1"/>
  <c r="H6" i="1"/>
  <c r="R10" i="5" l="1"/>
  <c r="M75" i="3" s="1"/>
  <c r="N68" i="3" l="1"/>
  <c r="B8" i="5"/>
  <c r="B5" i="5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5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5" i="1"/>
  <c r="T7" i="1" l="1"/>
  <c r="W15" i="1"/>
  <c r="G6" i="1" l="1"/>
  <c r="U13" i="5"/>
  <c r="I13" i="5"/>
  <c r="S13" i="5"/>
  <c r="H13" i="5"/>
  <c r="K13" i="5"/>
  <c r="L13" i="5"/>
  <c r="V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9" i="1" l="1"/>
  <c r="L10" i="1"/>
  <c r="C7" i="1"/>
  <c r="J15" i="1"/>
  <c r="P15" i="1"/>
  <c r="O15" i="1"/>
  <c r="N15" i="1"/>
  <c r="I15" i="1"/>
  <c r="Q7" i="1" l="1"/>
  <c r="M68" i="3" s="1"/>
  <c r="L7" i="1"/>
  <c r="G68" i="3" s="1"/>
  <c r="K68" i="3"/>
  <c r="J68" i="3"/>
  <c r="M15" i="1"/>
  <c r="K15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<sst xmlns="http://schemas.openxmlformats.org/spreadsheetml/2006/main" count="456" uniqueCount="368">
  <si>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</si>
  <si>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</si>
  <si>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</si>
  <si>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</si>
  <si>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</si>
  <si>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</si>
  <si>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</si>
  <si>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</si>
  <si>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</si>
  <si>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</si>
  <si>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</si>
  <si>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</si>
  <si>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</si>
  <si>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</si>
  <si>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</si>
  <si>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</si>
  <si>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</si>
  <si>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</si>
  <si>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</si>
  <si>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</si>
  <si>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</si>
  <si>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</si>
  <si>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</si>
  <si>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</si>
  <si>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</si>
  <si>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</si>
  <si>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</si>
  <si>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</si>
  <si>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</si>
  <si>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</si>
  <si>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</si>
  <si>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</si>
  <si>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</si>
  <si>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</si>
  <si>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</si>
  <si>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</si>
  <si>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</si>
  <si>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</si>
  <si>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</si>
  <si>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</si>
  <si>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</si>
  <si>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</si>
  <si>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</si>
  <si>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</si>
  <si>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</si>
  <si>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</si>
  <si>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</si>
  <si>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</si>
  <si>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</si>
  <si>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</si>
  <si>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</si>
  <si>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</si>
  <si>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</si>
  <si>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</si>
  <si>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</si>
  <si>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</si>
  <si>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</si>
  <si>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</si>
  <si>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</si>
  <si>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</si>
  <si>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</si>
  <si>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</si>
  <si>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</si>
  <si>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</si>
  <si>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</si>
  <si>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</si>
  <si>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</si>
  <si>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</si>
  <si>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</si>
  <si>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</si>
  <si>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</si>
  <si>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</si>
  <si>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</si>
  <si>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</si>
  <si>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</si>
  <si>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</si>
  <si>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</si>
  <si>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</si>
  <si>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</si>
  <si>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</si>
  <si>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</si>
  <si>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</si>
  <si>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</si>
  <si>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</si>
  <si>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</si>
  <si>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</si>
  <si>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</si>
  <si>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</si>
  <si>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</si>
  <si>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</si>
  <si>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</si>
  <si>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</si>
  <si>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</si>
  <si>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</si>
  <si>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</si>
  <si>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</si>
  <si>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</si>
  <si>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</si>
  <si>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</si>
  <si>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</si>
  <si>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</si>
  <si>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</si>
  <si>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</si>
  <si>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</si>
  <si>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</si>
  <si>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</si>
  <si>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</si>
  <si>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</si>
  <si>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</si>
  <si>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</si>
  <si>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</si>
  <si>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</si>
  <si>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</si>
  <si>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</si>
  <si>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</si>
  <si>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</si>
  <si>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</si>
  <si>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</si>
  <si>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</si>
  <si>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</si>
  <si>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</si>
  <si>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</si>
  <si>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</si>
  <si>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</si>
  <si>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</si>
  <si>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</si>
  <si>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</si>
  <si>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</si>
  <si>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</si>
  <si>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</si>
  <si>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</si>
  <si>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</si>
  <si>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</si>
  <si>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</si>
  <si>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</si>
  <si>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</si>
  <si>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</si>
  <si>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</si>
  <si>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</si>
  <si>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</si>
  <si>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</si>
  <si>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</si>
  <si>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</si>
  <si>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</si>
  <si>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</si>
  <si>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</si>
  <si>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</si>
  <si>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</si>
  <si>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</si>
  <si>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</si>
  <si>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</si>
  <si>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</si>
  <si>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</si>
  <si>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</si>
  <si>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</si>
  <si>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</si>
  <si>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</si>
  <si>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</si>
  <si>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</si>
  <si>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</si>
  <si>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</si>
  <si>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</si>
  <si>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</si>
  <si>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</si>
  <si>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</si>
  <si>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</si>
  <si>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</si>
  <si>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</si>
  <si>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</si>
  <si>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</si>
  <si>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</si>
  <si>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</si>
  <si>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</si>
  <si>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</si>
  <si>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</si>
  <si>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</si>
  <si>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</si>
  <si>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</si>
  <si>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</si>
  <si>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</si>
  <si>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</si>
  <si>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</si>
  <si>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</si>
  <si>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</si>
  <si>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</si>
  <si>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</si>
  <si>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</si>
  <si>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</si>
  <si>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</si>
  <si>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</si>
  <si>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</si>
  <si>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</si>
  <si>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</si>
  <si>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</si>
  <si>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</si>
  <si>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</si>
  <si>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</si>
  <si>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</si>
  <si>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</si>
  <si>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</si>
  <si>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</si>
  <si>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</si>
  <si>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</si>
  <si>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</si>
  <si>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</si>
  <si>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</si>
  <si>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</si>
  <si>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</si>
  <si>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</si>
  <si>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</si>
  <si>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</si>
  <si>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</si>
  <si>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</si>
  <si>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</si>
  <si>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</si>
  <si>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</si>
  <si>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</si>
  <si>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</si>
  <si>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</si>
  <si>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</si>
  <si>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</si>
  <si>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</si>
  <si>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</si>
  <si>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</si>
  <si>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</si>
  <si>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</si>
  <si>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</si>
  <si>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</si>
  <si>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</si>
  <si>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</si>
  <si>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</si>
  <si>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</si>
  <si>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</si>
  <si>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</si>
  <si>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</si>
  <si>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</si>
  <si>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</si>
  <si>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</si>
  <si>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</si>
  <si>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</si>
  <si>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</si>
  <si>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</si>
  <si>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</si>
  <si>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</si>
  <si>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</si>
  <si>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</si>
  <si>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</si>
  <si>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</si>
  <si>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</si>
  <si>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</si>
  <si>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</si>
  <si>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</si>
  <si>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</si>
  <si>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</si>
  <si>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</si>
  <si>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</si>
  <si>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</si>
  <si>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</si>
  <si>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</si>
  <si>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</si>
  <si>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</si>
  <si>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</si>
  <si>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</si>
  <si>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</si>
  <si>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</si>
  <si>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</si>
  <si>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</si>
  <si>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</si>
  <si>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</si>
  <si>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</si>
  <si>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</si>
  <si>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</si>
  <si>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</si>
  <si>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</si>
  <si>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</si>
  <si>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</si>
  <si>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</si>
  <si>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</si>
  <si>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</si>
  <si>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</si>
  <si>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</si>
  <si>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</si>
  <si>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</si>
  <si>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</si>
  <si>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</si>
  <si>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</si>
  <si>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</si>
  <si>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</si>
  <si>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</si>
  <si>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</si>
  <si>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</si>
  <si>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</si>
  <si>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</si>
  <si>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</si>
  <si>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</si>
  <si>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</si>
  <si>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</si>
  <si>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</si>
  <si>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</si>
  <si>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</si>
  <si>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</si>
  <si>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</si>
  <si>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</si>
  <si>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</si>
  <si>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</si>
  <si>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</si>
  <si>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</si>
  <si>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</si>
  <si>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</si>
  <si>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</si>
  <si>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</si>
  <si>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</si>
  <si>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</si>
  <si>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</si>
  <si>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</si>
  <si>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</si>
  <si>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</si>
  <si>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</si>
  <si>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</si>
  <si>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</si>
  <si>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</si>
  <si>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</si>
  <si>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</si>
  <si>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</si>
  <si>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</si>
  <si>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</si>
  <si>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</si>
  <si>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</si>
  <si>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</si>
  <si>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</si>
  <si>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</si>
  <si>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</si>
  <si>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</si>
  <si>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</si>
  <si>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</si>
  <si>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</si>
  <si>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</si>
  <si>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</si>
  <si>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</si>
  <si>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</si>
  <si>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</si>
  <si>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</si>
  <si>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</si>
  <si>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</si>
  <si>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</si>
  <si>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</si>
  <si>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</si>
  <si>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</si>
  <si>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</si>
  <si>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</si>
  <si>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</si>
  <si>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</si>
  <si>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</si>
  <si>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Master.Inventory</t>
  </si>
  <si>
    <t>varchar(50)</t>
  </si>
  <si>
    <t>MstInvSupplierList</t>
  </si>
  <si>
    <t>SupplierList</t>
  </si>
  <si>
    <t>SUPPLIER_NO</t>
  </si>
  <si>
    <t>varchar(10)</t>
  </si>
  <si>
    <t>SUPPLIER_NAME</t>
  </si>
  <si>
    <t>REMARKS</t>
  </si>
  <si>
    <t>varchar(1000)</t>
  </si>
  <si>
    <t>SUPPLIER_TYPE</t>
  </si>
  <si>
    <t>nvarchar(10)</t>
  </si>
  <si>
    <t>SUPPLIER_NAME_VN</t>
  </si>
  <si>
    <t>EXPORTER</t>
  </si>
  <si>
    <t>varchar(200)</t>
  </si>
  <si>
    <t>Supplier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</si>
</sst>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0" fillId="0" borderId="0" xfId="0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abSelected="1" topLeftCell="A52" zoomScaleNormal="100" workbookViewId="0">
      <selection activeCell="E105" sqref="E105"/>
    </sheetView>
  </sheetViews>
  <sheetFormatPr defaultColWidth="8.7109375" defaultRowHeight="15" x14ac:dyDescent="0.25"/>
  <cols>
    <col min="1" max="1" width="3.42578125" customWidth="1"/>
    <col min="2" max="2" width="18.42578125" customWidth="1"/>
    <col min="3" max="5" width="26.28515625" customWidth="1"/>
    <col min="6" max="6" width="29.42578125" customWidth="1"/>
    <col min="7" max="10" width="26.28515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25">
      <c r="A18" s="1"/>
      <c r="B18" s="17"/>
      <c r="D18" t="s">
        <v>350</v>
      </c>
      <c r="F18" s="1" t="s">
        <v>352</v>
      </c>
      <c r="G18" s="17" t="s">
        <v>351</v>
      </c>
    </row>
    <row r="19" spans="1:7" x14ac:dyDescent="0.25">
      <c r="A19" s="1"/>
      <c r="B19" s="17"/>
      <c r="C19" t="s">
        <v>91</v>
      </c>
      <c r="F19" s="1" t="s">
        <v>100</v>
      </c>
      <c r="G19" s="17" t="s">
        <v>100</v>
      </c>
    </row>
    <row r="20" spans="1:7" x14ac:dyDescent="0.25">
      <c r="A20" s="1"/>
      <c r="B20" s="17"/>
      <c r="D20" t="s">
        <v>95</v>
      </c>
      <c r="F20" s="1" t="s">
        <v>114</v>
      </c>
      <c r="G20" s="17" t="s">
        <v>293</v>
      </c>
    </row>
    <row r="21" spans="1:7" x14ac:dyDescent="0.25">
      <c r="A21" s="1"/>
      <c r="B21" s="17"/>
      <c r="D21" t="s">
        <v>96</v>
      </c>
      <c r="F21" s="1" t="s">
        <v>104</v>
      </c>
      <c r="G21" s="17" t="s">
        <v>294</v>
      </c>
    </row>
    <row r="22" spans="1:7" x14ac:dyDescent="0.25">
      <c r="A22" s="1"/>
      <c r="B22" s="17"/>
      <c r="C22" t="s">
        <v>92</v>
      </c>
      <c r="F22" s="1" t="s">
        <v>101</v>
      </c>
      <c r="G22" s="17" t="s">
        <v>101</v>
      </c>
    </row>
    <row r="23" spans="1:7" x14ac:dyDescent="0.25">
      <c r="A23" s="1"/>
      <c r="B23" s="17"/>
      <c r="D23" t="s">
        <v>95</v>
      </c>
      <c r="F23" s="1" t="s">
        <v>114</v>
      </c>
      <c r="G23" s="17" t="s">
        <v>303</v>
      </c>
    </row>
    <row r="24" spans="1:7" x14ac:dyDescent="0.25">
      <c r="A24" s="1"/>
      <c r="B24" s="17"/>
      <c r="C24" t="s">
        <v>90</v>
      </c>
      <c r="F24" s="1" t="s">
        <v>99</v>
      </c>
      <c r="G24" s="17" t="s">
        <v>99</v>
      </c>
    </row>
    <row r="25" spans="1:7" x14ac:dyDescent="0.25">
      <c r="A25" s="1"/>
      <c r="B25" s="17"/>
      <c r="D25" t="s">
        <v>95</v>
      </c>
      <c r="F25" s="1" t="s">
        <v>114</v>
      </c>
      <c r="G25" s="17" t="s">
        <v>302</v>
      </c>
    </row>
    <row r="26" spans="1:7" x14ac:dyDescent="0.25">
      <c r="A26" s="1"/>
      <c r="B26" s="17"/>
      <c r="C26" t="s">
        <v>93</v>
      </c>
      <c r="F26" s="1" t="s">
        <v>102</v>
      </c>
      <c r="G26" s="17" t="s">
        <v>102</v>
      </c>
    </row>
    <row r="27" spans="1:7" x14ac:dyDescent="0.25">
      <c r="A27" s="1"/>
      <c r="B27" s="17"/>
      <c r="C27" t="s">
        <v>271</v>
      </c>
      <c r="F27" s="1" t="s">
        <v>272</v>
      </c>
      <c r="G27" s="17" t="s">
        <v>272</v>
      </c>
    </row>
    <row r="28" spans="1:7" x14ac:dyDescent="0.25">
      <c r="A28" s="1"/>
      <c r="B28" s="17"/>
      <c r="D28" t="s">
        <v>273</v>
      </c>
      <c r="F28" s="1" t="s">
        <v>275</v>
      </c>
      <c r="G28" s="17" t="s">
        <v>295</v>
      </c>
    </row>
    <row r="29" spans="1:7" x14ac:dyDescent="0.25">
      <c r="A29" s="1"/>
      <c r="B29" s="17"/>
      <c r="D29" t="s">
        <v>276</v>
      </c>
      <c r="F29" s="1" t="s">
        <v>274</v>
      </c>
      <c r="G29" s="17" t="s">
        <v>296</v>
      </c>
    </row>
    <row r="30" spans="1:7" x14ac:dyDescent="0.25">
      <c r="A30" s="1"/>
      <c r="B30" s="17"/>
      <c r="D30" t="s">
        <v>277</v>
      </c>
      <c r="F30" s="1" t="s">
        <v>280</v>
      </c>
      <c r="G30" s="17" t="s">
        <v>297</v>
      </c>
    </row>
    <row r="31" spans="1:7" x14ac:dyDescent="0.25">
      <c r="A31" s="1"/>
      <c r="B31" s="17"/>
      <c r="D31" t="s">
        <v>278</v>
      </c>
      <c r="F31" s="1" t="s">
        <v>281</v>
      </c>
      <c r="G31" s="17" t="s">
        <v>298</v>
      </c>
    </row>
    <row r="32" spans="1:7" x14ac:dyDescent="0.25">
      <c r="A32" s="1"/>
      <c r="B32" s="17"/>
      <c r="D32" t="s">
        <v>279</v>
      </c>
      <c r="F32" s="1" t="s">
        <v>282</v>
      </c>
      <c r="G32" s="17" t="s">
        <v>299</v>
      </c>
    </row>
    <row r="33" spans="1:8" x14ac:dyDescent="0.25">
      <c r="A33" s="1"/>
      <c r="B33" s="17"/>
      <c r="D33" t="s">
        <v>284</v>
      </c>
      <c r="F33" s="1" t="s">
        <v>283</v>
      </c>
      <c r="G33" s="17" t="s">
        <v>300</v>
      </c>
    </row>
    <row r="34" spans="1:8" x14ac:dyDescent="0.25">
      <c r="A34" s="1"/>
      <c r="B34" s="17"/>
      <c r="C34" t="s">
        <v>306</v>
      </c>
      <c r="F34" s="1" t="s">
        <v>307</v>
      </c>
      <c r="G34" s="17" t="s">
        <v>307</v>
      </c>
    </row>
    <row r="35" spans="1:8" x14ac:dyDescent="0.25">
      <c r="A35" s="1"/>
      <c r="B35" s="17"/>
      <c r="D35" t="s">
        <v>309</v>
      </c>
      <c r="F35" s="1" t="s">
        <v>310</v>
      </c>
      <c r="G35" s="17" t="s">
        <v>311</v>
      </c>
    </row>
    <row r="36" spans="1:8" x14ac:dyDescent="0.25">
      <c r="A36" s="1"/>
      <c r="B36" s="17"/>
      <c r="D36" t="s">
        <v>96</v>
      </c>
      <c r="F36" s="1" t="s">
        <v>104</v>
      </c>
      <c r="G36" s="17" t="s">
        <v>312</v>
      </c>
    </row>
    <row r="37" spans="1:8" x14ac:dyDescent="0.25">
      <c r="A37" s="1"/>
      <c r="B37" s="17"/>
      <c r="D37" t="s">
        <v>313</v>
      </c>
      <c r="F37" s="1" t="s">
        <v>314</v>
      </c>
      <c r="G37" s="17" t="s">
        <v>315</v>
      </c>
    </row>
    <row r="38" spans="1:8" x14ac:dyDescent="0.25">
      <c r="A38" s="1"/>
      <c r="B38" s="17"/>
      <c r="D38" t="s">
        <v>316</v>
      </c>
      <c r="F38" s="1" t="s">
        <v>317</v>
      </c>
      <c r="G38" s="17" t="s">
        <v>318</v>
      </c>
    </row>
    <row r="39" spans="1:8" x14ac:dyDescent="0.25">
      <c r="A39" s="1"/>
      <c r="B39" s="17"/>
      <c r="D39" t="s">
        <v>320</v>
      </c>
      <c r="F39" s="1" t="s">
        <v>321</v>
      </c>
      <c r="G39" s="17" t="s">
        <v>322</v>
      </c>
    </row>
    <row r="40" spans="1:8" x14ac:dyDescent="0.25">
      <c r="A40" s="1"/>
      <c r="B40" s="17"/>
      <c r="C40" t="s">
        <v>319</v>
      </c>
      <c r="F40" s="1" t="s">
        <v>301</v>
      </c>
      <c r="G40" s="17" t="s">
        <v>301</v>
      </c>
    </row>
    <row r="41" spans="1:8" x14ac:dyDescent="0.25">
      <c r="A41" s="1"/>
      <c r="B41" s="17"/>
      <c r="D41" t="s">
        <v>304</v>
      </c>
      <c r="F41" s="1" t="s">
        <v>304</v>
      </c>
      <c r="G41" s="17" t="s">
        <v>305</v>
      </c>
      <c r="H41" s="17" t="s">
        <v>323</v>
      </c>
    </row>
    <row r="42" spans="1:8" x14ac:dyDescent="0.25">
      <c r="A42" s="1"/>
      <c r="B42" s="17"/>
      <c r="C42" t="s">
        <v>324</v>
      </c>
      <c r="F42" s="1" t="s">
        <v>337</v>
      </c>
      <c r="G42" s="17" t="s">
        <v>337</v>
      </c>
    </row>
    <row r="43" spans="1:8" x14ac:dyDescent="0.25">
      <c r="A43" s="1"/>
      <c r="B43" s="17"/>
      <c r="D43" t="s">
        <v>325</v>
      </c>
      <c r="F43" s="1" t="s">
        <v>331</v>
      </c>
      <c r="G43" s="17" t="s">
        <v>338</v>
      </c>
    </row>
    <row r="44" spans="1:8" x14ac:dyDescent="0.25">
      <c r="A44" s="1"/>
      <c r="B44" s="17"/>
      <c r="D44" t="s">
        <v>327</v>
      </c>
      <c r="F44" s="1" t="s">
        <v>332</v>
      </c>
      <c r="G44" s="17" t="s">
        <v>339</v>
      </c>
    </row>
    <row r="45" spans="1:8" x14ac:dyDescent="0.25">
      <c r="A45" s="1"/>
      <c r="B45" s="17"/>
      <c r="D45" t="s">
        <v>326</v>
      </c>
      <c r="F45" s="1" t="s">
        <v>333</v>
      </c>
      <c r="G45" s="17" t="s">
        <v>340</v>
      </c>
    </row>
    <row r="46" spans="1:8" x14ac:dyDescent="0.25">
      <c r="A46" s="1"/>
      <c r="B46" s="17"/>
      <c r="D46" t="s">
        <v>329</v>
      </c>
      <c r="F46" s="1" t="s">
        <v>334</v>
      </c>
      <c r="G46" s="17" t="s">
        <v>341</v>
      </c>
    </row>
    <row r="47" spans="1:8" x14ac:dyDescent="0.25">
      <c r="A47" s="1"/>
      <c r="B47" s="17"/>
      <c r="D47" t="s">
        <v>347</v>
      </c>
      <c r="F47" s="1" t="s">
        <v>348</v>
      </c>
      <c r="G47" s="17" t="s">
        <v>349</v>
      </c>
    </row>
    <row r="48" spans="1:8" x14ac:dyDescent="0.25">
      <c r="A48" s="1"/>
      <c r="B48" s="17"/>
      <c r="D48" t="s">
        <v>330</v>
      </c>
      <c r="F48" s="1" t="s">
        <v>335</v>
      </c>
      <c r="G48" s="17" t="s">
        <v>342</v>
      </c>
    </row>
    <row r="49" spans="1:7" x14ac:dyDescent="0.25">
      <c r="A49" s="1"/>
      <c r="B49" s="17"/>
      <c r="D49" t="s">
        <v>328</v>
      </c>
      <c r="F49" s="1" t="s">
        <v>336</v>
      </c>
      <c r="G49" s="17" t="s">
        <v>343</v>
      </c>
    </row>
    <row r="50" spans="1:7" x14ac:dyDescent="0.25">
      <c r="A50" s="1"/>
      <c r="B50" s="17"/>
      <c r="D50" t="s">
        <v>344</v>
      </c>
      <c r="F50" s="1" t="s">
        <v>345</v>
      </c>
      <c r="G50" s="17" t="s">
        <v>346</v>
      </c>
    </row>
    <row r="51" spans="1:7" x14ac:dyDescent="0.25">
      <c r="A51" s="1"/>
      <c r="B51" s="17"/>
    </row>
    <row r="52" spans="1:7" x14ac:dyDescent="0.25">
      <c r="A52" s="1"/>
      <c r="B52" s="17" t="s">
        <v>86</v>
      </c>
    </row>
    <row r="53" spans="1:7" x14ac:dyDescent="0.25">
      <c r="A53" s="1"/>
      <c r="B53" s="17" t="s">
        <v>83</v>
      </c>
    </row>
    <row r="54" spans="1:7" x14ac:dyDescent="0.25">
      <c r="A54" s="1"/>
      <c r="B54" s="17"/>
      <c r="C54" s="19" t="s">
        <v>80</v>
      </c>
    </row>
    <row r="55" spans="1:7" x14ac:dyDescent="0.25">
      <c r="A55" s="1"/>
      <c r="B55" s="17"/>
      <c r="C55" s="18" t="s">
        <v>81</v>
      </c>
    </row>
    <row r="56" spans="1:7" x14ac:dyDescent="0.25">
      <c r="A56" s="1"/>
      <c r="B56" s="17"/>
      <c r="C56" s="18" t="s">
        <v>82</v>
      </c>
    </row>
    <row r="57" spans="1:7" x14ac:dyDescent="0.25">
      <c r="A57" s="1"/>
      <c r="B57" s="17" t="s">
        <v>106</v>
      </c>
      <c r="C57" s="18"/>
    </row>
    <row r="58" spans="1:7" x14ac:dyDescent="0.25">
      <c r="A58" s="1"/>
      <c r="B58" s="17"/>
      <c r="C58" s="18" t="s">
        <v>107</v>
      </c>
    </row>
    <row r="59" spans="1:7" x14ac:dyDescent="0.25">
      <c r="A59" s="1"/>
      <c r="B59" s="17"/>
      <c r="C59" s="18" t="s">
        <v>108</v>
      </c>
    </row>
    <row r="60" spans="1:7" x14ac:dyDescent="0.25">
      <c r="A60" s="1"/>
      <c r="B60" s="17"/>
      <c r="C60" s="18" t="s">
        <v>109</v>
      </c>
    </row>
    <row r="61" spans="1:7" x14ac:dyDescent="0.25">
      <c r="A61" s="1"/>
      <c r="B61" s="17"/>
      <c r="C61" s="18" t="s">
        <v>111</v>
      </c>
    </row>
    <row r="62" spans="1:7" x14ac:dyDescent="0.25">
      <c r="A62" s="1"/>
      <c r="B62" s="17"/>
      <c r="C62" s="18" t="s">
        <v>113</v>
      </c>
    </row>
    <row r="63" spans="1:7" x14ac:dyDescent="0.25">
      <c r="A63" s="1"/>
      <c r="B63" s="17"/>
      <c r="C63" s="18" t="s">
        <v>112</v>
      </c>
    </row>
    <row r="64" spans="1:7" x14ac:dyDescent="0.25">
      <c r="A64" s="1"/>
      <c r="B64" s="17"/>
      <c r="C64" s="18" t="s">
        <v>110</v>
      </c>
    </row>
    <row r="65" spans="2:14" ht="21" customHeight="1" x14ac:dyDescent="0.25">
      <c r="B65" s="21" t="s">
        <v>78</v>
      </c>
    </row>
    <row r="66" spans="2:14" ht="21" customHeight="1" x14ac:dyDescent="0.25">
      <c r="B66" s="63" t="s">
        <v>231</v>
      </c>
    </row>
    <row r="67" spans="2:14" ht="15.75" thickBot="1" x14ac:dyDescent="0.3">
      <c r="C67" s="1" t="s">
        <v>72</v>
      </c>
      <c r="D67" s="1" t="s">
        <v>207</v>
      </c>
      <c r="E67" s="1" t="s">
        <v>208</v>
      </c>
      <c r="F67" s="1" t="s">
        <v>198</v>
      </c>
      <c r="G67" s="1" t="s">
        <v>199</v>
      </c>
      <c r="H67" s="1" t="s">
        <v>200</v>
      </c>
      <c r="I67" s="1" t="s">
        <v>201</v>
      </c>
      <c r="J67" s="1" t="s">
        <v>205</v>
      </c>
      <c r="K67" s="1" t="s">
        <v>209</v>
      </c>
      <c r="L67" s="1" t="s">
        <v>210</v>
      </c>
      <c r="M67" s="1" t="s">
        <v>211</v>
      </c>
      <c r="N67" s="1" t="s">
        <v>227</v>
      </c>
    </row>
    <row r="68" spans="2:14" s="16" customFormat="1" ht="21.75" customHeight="1" thickBot="1" x14ac:dyDescent="0.3">
      <c r="B68" s="52" t="s">
        <v>226</v>
      </c>
      <c r="C6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[Table("MstInvSupplierList")]
	[Index(nameof(SupplierNo), Name="IX_MstInvSupplierList_SupplierNo")]
	public class MstInvSupplierList: FullAuditedEntity&lt;long&gt;, IEntity&lt;long&gt;	
	{
		public const int MaxSupplierNoLength = 10;
		public const int MaxSupplierNameLength = 50;
		public const int MaxRemarksLength = 1000;
		public const int MaxSupplierTypeLength = 10;
		public const int MaxSupplierNameVnLength = 50;
		public const int MaxExporterLength = 200;
		[StringLength(MaxSupplierNoLength)]
		public virtual string SupplierNo { get; set; }
		[StringLength(MaxSupplierNameLength)]
		public virtual string SupplierName { get; set; }
		[StringLength(MaxRemarksLength)]
		public virtual string Remarks { get; set; }
		[StringLength(MaxSupplierTypeLength)]
		public virtual string SupplierType { get; set; }
		[StringLength(MaxSupplierNameVnLength)]
		public virtual string SupplierNameVn { get; set; }
		[StringLength(MaxExporterLength)]
		public virtual string Exporter { get; set; }
	}
}
</v>
      </c>
      <c r="D68" s="51" t="str">
        <f>A.Backend!O7</f>
        <v xml:space="preserve">		public const string Pages_Master_Inventory_SupplierList = "Pages.Master.Inventory.SupplierList";
		public const string Pages_Master_Inventory_SupplierList_CreateEdit = "Pages.Master.Inventory.SupplierList.CreateEdit";
		public const string Pages_Master_Inventory_SupplierList_Delete = "Pages.Master.Inventory.SupplierList.Delete";
</v>
      </c>
      <c r="E68" s="51" t="str">
        <f>A.Backend!N7</f>
        <v xml:space="preserve">		var perMstInvSupplierList = PARENTS.CreateChildPermission(AppPermissions.Pages_Master_Inventory_SupplierList, L( "MasterInventorySupplierList"), multiTenancySides: MultiTenancySides.Tenant);
		perMstInvSupplierList.CreateChildPermission(AppPermissions.Pages_Master_Inventory_SupplierList_CreateEdit, L( "MasterInventorySupplierListCreateEdit"), multiTenancySides: MultiTenancySides.Tenant);
		perMstInvSupplierList.CreateChildPermission(AppPermissions.Pages_Master_Inventory_SupplierList_Delete, L( "MasterInventorySupplierListDelete"), multiTenancySides: MultiTenancySides.Tenant);</v>
      </c>
      <c r="F68" s="51" t="str">
        <f>A.Backend!K7</f>
        <v>public virtual DbSet&lt;MstInvSupplierList&gt; MstInvSupplierLists { get; set; }</v>
      </c>
      <c r="G68" s="51" t="str">
        <f ca="1">A.Backend!L7</f>
        <v xml:space="preserve">namespace prod.Master.Inventory
{
	public class MstInvSupplierListConsts	
	{
		public const int MaxSupplierNoLength = 10;
		public const int MaxSupplierNameLength = 50;
		public const int MaxRemarksLength = 1000;
		public const int MaxSupplierTypeLength = 10;
		public const int MaxSupplierNameVnLength = 50;
		public const int MaxExporterLength = 200;
		// Define Store Name: Format SP_ + &lt;Store Name&gt; = &lt;Store Name&gt;
	}
}
</v>
      </c>
      <c r="H68" s="51" t="str">
        <f ca="1">A.Backend!M7</f>
        <v xml:space="preserve">using Abp.Application.Services.Dto;
using System;
using System.ComponentModel.DataAnnotations;
namespace prod.Master.Inventory.Dto
{
	public class MstInvSupplierListDto : EntityDto&lt;long?&gt;	
	{
		public virtual string SupplierNo { get; set; }
		public virtual string SupplierName { get; set; }
		public virtual string Remarks { get; set; }
		public virtual string SupplierType { get; set; }
		public virtual string SupplierNameVn { get; set; }
		public virtual string Exporter { get; set; }
	}
	public class CreateOrEditMstInvSupplierListDto : EntityDto&lt;long?&gt;	
	{
		[StringLength(MstInvSupplierListConsts.MaxSupplierNoLength)]
		public virtual string SupplierNo { get; set; }
		[StringLength(MstInvSupplierListConsts.MaxSupplierNameLength)]
		public virtual string SupplierName { get; set; }
		[StringLength(MstInvSupplierListConsts.MaxRemarksLength)]
		public virtual string Remarks { get; set; }
		[StringLength(MstInvSupplierListConsts.MaxSupplierTypeLength)]
		public virtual string SupplierType { get; set; }
		[StringLength(MstInvSupplierListConsts.MaxSupplierNameVnLength)]
		public virtual string SupplierNameVn { get; set; }
		[StringLength(MstInvSupplierListConsts.MaxExporterLength)]
		public virtual string Exporter { get; set; }
	}
	public class GetMstInvSupplierListInput : PagedAndSortedResultRequestDto	
	{
		public virtual string SupplierNo { get; set; }
		public virtual string SupplierName { get; set; }
		public virtual string Remarks { get; set; }
		public virtual string SupplierType { get; set; }
		public virtual string SupplierNameVn { get; set; }
		public virtual string Exporter { get; set; }
	}
}
</v>
      </c>
      <c r="I68" s="51" t="str">
        <f ca="1">A.Backend!R7</f>
        <v xml:space="preserve">using Abp.Application.Services.Dto;
using System;
using System.ComponentModel.DataAnnotations;
namespace prod.Master.Inventory.Dto
{
	public class MstInvSupplierListExportInput{
		public virtual string SupplierNo { get; set; }
		public virtual string SupplierName { get; set; }
		public virtual string Remarks { get; set; }
		public virtual string SupplierType { get; set; }
		public virtual string SupplierNameVn { get; set; }
		public virtual string Exporter { get; set; }
	}
}
</v>
      </c>
      <c r="J68" s="51" t="str">
        <f>A.Backend!P7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IMstInvSupplierListAppService : IApplicationService
	{
		Task&lt;PagedResultDto&lt;MstInvSupplierListDto&gt;&gt; GetAll(GetMstInvSupplierListInput input);
		Task CreateOrEdit(CreateOrEditMstInvSupplierListDto input);
		Task Delete(EntityDto input);
	}
}
</v>
      </c>
      <c r="K68" s="51" t="str">
        <f>A.Backend!S7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IMstInvSupplierListExcelExporter : IApplicationService
	{
		FileDto ExportToFile(List&lt;MstInvSupplierListDto&gt; mstinvsupplierlist);
	}
}
</v>
      </c>
      <c r="L68" s="51" t="str">
        <f ca="1">A.Backend!T7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MstInvSupplierListExcelExporter : NpoiExcelExporterBase, IMstInvSupplierListExcelExporter
    {
        public MstInvSupplierListExcelExporter(ITempFileCacheManager tempFileCacheManager) : base(tempFileCacheManager) { }
        public FileDto ExportToFile(List&lt;MstInvSupplierListDto&gt; supplierlist)
        {
            return CreateExcelPackage(
				"MasterInventorySupplierList.xlsx",
				excelPackage =&gt;
				 {
					var sheet = excelPackage.CreateSheet("SupplierList");
					AddHeader(
								sheet,
								("SupplierNo"),
								("SupplierName"),
								("Remarks"),
								("SupplierType"),
								("SupplierNameVn"),
								("Exporter"),
							   );
					AddObjects(
						 sheet, 1, supplierlist,                                       
								_ =&gt; _.SupplierNo,
								_ =&gt; _.SupplierName,
								_ =&gt; _.Remarks,
								_ =&gt; _.SupplierType,
								_ =&gt; _.SupplierNameVn,
								_ =&gt; _.Exporter,
								);
			for (var i = 0; i &lt; 8; i++)
				{
					sheet.AutoSizeColumn(i);
				}
			});
        }
    }
}</v>
      </c>
      <c r="M6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[AbpAuthorize(AppPermissions.Pages_Master_Inventory_SupplierList)]
    public class MstInvSupplierListAppService : vovinaAppServiceBase, IMstInvSupplierListAppService
    {
        private readonly IDapperRepository&lt;MstInvSupplierList, long&gt; _dapperRepo;
        private readonly IRepository&lt;MstInvSupplierList, long&gt; _repo;
        private readonly IMstInvSupplierListExcelExporter _calendarListExcelExporter;
        public MstInvSupplierListAppService(IRepository&lt;MstInvSupplierList,long&gt; repo, 
                                         IDapperRepository&lt;MstInvSupplierList,long&gt; dapperRepo,
                                        IMstInvSupplierListExcelExporter calendarListExcelExporter
            )
        {
            _repo = repo;
            _dapperRepo = dapperRepo;
            _calendarListExcelExporter = calendarListExcelExporter;
        }
        [AbpAuthorize(AppPermissions.Pages_Master_Inventory_SupplierList_CreateEdit)]
        public async Task CreateOrEdit(CreateOrEditMstInvSupplierListDto input)
        {
            if (input.Id == null) await Create(input);
            else await Update(input);
        }
        //CREATE
        private async Task Create(CreateOrEditMstInvSupplierListDto input)
        {          
            var mainObj = ObjectMapper.Map&lt;MstInvSupplierList&gt;(input);
            await CurrentUnitOfWork.GetDbContext&lt;vovinaDbContext&gt;().AddAsync(mainObj);
        }
        // EDIT
        private async Task Update(CreateOrEditMstInvSupplierListDto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[AbpAuthorize(AppPermissions.Pages_Master_Inventory_SupplierList_Delete)]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Task&lt;PagedResultDto&lt;MstInvSupplierListDto&gt;&gt; GetAll(GetMstInvSupplierListInput input)
        {
            var filtered = _repo.GetAll()
				.WhereIf(!string.IsNullOrWhiteSpace(input.SupplierNo), e =&gt; e.SupplierNo.Contains(input.SupplierNo))
				.WhereIf(!string.IsNullOrWhiteSpace(input.SupplierName), e =&gt; e.SupplierName.Contains(input.SupplierName))
				.WhereIf(!string.IsNullOrWhiteSpace(input.Remarks), e =&gt; e.Remarks.Contains(input.Remarks))
				.WhereIf(!string.IsNullOrWhiteSpace(input.SupplierType), e =&gt; e.SupplierType.Contains(input.SupplierType))
				.WhereIf(!string.IsNullOrWhiteSpace(input.SupplierNameVn), e =&gt; e.SupplierNameVn.Contains(input.SupplierNameVn))
				.WhereIf(!string.IsNullOrWhiteSpace(input.Exporter), e =&gt; e.Exporter.Contains(input.Exporter))                   
				;
            var pageAndFiltered = filtered.OrderBy(s =&gt; s.Id);
            var system = from o in pageAndFiltered
                         select new MstInvSupplierListDto
                        {
							Id = o.Id,
							SupplierNo = o.SupplierNo,
							SupplierName = o.SupplierName,
							Remarks = o.Remarks,
							SupplierType = o.SupplierType,
							SupplierNameVn = o.SupplierNameVn,
							Exporter = o.Exporter,
                        };
            var totalCount = await filtered.CountAsync();
			var paged = system.PageBy(input);
            return new PagedResultDto&lt;MstInvSupplierListDto&gt;(
                totalCount,
                 await paged.ToListAsync()
            );
        }
        public async Task&lt;FileDto&gt; GetSupplierListToExcel(MstInvSupplierListExportInput input)
        {
            var query = from o in _repo.GetAll()
                        select new MstInvSupplierListDto
                        {
							Id = o.Id,
							SupplierNo = o.SupplierNo,
							SupplierName = o.SupplierName,
							Remarks = o.Remarks,
							SupplierType = o.SupplierType,
							SupplierNameVn = o.SupplierNameVn,
							Exporter = o.Exporter,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_dapperRepo.ExecuteAsync(MstInvSupplierListConsts.SP_MST_WPT_CALENDAR_GENERATE);
       // }
    }
}</v>
      </c>
      <c r="N68" s="62" t="str">
        <f>A.Backend!U7</f>
        <v xml:space="preserve">  configuration.CreateMap&lt;MstInvSupplierListDto, MstInvSupplierList&gt;();
  configuration.CreateMap&lt;MstInvSupplierList, MstInvSupplierListDto&gt;();
  configuration.CreateMap&lt;CreateOrEditMstInvSupplierListDto, MstInvSupplierList&gt;();</v>
      </c>
    </row>
    <row r="69" spans="2:14" s="16" customFormat="1" ht="21.75" customHeight="1" x14ac:dyDescent="0.25">
      <c r="C69" s="65"/>
      <c r="D69" s="29"/>
      <c r="E69" s="29"/>
      <c r="F69" s="29"/>
      <c r="G69" s="29"/>
      <c r="H69" s="66"/>
      <c r="I69" s="67"/>
      <c r="J69" s="29"/>
      <c r="K69" s="29"/>
      <c r="M69" s="66"/>
    </row>
    <row r="70" spans="2:14" s="16" customFormat="1" ht="21.75" customHeight="1" x14ac:dyDescent="0.25">
      <c r="C70" s="29"/>
      <c r="D70" s="29"/>
      <c r="E70" s="29"/>
      <c r="F70" s="29"/>
      <c r="G70" s="29"/>
      <c r="H70" s="29"/>
      <c r="J70" s="29"/>
      <c r="K70" s="29"/>
      <c r="M70" s="29"/>
    </row>
    <row r="71" spans="2:14" s="16" customFormat="1" ht="21.75" customHeight="1" x14ac:dyDescent="0.25">
      <c r="C71" s="29"/>
      <c r="D71" s="29"/>
      <c r="E71" s="29"/>
      <c r="G71" s="29"/>
      <c r="H71" s="29"/>
    </row>
    <row r="72" spans="2:14" x14ac:dyDescent="0.25">
      <c r="B72" s="1" t="s">
        <v>73</v>
      </c>
    </row>
    <row r="73" spans="2:14" ht="21" x14ac:dyDescent="0.35">
      <c r="B73" t="str">
        <f>B.Frontend!B8</f>
        <v>supplierlist</v>
      </c>
      <c r="C73" s="73" t="str">
        <f>"create folder " &amp;B73</f>
        <v>create folder supplierlist</v>
      </c>
      <c r="D73" s="73"/>
      <c r="E73" s="73"/>
      <c r="F73" s="73"/>
      <c r="G73" s="73"/>
      <c r="H73" s="73"/>
      <c r="I73" s="73"/>
      <c r="J73" s="73"/>
      <c r="K73" s="74" t="s">
        <v>228</v>
      </c>
      <c r="L73" s="74"/>
      <c r="M73" s="31"/>
    </row>
    <row r="74" spans="2:14" s="28" customFormat="1" ht="18" customHeight="1" x14ac:dyDescent="0.25">
      <c r="B74" s="60" t="s">
        <v>229</v>
      </c>
      <c r="C74" s="31" t="str">
        <f>B.Frontend!H14</f>
        <v>supplierlist.component.ts</v>
      </c>
      <c r="D74" s="31" t="str">
        <f>B.Frontend!I14</f>
        <v>supplierlist.component.html</v>
      </c>
      <c r="E74" s="31" t="str">
        <f>B.Frontend!J14</f>
        <v>supplierlist.component.less</v>
      </c>
      <c r="F74" s="31" t="str">
        <f>B.Frontend!K14</f>
        <v>create-or-edit-supplierlist-modal.component.html</v>
      </c>
      <c r="G74" s="31" t="str">
        <f>B.Frontend!L14</f>
        <v>create-or-edit-supplierlist-modal.component.ts</v>
      </c>
      <c r="H74" s="31" t="str">
        <f>B.Frontend!M14</f>
        <v>create-or-edit-supplierlist-modal.component.less</v>
      </c>
      <c r="I74" s="31" t="str">
        <f>B.Frontend!N14</f>
        <v>supplierlist.module.ts</v>
      </c>
      <c r="J74" s="31" t="str">
        <f>B.Frontend!O14</f>
        <v>supplierlist-routing.module.ts</v>
      </c>
      <c r="K74" s="31" t="str">
        <f>B.Frontend!P14</f>
        <v>app.navigation.service.ts</v>
      </c>
      <c r="L74" s="31" t="str">
        <f>B.Frontend!Q14</f>
        <v>main.routing.module.ts</v>
      </c>
      <c r="M74" s="60" t="s">
        <v>232</v>
      </c>
    </row>
    <row r="75" spans="2:14" ht="21.75" customHeight="1" x14ac:dyDescent="0.25">
      <c r="B75" s="61" t="s">
        <v>226</v>
      </c>
      <c r="C7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MstInvSupplierListDto, MstInvSupplierListServiceProxy } from '@shared/service-proxies/service-proxies';
import { finalize } from 'rxjs/internal/operators/finalize';
import { CreateOrEditSupplierListModalComponent } from './create-or-edit-supplierlist-modal.component';
import { DatePipe } from '@angular/common';
import { FileDownloadService } from '@shared/utils/file-download.service';
import ceil from 'lodash-es/ceil';
import { Paginator } from 'primeng/paginator';
@Component({
    templateUrl: './supplierlist.component.html',
    styleUrls: ['./supplierlist.component.less'],
})
export class SupplierListComponent extends AppComponentBase implements OnInit {
    @ViewChild('createOrEditModalSupplierList', { static: true }) createOrEditModalSupplierList:| CreateOrEditSupplierListModalComponent|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MstInvSupplierListDto = new MstInvSupplierListDto();
    saveSelectedRow: MstInvSupplierListDto = new MstInvSupplierListDto();
    datas: MstInvSupplierListDto = new MstInvSupplierListDto();
    isLoading: boolean = false;
    dataParams: GridParams | undefined;
    rowData: any[] = [];
    gridApi!: GridApi;
    rowSelection = 'multiple';
    filter: string = '';
	pipe = new DatePipe('en-US');
	frameworkComponents: FrameworkComponent;
    	supplierNo : string = '' ; 
	supplierName : string = '' ; 
remarks : string = '' ; 
	supplierType : string = '' ; 
	supplierNameVn : string = '' ; 
	exporter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MstInvSupplierListServiceProxy,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No'),headerTooltip: this.l('Supplier No'),field: 'supplierNo',flex: 1},
			{headerName: this.l('Supplier Name'),headerTooltip: this.l('Supplier Name'),field: 'supplierName',flex: 1},
			{headerName: this.l('Remarks'),headerTooltip: this.l('Remarks'),field: 'remarks',flex: 1},
			{headerName: this.l('Supplier Type'),headerTooltip: this.l('Supplier Type'),field: 'supplierType',flex: 1},
			{headerName: this.l('Supplier Name Vn'),headerTooltip: this.l('Supplier Name Vn'),field: 'supplierNameVn',flex: 1},
			{headerName: this.l('Exporter'),headerTooltip: this.l('Exporter'),field: 'exporter',flex: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this.supplierNo,
			this.supplierName,
			this.remarks,
			this.supplierType,
			this.supplierNameVn,
			this.exporter,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this.supplierNo = '',
		this.supplierName = '',
this.remarks = '',
		this.supplierType = '',
		this.supplierNameVn = '',
		this.exporter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this.supplierNo,
			this.supplierName,
			this.remarks,
			this.supplierType,
			this.supplierNameVn,
			this.exporter,
			'',
            this.paginationParams.skipCount,
            this.paginationParams.pageSize
        );
    }
    onChangeRowSelection(params: { api: { getSelectedRows: () =&gt; MstInvSupplierListDto[] } }) {
        this.saveSelectedRow = params.api.getSelectedRows()[0] ?? new MstInvSupplierListDto();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MstInvSupplierListDto):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this._service.getSupplierListToExcel(
			this.supplierNo,
			this.supplierName,
			this.remarks,
			this.supplierType,
			this.supplierNameVn,
			this.exporter,
            )
            .subscribe((result) =&gt; {
                this._fileDownloadService.downloadTempFile(result);
        });
    }
}</v>
      </c>
      <c r="D7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Supplier List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[(ngModel)]='supplierName' name='supplierName'
									class='form-control' [placeholder]="l('Supplier Name')"
									type='text' (keyup.enter)='searchDatas()'&gt;
								&lt;/div&gt;
								&lt;div class='input-search'&gt;
									&lt;input [(ngModel)]='remarks' name='remarks'
									class='form-control' [placeholder]="l('Remarks')"
									type='text' (keyup.enter)='searchDatas()'&gt;
								&lt;/div&gt;
								&lt;div class='input-search'&gt;
									&lt;input [(ngModel)]='supplierType' name='supplierType'
									class='form-control' [placeholder]="l('Supplier Type')"
									type='text' (keyup.enter)='searchDatas()'&gt;
								&lt;/div&gt;
								&lt;div class='input-search'&gt;
									&lt;input [(ngModel)]='supplierNameVn' name='supplierNameVn'
									class='form-control' [placeholder]="l('Supplier Name Vn')"
									type='text' (keyup.enter)='searchDatas()'&gt;
								&lt;/div&gt;
								&lt;div class='input-search'&gt;
									&lt;input [(ngModel)]='exporter' name='exporter'
									class='form-control' [placeholder]="l('Exporter')"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(click)="createOrEditModalSupplierList.show()"&gt;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(click)="createOrEditModalSupplierList.show(selectedRow)"&gt;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&lt;create-or-edit-supplierlist-modal
    #createOrEditModalSupplierList
    (modalSave)="callBackDataGrid(dataParams)"
    (modalClose)="onChangeRowSelection(dataParams)"
&gt;
&lt;/create-or-edit-supplierlist-modal&gt;</v>
      </c>
      <c r="E75" s="49" t="str">
        <f>B.Frontend!J10</f>
        <v>.input-search{
    width: 250px;
    border-radius: 10px;
    margin-left: 10px;
}
.btn-search{
    width: 50px;
    margin-left: 10px;
}</v>
      </c>
      <c r="F75" s="49" t="str">
        <f ca="1">B.Frontend!K10</f>
        <v>&lt;div bsModal #createOrEditModalSupplierList="bs-modal"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SupplierList')}}&lt;/h3&gt;
                    &lt;h3 *ngIf="!rowdata.id"&gt;{{('Create New SupplierList')}}&lt;/h3&gt;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title'&gt;Supplier Name&lt;/label&gt;
						&lt;input type='text' class='col-md-10 form-control input-text' name='SupplierName' [(ngModel)]='rowdata.supplierName'&gt;
					&lt;/div&gt;
					&lt;div class='col-md-12 form-group row'&gt;
						&lt;label class='col-md-2 form-control title'&gt;Remarks&lt;/label&gt;
						&lt;input type='text' class='col-md-10 form-control input-text' name='Remarks' [(ngModel)]='rowdata.remarks'&gt;
					&lt;/div&gt;
					&lt;div class='col-md-12 form-group row'&gt;
						&lt;label class='col-md-2 form-control title'&gt;Supplier Type&lt;/label&gt;
						&lt;input type='text' class='col-md-10 form-control input-text' name='SupplierType' [(ngModel)]='rowdata.supplierType'&gt;
					&lt;/div&gt;
					&lt;div class='col-md-12 form-group row'&gt;
						&lt;label class='col-md-2 form-control title'&gt;Supplier Name Vn&lt;/label&gt;
						&lt;input type='text' class='col-md-10 form-control input-text' name='SupplierNameVn' [(ngModel)]='rowdata.supplierNameVn'&gt;
					&lt;/div&gt;
					&lt;div class='col-md-12 form-group row'&gt;
						&lt;label class='col-md-2 form-control title'&gt;Exporter&lt;/label&gt;
						&lt;input type='text' class='col-md-10 form-control input-text' name='Exporter' [(ngModel)]='rowdata.exporter'&gt;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CreateOrEditMstInvSupplierListDto, MstInvSupplierListServiceProxy } from '@shared/service-proxies/service-proxies';
import { BsDatepickerDirective } from 'ngx-bootstrap/datepicker';
@Component({
    selector: 'create-or-edit-supplierlist-modal',
    templateUrl: './create-or-edit-supplierlist-modal.component.html',
    styleUrls: ['./create-or-edit-supplierlist-modal.component.less']
    })
export class CreateOrEditSupplierListModalComponent extends AppComponentBase {
    @ViewChild('createOrEditModalSupplierList',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CreateOrEditMstInvSupplierListDto = new CreateOrEditMstInvSupplierListDto();
    active: boolean = false;
    saving: boolean = false;
    _: boolean;
    constructor(
        injector: Injector,
        private _mstwptSupplierListService: MstInvSupplierListServiceProxy,
    ) 
    {
        super(injector);
    }
    show(rowdata?: CreateOrEditMstInvSupplierListDto): void {
        if (!rowdata) this.rowdata = new CreateOrEditMstInvSupplierListDto();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this._mstwptSupplierListService.createOrEdit(this.rowdata)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9" t="str">
        <f>B.Frontend!N10</f>
        <v>import {NgModule} from '@angular/core';
import {AppSharedModule} from '@app/shared/app-shared.module';
import { SupplierListRoutingModule } from './supplierlist-routing.module';
import { SupplierListComponent } from './supplierlist.component';
import { CreateOrEditSupplierListModalComponent } from './create-or-edit-supplierlist-modal.component';
@NgModule({
    declarations: [
       SupplierListComponent, 
        CreateOrEditSupplierListModalComponent
    ],
    imports: [
        AppSharedModule, SupplierListRoutingModule]
})
export class SupplierListModule {}</v>
      </c>
      <c r="J75" s="49" t="str">
        <f>B.Frontend!O10</f>
        <v>import {NgModule} from '@angular/core';
import {RouterModule, Routes} from '@angular/router';
import { SupplierListComponent } from './supplierlist.component';
const routes: Routes = [{
    path: '',
    component: SupplierListComponent,
    pathMatch: 'full'
}];
@NgModule({
    imports: [RouterModule.forChild(routes)],
    exports: [RouterModule],
})
export class SupplierListRoutingModule {}</v>
      </c>
      <c r="K75" s="49" t="str">
        <f>B.Frontend!P10</f>
        <v xml:space="preserve"> new AppMenuItem("SupplierList", "Pages.Master.Inventory.SupplierList", "flaticon-book",   "/app/main/master/inventory/supplierlist"),</v>
      </c>
      <c r="L75" s="50" t="str">
        <f>B.Frontend!Q10</f>
        <v>{
    path: 'master/inventory/supplierlist',
    loadChildren: () =&gt; import('./master/inventory/supplierlist/supplierlist.module').then(m =&gt; m.SupplierListModule),
    data: { permission: 'Pages.Master.Inventory.SupplierList' }
},</v>
      </c>
      <c r="M75" s="48" t="str">
        <f>B.Frontend!R10</f>
        <v>ApiServiceProxies.MstInvSupplierListServiceProxy,</v>
      </c>
    </row>
    <row r="77" spans="2:14" x14ac:dyDescent="0.25">
      <c r="B77" s="1" t="s">
        <v>75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5"/>
  <sheetViews>
    <sheetView workbookViewId="0">
      <pane xSplit="1" topLeftCell="B1" activePane="topRight" state="frozen"/>
      <selection pane="topRight" activeCell="B7" sqref="B7"/>
    </sheetView>
  </sheetViews>
  <sheetFormatPr defaultColWidth="9.28515625" defaultRowHeight="15" x14ac:dyDescent="0.25"/>
  <cols>
    <col min="1" max="1" width="20.71093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71093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71093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28515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28515625" style="8" customWidth="1"/>
    <col min="23" max="23" width="27.7109375" style="9" customWidth="1"/>
    <col min="24" max="16384" width="9.28515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vovina.Master.Inventory.Dto;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353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355</v>
      </c>
      <c r="C3" s="10" t="s">
        <v>43</v>
      </c>
      <c r="D3" s="10" t="s">
        <v>44</v>
      </c>
      <c r="E3" s="10" t="s">
        <v>39</v>
      </c>
      <c r="F3" s="11" t="str">
        <f>"J"&amp;COUNTA($A:$A)</f>
        <v>J14</v>
      </c>
      <c r="G3" s="4" t="s">
        <v>57</v>
      </c>
      <c r="H3" s="10" t="str">
        <f>"I"&amp;COUNTA($A:$A)</f>
        <v>I14</v>
      </c>
      <c r="I3" s="10" t="str">
        <f>REPT(CHAR(9),2)&amp;"[Required]"&amp;"
"</f>
        <v xml:space="preserve">		[Required]
</v>
      </c>
      <c r="J3" s="11" t="str">
        <f>"L"&amp;COUNTA($A:$A)</f>
        <v>L14</v>
      </c>
      <c r="K3" s="5" t="s">
        <v>56</v>
      </c>
      <c r="L3" s="11" t="str">
        <f>"M"&amp;COUNTA($A:$A)</f>
        <v>M14</v>
      </c>
      <c r="M3" s="11" t="str">
        <f>"N"&amp;COUNTA($A:$A)</f>
        <v>N14</v>
      </c>
      <c r="N3" s="11" t="str">
        <f>"O"&amp;COUNTA($A:$A)</f>
        <v>O14</v>
      </c>
      <c r="O3" s="11" t="str">
        <f>"P"&amp;COUNTA($A:$A)</f>
        <v>P14</v>
      </c>
      <c r="Q3" s="11" t="str">
        <f>RIGHT(B2,(LEN(B2)-FIND(".",B2,1)))</f>
        <v>Inventory</v>
      </c>
      <c r="R3" s="32" t="str">
        <f>REPT(CHAR(9),1)&amp;"public class "&amp;B3&amp;"ExportInput"&amp;C3</f>
        <v xml:space="preserve">	public class MstInvSupplierListExportInput{
</v>
      </c>
      <c r="S3" s="11" t="str">
        <f>"namespace "&amp;$B$6&amp;".Exporting
"&amp;$C$3</f>
        <v xml:space="preserve">namespace prod.Master.Inventory.Exporting
{
</v>
      </c>
      <c r="T3" s="11" t="str">
        <f>"T"&amp;COUNTA($A:$A)</f>
        <v>T14</v>
      </c>
      <c r="V3" s="11" t="str">
        <f>"V"&amp;COUNTA($A:$A)</f>
        <v>V14</v>
      </c>
      <c r="W3" s="10" t="str">
        <f>"W"&amp;COUNTA($A:$A)</f>
        <v>W14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356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25.15" customHeight="1" x14ac:dyDescent="0.25">
      <c r="A6" s="1" t="s">
        <v>6</v>
      </c>
      <c r="B6" s="10" t="str">
        <f>"prod."&amp;B2</f>
        <v>prod.Master.Inventory</v>
      </c>
      <c r="C6" s="11" t="str">
        <f>"namespace "&amp;$B$6&amp;"
"&amp;$C$3</f>
        <v xml:space="preserve">namespace prod.Master.Inventory
{
</v>
      </c>
      <c r="D6" s="11" t="str">
        <f>REPT(CHAR(9),1)&amp;"public class "&amp;B3&amp;G3&amp;REPT(CHAR(9),1)&amp;"
"&amp;REPT(CHAR(9),1)&amp;C3</f>
        <v xml:space="preserve">	public class MstInvSupplierList: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MstInvSupplierListConsts	
	{
</v>
      </c>
      <c r="F6" s="11" t="str">
        <f>REPT(CHAR(9),1)&amp;"public class "&amp;B3&amp;"Dto"&amp;K3&amp;REPT(CHAR(9),1)&amp;"
"&amp;REPT(CHAR(9),1)&amp;C3</f>
        <v xml:space="preserve">	public class MstInvSupplierListDto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CreateOrEditMstInvSupplierListDto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GetMstInvSupplierListInput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25.15" customHeight="1" x14ac:dyDescent="0.25">
      <c r="A7" s="1" t="s">
        <v>13</v>
      </c>
      <c r="B7" s="10" t="str">
        <f>B3</f>
        <v>MstInvSupplierList</v>
      </c>
      <c r="C7" s="11" t="str">
        <f>REPT(CHAR(9),1)&amp;"[Table("""&amp;B7&amp;""")]"&amp;"
"</f>
        <v xml:space="preserve">	[Table("MstInvSupplierList")]
</v>
      </c>
      <c r="D7" s="11"/>
      <c r="E7" s="11"/>
      <c r="F7" s="11"/>
      <c r="G7" s="11"/>
      <c r="H7" s="11"/>
      <c r="I7" s="11"/>
      <c r="J7" s="6" t="str">
        <f ca="1">SUBSTITUTE(SUBSTITUTE((B1&amp;C6&amp;C7&amp;K15&amp;D6&amp;I15&amp;E3&amp;J15&amp;""&amp;REPT(CHAR(9),1)&amp;D3&amp;D3),"WorkingPattern",$Q$3),"Master",$B$4)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prod.Master.Inventory
{
	[Table("MstInvSupplierList")]
	[Index(nameof(SupplierNo), Name="IX_MstInvSupplierList_SupplierNo")]
	public class MstInvSupplierList: FullAuditedEntity&lt;long&gt;, IEntity&lt;long&gt;	
	{
		public const int MaxSupplierNoLength = 10;
		public const int MaxSupplierNameLength = 50;
		public const int MaxRemarksLength = 1000;
		public const int MaxSupplierTypeLength = 10;
		public const int MaxSupplierNameVnLength = 50;
		public const int MaxExporterLength = 200;
		[StringLength(MaxSupplierNoLength)]
		public virtual string SupplierNo { get; set; }
		[StringLength(MaxSupplierNameLength)]
		public virtual string SupplierName { get; set; }
		[StringLength(MaxRemarksLength)]
		public virtual string Remarks { get; set; }
		[StringLength(MaxSupplierTypeLength)]
		public virtual string SupplierType { get; set; }
		[StringLength(MaxSupplierNameVnLength)]
		public virtual string SupplierNameVn { get; set; }
		[StringLength(MaxExporterLength)]
		public virtual string Exporter { get; set; }
	}
}
</v>
      </c>
      <c r="K7" t="str">
        <f>SUBSTITUTE(SUBSTITUTE(("public virtual DbSet&lt;"&amp;B3&amp;"&gt; "&amp;B3&amp;"s { get; set; }"),"WorkingPattern",$Q$3),"Master",$B$4)</f>
        <v>public virtual DbSet&lt;MstInvSupplierList&gt; MstInvSupplierLists { get; set; }</v>
      </c>
      <c r="L7" t="str">
        <f ca="1">SUBSTITUTE(SUBSTITUTE((C6&amp;E6&amp;I15&amp;"
"&amp;REPT(CHAR(9),2)&amp;"// Define Store Name: Format SP_ + &lt;Store Name&gt; = &lt;Store Name&gt;
"&amp;E3&amp;REPT(CHAR(9),1)&amp;D3&amp;D3),"WorkingPattern",$Q$3),"Master",$B$4)</f>
        <v xml:space="preserve">namespace prod.Master.Inventory
{
	public class MstInvSupplierListConsts	
	{
		public const int MaxSupplierNoLength = 10;
		public const int MaxSupplierNameLength = 50;
		public const int MaxRemarksLength = 1000;
		public const int MaxSupplierTypeLength = 10;
		public const int MaxSupplierNameVnLength = 50;
		public const int MaxExporterLength = 200;
		// Define Store Name: Format SP_ + &lt;Store Name&gt; = &lt;Store Name&gt;
	}
}
</v>
      </c>
      <c r="M7" t="str">
        <f ca="1">SUBSTITUTE(SUBSTITUTE((C1&amp;"namespace "&amp;B6&amp;".Dto"&amp;E3&amp;C3&amp;F6&amp;M15&amp;E3&amp;REPT(CHAR(9),1)&amp;D3&amp;G6&amp;N15&amp;REPT(CHAR(9),1)&amp;D3&amp;H6&amp;O15&amp;"
"&amp;REPT(CHAR(9),1)&amp;D3&amp;D3),"WorkingPattern",$Q$3),"Master",$B$4)</f>
        <v xml:space="preserve">using Abp.Application.Services.Dto;
using System;
using System.ComponentModel.DataAnnotations;
namespace prod.Master.Inventory.Dto
{
	public class MstInvSupplierListDto : EntityDto&lt;long?&gt;	
	{
		public virtual string SupplierNo { get; set; }
		public virtual string SupplierName { get; set; }
		public virtual string Remarks { get; set; }
		public virtual string SupplierType { get; set; }
		public virtual string SupplierNameVn { get; set; }
		public virtual string Exporter { get; set; }
	}
	public class CreateOrEditMstInvSupplierListDto : EntityDto&lt;long?&gt;	
	{
		[StringLength(MstInvSupplierListConsts.MaxSupplierNoLength)]
		public virtual string SupplierNo { get; set; }
		[StringLength(MstInvSupplierListConsts.MaxSupplierNameLength)]
		public virtual string SupplierName { get; set; }
		[StringLength(MstInvSupplierListConsts.MaxRemarksLength)]
		public virtual string Remarks { get; set; }
		[StringLength(MstInvSupplierListConsts.MaxSupplierTypeLength)]
		public virtual string SupplierType { get; set; }
		[StringLength(MstInvSupplierListConsts.MaxSupplierNameVnLength)]
		public virtual string SupplierNameVn { get; set; }
		[StringLength(MstInvSupplierListConsts.MaxExporterLength)]
		public virtual string Exporter { get; set; }
	}
	public class GetMstInvSupplierListInput : PagedAndSortedResultRequestDto	
	{
		public virtual string SupplierNo { get; set; }
		public virtual string SupplierName { get; set; }
		public virtual string Remarks { get; set; }
		public virtual string SupplierType { get; set; }
		public virtual string SupplierNameVn { get; set; }
		public virtual string Exporter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perMstInvSupplierList = PARENTS.CreateChildPermission(AppPermissions.Pages_Master_Inventory_SupplierList, L( "MasterInventorySupplierList"), multiTenancySides: MultiTenancySides.Tenant);
		perMstInvSupplierList.CreateChildPermission(AppPermissions.Pages_Master_Inventory_SupplierList_CreateEdit, L( "MasterInventorySupplierListCreateEdit"), multiTenancySides: MultiTenancySides.Tenant);
		perMstInvSupplierList.CreateChildPermission(AppPermissions.Pages_Master_Inventory_SupplierList_Delete, L( "MasterInventorySupplierListDelete"),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Pages_Master_Inventory_SupplierList = "Pages.Master.Inventory.SupplierList";
		public const string Pages_Master_Inventory_SupplierList_CreateEdit = "Pages.Master.Inventory.SupplierList.CreateEdit";
		public const string Pages_Master_Inventory_SupplierList_Delete = "Pages.Master.Inventory.SupplierList.Delete";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
{
	public interface IMstInvSupplierListAppService : IApplicationService
	{
		Task&lt;PagedResultDto&lt;MstInvSupplierListDto&gt;&gt; GetAll(GetMstInvSupplierListInput input);
		Task CreateOrEdit(CreateOrEditMstInvSupplierListDto input);
		Task Delete(EntityDto input);
	}
}
</v>
      </c>
      <c r="Q7" t="str">
        <f ca="1">SUBSTITUTE(SUBSTITUTE(SUBSTITUTE(SUBSTITUTE(SUBSTITUTE(SUBSTITUTE(E1,"MstWptCalendar",$B$3),"&lt;PROPERTIES&gt;",P15),"Calendar",$B$5),"WorkingPattern",$Q$3),"Master",$B$4),"&lt;PARAMS_SEARCH&gt;",$W$15)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vovina.Master.Inventory.Dto;
using vovina.Master.Inventory.Exporting;
namespace vovina.Master.Inventory
{
    [AbpAuthorize(AppPermissions.Pages_Master_Inventory_SupplierList)]
    public class MstInvSupplierListAppService : vovinaAppServiceBase, IMstInvSupplierListAppService
    {
        private readonly IDapperRepository&lt;MstInvSupplierList, long&gt; _dapperRepo;
        private readonly IRepository&lt;MstInvSupplierList, long&gt; _repo;
        private readonly IMstInvSupplierListExcelExporter _calendarListExcelExporter;
        public MstInvSupplierListAppService(IRepository&lt;MstInvSupplierList,long&gt; repo, 
                                         IDapperRepository&lt;MstInvSupplierList,long&gt; dapperRepo,
                                        IMstInvSupplierListExcelExporter calendarListExcelExporter
            )
        {
            _repo = repo;
            _dapperRepo = dapperRepo;
            _calendarListExcelExporter = calendarListExcelExporter;
        }
        [AbpAuthorize(AppPermissions.Pages_Master_Inventory_SupplierList_CreateEdit)]
        public async Task CreateOrEdit(CreateOrEditMstInvSupplierListDto input)
        {
            if (input.Id == null) await Create(input);
            else await Update(input);
        }
        //CREATE
        private async Task Create(CreateOrEditMstInvSupplierListDto input)
        {          
            var mainObj = ObjectMapper.Map&lt;MstInvSupplierList&gt;(input);
            await CurrentUnitOfWork.GetDbContext&lt;vovinaDbContext&gt;().AddAsync(mainObj);
        }
        // EDIT
        private async Task Update(CreateOrEditMstInvSupplierListDto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[AbpAuthorize(AppPermissions.Pages_Master_Inventory_SupplierList_Delete)]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Task&lt;PagedResultDto&lt;MstInvSupplierListDto&gt;&gt; GetAll(GetMstInvSupplierListInput input)
        {
            var filtered = _repo.GetAll()
				.WhereIf(!string.IsNullOrWhiteSpace(input.SupplierNo), e =&gt; e.SupplierNo.Contains(input.SupplierNo))
				.WhereIf(!string.IsNullOrWhiteSpace(input.SupplierName), e =&gt; e.SupplierName.Contains(input.SupplierName))
				.WhereIf(!string.IsNullOrWhiteSpace(input.Remarks), e =&gt; e.Remarks.Contains(input.Remarks))
				.WhereIf(!string.IsNullOrWhiteSpace(input.SupplierType), e =&gt; e.SupplierType.Contains(input.SupplierType))
				.WhereIf(!string.IsNullOrWhiteSpace(input.SupplierNameVn), e =&gt; e.SupplierNameVn.Contains(input.SupplierNameVn))
				.WhereIf(!string.IsNullOrWhiteSpace(input.Exporter), e =&gt; e.Exporter.Contains(input.Exporter))                   
				;
            var pageAndFiltered = filtered.OrderBy(s =&gt; s.Id);
            var system = from o in pageAndFiltered
                         select new MstInvSupplierListDto
                        {
							Id = o.Id,
							SupplierNo = o.SupplierNo,
							SupplierName = o.SupplierName,
							Remarks = o.Remarks,
							SupplierType = o.SupplierType,
							SupplierNameVn = o.SupplierNameVn,
							Exporter = o.Exporter,
                        };
            var totalCount = await filtered.CountAsync();
			var paged = system.PageBy(input);
            return new PagedResultDto&lt;MstInvSupplierListDto&gt;(
                totalCount,
                 await paged.ToListAsync()
            );
        }
        public async Task&lt;FileDto&gt; GetSupplierListToExcel(MstInvSupplierListExportInput input)
        {
            var query = from o in _repo.GetAll()
                        select new MstInvSupplierListDto
                        {
							Id = o.Id,
							SupplierNo = o.SupplierNo,
							SupplierName = o.SupplierName,
							Remarks = o.Remarks,
							SupplierType = o.SupplierType,
							SupplierNameVn = o.SupplierNameVn,
							Exporter = o.Exporter,
                        };
            var exportToExcel = await query.ToListAsync();
            return _calendarListExcelExporter.ExportToFile(exportToExcel);
        }
       // public async Task GenerateAsync()
      //  {
        //    await _dapperRepo.ExecuteAsync(MstInvSupplierListConsts.SP_MST_WPT_CALENDAR_GENERATE);
       // }
    }
}</v>
      </c>
      <c r="R7" t="str">
        <f ca="1">SUBSTITUTE(SUBSTITUTE((C1&amp;"namespace "&amp;B6&amp;".Dto"&amp;E3&amp;C3&amp;R3&amp;M15&amp;E3&amp;REPT(CHAR(9),1)&amp;D3&amp;D3),"WorkingPattern",$Q$3),"Master",$B$4)</f>
        <v xml:space="preserve">using Abp.Application.Services.Dto;
using System;
using System.ComponentModel.DataAnnotations;
namespace prod.Master.Inventory.Dto
{
	public class MstInvSupplierListExportInput{
		public virtual string SupplierNo { get; set; }
		public virtual string SupplierName { get; set; }
		public virtual string Remarks { get; set; }
		public virtual string SupplierType { get; set; }
		public virtual string SupplierNameVn { get; set; }
		public virtual string Exporter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vovina.Master.Inventory.Dto;
namespace prod.Master.Inventory.Exporting
{
	public interface IMstInvSupplierListExcelExporter : IApplicationService
	{
		FileDto ExportToFile(List&lt;MstInvSupplierListDto&gt; mstinvsupplierlist);
	}
}
</v>
      </c>
      <c r="T7" s="28" t="str">
        <f ca="1">SUBSTITUTE(SUBSTITUTE(SUBSTITUTE(SUBSTITUTE(SUBSTITUTE(SUBSTITUTE(SUBSTITUTE(T1,"MstWptCalendar",$B$3),"&lt;PROPERTIES1&gt;",V15),"&lt;PROPERTIES&gt;",T15),"Calendar",$B$5),"calendar",LOWER(B5)),"WorkingPattern",$Q$3),"Master",$B$4)</f>
        <v>using System.Collections.Generic;
using vovina.DataExporting.Excel.NPOI;
using vovina.Dto;
using vovina.Master.Inventory.Exporting;
using vovina.Master.Inventory.Dto;
using vovina.Storage;
using vovina.Master.Inventory.Dto;
namespace vovina.Master.Inventory.Exporting
{
    public class MstInvSupplierListExcelExporter : NpoiExcelExporterBase, IMstInvSupplierListExcelExporter
    {
        public MstInvSupplierListExcelExporter(ITempFileCacheManager tempFileCacheManager) : base(tempFileCacheManager) { }
        public FileDto ExportToFile(List&lt;MstInvSupplierListDto&gt; supplierlist)
        {
            return CreateExcelPackage(
				"MasterInventorySupplierList.xlsx",
				excelPackage =&gt;
				 {
					var sheet = excelPackage.CreateSheet("SupplierList");
					AddHeader(
								sheet,
								("SupplierNo"),
								("SupplierName"),
								("Remarks"),
								("SupplierType"),
								("SupplierNameVn"),
								("Exporter"),
							   );
					AddObjects(
						 sheet, 1, supplierlist,                                       
								_ =&gt; _.SupplierNo,
								_ =&gt; _.SupplierName,
								_ =&gt; _.Remarks,
								_ =&gt; _.SupplierType,
								_ =&gt; _.SupplierNameVn,
								_ =&gt; _.Exporter,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configuration.CreateMap&lt;MstInvSupplierListDto, MstInvSupplierList&gt;();
  configuration.CreateMap&lt;MstInvSupplierList, MstInvSupplierListDto&gt;();
  configuration.CreateMap&lt;CreateOrEditMstInvSupplierListDto, MstInvSupplierList&gt;();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s="72" t="s">
        <v>357</v>
      </c>
      <c r="B9" t="s">
        <v>358</v>
      </c>
      <c r="C9" t="s">
        <v>1</v>
      </c>
      <c r="D9" t="str">
        <f t="shared" ref="D9" si="0">SUBSTITUTE(PROPER(A9),"_","")</f>
        <v>SupplierNo</v>
      </c>
      <c r="E9" t="str">
        <f t="shared" ref="E9" si="1">IFERROR(LEFT(B9, FIND("(",B9)-1),B9)</f>
        <v>varchar</v>
      </c>
      <c r="F9" s="7"/>
      <c r="G9" t="str">
        <f t="shared" ref="G9" si="2">IFERROR(MID(B9,FIND("(",B9) +1, FIND(")",B9) - FIND("(",B9) - 1),"")</f>
        <v>10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MaxSupplierNoLength = 10;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[StringLength(MaxSupplierNoLength)]
		public virtual string SupplierNo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[Index(nameof(SupplierNo), Name="IX_MstInvSupplierList_SupplierNo")]</v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SupplierNo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[StringLength(MstInvSupplierListConsts.MaxSupplierNoLength)]
		public virtual string SupplierNo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SupplierNo { get; set; }
</v>
      </c>
      <c r="P9" t="str">
        <f t="shared" ref="P9" si="9">REPT(CHAR(9),7)&amp;D9&amp;" = o." &amp;D9 &amp;","</f>
        <v xml:space="preserve">							SupplierNo = o.SupplierNo,</v>
      </c>
      <c r="T9" s="69" t="str">
        <f t="shared" ref="T9" si="10">REPT(CHAR(9),8)&amp;"("""&amp;D9&amp;"""),"</f>
        <v xml:space="preserve">								("SupplierNo"),</v>
      </c>
      <c r="V9" s="70" t="str">
        <f t="shared" ref="V9" si="11">REPT(CHAR(9),8)&amp;"_ =&gt; _."&amp;D9&amp;","</f>
        <v xml:space="preserve">								_ =&gt; _.SupplierNo,</v>
      </c>
      <c r="W9" s="69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.WhereIf(!string.IsNullOrWhiteSpace(input.SupplierNo), e =&gt; e.SupplierNo.Contains(input.SupplierNo))</v>
      </c>
    </row>
    <row r="10" spans="1:23" customFormat="1" ht="18.75" customHeight="1" x14ac:dyDescent="0.25">
      <c r="A10" s="72" t="s">
        <v>359</v>
      </c>
      <c r="B10" s="72" t="s">
        <v>354</v>
      </c>
      <c r="C10" t="s">
        <v>1</v>
      </c>
      <c r="D10" t="str">
        <f t="shared" ref="D10:D11" si="13">SUBSTITUTE(PROPER(A10),"_","")</f>
        <v>SupplierName</v>
      </c>
      <c r="E10" t="str">
        <f t="shared" ref="E10:E11" si="14">IFERROR(LEFT(B10, FIND("(",B10)-1),B10)</f>
        <v>varchar</v>
      </c>
      <c r="F10" s="7"/>
      <c r="G10" t="str">
        <f t="shared" ref="G10:G11" si="15">IFERROR(MID(B10,FIND("(",B10) +1, FIND(")",B10) - FIND("(",B10) - 1),"")</f>
        <v>50</v>
      </c>
      <c r="H10" s="72" t="str">
        <f>+VLOOKUP(E10,'Data Type Mapping'!A:B,2,)</f>
        <v>string</v>
      </c>
      <c r="I10" t="str">
        <f t="shared" ref="I10:I11" si="16">IF(H10="string",REPT(CHAR(9),2)&amp;"public const int Max"&amp;D10&amp;"Length = "&amp;G10&amp;";"&amp;$E$3,"" )</f>
        <v xml:space="preserve">		public const int MaxSupplierNameLength = 50;
</v>
      </c>
      <c r="J10" t="str">
        <f t="shared" ref="J10:J11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[StringLength(MaxSupplierNameLength)]
		public virtual string SupplierName { get; set; }
</v>
      </c>
      <c r="K10" s="7"/>
      <c r="L10" t="str">
        <f t="shared" ref="L10:L11" si="18">IF(K10="","",REPT(CHAR(9),1)&amp;"[Index(nameof("&amp;IF(D10="","",""&amp;D10)&amp;")"&amp;", Name="&amp;"""IX_"&amp;$B$7&amp;"_"&amp;D10&amp;""")]")</f>
        <v/>
      </c>
      <c r="M10" t="str">
        <f t="shared" ref="M10:M11" si="19">REPT(CHAR(9),2)&amp;"public virtual "&amp;IF(OR(H10="DateTime",H10="TimeSpan"),H10&amp;"?",H10)&amp;IF(C10="?","? "," ")&amp;D10&amp;" { get; set; }" &amp; "
"</f>
        <v xml:space="preserve">		public virtual string SupplierName { get; set; }
</v>
      </c>
      <c r="N10" t="str">
        <f t="shared" ref="N10:N11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[StringLength(MstInvSupplierListConsts.MaxSupplierNameLength)]
		public virtual string SupplierName { get; set; }
</v>
      </c>
      <c r="O10" t="str">
        <f t="shared" ref="O10:O11" si="21">IF(OR(H10="string",H10="DateTime",H10="int"),REPT(CHAR(9),2)&amp;"public virtual "&amp;IF(OR(H10="DateTime",H10="TimeSpan"),H10&amp;"?",H10)&amp;IF(C10="?","? "," ")&amp;D10&amp;" { get; set; }"&amp;$E$3,"")</f>
        <v xml:space="preserve">		public virtual string SupplierName { get; set; }
</v>
      </c>
      <c r="P10" t="str">
        <f t="shared" ref="P10:P11" si="22">REPT(CHAR(9),7)&amp;D10&amp;" = o." &amp;D10 &amp;","</f>
        <v xml:space="preserve">							SupplierName = o.SupplierName,</v>
      </c>
      <c r="T10" s="69" t="str">
        <f t="shared" ref="T10:T11" si="23">REPT(CHAR(9),8)&amp;"("""&amp;D10&amp;"""),"</f>
        <v xml:space="preserve">								("SupplierName"),</v>
      </c>
      <c r="V10" s="70" t="str">
        <f t="shared" ref="V10:V11" si="24">REPT(CHAR(9),8)&amp;"_ =&gt; _."&amp;D10&amp;","</f>
        <v xml:space="preserve">								_ =&gt; _.SupplierName,</v>
      </c>
      <c r="W10" s="69" t="str">
        <f t="shared" ref="W10:W11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.WhereIf(!string.IsNullOrWhiteSpace(input.SupplierName), e =&gt; e.SupplierName.Contains(input.SupplierName))</v>
      </c>
    </row>
    <row r="11" spans="1:23" customFormat="1" ht="18.75" customHeight="1" x14ac:dyDescent="0.25">
      <c r="A11" s="72" t="s">
        <v>360</v>
      </c>
      <c r="B11" s="72" t="s">
        <v>361</v>
      </c>
      <c r="C11" t="s">
        <v>1</v>
      </c>
      <c r="D11" t="str">
        <f t="shared" si="13"/>
        <v>Remarks</v>
      </c>
      <c r="E11" t="str">
        <f t="shared" si="14"/>
        <v>varchar</v>
      </c>
      <c r="F11" s="7"/>
      <c r="G11" t="str">
        <f t="shared" si="15"/>
        <v>1000</v>
      </c>
      <c r="H11" s="72" t="str">
        <f>+VLOOKUP(E11,'Data Type Mapping'!A:B,2,)</f>
        <v>string</v>
      </c>
      <c r="I11" t="str">
        <f t="shared" si="16"/>
        <v xml:space="preserve">		public const int MaxRemarksLength = 1000;
</v>
      </c>
      <c r="J11" t="str">
        <f t="shared" si="17"/>
        <v xml:space="preserve">		[StringLength(MaxRemarksLength)]
		public virtual string Remarks { get; set; }
</v>
      </c>
      <c r="K11" s="7"/>
      <c r="L11" t="str">
        <f t="shared" si="18"/>
        <v/>
      </c>
      <c r="M11" t="str">
        <f t="shared" si="19"/>
        <v xml:space="preserve">		public virtual string Remarks { get; set; }
</v>
      </c>
      <c r="N11" t="str">
        <f t="shared" si="20"/>
        <v xml:space="preserve">		[StringLength(MstInvSupplierListConsts.MaxRemarksLength)]
		public virtual string Remarks { get; set; }
</v>
      </c>
      <c r="O11" t="str">
        <f t="shared" si="21"/>
        <v xml:space="preserve">		public virtual string Remarks { get; set; }
</v>
      </c>
      <c r="P11" t="str">
        <f t="shared" si="22"/>
        <v xml:space="preserve">							Remarks = o.Remarks,</v>
      </c>
      <c r="T11" s="69" t="str">
        <f t="shared" si="23"/>
        <v xml:space="preserve">								("Remarks"),</v>
      </c>
      <c r="V11" s="70" t="str">
        <f t="shared" si="24"/>
        <v xml:space="preserve">								_ =&gt; _.Remarks,</v>
      </c>
      <c r="W11" s="69" t="str">
        <f t="shared" si="25"/>
        <v xml:space="preserve">				.WhereIf(!string.IsNullOrWhiteSpace(input.Remarks), e =&gt; e.Remarks.Contains(input.Remarks))</v>
      </c>
    </row>
    <row r="12" spans="1:23" customFormat="1" ht="18.75" customHeight="1" x14ac:dyDescent="0.25">
      <c r="A12" s="72" t="s">
        <v>362</v>
      </c>
      <c r="B12" s="72" t="s">
        <v>363</v>
      </c>
      <c r="C12" t="s">
        <v>1</v>
      </c>
      <c r="D12" t="str">
        <f t="shared" ref="D12:D14" si="26">SUBSTITUTE(PROPER(A12),"_","")</f>
        <v>SupplierType</v>
      </c>
      <c r="E12" t="str">
        <f t="shared" ref="E12:E14" si="27">IFERROR(LEFT(B12, FIND("(",B12)-1),B12)</f>
        <v>nvarchar</v>
      </c>
      <c r="F12" s="7"/>
      <c r="G12" t="str">
        <f t="shared" ref="G12:G14" si="28">IFERROR(MID(B12,FIND("(",B12) +1, FIND(")",B12) - FIND("(",B12) - 1),"")</f>
        <v>10</v>
      </c>
      <c r="H12" s="72" t="str">
        <f>+VLOOKUP(E12,'Data Type Mapping'!A:B,2,)</f>
        <v>string</v>
      </c>
      <c r="I12" t="str">
        <f t="shared" ref="I12:I14" si="29">IF(H12="string",REPT(CHAR(9),2)&amp;"public const int Max"&amp;D12&amp;"Length = "&amp;G12&amp;";"&amp;$E$3,"" )</f>
        <v xml:space="preserve">		public const int MaxSupplierTypeLength = 10;
</v>
      </c>
      <c r="J12" t="str">
        <f t="shared" ref="J12:J14" si="30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[StringLength(MaxSupplierTypeLength)]
		public virtual string SupplierType { get; set; }
</v>
      </c>
      <c r="K12" s="7"/>
      <c r="L12" t="str">
        <f t="shared" ref="L12:L14" si="31">IF(K12="","",REPT(CHAR(9),1)&amp;"[Index(nameof("&amp;IF(D12="","",""&amp;D12)&amp;")"&amp;", Name="&amp;"""IX_"&amp;$B$7&amp;"_"&amp;D12&amp;""")]")</f>
        <v/>
      </c>
      <c r="M12" t="str">
        <f t="shared" ref="M12:M14" si="32">REPT(CHAR(9),2)&amp;"public virtual "&amp;IF(OR(H12="DateTime",H12="TimeSpan"),H12&amp;"?",H12)&amp;IF(C12="?","? "," ")&amp;D12&amp;" { get; set; }" &amp; "
"</f>
        <v xml:space="preserve">		public virtual string SupplierType { get; set; }
</v>
      </c>
      <c r="N12" t="str">
        <f t="shared" ref="N12:N14" si="33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[StringLength(MstInvSupplierListConsts.MaxSupplierTypeLength)]
		public virtual string SupplierType { get; set; }
</v>
      </c>
      <c r="O12" t="str">
        <f t="shared" ref="O12:O14" si="34">IF(OR(H12="string",H12="DateTime",H12="int"),REPT(CHAR(9),2)&amp;"public virtual "&amp;IF(OR(H12="DateTime",H12="TimeSpan"),H12&amp;"?",H12)&amp;IF(C12="?","? "," ")&amp;D12&amp;" { get; set; }"&amp;$E$3,"")</f>
        <v xml:space="preserve">		public virtual string SupplierType { get; set; }
</v>
      </c>
      <c r="P12" t="str">
        <f t="shared" ref="P12:P14" si="35">REPT(CHAR(9),7)&amp;D12&amp;" = o." &amp;D12 &amp;","</f>
        <v xml:space="preserve">							SupplierType = o.SupplierType,</v>
      </c>
      <c r="T12" s="69" t="str">
        <f t="shared" ref="T12:T14" si="36">REPT(CHAR(9),8)&amp;"("""&amp;D12&amp;"""),"</f>
        <v xml:space="preserve">								("SupplierType"),</v>
      </c>
      <c r="V12" s="70" t="str">
        <f t="shared" ref="V12:V14" si="37">REPT(CHAR(9),8)&amp;"_ =&gt; _."&amp;D12&amp;","</f>
        <v xml:space="preserve">								_ =&gt; _.SupplierType,</v>
      </c>
      <c r="W12" s="69" t="str">
        <f t="shared" ref="W12:W14" si="38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 xml:space="preserve">				.WhereIf(!string.IsNullOrWhiteSpace(input.SupplierType), e =&gt; e.SupplierType.Contains(input.SupplierType))</v>
      </c>
    </row>
    <row r="13" spans="1:23" s="72" customFormat="1" ht="18.75" customHeight="1" x14ac:dyDescent="0.25">
      <c r="A13" s="72" t="s">
        <v>364</v>
      </c>
      <c r="B13" s="72" t="s">
        <v>354</v>
      </c>
      <c r="C13" s="72" t="s">
        <v>1</v>
      </c>
      <c r="D13" s="72" t="str">
        <f t="shared" ref="D13" si="39">SUBSTITUTE(PROPER(A13),"_","")</f>
        <v>SupplierNameVn</v>
      </c>
      <c r="E13" s="72" t="str">
        <f t="shared" ref="E13" si="40">IFERROR(LEFT(B13, FIND("(",B13)-1),B13)</f>
        <v>varchar</v>
      </c>
      <c r="F13" s="7"/>
      <c r="G13" s="72" t="str">
        <f t="shared" ref="G13" si="41">IFERROR(MID(B13,FIND("(",B13) +1, FIND(")",B13) - FIND("(",B13) - 1),"")</f>
        <v>50</v>
      </c>
      <c r="H13" s="72" t="str">
        <f>+VLOOKUP(E13,'Data Type Mapping'!A:B,2,)</f>
        <v>string</v>
      </c>
      <c r="I13" s="72" t="str">
        <f t="shared" ref="I13" si="42">IF(H13="string",REPT(CHAR(9),2)&amp;"public const int Max"&amp;D13&amp;"Length = "&amp;G13&amp;";"&amp;$E$3,"" )</f>
        <v xml:space="preserve">		public const int MaxSupplierNameVnLength = 50;
</v>
      </c>
      <c r="J13" s="72" t="str">
        <f t="shared" ref="J13" si="43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[StringLength(MaxSupplierNameVnLength)]
		public virtual string SupplierNameVn { get; set; }
</v>
      </c>
      <c r="K13" s="7"/>
      <c r="L13" s="72" t="str">
        <f t="shared" ref="L13" si="44">IF(K13="","",REPT(CHAR(9),1)&amp;"[Index(nameof("&amp;IF(D13="","",""&amp;D13)&amp;")"&amp;", Name="&amp;"""IX_"&amp;$B$7&amp;"_"&amp;D13&amp;""")]")</f>
        <v/>
      </c>
      <c r="M13" s="72" t="str">
        <f t="shared" ref="M13" si="45">REPT(CHAR(9),2)&amp;"public virtual "&amp;IF(OR(H13="DateTime",H13="TimeSpan"),H13&amp;"?",H13)&amp;IF(C13="?","? "," ")&amp;D13&amp;" { get; set; }" &amp; "
"</f>
        <v xml:space="preserve">		public virtual string SupplierNameVn { get; set; }
</v>
      </c>
      <c r="N13" s="72" t="str">
        <f t="shared" ref="N13" si="46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[StringLength(MstInvSupplierListConsts.MaxSupplierNameVnLength)]
		public virtual string SupplierNameVn { get; set; }
</v>
      </c>
      <c r="O13" s="72" t="str">
        <f t="shared" ref="O13" si="47">IF(OR(H13="string",H13="DateTime",H13="int"),REPT(CHAR(9),2)&amp;"public virtual "&amp;IF(OR(H13="DateTime",H13="TimeSpan"),H13&amp;"?",H13)&amp;IF(C13="?","? "," ")&amp;D13&amp;" { get; set; }"&amp;$E$3,"")</f>
        <v xml:space="preserve">		public virtual string SupplierNameVn { get; set; }
</v>
      </c>
      <c r="P13" s="72" t="str">
        <f t="shared" ref="P13" si="48">REPT(CHAR(9),7)&amp;D13&amp;" = o." &amp;D13 &amp;","</f>
        <v xml:space="preserve">							SupplierNameVn = o.SupplierNameVn,</v>
      </c>
      <c r="T13" s="69" t="str">
        <f t="shared" ref="T13" si="49">REPT(CHAR(9),8)&amp;"("""&amp;D13&amp;"""),"</f>
        <v xml:space="preserve">								("SupplierNameVn"),</v>
      </c>
      <c r="V13" s="70" t="str">
        <f t="shared" ref="V13" si="50">REPT(CHAR(9),8)&amp;"_ =&gt; _."&amp;D13&amp;","</f>
        <v xml:space="preserve">								_ =&gt; _.SupplierNameVn,</v>
      </c>
      <c r="W13" s="69" t="str">
        <f t="shared" ref="W13" si="51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.WhereIf(!string.IsNullOrWhiteSpace(input.SupplierNameVn), e =&gt; e.SupplierNameVn.Contains(input.SupplierNameVn))</v>
      </c>
    </row>
    <row r="14" spans="1:23" customFormat="1" ht="18.75" customHeight="1" x14ac:dyDescent="0.25">
      <c r="A14" s="72" t="s">
        <v>365</v>
      </c>
      <c r="B14" s="72" t="s">
        <v>366</v>
      </c>
      <c r="C14" t="s">
        <v>1</v>
      </c>
      <c r="D14" t="str">
        <f t="shared" si="26"/>
        <v>Exporter</v>
      </c>
      <c r="E14" t="str">
        <f t="shared" si="27"/>
        <v>varchar</v>
      </c>
      <c r="F14" s="7"/>
      <c r="G14" t="str">
        <f t="shared" si="28"/>
        <v>200</v>
      </c>
      <c r="H14" s="72" t="str">
        <f>+VLOOKUP(E14,'Data Type Mapping'!A:B,2,)</f>
        <v>string</v>
      </c>
      <c r="I14" t="str">
        <f t="shared" si="29"/>
        <v xml:space="preserve">		public const int MaxExporterLength = 200;
</v>
      </c>
      <c r="J14" t="str">
        <f t="shared" si="30"/>
        <v xml:space="preserve">		[StringLength(MaxExporterLength)]
		public virtual string Exporter { get; set; }
</v>
      </c>
      <c r="K14" s="7"/>
      <c r="L14" t="str">
        <f t="shared" si="31"/>
        <v/>
      </c>
      <c r="M14" t="str">
        <f t="shared" si="32"/>
        <v xml:space="preserve">		public virtual string Exporter { get; set; }
</v>
      </c>
      <c r="N14" t="str">
        <f t="shared" si="33"/>
        <v xml:space="preserve">		[StringLength(MstInvSupplierListConsts.MaxExporterLength)]
		public virtual string Exporter { get; set; }
</v>
      </c>
      <c r="O14" t="str">
        <f t="shared" si="34"/>
        <v xml:space="preserve">		public virtual string Exporter { get; set; }
</v>
      </c>
      <c r="P14" t="str">
        <f t="shared" si="35"/>
        <v xml:space="preserve">							Exporter = o.Exporter,</v>
      </c>
      <c r="T14" s="69" t="str">
        <f t="shared" si="36"/>
        <v xml:space="preserve">								("Exporter"),</v>
      </c>
      <c r="V14" s="70" t="str">
        <f t="shared" si="37"/>
        <v xml:space="preserve">								_ =&gt; _.Exporter,</v>
      </c>
      <c r="W14" s="69" t="str">
        <f t="shared" si="38"/>
        <v xml:space="preserve">				.WhereIf(!string.IsNullOrWhiteSpace(input.Exporter), e =&gt; e.Exporter.Contains(input.Exporter))</v>
      </c>
    </row>
    <row r="15" spans="1:23" ht="45.75" customHeight="1" x14ac:dyDescent="0.25">
      <c r="H15" s="12"/>
      <c r="I15" s="34" t="str">
        <f ca="1">TEXTJOIN2("
", TRUE,INDIRECT( $H$1):INDIRECT( $H$3))</f>
        <v xml:space="preserve">		public const int MaxSupplierNoLength = 10;
		public const int MaxSupplierNameLength = 50;
		public const int MaxRemarksLength = 1000;
		public const int MaxSupplierTypeLength = 10;
		public const int MaxSupplierNameVnLength = 50;
		public const int MaxExporterLength = 200;
</v>
      </c>
      <c r="J15" s="33" t="str">
        <f ca="1">TEXTJOIN2("
", TRUE,INDIRECT( $F$1):INDIRECT( $F$3))</f>
        <v xml:space="preserve">		[StringLength(MaxSupplierNoLength)]
		public virtual string SupplierNo { get; set; }
		[StringLength(MaxSupplierNameLength)]
		public virtual string SupplierName { get; set; }
		[StringLength(MaxRemarksLength)]
		public virtual string Remarks { get; set; }
		[StringLength(MaxSupplierTypeLength)]
		public virtual string SupplierType { get; set; }
		[StringLength(MaxSupplierNameVnLength)]
		public virtual string SupplierNameVn { get; set; }
		[StringLength(MaxExporterLength)]
		public virtual string Exporter { get; set; }
</v>
      </c>
      <c r="K15" s="35" t="str">
        <f ca="1">TEXTJOIN2("
", TRUE,INDIRECT( $J$1):INDIRECT( $J$3))</f>
        <v xml:space="preserve">	[Index(nameof(SupplierNo), Name="IX_MstInvSupplierList_SupplierNo")]
</v>
      </c>
      <c r="L15" s="13" t="s">
        <v>60</v>
      </c>
      <c r="M15" s="36" t="str">
        <f ca="1">TEXTJOIN2("
",TRUE,INDIRECT( $L$1):INDIRECT($L$3))</f>
        <v xml:space="preserve">		public virtual string SupplierNo { get; set; }
		public virtual string SupplierName { get; set; }
		public virtual string Remarks { get; set; }
		public virtual string SupplierType { get; set; }
		public virtual string SupplierNameVn { get; set; }
		public virtual string Exporter { get; set; }
</v>
      </c>
      <c r="N15" s="33" t="str">
        <f ca="1">TEXTJOIN2("
",TRUE,INDIRECT( $M$1):INDIRECT($M$3))</f>
        <v xml:space="preserve">		[StringLength(MstInvSupplierListConsts.MaxSupplierNoLength)]
		public virtual string SupplierNo { get; set; }
		[StringLength(MstInvSupplierListConsts.MaxSupplierNameLength)]
		public virtual string SupplierName { get; set; }
		[StringLength(MstInvSupplierListConsts.MaxRemarksLength)]
		public virtual string Remarks { get; set; }
		[StringLength(MstInvSupplierListConsts.MaxSupplierTypeLength)]
		public virtual string SupplierType { get; set; }
		[StringLength(MstInvSupplierListConsts.MaxSupplierNameVnLength)]
		public virtual string SupplierNameVn { get; set; }
		[StringLength(MstInvSupplierListConsts.MaxExporterLength)]
		public virtual string Exporter { get; set; }
</v>
      </c>
      <c r="O15" s="33" t="str">
        <f ca="1">TEXTJOIN2("
",TRUE,INDIRECT( $N$1):INDIRECT($N$3))</f>
        <v xml:space="preserve">		public virtual string SupplierNo { get; set; }
		public virtual string SupplierName { get; set; }
		public virtual string Remarks { get; set; }
		public virtual string SupplierType { get; set; }
		public virtual string SupplierNameVn { get; set; }
		public virtual string Exporter { get; set; }
</v>
      </c>
      <c r="P15" s="9" t="str">
        <f ca="1">TEXTJOIN2("
",TRUE,INDIRECT( $O$1):INDIRECT($O$3))</f>
        <v xml:space="preserve">							SupplierNo = o.SupplierNo,
							SupplierName = o.SupplierName,
							Remarks = o.Remarks,
							SupplierType = o.SupplierType,
							SupplierNameVn = o.SupplierNameVn,
							Exporter = o.Exporter,</v>
      </c>
      <c r="T15" s="9" t="str">
        <f ca="1">TEXTJOIN2("
",TRUE,INDIRECT( $T$2):INDIRECT($T$3))</f>
        <v xml:space="preserve">								("SupplierNo"),
								("SupplierName"),
								("Remarks"),
								("SupplierType"),
								("SupplierNameVn"),
								("Exporter"),</v>
      </c>
      <c r="V15" s="9" t="str">
        <f ca="1">TEXTJOIN2("
",TRUE,INDIRECT( $V$2):INDIRECT($V$3))</f>
        <v xml:space="preserve">								_ =&gt; _.SupplierNo,
								_ =&gt; _.SupplierName,
								_ =&gt; _.Remarks,
								_ =&gt; _.SupplierType,
								_ =&gt; _.SupplierNameVn,
								_ =&gt; _.Exporter,</v>
      </c>
      <c r="W15" s="9" t="str">
        <f ca="1">TEXTJOIN2("
",TRUE,INDIRECT( $W$2):INDIRECT($W$3))</f>
        <v xml:space="preserve">				.WhereIf(!string.IsNullOrWhiteSpace(input.SupplierNo), e =&gt; e.SupplierNo.Contains(input.SupplierNo))
				.WhereIf(!string.IsNullOrWhiteSpace(input.SupplierName), e =&gt; e.SupplierName.Contains(input.SupplierName))
				.WhereIf(!string.IsNullOrWhiteSpace(input.Remarks), e =&gt; e.Remarks.Contains(input.Remarks))
				.WhereIf(!string.IsNullOrWhiteSpace(input.SupplierType), e =&gt; e.SupplierType.Contains(input.SupplierType))
				.WhereIf(!string.IsNullOrWhiteSpace(input.SupplierNameVn), e =&gt; e.SupplierNameVn.Contains(input.SupplierNameVn))
				.WhereIf(!string.IsNullOrWhiteSpace(input.Exporter), e =&gt; e.Exporter.Contains(input.Exporter))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1"/>
  <sheetViews>
    <sheetView workbookViewId="0">
      <selection activeCell="C9" sqref="C9"/>
    </sheetView>
  </sheetViews>
  <sheetFormatPr defaultColWidth="8.7109375" defaultRowHeight="15" x14ac:dyDescent="0.25"/>
  <cols>
    <col min="1" max="1" width="17.7109375" customWidth="1"/>
    <col min="2" max="2" width="15.42578125" customWidth="1"/>
    <col min="3" max="3" width="16.7109375" customWidth="1"/>
    <col min="4" max="7" width="15.28515625" customWidth="1"/>
    <col min="8" max="8" width="24.42578125" customWidth="1"/>
    <col min="9" max="9" width="26.28515625" customWidth="1"/>
    <col min="10" max="10" width="22.28515625" customWidth="1"/>
    <col min="11" max="11" width="25.7109375" customWidth="1"/>
    <col min="12" max="12" width="23.7109375" customWidth="1"/>
    <col min="13" max="13" width="23.42578125" customWidth="1"/>
    <col min="14" max="15" width="20.42578125" customWidth="1"/>
    <col min="16" max="16" width="25.7109375" customWidth="1"/>
    <col min="17" max="18" width="25.42578125" customWidth="1"/>
    <col min="19" max="19" width="24" customWidth="1"/>
    <col min="20" max="20" width="19.28515625" customWidth="1"/>
    <col min="21" max="21" width="19.7109375" customWidth="1"/>
    <col min="22" max="22" width="13.7109375" customWidth="1"/>
  </cols>
  <sheetData>
    <row r="1" spans="1:22" x14ac:dyDescent="0.25">
      <c r="A1" s="41" t="s">
        <v>212</v>
      </c>
      <c r="B1" s="42" t="s">
        <v>367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Inventory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inventory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MstInvSupplierList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SupplierList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supplierlist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MstInvSupplierListDto, MstInvSupplierListServiceProxy } from '@shared/service-proxies/service-proxies';
import { finalize } from 'rxjs/internal/operators/finalize';
import { CreateOrEditSupplierListModalComponent } from './create-or-edit-supplierlist-modal.component';
import { DatePipe } from '@angular/common';
import { FileDownloadService } from '@shared/utils/file-download.service';
import ceil from 'lodash-es/ceil';
import { Paginator } from 'primeng/paginator';
@Component({
    templateUrl: './supplierlist.component.html',
    styleUrls: ['./supplierlist.component.less'],
})
export class SupplierListComponent extends AppComponentBase implements OnInit {
    @ViewChild('createOrEditModalSupplierList', { static: true }) createOrEditModalSupplierList:| CreateOrEditSupplierListModalComponent|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MstInvSupplierListDto = new MstInvSupplierListDto();
    saveSelectedRow: MstInvSupplierListDto = new MstInvSupplierListDto();
    datas: MstInvSupplierListDto = new MstInvSupplierListDto();
    isLoading: boolean = false;
    dataParams: GridParams | undefined;
    rowData: any[] = [];
    gridApi!: GridApi;
    rowSelection = 'multiple';
    filter: string = '';
	pipe = new DatePipe('en-US');
	frameworkComponents: FrameworkComponent;
    	supplierNo : string = '' ; 
	supplierName : string = '' ; 
remarks : string = '' ; 
	supplierType : string = '' ; 
	supplierNameVn : string = '' ; 
	exporter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MstInvSupplierListServiceProxy,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this.l('Supplier No'),headerTooltip: this.l('Supplier No'),field: 'supplierNo',flex: 1},
			{headerName: this.l('Supplier Name'),headerTooltip: this.l('Supplier Name'),field: 'supplierName',flex: 1},
			{headerName: this.l('Remarks'),headerTooltip: this.l('Remarks'),field: 'remarks',flex: 1},
			{headerName: this.l('Supplier Type'),headerTooltip: this.l('Supplier Type'),field: 'supplierType',flex: 1},
			{headerName: this.l('Supplier Name Vn'),headerTooltip: this.l('Supplier Name Vn'),field: 'supplierNameVn',flex: 1},
			{headerName: this.l('Exporter'),headerTooltip: this.l('Exporter'),field: 'exporter',flex: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this.supplierNo,
			this.supplierName,
			this.remarks,
			this.supplierType,
			this.supplierNameVn,
			this.exporter,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this.supplierNo = '',
		this.supplierName = '',
this.remarks = '',
		this.supplierType = '',
		this.supplierNameVn = '',
		this.exporter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this.supplierNo,
			this.supplierName,
			this.remarks,
			this.supplierType,
			this.supplierNameVn,
			this.exporter,
			'',
            this.paginationParams.skipCount,
            this.paginationParams.pageSize
        );
    }
    onChangeRowSelection(params: { api: { getSelectedRows: () =&gt; MstInvSupplierListDto[] } }) {
        this.saveSelectedRow = params.api.getSelectedRows()[0] ?? new MstInvSupplierListDto();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MstInvSupplierListDto):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this._service.getSupplierListToExcel(
			this.supplierNo,
			this.supplierName,
			this.remarks,
			this.supplierType,
			this.supplierNameVn,
			this.exporter,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Supplier List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[(ngModel)]='supplierName' name='supplierName'
									class='form-control' [placeholder]="l('Supplier Name')"
									type='text' (keyup.enter)='searchDatas()'&gt;
								&lt;/div&gt;
								&lt;div class='input-search'&gt;
									&lt;input [(ngModel)]='remarks' name='remarks'
									class='form-control' [placeholder]="l('Remarks')"
									type='text' (keyup.enter)='searchDatas()'&gt;
								&lt;/div&gt;
								&lt;div class='input-search'&gt;
									&lt;input [(ngModel)]='supplierType' name='supplierType'
									class='form-control' [placeholder]="l('Supplier Type')"
									type='text' (keyup.enter)='searchDatas()'&gt;
								&lt;/div&gt;
								&lt;div class='input-search'&gt;
									&lt;input [(ngModel)]='supplierNameVn' name='supplierNameVn'
									class='form-control' [placeholder]="l('Supplier Name Vn')"
									type='text' (keyup.enter)='searchDatas()'&gt;
								&lt;/div&gt;
								&lt;div class='input-search'&gt;
									&lt;input [(ngModel)]='exporter' name='exporter'
									class='form-control' [placeholder]="l('Exporter')"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(click)="createOrEditModalSupplierList.show()"&gt;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(click)="createOrEditModalSupplierList.show(selectedRow)"&gt;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&lt;create-or-edit-supplierlist-modal
    #createOrEditModalSupplierList
    (modalSave)="callBackDataGrid(dataParams)"
    (modalClose)="onChangeRowSelection(dataParams)"
&gt;
&lt;/create-or-edit-supplierlist-modal&gt;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#createOrEditModalSupplierList="bs-modal"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SupplierList')}}&lt;/h3&gt;
                    &lt;h3 *ngIf="!rowdata.id"&gt;{{('Create New SupplierList')}}&lt;/h3&gt;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title'&gt;Supplier Name&lt;/label&gt;
						&lt;input type='text' class='col-md-10 form-control input-text' name='SupplierName' [(ngModel)]='rowdata.supplierName'&gt;
					&lt;/div&gt;
					&lt;div class='col-md-12 form-group row'&gt;
						&lt;label class='col-md-2 form-control title'&gt;Remarks&lt;/label&gt;
						&lt;input type='text' class='col-md-10 form-control input-text' name='Remarks' [(ngModel)]='rowdata.remarks'&gt;
					&lt;/div&gt;
					&lt;div class='col-md-12 form-group row'&gt;
						&lt;label class='col-md-2 form-control title'&gt;Supplier Type&lt;/label&gt;
						&lt;input type='text' class='col-md-10 form-control input-text' name='SupplierType' [(ngModel)]='rowdata.supplierType'&gt;
					&lt;/div&gt;
					&lt;div class='col-md-12 form-group row'&gt;
						&lt;label class='col-md-2 form-control title'&gt;Supplier Name Vn&lt;/label&gt;
						&lt;input type='text' class='col-md-10 form-control input-text' name='SupplierNameVn' [(ngModel)]='rowdata.supplierNameVn'&gt;
					&lt;/div&gt;
					&lt;div class='col-md-12 form-group row'&gt;
						&lt;label class='col-md-2 form-control title'&gt;Exporter&lt;/label&gt;
						&lt;input type='text' class='col-md-10 form-control input-text' name='Exporter' [(ngModel)]='rowdata.exporter'&gt;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CreateOrEditMstInvSupplierListDto, MstInvSupplierListServiceProxy } from '@shared/service-proxies/service-proxies';
import { BsDatepickerDirective } from 'ngx-bootstrap/datepicker';
@Component({
    selector: 'create-or-edit-supplierlist-modal',
    templateUrl: './create-or-edit-supplierlist-modal.component.html',
    styleUrls: ['./create-or-edit-supplierlist-modal.component.less']
    })
export class CreateOrEditSupplierListModalComponent extends AppComponentBase {
    @ViewChild('createOrEditModalSupplierList',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CreateOrEditMstInvSupplierListDto = new CreateOrEditMstInvSupplierListDto();
    active: boolean = false;
    saving: boolean = false;
    _: boolean;
    constructor(
        injector: Injector,
        private _mstwptSupplierListService: MstInvSupplierListServiceProxy,
    ) 
    {
        super(injector);
    }
    show(rowdata?: CreateOrEditMstInvSupplierListDto): void {
        if (!rowdata) this.rowdata = new CreateOrEditMstInvSupplierListDto();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this._mstwptSupplierListService.createOrEdit(this.rowdata)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SupplierListRoutingModule } from './supplierlist-routing.module';
import { SupplierListComponent } from './supplierlist.component';
import { CreateOrEditSupplierListModalComponent } from './create-or-edit-supplierlist-modal.component';
@NgModule({
    declarations: [
       SupplierListComponent, 
        CreateOrEditSupplierListModalComponent
    ],
    imports: [
        AppSharedModule, SupplierListRoutingModule]
})
export class SupplierListModule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SupplierListComponent } from './supplierlist.component';
const routes: Routes = [{
    path: '',
    component: SupplierListComponent,
    pathMatch: 'full'
}];
@NgModule({
    imports: [RouterModule.forChild(routes)],
    exports: [RouterModule],
})
export class SupplierListRoutingModule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AppMenuItem("SupplierList", "Pages.Master.Inventory.SupplierList", "flaticon-book",   "/app/main/master/inventory/supplierlist"),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'master/inventory/supplierlist',
    loadChildren: () =&gt; import('./master/inventory/supplierlist/supplierlist.module').then(m =&gt; m.SupplierListModule),
    data: { permission: 'Pages.Master.Inventory.SupplierList' }
},</v>
      </c>
      <c r="R10" s="50" t="str">
        <f>SUBSTITUTE(R9,"MstWptCalendar",$B$6)</f>
        <v>ApiServiceProxies.MstInvSupplierListServiceProxy,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H20</v>
      </c>
      <c r="I12" s="31" t="str">
        <f>"I"&amp;COUNTA($A:$A)</f>
        <v>I20</v>
      </c>
      <c r="J12" s="31"/>
      <c r="K12" s="31" t="str">
        <f>"K"&amp;COUNTA($A:$A)</f>
        <v>K20</v>
      </c>
      <c r="L12" s="31" t="str">
        <f>"L"&amp;COUNTA($A:$A)</f>
        <v>L20</v>
      </c>
      <c r="M12" s="31"/>
      <c r="N12" s="31"/>
      <c r="O12" s="31"/>
      <c r="P12" s="31"/>
      <c r="Q12" s="31"/>
      <c r="R12" s="31"/>
      <c r="S12" s="31" t="str">
        <f>"S"&amp;COUNTA($A:$A)</f>
        <v>S20</v>
      </c>
      <c r="T12" s="31" t="str">
        <f>"T"&amp;COUNTA($A:$A)</f>
        <v>T20</v>
      </c>
      <c r="U12" s="31" t="str">
        <f>"U"&amp;COUNTA($A:$A)</f>
        <v>U20</v>
      </c>
      <c r="V12" s="31" t="str">
        <f>"V"&amp;COUNTA($A:$A)</f>
        <v>V20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this.l('Supplier No'),headerTooltip: this.l('Supplier No'),field: 'supplierNo',flex: 1},
			{headerName: this.l('Supplier Name'),headerTooltip: this.l('Supplier Name'),field: 'supplierName',flex: 1},
			{headerName: this.l('Remarks'),headerTooltip: this.l('Remarks'),field: 'remarks',flex: 1},
			{headerName: this.l('Supplier Type'),headerTooltip: this.l('Supplier Type'),field: 'supplierType',flex: 1},
			{headerName: this.l('Supplier Name Vn'),headerTooltip: this.l('Supplier Name Vn'),field: 'supplierNameVn',flex: 1},
			{headerName: this.l('Exporter'),headerTooltip: this.l('Exporter'),field: 'exporter',flex: 1},</v>
      </c>
      <c r="I13" s="38" t="str">
        <f ca="1">TEXTJOIN2("
",TRUE,INDIRECT(I11):INDIRECT(I12))</f>
        <v xml:space="preserve">								&lt;div class='input-search'&gt;
									&lt;input [(ngModel)]='supplierNo' name='supplierNo'
									class='form-control' [placeholder]="l('Supplier No')"
									type='text' (keyup.enter)='searchDatas()'&gt;
								&lt;/div&gt;
								&lt;div class='input-search'&gt;
									&lt;input [(ngModel)]='supplierName' name='supplierName'
									class='form-control' [placeholder]="l('Supplier Name')"
									type='text' (keyup.enter)='searchDatas()'&gt;
								&lt;/div&gt;
								&lt;div class='input-search'&gt;
									&lt;input [(ngModel)]='remarks' name='remarks'
									class='form-control' [placeholder]="l('Remarks')"
									type='text' (keyup.enter)='searchDatas()'&gt;
								&lt;/div&gt;
								&lt;div class='input-search'&gt;
									&lt;input [(ngModel)]='supplierType' name='supplierType'
									class='form-control' [placeholder]="l('Supplier Type')"
									type='text' (keyup.enter)='searchDatas()'&gt;
								&lt;/div&gt;
								&lt;div class='input-search'&gt;
									&lt;input [(ngModel)]='supplierNameVn' name='supplierNameVn'
									class='form-control' [placeholder]="l('Supplier Name Vn')"
									type='text' (keyup.enter)='searchDatas()'&gt;
								&lt;/div&gt;
								&lt;div class='input-search'&gt;
									&lt;input [(ngModel)]='exporter' name='exporter'
									class='form-control' [placeholder]="l('Exporter')"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
					&lt;div class='col-md-12 form-group row'&gt;
						&lt;label class='col-md-2 form-control title'&gt;Supplier Name&lt;/label&gt;
						&lt;input type='text' class='col-md-10 form-control input-text' name='SupplierName' [(ngModel)]='rowdata.supplierName'&gt;
					&lt;/div&gt;
					&lt;div class='col-md-12 form-group row'&gt;
						&lt;label class='col-md-2 form-control title'&gt;Remarks&lt;/label&gt;
						&lt;input type='text' class='col-md-10 form-control input-text' name='Remarks' [(ngModel)]='rowdata.remarks'&gt;
					&lt;/div&gt;
					&lt;div class='col-md-12 form-group row'&gt;
						&lt;label class='col-md-2 form-control title'&gt;Supplier Type&lt;/label&gt;
						&lt;input type='text' class='col-md-10 form-control input-text' name='SupplierType' [(ngModel)]='rowdata.supplierType'&gt;
					&lt;/div&gt;
					&lt;div class='col-md-12 form-group row'&gt;
						&lt;label class='col-md-2 form-control title'&gt;Supplier Name Vn&lt;/label&gt;
						&lt;input type='text' class='col-md-10 form-control input-text' name='SupplierNameVn' [(ngModel)]='rowdata.supplierNameVn'&gt;
					&lt;/div&gt;
					&lt;div class='col-md-12 form-group row'&gt;
						&lt;label class='col-md-2 form-control title'&gt;Exporter&lt;/label&gt;
						&lt;input type='text' class='col-md-10 form-control input-text' name='Exporter' [(ngModel)]='rowdata.exporter'&gt;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	supplierNo : string = '' ; 
	supplierName : string = '' ; 
remarks : string = '' ; 
	supplierType : string = '' ; 
	supplierNameVn : string = '' ; 
	exporter : string = '' ; </v>
      </c>
      <c r="T13" s="68" t="str">
        <f ca="1">TEXTJOIN2("
",TRUE,INDIRECT(T11):INDIRECT(T12))</f>
        <v xml:space="preserve">			this.supplierNo,
			this.supplierName,
			this.remarks,
			this.supplierType,
			this.supplierNameVn,
			this.exporter,</v>
      </c>
      <c r="U13" s="68" t="str">
        <f ca="1">TEXTJOIN2("
",TRUE,INDIRECT(U11):INDIRECT(U12))</f>
        <v xml:space="preserve">		this.supplierNo = '',
		this.supplierName = '',
this.remarks = '',
		this.supplierType = '',
		this.supplierNameVn = '',
		this.exporter = '',</v>
      </c>
      <c r="V13" s="31" t="str">
        <f ca="1">TEXTJOIN2("
",TRUE,INDIRECT(V11):INDIRECT(V12))</f>
        <v/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supplierlist.component.ts</v>
      </c>
      <c r="I14" s="40" t="str">
        <f>B8&amp;".component.html"</f>
        <v>supplierlist.component.html</v>
      </c>
      <c r="J14" s="39" t="str">
        <f>B8&amp;".component.less"</f>
        <v>supplierlist.component.less</v>
      </c>
      <c r="K14" s="40" t="str">
        <f>"create-or-edit-"&amp;B8&amp;"-modal.component.html"</f>
        <v>create-or-edit-supplierlist-modal.component.html</v>
      </c>
      <c r="L14" s="40" t="str">
        <f>"create-or-edit-"&amp;B8&amp;"-modal.component.ts"</f>
        <v>create-or-edit-supplierlist-modal.component.ts</v>
      </c>
      <c r="M14" s="40" t="str">
        <f>"create-or-edit-"&amp;B8&amp;"-modal.component.less"</f>
        <v>create-or-edit-supplierlist-modal.component.less</v>
      </c>
      <c r="N14" s="40" t="str">
        <f>B8&amp;".module.ts"</f>
        <v>supplierlist.module.ts</v>
      </c>
      <c r="O14" s="40" t="str">
        <f>B8&amp;"-routing.module.ts"</f>
        <v>supplierlist-routing.module.ts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5" customHeight="1" x14ac:dyDescent="0.25">
      <c r="A15" s="72" t="s">
        <v>357</v>
      </c>
      <c r="B15" s="31" t="str">
        <f t="shared" ref="B15" si="0">SUBSTITUTE(PROPER(A15),"_","")</f>
        <v>SupplierNo</v>
      </c>
      <c r="C15" s="31" t="str">
        <f t="shared" ref="C15" si="1">SUBSTITUTE(PROPER(A15),"_"," ")</f>
        <v>Supplier No</v>
      </c>
      <c r="D15" s="31" t="str">
        <f t="shared" ref="D15" si="2">LOWER(LEFT(B15,1))&amp;RIGHT(B15,LEN(B15) - 1)</f>
        <v>supplierNo</v>
      </c>
      <c r="E15" s="31" t="str">
        <f>A.Backend!H9</f>
        <v>string</v>
      </c>
      <c r="F15" s="31" t="str">
        <f>A.Backend!G9</f>
        <v>10</v>
      </c>
      <c r="G15" s="31" t="str">
        <f t="shared" ref="G15" si="3">IF(E15="string"," : string = '' ; ",IF(OR(E15="DateTime",E15="TimeSpan")," : any ;",IF(E15="int"," : number = 0 ;","")))</f>
        <v xml:space="preserve"> : string = '' ; </v>
      </c>
      <c r="H15" s="38" t="str">
        <f t="shared" ref="H15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this.l('Supplier No'),headerTooltip: this.l('Supplier No'),field: 'supplierNo',flex: 1},</v>
      </c>
      <c r="I15" s="38" t="str">
        <f t="shared" ref="I15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[(ngModel)]='supplierNo' name='supplierNo'
									class='form-control' [placeholder]="l('Supplier No')"
									type='text' (keyup.enter)='searchDatas()'&gt;
								&lt;/div&gt;</v>
      </c>
      <c r="J15" s="31"/>
      <c r="K15" s="38" t="str">
        <f t="shared" ref="K15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title'&gt;Supplier No&lt;/label&gt;
						&lt;input type='text' class='col-md-10 form-control input-text' name='SupplierNo' [(ngModel)]='rowdata.supplierNo'&gt;
					&lt;/div&gt;</v>
      </c>
      <c r="L15" s="60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REPT(CHAR(9),1)&amp;D15&amp;G15</f>
        <v xml:space="preserve">	supplierNo : string = '' ; </v>
      </c>
      <c r="T15" s="31" t="str">
        <f>REPT(CHAR(9),3)&amp;"this."&amp;D15&amp;","</f>
        <v xml:space="preserve">			this.supplierNo,</v>
      </c>
      <c r="U15" s="31" t="str">
        <f>IF(E15="int",REPT(CHAR(9),2)&amp;"this."&amp;D15&amp;" = 0,",REPT(CHAR(9),2)&amp;"this."&amp;D15&amp;" = '',")</f>
        <v xml:space="preserve">		this.supplierNo = '',</v>
      </c>
      <c r="V15" s="31" t="str">
        <f t="shared" ref="V15" si="8">IF(AND(E15="string",F15="1"),D15,"")</f>
        <v/>
      </c>
    </row>
    <row r="16" spans="1:22" ht="18" customHeight="1" x14ac:dyDescent="0.25">
      <c r="A16" s="72" t="s">
        <v>359</v>
      </c>
      <c r="B16" s="31" t="str">
        <f t="shared" ref="B16" si="9">SUBSTITUTE(PROPER(A16),"_","")</f>
        <v>SupplierName</v>
      </c>
      <c r="C16" s="31" t="str">
        <f t="shared" ref="C16" si="10">SUBSTITUTE(PROPER(A16),"_"," ")</f>
        <v>Supplier Name</v>
      </c>
      <c r="D16" s="31" t="str">
        <f t="shared" ref="D16" si="11">LOWER(LEFT(B16,1))&amp;RIGHT(B16,LEN(B16) - 1)</f>
        <v>supplierName</v>
      </c>
      <c r="E16" s="31" t="str">
        <f>A.Backend!H10</f>
        <v>string</v>
      </c>
      <c r="F16" s="31" t="str">
        <f>A.Backend!G10</f>
        <v>50</v>
      </c>
      <c r="G16" s="31" t="str">
        <f t="shared" ref="G16" si="12">IF(E16="string"," : string = '' ; ",IF(OR(E16="DateTime",E16="TimeSpan")," : any ;",IF(E16="int"," : number = 0 ;","")))</f>
        <v xml:space="preserve"> : string = '' ; </v>
      </c>
      <c r="H16" s="38" t="str">
        <f t="shared" ref="H16" si="13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this.l('Supplier Name'),headerTooltip: this.l('Supplier Name'),field: 'supplierName',flex: 1},</v>
      </c>
      <c r="I16" s="38" t="str">
        <f t="shared" ref="I16" si="14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[(ngModel)]='supplierName' name='supplierName'
									class='form-control' [placeholder]="l('Supplier Name')"
									type='text' (keyup.enter)='searchDatas()'&gt;
								&lt;/div&gt;</v>
      </c>
      <c r="J16" s="31"/>
      <c r="K16" s="38" t="str">
        <f t="shared" ref="K16" si="15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title'&gt;Supplier Name&lt;/label&gt;
						&lt;input type='text' class='col-md-10 form-control input-text' name='SupplierName' [(ngModel)]='rowdata.supplierName'&gt;
					&lt;/div&gt;</v>
      </c>
      <c r="L16" s="60" t="str">
        <f t="shared" ref="L16" si="16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 t="shared" ref="S16" si="17">REPT(CHAR(9),1)&amp;D16&amp;G16</f>
        <v xml:space="preserve">	supplierName : string = '' ; </v>
      </c>
      <c r="T16" s="31" t="str">
        <f t="shared" ref="T16" si="18">REPT(CHAR(9),3)&amp;"this."&amp;D16&amp;","</f>
        <v xml:space="preserve">			this.supplierName,</v>
      </c>
      <c r="U16" s="31" t="str">
        <f t="shared" ref="U16" si="19">IF(E16="int",REPT(CHAR(9),2)&amp;"this."&amp;D16&amp;" = 0,",REPT(CHAR(9),2)&amp;"this."&amp;D16&amp;" = '',")</f>
        <v xml:space="preserve">		this.supplierName = '',</v>
      </c>
      <c r="V16" s="31" t="str">
        <f t="shared" ref="V16" si="20">IF(AND(E16="string",F16="1"),D16,"")</f>
        <v/>
      </c>
    </row>
    <row r="17" spans="1:22" ht="18" customHeight="1" x14ac:dyDescent="0.25">
      <c r="A17" s="72" t="s">
        <v>360</v>
      </c>
      <c r="B17" s="31" t="str">
        <f>SUBSTITUTE(PROPER(A17),"_","")</f>
        <v>Remarks</v>
      </c>
      <c r="C17" s="31" t="str">
        <f>SUBSTITUTE(PROPER(A17),"_"," ")</f>
        <v>Remarks</v>
      </c>
      <c r="D17" s="31" t="str">
        <f>LOWER(LEFT(B17,1))&amp;RIGHT(B17,LEN(B17) - 1)</f>
        <v>remarks</v>
      </c>
      <c r="E17" s="31" t="str">
        <f>A.Backend!H11</f>
        <v>string</v>
      </c>
      <c r="F17" s="31" t="str">
        <f>A.Backend!G11</f>
        <v>1000</v>
      </c>
      <c r="G17" s="31" t="str">
        <f>IF(E17="string"," : string = '' ; ",IF(OR(E17="DateTime",E17="TimeSpan")," : any ;",IF(E17="int"," : number = 0 ;","")))</f>
        <v xml:space="preserve"> : string = '' ; </v>
      </c>
      <c r="H17" s="38" t="str">
        <f>IF(E17="DateTime",
REPT(CHAR(9),3)&amp;"{headerName: this.l('"&amp;C17&amp;"'),headerTooltip: this.l('"&amp;C17&amp;"'),field: '"&amp;D17&amp;"',valueGetter: (params) =&gt; this.pipe.transform(params.data?."&amp;D17&amp;", 'dd/MM/yyyy'),flex: 1},",
IF(AND(E17="string",F17="1"),
REPT(CHAR(9),3)&amp;"{headerName: this.l('"&amp;C17&amp;"'),headerTooltip: this.l('"&amp;C17&amp;"'),field:  '"&amp;D17&amp;"', cellClass: ['text-center'], width: 120, cellRenderer: 'agCellButtonComponent',
buttonDefTwo: { text: params =&gt; (params.data?.'"&amp;D17&amp;"' == 'Y') ? 'Active' : 'Inactive',iconName: 'fa fa-circle',className: params =&gt; (params.data?.'"&amp;D17&amp;"' == 'Y') ? 'btnActive' : 'btnInActive',},}",
REPT(CHAR(9),3)&amp;"{headerName: this.l('"&amp;C17&amp;"'),headerTooltip: this.l('"&amp;C17&amp;"'),field: '"&amp;D17&amp;"',flex: 1},"))</f>
        <v xml:space="preserve">			{headerName: this.l('Remarks'),headerTooltip: this.l('Remarks'),field: 'remarks',flex: 1},</v>
      </c>
      <c r="I17" s="38" t="str">
        <f>IF(E17="DateTime",
REPT(CHAR(9),8)&amp;"&lt;div class='input-search'&gt;
"&amp;REPT(CHAR(9),9)&amp;"&lt;input type='text' [placeholder]=""l('"&amp;C17&amp;"')"" [(ngModel)]='"&amp;D17&amp;"' 
"&amp;REPT(CHAR(9),9)&amp;"name='"&amp;D17&amp;"'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IF(E17="string",
REPT(CHAR(9),8)&amp;"&lt;div class='input-search'&gt;
"&amp;REPT(CHAR(9),9)&amp;"&lt;input [(ngModel)]='"&amp;D17&amp;"' name='"&amp;D17&amp;"'
"&amp;REPT(CHAR(9),9)&amp;"class='form-control' [placeholder]=""l('"&amp;C17&amp;"')""
"&amp;REPT(CHAR(9),9)&amp;"type='text' (keyup.enter)='searchDatas()'&gt;
"&amp;REPT(CHAR(9),8)&amp;"&lt;/div&gt;",""))</f>
        <v xml:space="preserve">								&lt;div class='input-search'&gt;
									&lt;input [(ngModel)]='remarks' name='remarks'
									class='form-control' [placeholder]="l('Remarks')"
									type='text' (keyup.enter)='searchDatas()'&gt;
								&lt;/div&gt;</v>
      </c>
      <c r="J17" s="31"/>
      <c r="K17" s="38" t="str">
        <f>IF(OR(E17="DateTime",E17="TimeSpan"),
REPT(CHAR(9),5)&amp;"&lt;div class='col-md-12 form-group row'&gt;
"&amp;REPT(CHAR(9),6)&amp;"&lt;label class='col-md-2 form-control title'&gt;"&amp;C17&amp;"&lt;/label&gt;
"&amp;REPT(CHAR(9),6)&amp;"&lt;input type='text' class='col-md-10 form-control input-text' name='"&amp;D17&amp;"' 
"&amp;REPT(CHAR(9),6)&amp;"#datepicker='bsDatepicker' [(ngModel)]='rowdata."&amp;D17&amp;"'  bsDatepicker &gt;
"&amp;REPT(CHAR(9),5)&amp;"&lt;/div&gt;",
IF(AND(E17="string",F17="1"),
REPT(CHAR(9),5)&amp;"&lt;div class='col-md-12 form-group row'&gt;
"&amp;REPT(CHAR(9),6)&amp;"&lt;label class='col-md-2 form-control title'&gt;"&amp;C17&amp;"&lt;/label&gt;
"&amp;REPT(CHAR(9),6)&amp;"&lt;new-checkbox [(ngModel)]='_"&amp;D17&amp;"' name='"&amp;D17&amp;"' className='col-md-10' &gt; &lt;/new-checkbox&gt;
"&amp;REPT(CHAR(9),5)&amp;"&lt;/div&gt;",
IF(E17="string",
REPT(CHAR(9),5)&amp;"&lt;div class='col-md-12 form-group row'&gt;
"&amp;REPT(CHAR(9),6)&amp;"&lt;label class='col-md-2 form-control title'&gt;"&amp;C17&amp;"&lt;/label&gt;
"&amp;REPT(CHAR(9),6)&amp;"&lt;input type='text' class='col-md-10 form-control input-text' name='"&amp;B17&amp;"' [(ngModel)]='rowdata."&amp;D17&amp;"'&gt;
"&amp;REPT(CHAR(9),5)&amp;"&lt;/div&gt;",
IF(E17="int",
REPT(CHAR(9),5)&amp;"&lt;div class='col-md-12 form-group row'&gt;
"&amp;REPT(CHAR(9),6)&amp;"&lt;label class='col-md-2 form-control title'&gt;"&amp;C17&amp;"&lt;/label&gt;
"&amp;REPT(CHAR(9),6)&amp;"&lt;input type='number' class='col-md-10 form-control input-text' name='"&amp;B17&amp;"' [(ngModel)]='rowdata."&amp;D17&amp;"'&gt;
"&amp;REPT(CHAR(9),5)&amp;"&lt;/div&gt;",""))))</f>
        <v xml:space="preserve">					&lt;div class='col-md-12 form-group row'&gt;
						&lt;label class='col-md-2 form-control title'&gt;Remarks&lt;/label&gt;
						&lt;input type='text' class='col-md-10 form-control input-text' name='Remarks' [(ngModel)]='rowdata.remarks'&gt;
					&lt;/div&gt;</v>
      </c>
      <c r="L17" s="60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31"/>
      <c r="N17" s="31"/>
      <c r="O17" s="31"/>
      <c r="P17" s="31"/>
      <c r="Q17" s="31"/>
      <c r="R17" s="31"/>
      <c r="S17" s="31" t="str">
        <f>D17&amp;G17</f>
        <v xml:space="preserve">remarks : string = '' ; </v>
      </c>
      <c r="T17" s="31" t="str">
        <f>REPT(CHAR(9),3)&amp;"this."&amp;D17&amp;","</f>
        <v xml:space="preserve">			this.remarks,</v>
      </c>
      <c r="U17" s="31" t="str">
        <f>IF(E17="int","this."&amp;D17&amp;" = 0,","this."&amp;D17&amp;" = '',")</f>
        <v>this.remarks = '',</v>
      </c>
      <c r="V17" s="31" t="str">
        <f>IF(AND(E17="string",F17="1"),D17,"")</f>
        <v/>
      </c>
    </row>
    <row r="18" spans="1:22" s="72" customFormat="1" ht="15" customHeight="1" x14ac:dyDescent="0.25">
      <c r="A18" s="72" t="s">
        <v>362</v>
      </c>
      <c r="B18" s="31" t="str">
        <f t="shared" ref="B18:B19" si="21">SUBSTITUTE(PROPER(A18),"_","")</f>
        <v>SupplierType</v>
      </c>
      <c r="C18" s="31" t="str">
        <f t="shared" ref="C18:C19" si="22">SUBSTITUTE(PROPER(A18),"_"," ")</f>
        <v>Supplier Type</v>
      </c>
      <c r="D18" s="31" t="str">
        <f t="shared" ref="D18:D19" si="23">LOWER(LEFT(B18,1))&amp;RIGHT(B18,LEN(B18) - 1)</f>
        <v>supplierType</v>
      </c>
      <c r="E18" s="31" t="str">
        <f>A.Backend!H10</f>
        <v>string</v>
      </c>
      <c r="F18" s="31" t="str">
        <f>A.Backend!G10</f>
        <v>50</v>
      </c>
      <c r="G18" s="31" t="str">
        <f t="shared" ref="G18:G19" si="24">IF(E18="string"," : string = '' ; ",IF(OR(E18="DateTime",E18="TimeSpan")," : any ;",IF(E18="int"," : number = 0 ;","")))</f>
        <v xml:space="preserve"> : string = '' ; </v>
      </c>
      <c r="H18" s="38" t="str">
        <f t="shared" ref="H18:H19" si="25">IF(E18="DateTime",
REPT(CHAR(9),3)&amp;"{headerName: this.l('"&amp;C18&amp;"'),headerTooltip: this.l('"&amp;C18&amp;"'),field: '"&amp;D18&amp;"',valueGetter: (params) =&gt; this.pipe.transform(params.data?."&amp;D18&amp;", 'dd/MM/yyyy'),flex: 1},",
IF(AND(E18="string",F18="1"),
REPT(CHAR(9),3)&amp;"{headerName: this.l('"&amp;C18&amp;"'),headerTooltip: this.l('"&amp;C18&amp;"'),field:  '"&amp;D18&amp;"', cellClass: ['text-center'], width: 120, cellRenderer: 'agCellButtonComponent',
buttonDefTwo: { text: params =&gt; (params.data?.'"&amp;D18&amp;"' == 'Y') ? 'Active' : 'Inactive',iconName: 'fa fa-circle',className: params =&gt; (params.data?.'"&amp;D18&amp;"' == 'Y') ? 'btnActive' : 'btnInActive',},}",
REPT(CHAR(9),3)&amp;"{headerName: this.l('"&amp;C18&amp;"'),headerTooltip: this.l('"&amp;C18&amp;"'),field: '"&amp;D18&amp;"',flex: 1},"))</f>
        <v xml:space="preserve">			{headerName: this.l('Supplier Type'),headerTooltip: this.l('Supplier Type'),field: 'supplierType',flex: 1},</v>
      </c>
      <c r="I18" s="38" t="str">
        <f t="shared" ref="I18:I19" si="26">IF(E18="DateTime",
REPT(CHAR(9),8)&amp;"&lt;div class='input-search'&gt;
"&amp;REPT(CHAR(9),9)&amp;"&lt;input type='text' [placeholder]=""l('"&amp;C18&amp;"')"" [(ngModel)]='"&amp;D18&amp;"' 
"&amp;REPT(CHAR(9),9)&amp;"name='"&amp;D18&amp;"'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IF(E18="string",
REPT(CHAR(9),8)&amp;"&lt;div class='input-search'&gt;
"&amp;REPT(CHAR(9),9)&amp;"&lt;input [(ngModel)]='"&amp;D18&amp;"' name='"&amp;D18&amp;"'
"&amp;REPT(CHAR(9),9)&amp;"class='form-control' [placeholder]=""l('"&amp;C18&amp;"')""
"&amp;REPT(CHAR(9),9)&amp;"type='text' (keyup.enter)='searchDatas()'&gt;
"&amp;REPT(CHAR(9),8)&amp;"&lt;/div&gt;",""))</f>
        <v xml:space="preserve">								&lt;div class='input-search'&gt;
									&lt;input [(ngModel)]='supplierType' name='supplierType'
									class='form-control' [placeholder]="l('Supplier Type')"
									type='text' (keyup.enter)='searchDatas()'&gt;
								&lt;/div&gt;</v>
      </c>
      <c r="J18" s="31"/>
      <c r="K18" s="38" t="str">
        <f t="shared" ref="K18:K19" si="27">IF(OR(E18="DateTime",E18="TimeSpan"),
REPT(CHAR(9),5)&amp;"&lt;div class='col-md-12 form-group row'&gt;
"&amp;REPT(CHAR(9),6)&amp;"&lt;label class='col-md-2 form-control title'&gt;"&amp;C18&amp;"&lt;/label&gt;
"&amp;REPT(CHAR(9),6)&amp;"&lt;input type='text' class='col-md-10 form-control input-text' name='"&amp;D18&amp;"' 
"&amp;REPT(CHAR(9),6)&amp;"#datepicker='bsDatepicker' [(ngModel)]='rowdata."&amp;D18&amp;"'  bsDatepicker &gt;
"&amp;REPT(CHAR(9),5)&amp;"&lt;/div&gt;",
IF(AND(E18="string",F18="1"),
REPT(CHAR(9),5)&amp;"&lt;div class='col-md-12 form-group row'&gt;
"&amp;REPT(CHAR(9),6)&amp;"&lt;label class='col-md-2 form-control title'&gt;"&amp;C18&amp;"&lt;/label&gt;
"&amp;REPT(CHAR(9),6)&amp;"&lt;new-checkbox [(ngModel)]='_"&amp;D18&amp;"' name='"&amp;D18&amp;"' className='col-md-10' &gt; &lt;/new-checkbox&gt;
"&amp;REPT(CHAR(9),5)&amp;"&lt;/div&gt;",
IF(E18="string",
REPT(CHAR(9),5)&amp;"&lt;div class='col-md-12 form-group row'&gt;
"&amp;REPT(CHAR(9),6)&amp;"&lt;label class='col-md-2 form-control title'&gt;"&amp;C18&amp;"&lt;/label&gt;
"&amp;REPT(CHAR(9),6)&amp;"&lt;input type='text' class='col-md-10 form-control input-text' name='"&amp;B18&amp;"' [(ngModel)]='rowdata."&amp;D18&amp;"'&gt;
"&amp;REPT(CHAR(9),5)&amp;"&lt;/div&gt;",
IF(E18="int",
REPT(CHAR(9),5)&amp;"&lt;div class='col-md-12 form-group row'&gt;
"&amp;REPT(CHAR(9),6)&amp;"&lt;label class='col-md-2 form-control title'&gt;"&amp;C18&amp;"&lt;/label&gt;
"&amp;REPT(CHAR(9),6)&amp;"&lt;input type='number' class='col-md-10 form-control input-text' name='"&amp;B18&amp;"' [(ngModel)]='rowdata."&amp;D18&amp;"'&gt;
"&amp;REPT(CHAR(9),5)&amp;"&lt;/div&gt;",""))))</f>
        <v xml:space="preserve">					&lt;div class='col-md-12 form-group row'&gt;
						&lt;label class='col-md-2 form-control title'&gt;Supplier Type&lt;/label&gt;
						&lt;input type='text' class='col-md-10 form-control input-text' name='SupplierType' [(ngModel)]='rowdata.supplierType'&gt;
					&lt;/div&gt;</v>
      </c>
      <c r="L18" s="60" t="str">
        <f t="shared" ref="L18:L19" si="28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31"/>
      <c r="N18" s="31"/>
      <c r="O18" s="31"/>
      <c r="P18" s="31"/>
      <c r="Q18" s="31"/>
      <c r="R18" s="31"/>
      <c r="S18" s="31" t="str">
        <f>REPT(CHAR(9),1)&amp;D18&amp;G18</f>
        <v xml:space="preserve">	supplierType : string = '' ; </v>
      </c>
      <c r="T18" s="31" t="str">
        <f>REPT(CHAR(9),3)&amp;"this."&amp;D18&amp;","</f>
        <v xml:space="preserve">			this.supplierType,</v>
      </c>
      <c r="U18" s="31" t="str">
        <f>IF(E18="int",REPT(CHAR(9),2)&amp;"this."&amp;D18&amp;" = 0,",REPT(CHAR(9),2)&amp;"this."&amp;D18&amp;" = '',")</f>
        <v xml:space="preserve">		this.supplierType = '',</v>
      </c>
      <c r="V18" s="31" t="str">
        <f t="shared" ref="V18:V19" si="29">IF(AND(E18="string",F18="1"),D18,"")</f>
        <v/>
      </c>
    </row>
    <row r="19" spans="1:22" s="72" customFormat="1" ht="18" customHeight="1" x14ac:dyDescent="0.25">
      <c r="A19" s="72" t="s">
        <v>364</v>
      </c>
      <c r="B19" s="31" t="str">
        <f t="shared" si="21"/>
        <v>SupplierNameVn</v>
      </c>
      <c r="C19" s="31" t="str">
        <f t="shared" si="22"/>
        <v>Supplier Name Vn</v>
      </c>
      <c r="D19" s="31" t="str">
        <f t="shared" si="23"/>
        <v>supplierNameVn</v>
      </c>
      <c r="E19" s="31" t="str">
        <f>A.Backend!H12</f>
        <v>string</v>
      </c>
      <c r="F19" s="31" t="str">
        <f>A.Backend!G12</f>
        <v>10</v>
      </c>
      <c r="G19" s="31" t="str">
        <f t="shared" si="24"/>
        <v xml:space="preserve"> : string = '' ; </v>
      </c>
      <c r="H19" s="38" t="str">
        <f t="shared" si="25"/>
        <v xml:space="preserve">			{headerName: this.l('Supplier Name Vn'),headerTooltip: this.l('Supplier Name Vn'),field: 'supplierNameVn',flex: 1},</v>
      </c>
      <c r="I19" s="38" t="str">
        <f t="shared" si="26"/>
        <v xml:space="preserve">								&lt;div class='input-search'&gt;
									&lt;input [(ngModel)]='supplierNameVn' name='supplierNameVn'
									class='form-control' [placeholder]="l('Supplier Name Vn')"
									type='text' (keyup.enter)='searchDatas()'&gt;
								&lt;/div&gt;</v>
      </c>
      <c r="J19" s="31"/>
      <c r="K19" s="38" t="str">
        <f t="shared" si="27"/>
        <v xml:space="preserve">					&lt;div class='col-md-12 form-group row'&gt;
						&lt;label class='col-md-2 form-control title'&gt;Supplier Name Vn&lt;/label&gt;
						&lt;input type='text' class='col-md-10 form-control input-text' name='SupplierNameVn' [(ngModel)]='rowdata.supplierNameVn'&gt;
					&lt;/div&gt;</v>
      </c>
      <c r="L19" s="60" t="str">
        <f t="shared" si="28"/>
        <v/>
      </c>
      <c r="M19" s="31"/>
      <c r="N19" s="31"/>
      <c r="O19" s="31"/>
      <c r="P19" s="31"/>
      <c r="Q19" s="31"/>
      <c r="R19" s="31"/>
      <c r="S19" s="31" t="str">
        <f t="shared" ref="S19" si="30">REPT(CHAR(9),1)&amp;D19&amp;G19</f>
        <v xml:space="preserve">	supplierNameVn : string = '' ; </v>
      </c>
      <c r="T19" s="31" t="str">
        <f t="shared" ref="T19" si="31">REPT(CHAR(9),3)&amp;"this."&amp;D19&amp;","</f>
        <v xml:space="preserve">			this.supplierNameVn,</v>
      </c>
      <c r="U19" s="31" t="str">
        <f t="shared" ref="U19" si="32">IF(E19="int",REPT(CHAR(9),2)&amp;"this."&amp;D19&amp;" = 0,",REPT(CHAR(9),2)&amp;"this."&amp;D19&amp;" = '',")</f>
        <v xml:space="preserve">		this.supplierNameVn = '',</v>
      </c>
      <c r="V19" s="31" t="str">
        <f t="shared" si="29"/>
        <v/>
      </c>
    </row>
    <row r="20" spans="1:22" ht="15" customHeight="1" x14ac:dyDescent="0.25">
      <c r="A20" s="72" t="s">
        <v>365</v>
      </c>
      <c r="B20" s="31" t="str">
        <f t="shared" ref="B20" si="33">SUBSTITUTE(PROPER(A20),"_","")</f>
        <v>Exporter</v>
      </c>
      <c r="C20" s="31" t="str">
        <f t="shared" ref="C20" si="34">SUBSTITUTE(PROPER(A20),"_"," ")</f>
        <v>Exporter</v>
      </c>
      <c r="D20" s="31" t="str">
        <f t="shared" ref="D20" si="35">LOWER(LEFT(B20,1))&amp;RIGHT(B20,LEN(B20) - 1)</f>
        <v>exporter</v>
      </c>
      <c r="E20" s="31" t="str">
        <f>A.Backend!H12</f>
        <v>string</v>
      </c>
      <c r="F20" s="31" t="str">
        <f>A.Backend!G12</f>
        <v>10</v>
      </c>
      <c r="G20" s="31" t="str">
        <f t="shared" ref="G20" si="36">IF(E20="string"," : string = '' ; ",IF(OR(E20="DateTime",E20="TimeSpan")," : any ;",IF(E20="int"," : number = 0 ;","")))</f>
        <v xml:space="preserve"> : string = '' ; </v>
      </c>
      <c r="H20" s="38" t="str">
        <f t="shared" ref="H20" si="37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this.l('Exporter'),headerTooltip: this.l('Exporter'),field: 'exporter',flex: 1},</v>
      </c>
      <c r="I20" s="38" t="str">
        <f t="shared" ref="I20" si="38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[(ngModel)]='exporter' name='exporter'
									class='form-control' [placeholder]="l('Exporter')"
									type='text' (keyup.enter)='searchDatas()'&gt;
								&lt;/div&gt;</v>
      </c>
      <c r="J20" s="31"/>
      <c r="K20" s="38" t="str">
        <f t="shared" ref="K20" si="39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title'&gt;Exporter&lt;/label&gt;
						&lt;input type='text' class='col-md-10 form-control input-text' name='Exporter' [(ngModel)]='rowdata.exporter'&gt;
					&lt;/div&gt;</v>
      </c>
      <c r="L20" s="60" t="str">
        <f t="shared" ref="L20" si="40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REPT(CHAR(9),1)&amp;D20&amp;G20</f>
        <v xml:space="preserve">	exporter : string = '' ; </v>
      </c>
      <c r="T20" s="31" t="str">
        <f>REPT(CHAR(9),3)&amp;"this."&amp;D20&amp;","</f>
        <v xml:space="preserve">			this.exporter,</v>
      </c>
      <c r="U20" s="31" t="str">
        <f>IF(E20="int",REPT(CHAR(9),2)&amp;"this."&amp;D20&amp;" = 0,",REPT(CHAR(9),2)&amp;"this."&amp;D20&amp;" = '',")</f>
        <v xml:space="preserve">		this.exporter = '',</v>
      </c>
      <c r="V20" s="31" t="str">
        <f t="shared" ref="V20" si="41">IF(AND(E20="string",F20="1"),D20,"")</f>
        <v/>
      </c>
    </row>
    <row r="21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E18" sqref="E18"/>
    </sheetView>
  </sheetViews>
  <sheetFormatPr defaultColWidth="8.7109375" defaultRowHeight="15" x14ac:dyDescent="0.25"/>
  <cols>
    <col min="1" max="1" width="22.42578125" bestFit="1" customWidth="1"/>
    <col min="2" max="2" width="29.71093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1093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2023-07-12T08:00:09Z</dcterms:modified>
</cp:coreProperties>
</file>
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H12" i="1"/>
  <c r="U16" i="5" l="1"/>
  <c r="U17" i="5"/>
  <c r="U18" i="5"/>
  <c r="T16" i="5"/>
  <c r="T17" i="5"/>
  <c r="T18" i="5"/>
  <c r="K18" i="5"/>
  <c r="I16" i="5"/>
  <c r="I17" i="5"/>
  <c r="G17" i="5"/>
  <c r="S17" i="5" s="1"/>
  <c r="G18" i="5"/>
  <c r="S18" i="5" s="1"/>
  <c r="F16" i="5"/>
  <c r="F17" i="5"/>
  <c r="F18" i="5"/>
  <c r="E16" i="5"/>
  <c r="V16" i="5" s="1"/>
  <c r="E17" i="5"/>
  <c r="H17" i="5" s="1"/>
  <c r="E18" i="5"/>
  <c r="I18" i="5" s="1"/>
  <c r="G16" i="5" l="1"/>
  <c r="S16" i="5" s="1"/>
  <c r="K17" i="5"/>
  <c r="V18" i="5"/>
  <c r="H18" i="5"/>
  <c r="V17" i="5"/>
  <c r="K16" i="5"/>
  <c r="H16" i="5"/>
  <c r="L18" i="5"/>
  <c r="C18" i="5"/>
  <c r="B18" i="5"/>
  <c r="D18" i="5" s="1"/>
  <c r="G12" i="1"/>
  <c r="E12" i="1"/>
  <c r="D12" i="1"/>
  <c r="V12" i="1" s="1"/>
  <c r="I12" i="1" l="1"/>
  <c r="O12" i="1"/>
  <c r="W12" i="1"/>
  <c r="J12" i="1"/>
  <c r="N12" i="1"/>
  <c r="M12" i="1"/>
  <c r="T12" i="1"/>
  <c r="P12" i="1"/>
  <c r="L17" i="5"/>
  <c r="C17" i="5"/>
  <c r="B17" i="5"/>
  <c r="D17" i="5" s="1"/>
  <c r="G10" i="1"/>
  <c r="E10" i="1"/>
  <c r="D10" i="1"/>
  <c r="V10" i="1" s="1"/>
  <c r="I10" i="1" l="1"/>
  <c r="O10" i="1"/>
  <c r="N10" i="1"/>
  <c r="W10" i="1"/>
  <c r="J10" i="1"/>
  <c r="M10" i="1"/>
  <c r="T10" i="1"/>
  <c r="P10" i="1"/>
  <c r="B2" i="5"/>
  <c r="C16" i="5" l="1"/>
  <c r="B16" i="5"/>
  <c r="D16" i="5" s="1"/>
  <c r="B6" i="1" l="1"/>
  <c r="C15" i="5" l="1"/>
  <c r="B15" i="5"/>
  <c r="D15" i="5" s="1"/>
  <c r="T15" i="5" s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1" i="1" l="1"/>
  <c r="E11" i="1"/>
  <c r="D11" i="1"/>
  <c r="T11" i="1" s="1"/>
  <c r="L16" i="5" l="1"/>
  <c r="P11" i="1"/>
  <c r="V11" i="1"/>
  <c r="W11" i="1"/>
  <c r="J11" i="1"/>
  <c r="I11" i="1"/>
  <c r="O11" i="1"/>
  <c r="N11" i="1"/>
  <c r="M11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V13" i="5"/>
  <c r="I13" i="5"/>
  <c r="H13" i="5"/>
  <c r="U13" i="5"/>
  <c r="L13" i="5"/>
  <c r="S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0" i="1" l="1"/>
  <c r="L12" i="1"/>
  <c r="L9" i="1"/>
  <c r="L11" i="1"/>
  <c r="C7" i="1"/>
  <c r="J13" i="1"/>
  <c r="P13" i="1"/>
  <c r="N13" i="1"/>
  <c r="O13" i="1"/>
  <c r="I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<sst xmlns="http://schemas.openxmlformats.org/spreadsheetml/2006/main" count="449" uniqueCount="365">
  <si>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</si>
  <si>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</si>
  <si>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</si>
  <si>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</si>
  <si>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</si>
  <si>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</si>
  <si>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</si>
  <si>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</si>
  <si>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</si>
  <si>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</si>
  <si>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</si>
  <si>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</si>
  <si>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</si>
  <si>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</si>
  <si>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</si>
  <si>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</si>
  <si>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</si>
  <si>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</si>
  <si>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</si>
  <si>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</si>
  <si>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</si>
  <si>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</si>
  <si>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</si>
  <si>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</si>
  <si>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</si>
  <si>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</si>
  <si>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</si>
  <si>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</si>
  <si>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</si>
  <si>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</si>
  <si>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</si>
  <si>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</si>
  <si>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</si>
  <si>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</si>
  <si>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</si>
  <si>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</si>
  <si>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</si>
  <si>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</si>
  <si>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</si>
  <si>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</si>
  <si>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</si>
  <si>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</si>
  <si>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</si>
  <si>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</si>
  <si>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</si>
  <si>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</si>
  <si>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</si>
  <si>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</si>
  <si>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</si>
  <si>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</si>
  <si>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</si>
  <si>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</si>
  <si>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</si>
  <si>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</si>
  <si>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</si>
  <si>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</si>
  <si>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</si>
  <si>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</si>
  <si>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</si>
  <si>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</si>
  <si>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</si>
  <si>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</si>
  <si>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</si>
  <si>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</si>
  <si>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</si>
  <si>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</si>
  <si>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</si>
  <si>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</si>
  <si>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</si>
  <si>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</si>
  <si>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</si>
  <si>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</si>
  <si>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</si>
  <si>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</si>
  <si>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</si>
  <si>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</si>
  <si>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</si>
  <si>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</si>
  <si>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</si>
  <si>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</si>
  <si>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</si>
  <si>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</si>
  <si>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</si>
  <si>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</si>
  <si>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</si>
  <si>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</si>
  <si>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</si>
  <si>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</si>
  <si>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</si>
  <si>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</si>
  <si>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</si>
  <si>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</si>
  <si>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</si>
  <si>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</si>
  <si>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</si>
  <si>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</si>
  <si>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</si>
  <si>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</si>
  <si>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</si>
  <si>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</si>
  <si>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</si>
  <si>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</si>
  <si>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</si>
  <si>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</si>
  <si>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</si>
  <si>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</si>
  <si>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</si>
  <si>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</si>
  <si>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</si>
  <si>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</si>
  <si>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</si>
  <si>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</si>
  <si>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</si>
  <si>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</si>
  <si>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</si>
  <si>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</si>
  <si>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</si>
  <si>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</si>
  <si>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</si>
  <si>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</si>
  <si>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</si>
  <si>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</si>
  <si>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</si>
  <si>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</si>
  <si>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</si>
  <si>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</si>
  <si>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</si>
  <si>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</si>
  <si>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</si>
  <si>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</si>
  <si>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</si>
  <si>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</si>
  <si>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</si>
  <si>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</si>
  <si>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</si>
  <si>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</si>
  <si>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</si>
  <si>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</si>
  <si>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</si>
  <si>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</si>
  <si>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</si>
  <si>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</si>
  <si>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</si>
  <si>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</si>
  <si>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</si>
  <si>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</si>
  <si>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</si>
  <si>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</si>
  <si>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</si>
  <si>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</si>
  <si>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</si>
  <si>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</si>
  <si>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</si>
  <si>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</si>
  <si>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</si>
  <si>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</si>
  <si>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</si>
  <si>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</si>
  <si>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</si>
  <si>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</si>
  <si>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</si>
  <si>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</si>
  <si>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</si>
  <si>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</si>
  <si>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</si>
  <si>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</si>
  <si>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</si>
  <si>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</si>
  <si>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</si>
  <si>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</si>
  <si>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</si>
  <si>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</si>
  <si>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</si>
  <si>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</si>
  <si>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</si>
  <si>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</si>
  <si>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</si>
  <si>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</si>
  <si>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</si>
  <si>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</si>
  <si>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</si>
  <si>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</si>
  <si>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</si>
  <si>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</si>
  <si>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</si>
  <si>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</si>
  <si>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</si>
  <si>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</si>
  <si>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</si>
  <si>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</si>
  <si>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</si>
  <si>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</si>
  <si>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</si>
  <si>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</si>
  <si>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</si>
  <si>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</si>
  <si>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</si>
  <si>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</si>
  <si>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</si>
  <si>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</si>
  <si>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</si>
  <si>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</si>
  <si>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</si>
  <si>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</si>
  <si>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</si>
  <si>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</si>
  <si>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</si>
  <si>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</si>
  <si>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</si>
  <si>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</si>
  <si>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</si>
  <si>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</si>
  <si>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</si>
  <si>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</si>
  <si>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</si>
  <si>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</si>
  <si>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</si>
  <si>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</si>
  <si>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</si>
  <si>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</si>
  <si>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</si>
  <si>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</si>
  <si>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</si>
  <si>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</si>
  <si>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</si>
  <si>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</si>
  <si>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</si>
  <si>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</si>
  <si>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</si>
  <si>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</si>
  <si>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</si>
  <si>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</si>
  <si>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</si>
  <si>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</si>
  <si>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</si>
  <si>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</si>
  <si>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</si>
  <si>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</si>
  <si>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</si>
  <si>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</si>
  <si>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</si>
  <si>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</si>
  <si>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</si>
  <si>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</si>
  <si>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</si>
  <si>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</si>
  <si>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</si>
  <si>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</si>
  <si>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</si>
  <si>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</si>
  <si>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</si>
  <si>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</si>
  <si>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</si>
  <si>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</si>
  <si>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</si>
  <si>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</si>
  <si>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</si>
  <si>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</si>
  <si>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</si>
  <si>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</si>
  <si>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</si>
  <si>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</si>
  <si>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</si>
  <si>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</si>
  <si>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</si>
  <si>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</si>
  <si>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</si>
  <si>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</si>
  <si>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</si>
  <si>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</si>
  <si>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</si>
  <si>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</si>
  <si>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</si>
  <si>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</si>
  <si>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</si>
  <si>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</si>
  <si>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</si>
  <si>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</si>
  <si>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</si>
  <si>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</si>
  <si>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</si>
  <si>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</si>
  <si>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</si>
  <si>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</si>
  <si>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</si>
  <si>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</si>
  <si>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</si>
  <si>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</si>
  <si>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</si>
  <si>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</si>
  <si>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</si>
  <si>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</si>
  <si>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</si>
  <si>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</si>
  <si>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</si>
  <si>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</si>
  <si>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</si>
  <si>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</si>
  <si>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</si>
  <si>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</si>
  <si>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</si>
  <si>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</si>
  <si>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</si>
  <si>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</si>
  <si>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</si>
  <si>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</si>
  <si>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</si>
  <si>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</si>
  <si>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</si>
  <si>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</si>
  <si>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</si>
  <si>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</si>
  <si>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</si>
  <si>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</si>
  <si>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</si>
  <si>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</si>
  <si>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</si>
  <si>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</si>
  <si>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</si>
  <si>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</si>
  <si>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</si>
  <si>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</si>
  <si>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</si>
  <si>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</si>
  <si>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</si>
  <si>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</si>
  <si>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</si>
  <si>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</si>
  <si>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</si>
  <si>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</si>
  <si>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</si>
  <si>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</si>
  <si>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</si>
  <si>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</si>
  <si>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</si>
  <si>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</si>
  <si>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</si>
  <si>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</si>
  <si>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</si>
  <si>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</si>
  <si>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</si>
  <si>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</si>
  <si>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</si>
  <si>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</si>
  <si>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</si>
  <si>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</si>
  <si>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</si>
  <si>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</si>
  <si>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</si>
  <si>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</si>
  <si>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</si>
  <si>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</si>
  <si>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</si>
  <si>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</si>
  <si>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CODE</t>
  </si>
  <si>
    <t>DESCRIPTION</t>
  </si>
  <si>
    <t>MstInvShippingCompany</t>
  </si>
  <si>
    <t>ShippingCompany</t>
  </si>
  <si>
    <t>varchar(10)</t>
  </si>
  <si>
    <t>varchar(50)</t>
  </si>
  <si>
    <t>NAME</t>
  </si>
  <si>
    <t>nvarchar(200)</t>
  </si>
  <si>
    <t>IS_ACTIVE</t>
  </si>
  <si>
    <t>varchar(1)</t>
  </si>
  <si>
    <t>Shipping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</si>
</sst>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[Table("MstInvShippingCompany")]
	[Index(nameof(Code), Name="IX_MstInvShippingCompany_Code")]
	[Index(nameof(IsActive), Name="IX_MstInvShippingCompany_IsActive")]	public class MstInvShippingCompany: FullAuditedEntity&lt;long&gt;, IEntity&lt;long&gt;	
	{
		public const int MaxCodeLength = 10;
		public const int MaxNameLength = 50;
		public const int MaxDescriptionLength = 200;
		public const int MaxIsActiveLength = 1;
		[StringLength(MaxCodeLength)]
		public virtual string Code { get; set; }
		[StringLength(MaxNameLength)]
		public virtual string Name { get; set; }
		[StringLength(MaxDescriptionLength)]
		public virtual string Description { get; set; }
		[StringLength(MaxIsActiveLength)]
		public virtual string IsActive { get; set; }
	}
}
</v>
      </c>
      <c r="D68" s="51" t="str">
        <f>A.Backend!O7</f>
        <v xml:space="preserve">		public const string Pages_Master_Inventory_ShippingCompany = "Pages.Master.Inventory.ShippingCompany";
		public const string Pages_Master_Inventory_ShippingCompany_CreateEdit = "Pages.Master.Inventory.ShippingCompany.CreateEdit";
		public const string Pages_Master_Inventory_ShippingCompany_Delete = "Pages.Master.Inventory.ShippingCompany.Delete";
</v>
      </c>
      <c r="E68" s="51" t="str">
        <f>A.Backend!N7</f>
        <v xml:space="preserve">		var perMstInvShippingCompany = PARENTS.CreateChildPermission(AppPermissions.Pages_Master_Inventory_ShippingCompany, L( "MasterInventoryShippingCompany"), multiTenancySides: MultiTenancySides.Tenant);
		perMstInvShippingCompany.CreateChildPermission(AppPermissions.Pages_Master_Inventory_ShippingCompany_CreateEdit, L( "MasterInventoryShippingCompanyCreateEdit"), multiTenancySides: MultiTenancySides.Tenant);
		perMstInvShippingCompany.CreateChildPermission(AppPermissions.Pages_Master_Inventory_ShippingCompany_Delete, L( "MasterInventoryShippingCompanyDelete"), multiTenancySides: MultiTenancySides.Tenant);</v>
      </c>
      <c r="F68" s="51" t="str">
        <f>A.Backend!K7</f>
        <v>public virtual DbSet&lt;MstInvShippingCompany&gt; MstInvShippingCompanys { get; set; }</v>
      </c>
      <c r="G68" s="51" t="str">
        <f ca="1">A.Backend!L7</f>
        <v xml:space="preserve">namespace prod.Master.Inventory
{
	public class MstInvShippingCompanyConsts	
	{
		public const int MaxCodeLength = 10;
		public const int MaxNameLength = 50;
		public const int MaxDescriptionLength = 200;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MstInvShippingCompanyDto : EntityDto&lt;long?&gt;	
	{
		public virtual string Code { get; set; }
		public virtual string Name { get; set; }
		public virtual string Description { get; set; }
		public virtual string IsActive { get; set; }
	}
	public class CreateOrEditMstInvShippingCompanyDto : EntityDto&lt;long?&gt;	
	{
		[StringLength(MstInvShippingCompanyConsts.MaxCodeLength)]
		public virtual string Code { get; set; }
		[StringLength(MstInvShippingCompanyConsts.MaxNameLength)]
		public virtual string Name { get; set; }
		[StringLength(MstInvShippingCompanyConsts.MaxDescriptionLength)]
		public virtual string Description { get; set; }
		[StringLength(MstInvShippingCompanyConsts.MaxIsActiveLength)]
		public virtual string IsActive { get; set; }
	}
	public class GetMstInvShippingCompanyInput : PagedAndSortedResultRequestDto	
	{
		public virtual string Code { get; set; }
		public virtual string Name { get; set; }
		public virtual string Description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MstInvShippingCompanyExportInput{
		public virtual string Code { get; set; }
		public virtual string Name { get; set; }
		public virtual string Description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IMstInvShippingCompanyAppService : IApplicationService
	{
		Task&lt;PagedResultDto&lt;MstInvShippingCompanyDto&gt;&gt; GetAll(GetMstInvShippingCompanyInput input);
		Task CreateOrEdit(CreateOrEditMstInvShippingCompanyDto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IMstInvShippingCompanyExcelExporter : IApplicationService
	{
		FileDto ExportToFile(List&lt;MstInvShippingCompanyDto&gt; mstinvshippingcompany);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MstInvShippingCompanyExcelExporter : NpoiExcelExporterBase, IMstInvShippingCompanyExcelExporter
    {
        public MstInvShippingCompanyExcelExporter(ITempFileCacheManager tempFileCacheManager) : base(tempFileCacheManager) { }
        public FileDto ExportToFile(List&lt;MstInvShippingCompanyDto&gt; shippingcompany)
        {
            return CreateExcelPackage(
				"MasterInventoryShippingCompany.xlsx",
				excelPackage =&gt;
				 {
					var sheet = excelPackage.CreateSheet("ShippingCompany");
					AddHeader(
								sheet,
								("Code"),
								("Name"),
								("Description"),
								("IsActive"),
							   );
					AddObjects(
						 sheet, 1, shippingcompany,                                       
								_ =&gt; _.Code,
								_ =&gt; _.Name,
								_ =&gt; _.Description,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[AbpAuthorize(AppPermissions.Pages_Master_Inventory_ShippingCompany)]
    public class MstInvShippingCompanyAppService : vovinaAppServiceBase, IMstInvShippingCompanyAppService
    {
        private readonly IDapperRepository&lt;MstInvShippingCompany, long&gt; _dapperRepo;
        private readonly IRepository&lt;MstInvShippingCompany, long&gt; _repo;
        private readonly IMstInvShippingCompanyExcelExporter _calendarListExcelExporter;
        public MstInvShippingCompanyAppService(IRepository&lt;MstInvShippingCompany,long&gt; repo, 
                                         IDapperRepository&lt;MstInvShippingCompany,long&gt; dapperRepo,
                                        IMstInvShippingCompanyExcelExporter calendarListExcelExporter
            )
        {
            _repo = repo;
            _dapperRepo = dapperRepo;
            _calendarListExcelExporter = calendarListExcelExporter;
        }
        [AbpAuthorize(AppPermissions.Pages_Master_Inventory_ShippingCompany_CreateEdit)]
        public async Task CreateOrEdit(CreateOrEditMstInvShippingCompanyDto input)
        {
            if (input.Id == null) await Create(input);
            else await Update(input);
        }
        //CREATE
        private async Task Create(CreateOrEditMstInvShippingCompanyDto input)
        {          
            var mainObj = ObjectMapper.Map&lt;MstInvShippingCompany&gt;(input);
            await CurrentUnitOfWork.GetDbContext&lt;vovinaDbContext&gt;().AddAsync(mainObj);
        }
        // EDIT
        private async Task Update(CreateOrEditMstInvShippingCompanyDto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[AbpAuthorize(AppPermissions.Pages_Master_Inventory_ShippingCompany_Delete)]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Task&lt;PagedResultDto&lt;MstInvShippingCompanyDto&gt;&gt; GetAll(GetMstInvShippingCompanyInput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MstInvShippingCompanyDto
                        {
							Id = o.Id,
							Code = o.Code,
							Name = o.Name,
							Description = o.Description,
							IsActive = o.IsActive,
                        };
            var totalCount = await filtered.CountAsync();
			var paged = system.PageBy(input);
            return new PagedResultDto&lt;MstInvShippingCompanyDto&gt;(
                totalCount,
                 await paged.ToListAsync()
            );
        }
        public async Task&lt;FileDto&gt; GetShippingCompanyToExcel(MstInvShippingCompanyExportInput input)
        {
            var query = from o in _repo.GetAll()
                        select new MstInvShippingCompanyDto
                        {
							Id = o.Id,
							Code = o.Code,
							Name = o.Name,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_dapperRepo.ExecuteAsync(MstInvShippingCompanyConsts.SP_MST_WPT_CALENDAR_GENERATE);
       // }
    }
}</v>
      </c>
      <c r="N68" s="62" t="str">
        <f>A.Backend!U7</f>
        <v xml:space="preserve">  configuration.CreateMap&lt;MstInvShippingCompanyDto, MstInvShippingCompany&gt;();
  configuration.CreateMap&lt;MstInvShippingCompany, MstInvShippingCompanyDto&gt;();
  configuration.CreateMap&lt;CreateOrEditMstInvShippingCompanyDto, MstInvShippingCompany&gt;();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shippingcompany</v>
      </c>
      <c r="C73" s="72" t="str">
        <f>"create folder " &amp;B73</f>
        <v>create folder shippingcompany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35">
      <c r="B74" s="60" t="s">
        <v>229</v>
      </c>
      <c r="C74" s="31" t="str">
        <f>B.Frontend!H14</f>
        <v>shippingcompany.component.ts</v>
      </c>
      <c r="D74" s="31" t="str">
        <f>B.Frontend!I14</f>
        <v>shippingcompany.component.html</v>
      </c>
      <c r="E74" s="31" t="str">
        <f>B.Frontend!J14</f>
        <v>shippingcompany.component.less</v>
      </c>
      <c r="F74" s="31" t="str">
        <f>B.Frontend!K14</f>
        <v>create-or-edit-shippingcompany-modal.component.html</v>
      </c>
      <c r="G74" s="31" t="str">
        <f>B.Frontend!L14</f>
        <v>create-or-edit-shippingcompany-modal.component.ts</v>
      </c>
      <c r="H74" s="31" t="str">
        <f>B.Frontend!M14</f>
        <v>create-or-edit-shippingcompany-modal.component.less</v>
      </c>
      <c r="I74" s="31" t="str">
        <f>B.Frontend!N14</f>
        <v>shippingcompany.module.ts</v>
      </c>
      <c r="J74" s="31" t="str">
        <f>B.Frontend!O14</f>
        <v>shippingcompany-routing.module.ts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MstInvShippingCompanyDto, MstInvShippingCompanyServiceProxy } from '@shared/service-proxies/service-proxies';
import { finalize } from 'rxjs/internal/operators/finalize';
import { CreateOrEditShippingCompanyModalComponent } from './create-or-edit-shippingcompany-modal.component';
import { DatePipe } from '@angular/common';
import { FileDownloadService } from '@shared/utils/file-download.service';
import ceil from 'lodash-es/ceil';
import { Paginator } from 'primeng/paginator';
@Component({
    templateUrl: './shippingcompany.component.html',
    styleUrls: ['./shippingcompany.component.less'],
})
export class ShippingCompanyComponent extends AppComponentBase implements OnInit {
    @ViewChild('createOrEditModalShippingCompany', { static: true }) createOrEditModalShippingCompany:| CreateOrEditShippingCompanyModalComponent|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MstInvShippingCompanyDto = new MstInvShippingCompanyDto();
    saveSelectedRow: MstInvShippingCompanyDto = new MstInvShippingCompanyDto();
    datas: MstInvShippingCompanyDto = new MstInvShippingCompanyDto();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MstInvShippingCompanyServiceProxy,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this.description,
			this.isActive,
			'',
            this.paginationParams.skipCount,
            this.paginationParams.pageSize
        );
    }
    onChangeRowSelection(params: { api: { getSelectedRows: () =&gt; MstInvShippingCompanyDto[] } }) {
        this.saveSelectedRow = params.api.getSelectedRows()[0] ?? new MstInvShippingCompanyDto();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MstInvShippingCompanyDto):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this._service.getShippingCompanyToExcel(
			this.code,
			this.name,
			this.description,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Shipping Company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(click)="createOrEditModalShippingCompany.show()"&gt;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(click)="createOrEditModalShippingCompany.show(selectedRow)"&gt;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&lt;create-or-edit-shippingcompany-modal
    #createOrEditModalShippingCompany
    (modalSave)="callBackDataGrid(dataParams)"
    (modalClose)="onChangeRowSelection(dataParams)"
&gt;
&lt;/create-or-edit-shippingcompany-modal&gt;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#createOrEditModalShippingCompany="bs-modal"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ShippingCompany')}}&lt;/h3&gt;
                    &lt;h3 *ngIf="!rowdata.id"&gt;{{('Create New ShippingCompany')}}&lt;/h3&gt;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CreateOrEditMstInvShippingCompanyDto, MstInvShippingCompanyServiceProxy } from '@shared/service-proxies/service-proxies';
import { BsDatepickerDirective } from 'ngx-bootstrap/datepicker';
@Component({
    selector: 'create-or-edit-shippingcompany-modal',
    templateUrl: './create-or-edit-shippingcompany-modal.component.html',
    styleUrls: ['./create-or-edit-shippingcompany-modal.component.less']
    })
export class CreateOrEditShippingCompanyModalComponent extends AppComponentBase {
    @ViewChild('createOrEditModalShippingCompany',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CreateOrEditMstInvShippingCompanyDto = new CreateOrEditMstInvShippingCompanyDto();
    active: boolean = false;
    saving: boolean = false;
    _isActive: boolean;
    constructor(
        injector: Injector,
        private _mstwptShippingCompanyService: MstInvShippingCompanyServiceProxy,
    ) 
    {
        super(injector);
    }
    show(rowdata?: CreateOrEditMstInvShippingCompanyDto): void {
        if (!rowdata) this.rowdata = new CreateOrEditMstInvShippingCompanyDto();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this._mstwptShippingCompanyService.createOrEdit(this.rowdata)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ShippingCompanyRoutingModule } from './shippingcompany-routing.module';
import { ShippingCompanyComponent } from './shippingcompany.component';
import { CreateOrEditShippingCompanyModalComponent } from './create-or-edit-shippingcompany-modal.component';
@NgModule({
    declarations: [
       ShippingCompanyComponent, 
        CreateOrEditShippingCompanyModalComponent
    ],
    imports: [
        AppSharedModule, ShippingCompanyRoutingModule]
})
export class ShippingCompanyModule {}</v>
      </c>
      <c r="J75" s="49" t="str">
        <f>B.Frontend!O10</f>
        <v>import {NgModule} from '@angular/core';
import {RouterModule, Routes} from '@angular/router';
import { ShippingCompanyComponent } from './shippingcompany.component';
const routes: Routes = [{
    path: '',
    component: ShippingCompanyComponent,
    pathMatch: 'full'
}];
@NgModule({
    imports: [RouterModule.forChild(routes)],
    exports: [RouterModule],
})
export class ShippingCompanyRoutingModule {}</v>
      </c>
      <c r="K75" s="49" t="str">
        <f>B.Frontend!P10</f>
        <v xml:space="preserve"> new AppMenuItem("ShippingCompany", "Pages.Master.Inventory.ShippingCompany", "flaticon-book",   "/app/main/master/inventory/shippingcompany"),</v>
      </c>
      <c r="L75" s="50" t="str">
        <f>B.Frontend!Q10</f>
        <v>{
    path: 'master/inventory/shippingcompany',
    loadChildren: () =&gt; import('./master/inventory/shippingcompany/shippingcompany.module').then(m =&gt; m.ShippingCompanyModule),
    data: { permission: 'Pages.Master.Inventory.ShippingCompany' }
},</v>
      </c>
      <c r="M75" s="48" t="str">
        <f>B.Frontend!R10</f>
        <v>ApiServiceProxies.MstInvShippingCompanyServiceProxy,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356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MstInvShippingCompanyExportInput{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MstInvShippingCompany: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MstInvShippingCompanyConsts	
	{
</v>
      </c>
      <c r="F6" s="11" t="str">
        <f>REPT(CHAR(9),1)&amp;"public class "&amp;B3&amp;"Dto"&amp;K3&amp;REPT(CHAR(9),1)&amp;"
"&amp;REPT(CHAR(9),1)&amp;C3</f>
        <v xml:space="preserve">	public class MstInvShippingCompanyDto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CreateOrEditMstInvShippingCompanyDto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GetMstInvShippingCompanyInput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MstInvShippingCompany</v>
      </c>
      <c r="C7" s="11" t="str">
        <f>REPT(CHAR(9),1)&amp;"[Table("""&amp;B7&amp;""")]"&amp;"
"</f>
        <v xml:space="preserve">	[Table("MstInvShippingCompany")]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[Table("MstInvShippingCompany")]
	[Index(nameof(Code), Name="IX_MstInvShippingCompany_Code")]
	[Index(nameof(IsActive), Name="IX_MstInvShippingCompany_IsActive")]	public class MstInvShippingCompany: FullAuditedEntity&lt;long&gt;, IEntity&lt;long&gt;	
	{
		public const int MaxCodeLength = 10;
		public const int MaxNameLength = 50;
		public const int MaxDescriptionLength = 200;
		public const int MaxIsActiveLength = 1;
		[StringLength(MaxCodeLength)]
		public virtual string Code { get; set; }
		[StringLength(MaxNameLength)]
		public virtual string Name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DbSet&lt;MstInvShippingCompany&gt; MstInvShippingCompanys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MstInvShippingCompanyConsts	
	{
		public const int MaxCodeLength = 10;
		public const int MaxNameLength = 50;
		public const int MaxDescriptionLength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prod.Master.Inventory.Dto
{
	public class MstInvShippingCompanyDto : EntityDto&lt;long?&gt;	
	{
		public virtual string Code { get; set; }
		public virtual string Name { get; set; }
		public virtual string Description { get; set; }
		public virtual string IsActive { get; set; }
	}
	public class CreateOrEditMstInvShippingCompanyDto : EntityDto&lt;long?&gt;	
	{
		[StringLength(MstInvShippingCompanyConsts.MaxCodeLength)]
		public virtual string Code { get; set; }
		[StringLength(MstInvShippingCompanyConsts.MaxNameLength)]
		public virtual string Name { get; set; }
		[StringLength(MstInvShippingCompanyConsts.MaxDescriptionLength)]
		public virtual string Description { get; set; }
		[StringLength(MstInvShippingCompanyConsts.MaxIsActiveLength)]
		public virtual string IsActive { get; set; }
	}
	public class GetMstInvShippingCompanyInput : PagedAndSortedResultRequestDto	
	{
		public virtual string Code { get; set; }
		public virtual string Name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perMstInvShippingCompany = PARENTS.CreateChildPermission(AppPermissions.Pages_Master_Inventory_ShippingCompany, L( "MasterInventoryShippingCompany"), multiTenancySides: MultiTenancySides.Tenant);
		perMstInvShippingCompany.CreateChildPermission(AppPermissions.Pages_Master_Inventory_ShippingCompany_CreateEdit, L( "MasterInventoryShippingCompanyCreateEdit"), multiTenancySides: MultiTenancySides.Tenant);
		perMstInvShippingCompany.CreateChildPermission(AppPermissions.Pages_Master_Inventory_ShippingCompany_Delete, L( "MasterInventoryShippingCompanyDelete"),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Pages_Master_Inventory_ShippingCompany = "Pages.Master.Inventory.ShippingCompany";
		public const string Pages_Master_Inventory_ShippingCompany_CreateEdit = "Pages.Master.Inventory.ShippingCompany.CreateEdit";
		public const string Pages_Master_Inventory_ShippingCompany_Delete = "Pages.Master.Inventory.ShippingCompany.Delete";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IMstInvShippingCompanyAppService : IApplicationService
	{
		Task&lt;PagedResultDto&lt;MstInvShippingCompanyDto&gt;&gt; GetAll(GetMstInvShippingCompanyInput input);
		Task CreateOrEdit(CreateOrEditMstInvShippingCompanyDto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[AbpAuthorize(AppPermissions.Pages_Master_Inventory_ShippingCompany)]
    public class MstInvShippingCompanyAppService : vovinaAppServiceBase, IMstInvShippingCompanyAppService
    {
        private readonly IDapperRepository&lt;MstInvShippingCompany, long&gt; _dapperRepo;
        private readonly IRepository&lt;MstInvShippingCompany, long&gt; _repo;
        private readonly IMstInvShippingCompanyExcelExporter _calendarListExcelExporter;
        public MstInvShippingCompanyAppService(IRepository&lt;MstInvShippingCompany,long&gt; repo, 
                                         IDapperRepository&lt;MstInvShippingCompany,long&gt; dapperRepo,
                                        IMstInvShippingCompanyExcelExporter calendarListExcelExporter
            )
        {
            _repo = repo;
            _dapperRepo = dapperRepo;
            _calendarListExcelExporter = calendarListExcelExporter;
        }
        [AbpAuthorize(AppPermissions.Pages_Master_Inventory_ShippingCompany_CreateEdit)]
        public async Task CreateOrEdit(CreateOrEditMstInvShippingCompanyDto input)
        {
            if (input.Id == null) await Create(input);
            else await Update(input);
        }
        //CREATE
        private async Task Create(CreateOrEditMstInvShippingCompanyDto input)
        {          
            var mainObj = ObjectMapper.Map&lt;MstInvShippingCompany&gt;(input);
            await CurrentUnitOfWork.GetDbContext&lt;vovinaDbContext&gt;().AddAsync(mainObj);
        }
        // EDIT
        private async Task Update(CreateOrEditMstInvShippingCompanyDto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[AbpAuthorize(AppPermissions.Pages_Master_Inventory_ShippingCompany_Delete)]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Task&lt;PagedResultDto&lt;MstInvShippingCompanyDto&gt;&gt; GetAll(GetMstInvShippingCompanyInput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MstInvShippingCompanyDto
                        {
							Id = o.Id,
							Code = o.Code,
							Name = o.Name,
							Description = o.Description,
							IsActive = o.IsActive,
                        };
            var totalCount = await filtered.CountAsync();
			var paged = system.PageBy(input);
            return new PagedResultDto&lt;MstInvShippingCompanyDto&gt;(
                totalCount,
                 await paged.ToListAsync()
            );
        }
        public async Task&lt;FileDto&gt; GetShippingCompanyToExcel(MstInvShippingCompanyExportInput input)
        {
            var query = from o in _repo.GetAll()
                        select new MstInvShippingCompanyDto
                        {
							Id = o.Id,
							Code = o.Code,
							Name = o.Name,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_dapperRepo.ExecuteAsync(MstInvShippingCompanyConsts.SP_MST_WPT_CALENDAR_GENERATE);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prod.Master.Inventory.Dto
{
	public class MstInvShippingCompanyExportInput{
		public virtual string Code { get; set; }
		public virtual string Name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IMstInvShippingCompanyExcelExporter : IApplicationService
	{
		FileDto ExportToFile(List&lt;MstInvShippingCompanyDto&gt; mstinvshippingcompany);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MstInvShippingCompanyExcelExporter : NpoiExcelExporterBase, IMstInvShippingCompanyExcelExporter
    {
        public MstInvShippingCompanyExcelExporter(ITempFileCacheManager tempFileCacheManager) : base(tempFileCacheManager) { }
        public FileDto ExportToFile(List&lt;MstInvShippingCompanyDto&gt; shippingcompany)
        {
            return CreateExcelPackage(
				"MasterInventoryShippingCompany.xlsx",
				excelPackage =&gt;
				 {
					var sheet = excelPackage.CreateSheet("ShippingCompany");
					AddHeader(
								sheet,
								("Code"),
								("Name"),
								("Description"),
								("IsActive"),
							   );
					AddObjects(
						 sheet, 1, shippingcompany,                                       
								_ =&gt; _.Code,
								_ =&gt; _.Name,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configuration.CreateMap&lt;MstInvShippingCompanyDto, MstInvShippingCompany&gt;();
  configuration.CreateMap&lt;MstInvShippingCompany, MstInvShippingCompanyDto&gt;();
  configuration.CreateMap&lt;CreateOrEditMstInvShippingCompanyDto, MstInvShippingCompany&gt;();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t="s">
        <v>354</v>
      </c>
      <c r="B9" t="s">
        <v>358</v>
      </c>
      <c r="C9" t="s">
        <v>1</v>
      </c>
      <c r="D9" t="str">
        <f t="shared" ref="D9:D10" si="0">SUBSTITUTE(PROPER(A9),"_","")</f>
        <v>Code</v>
      </c>
      <c r="E9" t="str">
        <f t="shared" ref="E9:E10" si="1">IFERROR(LEFT(B9, FIND("(",B9)-1),B9)</f>
        <v>varchar</v>
      </c>
      <c r="F9" s="7"/>
      <c r="G9" t="str">
        <f t="shared" ref="G9:G10" si="2">IFERROR(MID(B9,FIND("(",B9) +1, FIND(")",B9) - FIND("(",B9) - 1),"")</f>
        <v>10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MaxCodeLength = 10;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[Index(nameof(Code), Name="IX_MstInvShippingCompany_Code")]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[StringLength(MstInvShippingCompanyConsts.MaxCodeLength)]
		public virtual string Code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:P10" si="9">REPT(CHAR(9),7)&amp;D9&amp;" = o." &amp;D9 &amp;","</f>
        <v xml:space="preserve">							Code = o.Code,</v>
      </c>
      <c r="T9" s="69" t="str">
        <f t="shared" ref="T9:T10" si="10">REPT(CHAR(9),8)&amp;"("""&amp;D9&amp;"""),"</f>
        <v xml:space="preserve">								("Code"),</v>
      </c>
      <c r="V9" s="70" t="str">
        <f t="shared" ref="V9:V10" si="11">REPT(CHAR(9),8)&amp;"_ =&gt; _."&amp;D9&amp;","</f>
        <v xml:space="preserve">								_ =&gt; _.Code,</v>
      </c>
      <c r="W9" s="69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t="s">
        <v>360</v>
      </c>
      <c r="B10" t="s">
        <v>359</v>
      </c>
      <c r="C10" t="s">
        <v>1</v>
      </c>
      <c r="D10" t="str">
        <f t="shared" si="0"/>
        <v>Name</v>
      </c>
      <c r="E10" t="str">
        <f t="shared" si="1"/>
        <v>varchar</v>
      </c>
      <c r="F10" s="7"/>
      <c r="G10" t="str">
        <f t="shared" si="2"/>
        <v>50</v>
      </c>
      <c r="H10" t="str">
        <f>+VLOOKUP(E10,'Data Type Mapping'!A:B,2,)</f>
        <v>string</v>
      </c>
      <c r="I10" t="str">
        <f t="shared" si="3"/>
        <v xml:space="preserve">		public const int MaxNameLength = 50;
</v>
      </c>
      <c r="J10" t="str">
        <f t="shared" si="4"/>
        <v xml:space="preserve">		[StringLength(MaxNameLength)]
		public virtual string Name { get; set; }
</v>
      </c>
      <c r="K10" s="7"/>
      <c r="L10" t="str">
        <f t="shared" si="5"/>
        <v/>
      </c>
      <c r="M10" t="str">
        <f t="shared" si="6"/>
        <v xml:space="preserve">		public virtual string Name { get; set; }
</v>
      </c>
      <c r="N10" t="str">
        <f t="shared" si="7"/>
        <v xml:space="preserve">		[StringLength(MstInvShippingCompanyConsts.MaxNameLength)]
		public virtual string Name { get; set; }
</v>
      </c>
      <c r="O10" t="str">
        <f t="shared" si="8"/>
        <v xml:space="preserve">		public virtual string Name { get; set; }
</v>
      </c>
      <c r="P10" t="str">
        <f t="shared" si="9"/>
        <v xml:space="preserve">							Name = o.Name,</v>
      </c>
      <c r="T10" s="69" t="str">
        <f t="shared" si="10"/>
        <v xml:space="preserve">								("Name"),</v>
      </c>
      <c r="V10" s="70" t="str">
        <f t="shared" si="11"/>
        <v xml:space="preserve">								_ =&gt; _.Name,</v>
      </c>
      <c r="W10" s="69" t="str">
        <f t="shared" si="12"/>
        <v xml:space="preserve">				.WhereIf(!string.IsNullOrWhiteSpace(input.Name), e =&gt; e.Name.Contains(input.Name))</v>
      </c>
    </row>
    <row r="11" spans="1:23" customFormat="1" ht="18.75" customHeight="1" x14ac:dyDescent="0.35">
      <c r="A11" t="s">
        <v>355</v>
      </c>
      <c r="B11" t="s">
        <v>361</v>
      </c>
      <c r="C11" t="s">
        <v>1</v>
      </c>
      <c r="D11" t="str">
        <f t="shared" ref="D11" si="13">SUBSTITUTE(PROPER(A11),"_","")</f>
        <v>Description</v>
      </c>
      <c r="E11" t="str">
        <f t="shared" ref="E11:E12" si="14">IFERROR(LEFT(B11, FIND("(",B11)-1),B11)</f>
        <v>nvarchar</v>
      </c>
      <c r="F11" s="7"/>
      <c r="G11" t="str">
        <f t="shared" ref="G11:G12" si="15">IFERROR(MID(B11,FIND("(",B11) +1, FIND(")",B11) - FIND("(",B11) - 1),"")</f>
        <v>200</v>
      </c>
      <c r="H11" t="str">
        <f>+VLOOKUP(E11,'Data Type Mapping'!A:B,2,)</f>
        <v>string</v>
      </c>
      <c r="I11" t="str">
        <f t="shared" ref="I11:I12" si="16">IF(H11="string",REPT(CHAR(9),2)&amp;"public const int Max"&amp;D11&amp;"Length = "&amp;G11&amp;";"&amp;$E$3,"" )</f>
        <v xml:space="preserve">		public const int MaxDescriptionLength = 200;
</v>
      </c>
      <c r="J11" t="str">
        <f t="shared" ref="J11:J12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[StringLength(MaxDescriptionLength)]
		public virtual string Description { get; set; }
</v>
      </c>
      <c r="K11" s="7"/>
      <c r="L11" t="str">
        <f t="shared" ref="L11" si="18">IF(K11="","",REPT(CHAR(9),1)&amp;"[Index(nameof("&amp;IF(D11="","",""&amp;D11)&amp;")"&amp;", Name="&amp;"""IX_"&amp;$B$7&amp;"_"&amp;D11&amp;""")]")</f>
        <v/>
      </c>
      <c r="M11" t="str">
        <f t="shared" ref="M11:M12" si="19">REPT(CHAR(9),2)&amp;"public virtual "&amp;IF(OR(H11="DateTime",H11="TimeSpan"),H11&amp;"?",H11)&amp;IF(C11="?","? "," ")&amp;D11&amp;" { get; set; }" &amp; "
"</f>
        <v xml:space="preserve">		public virtual string Description { get; set; }
</v>
      </c>
      <c r="N11" t="str">
        <f t="shared" ref="N11:N12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[StringLength(MstInvShippingCompanyConsts.MaxDescriptionLength)]
		public virtual string Description { get; set; }
</v>
      </c>
      <c r="O11" t="str">
        <f t="shared" ref="O11:O12" si="21">IF(OR(H11="string",H11="DateTime",H11="int"),REPT(CHAR(9),2)&amp;"public virtual "&amp;IF(OR(H11="DateTime",H11="TimeSpan"),H11&amp;"?",H11)&amp;IF(C11="?","? "," ")&amp;D11&amp;" { get; set; }"&amp;$E$3,"")</f>
        <v xml:space="preserve">		public virtual string Description { get; set; }
</v>
      </c>
      <c r="P11" t="str">
        <f t="shared" ref="P11:P12" si="22">REPT(CHAR(9),7)&amp;D11&amp;" = o." &amp;D11 &amp;","</f>
        <v xml:space="preserve">							Description = o.Description,</v>
      </c>
      <c r="T11" s="69" t="str">
        <f t="shared" ref="T11:T12" si="23">REPT(CHAR(9),8)&amp;"("""&amp;D11&amp;"""),"</f>
        <v xml:space="preserve">								("Description"),</v>
      </c>
      <c r="V11" s="70" t="str">
        <f t="shared" ref="V11:V12" si="24">REPT(CHAR(9),8)&amp;"_ =&gt; _."&amp;D11&amp;","</f>
        <v xml:space="preserve">								_ =&gt; _.Description,</v>
      </c>
      <c r="W11" s="69" t="str">
        <f t="shared" ref="W11:W12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.WhereIf(!string.IsNullOrWhiteSpace(input.Description), e =&gt; e.Description.Contains(input.Description))</v>
      </c>
    </row>
    <row r="12" spans="1:23" customFormat="1" ht="22.5" customHeight="1" x14ac:dyDescent="0.35">
      <c r="A12" t="s">
        <v>362</v>
      </c>
      <c r="B12" t="s">
        <v>363</v>
      </c>
      <c r="C12" t="s">
        <v>1</v>
      </c>
      <c r="D12" t="str">
        <f>SUBSTITUTE(PROPER(A12),"_","")</f>
        <v>IsActive</v>
      </c>
      <c r="E12" t="str">
        <f t="shared" si="14"/>
        <v>varchar</v>
      </c>
      <c r="F12" s="7"/>
      <c r="G12" t="str">
        <f t="shared" si="15"/>
        <v>1</v>
      </c>
      <c r="H12" t="str">
        <f>+VLOOKUP(E12,'Data Type Mapping'!A:B,2,)</f>
        <v>string</v>
      </c>
      <c r="I12" t="str">
        <f t="shared" si="16"/>
        <v xml:space="preserve">		public const int MaxIsActiveLength = 1;
</v>
      </c>
      <c r="J12" t="str">
        <f t="shared" si="17"/>
        <v xml:space="preserve">		[StringLength(MaxIsActiveLength)]
		public virtual string IsActive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Name="IX_MstInvShippingCompany_IsActive")]</v>
      </c>
      <c r="M12" t="str">
        <f t="shared" si="19"/>
        <v xml:space="preserve">		public virtual string IsActive { get; set; }
</v>
      </c>
      <c r="N12" t="str">
        <f t="shared" si="20"/>
        <v xml:space="preserve">		[StringLength(MstInvShippingCompanyConsts.MaxIsActiveLength)]
		public virtual string IsActive { get; set; }
</v>
      </c>
      <c r="O12" t="str">
        <f t="shared" si="21"/>
        <v xml:space="preserve">		public virtual string IsActive { get; set; }
</v>
      </c>
      <c r="P12" t="str">
        <f t="shared" si="22"/>
        <v xml:space="preserve">							IsActive = o.IsActive,</v>
      </c>
      <c r="T12" s="69" t="str">
        <f t="shared" si="23"/>
        <v xml:space="preserve">								("IsActive"),</v>
      </c>
      <c r="V12" s="70" t="str">
        <f t="shared" si="24"/>
        <v xml:space="preserve">								_ =&gt; _.IsActive,</v>
      </c>
      <c r="W12" s="69" t="str">
        <f t="shared" si="25"/>
        <v xml:space="preserve">				.WhereIf(!string.IsNullOrWhiteSpace(input.IsActive), e =&gt; e.IsActive.Contains(input.IsActive))</v>
      </c>
    </row>
    <row r="13" spans="1:23" ht="45.75" customHeight="1" x14ac:dyDescent="0.35">
      <c r="H13" s="12"/>
      <c r="I13" s="34" t="str">
        <f ca="1">TEXTJOIN2("
", TRUE,INDIRECT( $H$1):INDIRECT( $H$3))</f>
        <v xml:space="preserve">		public const int MaxCodeLength = 10;
		public const int MaxNameLength = 50;
		public const int MaxDescriptionLength = 200;
		public const int MaxIsActiveLength = 1;
</v>
      </c>
      <c r="J13" s="33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[StringLength(MaxDescriptionLength)]
		public virtual string Description { get; set; }
		[StringLength(MaxIsActiveLength)]
		public virtual string IsActive { get; set; }
</v>
      </c>
      <c r="K13" s="35" t="str">
        <f ca="1">TEXTJOIN2("
", TRUE,INDIRECT( $J$1):INDIRECT( $J$3))</f>
        <v xml:space="preserve">	[Index(nameof(Code), Name="IX_MstInvShippingCompany_Code")]
	[Index(nameof(IsActive), Name="IX_MstInvShippingCompany_IsActive")]</v>
      </c>
      <c r="L13" s="13" t="s">
        <v>60</v>
      </c>
      <c r="M13" s="36" t="str">
        <f ca="1">TEXTJOIN2("
",TRUE,INDIRECT( $L$1):INDIRECT($L$3))</f>
        <v xml:space="preserve">		public virtual string Code { get; set; }
		public virtual string Name { get; set; }
		public virtual string Description { get; set; }
		public virtual string IsActive { get; set; }
</v>
      </c>
      <c r="N13" s="33" t="str">
        <f ca="1">TEXTJOIN2("
",TRUE,INDIRECT( $M$1):INDIRECT($M$3))</f>
        <v xml:space="preserve">		[StringLength(MstInvShippingCompanyConsts.MaxCodeLength)]
		public virtual string Code { get; set; }
		[StringLength(MstInvShippingCompanyConsts.MaxNameLength)]
		public virtual string Name { get; set; }
		[StringLength(MstInvShippingCompanyConsts.MaxDescriptionLength)]
		public virtual string Description { get; set; }
		[StringLength(MstInvShippingCompanyConsts.MaxIsActiveLength)]
		public virtual string IsActive { get; set; }
</v>
      </c>
      <c r="O13" s="33" t="str">
        <f ca="1">TEXTJOIN2("
",TRUE,INDIRECT( $N$1):INDIRECT($N$3))</f>
        <v xml:space="preserve">		public virtual string Code { get; set; }
		public virtual string Name { get; set; }
		public virtual string Description { get; set; }
		public virtual string IsActive { get; set; }
</v>
      </c>
      <c r="P13" s="9" t="str">
        <f ca="1">TEXTJOIN2("
",TRUE,INDIRECT( $O$1):INDIRECT($O$3))</f>
        <v xml:space="preserve">							Code = o.Code,
							Name = o.Name,
							Description = o.Description,
							IsActive = o.IsActive,</v>
      </c>
      <c r="T13" s="9" t="str">
        <f ca="1">TEXTJOIN2("
",TRUE,INDIRECT( $T$2):INDIRECT($T$3))</f>
        <v xml:space="preserve">								("Code"),
								("Name"),
								("Description"),
								("IsActive"),</v>
      </c>
      <c r="V13" s="9" t="str">
        <f ca="1">TEXTJOIN2("
",TRUE,INDIRECT( $V$2):INDIRECT($V$3))</f>
        <v xml:space="preserve">								_ =&gt; _.Code,
								_ =&gt; _.Name,
								_ =&gt; _.Description,
								_ =&gt; _.IsActive,</v>
      </c>
      <c r="W13" s="9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6" sqref="B5:B6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29" x14ac:dyDescent="0.35">
      <c r="A1" s="41" t="s">
        <v>212</v>
      </c>
      <c r="B1" s="42" t="s">
        <v>364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MstInvShippingCompany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ShippingCompany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shippingcompany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MstInvShippingCompanyDto, MstInvShippingCompanyServiceProxy } from '@shared/service-proxies/service-proxies';
import { finalize } from 'rxjs/internal/operators/finalize';
import { CreateOrEditShippingCompanyModalComponent } from './create-or-edit-shippingcompany-modal.component';
import { DatePipe } from '@angular/common';
import { FileDownloadService } from '@shared/utils/file-download.service';
import ceil from 'lodash-es/ceil';
import { Paginator } from 'primeng/paginator';
@Component({
    templateUrl: './shippingcompany.component.html',
    styleUrls: ['./shippingcompany.component.less'],
})
export class ShippingCompanyComponent extends AppComponentBase implements OnInit {
    @ViewChild('createOrEditModalShippingCompany', { static: true }) createOrEditModalShippingCompany:| CreateOrEditShippingCompanyModalComponent|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MstInvShippingCompanyDto = new MstInvShippingCompanyDto();
    saveSelectedRow: MstInvShippingCompanyDto = new MstInvShippingCompanyDto();
    datas: MstInvShippingCompanyDto = new MstInvShippingCompanyDto();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MstInvShippingCompanyServiceProxy,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this.description,
			this.isActive,
			'',
            this.paginationParams.skipCount,
            this.paginationParams.pageSize
        );
    }
    onChangeRowSelection(params: { api: { getSelectedRows: () =&gt; MstInvShippingCompanyDto[] } }) {
        this.saveSelectedRow = params.api.getSelectedRows()[0] ?? new MstInvShippingCompanyDto();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MstInvShippingCompanyDto):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this._service.getShippingCompanyToExcel(
			this.code,
			this.name,
			this.description,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Shipping Company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(click)="createOrEditModalShippingCompany.show()"&gt;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(click)="createOrEditModalShippingCompany.show(selectedRow)"&gt;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&lt;create-or-edit-shippingcompany-modal
    #createOrEditModalShippingCompany
    (modalSave)="callBackDataGrid(dataParams)"
    (modalClose)="onChangeRowSelection(dataParams)"
&gt;
&lt;/create-or-edit-shippingcompany-modal&gt;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#createOrEditModalShippingCompany="bs-modal"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ShippingCompany')}}&lt;/h3&gt;
                    &lt;h3 *ngIf="!rowdata.id"&gt;{{('Create New ShippingCompany')}}&lt;/h3&gt;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CreateOrEditMstInvShippingCompanyDto, MstInvShippingCompanyServiceProxy } from '@shared/service-proxies/service-proxies';
import { BsDatepickerDirective } from 'ngx-bootstrap/datepicker';
@Component({
    selector: 'create-or-edit-shippingcompany-modal',
    templateUrl: './create-or-edit-shippingcompany-modal.component.html',
    styleUrls: ['./create-or-edit-shippingcompany-modal.component.less']
    })
export class CreateOrEditShippingCompanyModalComponent extends AppComponentBase {
    @ViewChild('createOrEditModalShippingCompany',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CreateOrEditMstInvShippingCompanyDto = new CreateOrEditMstInvShippingCompanyDto();
    active: boolean = false;
    saving: boolean = false;
    _isActive: boolean;
    constructor(
        injector: Injector,
        private _mstwptShippingCompanyService: MstInvShippingCompanyServiceProxy,
    ) 
    {
        super(injector);
    }
    show(rowdata?: CreateOrEditMstInvShippingCompanyDto): void {
        if (!rowdata) this.rowdata = new CreateOrEditMstInvShippingCompanyDto();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this._mstwptShippingCompanyService.createOrEdit(this.rowdata)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ShippingCompanyRoutingModule } from './shippingcompany-routing.module';
import { ShippingCompanyComponent } from './shippingcompany.component';
import { CreateOrEditShippingCompanyModalComponent } from './create-or-edit-shippingcompany-modal.component';
@NgModule({
    declarations: [
       ShippingCompanyComponent, 
        CreateOrEditShippingCompanyModalComponent
    ],
    imports: [
        AppSharedModule, ShippingCompanyRoutingModule]
})
export class ShippingCompanyModule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ShippingCompanyComponent } from './shippingcompany.component';
const routes: Routes = [{
    path: '',
    component: ShippingCompanyComponent,
    pathMatch: 'full'
}];
@NgModule({
    imports: [RouterModule.forChild(routes)],
    exports: [RouterModule],
})
export class ShippingCompanyRoutingModule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AppMenuItem("ShippingCompany", "Pages.Master.Inventory.ShippingCompany", "flaticon-book",   "/app/main/master/inventory/shippingcompany"),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'master/inventory/shippingcompany',
    loadChildren: () =&gt; import('./master/inventory/shippingcompany/shippingcompany.module').then(m =&gt; m.ShippingCompanyModule),
    data: { permission: 'Pages.Master.Inventory.ShippingCompany' }
},</v>
      </c>
      <c r="R10" s="50" t="str">
        <f>SUBSTITUTE(R9,"MstWptCalendar",$B$6)</f>
        <v>ApiServiceProxies.MstInvShippingCompanyServiceProxy,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name : string = '' ; 
	description : string = '' ; 
	isActive : string = '' ; </v>
      </c>
      <c r="T13" s="68" t="str">
        <f ca="1">TEXTJOIN2("
",TRUE,INDIRECT(T11):INDIRECT(T12))</f>
        <v xml:space="preserve">			this.code,
			this.name,
			this.description,
			this.isActive,</v>
      </c>
      <c r="U13" s="68" t="str">
        <f ca="1">TEXTJOIN2("
",TRUE,INDIRECT(U11):INDIRECT(U12))</f>
        <v xml:space="preserve">		this.code = '',
		this.name = '',
		this.description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shippingcompany.component.ts</v>
      </c>
      <c r="I14" s="40" t="str">
        <f>B8&amp;".component.html"</f>
        <v>shippingcompany.component.html</v>
      </c>
      <c r="J14" s="39" t="str">
        <f>B8&amp;".component.less"</f>
        <v>shippingcompany.component.less</v>
      </c>
      <c r="K14" s="40" t="str">
        <f>"create-or-edit-"&amp;B8&amp;"-modal.component.html"</f>
        <v>create-or-edit-shippingcompany-modal.component.html</v>
      </c>
      <c r="L14" s="40" t="str">
        <f>"create-or-edit-"&amp;B8&amp;"-modal.component.ts"</f>
        <v>create-or-edit-shippingcompany-modal.component.ts</v>
      </c>
      <c r="M14" s="40" t="str">
        <f>"create-or-edit-"&amp;B8&amp;"-modal.component.less"</f>
        <v>create-or-edit-shippingcompany-modal.component.less</v>
      </c>
      <c r="N14" s="40" t="str">
        <f>B8&amp;".module.ts"</f>
        <v>shippingcompany.module.ts</v>
      </c>
      <c r="O14" s="40" t="str">
        <f>B8&amp;"-routing.module.ts"</f>
        <v>shippingcompany-routing.module.ts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t="s">
        <v>354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10</v>
      </c>
      <c r="G15" s="31" t="str">
        <f t="shared" ref="G15:G18" si="3">IF(E15="string"," : string = '' ; ",IF(OR(E15="DateTime",E15="TimeSpan")," : any ;",IF(E15="int"," : number = 0 ;","")))</f>
        <v xml:space="preserve"> : string = '' ; </v>
      </c>
      <c r="H15" s="38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:V18" si="8">IF(AND(E15="string",F15="1"),D15,"")</f>
        <v/>
      </c>
    </row>
    <row r="16" spans="1:22" ht="18" customHeight="1" x14ac:dyDescent="0.35">
      <c r="A16" t="s">
        <v>360</v>
      </c>
      <c r="B16" s="31" t="str">
        <f t="shared" ref="B16" si="9">SUBSTITUTE(PROPER(A16),"_","")</f>
        <v>Name</v>
      </c>
      <c r="C16" s="31" t="str">
        <f t="shared" ref="C16" si="10">SUBSTITUTE(PROPER(A16),"_"," ")</f>
        <v>Name</v>
      </c>
      <c r="D16" s="31" t="str">
        <f t="shared" ref="D16" si="11">LOWER(LEFT(B16,1))&amp;RIGHT(B16,LEN(B16) - 1)</f>
        <v>name</v>
      </c>
      <c r="E16" s="31" t="str">
        <f>A.Backend!H10</f>
        <v>string</v>
      </c>
      <c r="F16" s="31" t="str">
        <f>A.Backend!G10</f>
        <v>50</v>
      </c>
      <c r="G16" s="31" t="str">
        <f t="shared" si="3"/>
        <v xml:space="preserve"> : string = '' ; </v>
      </c>
      <c r="H16" s="38" t="str">
        <f t="shared" si="4"/>
        <v xml:space="preserve">			{headerName: this.l('Name'),headerTooltip: this.l('Name'),field: 'name',flex: 1},</v>
      </c>
      <c r="I16" s="38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18" si="13">REPT(CHAR(9),1)&amp;D16&amp;G16</f>
        <v xml:space="preserve">	name : string = '' ; </v>
      </c>
      <c r="T16" s="31" t="str">
        <f t="shared" ref="T16:T18" si="14">REPT(CHAR(9),3)&amp;"this."&amp;D16&amp;","</f>
        <v xml:space="preserve">			this.name,</v>
      </c>
      <c r="U16" s="31" t="str">
        <f t="shared" ref="U16:U18" si="15">IF(E16="int",REPT(CHAR(9),2)&amp;"this."&amp;D16&amp;" = 0,",REPT(CHAR(9),2)&amp;"this."&amp;D16&amp;" = '',")</f>
        <v xml:space="preserve">		this.name = '',</v>
      </c>
      <c r="V16" s="31" t="str">
        <f t="shared" si="8"/>
        <v/>
      </c>
    </row>
    <row r="17" spans="1:22" ht="18" customHeight="1" x14ac:dyDescent="0.35">
      <c r="A17" t="s">
        <v>355</v>
      </c>
      <c r="B17" s="31" t="str">
        <f t="shared" ref="B17" si="16">SUBSTITUTE(PROPER(A17),"_","")</f>
        <v>Description</v>
      </c>
      <c r="C17" s="31" t="str">
        <f t="shared" ref="C17" si="17">SUBSTITUTE(PROPER(A17),"_"," ")</f>
        <v>Description</v>
      </c>
      <c r="D17" s="31" t="str">
        <f t="shared" ref="D17" si="18">LOWER(LEFT(B17,1))&amp;RIGHT(B17,LEN(B17) - 1)</f>
        <v>description</v>
      </c>
      <c r="E17" s="31" t="str">
        <f>A.Backend!H11</f>
        <v>string</v>
      </c>
      <c r="F17" s="31" t="str">
        <f>A.Backend!G11</f>
        <v>200</v>
      </c>
      <c r="G17" s="31" t="str">
        <f t="shared" si="3"/>
        <v xml:space="preserve"> : string = '' ; </v>
      </c>
      <c r="H17" s="38" t="str">
        <f t="shared" si="4"/>
        <v xml:space="preserve">			{headerName: this.l('Description'),headerTooltip: this.l('Description'),field: 'description',flex: 1},</v>
      </c>
      <c r="I17" s="38" t="str">
        <f t="shared" si="5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7" s="60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si="13"/>
        <v xml:space="preserve">	description : string = '' ; </v>
      </c>
      <c r="T17" s="31" t="str">
        <f t="shared" si="14"/>
        <v xml:space="preserve">			this.description,</v>
      </c>
      <c r="U17" s="31" t="str">
        <f t="shared" si="15"/>
        <v xml:space="preserve">		this.description = '',</v>
      </c>
      <c r="V17" s="31" t="str">
        <f t="shared" si="8"/>
        <v/>
      </c>
    </row>
    <row r="18" spans="1:22" ht="18" customHeight="1" x14ac:dyDescent="0.35">
      <c r="A18" t="s">
        <v>362</v>
      </c>
      <c r="B18" s="31" t="str">
        <f t="shared" ref="B18" si="20">SUBSTITUTE(PROPER(A18),"_","")</f>
        <v>IsActive</v>
      </c>
      <c r="C18" s="31" t="str">
        <f t="shared" ref="C18" si="21">SUBSTITUTE(PROPER(A18),"_"," ")</f>
        <v>Is Active</v>
      </c>
      <c r="D18" s="31" t="str">
        <f t="shared" ref="D18" si="22">LOWER(LEFT(B18,1))&amp;RIGHT(B18,LEN(B18) - 1)</f>
        <v>isActive</v>
      </c>
      <c r="E18" s="31" t="str">
        <f>A.Backend!H12</f>
        <v>string</v>
      </c>
      <c r="F18" s="31" t="str">
        <f>A.Backend!G12</f>
        <v>1</v>
      </c>
      <c r="G18" s="31" t="str">
        <f t="shared" si="3"/>
        <v xml:space="preserve"> : string = '' ; </v>
      </c>
      <c r="H18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8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8" s="60" t="str">
        <f t="shared" ref="L18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si="13"/>
        <v xml:space="preserve">	isActive : string = '' ; </v>
      </c>
      <c r="T18" s="31" t="str">
        <f t="shared" si="14"/>
        <v xml:space="preserve">			this.isActive,</v>
      </c>
      <c r="U18" s="31" t="str">
        <f t="shared" si="15"/>
        <v xml:space="preserve">		this.isActive = '',</v>
      </c>
      <c r="V18" s="31" t="str">
        <f t="shared" si="8"/>
        <v>isActive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2023-04-13T03:33:19Z</dcterms:modified>
</cp:coreProperties>
</file>
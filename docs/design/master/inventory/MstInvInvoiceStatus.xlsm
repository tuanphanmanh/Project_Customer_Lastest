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F17" i="5" l="1"/>
  <c r="E17" i="5"/>
  <c r="L17" i="5" s="1"/>
  <c r="C17" i="5"/>
  <c r="B17" i="5"/>
  <c r="D17" i="5" s="1"/>
  <c r="G11" i="1"/>
  <c r="E11" i="1"/>
  <c r="D11" i="1"/>
  <c r="V11" i="1" s="1"/>
  <c r="G17" i="5" l="1"/>
  <c r="S17" i="5" s="1"/>
  <c r="V17" i="5"/>
  <c r="T17" i="5"/>
  <c r="I17" i="5"/>
  <c r="U17" i="5"/>
  <c r="H17" i="5"/>
  <c r="K17" i="5"/>
  <c r="L11" i="1"/>
  <c r="W11" i="1"/>
  <c r="J11" i="1"/>
  <c r="N11" i="1"/>
  <c r="I11" i="1"/>
  <c r="O11" i="1"/>
  <c r="M11" i="1"/>
  <c r="P11" i="1"/>
  <c r="T11" i="1"/>
  <c r="B2" i="5"/>
  <c r="C16" i="5" l="1"/>
  <c r="B16" i="5"/>
  <c r="D16" i="5" s="1"/>
  <c r="T16" i="5" l="1"/>
  <c r="B6" i="1"/>
  <c r="C15" i="5" l="1"/>
  <c r="B15" i="5"/>
  <c r="D15" i="5" s="1"/>
  <c r="T15" i="5" s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E16" i="5" s="1"/>
  <c r="D10" i="1"/>
  <c r="T10" i="1" s="1"/>
  <c r="K16" i="5" l="1"/>
  <c r="H16" i="5"/>
  <c r="G16" i="5"/>
  <c r="S16" i="5" s="1"/>
  <c r="U16" i="5"/>
  <c r="V16" i="5"/>
  <c r="L16" i="5"/>
  <c r="I16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2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2" i="1"/>
  <c r="T7" i="1" l="1"/>
  <c r="W12" i="1"/>
  <c r="G6" i="1" l="1"/>
  <c r="K13" i="5"/>
  <c r="H13" i="5"/>
  <c r="S13" i="5"/>
  <c r="L13" i="5"/>
  <c r="I13" i="5"/>
  <c r="U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O12" i="1"/>
  <c r="N12" i="1"/>
  <c r="I12" i="1"/>
  <c r="P12" i="1"/>
  <c r="J12" i="1"/>
  <c r="Q7" i="1" l="1"/>
  <c r="M68" i="3" s="1"/>
  <c r="L7" i="1"/>
  <c r="G68" i="3" s="1"/>
  <c r="K68" i="3"/>
  <c r="J68" i="3"/>
  <c r="K12" i="1"/>
  <c r="M1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<sst xmlns="http://schemas.openxmlformats.org/spreadsheetml/2006/main" count="445" uniqueCount="363">
  <si>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</si>
  <si>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</si>
  <si>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</si>
  <si>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</si>
  <si>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</si>
  <si>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</si>
  <si>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</si>
  <si>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</si>
  <si>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</si>
  <si>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</si>
  <si>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</si>
  <si>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</si>
  <si>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</si>
  <si>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</si>
  <si>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</si>
  <si>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</si>
  <si>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</si>
  <si>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</si>
  <si>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</si>
  <si>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</si>
  <si>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</si>
  <si>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</si>
  <si>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</si>
  <si>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</si>
  <si>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</si>
  <si>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</si>
  <si>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</si>
  <si>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</si>
  <si>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</si>
  <si>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</si>
  <si>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</si>
  <si>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</si>
  <si>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</si>
  <si>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</si>
  <si>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</si>
  <si>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</si>
  <si>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</si>
  <si>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</si>
  <si>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</si>
  <si>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</si>
  <si>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</si>
  <si>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</si>
  <si>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</si>
  <si>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</si>
  <si>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</si>
  <si>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</si>
  <si>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</si>
  <si>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</si>
  <si>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</si>
  <si>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</si>
  <si>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</si>
  <si>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</si>
  <si>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</si>
  <si>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</si>
  <si>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</si>
  <si>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</si>
  <si>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</si>
  <si>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</si>
  <si>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</si>
  <si>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</si>
  <si>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</si>
  <si>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</si>
  <si>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</si>
  <si>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</si>
  <si>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</si>
  <si>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</si>
  <si>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</si>
  <si>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</si>
  <si>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</si>
  <si>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</si>
  <si>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</si>
  <si>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</si>
  <si>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</si>
  <si>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</si>
  <si>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</si>
  <si>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</si>
  <si>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</si>
  <si>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</si>
  <si>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</si>
  <si>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</si>
  <si>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</si>
  <si>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</si>
  <si>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</si>
  <si>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</si>
  <si>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</si>
  <si>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</si>
  <si>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</si>
  <si>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</si>
  <si>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</si>
  <si>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</si>
  <si>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</si>
  <si>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</si>
  <si>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</si>
  <si>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</si>
  <si>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</si>
  <si>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</si>
  <si>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</si>
  <si>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</si>
  <si>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</si>
  <si>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</si>
  <si>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</si>
  <si>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</si>
  <si>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</si>
  <si>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</si>
  <si>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</si>
  <si>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</si>
  <si>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</si>
  <si>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</si>
  <si>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</si>
  <si>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</si>
  <si>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</si>
  <si>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</si>
  <si>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</si>
  <si>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</si>
  <si>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</si>
  <si>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</si>
  <si>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</si>
  <si>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</si>
  <si>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</si>
  <si>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</si>
  <si>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</si>
  <si>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</si>
  <si>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</si>
  <si>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</si>
  <si>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</si>
  <si>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</si>
  <si>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</si>
  <si>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</si>
  <si>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</si>
  <si>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</si>
  <si>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</si>
  <si>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</si>
  <si>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</si>
  <si>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</si>
  <si>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</si>
  <si>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</si>
  <si>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</si>
  <si>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</si>
  <si>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</si>
  <si>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</si>
  <si>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</si>
  <si>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</si>
  <si>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</si>
  <si>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</si>
  <si>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</si>
  <si>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</si>
  <si>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</si>
  <si>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</si>
  <si>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</si>
  <si>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</si>
  <si>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</si>
  <si>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</si>
  <si>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</si>
  <si>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</si>
  <si>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</si>
  <si>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</si>
  <si>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</si>
  <si>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</si>
  <si>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</si>
  <si>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</si>
  <si>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</si>
  <si>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</si>
  <si>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</si>
  <si>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</si>
  <si>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</si>
  <si>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</si>
  <si>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</si>
  <si>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</si>
  <si>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</si>
  <si>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</si>
  <si>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</si>
  <si>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</si>
  <si>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</si>
  <si>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</si>
  <si>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</si>
  <si>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</si>
  <si>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</si>
  <si>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</si>
  <si>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</si>
  <si>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</si>
  <si>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</si>
  <si>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</si>
  <si>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</si>
  <si>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</si>
  <si>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</si>
  <si>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</si>
  <si>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</si>
  <si>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</si>
  <si>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</si>
  <si>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</si>
  <si>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</si>
  <si>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</si>
  <si>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</si>
  <si>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</si>
  <si>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</si>
  <si>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</si>
  <si>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</si>
  <si>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</si>
  <si>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</si>
  <si>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</si>
  <si>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</si>
  <si>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</si>
  <si>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</si>
  <si>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</si>
  <si>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</si>
  <si>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</si>
  <si>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</si>
  <si>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</si>
  <si>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</si>
  <si>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</si>
  <si>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</si>
  <si>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</si>
  <si>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</si>
  <si>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</si>
  <si>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</si>
  <si>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</si>
  <si>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</si>
  <si>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</si>
  <si>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</si>
  <si>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</si>
  <si>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</si>
  <si>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</si>
  <si>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</si>
  <si>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</si>
  <si>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</si>
  <si>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</si>
  <si>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</si>
  <si>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</si>
  <si>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</si>
  <si>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</si>
  <si>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</si>
  <si>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</si>
  <si>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</si>
  <si>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</si>
  <si>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</si>
  <si>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</si>
  <si>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</si>
  <si>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</si>
  <si>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</si>
  <si>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</si>
  <si>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</si>
  <si>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</si>
  <si>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</si>
  <si>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</si>
  <si>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</si>
  <si>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</si>
  <si>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</si>
  <si>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</si>
  <si>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</si>
  <si>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</si>
  <si>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</si>
  <si>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</si>
  <si>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</si>
  <si>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</si>
  <si>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</si>
  <si>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</si>
  <si>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</si>
  <si>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</si>
  <si>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</si>
  <si>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</si>
  <si>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</si>
  <si>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</si>
  <si>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</si>
  <si>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</si>
  <si>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</si>
  <si>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</si>
  <si>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</si>
  <si>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</si>
  <si>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</si>
  <si>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</si>
  <si>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</si>
  <si>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</si>
  <si>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</si>
  <si>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</si>
  <si>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</si>
  <si>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</si>
  <si>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</si>
  <si>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</si>
  <si>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</si>
  <si>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</si>
  <si>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</si>
  <si>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</si>
  <si>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</si>
  <si>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</si>
  <si>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</si>
  <si>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</si>
  <si>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</si>
  <si>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</si>
  <si>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</si>
  <si>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</si>
  <si>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</si>
  <si>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</si>
  <si>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</si>
  <si>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</si>
  <si>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</si>
  <si>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</si>
  <si>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</si>
  <si>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</si>
  <si>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</si>
  <si>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</si>
  <si>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</si>
  <si>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</si>
  <si>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</si>
  <si>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</si>
  <si>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</si>
  <si>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</si>
  <si>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</si>
  <si>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</si>
  <si>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</si>
  <si>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</si>
  <si>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</si>
  <si>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</si>
  <si>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</si>
  <si>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</si>
  <si>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</si>
  <si>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</si>
  <si>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</si>
  <si>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</si>
  <si>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</si>
  <si>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</si>
  <si>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</si>
  <si>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</si>
  <si>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</si>
  <si>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</si>
  <si>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</si>
  <si>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</si>
  <si>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</si>
  <si>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</si>
  <si>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</si>
  <si>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</si>
  <si>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</si>
  <si>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</si>
  <si>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</si>
  <si>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</si>
  <si>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</si>
  <si>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</si>
  <si>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</si>
  <si>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</si>
  <si>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</si>
  <si>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</si>
  <si>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</si>
  <si>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</si>
  <si>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</si>
  <si>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</si>
  <si>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</si>
  <si>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</si>
  <si>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</si>
  <si>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</si>
  <si>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</si>
  <si>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</si>
  <si>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</si>
  <si>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</si>
  <si>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</si>
  <si>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nvarchar(20)</t>
  </si>
  <si>
    <t>nvarchar(50)</t>
  </si>
  <si>
    <t>MstInvInvoiceStatus</t>
  </si>
  <si>
    <t>Master.Inventory</t>
  </si>
  <si>
    <t>CODE</t>
  </si>
  <si>
    <t>DESCRIPTION</t>
  </si>
  <si>
    <t>InvoiceStatus</t>
  </si>
  <si>
    <t>IS_ACTIVE</t>
  </si>
  <si>
    <t>varchar(1)</t>
  </si>
  <si>
    <t>Invoice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</si>
</sst>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7" zoomScaleNormal="100" workbookViewId="0">
      <selection activeCell="D54" sqref="D54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[Table("MstInvInvoiceStatus")]
	[Index(nameof(Code), Name="IX_MstInvInvoiceStatus_Code")]
	[Index(nameof(IsActive), Name="IX_MstInvInvoiceStatus_IsActive")]	public class MstInvInvoiceStatus: FullAuditedEntity&lt;long&gt;, IEntity&lt;long&gt;	
	{
		public const int MaxCodeLength = 20;
		public const int MaxDescriptionLength = 50;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D68" s="51" t="str">
        <f>A.Backend!O7</f>
        <v xml:space="preserve">		public const string Pages_Master_Inventory_InvoiceStatus = "Pages.Master.Inventory.InvoiceStatus";
		public const string Pages_Master_Inventory_InvoiceStatus_CreateEdit = "Pages.Master.Inventory.InvoiceStatus.CreateEdit";
		public const string Pages_Master_Inventory_InvoiceStatus_Delete = "Pages.Master.Inventory.InvoiceStatus.Delete";
</v>
      </c>
      <c r="E68" s="51" t="str">
        <f>A.Backend!N7</f>
        <v xml:space="preserve">		var perMstInvInvoiceStatus = PARENTS.CreateChildPermission(AppPermissions.Pages_Master_Inventory_InvoiceStatus, L( "MasterInventoryInvoiceStatus"), multiTenancySides: MultiTenancySides.Tenant);
		perMstInvInvoiceStatus.CreateChildPermission(AppPermissions.Pages_Master_Inventory_InvoiceStatus_CreateEdit, L( "MasterInventoryInvoiceStatusCreateEdit"), multiTenancySides: MultiTenancySides.Tenant);
		perMstInvInvoiceStatus.CreateChildPermission(AppPermissions.Pages_Master_Inventory_InvoiceStatus_Delete, L( "MasterInventoryInvoiceStatusDelete"), multiTenancySides: MultiTenancySides.Tenant);</v>
      </c>
      <c r="F68" s="51" t="str">
        <f>A.Backend!K7</f>
        <v>public virtual DbSet&lt;MstInvInvoiceStatus&gt; MstInvInvoiceStatuss { get; set; }</v>
      </c>
      <c r="G68" s="51" t="str">
        <f ca="1">A.Backend!L7</f>
        <v xml:space="preserve">namespace prod.Master.Inventory
{
	public class MstInvInvoiceStatusConsts	
	{
		public const int MaxCodeLength = 20;
		public const int MaxDescriptionLength = 50;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MstInvInvoiceStatusDto : EntityDto&lt;long?&gt;	
	{
		public virtual string Code { get; set; }
		public virtual string Description { get; set; }
		public virtual string IsActive { get; set; }
	}
	public class CreateOrEditMstInvInvoiceStatusDto : EntityDto&lt;long?&gt;	
	{
		[StringLength(MstInvInvoiceStatusConsts.MaxCodeLength)]
		public virtual string Code { get; set; }
		[StringLength(MstInvInvoiceStatusConsts.MaxDescriptionLength)]
		public virtual string Description { get; set; }
		[StringLength(MstInvInvoiceStatusConsts.MaxIsActiveLength)]
		public virtual string IsActive { get; set; }
	}
	public class GetMstInvInvoiceStatusInput : PagedAndSortedResultRequestDto	
	{
		public virtual string Code { get; set; }
		public virtual string Description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MstInvInvoiceStatusExportInput{
		public virtual string Code { get; set; }
		public virtual string Description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IMstInvInvoiceStatusAppService : IApplicationService
	{
		Task&lt;PagedResultDto&lt;MstInvInvoiceStatusDto&gt;&gt; GetAll(GetMstInvInvoiceStatusInput input);
		Task CreateOrEdit(CreateOrEditMstInvInvoiceStatusDto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IMstInvInvoiceStatusExcelExporter : IApplicationService
	{
		FileDto ExportToFile(List&lt;MstInvInvoiceStatusDto&gt; mstinvinvoicestatus);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MstInvInvoiceStatusExcelExporter : NpoiExcelExporterBase, IMstInvInvoiceStatusExcelExporter
    {
        public MstInvInvoiceStatusExcelExporter(ITempFileCacheManager tempFileCacheManager) : base(tempFileCacheManager) { }
        public FileDto ExportToFile(List&lt;MstInvInvoiceStatusDto&gt; invoicestatus)
        {
            return CreateExcelPackage(
				"MasterInventoryInvoiceStatus.xlsx",
				excelPackage =&gt;
				 {
					var sheet = excelPackage.CreateSheet("InvoiceStatus");
					AddHeader(
								sheet,
								("Code"),
								("Description"),
								("IsActive"),
							   );
					AddObjects(
						 sheet, 1, invoicestatus,                                       
								_ =&gt; _.Code,
								_ =&gt; _.Description,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[AbpAuthorize(AppPermissions.Pages_Master_Inventory_InvoiceStatus)]
    public class MstInvInvoiceStatusAppService : vovinaAppServiceBase, IMstInvInvoiceStatusAppService
    {
        private readonly IDapperRepository&lt;MstInvInvoiceStatus, long&gt; _dapperRepo;
        private readonly IRepository&lt;MstInvInvoiceStatus, long&gt; _repo;
        private readonly IMstInvInvoiceStatusExcelExporter _calendarListExcelExporter;
        public MstInvInvoiceStatusAppService(IRepository&lt;MstInvInvoiceStatus,long&gt; repo, 
                                         IDapperRepository&lt;MstInvInvoiceStatus,long&gt; dapperRepo,
                                        IMstInvInvoiceStatusExcelExporter calendarListExcelExporter
            )
        {
            _repo = repo;
            _dapperRepo = dapperRepo;
            _calendarListExcelExporter = calendarListExcelExporter;
        }
        [AbpAuthorize(AppPermissions.Pages_Master_Inventory_InvoiceStatus_CreateEdit)]
        public async Task CreateOrEdit(CreateOrEditMstInvInvoiceStatusDto input)
        {
            if (input.Id == null) await Create(input);
            else await Update(input);
        }
        //CREATE
        private async Task Create(CreateOrEditMstInvInvoiceStatusDto input)
        {          
            var mainObj = ObjectMapper.Map&lt;MstInvInvoiceStatus&gt;(input);
            await CurrentUnitOfWork.GetDbContext&lt;vovinaDbContext&gt;().AddAsync(mainObj);
        }
        // EDIT
        private async Task Update(CreateOrEditMstInvInvoiceStatusDto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[AbpAuthorize(AppPermissions.Pages_Master_Inventory_InvoiceStatus_Delete)]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Task&lt;PagedResultDto&lt;MstInvInvoiceStatusDto&gt;&gt; GetAll(GetMstInvInvoiceStatusInput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MstInvInvoiceStatusDto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PagedResultDto&lt;MstInvInvoiceStatusDto&gt;(
                totalCount,
                 await paged.ToListAsync()
            );
        }
        public async Task&lt;FileDto&gt; GetInvoiceStatusToExcel(MstInvInvoiceStatusExportInput input)
        {
            var query = from o in _repo.GetAll()
                        select new MstInvInvoiceStatusDto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_dapperRepo.ExecuteAsync(MstInvInvoiceStatusConsts.SP_MST_WPT_CALENDAR_GENERATE);
       // }
    }
}</v>
      </c>
      <c r="N68" s="62" t="str">
        <f>A.Backend!U7</f>
        <v xml:space="preserve">  configuration.CreateMap&lt;MstInvInvoiceStatusDto, MstInvInvoiceStatus&gt;();
  configuration.CreateMap&lt;MstInvInvoiceStatus, MstInvInvoiceStatusDto&gt;();
  configuration.CreateMap&lt;CreateOrEditMstInvInvoiceStatusDto, MstInvInvoiceStatus&gt;();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invoicestatus</v>
      </c>
      <c r="C73" s="72" t="str">
        <f>"create folder " &amp;B73</f>
        <v>create folder invoicestatus</v>
      </c>
      <c r="D73" s="72"/>
      <c r="E73" s="72"/>
      <c r="F73" s="72"/>
      <c r="G73" s="72"/>
      <c r="H73" s="72"/>
      <c r="I73" s="72"/>
      <c r="J73" s="72"/>
      <c r="K73" s="73" t="s">
        <v>228</v>
      </c>
      <c r="L73" s="73"/>
      <c r="M73" s="31"/>
    </row>
    <row r="74" spans="2:14" s="28" customFormat="1" ht="18" customHeight="1" x14ac:dyDescent="0.35">
      <c r="B74" s="60" t="s">
        <v>229</v>
      </c>
      <c r="C74" s="31" t="str">
        <f>B.Frontend!H14</f>
        <v>invoicestatus.component.ts</v>
      </c>
      <c r="D74" s="31" t="str">
        <f>B.Frontend!I14</f>
        <v>invoicestatus.component.html</v>
      </c>
      <c r="E74" s="31" t="str">
        <f>B.Frontend!J14</f>
        <v>invoicestatus.component.less</v>
      </c>
      <c r="F74" s="31" t="str">
        <f>B.Frontend!K14</f>
        <v>create-or-edit-invoicestatus-modal.component.html</v>
      </c>
      <c r="G74" s="31" t="str">
        <f>B.Frontend!L14</f>
        <v>create-or-edit-invoicestatus-modal.component.ts</v>
      </c>
      <c r="H74" s="31" t="str">
        <f>B.Frontend!M14</f>
        <v>create-or-edit-invoicestatus-modal.component.less</v>
      </c>
      <c r="I74" s="31" t="str">
        <f>B.Frontend!N14</f>
        <v>invoicestatus.module.ts</v>
      </c>
      <c r="J74" s="31" t="str">
        <f>B.Frontend!O14</f>
        <v>invoicestatus-routing.module.ts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MstInvInvoiceStatusDto, MstInvInvoiceStatusServiceProxy } from '@shared/service-proxies/service-proxies';
import { finalize } from 'rxjs/internal/operators/finalize';
import { CreateOrEditInvoiceStatusModalComponent } from './create-or-edit-invoicestatus-modal.component';
import { DatePipe } from '@angular/common';
import { FileDownloadService } from '@shared/utils/file-download.service';
import ceil from 'lodash-es/ceil';
import { Paginator } from 'primeng/paginator';
@Component({
    templateUrl: './invoicestatus.component.html',
    styleUrls: ['./invoicestatus.component.less'],
})
export class InvoiceStatusComponent extends AppComponentBase implements OnInit {
    @ViewChild('createOrEditModalInvoiceStatus', { static: true }) createOrEditModalInvoiceStatus:| CreateOrEditInvoiceStatusModalComponent|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MstInvInvoiceStatusDto = new MstInvInvoiceStatusDto();
    saveSelectedRow: MstInvInvoiceStatusDto = new MstInvInvoiceStatusDto();
    datas: MstInvInvoiceStatusDto = new MstInvInvoiceStatusDto();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MstInvInvoiceStatusServiceProxy,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MstInvInvoiceStatusDto[] } }) {
        this.saveSelectedRow = params.api.getSelectedRows()[0] ?? new MstInvInvoiceStatusDto();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MstInvInvoiceStatusDto):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this._service.getInvoiceStatusToExcel(
			this.code,
			this.description,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&lt;create-or-edit-invoicestatus-modal
    #createOrEditModalInvoiceStatus
    (modalSave)="callBackDataGrid(dataParams)"
    (modalClose)="onChangeRowSelection(dataParams)"
&gt;
&lt;/create-or-edit-invoicestatus-modal&gt;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#createOrEditModalInvoiceStatus="bs-modal"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InvoiceStatus')}}&lt;/h3&gt;
                    &lt;h3 *ngIf="!rowdata.id"&gt;{{('Create New InvoiceStatus')}}&lt;/h3&gt;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CreateOrEditMstInvInvoiceStatusDto, MstInvInvoiceStatusServiceProxy } from '@shared/service-proxies/service-proxies';
import { BsDatepickerDirective } from 'ngx-bootstrap/datepicker';
@Component({
    selector: 'create-or-edit-invoicestatus-modal',
    templateUrl: './create-or-edit-invoicestatus-modal.component.html',
    styleUrls: ['./create-or-edit-invoicestatus-modal.component.less']
    })
export class CreateOrEditInvoiceStatusModalComponent extends AppComponentBase {
    @ViewChild('createOrEditModalInvoiceStatus',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CreateOrEditMstInvInvoiceStatusDto = new CreateOrEditMstInvInvoiceStatusDto();
    active: boolean = false;
    saving: boolean = false;
    _isActive: boolean;
    constructor(
        injector: Injector,
        private _mstwptInvoiceStatusService: MstInvInvoiceStatusServiceProxy,
    ) 
    {
        super(injector);
    }
    show(rowdata?: CreateOrEditMstInvInvoiceStatusDto): void {
        if (!rowdata) this.rowdata = new CreateOrEditMstInvInvoiceStatusDto();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InvoiceStatusRoutingModule } from './invoicestatus-routing.module';
import { InvoiceStatusComponent } from './invoicestatus.component';
import { CreateOrEditInvoiceStatusModalComponent } from './create-or-edit-invoicestatus-modal.component';
@NgModule({
    declarations: [
       InvoiceStatusComponent, 
        CreateOrEditInvoiceStatusModalComponent
    ],
    imports: [
        AppSharedModule, InvoiceStatusRoutingModule]
})
export class InvoiceStatusModule {}</v>
      </c>
      <c r="J75" s="49" t="str">
        <f>B.Frontend!O10</f>
        <v>import {NgModule} from '@angular/core';
import {RouterModule, Routes} from '@angular/router';
import { InvoiceStatusComponent } from './invoicestatus.component';
const routes: Routes = [{
    path: '',
    component: InvoiceStatusComponent,
    pathMatch: 'full'
}];
@NgModule({
    imports: [RouterModule.forChild(routes)],
    exports: [RouterModule],
})
export class InvoiceStatusRoutingModule {}</v>
      </c>
      <c r="K75" s="49" t="str">
        <f>B.Frontend!P10</f>
        <v xml:space="preserve"> new AppMenuItem("InvoiceStatus", "Pages.Master.Inventory.InvoiceStatus", "flaticon-book",   "/app/main/master/inventory/invoicestatus"),</v>
      </c>
      <c r="L75" s="50" t="str">
        <f>B.Frontend!Q10</f>
        <v>{
    path: 'master/inventory/invoicestatus',
    loadChildren: () =&gt; import('./master/inventory/invoicestatus/invoicestatus.module').then(m =&gt; m.InvoiceStatusModule),
    data: { permission: 'Pages.Master.Inventory.InvoiceStatus' }
},</v>
      </c>
      <c r="M75" s="48" t="str">
        <f>B.Frontend!R10</f>
        <v>ApiServiceProxies.MstInvInvoiceStatusServiceProxy,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tabSelected="1" workbookViewId="0">
      <pane xSplit="1" topLeftCell="G1" activePane="topRight" state="frozen"/>
      <selection pane="topRight" activeCell="K10" sqref="K10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356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355</v>
      </c>
      <c r="C3" s="10" t="s">
        <v>43</v>
      </c>
      <c r="D3" s="10" t="s">
        <v>44</v>
      </c>
      <c r="E3" s="10" t="s">
        <v>39</v>
      </c>
      <c r="F3" s="11" t="str">
        <f>"J"&amp;COUNTA($A:$A)</f>
        <v>J11</v>
      </c>
      <c r="G3" s="4" t="s">
        <v>57</v>
      </c>
      <c r="H3" s="10" t="str">
        <f>"I"&amp;COUNTA($A:$A)</f>
        <v>I11</v>
      </c>
      <c r="I3" s="10" t="str">
        <f>REPT(CHAR(9),2)&amp;"[Required]"&amp;"
"</f>
        <v xml:space="preserve">		[Required]
</v>
      </c>
      <c r="J3" s="11" t="str">
        <f>"L"&amp;COUNTA($A:$A)</f>
        <v>L11</v>
      </c>
      <c r="K3" s="5" t="s">
        <v>56</v>
      </c>
      <c r="L3" s="11" t="str">
        <f>"M"&amp;COUNTA($A:$A)</f>
        <v>M11</v>
      </c>
      <c r="M3" s="11" t="str">
        <f>"N"&amp;COUNTA($A:$A)</f>
        <v>N11</v>
      </c>
      <c r="N3" s="11" t="str">
        <f>"O"&amp;COUNTA($A:$A)</f>
        <v>O11</v>
      </c>
      <c r="O3" s="11" t="str">
        <f>"P"&amp;COUNTA($A:$A)</f>
        <v>P11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MstInvInvoiceStatusExportInput{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T11</v>
      </c>
      <c r="V3" s="11" t="str">
        <f>"V"&amp;COUNTA($A:$A)</f>
        <v>V11</v>
      </c>
      <c r="W3" s="10" t="str">
        <f>"W"&amp;COUNTA($A:$A)</f>
        <v>W11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359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MstInvInvoiceStatus: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MstInvInvoiceStatusConsts	
	{
</v>
      </c>
      <c r="F6" s="11" t="str">
        <f>REPT(CHAR(9),1)&amp;"public class "&amp;B3&amp;"Dto"&amp;K3&amp;REPT(CHAR(9),1)&amp;"
"&amp;REPT(CHAR(9),1)&amp;C3</f>
        <v xml:space="preserve">	public class MstInvInvoiceStatusDto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CreateOrEditMstInvInvoiceStatusDto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GetMstInvInvoiceStatusInput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MstInvInvoiceStatus</v>
      </c>
      <c r="C7" s="11" t="str">
        <f>REPT(CHAR(9),1)&amp;"[Table("""&amp;B7&amp;""")]"&amp;"
"</f>
        <v xml:space="preserve">	[Table("MstInvInvoiceStatus")]
</v>
      </c>
      <c r="D7" s="11"/>
      <c r="E7" s="11"/>
      <c r="F7" s="11"/>
      <c r="G7" s="11"/>
      <c r="H7" s="11"/>
      <c r="I7" s="11"/>
      <c r="J7" s="6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[Table("MstInvInvoiceStatus")]
	[Index(nameof(Code), Name="IX_MstInvInvoiceStatus_Code")]
	[Index(nameof(IsActive), Name="IX_MstInvInvoiceStatus_IsActive")]	public class MstInvInvoiceStatus: FullAuditedEntity&lt;long&gt;, IEntity&lt;long&gt;	
	{
		public const int MaxCodeLength = 20;
		public const int MaxDescriptionLength = 50;
		public const int MaxIsActiveLength = 1;
		[StringLength(MaxCodeLength)]
		public virtual string Code { get; set; }
		[StringLength(MaxDescriptionLength)]
		public virtual string Description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DbSet&lt;MstInvInvoiceStatus&gt; MstInvInvoiceStatuss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MstInvInvoiceStatusConsts	
	{
		public const int MaxCodeLength = 20;
		public const int MaxDescriptionLength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prod.Master.Inventory.Dto
{
	public class MstInvInvoiceStatusDto : EntityDto&lt;long?&gt;	
	{
		public virtual string Code { get; set; }
		public virtual string Description { get; set; }
		public virtual string IsActive { get; set; }
	}
	public class CreateOrEditMstInvInvoiceStatusDto : EntityDto&lt;long?&gt;	
	{
		[StringLength(MstInvInvoiceStatusConsts.MaxCodeLength)]
		public virtual string Code { get; set; }
		[StringLength(MstInvInvoiceStatusConsts.MaxDescriptionLength)]
		public virtual string Description { get; set; }
		[StringLength(MstInvInvoiceStatusConsts.MaxIsActiveLength)]
		public virtual string IsActive { get; set; }
	}
	public class GetMstInvInvoiceStatusInput : PagedAndSortedResultRequestDto	
	{
		public virtual string Code { get; set; }
		public virtual string Description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perMstInvInvoiceStatus = PARENTS.CreateChildPermission(AppPermissions.Pages_Master_Inventory_InvoiceStatus, L( "MasterInventoryInvoiceStatus"), multiTenancySides: MultiTenancySides.Tenant);
		perMstInvInvoiceStatus.CreateChildPermission(AppPermissions.Pages_Master_Inventory_InvoiceStatus_CreateEdit, L( "MasterInventoryInvoiceStatusCreateEdit"), multiTenancySides: MultiTenancySides.Tenant);
		perMstInvInvoiceStatus.CreateChildPermission(AppPermissions.Pages_Master_Inventory_InvoiceStatus_Delete, L( "MasterInventoryInvoiceStatusDelete"),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Pages_Master_Inventory_InvoiceStatus = "Pages.Master.Inventory.InvoiceStatus";
		public const string Pages_Master_Inventory_InvoiceStatus_CreateEdit = "Pages.Master.Inventory.InvoiceStatus.CreateEdit";
		public const string Pages_Master_Inventory_InvoiceStatus_Delete = "Pages.Master.Inventory.InvoiceStatus.Delete";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IMstInvInvoiceStatusAppService : IApplicationService
	{
		Task&lt;PagedResultDto&lt;MstInvInvoiceStatusDto&gt;&gt; GetAll(GetMstInvInvoiceStatusInput input);
		Task CreateOrEdit(CreateOrEditMstInvInvoiceStatusDto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[AbpAuthorize(AppPermissions.Pages_Master_Inventory_InvoiceStatus)]
    public class MstInvInvoiceStatusAppService : vovinaAppServiceBase, IMstInvInvoiceStatusAppService
    {
        private readonly IDapperRepository&lt;MstInvInvoiceStatus, long&gt; _dapperRepo;
        private readonly IRepository&lt;MstInvInvoiceStatus, long&gt; _repo;
        private readonly IMstInvInvoiceStatusExcelExporter _calendarListExcelExporter;
        public MstInvInvoiceStatusAppService(IRepository&lt;MstInvInvoiceStatus,long&gt; repo, 
                                         IDapperRepository&lt;MstInvInvoiceStatus,long&gt; dapperRepo,
                                        IMstInvInvoiceStatusExcelExporter calendarListExcelExporter
            )
        {
            _repo = repo;
            _dapperRepo = dapperRepo;
            _calendarListExcelExporter = calendarListExcelExporter;
        }
        [AbpAuthorize(AppPermissions.Pages_Master_Inventory_InvoiceStatus_CreateEdit)]
        public async Task CreateOrEdit(CreateOrEditMstInvInvoiceStatusDto input)
        {
            if (input.Id == null) await Create(input);
            else await Update(input);
        }
        //CREATE
        private async Task Create(CreateOrEditMstInvInvoiceStatusDto input)
        {          
            var mainObj = ObjectMapper.Map&lt;MstInvInvoiceStatus&gt;(input);
            await CurrentUnitOfWork.GetDbContext&lt;vovinaDbContext&gt;().AddAsync(mainObj);
        }
        // EDIT
        private async Task Update(CreateOrEditMstInvInvoiceStatusDto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[AbpAuthorize(AppPermissions.Pages_Master_Inventory_InvoiceStatus_Delete)]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Task&lt;PagedResultDto&lt;MstInvInvoiceStatusDto&gt;&gt; GetAll(GetMstInvInvoiceStatusInput input)
        {
            var filtered = _repo.GetAll()
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MstInvInvoiceStatusDto
                        {
							Id = o.Id,
							Code = o.Code,
							Description = o.Description,
							IsActive = o.IsActive,
                        };
            var totalCount = await filtered.CountAsync();
			var paged = system.PageBy(input);
            return new PagedResultDto&lt;MstInvInvoiceStatusDto&gt;(
                totalCount,
                 await paged.ToListAsync()
            );
        }
        public async Task&lt;FileDto&gt; GetInvoiceStatusToExcel(MstInvInvoiceStatusExportInput input)
        {
            var query = from o in _repo.GetAll()
                        select new MstInvInvoiceStatusDto
                        {
							Id = o.Id,
							Code = o.Code,
							Description = o.Description,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_dapperRepo.ExecuteAsync(MstInvInvoiceStatusConsts.SP_MST_WPT_CALENDAR_GENERATE);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prod.Master.Inventory.Dto
{
	public class MstInvInvoiceStatusExportInput{
		public virtual string Code { get; set; }
		public virtual string Description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IMstInvInvoiceStatusExcelExporter : IApplicationService
	{
		FileDto ExportToFile(List&lt;MstInvInvoiceStatusDto&gt; mstinvinvoicestatus);
	}
}
</v>
      </c>
      <c r="T7" s="28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MstInvInvoiceStatusExcelExporter : NpoiExcelExporterBase, IMstInvInvoiceStatusExcelExporter
    {
        public MstInvInvoiceStatusExcelExporter(ITempFileCacheManager tempFileCacheManager) : base(tempFileCacheManager) { }
        public FileDto ExportToFile(List&lt;MstInvInvoiceStatusDto&gt; invoicestatus)
        {
            return CreateExcelPackage(
				"MasterInventoryInvoiceStatus.xlsx",
				excelPackage =&gt;
				 {
					var sheet = excelPackage.CreateSheet("InvoiceStatus");
					AddHeader(
								sheet,
								("Code"),
								("Description"),
								("IsActive"),
							   );
					AddObjects(
						 sheet, 1, invoicestatus,                                       
								_ =&gt; _.Code,
								_ =&gt; _.Description,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configuration.CreateMap&lt;MstInvInvoiceStatusDto, MstInvInvoiceStatus&gt;();
  configuration.CreateMap&lt;MstInvInvoiceStatus, MstInvInvoiceStatusDto&gt;();
  configuration.CreateMap&lt;CreateOrEditMstInvInvoiceStatusDto, MstInvInvoiceStatus&gt;();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t="s">
        <v>357</v>
      </c>
      <c r="B9" t="s">
        <v>353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7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Name="IX_MstInvInvoiceStatus_Code")]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[StringLength(MstInvInvoiceStatusConsts.MaxCodeLength)]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t="s">
        <v>358</v>
      </c>
      <c r="B10" t="s">
        <v>354</v>
      </c>
      <c r="C10" t="s">
        <v>1</v>
      </c>
      <c r="D10" t="str">
        <f t="shared" ref="D10" si="13">SUBSTITUTE(PROPER(A10),"_","")</f>
        <v>Description</v>
      </c>
      <c r="E10" t="str">
        <f t="shared" ref="E10" si="14">IFERROR(LEFT(B10, FIND("(",B10)-1),B10)</f>
        <v>nvarchar</v>
      </c>
      <c r="F10" s="7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MaxDescriptionLength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[StringLength(MaxDescriptionLength)]
		public virtual string Description { get; set; }
</v>
      </c>
      <c r="K10" s="7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Description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[StringLength(MstInvInvoiceStatusConsts.MaxDescriptionLength)]
		public virtual string Description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Description { get; set; }
</v>
      </c>
      <c r="P10" t="str">
        <f t="shared" ref="P10" si="22">REPT(CHAR(9),7)&amp;D10&amp;" = o." &amp;D10 &amp;","</f>
        <v xml:space="preserve">							Description = o.Description,</v>
      </c>
      <c r="T10" s="69" t="str">
        <f t="shared" ref="T10" si="23">REPT(CHAR(9),8)&amp;"("""&amp;D10&amp;"""),"</f>
        <v xml:space="preserve">								("Description"),</v>
      </c>
      <c r="V10" s="70" t="str">
        <f t="shared" ref="V10" si="24">REPT(CHAR(9),8)&amp;"_ =&gt; _."&amp;D10&amp;","</f>
        <v xml:space="preserve">								_ =&gt; _.Description,</v>
      </c>
      <c r="W10" s="69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.WhereIf(!string.IsNullOrWhiteSpace(input.Description), e =&gt; e.Description.Contains(input.Description))</v>
      </c>
    </row>
    <row r="11" spans="1:23" customFormat="1" ht="18.75" customHeight="1" x14ac:dyDescent="0.35">
      <c r="A11" t="s">
        <v>360</v>
      </c>
      <c r="B11" t="s">
        <v>361</v>
      </c>
      <c r="C11" t="s">
        <v>1</v>
      </c>
      <c r="D11" t="str">
        <f t="shared" ref="D11" si="26">SUBSTITUTE(PROPER(A11),"_","")</f>
        <v>IsActive</v>
      </c>
      <c r="E11" t="str">
        <f t="shared" ref="E11" si="27">IFERROR(LEFT(B11, FIND("(",B11)-1),B11)</f>
        <v>varchar</v>
      </c>
      <c r="F11" s="7"/>
      <c r="G11" t="str">
        <f t="shared" ref="G11" si="28">IFERROR(MID(B11,FIND("(",B11) +1, FIND(")",B11) - FIND("(",B11) - 1),"")</f>
        <v>1</v>
      </c>
      <c r="H11" t="str">
        <f>+VLOOKUP(E11,'Data Type Mapping'!A:B,2,)</f>
        <v>string</v>
      </c>
      <c r="I11" t="str">
        <f t="shared" ref="I11" si="29">IF(H11="string",REPT(CHAR(9),2)&amp;"public const int Max"&amp;D11&amp;"Length = "&amp;G11&amp;";"&amp;$E$3,"" )</f>
        <v xml:space="preserve">		public const int MaxIsActiveLength = 1;
</v>
      </c>
      <c r="J11" t="str">
        <f t="shared" ref="J11" si="30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[StringLength(MaxIsActiveLength)]
		public virtual string IsActive { get; set; }
</v>
      </c>
      <c r="K11" s="7" t="s">
        <v>206</v>
      </c>
      <c r="L11" t="str">
        <f t="shared" ref="L11" si="31">IF(K11="","",REPT(CHAR(9),1)&amp;"[Index(nameof("&amp;IF(D11="","",""&amp;D11)&amp;")"&amp;", Name="&amp;"""IX_"&amp;$B$7&amp;"_"&amp;D11&amp;""")]")</f>
        <v xml:space="preserve">	[Index(nameof(IsActive), Name="IX_MstInvInvoiceStatus_IsActive")]</v>
      </c>
      <c r="M11" t="str">
        <f t="shared" ref="M11" si="32">REPT(CHAR(9),2)&amp;"public virtual "&amp;IF(OR(H11="DateTime",H11="TimeSpan"),H11&amp;"?",H11)&amp;IF(C11="?","? "," ")&amp;D11&amp;" { get; set; }" &amp; "
"</f>
        <v xml:space="preserve">		public virtual string IsActive { get; set; }
</v>
      </c>
      <c r="N11" t="str">
        <f t="shared" ref="N11" si="33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[StringLength(MstInvInvoiceStatusConsts.MaxIsActiveLength)]
		public virtual string IsActive { get; set; }
</v>
      </c>
      <c r="O11" t="str">
        <f t="shared" ref="O11" si="34">IF(OR(H11="string",H11="DateTime",H11="int"),REPT(CHAR(9),2)&amp;"public virtual "&amp;IF(OR(H11="DateTime",H11="TimeSpan"),H11&amp;"?",H11)&amp;IF(C11="?","? "," ")&amp;D11&amp;" { get; set; }"&amp;$E$3,"")</f>
        <v xml:space="preserve">		public virtual string IsActive { get; set; }
</v>
      </c>
      <c r="P11" t="str">
        <f t="shared" ref="P11" si="35">REPT(CHAR(9),7)&amp;D11&amp;" = o." &amp;D11 &amp;","</f>
        <v xml:space="preserve">							IsActive = o.IsActive,</v>
      </c>
      <c r="T11" s="69" t="str">
        <f t="shared" ref="T11" si="36">REPT(CHAR(9),8)&amp;"("""&amp;D11&amp;"""),"</f>
        <v xml:space="preserve">								("IsActive"),</v>
      </c>
      <c r="V11" s="70" t="str">
        <f t="shared" ref="V11" si="37">REPT(CHAR(9),8)&amp;"_ =&gt; _."&amp;D11&amp;","</f>
        <v xml:space="preserve">								_ =&gt; _.IsActive,</v>
      </c>
      <c r="W11" s="69" t="str">
        <f t="shared" ref="W11" si="38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 xml:space="preserve">				.WhereIf(!string.IsNullOrWhiteSpace(input.IsActive), e =&gt; e.IsActive.Contains(input.IsActive))</v>
      </c>
    </row>
    <row r="12" spans="1:23" ht="45.75" customHeight="1" x14ac:dyDescent="0.35">
      <c r="H12" s="12"/>
      <c r="I12" s="34" t="str">
        <f ca="1">TEXTJOIN2("
", TRUE,INDIRECT( $H$1):INDIRECT( $H$3))</f>
        <v xml:space="preserve">		public const int MaxCodeLength = 20;
		public const int MaxDescriptionLength = 50;
		public const int MaxIsActiveLength = 1;
</v>
      </c>
      <c r="J12" s="33" t="str">
        <f ca="1">TEXTJOIN2("
", TRUE,INDIRECT( $F$1):INDIRECT( $F$3))</f>
        <v xml:space="preserve">		[StringLength(MaxCodeLength)]
		public virtual string Code { get; set; }
		[StringLength(MaxDescriptionLength)]
		public virtual string Description { get; set; }
		[StringLength(MaxIsActiveLength)]
		public virtual string IsActive { get; set; }
</v>
      </c>
      <c r="K12" s="35" t="str">
        <f ca="1">TEXTJOIN2("
", TRUE,INDIRECT( $J$1):INDIRECT( $J$3))</f>
        <v xml:space="preserve">	[Index(nameof(Code), Name="IX_MstInvInvoiceStatus_Code")]
	[Index(nameof(IsActive), Name="IX_MstInvInvoiceStatus_IsActive")]</v>
      </c>
      <c r="L12" s="13" t="s">
        <v>60</v>
      </c>
      <c r="M12" s="36" t="str">
        <f ca="1">TEXTJOIN2("
",TRUE,INDIRECT( $L$1):INDIRECT($L$3))</f>
        <v xml:space="preserve">		public virtual string Code { get; set; }
		public virtual string Description { get; set; }
		public virtual string IsActive { get; set; }
</v>
      </c>
      <c r="N12" s="33" t="str">
        <f ca="1">TEXTJOIN2("
",TRUE,INDIRECT( $M$1):INDIRECT($M$3))</f>
        <v xml:space="preserve">		[StringLength(MstInvInvoiceStatusConsts.MaxCodeLength)]
		public virtual string Code { get; set; }
		[StringLength(MstInvInvoiceStatusConsts.MaxDescriptionLength)]
		public virtual string Description { get; set; }
		[StringLength(MstInvInvoiceStatusConsts.MaxIsActiveLength)]
		public virtual string IsActive { get; set; }
</v>
      </c>
      <c r="O12" s="33" t="str">
        <f ca="1">TEXTJOIN2("
",TRUE,INDIRECT( $N$1):INDIRECT($N$3))</f>
        <v xml:space="preserve">		public virtual string Code { get; set; }
		public virtual string Description { get; set; }
		public virtual string IsActive { get; set; }
</v>
      </c>
      <c r="P12" s="9" t="str">
        <f ca="1">TEXTJOIN2("
",TRUE,INDIRECT( $O$1):INDIRECT($O$3))</f>
        <v xml:space="preserve">							Code = o.Code,
							Description = o.Description,
							IsActive = o.IsActive,</v>
      </c>
      <c r="T12" s="9" t="str">
        <f ca="1">TEXTJOIN2("
",TRUE,INDIRECT( $T$2):INDIRECT($T$3))</f>
        <v xml:space="preserve">								("Code"),
								("Description"),
								("IsActive"),</v>
      </c>
      <c r="V12" s="9" t="str">
        <f ca="1">TEXTJOIN2("
",TRUE,INDIRECT( $V$2):INDIRECT($V$3))</f>
        <v xml:space="preserve">								_ =&gt; _.Code,
								_ =&gt; _.Description,
								_ =&gt; _.IsActive,</v>
      </c>
      <c r="W12" s="9" t="str">
        <f ca="1">TEXTJOIN2("
",TRUE,INDIRECT( $W$2):INDIRECT($W$3))</f>
        <v xml:space="preserve">				.WhereIf(!string.IsNullOrWhiteSpace(input.Code), e =&gt; e.Code.Contains(input.Code))
				.WhereIf(!string.IsNullOrWhiteSpace(input.Description), e =&gt; e.Description.Contains(input.Description))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1" sqref="B1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MstInvInvoiceStatus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InvoiceStatus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invoicestatus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MstInvInvoiceStatusDto, MstInvInvoiceStatusServiceProxy } from '@shared/service-proxies/service-proxies';
import { finalize } from 'rxjs/internal/operators/finalize';
import { CreateOrEditInvoiceStatusModalComponent } from './create-or-edit-invoicestatus-modal.component';
import { DatePipe } from '@angular/common';
import { FileDownloadService } from '@shared/utils/file-download.service';
import ceil from 'lodash-es/ceil';
import { Paginator } from 'primeng/paginator';
@Component({
    templateUrl: './invoicestatus.component.html',
    styleUrls: ['./invoicestatus.component.less'],
})
export class InvoiceStatusComponent extends AppComponentBase implements OnInit {
    @ViewChild('createOrEditModalInvoiceStatus', { static: true }) createOrEditModalInvoiceStatus:| CreateOrEditInvoiceStatusModalComponent|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MstInvInvoiceStatusDto = new MstInvInvoiceStatusDto();
    saveSelectedRow: MstInvInvoiceStatusDto = new MstInvInvoiceStatusDto();
    datas: MstInvInvoiceStatusDto = new MstInvInvoiceStatusDto();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description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MstInvInvoiceStatusServiceProxy,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this.description,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this.description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this.description,
			this.isActive,
			'',
            this.paginationParams.skipCount,
            this.paginationParams.pageSize
        );
    }
    onChangeRowSelection(params: { api: { getSelectedRows: () =&gt; MstInvInvoiceStatusDto[] } }) {
        this.saveSelectedRow = params.api.getSelectedRows()[0] ?? new MstInvInvoiceStatusDto();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MstInvInvoiceStatusDto):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this._service.getInvoiceStatusToExcel(
			this.code,
			this.description,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Invoice Status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(click)="createOrEditModalInvoiceStatus.show()"&gt;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(click)="createOrEditModalInvoiceStatus.show(selectedRow)"&gt;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&lt;create-or-edit-invoicestatus-modal
    #createOrEditModalInvoiceStatus
    (modalSave)="callBackDataGrid(dataParams)"
    (modalClose)="onChangeRowSelection(dataParams)"
&gt;
&lt;/create-or-edit-invoicestatus-modal&gt;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#createOrEditModalInvoiceStatus="bs-modal"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InvoiceStatus')}}&lt;/h3&gt;
                    &lt;h3 *ngIf="!rowdata.id"&gt;{{('Create New InvoiceStatus')}}&lt;/h3&gt;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CreateOrEditMstInvInvoiceStatusDto, MstInvInvoiceStatusServiceProxy } from '@shared/service-proxies/service-proxies';
import { BsDatepickerDirective } from 'ngx-bootstrap/datepicker';
@Component({
    selector: 'create-or-edit-invoicestatus-modal',
    templateUrl: './create-or-edit-invoicestatus-modal.component.html',
    styleUrls: ['./create-or-edit-invoicestatus-modal.component.less']
    })
export class CreateOrEditInvoiceStatusModalComponent extends AppComponentBase {
    @ViewChild('createOrEditModalInvoiceStatus',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CreateOrEditMstInvInvoiceStatusDto = new CreateOrEditMstInvInvoiceStatusDto();
    active: boolean = false;
    saving: boolean = false;
    _isActive: boolean;
    constructor(
        injector: Injector,
        private _mstwptInvoiceStatusService: MstInvInvoiceStatusServiceProxy,
    ) 
    {
        super(injector);
    }
    show(rowdata?: CreateOrEditMstInvInvoiceStatusDto): void {
        if (!rowdata) this.rowdata = new CreateOrEditMstInvInvoiceStatusDto();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this._mstwptInvoiceStatusService.createOrEdit(this.rowdata)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InvoiceStatusRoutingModule } from './invoicestatus-routing.module';
import { InvoiceStatusComponent } from './invoicestatus.component';
import { CreateOrEditInvoiceStatusModalComponent } from './create-or-edit-invoicestatus-modal.component';
@NgModule({
    declarations: [
       InvoiceStatusComponent, 
        CreateOrEditInvoiceStatusModalComponent
    ],
    imports: [
        AppSharedModule, InvoiceStatusRoutingModule]
})
export class InvoiceStatusModule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InvoiceStatusComponent } from './invoicestatus.component';
const routes: Routes = [{
    path: '',
    component: InvoiceStatusComponent,
    pathMatch: 'full'
}];
@NgModule({
    imports: [RouterModule.forChild(routes)],
    exports: [RouterModule],
})
export class InvoiceStatusRoutingModule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AppMenuItem("InvoiceStatus", "Pages.Master.Inventory.InvoiceStatus", "flaticon-book",   "/app/main/master/inventory/invoicestatus"),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'master/inventory/invoicestatus',
    loadChildren: () =&gt; import('./master/inventory/invoicestatus/invoicestatus.module').then(m =&gt; m.InvoiceStatusModule),
    data: { permission: 'Pages.Master.Inventory.InvoiceStatus' }
},</v>
      </c>
      <c r="R10" s="50" t="str">
        <f>SUBSTITUTE(R9,"MstWptCalendar",$B$6)</f>
        <v>ApiServiceProxies.MstInvInvoiceStatusServiceProxy,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H17</v>
      </c>
      <c r="I12" s="31" t="str">
        <f>"I"&amp;COUNTA($A:$A)</f>
        <v>I17</v>
      </c>
      <c r="J12" s="31"/>
      <c r="K12" s="31" t="str">
        <f>"K"&amp;COUNTA($A:$A)</f>
        <v>K17</v>
      </c>
      <c r="L12" s="31" t="str">
        <f>"L"&amp;COUNTA($A:$A)</f>
        <v>L17</v>
      </c>
      <c r="M12" s="31"/>
      <c r="N12" s="31"/>
      <c r="O12" s="31"/>
      <c r="P12" s="31"/>
      <c r="Q12" s="31"/>
      <c r="R12" s="31"/>
      <c r="S12" s="31" t="str">
        <f>"S"&amp;COUNTA($A:$A)</f>
        <v>S17</v>
      </c>
      <c r="T12" s="31" t="str">
        <f>"T"&amp;COUNTA($A:$A)</f>
        <v>T17</v>
      </c>
      <c r="U12" s="31" t="str">
        <f>"U"&amp;COUNTA($A:$A)</f>
        <v>U17</v>
      </c>
      <c r="V12" s="31" t="str">
        <f>"V"&amp;COUNTA($A:$A)</f>
        <v>V17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this.l('Description'),headerTooltip: this.l('Description'),field: 'description',flex: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[(ngModel)]='description' name='description'
									class='form-control' [placeholder]="l('Description')"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title'&gt;Description&lt;/label&gt;
						&lt;input type='text' class='col-md-10 form-control input-text' name='Description' [(ngModel)]='rowdata.description'&gt;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description : string = '' ; 
	isActive : string = '' ; </v>
      </c>
      <c r="T13" s="68" t="str">
        <f ca="1">TEXTJOIN2("
",TRUE,INDIRECT(T11):INDIRECT(T12))</f>
        <v xml:space="preserve">			this.code,
			this.description,
			this.isActive,</v>
      </c>
      <c r="U13" s="68" t="str">
        <f ca="1">TEXTJOIN2("
",TRUE,INDIRECT(U11):INDIRECT(U12))</f>
        <v xml:space="preserve">		this.code = '',
		this.description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invoicestatus.component.ts</v>
      </c>
      <c r="I14" s="40" t="str">
        <f>B8&amp;".component.html"</f>
        <v>invoicestatus.component.html</v>
      </c>
      <c r="J14" s="39" t="str">
        <f>B8&amp;".component.less"</f>
        <v>invoicestatus.component.less</v>
      </c>
      <c r="K14" s="40" t="str">
        <f>"create-or-edit-"&amp;B8&amp;"-modal.component.html"</f>
        <v>create-or-edit-invoicestatus-modal.component.html</v>
      </c>
      <c r="L14" s="40" t="str">
        <f>"create-or-edit-"&amp;B8&amp;"-modal.component.ts"</f>
        <v>create-or-edit-invoicestatus-modal.component.ts</v>
      </c>
      <c r="M14" s="40" t="str">
        <f>"create-or-edit-"&amp;B8&amp;"-modal.component.less"</f>
        <v>create-or-edit-invoicestatus-modal.component.less</v>
      </c>
      <c r="N14" s="40" t="str">
        <f>B8&amp;".module.ts"</f>
        <v>invoicestatus.module.ts</v>
      </c>
      <c r="O14" s="40" t="str">
        <f>B8&amp;"-routing.module.ts"</f>
        <v>invoicestatus-routing.module.ts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t="s">
        <v>357</v>
      </c>
      <c r="B15" s="31" t="str">
        <f t="shared" ref="B15" si="0">SUBSTITUTE(PROPER(A15),"_","")</f>
        <v>Code</v>
      </c>
      <c r="C15" s="31" t="str">
        <f t="shared" ref="C15" si="1">SUBSTITUTE(PROPER(A15),"_"," ")</f>
        <v>Code</v>
      </c>
      <c r="D15" s="31" t="str">
        <f t="shared" ref="D15" si="2">LOWER(LEFT(B15,1))&amp;RIGHT(B15,LEN(B15) - 1)</f>
        <v>code</v>
      </c>
      <c r="E15" s="31" t="str">
        <f>A.Backend!H9</f>
        <v>string</v>
      </c>
      <c r="F15" s="31" t="str">
        <f>A.Backend!G9</f>
        <v>20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" si="8">IF(AND(E15="string",F15="1"),D15,"")</f>
        <v/>
      </c>
    </row>
    <row r="16" spans="1:22" ht="18" customHeight="1" x14ac:dyDescent="0.35">
      <c r="A16" t="s">
        <v>358</v>
      </c>
      <c r="B16" s="31" t="str">
        <f t="shared" ref="B16" si="9">SUBSTITUTE(PROPER(A16),"_","")</f>
        <v>Description</v>
      </c>
      <c r="C16" s="31" t="str">
        <f t="shared" ref="C16" si="10">SUBSTITUTE(PROPER(A16),"_"," ")</f>
        <v>Description</v>
      </c>
      <c r="D16" s="31" t="str">
        <f t="shared" ref="D16" si="11">LOWER(LEFT(B16,1))&amp;RIGHT(B16,LEN(B16) - 1)</f>
        <v>description</v>
      </c>
      <c r="E16" s="31" t="str">
        <f>A.Backend!H10</f>
        <v>string</v>
      </c>
      <c r="F16" s="31" t="str">
        <f>A.Backend!G10</f>
        <v>50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this.l('Description'),headerTooltip: this.l('Description'),field: 'description',flex: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[(ngModel)]='description' name='description'
									class='form-control' [placeholder]="l('Description')"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title'&gt;Description&lt;/label&gt;
						&lt;input type='text' class='col-md-10 form-control input-text' name='Description' [(ngModel)]='rowdata.description'&gt;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description : string = '' ; </v>
      </c>
      <c r="T16" s="31" t="str">
        <f t="shared" ref="T16" si="18">REPT(CHAR(9),3)&amp;"this."&amp;D16&amp;","</f>
        <v xml:space="preserve">			this.description,</v>
      </c>
      <c r="U16" s="31" t="str">
        <f t="shared" ref="U16" si="19">IF(E16="int",REPT(CHAR(9),2)&amp;"this."&amp;D16&amp;" = 0,",REPT(CHAR(9),2)&amp;"this."&amp;D16&amp;" = '',")</f>
        <v xml:space="preserve">		this.description = '',</v>
      </c>
      <c r="V16" s="31" t="str">
        <f t="shared" ref="V16" si="20">IF(AND(E16="string",F16="1"),D16,"")</f>
        <v/>
      </c>
    </row>
    <row r="17" spans="1:22" ht="18" customHeight="1" x14ac:dyDescent="0.35">
      <c r="A17" t="s">
        <v>360</v>
      </c>
      <c r="B17" s="31" t="str">
        <f t="shared" ref="B17" si="21">SUBSTITUTE(PROPER(A17),"_","")</f>
        <v>IsActive</v>
      </c>
      <c r="C17" s="31" t="str">
        <f t="shared" ref="C17" si="22">SUBSTITUTE(PROPER(A17),"_"," ")</f>
        <v>Is Active</v>
      </c>
      <c r="D17" s="31" t="str">
        <f t="shared" ref="D17" si="23">LOWER(LEFT(B17,1))&amp;RIGHT(B17,LEN(B17) - 1)</f>
        <v>isActive</v>
      </c>
      <c r="E17" s="31" t="str">
        <f>A.Backend!H11</f>
        <v>string</v>
      </c>
      <c r="F17" s="31" t="str">
        <f>A.Backend!G11</f>
        <v>1</v>
      </c>
      <c r="G17" s="31" t="str">
        <f t="shared" ref="G17" si="24">IF(E17="string"," : string = '' ; ",IF(OR(E17="DateTime",E17="TimeSpan")," : any ;",IF(E17="int"," : number = 0 ;","")))</f>
        <v xml:space="preserve"> : string = '' ; </v>
      </c>
      <c r="H17" s="38" t="str">
        <f t="shared" ref="H17" si="25"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7" s="38" t="str">
        <f t="shared" ref="I17" si="26"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17" s="31"/>
      <c r="K17" s="38" t="str">
        <f t="shared" ref="K17" si="27"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7" s="60" t="str">
        <f t="shared" ref="L17" si="28"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 t="shared" ref="S17" si="29">REPT(CHAR(9),1)&amp;D17&amp;G17</f>
        <v xml:space="preserve">	isActive : string = '' ; </v>
      </c>
      <c r="T17" s="31" t="str">
        <f t="shared" ref="T17" si="30">REPT(CHAR(9),3)&amp;"this."&amp;D17&amp;","</f>
        <v xml:space="preserve">			this.isActive,</v>
      </c>
      <c r="U17" s="31" t="str">
        <f t="shared" ref="U17" si="31">IF(E17="int",REPT(CHAR(9),2)&amp;"this."&amp;D17&amp;" = 0,",REPT(CHAR(9),2)&amp;"this."&amp;D17&amp;" = '',")</f>
        <v xml:space="preserve">		this.isActive = '',</v>
      </c>
      <c r="V17" s="31" t="str">
        <f t="shared" ref="V17" si="32">IF(AND(E17="string",F17="1"),D17,"")</f>
        <v>isActive</v>
      </c>
    </row>
    <row r="18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2023-04-13T03:32:22Z</dcterms:modified>
</cp:coreProperties>
</file>
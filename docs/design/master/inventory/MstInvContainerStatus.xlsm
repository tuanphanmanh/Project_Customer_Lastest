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B18" i="5"/>
  <c r="D18" i="5" s="1"/>
  <c r="T18" i="5" s="1"/>
  <c r="C17" i="5"/>
  <c r="B17" i="5"/>
  <c r="D17" i="5" s="1"/>
  <c r="C16" i="5"/>
  <c r="B16" i="5"/>
  <c r="D16" i="5" s="1"/>
  <c r="T16" i="5" l="1"/>
  <c r="T17" i="5"/>
  <c r="B6" i="1"/>
  <c r="C15" i="5" l="1"/>
  <c r="B15" i="5"/>
  <c r="D15" i="5" s="1"/>
  <c r="T15" i="5" s="1"/>
  <c r="L12" i="1"/>
  <c r="G12" i="1"/>
  <c r="F18" i="5" s="1"/>
  <c r="E12" i="1"/>
  <c r="D12" i="1"/>
  <c r="V12" i="1" s="1"/>
  <c r="G11" i="1"/>
  <c r="F17" i="5" s="1"/>
  <c r="E11" i="1"/>
  <c r="D11" i="1"/>
  <c r="T11" i="1" s="1"/>
  <c r="H12" i="1" l="1"/>
  <c r="I12" i="1" s="1"/>
  <c r="H11" i="1"/>
  <c r="N11" i="1" s="1"/>
  <c r="L11" i="1"/>
  <c r="P11" i="1"/>
  <c r="V11" i="1"/>
  <c r="P12" i="1"/>
  <c r="T12" i="1"/>
  <c r="J11" i="1" l="1"/>
  <c r="I11" i="1"/>
  <c r="J12" i="1"/>
  <c r="O11" i="1"/>
  <c r="M11" i="1"/>
  <c r="W11" i="1"/>
  <c r="E17" i="5"/>
  <c r="E18" i="5"/>
  <c r="M12" i="1"/>
  <c r="O12" i="1"/>
  <c r="N12" i="1"/>
  <c r="W12" i="1"/>
  <c r="G9" i="1"/>
  <c r="F15" i="5" s="1"/>
  <c r="E9" i="1"/>
  <c r="H9" i="1" s="1"/>
  <c r="E15" i="5" s="1"/>
  <c r="D9" i="1"/>
  <c r="V9" i="1" s="1"/>
  <c r="V17" i="5" l="1"/>
  <c r="U17" i="5"/>
  <c r="K17" i="5"/>
  <c r="G17" i="5"/>
  <c r="S17" i="5" s="1"/>
  <c r="L17" i="5"/>
  <c r="I17" i="5"/>
  <c r="H17" i="5"/>
  <c r="H18" i="5"/>
  <c r="L18" i="5"/>
  <c r="K18" i="5"/>
  <c r="U18" i="5"/>
  <c r="G18" i="5"/>
  <c r="S18" i="5" s="1"/>
  <c r="V18" i="5"/>
  <c r="I18" i="5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D10" i="1"/>
  <c r="T10" i="1" s="1"/>
  <c r="H10" i="1" l="1"/>
  <c r="E16" i="5" s="1"/>
  <c r="P10" i="1"/>
  <c r="V10" i="1"/>
  <c r="W10" i="1"/>
  <c r="I10" i="1"/>
  <c r="O10" i="1"/>
  <c r="N10" i="1"/>
  <c r="M10" i="1"/>
  <c r="J10" i="1" l="1"/>
  <c r="I16" i="5"/>
  <c r="U16" i="5"/>
  <c r="L16" i="5"/>
  <c r="K16" i="5"/>
  <c r="H16" i="5"/>
  <c r="V16" i="5"/>
  <c r="G16" i="5"/>
  <c r="S16" i="5" s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U13" i="5"/>
  <c r="H13" i="5"/>
  <c r="V13" i="5"/>
  <c r="K13" i="5"/>
  <c r="I13" i="5"/>
  <c r="L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O13" i="1"/>
  <c r="N13" i="1"/>
  <c r="J13" i="1"/>
  <c r="P13" i="1"/>
  <c r="I13" i="1"/>
  <c r="Q7" i="1" l="1"/>
  <c r="M68" i="3" s="1"/>
  <c r="L7" i="1"/>
  <c r="G68" i="3" s="1"/>
  <c r="K68" i="3"/>
  <c r="J68" i="3"/>
  <c r="K13" i="1"/>
  <c r="M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<sst xmlns="http://schemas.openxmlformats.org/spreadsheetml/2006/main" count="456" uniqueCount="368">
  <si>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</si>
  <si>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</si>
  <si>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</si>
  <si>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</si>
  <si>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</si>
  <si>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</si>
  <si>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</si>
  <si>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</si>
  <si>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</si>
  <si>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</si>
  <si>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</si>
  <si>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</si>
  <si>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</si>
  <si>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</si>
  <si>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</si>
  <si>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</si>
  <si>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</si>
  <si>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</si>
  <si>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</si>
  <si>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</si>
  <si>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</si>
  <si>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</si>
  <si>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</si>
  <si>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</si>
  <si>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</si>
  <si>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</si>
  <si>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</si>
  <si>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</si>
  <si>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</si>
  <si>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</si>
  <si>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</si>
  <si>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</si>
  <si>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</si>
  <si>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</si>
  <si>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</si>
  <si>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</si>
  <si>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</si>
  <si>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</si>
  <si>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</si>
  <si>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</si>
  <si>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</si>
  <si>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</si>
  <si>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</si>
  <si>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</si>
  <si>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</si>
  <si>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</si>
  <si>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</si>
  <si>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</si>
  <si>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</si>
  <si>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</si>
  <si>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</si>
  <si>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</si>
  <si>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</si>
  <si>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</si>
  <si>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</si>
  <si>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</si>
  <si>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</si>
  <si>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</si>
  <si>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</si>
  <si>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</si>
  <si>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</si>
  <si>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</si>
  <si>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</si>
  <si>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</si>
  <si>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</si>
  <si>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</si>
  <si>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</si>
  <si>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</si>
  <si>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</si>
  <si>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</si>
  <si>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</si>
  <si>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</si>
  <si>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</si>
  <si>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</si>
  <si>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</si>
  <si>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</si>
  <si>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</si>
  <si>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</si>
  <si>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</si>
  <si>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</si>
  <si>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</si>
  <si>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</si>
  <si>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</si>
  <si>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</si>
  <si>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</si>
  <si>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</si>
  <si>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</si>
  <si>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</si>
  <si>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</si>
  <si>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</si>
  <si>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</si>
  <si>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</si>
  <si>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</si>
  <si>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</si>
  <si>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</si>
  <si>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</si>
  <si>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</si>
  <si>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</si>
  <si>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</si>
  <si>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</si>
  <si>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</si>
  <si>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</si>
  <si>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</si>
  <si>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</si>
  <si>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</si>
  <si>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</si>
  <si>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</si>
  <si>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</si>
  <si>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</si>
  <si>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</si>
  <si>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</si>
  <si>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</si>
  <si>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</si>
  <si>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</si>
  <si>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</si>
  <si>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</si>
  <si>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</si>
  <si>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</si>
  <si>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</si>
  <si>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</si>
  <si>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</si>
  <si>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</si>
  <si>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</si>
  <si>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</si>
  <si>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</si>
  <si>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</si>
  <si>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</si>
  <si>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</si>
  <si>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</si>
  <si>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</si>
  <si>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</si>
  <si>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</si>
  <si>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</si>
  <si>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</si>
  <si>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</si>
  <si>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</si>
  <si>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</si>
  <si>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</si>
  <si>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</si>
  <si>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</si>
  <si>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</si>
  <si>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</si>
  <si>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</si>
  <si>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</si>
  <si>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</si>
  <si>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</si>
  <si>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</si>
  <si>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</si>
  <si>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</si>
  <si>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</si>
  <si>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</si>
  <si>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</si>
  <si>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</si>
  <si>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</si>
  <si>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</si>
  <si>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</si>
  <si>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</si>
  <si>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</si>
  <si>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</si>
  <si>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</si>
  <si>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</si>
  <si>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</si>
  <si>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</si>
  <si>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</si>
  <si>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</si>
  <si>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</si>
  <si>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</si>
  <si>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</si>
  <si>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</si>
  <si>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</si>
  <si>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</si>
  <si>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</si>
  <si>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</si>
  <si>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</si>
  <si>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</si>
  <si>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</si>
  <si>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</si>
  <si>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</si>
  <si>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</si>
  <si>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</si>
  <si>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</si>
  <si>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</si>
  <si>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</si>
  <si>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</si>
  <si>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</si>
  <si>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</si>
  <si>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</si>
  <si>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</si>
  <si>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</si>
  <si>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</si>
  <si>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</si>
  <si>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</si>
  <si>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</si>
  <si>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</si>
  <si>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</si>
  <si>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</si>
  <si>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</si>
  <si>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</si>
  <si>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</si>
  <si>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</si>
  <si>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</si>
  <si>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</si>
  <si>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</si>
  <si>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</si>
  <si>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</si>
  <si>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</si>
  <si>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</si>
  <si>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</si>
  <si>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</si>
  <si>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</si>
  <si>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</si>
  <si>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</si>
  <si>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</si>
  <si>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</si>
  <si>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</si>
  <si>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</si>
  <si>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</si>
  <si>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</si>
  <si>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</si>
  <si>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</si>
  <si>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</si>
  <si>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</si>
  <si>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</si>
  <si>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</si>
  <si>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</si>
  <si>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</si>
  <si>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</si>
  <si>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</si>
  <si>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</si>
  <si>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</si>
  <si>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</si>
  <si>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</si>
  <si>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</si>
  <si>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</si>
  <si>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</si>
  <si>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</si>
  <si>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</si>
  <si>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</si>
  <si>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</si>
  <si>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</si>
  <si>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</si>
  <si>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</si>
  <si>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</si>
  <si>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</si>
  <si>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</si>
  <si>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</si>
  <si>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</si>
  <si>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</si>
  <si>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</si>
  <si>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</si>
  <si>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</si>
  <si>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</si>
  <si>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</si>
  <si>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</si>
  <si>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</si>
  <si>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</si>
  <si>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</si>
  <si>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</si>
  <si>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</si>
  <si>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</si>
  <si>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</si>
  <si>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</si>
  <si>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</si>
  <si>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</si>
  <si>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</si>
  <si>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</si>
  <si>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</si>
  <si>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</si>
  <si>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</si>
  <si>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</si>
  <si>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</si>
  <si>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</si>
  <si>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</si>
  <si>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</si>
  <si>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</si>
  <si>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</si>
  <si>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</si>
  <si>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</si>
  <si>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</si>
  <si>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</si>
  <si>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</si>
  <si>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</si>
  <si>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</si>
  <si>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</si>
  <si>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</si>
  <si>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</si>
  <si>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</si>
  <si>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</si>
  <si>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</si>
  <si>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</si>
  <si>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</si>
  <si>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</si>
  <si>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</si>
  <si>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</si>
  <si>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</si>
  <si>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</si>
  <si>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</si>
  <si>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</si>
  <si>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</si>
  <si>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</si>
  <si>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</si>
  <si>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</si>
  <si>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</si>
  <si>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</si>
  <si>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</si>
  <si>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</si>
  <si>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</si>
  <si>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</si>
  <si>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</si>
  <si>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</si>
  <si>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</si>
  <si>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</si>
  <si>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</si>
  <si>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</si>
  <si>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</si>
  <si>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</si>
  <si>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</si>
  <si>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</si>
  <si>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</si>
  <si>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</si>
  <si>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</si>
  <si>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</si>
  <si>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</si>
  <si>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</si>
  <si>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</si>
  <si>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</si>
  <si>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</si>
  <si>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</si>
  <si>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</si>
  <si>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</si>
  <si>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</si>
  <si>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</si>
  <si>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</si>
  <si>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</si>
  <si>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</si>
  <si>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</si>
  <si>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</si>
  <si>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</si>
  <si>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</si>
  <si>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</si>
  <si>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</si>
  <si>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</si>
  <si>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</si>
  <si>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</si>
  <si>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</si>
  <si>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</si>
  <si>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</si>
  <si>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</si>
  <si>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</si>
  <si>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</si>
  <si>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</si>
  <si>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</si>
  <si>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</si>
  <si>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CODE</t>
  </si>
  <si>
    <t>Master.Inventory</t>
  </si>
  <si>
    <t>varchar(12)</t>
  </si>
  <si>
    <t>varchar(50)</t>
  </si>
  <si>
    <t>varchar(30)</t>
  </si>
  <si>
    <t>nvarchar(100)</t>
  </si>
  <si>
    <t>IS_ACTIVE</t>
  </si>
  <si>
    <t>DESCRIPTION</t>
  </si>
  <si>
    <t>DESCRIPTION_VN</t>
  </si>
  <si>
    <t>MstInvContainerStatus</t>
  </si>
  <si>
    <t>ContainerStatus</t>
  </si>
  <si>
    <t>master</t>
  </si>
  <si>
    <t>inventory</t>
  </si>
  <si>
    <t>containerstatus</t>
  </si>
  <si>
    <t>Container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</si>
</sst>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6" zoomScaleNormal="100" workbookViewId="0">
      <selection activeCell="D54" sqref="D54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74</v>
      </c>
    </row>
    <row r="2" spans="1:7" ht="15.5" x14ac:dyDescent="0.35">
      <c r="A2" s="1"/>
      <c r="B2" s="25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t="s">
        <v>76</v>
      </c>
    </row>
    <row r="5" spans="1:7" x14ac:dyDescent="0.35">
      <c r="A5" s="1"/>
      <c r="B5" t="s">
        <v>79</v>
      </c>
    </row>
    <row r="6" spans="1:7" x14ac:dyDescent="0.35">
      <c r="A6" s="1"/>
      <c r="B6" t="s">
        <v>87</v>
      </c>
    </row>
    <row r="7" spans="1:7" x14ac:dyDescent="0.3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C8" t="s">
        <v>89</v>
      </c>
      <c r="F8" s="1" t="s">
        <v>234</v>
      </c>
      <c r="G8" t="s">
        <v>234</v>
      </c>
    </row>
    <row r="9" spans="1:7" x14ac:dyDescent="0.35">
      <c r="A9" s="1"/>
      <c r="C9" t="s">
        <v>88</v>
      </c>
      <c r="F9" s="1" t="s">
        <v>98</v>
      </c>
      <c r="G9" t="s">
        <v>98</v>
      </c>
    </row>
    <row r="10" spans="1:7" x14ac:dyDescent="0.35">
      <c r="A10" s="1"/>
      <c r="D10" t="s">
        <v>89</v>
      </c>
      <c r="F10" s="1" t="s">
        <v>234</v>
      </c>
      <c r="G10" t="s">
        <v>286</v>
      </c>
    </row>
    <row r="11" spans="1:7" x14ac:dyDescent="0.35">
      <c r="A11" s="1"/>
      <c r="D11" t="s">
        <v>90</v>
      </c>
      <c r="F11" s="1" t="s">
        <v>99</v>
      </c>
      <c r="G11" t="s">
        <v>287</v>
      </c>
    </row>
    <row r="12" spans="1:7" x14ac:dyDescent="0.35">
      <c r="A12" s="1"/>
      <c r="D12" t="s">
        <v>91</v>
      </c>
      <c r="F12" s="1" t="s">
        <v>100</v>
      </c>
      <c r="G12" t="s">
        <v>288</v>
      </c>
    </row>
    <row r="13" spans="1:7" x14ac:dyDescent="0.35">
      <c r="A13" s="1"/>
      <c r="D13" t="s">
        <v>92</v>
      </c>
      <c r="F13" s="1" t="s">
        <v>101</v>
      </c>
      <c r="G13" t="s">
        <v>289</v>
      </c>
    </row>
    <row r="14" spans="1:7" x14ac:dyDescent="0.35">
      <c r="A14" s="1"/>
      <c r="D14" t="s">
        <v>93</v>
      </c>
      <c r="F14" s="1" t="s">
        <v>102</v>
      </c>
      <c r="G14" t="s">
        <v>290</v>
      </c>
    </row>
    <row r="15" spans="1:7" x14ac:dyDescent="0.35">
      <c r="A15" s="1"/>
      <c r="D15" t="s">
        <v>94</v>
      </c>
      <c r="F15" s="1" t="s">
        <v>103</v>
      </c>
      <c r="G15" t="s">
        <v>291</v>
      </c>
    </row>
    <row r="16" spans="1:7" ht="12" customHeight="1" x14ac:dyDescent="0.3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35">
      <c r="A17" s="1"/>
      <c r="D17" t="s">
        <v>306</v>
      </c>
      <c r="F17" s="1" t="s">
        <v>307</v>
      </c>
      <c r="G17" t="s">
        <v>308</v>
      </c>
    </row>
    <row r="18" spans="1:7" x14ac:dyDescent="0.35">
      <c r="A18" s="1"/>
      <c r="D18" t="s">
        <v>350</v>
      </c>
      <c r="F18" s="1" t="s">
        <v>352</v>
      </c>
      <c r="G18" t="s">
        <v>351</v>
      </c>
    </row>
    <row r="19" spans="1:7" x14ac:dyDescent="0.35">
      <c r="A19" s="1"/>
      <c r="C19" t="s">
        <v>91</v>
      </c>
      <c r="F19" s="1" t="s">
        <v>100</v>
      </c>
      <c r="G19" t="s">
        <v>100</v>
      </c>
    </row>
    <row r="20" spans="1:7" x14ac:dyDescent="0.35">
      <c r="A20" s="1"/>
      <c r="D20" t="s">
        <v>95</v>
      </c>
      <c r="F20" s="1" t="s">
        <v>114</v>
      </c>
      <c r="G20" t="s">
        <v>293</v>
      </c>
    </row>
    <row r="21" spans="1:7" x14ac:dyDescent="0.35">
      <c r="A21" s="1"/>
      <c r="D21" t="s">
        <v>96</v>
      </c>
      <c r="F21" s="1" t="s">
        <v>104</v>
      </c>
      <c r="G21" t="s">
        <v>294</v>
      </c>
    </row>
    <row r="22" spans="1:7" x14ac:dyDescent="0.35">
      <c r="A22" s="1"/>
      <c r="C22" t="s">
        <v>92</v>
      </c>
      <c r="F22" s="1" t="s">
        <v>101</v>
      </c>
      <c r="G22" t="s">
        <v>101</v>
      </c>
    </row>
    <row r="23" spans="1:7" x14ac:dyDescent="0.35">
      <c r="A23" s="1"/>
      <c r="D23" t="s">
        <v>95</v>
      </c>
      <c r="F23" s="1" t="s">
        <v>114</v>
      </c>
      <c r="G23" t="s">
        <v>303</v>
      </c>
    </row>
    <row r="24" spans="1:7" x14ac:dyDescent="0.35">
      <c r="A24" s="1"/>
      <c r="C24" t="s">
        <v>90</v>
      </c>
      <c r="F24" s="1" t="s">
        <v>99</v>
      </c>
      <c r="G24" t="s">
        <v>99</v>
      </c>
    </row>
    <row r="25" spans="1:7" x14ac:dyDescent="0.35">
      <c r="A25" s="1"/>
      <c r="D25" t="s">
        <v>95</v>
      </c>
      <c r="F25" s="1" t="s">
        <v>114</v>
      </c>
      <c r="G25" t="s">
        <v>302</v>
      </c>
    </row>
    <row r="26" spans="1:7" x14ac:dyDescent="0.35">
      <c r="A26" s="1"/>
      <c r="C26" t="s">
        <v>93</v>
      </c>
      <c r="F26" s="1" t="s">
        <v>102</v>
      </c>
      <c r="G26" t="s">
        <v>102</v>
      </c>
    </row>
    <row r="27" spans="1:7" x14ac:dyDescent="0.35">
      <c r="A27" s="1"/>
      <c r="C27" t="s">
        <v>271</v>
      </c>
      <c r="F27" s="1" t="s">
        <v>272</v>
      </c>
      <c r="G27" t="s">
        <v>272</v>
      </c>
    </row>
    <row r="28" spans="1:7" x14ac:dyDescent="0.35">
      <c r="A28" s="1"/>
      <c r="D28" t="s">
        <v>273</v>
      </c>
      <c r="F28" s="1" t="s">
        <v>275</v>
      </c>
      <c r="G28" t="s">
        <v>295</v>
      </c>
    </row>
    <row r="29" spans="1:7" x14ac:dyDescent="0.35">
      <c r="A29" s="1"/>
      <c r="D29" t="s">
        <v>276</v>
      </c>
      <c r="F29" s="1" t="s">
        <v>274</v>
      </c>
      <c r="G29" t="s">
        <v>296</v>
      </c>
    </row>
    <row r="30" spans="1:7" x14ac:dyDescent="0.35">
      <c r="A30" s="1"/>
      <c r="D30" t="s">
        <v>277</v>
      </c>
      <c r="F30" s="1" t="s">
        <v>280</v>
      </c>
      <c r="G30" t="s">
        <v>297</v>
      </c>
    </row>
    <row r="31" spans="1:7" x14ac:dyDescent="0.35">
      <c r="A31" s="1"/>
      <c r="D31" t="s">
        <v>278</v>
      </c>
      <c r="F31" s="1" t="s">
        <v>281</v>
      </c>
      <c r="G31" t="s">
        <v>298</v>
      </c>
    </row>
    <row r="32" spans="1:7" x14ac:dyDescent="0.35">
      <c r="A32" s="1"/>
      <c r="D32" t="s">
        <v>279</v>
      </c>
      <c r="F32" s="1" t="s">
        <v>282</v>
      </c>
      <c r="G32" t="s">
        <v>299</v>
      </c>
    </row>
    <row r="33" spans="1:8" x14ac:dyDescent="0.35">
      <c r="A33" s="1"/>
      <c r="D33" t="s">
        <v>284</v>
      </c>
      <c r="F33" s="1" t="s">
        <v>283</v>
      </c>
      <c r="G33" t="s">
        <v>300</v>
      </c>
    </row>
    <row r="34" spans="1:8" x14ac:dyDescent="0.35">
      <c r="A34" s="1"/>
      <c r="C34" t="s">
        <v>306</v>
      </c>
      <c r="F34" s="1" t="s">
        <v>307</v>
      </c>
      <c r="G34" t="s">
        <v>307</v>
      </c>
    </row>
    <row r="35" spans="1:8" x14ac:dyDescent="0.35">
      <c r="A35" s="1"/>
      <c r="D35" t="s">
        <v>309</v>
      </c>
      <c r="F35" s="1" t="s">
        <v>310</v>
      </c>
      <c r="G35" t="s">
        <v>311</v>
      </c>
    </row>
    <row r="36" spans="1:8" x14ac:dyDescent="0.35">
      <c r="A36" s="1"/>
      <c r="D36" t="s">
        <v>96</v>
      </c>
      <c r="F36" s="1" t="s">
        <v>104</v>
      </c>
      <c r="G36" t="s">
        <v>312</v>
      </c>
    </row>
    <row r="37" spans="1:8" x14ac:dyDescent="0.35">
      <c r="A37" s="1"/>
      <c r="D37" t="s">
        <v>313</v>
      </c>
      <c r="F37" s="1" t="s">
        <v>314</v>
      </c>
      <c r="G37" t="s">
        <v>315</v>
      </c>
    </row>
    <row r="38" spans="1:8" x14ac:dyDescent="0.35">
      <c r="A38" s="1"/>
      <c r="D38" t="s">
        <v>316</v>
      </c>
      <c r="F38" s="1" t="s">
        <v>317</v>
      </c>
      <c r="G38" t="s">
        <v>318</v>
      </c>
    </row>
    <row r="39" spans="1:8" x14ac:dyDescent="0.35">
      <c r="A39" s="1"/>
      <c r="D39" t="s">
        <v>320</v>
      </c>
      <c r="F39" s="1" t="s">
        <v>321</v>
      </c>
      <c r="G39" t="s">
        <v>322</v>
      </c>
    </row>
    <row r="40" spans="1:8" x14ac:dyDescent="0.35">
      <c r="A40" s="1"/>
      <c r="C40" t="s">
        <v>319</v>
      </c>
      <c r="F40" s="1" t="s">
        <v>301</v>
      </c>
      <c r="G40" t="s">
        <v>301</v>
      </c>
    </row>
    <row r="41" spans="1:8" x14ac:dyDescent="0.3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35">
      <c r="A42" s="1"/>
      <c r="C42" t="s">
        <v>324</v>
      </c>
      <c r="F42" s="1" t="s">
        <v>337</v>
      </c>
      <c r="G42" t="s">
        <v>337</v>
      </c>
    </row>
    <row r="43" spans="1:8" x14ac:dyDescent="0.35">
      <c r="A43" s="1"/>
      <c r="D43" t="s">
        <v>325</v>
      </c>
      <c r="F43" s="1" t="s">
        <v>331</v>
      </c>
      <c r="G43" t="s">
        <v>338</v>
      </c>
    </row>
    <row r="44" spans="1:8" x14ac:dyDescent="0.35">
      <c r="A44" s="1"/>
      <c r="D44" t="s">
        <v>327</v>
      </c>
      <c r="F44" s="1" t="s">
        <v>332</v>
      </c>
      <c r="G44" t="s">
        <v>339</v>
      </c>
    </row>
    <row r="45" spans="1:8" x14ac:dyDescent="0.35">
      <c r="A45" s="1"/>
      <c r="D45" t="s">
        <v>326</v>
      </c>
      <c r="F45" s="1" t="s">
        <v>333</v>
      </c>
      <c r="G45" t="s">
        <v>340</v>
      </c>
    </row>
    <row r="46" spans="1:8" x14ac:dyDescent="0.35">
      <c r="A46" s="1"/>
      <c r="D46" t="s">
        <v>329</v>
      </c>
      <c r="F46" s="1" t="s">
        <v>334</v>
      </c>
      <c r="G46" t="s">
        <v>341</v>
      </c>
    </row>
    <row r="47" spans="1:8" x14ac:dyDescent="0.35">
      <c r="A47" s="1"/>
      <c r="D47" t="s">
        <v>347</v>
      </c>
      <c r="F47" s="1" t="s">
        <v>348</v>
      </c>
      <c r="G47" t="s">
        <v>349</v>
      </c>
    </row>
    <row r="48" spans="1:8" x14ac:dyDescent="0.35">
      <c r="A48" s="1"/>
      <c r="D48" t="s">
        <v>330</v>
      </c>
      <c r="F48" s="1" t="s">
        <v>335</v>
      </c>
      <c r="G48" t="s">
        <v>342</v>
      </c>
    </row>
    <row r="49" spans="1:7" x14ac:dyDescent="0.35">
      <c r="A49" s="1"/>
      <c r="D49" t="s">
        <v>328</v>
      </c>
      <c r="F49" s="1" t="s">
        <v>336</v>
      </c>
      <c r="G49" t="s">
        <v>343</v>
      </c>
    </row>
    <row r="50" spans="1:7" x14ac:dyDescent="0.35">
      <c r="A50" s="1"/>
      <c r="D50" t="s">
        <v>344</v>
      </c>
      <c r="F50" s="1" t="s">
        <v>345</v>
      </c>
      <c r="G50" t="s">
        <v>346</v>
      </c>
    </row>
    <row r="51" spans="1:7" x14ac:dyDescent="0.35">
      <c r="A51" s="1"/>
    </row>
    <row r="52" spans="1:7" x14ac:dyDescent="0.35">
      <c r="A52" s="1"/>
      <c r="B52" t="s">
        <v>86</v>
      </c>
    </row>
    <row r="53" spans="1:7" x14ac:dyDescent="0.35">
      <c r="A53" s="1"/>
      <c r="B53" t="s">
        <v>83</v>
      </c>
    </row>
    <row r="54" spans="1:7" x14ac:dyDescent="0.35">
      <c r="A54" s="1"/>
      <c r="C54" s="17" t="s">
        <v>80</v>
      </c>
    </row>
    <row r="55" spans="1:7" x14ac:dyDescent="0.35">
      <c r="A55" s="1"/>
      <c r="C55" s="16" t="s">
        <v>81</v>
      </c>
    </row>
    <row r="56" spans="1:7" x14ac:dyDescent="0.35">
      <c r="A56" s="1"/>
      <c r="C56" s="16" t="s">
        <v>82</v>
      </c>
    </row>
    <row r="57" spans="1:7" x14ac:dyDescent="0.35">
      <c r="A57" s="1"/>
      <c r="B57" t="s">
        <v>106</v>
      </c>
      <c r="C57" s="16"/>
    </row>
    <row r="58" spans="1:7" x14ac:dyDescent="0.35">
      <c r="A58" s="1"/>
      <c r="C58" s="16" t="s">
        <v>107</v>
      </c>
    </row>
    <row r="59" spans="1:7" x14ac:dyDescent="0.35">
      <c r="A59" s="1"/>
      <c r="C59" s="16" t="s">
        <v>108</v>
      </c>
    </row>
    <row r="60" spans="1:7" x14ac:dyDescent="0.35">
      <c r="A60" s="1"/>
      <c r="C60" s="16" t="s">
        <v>109</v>
      </c>
    </row>
    <row r="61" spans="1:7" x14ac:dyDescent="0.35">
      <c r="A61" s="1"/>
      <c r="C61" s="16" t="s">
        <v>111</v>
      </c>
    </row>
    <row r="62" spans="1:7" x14ac:dyDescent="0.35">
      <c r="A62" s="1"/>
      <c r="C62" s="16" t="s">
        <v>113</v>
      </c>
    </row>
    <row r="63" spans="1:7" x14ac:dyDescent="0.35">
      <c r="A63" s="1"/>
      <c r="C63" s="16" t="s">
        <v>112</v>
      </c>
    </row>
    <row r="64" spans="1:7" x14ac:dyDescent="0.35">
      <c r="A64" s="1"/>
      <c r="C64" s="16" t="s">
        <v>110</v>
      </c>
    </row>
    <row r="65" spans="2:14" ht="21" customHeight="1" x14ac:dyDescent="0.35">
      <c r="B65" s="19" t="s">
        <v>78</v>
      </c>
    </row>
    <row r="66" spans="2:14" ht="21" customHeight="1" x14ac:dyDescent="0.35">
      <c r="B66" s="59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4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[Table("MstInvContainerStatus")]
	[Index(nameof(Code), Name="IX_MstInvContainerStatus_Code")]
	[Index(nameof(IsActive), Name="IX_MstInvContainerStatus_IsActive")]	public class MstInvContainerStatus: FullAuditedEntity&lt;long&gt;, IEntity&lt;long&gt;	
	{
		public const int MaxCodeLength = 12;
		public const int MaxDescriptionLength = 50;
		public const int MaxDescriptionVnLength = 30;
		public const int MaxIsActiveLength = 100;
		[StringLength(MaxCodeLength)]
		public virtual string Code { get; set; }
		[StringLength(MaxDescriptionLength)]
		public virtual string Description { get; set; }
		[StringLength(MaxDescriptionVnLength)]
		public virtual string DescriptionVn { get; set; }
		[StringLength(MaxIsActiveLength)]
		public virtual string IsActive { get; set; }
	}
}
</v>
      </c>
      <c r="D68" s="48" t="str">
        <f>A.Backend!O7</f>
        <v xml:space="preserve">		public const string Pages_Master_Inventory_ContainerStatus = "Pages.Master.Inventory.ContainerStatus";
		public const string Pages_Master_Inventory_ContainerStatus_CreateEdit = "Pages.Master.Inventory.ContainerStatus.CreateEdit";
		public const string Pages_Master_Inventory_ContainerStatus_Delete = "Pages.Master.Inventory.ContainerStatus.Delete";
</v>
      </c>
      <c r="E68" s="48" t="str">
        <f>A.Backend!N7</f>
        <v xml:space="preserve">		var perMstInvContainerStatus = PARENTS.CreateChildPermission(AppPermissions.Pages_Master_Inventory_ContainerStatus, L( "MasterInventoryContainerStatus"), multiTenancySides: MultiTenancySides.Tenant);
		perMstInvContainerStatus.CreateChildPermission(AppPermissions.Pages_Master_Inventory_ContainerStatus_CreateEdit, L( "MasterInventoryContainerStatusCreateEdit"), multiTenancySides: MultiTenancySides.Tenant);
		perMstInvContainerStatus.CreateChildPermission(AppPermissions.Pages_Master_Inventory_ContainerStatus_Delete, L( "MasterInventoryContainerStatusDelete"), multiTenancySides: MultiTenancySides.Tenant);</v>
      </c>
      <c r="F68" s="48" t="str">
        <f>A.Backend!K7</f>
        <v>public virtual DbSet&lt;MstInvContainerStatus&gt; MstInvContainerStatuss { get; set; }</v>
      </c>
      <c r="G68" s="48" t="str">
        <f ca="1">A.Backend!L7</f>
        <v xml:space="preserve">namespace prod.Master.Inventory
{
	public class MstInvContainerStatusConsts	
	{
		public const int MaxCodeLength = 12;
		public const int MaxDescriptionLength = 50;
		public const int MaxDescriptionVnLength = 30;
		public const int MaxIsActiveLength = 100;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prod.Master.Inventory.Dto
{
	public class MstInvContainerStatusDto : EntityDto&lt;long?&gt;	
	{
		public virtual string Code { get; set; }
		public virtual string Description { get; set; }
		public virtual string DescriptionVn { get; set; }
		public virtual string IsActive { get; set; }
	}
	public class CreateOrEditMstInvContainerStatusDto : EntityDto&lt;long?&gt;	
	{
		[StringLength(MstInvContainerStatusConsts.MaxCodeLength)]
		public virtual string Code { get; set; }
		[StringLength(MstInvContainerStatusConsts.MaxDescriptionLength)]
		public virtual string Description { get; set; }
		[StringLength(MstInvContainerStatusConsts.MaxDescriptionVnLength)]
		public virtual string DescriptionVn { get; set; }
		[StringLength(MstInvContainerStatusConsts.MaxIsActiveLength)]
		public virtual string IsActive { get; set; }
	}
	public class GetMstInvContainerStatusInput : PagedAndSortedResultRequestDto	
	{
		public virtual string Code { get; set; }
		public virtual string Description { get; set; }
		public virtual string DescriptionVn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prod.Master.Inventory.Dto
{
	public class MstInvContainerStatusExportInput{
		public virtual string Code { get; set; }
		public virtual string Description { get; set; }
		public virtual string DescriptionVn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IMstInvContainerStatusAppService : IApplicationService
	{
		Task&lt;PagedResultDto&lt;MstInvContainerStatusDto&gt;&gt; GetAll(GetMstInvContainerStatusInput input);
		Task CreateOrEdit(CreateOrEditMstInvContainerStatusDto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IMstInvContainerStatusExcelExporter : IApplicationService
	{
		FileDto ExportToFile(List&lt;MstInvContainerStatusDto&gt; mstinvcontainerstatus);
	}
}
</v>
      </c>
      <c r="L68" s="48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MstInvContainerStatusExcelExporter : NpoiExcelExporterBase, IMstInvContainerStatusExcelExporter
    {
        public MstInvContainerStatusExcelExporter(ITempFileCacheManager tempFileCacheManager) : base(tempFileCacheManager) { }
        public FileDto ExportToFile(List&lt;MstInvContainerStatusDto&gt; containerstatus)
        {
            return CreateExcelPackage(
				"MasterInventoryContainerStatus.xlsx",
				excelPackage =&gt;
				 {
					var sheet = excelPackage.CreateSheet("ContainerStatus");
					AddHeader(
								sheet,
								("Code"),
								("Description"),
								("DescriptionVn"),
								("IsActive"),
							   );
					AddObjects(
						 sheet, 1, containerstatus,                                       
								_ =&gt; _.Code,
								_ =&gt; _.Description,
								_ =&gt; _.DescriptionVn,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[AbpAuthorize(AppPermissions.Pages_Master_Inventory_ContainerStatus)]
    public class MstInvContainerStatusAppService : vovinaAppServiceBase, IMstInvContainerStatusAppService
    {
        private readonly IDapperRepository&lt;MstInvContainerStatus, long&gt; _dapperRepo;
        private readonly IRepository&lt;MstInvContainerStatus, long&gt; _repo;
        private readonly IMstInvContainerStatusExcelExporter _calendarListExcelExporter;
        public MstInvContainerStatusAppService(IRepository&lt;MstInvContainerStatus,long&gt; repo, 
                                         IDapperRepository&lt;MstInvContainerStatus,long&gt; dapperRepo,
                                        IMstInvContainerStatusExcelExporter calendarListExcelExporter
            )
        {
            _repo = repo;
            _dapperRepo = dapperRepo;
            _calendarListExcelExporter = calendarListExcelExporter;
        }
        [AbpAuthorize(AppPermissions.Pages_Master_Inventory_ContainerStatus_CreateEdit)]
        public async Task CreateOrEdit(CreateOrEditMstInvContainerStatusDto input)
        {
            if (input.Id == null) await Create(input);
            else await Update(input);
        }
        //CREATE
        private async Task Create(CreateOrEditMstInvContainerStatusDto input)
        {          
            var mainObj = ObjectMapper.Map&lt;MstInvContainerStatus&gt;(input);
            await CurrentUnitOfWork.GetDbContext&lt;vovinaDbContext&gt;().AddAsync(mainObj);
        }
        // EDIT
        private async Task Update(CreateOrEditMstInvContainerStatusDto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[AbpAuthorize(AppPermissions.Pages_Master_Inventory_ContainerStatus_Delete)]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Task&lt;PagedResultDto&lt;MstInvContainerStatusDto&gt;&gt; GetAll(GetMstInvContainerStatusInput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.WhereIf(!string.IsNullOrWhiteSpace(input.DescriptionVn), e =&gt; e.DescriptionVn.Contains(input.DescriptionVn))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MstInvContainerStatusDto
                        {
							Id = o.Id,
							Code = o.Code,
							Description = o.Description,
							DescriptionVn = o.DescriptionVn,
							IsActive = o.IsActive,
                        };
            var totalCount = await filtered.CountAsync();
			var paged = system.PageBy(input);
            return new PagedResultDto&lt;MstInvContainerStatusDto&gt;(
                totalCount,
                 await paged.ToListAsync()
            );
        }
        public async Task&lt;FileDto&gt; GetContainerStatusToExcel(MstInvContainerStatusExportInput input)
        {
            var query = from o in _repo.GetAll()
                        select new MstInvContainerStatusDto
                        {
							Id = o.Id,
							Code = o.Code,
							Description = o.Description,
							DescriptionVn = o.DescriptionVn,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_dapperRepo.ExecuteAsync(MstInvContainerStatusConsts.SP_MST_WPT_CALENDAR_GENERATE);
       // }
    }
}</v>
      </c>
      <c r="N68" s="58" t="str">
        <f>A.Backend!U7</f>
        <v xml:space="preserve">  configuration.CreateMap&lt;MstInvContainerStatusDto, MstInvContainerStatus&gt;();
  configuration.CreateMap&lt;MstInvContainerStatus, MstInvContainerStatusDto&gt;();
  configuration.CreateMap&lt;CreateOrEditMstInvContainerStatusDto, MstInvContainerStatus&gt;();</v>
      </c>
    </row>
    <row r="69" spans="2:14" s="15" customFormat="1" ht="21.75" customHeight="1" x14ac:dyDescent="0.35">
      <c r="C69" s="61"/>
      <c r="H69" s="62"/>
      <c r="I69" s="62"/>
      <c r="M69" s="62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73</v>
      </c>
    </row>
    <row r="73" spans="2:14" ht="21" x14ac:dyDescent="0.5">
      <c r="B73" t="str">
        <f>B.Frontend!B8</f>
        <v>containerstatus</v>
      </c>
      <c r="C73" s="66" t="str">
        <f>"create folder " &amp;B73</f>
        <v>create folder containerstatus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35">
      <c r="B74" s="56" t="s">
        <v>229</v>
      </c>
      <c r="C74" s="28" t="str">
        <f>B.Frontend!H14</f>
        <v>containerstatus.component.ts</v>
      </c>
      <c r="D74" s="28" t="str">
        <f>B.Frontend!I14</f>
        <v>containerstatus.component.html</v>
      </c>
      <c r="E74" s="28" t="str">
        <f>B.Frontend!J14</f>
        <v>containerstatus.component.less</v>
      </c>
      <c r="F74" s="28" t="str">
        <f>B.Frontend!K14</f>
        <v>create-or-edit-containerstatus-modal.component.html</v>
      </c>
      <c r="G74" s="28" t="str">
        <f>B.Frontend!L14</f>
        <v>create-or-edit-containerstatus-modal.component.ts</v>
      </c>
      <c r="H74" s="28" t="str">
        <f>B.Frontend!M14</f>
        <v>create-or-edit-containerstatus-modal.component.less</v>
      </c>
      <c r="I74" s="28" t="str">
        <f>B.Frontend!N14</f>
        <v>containerstatus.module.ts</v>
      </c>
      <c r="J74" s="28" t="str">
        <f>B.Frontend!O14</f>
        <v>containerstatus-routing.module.ts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3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MstInvContainerStatusDto, MstInvContainerStatusServiceProxy } from '@shared/service-proxies/service-proxies';
import { finalize } from 'rxjs/internal/operators/finalize';
import { CreateOrEditContainerStatusModalComponent } from './create-or-edit-containerstatus-modal.component';
import { DatePipe } from '@angular/common';
import { FileDownloadService } from '@shared/utils/file-download.service';
import ceil from 'lodash-es/ceil';
import { Paginator } from 'primeng/paginator';
@Component({
    templateUrl: './containerstatus.component.html',
    styleUrls: ['./containerstatus.component.less'],
})
export class ContainerStatusComponent extends AppComponentBase implements OnInit {
    @ViewChild('createOrEditModalContainerStatus', { static: true }) createOrEditModalContainerStatus:| CreateOrEditContainerStatusModalComponent|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MstInvContainerStatusDto = new MstInvContainerStatusDto();
    saveSelectedRow: MstInvContainerStatusDto = new MstInvContainerStatusDto();
    datas: MstInvContainerStatusDto = new MstInvContainerStatusDto();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descriptionVn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MstInvContainerStatusServiceProxy,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this.l('Description Vn'),headerTooltip: this.l('Description Vn'),field: 'descriptionVn',flex: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this.descriptionVn,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this.descriptionVn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this.descriptionVn,
			this.isActive,
			'',
            this.paginationParams.skipCount,
            this.paginationParams.pageSize
        );
    }
    onChangeRowSelection(params: { api: { getSelectedRows: () =&gt; MstInvContainerStatusDto[] } }) {
        this.saveSelectedRow = params.api.getSelectedRows()[0] ?? new MstInvContainerStatusDto();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MstInvContainerStatusDto):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this._service.getContainerStatusToExcel(
			this.code,
			this.description,
			this.descriptionVn,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[(ngModel)]='descriptionVn' name='descriptionVn'
									class='form-control' [placeholder]="l('Description Vn')"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&lt;create-or-edit-containerstatus-modal
    #createOrEditModalContainerStatus
    (modalSave)="callBackDataGrid(dataParams)"
    (modalClose)="onChangeRowSelection(dataParams)"
&gt;
&lt;/create-or-edit-containerstatus-modal&gt;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#createOrEditModalContainerStatus="bs-modal"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ContainerStatus')}}&lt;/h3&gt;
                    &lt;h3 *ngIf="!rowdata.id"&gt;{{('Create New ContainerStatus')}}&lt;/h3&gt;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title'&gt;Description Vn&lt;/label&gt;
						&lt;input type='text' class='col-md-10 form-control input-text' name='DescriptionVn' [(ngModel)]='rowdata.descriptionVn'&gt;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CreateOrEditMstInvContainerStatusDto, MstInvContainerStatusServiceProxy } from '@shared/service-proxies/service-proxies';
import { BsDatepickerDirective } from 'ngx-bootstrap/datepicker';
@Component({
    selector: 'create-or-edit-containerstatus-modal',
    templateUrl: './create-or-edit-containerstatus-modal.component.html',
    styleUrls: ['./create-or-edit-containerstatus-modal.component.less']
    })
export class CreateOrEditContainerStatusModalComponent extends AppComponentBase {
    @ViewChild('createOrEditModalContainerStatus',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CreateOrEditMstInvContainerStatusDto = new CreateOrEditMstInvContainerStatusDto();
    active: boolean = false;
    saving: boolean = false;
    _: boolean;
    constructor(
        injector: Injector,
        private _mstwptContainerStatusService: MstInvContainerStatusServiceProxy,
    ) 
    {
        super(injector);
    }
    show(rowdata?: CreateOrEditMstInvContainerStatusDto): void {
        if (!rowdata) this.rowdata = new CreateOrEditMstInvContainerStatusDto();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this._mstwptContainerStatusService.createOrEdit(this.rowdata)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ContainerStatusRoutingModule } from './containerstatus-routing.module';
import { ContainerStatusComponent } from './containerstatus.component';
import { CreateOrEditContainerStatusModalComponent } from './create-or-edit-containerstatus-modal.component';
@NgModule({
    declarations: [
       ContainerStatusComponent, 
        CreateOrEditContainerStatusModalComponent
    ],
    imports: [
        AppSharedModule, ContainerStatusRoutingModule]
})
export class ContainerStatusModule {}</v>
      </c>
      <c r="J75" s="46" t="str">
        <f>B.Frontend!O10</f>
        <v>import {NgModule} from '@angular/core';
import {RouterModule, Routes} from '@angular/router';
import { ContainerStatusComponent } from './containerstatus.component';
const routes: Routes = [{
    path: '',
    component: ContainerStatusComponent,
    pathMatch: 'full'
}];
@NgModule({
    imports: [RouterModule.forChild(routes)],
    exports: [RouterModule],
})
export class ContainerStatusRoutingModule {}</v>
      </c>
      <c r="K75" s="46" t="str">
        <f>B.Frontend!P10</f>
        <v xml:space="preserve"> new AppMenuItem("ContainerStatus", "Pages.Master.Inventory.ContainerStatus", "flaticon-book",   "/app/main/master/inventory/containerstatus"),</v>
      </c>
      <c r="L75" s="47" t="str">
        <f>B.Frontend!Q10</f>
        <v>{
    path: 'master/inventory/containerstatus',
    loadChildren: () =&gt; import('./master/inventory/containerstatus/containerstatus.module').then(m =&gt; m.ContainerStatusModule),
    data: { permission: 'Pages.Master.Inventory.ContainerStatus' }
},</v>
      </c>
      <c r="M75" s="45" t="str">
        <f>B.Frontend!R10</f>
        <v>ApiServiceProxies.MstInvContainerStatusServiceProxy,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F1" activePane="topRight" state="frozen"/>
      <selection pane="topRight" activeCell="J11" sqref="J11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35">
      <c r="A2" s="1" t="s">
        <v>12</v>
      </c>
      <c r="B2" s="27" t="s">
        <v>354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35">
      <c r="A3" s="1" t="s">
        <v>5</v>
      </c>
      <c r="B3" s="27" t="s">
        <v>362</v>
      </c>
      <c r="C3" s="9" t="s">
        <v>43</v>
      </c>
      <c r="D3" s="9" t="s">
        <v>44</v>
      </c>
      <c r="E3" s="9" t="s">
        <v>39</v>
      </c>
      <c r="F3" s="10" t="str">
        <f>"J"&amp;COUNTA($A:$A)</f>
        <v>J12</v>
      </c>
      <c r="G3" s="4" t="s">
        <v>57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56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Inventory</v>
      </c>
      <c r="R3" s="29" t="str">
        <f>REPT(CHAR(9),1)&amp;"public class "&amp;B3&amp;"ExportInput"&amp;C3</f>
        <v xml:space="preserve">	public class MstInvContainerStatusExportInput{
</v>
      </c>
      <c r="S3" s="10" t="str">
        <f>"namespace "&amp;$B$6&amp;".Exporting
"&amp;$C$3</f>
        <v xml:space="preserve">namespace prod.Master.Inventory.Exporting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3" s="10" customFormat="1" ht="33" customHeight="1" x14ac:dyDescent="0.3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238</v>
      </c>
      <c r="B5" s="60" t="s">
        <v>363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prod.Master.Inventory</v>
      </c>
      <c r="C6" s="10" t="str">
        <f>"namespace "&amp;$B$6&amp;"
"&amp;$C$3</f>
        <v xml:space="preserve">namespace prod.Master.Inventory
{
</v>
      </c>
      <c r="D6" s="10" t="str">
        <f>REPT(CHAR(9),1)&amp;"public class "&amp;B3&amp;G3&amp;REPT(CHAR(9),1)&amp;"
"&amp;REPT(CHAR(9),1)&amp;C3</f>
        <v xml:space="preserve">	public class MstInvContainerStatus: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MstInvContainerStatusConsts	
	{
</v>
      </c>
      <c r="F6" s="10" t="str">
        <f>REPT(CHAR(9),1)&amp;"public class "&amp;B3&amp;"Dto"&amp;K3&amp;REPT(CHAR(9),1)&amp;"
"&amp;REPT(CHAR(9),1)&amp;C3</f>
        <v xml:space="preserve">	public class MstInvContainerStatusDto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CreateOrEditMstInvContainerStatusDto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GetMstInvContainerStatusInput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5" customHeight="1" x14ac:dyDescent="0.35">
      <c r="A7" s="1" t="s">
        <v>13</v>
      </c>
      <c r="B7" s="9" t="str">
        <f>B3</f>
        <v>MstInvContainerStatus</v>
      </c>
      <c r="C7" s="10" t="str">
        <f>REPT(CHAR(9),1)&amp;"[Table("""&amp;B7&amp;""")]"&amp;"
"</f>
        <v xml:space="preserve">	[Table("MstInvContainerStatus")]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[Table("MstInvContainerStatus")]
	[Index(nameof(Code), Name="IX_MstInvContainerStatus_Code")]
	[Index(nameof(IsActive), Name="IX_MstInvContainerStatus_IsActive")]	public class MstInvContainerStatus: FullAuditedEntity&lt;long&gt;, IEntity&lt;long&gt;	
	{
		public const int MaxCodeLength = 12;
		public const int MaxDescriptionLength = 50;
		public const int MaxDescriptionVnLength = 30;
		public const int MaxIsActiveLength = 100;
		[StringLength(MaxCodeLength)]
		public virtual string Code { get; set; }
		[StringLength(MaxDescriptionLength)]
		public virtual string Description { get; set; }
		[StringLength(MaxDescriptionVnLength)]
		public virtual string DescriptionVn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DbSet&lt;MstInvContainerStatus&gt; MstInvContainerStatuss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MstInvContainerStatusConsts	
	{
		public const int MaxCodeLength = 12;
		public const int MaxDescriptionLength = 50;
		public const int MaxDescriptionVnLength = 30;
		public const int MaxIsActiveLength = 100;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prod.Master.Inventory.Dto
{
	public class MstInvContainerStatusDto : EntityDto&lt;long?&gt;	
	{
		public virtual string Code { get; set; }
		public virtual string Description { get; set; }
		public virtual string DescriptionVn { get; set; }
		public virtual string IsActive { get; set; }
	}
	public class CreateOrEditMstInvContainerStatusDto : EntityDto&lt;long?&gt;	
	{
		[StringLength(MstInvContainerStatusConsts.MaxCodeLength)]
		public virtual string Code { get; set; }
		[StringLength(MstInvContainerStatusConsts.MaxDescriptionLength)]
		public virtual string Description { get; set; }
		[StringLength(MstInvContainerStatusConsts.MaxDescriptionVnLength)]
		public virtual string DescriptionVn { get; set; }
		[StringLength(MstInvContainerStatusConsts.MaxIsActiveLength)]
		public virtual string IsActive { get; set; }
	}
	public class GetMstInvContainerStatusInput : PagedAndSortedResultRequestDto	
	{
		public virtual string Code { get; set; }
		public virtual string Description { get; set; }
		public virtual string DescriptionVn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perMstInvContainerStatus = PARENTS.CreateChildPermission(AppPermissions.Pages_Master_Inventory_ContainerStatus, L( "MasterInventoryContainerStatus"), multiTenancySides: MultiTenancySides.Tenant);
		perMstInvContainerStatus.CreateChildPermission(AppPermissions.Pages_Master_Inventory_ContainerStatus_CreateEdit, L( "MasterInventoryContainerStatusCreateEdit"), multiTenancySides: MultiTenancySides.Tenant);
		perMstInvContainerStatus.CreateChildPermission(AppPermissions.Pages_Master_Inventory_ContainerStatus_Delete, L( "MasterInventoryContainerStatusDelete"),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Pages_Master_Inventory_ContainerStatus = "Pages.Master.Inventory.ContainerStatus";
		public const string Pages_Master_Inventory_ContainerStatus_CreateEdit = "Pages.Master.Inventory.ContainerStatus.CreateEdit";
		public const string Pages_Master_Inventory_ContainerStatus_Delete = "Pages.Master.Inventory.ContainerStatus.Delete";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IMstInvContainerStatusAppService : IApplicationService
	{
		Task&lt;PagedResultDto&lt;MstInvContainerStatusDto&gt;&gt; GetAll(GetMstInvContainerStatusInput input);
		Task CreateOrEdit(CreateOrEditMstInvContainerStatusDto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[AbpAuthorize(AppPermissions.Pages_Master_Inventory_ContainerStatus)]
    public class MstInvContainerStatusAppService : vovinaAppServiceBase, IMstInvContainerStatusAppService
    {
        private readonly IDapperRepository&lt;MstInvContainerStatus, long&gt; _dapperRepo;
        private readonly IRepository&lt;MstInvContainerStatus, long&gt; _repo;
        private readonly IMstInvContainerStatusExcelExporter _calendarListExcelExporter;
        public MstInvContainerStatusAppService(IRepository&lt;MstInvContainerStatus,long&gt; repo, 
                                         IDapperRepository&lt;MstInvContainerStatus,long&gt; dapperRepo,
                                        IMstInvContainerStatusExcelExporter calendarListExcelExporter
            )
        {
            _repo = repo;
            _dapperRepo = dapperRepo;
            _calendarListExcelExporter = calendarListExcelExporter;
        }
        [AbpAuthorize(AppPermissions.Pages_Master_Inventory_ContainerStatus_CreateEdit)]
        public async Task CreateOrEdit(CreateOrEditMstInvContainerStatusDto input)
        {
            if (input.Id == null) await Create(input);
            else await Update(input);
        }
        //CREATE
        private async Task Create(CreateOrEditMstInvContainerStatusDto input)
        {          
            var mainObj = ObjectMapper.Map&lt;MstInvContainerStatus&gt;(input);
            await CurrentUnitOfWork.GetDbContext&lt;vovinaDbContext&gt;().AddAsync(mainObj);
        }
        // EDIT
        private async Task Update(CreateOrEditMstInvContainerStatusDto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[AbpAuthorize(AppPermissions.Pages_Master_Inventory_ContainerStatus_Delete)]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Task&lt;PagedResultDto&lt;MstInvContainerStatusDto&gt;&gt; GetAll(GetMstInvContainerStatusInput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.WhereIf(!string.IsNullOrWhiteSpace(input.DescriptionVn), e =&gt; e.DescriptionVn.Contains(input.DescriptionVn))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MstInvContainerStatusDto
                        {
							Id = o.Id,
							Code = o.Code,
							Description = o.Description,
							DescriptionVn = o.DescriptionVn,
							IsActive = o.IsActive,
                        };
            var totalCount = await filtered.CountAsync();
			var paged = system.PageBy(input);
            return new PagedResultDto&lt;MstInvContainerStatusDto&gt;(
                totalCount,
                 await paged.ToListAsync()
            );
        }
        public async Task&lt;FileDto&gt; GetContainerStatusToExcel(MstInvContainerStatusExportInput input)
        {
            var query = from o in _repo.GetAll()
                        select new MstInvContainerStatusDto
                        {
							Id = o.Id,
							Code = o.Code,
							Description = o.Description,
							DescriptionVn = o.DescriptionVn,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_dapperRepo.ExecuteAsync(MstInvContainerStatusConsts.SP_MST_WPT_CALENDAR_GENERATE);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prod.Master.Inventory.Dto
{
	public class MstInvContainerStatusExportInput{
		public virtual string Code { get; set; }
		public virtual string Description { get; set; }
		public virtual string DescriptionVn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IMstInvContainerStatusExcelExporter : IApplicationService
	{
		FileDto ExportToFile(List&lt;MstInvContainerStatusDto&gt; mstinvcontainerstatus);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MstInvContainerStatusExcelExporter : NpoiExcelExporterBase, IMstInvContainerStatusExcelExporter
    {
        public MstInvContainerStatusExcelExporter(ITempFileCacheManager tempFileCacheManager) : base(tempFileCacheManager) { }
        public FileDto ExportToFile(List&lt;MstInvContainerStatusDto&gt; containerstatus)
        {
            return CreateExcelPackage(
				"MasterInventoryContainerStatus.xlsx",
				excelPackage =&gt;
				 {
					var sheet = excelPackage.CreateSheet("ContainerStatus");
					AddHeader(
								sheet,
								("Code"),
								("Description"),
								("DescriptionVn"),
								("IsActive"),
							   );
					AddObjects(
						 sheet, 1, containerstatus,                                       
								_ =&gt; _.Code,
								_ =&gt; _.Description,
								_ =&gt; _.DescriptionVn,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configuration.CreateMap&lt;MstInvContainerStatusDto, MstInvContainerStatus&gt;();
  configuration.CreateMap&lt;MstInvContainerStatus, MstInvContainerStatusDto&gt;();
  configuration.CreateMap&lt;CreateOrEditMstInvContainerStatusDto, MstInvContainerStatus&gt;();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35">
      <c r="A9" t="s">
        <v>353</v>
      </c>
      <c r="B9" t="s">
        <v>355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Name="IX_MstInvContainerStatus_Code")]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[StringLength(MstInvContainerStatusConsts.MaxCodeLength)]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t="s">
        <v>360</v>
      </c>
      <c r="B10" t="s">
        <v>356</v>
      </c>
      <c r="C10" t="s">
        <v>1</v>
      </c>
      <c r="D10" t="str">
        <f t="shared" ref="D10:D11" si="13">SUBSTITUTE(PROPER(A10),"_","")</f>
        <v>Description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MaxDescriptionLength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[StringLength(MaxDescriptionLength)]
		public virtual string Description { get; set; }
</v>
      </c>
      <c r="K10" s="6"/>
      <c r="L10" t="str">
        <f>IF(K10="","",REPT(CHAR(9),1)&amp;"[Index(nameof("&amp;IF(D10="","",""&amp;D10)&amp;")"&amp;", Name="&amp;"""IX_"&amp;$B$7&amp;"_"&amp;D10&amp;""")]")</f>
        <v/>
      </c>
      <c r="M10" t="str">
        <f t="shared" ref="M10:M11" si="18">REPT(CHAR(9),2)&amp;"public virtual "&amp;IF(OR(H10="DateTime",H10="TimeSpan"),H10&amp;"?",H10)&amp;IF(C10="?","? "," ")&amp;D10&amp;" { get; set; }" &amp; "
"</f>
        <v xml:space="preserve">		public virtual string Description { get; set; }
</v>
      </c>
      <c r="N10" t="str">
        <f t="shared" ref="N10:N11" si="19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[StringLength(MstInvContainerStatusConsts.MaxDescriptionLength)]
		public virtual string Description { get; set; }
</v>
      </c>
      <c r="O10" t="str">
        <f t="shared" ref="O10:O11" si="20">IF(OR(H10="string",H10="DateTime",H10="int"),REPT(CHAR(9),2)&amp;"public virtual "&amp;IF(OR(H10="DateTime",H10="TimeSpan"),H10&amp;"?",H10)&amp;IF(C10="?","? "," ")&amp;D10&amp;" { get; set; }"&amp;$E$3,"")</f>
        <v xml:space="preserve">		public virtual string Description { get; set; }
</v>
      </c>
      <c r="P10" t="str">
        <f t="shared" ref="P10:P11" si="21">REPT(CHAR(9),7)&amp;D10&amp;" = o." &amp;D10 &amp;","</f>
        <v xml:space="preserve">							Description = o.Description,</v>
      </c>
      <c r="T10" s="64" t="str">
        <f t="shared" ref="T10:T11" si="22">REPT(CHAR(9),8)&amp;"("""&amp;D10&amp;"""),"</f>
        <v xml:space="preserve">								("Description"),</v>
      </c>
      <c r="V10" s="65" t="str">
        <f t="shared" ref="V10:V11" si="23">REPT(CHAR(9),8)&amp;"_ =&gt; _."&amp;D10&amp;","</f>
        <v xml:space="preserve">								_ =&gt; _.Description,</v>
      </c>
      <c r="W10" s="64" t="str">
        <f t="shared" ref="W10:W11" si="24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1" spans="1:23" customFormat="1" ht="18.75" customHeight="1" x14ac:dyDescent="0.35">
      <c r="A11" t="s">
        <v>361</v>
      </c>
      <c r="B11" t="s">
        <v>357</v>
      </c>
      <c r="C11" t="s">
        <v>1</v>
      </c>
      <c r="D11" t="str">
        <f t="shared" si="13"/>
        <v>DescriptionVn</v>
      </c>
      <c r="E11" t="str">
        <f t="shared" si="14"/>
        <v>varchar</v>
      </c>
      <c r="F11" s="6"/>
      <c r="G11" t="str">
        <f t="shared" si="15"/>
        <v>30</v>
      </c>
      <c r="H11" t="str">
        <f>+VLOOKUP(E11,'Data Type Mapping'!A:B,2,)</f>
        <v>string</v>
      </c>
      <c r="I11" t="str">
        <f t="shared" si="16"/>
        <v xml:space="preserve">		public const int MaxDescriptionVnLength = 30;
</v>
      </c>
      <c r="J11" t="str">
        <f t="shared" si="17"/>
        <v xml:space="preserve">		[StringLength(MaxDescriptionVnLength)]
		public virtual string DescriptionVn { get; set; }
</v>
      </c>
      <c r="K11" s="6"/>
      <c r="L11" t="str">
        <f t="shared" ref="L11" si="25">IF(K11="","",REPT(CHAR(9),1)&amp;"[Index(nameof("&amp;IF(D11="","",""&amp;D11)&amp;")"&amp;", Name="&amp;"""IX_"&amp;$B$7&amp;"_"&amp;D11&amp;""")]")</f>
        <v/>
      </c>
      <c r="M11" t="str">
        <f t="shared" si="18"/>
        <v xml:space="preserve">		public virtual string DescriptionVn { get; set; }
</v>
      </c>
      <c r="N11" t="str">
        <f t="shared" si="19"/>
        <v xml:space="preserve">		[StringLength(MstInvContainerStatusConsts.MaxDescriptionVnLength)]
		public virtual string DescriptionVn { get; set; }
</v>
      </c>
      <c r="O11" t="str">
        <f t="shared" si="20"/>
        <v xml:space="preserve">		public virtual string DescriptionVn { get; set; }
</v>
      </c>
      <c r="P11" t="str">
        <f t="shared" si="21"/>
        <v xml:space="preserve">							DescriptionVn = o.DescriptionVn,</v>
      </c>
      <c r="T11" s="64" t="str">
        <f t="shared" si="22"/>
        <v xml:space="preserve">								("DescriptionVn"),</v>
      </c>
      <c r="V11" s="65" t="str">
        <f t="shared" si="23"/>
        <v xml:space="preserve">								_ =&gt; _.DescriptionVn,</v>
      </c>
      <c r="W11" s="64" t="str">
        <f t="shared" si="24"/>
        <v xml:space="preserve">				.WhereIf(!string.IsNullOrWhiteSpace(input.DescriptionVn), e =&gt; e.DescriptionVn.Contains(input.DescriptionVn))</v>
      </c>
    </row>
    <row r="12" spans="1:23" customFormat="1" ht="18.75" customHeight="1" x14ac:dyDescent="0.35">
      <c r="A12" t="s">
        <v>359</v>
      </c>
      <c r="B12" t="s">
        <v>358</v>
      </c>
      <c r="C12" t="s">
        <v>1</v>
      </c>
      <c r="D12" t="str">
        <f t="shared" ref="D12" si="26">SUBSTITUTE(PROPER(A12),"_","")</f>
        <v>IsActive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MaxIsActiveLength = 100;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[StringLength(MaxIsActiveLength)]
		public virtual string IsActive { get; set; }
</v>
      </c>
      <c r="K12" s="6" t="s">
        <v>206</v>
      </c>
      <c r="L12" t="str">
        <f>IF(K12="","",REPT(CHAR(9),1)&amp;"[Index(nameof("&amp;IF(D12="","",""&amp;D12)&amp;")"&amp;", Name="&amp;"""IX_"&amp;$B$7&amp;"_"&amp;D12&amp;""")]")</f>
        <v xml:space="preserve">	[Index(nameof(IsActive), Name="IX_MstInvContainerStatus_IsActive")]</v>
      </c>
      <c r="M12" t="str">
        <f t="shared" ref="M12" si="31">REPT(CHAR(9),2)&amp;"public virtual "&amp;IF(OR(H12="DateTime",H12="TimeSpan"),H12&amp;"?",H12)&amp;IF(C12="?","? "," ")&amp;D12&amp;" { get; set; }" &amp; "
"</f>
        <v xml:space="preserve">		public virtual string IsActive { get; set; }
</v>
      </c>
      <c r="N12" t="str">
        <f t="shared" ref="N12" si="3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[StringLength(MstInvContainerStatusConsts.MaxIsActiveLength)]
		public virtual string IsActive { get; set; }
</v>
      </c>
      <c r="O12" t="str">
        <f t="shared" ref="O12" si="33">IF(OR(H12="string",H12="DateTime",H12="int"),REPT(CHAR(9),2)&amp;"public virtual "&amp;IF(OR(H12="DateTime",H12="TimeSpan"),H12&amp;"?",H12)&amp;IF(C12="?","? "," ")&amp;D12&amp;" { get; set; }"&amp;$E$3,"")</f>
        <v xml:space="preserve">		public virtual string IsActive { get; set; }
</v>
      </c>
      <c r="P12" t="str">
        <f t="shared" ref="P12" si="34">REPT(CHAR(9),7)&amp;D12&amp;" = o." &amp;D12 &amp;","</f>
        <v xml:space="preserve">							IsActive = o.IsActive,</v>
      </c>
      <c r="T12" s="64" t="str">
        <f t="shared" ref="T12" si="35">REPT(CHAR(9),8)&amp;"("""&amp;D12&amp;"""),"</f>
        <v xml:space="preserve">								("IsActive"),</v>
      </c>
      <c r="V12" s="65" t="str">
        <f t="shared" ref="V12" si="36">REPT(CHAR(9),8)&amp;"_ =&gt; _."&amp;D12&amp;","</f>
        <v xml:space="preserve">								_ =&gt; _.IsActive,</v>
      </c>
      <c r="W12" s="64" t="str">
        <f t="shared" ref="W12" si="3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.WhereIf(!string.IsNullOrWhiteSpace(input.IsActive), e =&gt; e.IsActive.Contains(input.IsActive))</v>
      </c>
    </row>
    <row r="13" spans="1:23" ht="45.75" customHeight="1" x14ac:dyDescent="0.35">
      <c r="H13" s="11"/>
      <c r="I13" s="31" t="str">
        <f ca="1">TEXTJOIN2("
", TRUE,INDIRECT( $H$1):INDIRECT( $H$3))</f>
        <v xml:space="preserve">		public const int MaxCodeLength = 12;
		public const int MaxDescriptionLength = 50;
		public const int MaxDescriptionVnLength = 30;
		public const int MaxIsActiveLength = 100;
</v>
      </c>
      <c r="J13" s="30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		[StringLength(MaxDescriptionVnLength)]
		public virtual string DescriptionVn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Name="IX_MstInvContainerStatus_Code")]
	[Index(nameof(IsActive), Name="IX_MstInvContainerStatus_IsActive")]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Description { get; set; }
		public virtual string DescriptionVn { get; set; }
		public virtual string IsActive { get; set; }
</v>
      </c>
      <c r="N13" s="30" t="str">
        <f ca="1">TEXTJOIN2("
",TRUE,INDIRECT( $M$1):INDIRECT($M$3))</f>
        <v xml:space="preserve">		[StringLength(MstInvContainerStatusConsts.MaxCodeLength)]
		public virtual string Code { get; set; }
		[StringLength(MstInvContainerStatusConsts.MaxDescriptionLength)]
		public virtual string Description { get; set; }
		[StringLength(MstInvContainerStatusConsts.MaxDescriptionVnLength)]
		public virtual string DescriptionVn { get; set; }
		[StringLength(MstInvContainerStatusConsts.MaxIsActiveLength)]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Description { get; set; }
		public virtual string DescriptionVn { get; set; }
		public virtual string IsActive { get; set; }
</v>
      </c>
      <c r="P13" s="8" t="str">
        <f ca="1">TEXTJOIN2("
",TRUE,INDIRECT( $O$1):INDIRECT($O$3))</f>
        <v xml:space="preserve">							Code = o.Code,
							Description = o.Description,
							DescriptionVn = o.DescriptionVn,
							IsActive = o.IsActive,</v>
      </c>
      <c r="T13" s="8" t="str">
        <f ca="1">TEXTJOIN2("
",TRUE,INDIRECT( $T$2):INDIRECT($T$3))</f>
        <v xml:space="preserve">								("Code"),
								("Description"),
								("DescriptionVn"),
								("IsActive"),</v>
      </c>
      <c r="V13" s="8" t="str">
        <f ca="1">TEXTJOIN2("
",TRUE,INDIRECT( $V$2):INDIRECT($V$3))</f>
        <v xml:space="preserve">								_ =&gt; _.Code,
								_ =&gt; _.Description,
								_ =&gt; _.DescriptionVn,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
				.WhereIf(!string.IsNullOrWhiteSpace(input.DescriptionVn), e =&gt; e.DescriptionVn.Contains(input.DescriptionVn))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E12" sqref="E12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38" t="s">
        <v>212</v>
      </c>
      <c r="B1" s="39" t="s">
        <v>367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237</v>
      </c>
      <c r="B2" s="39" t="s">
        <v>88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237</v>
      </c>
      <c r="B3" s="39" t="s">
        <v>364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214</v>
      </c>
      <c r="B4" s="40" t="s">
        <v>324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214</v>
      </c>
      <c r="B5" s="40" t="s">
        <v>365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224</v>
      </c>
      <c r="B6" s="41" t="s">
        <v>362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215</v>
      </c>
      <c r="B7" s="40" t="s">
        <v>363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213</v>
      </c>
      <c r="B8" s="40" t="s">
        <v>366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3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MstInvContainerStatusDto, MstInvContainerStatusServiceProxy } from '@shared/service-proxies/service-proxies';
import { finalize } from 'rxjs/internal/operators/finalize';
import { CreateOrEditContainerStatusModalComponent } from './create-or-edit-containerstatus-modal.component';
import { DatePipe } from '@angular/common';
import { FileDownloadService } from '@shared/utils/file-download.service';
import ceil from 'lodash-es/ceil';
import { Paginator } from 'primeng/paginator';
@Component({
    templateUrl: './containerstatus.component.html',
    styleUrls: ['./containerstatus.component.less'],
})
export class ContainerStatusComponent extends AppComponentBase implements OnInit {
    @ViewChild('createOrEditModalContainerStatus', { static: true }) createOrEditModalContainerStatus:| CreateOrEditContainerStatusModalComponent|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MstInvContainerStatusDto = new MstInvContainerStatusDto();
    saveSelectedRow: MstInvContainerStatusDto = new MstInvContainerStatusDto();
    datas: MstInvContainerStatusDto = new MstInvContainerStatusDto();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descriptionVn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MstInvContainerStatusServiceProxy,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this.l('Description Vn'),headerTooltip: this.l('Description Vn'),field: 'descriptionVn',flex: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this.descriptionVn,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this.descriptionVn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this.descriptionVn,
			this.isActive,
			'',
            this.paginationParams.skipCount,
            this.paginationParams.pageSize
        );
    }
    onChangeRowSelection(params: { api: { getSelectedRows: () =&gt; MstInvContainerStatusDto[] } }) {
        this.saveSelectedRow = params.api.getSelectedRows()[0] ?? new MstInvContainerStatusDto();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MstInvContainerStatusDto):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this._service.getContainerStatusToExcel(
			this.code,
			this.description,
			this.descriptionVn,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[(ngModel)]='descriptionVn' name='descriptionVn'
									class='form-control' [placeholder]="l('Description Vn')"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&lt;create-or-edit-containerstatus-modal
    #createOrEditModalContainerStatus
    (modalSave)="callBackDataGrid(dataParams)"
    (modalClose)="onChangeRowSelection(dataParams)"
&gt;
&lt;/create-or-edit-containerstatus-modal&gt;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#createOrEditModalContainerStatus="bs-modal"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ContainerStatus')}}&lt;/h3&gt;
                    &lt;h3 *ngIf="!rowdata.id"&gt;{{('Create New ContainerStatus')}}&lt;/h3&gt;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title'&gt;Description Vn&lt;/label&gt;
						&lt;input type='text' class='col-md-10 form-control input-text' name='DescriptionVn' [(ngModel)]='rowdata.descriptionVn'&gt;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CreateOrEditMstInvContainerStatusDto, MstInvContainerStatusServiceProxy } from '@shared/service-proxies/service-proxies';
import { BsDatepickerDirective } from 'ngx-bootstrap/datepicker';
@Component({
    selector: 'create-or-edit-containerstatus-modal',
    templateUrl: './create-or-edit-containerstatus-modal.component.html',
    styleUrls: ['./create-or-edit-containerstatus-modal.component.less']
    })
export class CreateOrEditContainerStatusModalComponent extends AppComponentBase {
    @ViewChild('createOrEditModalContainerStatus',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CreateOrEditMstInvContainerStatusDto = new CreateOrEditMstInvContainerStatusDto();
    active: boolean = false;
    saving: boolean = false;
    _: boolean;
    constructor(
        injector: Injector,
        private _mstwptContainerStatusService: MstInvContainerStatusServiceProxy,
    ) 
    {
        super(injector);
    }
    show(rowdata?: CreateOrEditMstInvContainerStatusDto): void {
        if (!rowdata) this.rowdata = new CreateOrEditMstInvContainerStatusDto();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this._mstwptContainerStatusService.createOrEdit(this.rowdata)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ContainerStatusRoutingModule } from './containerstatus-routing.module';
import { ContainerStatusComponent } from './containerstatus.component';
import { CreateOrEditContainerStatusModalComponent } from './create-or-edit-containerstatus-modal.component';
@NgModule({
    declarations: [
       ContainerStatusComponent, 
        CreateOrEditContainerStatusModalComponent
    ],
    imports: [
        AppSharedModule, ContainerStatusRoutingModule]
})
export class ContainerStatusModule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ContainerStatusComponent } from './containerstatus.component';
const routes: Routes = [{
    path: '',
    component: ContainerStatusComponent,
    pathMatch: 'full'
}];
@NgModule({
    imports: [RouterModule.forChild(routes)],
    exports: [RouterModule],
})
export class ContainerStatusRoutingModule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AppMenuItem("ContainerStatus", "Pages.Master.Inventory.ContainerStatus", "flaticon-book",   "/app/main/master/inventory/containerstatus"),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'master/inventory/containerstatus',
    loadChildren: () =&gt; import('./master/inventory/containerstatus/containerstatus.module').then(m =&gt; m.ContainerStatusModule),
    data: { permission: 'Pages.Master.Inventory.ContainerStatus' }
},</v>
      </c>
      <c r="R10" s="47" t="str">
        <f>SUBSTITUTE(R9,"MstWptCalendar",$B$6)</f>
        <v>ApiServiceProxies.MstInvContainerStatusServiceProxy,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
			{headerName: this.l('Description Vn'),headerTooltip: this.l('Description Vn'),field: 'descriptionVn',flex: 1},
			{headerName: this.l('Is Active'),headerTooltip: this.l('Is Active'),field: 'isActive',flex: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[(ngModel)]='descriptionVn' name='descriptionVn'
									class='form-control' [placeholder]="l('Description Vn')"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title'&gt;Description Vn&lt;/label&gt;
						&lt;input type='text' class='col-md-10 form-control input-text' name='DescriptionVn' [(ngModel)]='rowdata.descriptionVn'&gt;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description : string = '' ; 
descriptionVn : string = '' ; 
	isActive : string = '' ; </v>
      </c>
      <c r="T13" s="63" t="str">
        <f ca="1">TEXTJOIN2("
",TRUE,INDIRECT(T11):INDIRECT(T12))</f>
        <v xml:space="preserve">			this.code,
			this.description,
			this.descriptionVn,
			this.isActive,</v>
      </c>
      <c r="U13" s="63" t="str">
        <f ca="1">TEXTJOIN2("
",TRUE,INDIRECT(U11):INDIRECT(U12))</f>
        <v xml:space="preserve">		this.code = '',
		this.description = '',
this.descriptionVn = '',
		this.isActive = '',</v>
      </c>
      <c r="V13" s="28" t="str">
        <f ca="1">TEXTJOIN2("
",TRUE,INDIRECT(V11):INDIRECT(V12))</f>
        <v/>
      </c>
    </row>
    <row r="14" spans="1:22" x14ac:dyDescent="0.3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containerstatus.component.ts</v>
      </c>
      <c r="I14" s="37" t="str">
        <f>B8&amp;".component.html"</f>
        <v>containerstatus.component.html</v>
      </c>
      <c r="J14" s="36" t="str">
        <f>B8&amp;".component.less"</f>
        <v>containerstatus.component.less</v>
      </c>
      <c r="K14" s="37" t="str">
        <f>"create-or-edit-"&amp;B8&amp;"-modal.component.html"</f>
        <v>create-or-edit-containerstatus-modal.component.html</v>
      </c>
      <c r="L14" s="37" t="str">
        <f>"create-or-edit-"&amp;B8&amp;"-modal.component.ts"</f>
        <v>create-or-edit-containerstatus-modal.component.ts</v>
      </c>
      <c r="M14" s="37" t="str">
        <f>"create-or-edit-"&amp;B8&amp;"-modal.component.less"</f>
        <v>create-or-edit-containerstatus-modal.component.less</v>
      </c>
      <c r="N14" s="37" t="str">
        <f>B8&amp;".module.ts"</f>
        <v>containerstatus.module.ts</v>
      </c>
      <c r="O14" s="37" t="str">
        <f>B8&amp;"-routing.module.ts"</f>
        <v>containerstatus-routing.module.ts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35">
      <c r="A15" t="s">
        <v>353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12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" si="8">IF(AND(E15="string",F15="1"),D15,"")</f>
        <v/>
      </c>
    </row>
    <row r="16" spans="1:22" ht="18" customHeight="1" x14ac:dyDescent="0.35">
      <c r="A16" t="s">
        <v>360</v>
      </c>
      <c r="B16" s="28" t="str">
        <f t="shared" ref="B16" si="9">SUBSTITUTE(PROPER(A16),"_","")</f>
        <v>Description</v>
      </c>
      <c r="C16" s="28" t="str">
        <f t="shared" ref="C16" si="10">SUBSTITUTE(PROPER(A16),"_"," ")</f>
        <v>Description</v>
      </c>
      <c r="D16" s="28" t="str">
        <f t="shared" ref="D16" si="11">LOWER(LEFT(B16,1))&amp;RIGHT(B16,LEN(B16) - 1)</f>
        <v>description</v>
      </c>
      <c r="E16" s="28" t="str">
        <f>A.Backend!H10</f>
        <v>string</v>
      </c>
      <c r="F16" s="28" t="str">
        <f>A.Backend!G10</f>
        <v>50</v>
      </c>
      <c r="G16" s="28" t="str">
        <f t="shared" ref="G16" si="12">IF(E16="string"," : string = '' ; ",IF(OR(E16="DateTime",E16="TimeSpan")," : any ;",IF(E16="int"," : number = 0 ;","")))</f>
        <v xml:space="preserve"> : string = '' ; </v>
      </c>
      <c r="H16" s="35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this.l('Description'),headerTooltip: this.l('Description'),field: 'description',flex: 1},</v>
      </c>
      <c r="I16" s="35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28"/>
      <c r="K16" s="35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56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7">REPT(CHAR(9),1)&amp;D16&amp;G16</f>
        <v xml:space="preserve">	description : string = '' ; </v>
      </c>
      <c r="T16" s="28" t="str">
        <f t="shared" ref="T16" si="18">REPT(CHAR(9),3)&amp;"this."&amp;D16&amp;","</f>
        <v xml:space="preserve">			this.description,</v>
      </c>
      <c r="U16" s="28" t="str">
        <f t="shared" ref="U16" si="19">IF(E16="int",REPT(CHAR(9),2)&amp;"this."&amp;D16&amp;" = 0,",REPT(CHAR(9),2)&amp;"this."&amp;D16&amp;" = '',")</f>
        <v xml:space="preserve">		this.description = '',</v>
      </c>
      <c r="V16" s="28" t="str">
        <f t="shared" ref="V16" si="20">IF(AND(E16="string",F16="1"),D16,"")</f>
        <v/>
      </c>
    </row>
    <row r="17" spans="1:22" ht="18" customHeight="1" x14ac:dyDescent="0.35">
      <c r="A17" t="s">
        <v>361</v>
      </c>
      <c r="B17" s="28" t="str">
        <f>SUBSTITUTE(PROPER(A17),"_","")</f>
        <v>DescriptionVn</v>
      </c>
      <c r="C17" s="28" t="str">
        <f>SUBSTITUTE(PROPER(A17),"_"," ")</f>
        <v>Description Vn</v>
      </c>
      <c r="D17" s="28" t="str">
        <f>LOWER(LEFT(B17,1))&amp;RIGHT(B17,LEN(B17) - 1)</f>
        <v>descriptionVn</v>
      </c>
      <c r="E17" s="28" t="str">
        <f>A.Backend!H11</f>
        <v>string</v>
      </c>
      <c r="F17" s="28" t="str">
        <f>A.Backend!G11</f>
        <v>30</v>
      </c>
      <c r="G17" s="28" t="str">
        <f>IF(E17="string"," : string = '' ; ",IF(OR(E17="DateTime",E17="TimeSpan")," : any ;",IF(E17="int"," : number = 0 ;","")))</f>
        <v xml:space="preserve"> : string = '' ; </v>
      </c>
      <c r="H17" s="35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this.l('Description Vn'),headerTooltip: this.l('Description Vn'),field: 'descriptionVn',flex: 1},</v>
      </c>
      <c r="I17" s="35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[(ngModel)]='descriptionVn' name='descriptionVn'
									class='form-control' [placeholder]="l('Description Vn')"
									type='text' (keyup.enter)='searchDatas()'&gt;
								&lt;/div&gt;</v>
      </c>
      <c r="J17" s="28"/>
      <c r="K17" s="35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title'&gt;Description Vn&lt;/label&gt;
						&lt;input type='text' class='col-md-10 form-control input-text' name='DescriptionVn' [(ngModel)]='rowdata.descriptionVn'&gt;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>D17&amp;G17</f>
        <v xml:space="preserve">descriptionVn : string = '' ; </v>
      </c>
      <c r="T17" s="28" t="str">
        <f>REPT(CHAR(9),3)&amp;"this."&amp;D17&amp;","</f>
        <v xml:space="preserve">			this.descriptionVn,</v>
      </c>
      <c r="U17" s="28" t="str">
        <f>IF(E17="int","this."&amp;D17&amp;" = 0,","this."&amp;D17&amp;" = '',")</f>
        <v>this.descriptionVn = '',</v>
      </c>
      <c r="V17" s="28" t="str">
        <f>IF(AND(E17="string",F17="1"),D17,"")</f>
        <v/>
      </c>
    </row>
    <row r="18" spans="1:22" ht="15" customHeight="1" x14ac:dyDescent="0.35">
      <c r="A18" t="s">
        <v>359</v>
      </c>
      <c r="B18" s="28" t="str">
        <f t="shared" ref="B18" si="21">SUBSTITUTE(PROPER(A18),"_","")</f>
        <v>IsActive</v>
      </c>
      <c r="C18" s="28" t="str">
        <f t="shared" ref="C18" si="22">SUBSTITUTE(PROPER(A18),"_"," ")</f>
        <v>Is Active</v>
      </c>
      <c r="D18" s="28" t="str">
        <f t="shared" ref="D18" si="23">LOWER(LEFT(B18,1))&amp;RIGHT(B18,LEN(B18) - 1)</f>
        <v>isActive</v>
      </c>
      <c r="E18" s="28" t="str">
        <f>A.Backend!H12</f>
        <v>string</v>
      </c>
      <c r="F18" s="28" t="str">
        <f>A.Backend!G12</f>
        <v>100</v>
      </c>
      <c r="G18" s="28" t="str">
        <f t="shared" ref="G18" si="24">IF(E18="string"," : string = '' ; ",IF(OR(E18="DateTime",E18="TimeSpan")," : any ;",IF(E18="int"," : number = 0 ;","")))</f>
        <v xml:space="preserve"> : string = '' ; </v>
      </c>
      <c r="H18" s="35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this.l('Is Active'),headerTooltip: this.l('Is Active'),field: 'isActive',flex: 1},</v>
      </c>
      <c r="I18" s="35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28"/>
      <c r="K18" s="35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8" s="56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isActive : string = '' ; </v>
      </c>
      <c r="T18" s="28" t="str">
        <f>REPT(CHAR(9),3)&amp;"this."&amp;D18&amp;","</f>
        <v xml:space="preserve">			this.isActive,</v>
      </c>
      <c r="U18" s="28" t="str">
        <f>IF(E18="int",REPT(CHAR(9),2)&amp;"this."&amp;D18&amp;" = 0,",REPT(CHAR(9),2)&amp;"this."&amp;D18&amp;" = '',")</f>
        <v xml:space="preserve">		this.isActive = '',</v>
      </c>
      <c r="V18" s="28" t="str">
        <f t="shared" ref="V18" si="29">IF(AND(E18="string",F18="1"),D18,"")</f>
        <v/>
      </c>
    </row>
    <row r="19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193</v>
      </c>
      <c r="B2" s="23" t="s">
        <v>190</v>
      </c>
    </row>
    <row r="3" spans="1:2" x14ac:dyDescent="0.35">
      <c r="B3" s="20" t="s">
        <v>115</v>
      </c>
    </row>
    <row r="4" spans="1:2" x14ac:dyDescent="0.35">
      <c r="B4" s="20" t="s">
        <v>116</v>
      </c>
    </row>
    <row r="5" spans="1:2" x14ac:dyDescent="0.35">
      <c r="B5" s="20" t="s">
        <v>117</v>
      </c>
    </row>
    <row r="6" spans="1:2" x14ac:dyDescent="0.35">
      <c r="B6" s="20" t="s">
        <v>118</v>
      </c>
    </row>
    <row r="7" spans="1:2" x14ac:dyDescent="0.35">
      <c r="B7" s="20" t="s">
        <v>119</v>
      </c>
    </row>
    <row r="8" spans="1:2" x14ac:dyDescent="0.35">
      <c r="B8" s="20" t="s">
        <v>120</v>
      </c>
    </row>
    <row r="9" spans="1:2" x14ac:dyDescent="0.35">
      <c r="B9" s="20" t="s">
        <v>121</v>
      </c>
    </row>
    <row r="10" spans="1:2" x14ac:dyDescent="0.35">
      <c r="B10" s="20" t="s">
        <v>122</v>
      </c>
    </row>
    <row r="11" spans="1:2" x14ac:dyDescent="0.35">
      <c r="B11" s="20" t="s">
        <v>123</v>
      </c>
    </row>
    <row r="12" spans="1:2" x14ac:dyDescent="0.35">
      <c r="B12" s="20" t="s">
        <v>124</v>
      </c>
    </row>
    <row r="13" spans="1:2" x14ac:dyDescent="0.35">
      <c r="B13" s="20" t="s">
        <v>125</v>
      </c>
    </row>
    <row r="14" spans="1:2" x14ac:dyDescent="0.35">
      <c r="B14" s="20" t="s">
        <v>126</v>
      </c>
    </row>
    <row r="15" spans="1:2" x14ac:dyDescent="0.35">
      <c r="B15" s="20" t="s">
        <v>127</v>
      </c>
    </row>
    <row r="16" spans="1:2" x14ac:dyDescent="0.35">
      <c r="B16" s="20" t="s">
        <v>128</v>
      </c>
    </row>
    <row r="17" spans="1:3" x14ac:dyDescent="0.35">
      <c r="B17" s="20" t="s">
        <v>129</v>
      </c>
    </row>
    <row r="18" spans="1:3" x14ac:dyDescent="0.35">
      <c r="B18" s="20" t="s">
        <v>130</v>
      </c>
      <c r="C18" t="s">
        <v>192</v>
      </c>
    </row>
    <row r="19" spans="1:3" x14ac:dyDescent="0.35">
      <c r="B19" s="20" t="s">
        <v>131</v>
      </c>
    </row>
    <row r="20" spans="1:3" x14ac:dyDescent="0.35">
      <c r="B20" s="20" t="s">
        <v>132</v>
      </c>
    </row>
    <row r="21" spans="1:3" x14ac:dyDescent="0.35">
      <c r="B21" s="20" t="s">
        <v>133</v>
      </c>
    </row>
    <row r="22" spans="1:3" x14ac:dyDescent="0.35">
      <c r="B22" s="20" t="s">
        <v>134</v>
      </c>
      <c r="C22" t="s">
        <v>197</v>
      </c>
    </row>
    <row r="23" spans="1:3" x14ac:dyDescent="0.35">
      <c r="B23" s="20" t="s">
        <v>135</v>
      </c>
    </row>
    <row r="24" spans="1:3" x14ac:dyDescent="0.35">
      <c r="B24" s="20" t="s">
        <v>136</v>
      </c>
    </row>
    <row r="25" spans="1:3" x14ac:dyDescent="0.35">
      <c r="B25" s="20" t="s">
        <v>137</v>
      </c>
    </row>
    <row r="26" spans="1:3" x14ac:dyDescent="0.35">
      <c r="A26" s="22" t="s">
        <v>194</v>
      </c>
      <c r="B26" s="23" t="s">
        <v>191</v>
      </c>
    </row>
    <row r="27" spans="1:3" x14ac:dyDescent="0.35">
      <c r="B27" s="20" t="s">
        <v>138</v>
      </c>
    </row>
    <row r="28" spans="1:3" x14ac:dyDescent="0.35">
      <c r="B28" s="21" t="s">
        <v>139</v>
      </c>
    </row>
    <row r="29" spans="1:3" x14ac:dyDescent="0.35">
      <c r="B29" s="20" t="s">
        <v>140</v>
      </c>
    </row>
    <row r="30" spans="1:3" x14ac:dyDescent="0.35">
      <c r="B30" s="20" t="s">
        <v>141</v>
      </c>
    </row>
    <row r="31" spans="1:3" x14ac:dyDescent="0.35">
      <c r="B31" s="20" t="s">
        <v>142</v>
      </c>
    </row>
    <row r="32" spans="1:3" x14ac:dyDescent="0.35">
      <c r="B32" s="20" t="s">
        <v>143</v>
      </c>
    </row>
    <row r="33" spans="2:2" x14ac:dyDescent="0.35">
      <c r="B33" s="20" t="s">
        <v>144</v>
      </c>
    </row>
    <row r="34" spans="2:2" x14ac:dyDescent="0.35">
      <c r="B34" s="20" t="s">
        <v>145</v>
      </c>
    </row>
    <row r="35" spans="2:2" x14ac:dyDescent="0.35">
      <c r="B35" s="20" t="s">
        <v>146</v>
      </c>
    </row>
    <row r="36" spans="2:2" x14ac:dyDescent="0.35">
      <c r="B36" s="20" t="s">
        <v>147</v>
      </c>
    </row>
    <row r="37" spans="2:2" x14ac:dyDescent="0.35">
      <c r="B37" s="20" t="s">
        <v>148</v>
      </c>
    </row>
    <row r="38" spans="2:2" x14ac:dyDescent="0.35">
      <c r="B38" s="20" t="s">
        <v>149</v>
      </c>
    </row>
    <row r="39" spans="2:2" x14ac:dyDescent="0.35">
      <c r="B39" s="20" t="s">
        <v>150</v>
      </c>
    </row>
    <row r="40" spans="2:2" x14ac:dyDescent="0.35">
      <c r="B40" s="20" t="s">
        <v>151</v>
      </c>
    </row>
    <row r="41" spans="2:2" x14ac:dyDescent="0.35">
      <c r="B41" s="20" t="s">
        <v>152</v>
      </c>
    </row>
    <row r="42" spans="2:2" x14ac:dyDescent="0.35">
      <c r="B42" s="20" t="s">
        <v>153</v>
      </c>
    </row>
    <row r="43" spans="2:2" x14ac:dyDescent="0.35">
      <c r="B43" s="21" t="s">
        <v>154</v>
      </c>
    </row>
    <row r="44" spans="2:2" x14ac:dyDescent="0.35">
      <c r="B44" s="20" t="s">
        <v>140</v>
      </c>
    </row>
    <row r="45" spans="2:2" x14ac:dyDescent="0.35">
      <c r="B45" s="20" t="s">
        <v>155</v>
      </c>
    </row>
    <row r="46" spans="2:2" x14ac:dyDescent="0.35">
      <c r="B46" s="20" t="s">
        <v>156</v>
      </c>
    </row>
    <row r="47" spans="2:2" x14ac:dyDescent="0.35">
      <c r="B47" s="20" t="s">
        <v>157</v>
      </c>
    </row>
    <row r="48" spans="2:2" x14ac:dyDescent="0.35">
      <c r="B48" s="20" t="s">
        <v>158</v>
      </c>
    </row>
    <row r="49" spans="2:2" x14ac:dyDescent="0.35">
      <c r="B49" s="20" t="s">
        <v>141</v>
      </c>
    </row>
    <row r="50" spans="2:2" x14ac:dyDescent="0.35">
      <c r="B50" s="20" t="s">
        <v>142</v>
      </c>
    </row>
    <row r="51" spans="2:2" x14ac:dyDescent="0.35">
      <c r="B51" s="20" t="s">
        <v>143</v>
      </c>
    </row>
    <row r="52" spans="2:2" x14ac:dyDescent="0.35">
      <c r="B52" s="20" t="s">
        <v>144</v>
      </c>
    </row>
    <row r="53" spans="2:2" x14ac:dyDescent="0.35">
      <c r="B53" s="20" t="s">
        <v>145</v>
      </c>
    </row>
    <row r="54" spans="2:2" x14ac:dyDescent="0.35">
      <c r="B54" s="20" t="s">
        <v>146</v>
      </c>
    </row>
    <row r="55" spans="2:2" x14ac:dyDescent="0.35">
      <c r="B55" s="20" t="s">
        <v>147</v>
      </c>
    </row>
    <row r="56" spans="2:2" x14ac:dyDescent="0.35">
      <c r="B56" s="20" t="s">
        <v>159</v>
      </c>
    </row>
    <row r="57" spans="2:2" x14ac:dyDescent="0.35">
      <c r="B57" s="20" t="s">
        <v>160</v>
      </c>
    </row>
    <row r="58" spans="2:2" x14ac:dyDescent="0.35">
      <c r="B58" s="20" t="s">
        <v>148</v>
      </c>
    </row>
    <row r="59" spans="2:2" x14ac:dyDescent="0.35">
      <c r="B59" s="20" t="s">
        <v>149</v>
      </c>
    </row>
    <row r="60" spans="2:2" x14ac:dyDescent="0.35">
      <c r="B60" s="20" t="s">
        <v>161</v>
      </c>
    </row>
    <row r="61" spans="2:2" x14ac:dyDescent="0.35">
      <c r="B61" s="20" t="s">
        <v>162</v>
      </c>
    </row>
    <row r="62" spans="2:2" x14ac:dyDescent="0.35">
      <c r="B62" s="20" t="s">
        <v>163</v>
      </c>
    </row>
    <row r="63" spans="2:2" x14ac:dyDescent="0.35">
      <c r="B63" s="20" t="s">
        <v>158</v>
      </c>
    </row>
    <row r="64" spans="2:2" x14ac:dyDescent="0.35">
      <c r="B64" s="20" t="s">
        <v>150</v>
      </c>
    </row>
    <row r="65" spans="2:2" x14ac:dyDescent="0.35">
      <c r="B65" s="20" t="s">
        <v>151</v>
      </c>
    </row>
    <row r="66" spans="2:2" x14ac:dyDescent="0.35">
      <c r="B66" s="20" t="s">
        <v>164</v>
      </c>
    </row>
    <row r="67" spans="2:2" x14ac:dyDescent="0.35">
      <c r="B67" s="20" t="s">
        <v>158</v>
      </c>
    </row>
    <row r="68" spans="2:2" x14ac:dyDescent="0.35">
      <c r="B68" s="20" t="s">
        <v>152</v>
      </c>
    </row>
    <row r="69" spans="2:2" x14ac:dyDescent="0.35">
      <c r="B69" s="20" t="s">
        <v>165</v>
      </c>
    </row>
    <row r="70" spans="2:2" x14ac:dyDescent="0.35">
      <c r="B70" s="21" t="s">
        <v>166</v>
      </c>
    </row>
    <row r="71" spans="2:2" x14ac:dyDescent="0.35">
      <c r="B71" s="20" t="s">
        <v>140</v>
      </c>
    </row>
    <row r="72" spans="2:2" x14ac:dyDescent="0.35">
      <c r="B72" s="20" t="s">
        <v>141</v>
      </c>
    </row>
    <row r="73" spans="2:2" x14ac:dyDescent="0.35">
      <c r="B73" s="20" t="s">
        <v>142</v>
      </c>
    </row>
    <row r="74" spans="2:2" x14ac:dyDescent="0.35">
      <c r="B74" s="20" t="s">
        <v>143</v>
      </c>
    </row>
    <row r="75" spans="2:2" x14ac:dyDescent="0.35">
      <c r="B75" s="20" t="s">
        <v>147</v>
      </c>
    </row>
    <row r="76" spans="2:2" x14ac:dyDescent="0.35">
      <c r="B76" s="20" t="s">
        <v>149</v>
      </c>
    </row>
    <row r="77" spans="2:2" x14ac:dyDescent="0.35">
      <c r="B77" s="20" t="s">
        <v>150</v>
      </c>
    </row>
    <row r="78" spans="2:2" x14ac:dyDescent="0.35">
      <c r="B78" s="20" t="s">
        <v>151</v>
      </c>
    </row>
    <row r="79" spans="2:2" x14ac:dyDescent="0.35">
      <c r="B79" s="20" t="s">
        <v>152</v>
      </c>
    </row>
    <row r="80" spans="2:2" x14ac:dyDescent="0.35">
      <c r="B80" s="20" t="s">
        <v>165</v>
      </c>
    </row>
    <row r="81" spans="1:2" x14ac:dyDescent="0.35">
      <c r="B81" s="21" t="s">
        <v>167</v>
      </c>
    </row>
    <row r="82" spans="1:2" x14ac:dyDescent="0.35">
      <c r="B82" s="21" t="s">
        <v>168</v>
      </c>
    </row>
    <row r="83" spans="1:2" x14ac:dyDescent="0.35">
      <c r="B83" s="21" t="s">
        <v>169</v>
      </c>
    </row>
    <row r="84" spans="1:2" x14ac:dyDescent="0.35">
      <c r="B84" s="21" t="s">
        <v>170</v>
      </c>
    </row>
    <row r="85" spans="1:2" x14ac:dyDescent="0.35">
      <c r="B85" s="21" t="s">
        <v>171</v>
      </c>
    </row>
    <row r="86" spans="1:2" x14ac:dyDescent="0.35">
      <c r="B86" s="21" t="s">
        <v>172</v>
      </c>
    </row>
    <row r="87" spans="1:2" x14ac:dyDescent="0.35">
      <c r="B87" s="21" t="s">
        <v>173</v>
      </c>
    </row>
    <row r="88" spans="1:2" x14ac:dyDescent="0.35">
      <c r="A88" s="22" t="s">
        <v>195</v>
      </c>
      <c r="B88" s="24" t="s">
        <v>174</v>
      </c>
    </row>
    <row r="89" spans="1:2" x14ac:dyDescent="0.35">
      <c r="B89" s="20" t="s">
        <v>175</v>
      </c>
    </row>
    <row r="90" spans="1:2" x14ac:dyDescent="0.35">
      <c r="B90" s="20" t="s">
        <v>176</v>
      </c>
    </row>
    <row r="91" spans="1:2" x14ac:dyDescent="0.35">
      <c r="B91" s="20" t="s">
        <v>177</v>
      </c>
    </row>
    <row r="92" spans="1:2" x14ac:dyDescent="0.35">
      <c r="B92" s="20" t="s">
        <v>178</v>
      </c>
    </row>
    <row r="93" spans="1:2" x14ac:dyDescent="0.35">
      <c r="B93" s="20" t="s">
        <v>179</v>
      </c>
    </row>
    <row r="94" spans="1:2" x14ac:dyDescent="0.35">
      <c r="B94" s="20" t="s">
        <v>180</v>
      </c>
    </row>
    <row r="95" spans="1:2" x14ac:dyDescent="0.35">
      <c r="B95" s="20" t="s">
        <v>181</v>
      </c>
    </row>
    <row r="96" spans="1:2" x14ac:dyDescent="0.35">
      <c r="B96" s="20" t="s">
        <v>182</v>
      </c>
    </row>
    <row r="97" spans="2:2" x14ac:dyDescent="0.35">
      <c r="B97" s="20" t="s">
        <v>183</v>
      </c>
    </row>
    <row r="98" spans="2:2" x14ac:dyDescent="0.35">
      <c r="B98" s="20" t="s">
        <v>184</v>
      </c>
    </row>
    <row r="99" spans="2:2" x14ac:dyDescent="0.35">
      <c r="B99" s="20" t="s">
        <v>185</v>
      </c>
    </row>
    <row r="100" spans="2:2" x14ac:dyDescent="0.35">
      <c r="B100" s="20" t="s">
        <v>186</v>
      </c>
    </row>
    <row r="101" spans="2:2" x14ac:dyDescent="0.35">
      <c r="B101" s="20" t="s">
        <v>187</v>
      </c>
    </row>
    <row r="102" spans="2:2" x14ac:dyDescent="0.35">
      <c r="B102" s="20" t="s">
        <v>188</v>
      </c>
    </row>
    <row r="103" spans="2:2" x14ac:dyDescent="0.35">
      <c r="B103" s="20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2023-04-13T03:28:09Z</dcterms:modified>
</cp:coreProperties>
</file>
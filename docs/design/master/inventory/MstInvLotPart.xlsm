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\docs\design\master\inventory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5" l="1"/>
  <c r="E20" i="5"/>
  <c r="V20" i="5" s="1"/>
  <c r="C20" i="5"/>
  <c r="B20" i="5"/>
  <c r="D20" i="5" s="1"/>
  <c r="F19" i="5"/>
  <c r="E19" i="5"/>
  <c r="L19" i="5" s="1"/>
  <c r="C19" i="5"/>
  <c r="B19" i="5"/>
  <c r="D19" i="5" s="1"/>
  <c r="L15" i="1"/>
  <c r="G15" i="1"/>
  <c r="E15" i="1"/>
  <c r="H15" i="1" s="1"/>
  <c r="D15" i="1"/>
  <c r="V15" i="1" s="1"/>
  <c r="G19" i="5" l="1"/>
  <c r="U19" i="5"/>
  <c r="V19" i="5"/>
  <c r="I20" i="5"/>
  <c r="T20" i="5"/>
  <c r="H20" i="5"/>
  <c r="H19" i="5"/>
  <c r="S19" i="5"/>
  <c r="K20" i="5"/>
  <c r="K19" i="5"/>
  <c r="I19" i="5"/>
  <c r="G20" i="5"/>
  <c r="S20" i="5" s="1"/>
  <c r="L20" i="5"/>
  <c r="W15" i="1"/>
  <c r="P15" i="1"/>
  <c r="T15" i="1"/>
  <c r="I15" i="1"/>
  <c r="N15" i="1"/>
  <c r="M15" i="1"/>
  <c r="J15" i="1"/>
  <c r="O15" i="1"/>
  <c r="B16" i="5"/>
  <c r="D16" i="5" s="1"/>
  <c r="C16" i="5"/>
  <c r="B17" i="5"/>
  <c r="D17" i="5" s="1"/>
  <c r="C17" i="5"/>
  <c r="B18" i="5"/>
  <c r="D18" i="5" s="1"/>
  <c r="T19" i="5" s="1"/>
  <c r="C18" i="5"/>
  <c r="B21" i="5"/>
  <c r="D21" i="5" s="1"/>
  <c r="C21" i="5"/>
  <c r="B22" i="5"/>
  <c r="D22" i="5" s="1"/>
  <c r="C22" i="5"/>
  <c r="F22" i="5"/>
  <c r="U20" i="5" l="1"/>
  <c r="L16" i="1"/>
  <c r="G16" i="1"/>
  <c r="E16" i="1"/>
  <c r="H16" i="1" s="1"/>
  <c r="D16" i="1"/>
  <c r="V16" i="1" s="1"/>
  <c r="W16" i="1" l="1"/>
  <c r="E22" i="5"/>
  <c r="P16" i="1"/>
  <c r="T16" i="1"/>
  <c r="I16" i="1"/>
  <c r="N16" i="1"/>
  <c r="M16" i="1"/>
  <c r="J16" i="1"/>
  <c r="O16" i="1"/>
  <c r="B7" i="5"/>
  <c r="B6" i="5"/>
  <c r="B2" i="5"/>
  <c r="G22" i="5" l="1"/>
  <c r="S22" i="5"/>
  <c r="U22" i="5"/>
  <c r="V22" i="5"/>
  <c r="K22" i="5"/>
  <c r="T22" i="5"/>
  <c r="I22" i="5"/>
  <c r="H22" i="5"/>
  <c r="B8" i="5"/>
  <c r="B3" i="5"/>
  <c r="L14" i="1"/>
  <c r="G14" i="1"/>
  <c r="E14" i="1"/>
  <c r="H14" i="1" s="1"/>
  <c r="D14" i="1"/>
  <c r="T14" i="1" s="1"/>
  <c r="L22" i="5" l="1"/>
  <c r="M14" i="1"/>
  <c r="I14" i="1"/>
  <c r="N14" i="1"/>
  <c r="V14" i="1"/>
  <c r="J14" i="1"/>
  <c r="O14" i="1"/>
  <c r="W14" i="1"/>
  <c r="P14" i="1"/>
  <c r="B6" i="1" l="1"/>
  <c r="G13" i="1"/>
  <c r="F21" i="5" s="1"/>
  <c r="E13" i="1"/>
  <c r="H13" i="1" s="1"/>
  <c r="E21" i="5" s="1"/>
  <c r="D13" i="1"/>
  <c r="V13" i="1" s="1"/>
  <c r="G21" i="5" l="1"/>
  <c r="S21" i="5" s="1"/>
  <c r="K21" i="5"/>
  <c r="T21" i="5"/>
  <c r="U21" i="5"/>
  <c r="I21" i="5"/>
  <c r="V21" i="5"/>
  <c r="H21" i="5"/>
  <c r="L21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S18" i="5" s="1"/>
  <c r="T18" i="5"/>
  <c r="I18" i="5"/>
  <c r="V18" i="5"/>
  <c r="K18" i="5"/>
  <c r="H18" i="5"/>
  <c r="G17" i="5"/>
  <c r="S17" i="5" s="1"/>
  <c r="I17" i="5"/>
  <c r="V17" i="5"/>
  <c r="K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U18" i="5" l="1"/>
  <c r="U17" i="5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V16" i="5"/>
  <c r="K16" i="5"/>
  <c r="I16" i="5"/>
  <c r="G16" i="5"/>
  <c r="U16" i="5" s="1"/>
  <c r="S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8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8" i="1"/>
  <c r="T13" i="5"/>
  <c r="T7" i="1" l="1"/>
  <c r="W18" i="1"/>
  <c r="G6" i="1" l="1"/>
  <c r="S13" i="5"/>
  <c r="K13" i="5"/>
  <c r="L13" i="5"/>
  <c r="U13" i="5"/>
  <c r="H13" i="5"/>
  <c r="I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J18" i="1"/>
  <c r="I18" i="1"/>
  <c r="N18" i="1"/>
  <c r="P18" i="1"/>
  <c r="O18" i="1"/>
  <c r="Q7" i="1" l="1"/>
  <c r="M69" i="3" s="1"/>
  <c r="L7" i="1"/>
  <c r="G69" i="3" s="1"/>
  <c r="K69" i="3"/>
  <c r="J69" i="3"/>
  <c r="K18" i="1"/>
  <c r="M18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<sst xmlns="http://schemas.openxmlformats.org/spreadsheetml/2006/main" count="467" uniqueCount="378">
  <si>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</si>
  <si>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</si>
  <si>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</si>
  <si>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</si>
  <si>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</si>
  <si>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</si>
  <si>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</si>
  <si>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</si>
  <si>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</si>
  <si>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</si>
  <si>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</si>
  <si>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</si>
  <si>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</si>
  <si>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</si>
  <si>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</si>
  <si>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</si>
  <si>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</si>
  <si>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</si>
  <si>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</si>
  <si>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</si>
  <si>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</si>
  <si>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</si>
  <si>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</si>
  <si>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</si>
  <si>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</si>
  <si>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</si>
  <si>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</si>
  <si>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</si>
  <si>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</si>
  <si>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</si>
  <si>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</si>
  <si>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</si>
  <si>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</si>
  <si>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</si>
  <si>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</si>
  <si>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</si>
  <si>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</si>
  <si>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</si>
  <si>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</si>
  <si>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</si>
  <si>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</si>
  <si>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</si>
  <si>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</si>
  <si>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</si>
  <si>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</si>
  <si>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</si>
  <si>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</si>
  <si>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</si>
  <si>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</si>
  <si>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</si>
  <si>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</si>
  <si>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</si>
  <si>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</si>
  <si>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</si>
  <si>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</si>
  <si>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</si>
  <si>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</si>
  <si>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</si>
  <si>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</si>
  <si>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</si>
  <si>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</si>
  <si>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</si>
  <si>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</si>
  <si>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</si>
  <si>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</si>
  <si>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</si>
  <si>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</si>
  <si>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</si>
  <si>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</si>
  <si>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</si>
  <si>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</si>
  <si>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</si>
  <si>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</si>
  <si>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</si>
  <si>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</si>
  <si>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</si>
  <si>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</si>
  <si>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</si>
  <si>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</si>
  <si>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</si>
  <si>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</si>
  <si>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</si>
  <si>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</si>
  <si>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</si>
  <si>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</si>
  <si>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</si>
  <si>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</si>
  <si>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</si>
  <si>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</si>
  <si>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</si>
  <si>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</si>
  <si>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</si>
  <si>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</si>
  <si>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</si>
  <si>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</si>
  <si>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</si>
  <si>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</si>
  <si>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</si>
  <si>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</si>
  <si>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</si>
  <si>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</si>
  <si>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</si>
  <si>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</si>
  <si>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</si>
  <si>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</si>
  <si>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</si>
  <si>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</si>
  <si>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</si>
  <si>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</si>
  <si>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</si>
  <si>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</si>
  <si>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</si>
  <si>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</si>
  <si>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</si>
  <si>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</si>
  <si>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</si>
  <si>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</si>
  <si>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</si>
  <si>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</si>
  <si>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</si>
  <si>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</si>
  <si>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</si>
  <si>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</si>
  <si>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</si>
  <si>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</si>
  <si>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</si>
  <si>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</si>
  <si>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</si>
  <si>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</si>
  <si>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</si>
  <si>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</si>
  <si>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</si>
  <si>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</si>
  <si>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</si>
  <si>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</si>
  <si>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</si>
  <si>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</si>
  <si>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</si>
  <si>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</si>
  <si>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</si>
  <si>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</si>
  <si>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</si>
  <si>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</si>
  <si>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</si>
  <si>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</si>
  <si>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</si>
  <si>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</si>
  <si>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</si>
  <si>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</si>
  <si>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</si>
  <si>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</si>
  <si>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</si>
  <si>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</si>
  <si>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</si>
  <si>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</si>
  <si>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</si>
  <si>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</si>
  <si>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</si>
  <si>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</si>
  <si>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</si>
  <si>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</si>
  <si>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</si>
  <si>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</si>
  <si>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</si>
  <si>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</si>
  <si>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</si>
  <si>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</si>
  <si>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</si>
  <si>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</si>
  <si>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</si>
  <si>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</si>
  <si>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</si>
  <si>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</si>
  <si>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</si>
  <si>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</si>
  <si>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</si>
  <si>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</si>
  <si>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</si>
  <si>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</si>
  <si>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</si>
  <si>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</si>
  <si>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</si>
  <si>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</si>
  <si>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</si>
  <si>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</si>
  <si>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</si>
  <si>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</si>
  <si>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</si>
  <si>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</si>
  <si>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</si>
  <si>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</si>
  <si>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</si>
  <si>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</si>
  <si>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</si>
  <si>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</si>
  <si>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</si>
  <si>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</si>
  <si>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</si>
  <si>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</si>
  <si>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</si>
  <si>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</si>
  <si>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</si>
  <si>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</si>
  <si>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</si>
  <si>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</si>
  <si>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</si>
  <si>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</si>
  <si>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</si>
  <si>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</si>
  <si>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</si>
  <si>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</si>
  <si>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</si>
  <si>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</si>
  <si>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</si>
  <si>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</si>
  <si>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</si>
  <si>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</si>
  <si>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</si>
  <si>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</si>
  <si>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</si>
  <si>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</si>
  <si>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</si>
  <si>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</si>
  <si>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</si>
  <si>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</si>
  <si>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</si>
  <si>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</si>
  <si>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</si>
  <si>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</si>
  <si>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</si>
  <si>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</si>
  <si>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</si>
  <si>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</si>
  <si>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</si>
  <si>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</si>
  <si>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</si>
  <si>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</si>
  <si>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</si>
  <si>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</si>
  <si>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</si>
  <si>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</si>
  <si>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</si>
  <si>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</si>
  <si>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</si>
  <si>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</si>
  <si>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</si>
  <si>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</si>
  <si>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</si>
  <si>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</si>
  <si>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</si>
  <si>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</si>
  <si>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</si>
  <si>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</si>
  <si>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</si>
  <si>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</si>
  <si>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</si>
  <si>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</si>
  <si>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</si>
  <si>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</si>
  <si>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</si>
  <si>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</si>
  <si>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</si>
  <si>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</si>
  <si>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</si>
  <si>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</si>
  <si>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</si>
  <si>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</si>
  <si>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</si>
  <si>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</si>
  <si>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</si>
  <si>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</si>
  <si>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</si>
  <si>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</si>
  <si>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</si>
  <si>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</si>
  <si>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</si>
  <si>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</si>
  <si>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</si>
  <si>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</si>
  <si>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</si>
  <si>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</si>
  <si>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</si>
  <si>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</si>
  <si>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</si>
  <si>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</si>
  <si>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</si>
  <si>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</si>
  <si>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</si>
  <si>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</si>
  <si>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</si>
  <si>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</si>
  <si>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</si>
  <si>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</si>
  <si>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</si>
  <si>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</si>
  <si>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</si>
  <si>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</si>
  <si>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</si>
  <si>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</si>
  <si>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</si>
  <si>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</si>
  <si>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</si>
  <si>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</si>
  <si>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</si>
  <si>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</si>
  <si>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</si>
  <si>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</si>
  <si>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</si>
  <si>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</si>
  <si>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</si>
  <si>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</si>
  <si>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</si>
  <si>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</si>
  <si>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</si>
  <si>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</si>
  <si>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</si>
  <si>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</si>
  <si>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</si>
  <si>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</si>
  <si>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</si>
  <si>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</si>
  <si>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</si>
  <si>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</si>
  <si>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</si>
  <si>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</si>
  <si>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</si>
  <si>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</si>
  <si>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</si>
  <si>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</si>
  <si>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</si>
  <si>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</si>
  <si>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</si>
  <si>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</si>
  <si>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</si>
  <si>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</si>
  <si>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</si>
  <si>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</si>
  <si>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</si>
  <si>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</si>
  <si>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</si>
  <si>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</si>
  <si>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</si>
  <si>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</si>
  <si>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</si>
  <si>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</si>
  <si>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</si>
  <si>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</si>
  <si>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</si>
  <si>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</si>
  <si>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</si>
  <si>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</si>
  <si>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</si>
  <si>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</si>
  <si>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Master.Inv</t>
  </si>
  <si>
    <t>CPS</t>
  </si>
  <si>
    <t>Cps</t>
  </si>
  <si>
    <t>InvCps</t>
  </si>
  <si>
    <t>IHP</t>
  </si>
  <si>
    <t>Ihp</t>
  </si>
  <si>
    <t>InvIhp</t>
  </si>
  <si>
    <t>Inhouse Part</t>
  </si>
  <si>
    <t>PART_NO</t>
  </si>
  <si>
    <t>SOURCE</t>
  </si>
  <si>
    <t>CARFAMILY_CODE</t>
  </si>
  <si>
    <t>CARFAMILY_NAME</t>
  </si>
  <si>
    <t>LINE_CODE</t>
  </si>
  <si>
    <t>COLOR</t>
  </si>
  <si>
    <t>PART_NAME</t>
  </si>
  <si>
    <t>nvarchar(12)</t>
  </si>
  <si>
    <t>nvarchar(10)</t>
  </si>
  <si>
    <t>nvarchar(4)</t>
  </si>
  <si>
    <t>nvarchar(30)</t>
  </si>
  <si>
    <t>varchar(2)</t>
  </si>
  <si>
    <t>varchar(10)</t>
  </si>
  <si>
    <t>nvarchar(500)</t>
  </si>
  <si>
    <t>MstInvLotPart</t>
  </si>
  <si>
    <t>InvLotPart</t>
  </si>
  <si>
    <t>Master Inv Lot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</si>
</sst>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16" zoomScaleNormal="100" workbookViewId="0">
      <selection activeCell="D34" sqref="D34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357</v>
      </c>
      <c r="F46" s="1" t="s">
        <v>358</v>
      </c>
      <c r="G46" t="s">
        <v>359</v>
      </c>
      <c r="H46" t="s">
        <v>360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354</v>
      </c>
      <c r="F51" s="1" t="s">
        <v>355</v>
      </c>
      <c r="G51" t="s">
        <v>356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[Table("MstInvLotPart")]
	public class MstInvLotPart: FullAuditedEntity&lt;long&gt;, IEntity&lt;long&gt;	
	{
		public const int MaxPartNoLength = 12;
		public const int MaxSourceLength = 10;
		public const int MaxCarfamilyCodeLength = 4;
		public const int MaxCarfamilyNameLength = 30;
		public const int MaxLineCodeLength = 2;
		public const int MaxColorLength = 10;
		public const int MaxPartNameLength = 500;
		public const int MaxIsActiveLength = 1;
		[StringLength(MaxPartNoLength)]
		public virtual string PartNo { get; set; }
		[StringLength(MaxSourceLength)]
		public virtual string Source { get; set; }
		[StringLength(MaxCarfamilyCodeLength)]
		public virtual string CarfamilyCode { get; set; }
		[StringLength(MaxCarfamilyNameLength)]
		public virtual string CarfamilyName { get; set; }
		[StringLength(MaxLineCodeLength)]
		public virtual string LineCode { get; set; }
		[StringLength(MaxColorLength)]
		public virtual string Color { get; set; }
		[StringLength(MaxPartNameLength)]
		public virtual string PartName { get; set; }
		[StringLength(MaxIsActiveLength)]
		public virtual string IsActive { get; set; }
	}
}
</v>
      </c>
      <c r="D69" s="48" t="str">
        <f>A.Backend!O7</f>
        <v xml:space="preserve">		public const string Pages_Master_Inv_InvLotPart = "Pages.Master.Inv.InvLotPart";
		public const string Pages_Master_Inv_InvLotPart_CreateEdit = "Pages.Master.Inv.InvLotPart.CreateEdit";
		public const string Pages_Master_Inv_InvLotPart_Delete = "Pages.Master.Inv.InvLotPart.Delete";
</v>
      </c>
      <c r="E69" s="48" t="str">
        <f>A.Backend!N7</f>
        <v xml:space="preserve">		var perMstInvLotPart = PARENTS.CreateChildPermission(AppPermissions.Pages_Master_Inv_InvLotPart, L( "MasterInvInvLotPart"), multiTenancySides: MultiTenancySides.Tenant);
		perMstInvLotPart.CreateChildPermission(AppPermissions.Pages_Master_Inv_InvLotPart_CreateEdit, L( "MasterInvInvLotPartCreateEdit"), multiTenancySides: MultiTenancySides.Tenant);
		perMstInvLotPart.CreateChildPermission(AppPermissions.Pages_Master_Inv_InvLotPart_Delete, L( "MasterInvInvLotPartDelete"), multiTenancySides: MultiTenancySides.Tenant);</v>
      </c>
      <c r="F69" s="48" t="str">
        <f>A.Backend!K7</f>
        <v>public virtual DbSet&lt;MstInvLotPart&gt; MstInvLotParts { get; set; }</v>
      </c>
      <c r="G69" s="48" t="str">
        <f ca="1">A.Backend!L7</f>
        <v xml:space="preserve">namespace prod.Master.Inv
{
	public class MstInvLotPartConsts	
	{
		public const int MaxPartNoLength = 12;
		public const int MaxSourceLength = 10;
		public const int MaxCarfamilyCodeLength = 4;
		public const int MaxCarfamilyNameLength = 30;
		public const int MaxLineCodeLength = 2;
		public const int MaxColorLength = 10;
		public const int MaxPartNameLength = 500;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prod.Master.Inv.Dto
{
	public class MstInvLotPartDto : EntityDto&lt;long?&gt;	
	{
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	}
	public class CreateOrEditMstInvLotPartDto : EntityDto&lt;long?&gt;	
	{
		[StringLength(MstInvLotPartConsts.MaxPartNoLength)]
		public virtual string PartNo { get; set; }
		[StringLength(MstInvLotPartConsts.MaxSourceLength)]
		public virtual string Source { get; set; }
		[StringLength(MstInvLotPartConsts.MaxCarfamilyCodeLength)]
		public virtual string CarfamilyCode { get; set; }
		[StringLength(MstInvLotPartConsts.MaxCarfamilyNameLength)]
		public virtual string CarfamilyName { get; set; }
		[StringLength(MstInvLotPartConsts.MaxLineCodeLength)]
		public virtual string LineCode { get; set; }
		[StringLength(MstInvLotPartConsts.MaxColorLength)]
		public virtual string Color { get; set; }
		[StringLength(MstInvLotPartConsts.MaxPartNameLength)]
		public virtual string PartName { get; set; }
		[StringLength(MstInvLotPartConsts.MaxIsActiveLength)]
		public virtual string IsActive { get; set; }
	}
	public class GetMstInvLotPartInput : PagedAndSortedResultRequestDto	
	{
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prod.Master.Inv.Dto
{
	public class MstInvLotPartExportInput{
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IMstInvLotPartAppService : IApplicationService
	{
		Task&lt;PagedResultDto&lt;MstInvLotPartDto&gt;&gt; GetAll(GetMstInvLotPartInput input);
		Task CreateOrEdit(CreateOrEditMstInvLotPartDto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IMstInvLotPartExcelExporter : IApplicationService
	{
		FileDto ExportToFile(List&lt;MstInvLotPartDto&gt; mstinvlotpart);
	}
}
</v>
      </c>
      <c r="L69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MstInvLotPartExcelExporter : NpoiExcelExporterBase, IMstInvLotPartExcelExporter
    {
        public MstInvLotPartExcelExporter(ITempFileCacheManager tempFileCacheManager) : base(tempFileCacheManager) { }
        public FileDto ExportToFile(List&lt;MstInvLotPartDto&gt; invlotpart)
        {
            return CreateExcelPackage(
				"MasterInvInvLotPart.xlsx",
				excelPackage =&gt;
				 {
					var sheet = excelPackage.CreateSheet("InvLotPart");
					AddHeader(
								sheet,
								("PartNo"),
								("Source"),
								("CarfamilyCode"),
								("CarfamilyName"),
								("LineCode"),
								("Color"),
								("PartName"),
								("IsActive"),
							   );
					AddObjects(
						 sheet, 1, invlotpart,                                       
								_ =&gt; _.PartNo,
								_ =&gt; _.Source,
								_ =&gt; _.CarfamilyCode,
								_ =&gt; _.CarfamilyName,
								_ =&gt; _.LineCode,
								_ =&gt; _.Color,
								_ =&gt; _.PartName,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[AbpAuthorize(AppPermissions.Pages_Master_Inv_InvLotPart)]
    public class MstInvLotPartAppService : vovinaAppServiceBase, IMstInvLotPartAppService
    {
        private readonly IDapperRepository&lt;MstInvLotPart, long&gt; _dapperRepo;
        private readonly IRepository&lt;MstInvLotPart, long&gt; _repo;
        private readonly IMstInvLotPartExcelExporter _calendarListExcelExporter;
        public MstInvLotPartAppService(IRepository&lt;MstInvLotPart,long&gt; repo, 
                                         IDapperRepository&lt;MstInvLotPart,long&gt; dapperRepo,
                                        IMstInvLotPartExcelExporter calendarListExcelExporter
            )
        {
            _repo = repo;
            _dapperRepo = dapperRepo;
            _calendarListExcelExporter = calendarListExcelExporter;
        }
        [AbpAuthorize(AppPermissions.Pages_Master_Inv_InvLotPart_CreateEdit)]
        public async Task CreateOrEdit(CreateOrEditMstInvLotPartDto input)
        {
            if (input.Id == null) await Create(input);
            else await Update(input);
        }
        //CREATE
        private async Task Create(CreateOrEditMstInvLotPartDto input)
        {          
            var mainObj = ObjectMapper.Map&lt;MstInvLotPart&gt;(input);
            await CurrentUnitOfWork.GetDbContext&lt;vovinaDbContext&gt;().AddAsync(mainObj);
        }
        // EDIT
        private async Task Update(CreateOrEditMstInvLotPartDto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[AbpAuthorize(AppPermissions.Pages_Master_Inv_InvLotPart_Delete)]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Task&lt;PagedResultDto&lt;MstInvLotPartDto&gt;&gt; GetAll(GetMstInvLotPartInput input)
        {
            var filtered = _repo.GetAll()
				.WhereIf(!string.IsNullOrWhiteSpace(input.PartNo), e =&gt; e.PartNo.Contains(input.PartNo))
				.WhereIf(!string.IsNullOrWhiteSpace(input.Source), e =&gt; e.Source.Contains(input.Source))
				.WhereIf(!string.IsNullOrWhiteSpace(input.CarfamilyCode), e =&gt; e.CarfamilyCode.Contains(input.CarfamilyCode))
				.WhereIf(!string.IsNullOrWhiteSpace(input.CarfamilyName), e =&gt; e.CarfamilyName.Contains(input.CarfamilyName))
				.WhereIf(!string.IsNullOrWhiteSpace(input.LineCode), e =&gt; e.LineCode.Contains(input.LineCode))
				.WhereIf(!string.IsNullOrWhiteSpace(input.Color), e =&gt; e.Color.Contains(input.Color))
				.WhereIf(!string.IsNullOrWhiteSpace(input.PartName), e =&gt; e.PartName.Contains(input.PartName))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MstInvLotPartDto
                        {
							Id = o.Id,
							PartNo = o.PartNo,
							Source = o.Source,
							CarfamilyCode = o.CarfamilyCode,
							CarfamilyName = o.CarfamilyName,
							LineCode = o.LineCode,
							Color = o.Color,
							PartName = o.PartName,
							IsActive = o.IsActive,
                        };
            var totalCount = await filtered.CountAsync();
			var paged = system.PageBy(input);
            return new PagedResultDto&lt;MstInvLotPartDto&gt;(
                totalCount,
                 await paged.ToListAsync()
            );
        }
        public async Task&lt;FileDto&gt; GetInvLotPartToExcel(MstInvLotPartExportInput input)
        {
            var query = from o in _repo.GetAll()
                        select new MstInvLotPartDto
                        {
							Id = o.Id,
							PartNo = o.PartNo,
							Source = o.Source,
							CarfamilyCode = o.CarfamilyCode,
							CarfamilyName = o.CarfamilyName,
							LineCode = o.LineCode,
							Color = o.Color,
							PartName = o.PartName,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_dapperRepo.ExecuteAsync(MstInvLotPartConsts.SP_MST_WPT_CALENDAR_GENERATE);
       // }
    }
}</v>
      </c>
      <c r="N69" s="58" t="str">
        <f>A.Backend!U7</f>
        <v xml:space="preserve">  configuration.CreateMap&lt;MstInvLotPartDto, MstInvLotPart&gt;();
  configuration.CreateMap&lt;MstInvLotPart, MstInvLotPartDto&gt;();
  configuration.CreateMap&lt;CreateOrEditMstInvLotPartDto, MstInvLotPart&gt;();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invlotpart</v>
      </c>
      <c r="C74" s="66" t="str">
        <f>"create folder " &amp;B74</f>
        <v>create folder invlotpart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invlotpart.component.ts</v>
      </c>
      <c r="D75" s="28" t="str">
        <f>B.Frontend!I14</f>
        <v>invlotpart.component.html</v>
      </c>
      <c r="E75" s="28" t="str">
        <f>B.Frontend!J14</f>
        <v>invlotpart.component.less</v>
      </c>
      <c r="F75" s="28" t="str">
        <f>B.Frontend!K14</f>
        <v>create-or-edit-invlotpart-modal.component.html</v>
      </c>
      <c r="G75" s="28" t="str">
        <f>B.Frontend!L14</f>
        <v>create-or-edit-invlotpart-modal.component.ts</v>
      </c>
      <c r="H75" s="28" t="str">
        <f>B.Frontend!M14</f>
        <v>create-or-edit-invlotpart-modal.component.less</v>
      </c>
      <c r="I75" s="28" t="str">
        <f>B.Frontend!N14</f>
        <v>invlotpart.module.ts</v>
      </c>
      <c r="J75" s="28" t="str">
        <f>B.Frontend!O14</f>
        <v>invlotpart-routing.module.ts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MstInvLotPartDto, MstInvLotPartServiceProxy } from '@shared/service-proxies/service-proxies';
import { finalize } from 'rxjs/internal/operators/finalize';
import { CreateOrEditInvLotPartModalComponent } from './create-or-edit-invlotpart-modal.component';
import { DatePipe } from '@angular/common';
import { FileDownloadService } from '@shared/utils/file-download.service';
import ceil from 'lodash-es/ceil';
import { Paginator } from 'primeng/paginator';
@Component({
    templateUrl: './invlotpart.component.html',
    styleUrls: ['./invlotpart.component.less'],
})
export class InvLotPartComponent extends AppComponentBase implements OnInit {
    @ViewChild('createOrEditModalInvLotPart', { static: true }) createOrEditModalInvLotPart:| CreateOrEditInvLotPartModalComponent|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MstInvLotPartDto = new MstInvLotPartDto();
    saveSelectedRow: MstInvLotPartDto = new MstInvLotPartDto();
    datas: MstInvLotPartDto = new MstInvLotPartDto();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source : string = '' ; 
	carfamilyCode : string = '' ; 
	carfamilyName : string = '' ; 
	lineCode : string = '' ; 
	color : string = '' ; 
	partName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MstInvLotPartServiceProxy,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this.l('Source'),headerTooltip: this.l('Source'),field: 'source',flex: 1},
			{headerName: this.l('Carfamily Code'),headerTooltip: this.l('Carfamily Code'),field: 'carfamilyCode',flex: 1},
			{headerName: this.l('Carfamily Name'),headerTooltip: this.l('Carfamily Name'),field: 'carfamilyName',flex: 1},
			{headerName: this.l('Line Code'),headerTooltip: this.l('Line Code'),field: 'lineCode',flex: 1},
			{headerName: this.l('Color'),headerTooltip: this.l('Color'),field: 'color',flex: 1},
			{headerName: this.l('Part Name'),headerTooltip: this.l('Part Name'),field: 'partName',flex: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this.source,
			this.carfamilyCode,
			this.carfamilyName,
			this.lineCode,
			this.carfamilyName,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source : string = '' ; 
	carfamilyCode : string = '' ; 
	carfamilyName : string = '' ; 
	lineCode : string = '' ; 
	color : string = '' ; 
	partName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this.source,
			this.carfamilyCode,
			this.carfamilyName,
			this.lineCode,
			this.carfamilyName,
			'',
            this.paginationParams.skipCount,
            this.paginationParams.pageSize
        );
    }
    onChangeRowSelection(params: { api: { getSelectedRows: () =&gt; MstInvLotPartDto[] } }) {
        this.saveSelectedRow = params.api.getSelectedRows()[0] ?? new MstInvLotPartDto();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MstInvLotPartDto):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this._service.getInvLotPartToExcel(
			this.,
			this.partNo,
			this.source,
			this.carfamilyCode,
			this.carfamilyName,
			this.lineCode,
			this.carfamilyName,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 Lot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[(ngModel)]='carfamilyName' name='carfamilyName'
									class='form-control' [placeholder]="l('Carfamily Name')"
									type='text' (keyup.enter)='searchDatas()'&gt;
								&lt;/div&gt;
								&lt;div class='input-search'&gt;
									&lt;input [(ngModel)]='lineCode' name='lineCode'
									class='form-control' [placeholder]="l('Line Code')"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(click)="createOrEditModalInvLotPart.show()"&gt;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(click)="createOrEditModalInvLotPart.show(selectedRow)"&gt;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&lt;create-or-edit-invlotpart-modal
    #createOrEditModalInvLotPart
    (modalSave)="callBackDataGrid(dataParams)"
    (modalClose)="onChangeRowSelection(dataParams)"
&gt;
&lt;/create-or-edit-invlotpart-modal&gt;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#createOrEditModalInvLotPart="bs-modal"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InvLotPart')}}&lt;/h3&gt;
                    &lt;h3 *ngIf="!rowdata.id"&gt;{{('Create New InvLotPart')}}&lt;/h3&gt;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title'&gt;Carfamily Name&lt;/label&gt;
						&lt;input type='text' class='col-md-10 form-control input-text' name='CarfamilyName' [(ngModel)]='rowdata.carfamilyName'&gt;
					&lt;/div&gt;
					&lt;div class='col-md-12 form-group row'&gt;
						&lt;label class='col-md-2 form-control title'&gt;Line Code&lt;/label&gt;
						&lt;input type='text' class='col-md-10 form-control input-text' name='LineCode' [(ngModel)]='rowdata.lineCode'&gt;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CreateOrEditMstInvLotPartDto, MstInvLotPartServiceProxy } from '@shared/service-proxies/service-proxies';
import { BsDatepickerDirective } from 'ngx-bootstrap/datepicker';
@Component({
    selector: 'create-or-edit-invlotpart-modal',
    templateUrl: './create-or-edit-invlotpart-modal.component.html',
    styleUrls: ['./create-or-edit-invlotpart-modal.component.less']
    })
export class CreateOrEditInvLotPartModalComponent extends AppComponentBase {
    @ViewChild('createOrEditModalInvLotPart',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CreateOrEditMstInvLotPartDto = new CreateOrEditMstInvLotPartDto();
    active: boolean = false;
    saving: boolean = false;
    _isActive: boolean;
    constructor(
        injector: Injector,
        private _mstwptInvLotPartService: MstInvLotPartServiceProxy,
    ) 
    {
        super(injector);
    }
    show(rowdata?: CreateOrEditMstInvLotPartDto): void {
        if (!rowdata) this.rowdata = new CreateOrEditMstInvLotPartDto();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this._mstwptInvLotPartService.createOrEdit(this.rowdata)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InvLotPartRoutingModule } from './invlotpart-routing.module';
import { InvLotPartComponent } from './invlotpart.component';
import { CreateOrEditInvLotPartModalComponent } from './create-or-edit-invlotpart-modal.component';
@NgModule({
    declarations: [
       InvLotPartComponent, 
        CreateOrEditInvLotPartModalComponent
    ],
    imports: [
        AppSharedModule, InvLotPartRoutingModule]
})
export class InvLotPartModule {}</v>
      </c>
      <c r="J76" s="46" t="str">
        <f>B.Frontend!O10</f>
        <v>import {NgModule} from '@angular/core';
import {RouterModule, Routes} from '@angular/router';
import { InvLotPartComponent } from './invlotpart.component';
const routes: Routes = [{
    path: '',
    component: InvLotPartComponent,
    pathMatch: 'full'
}];
@NgModule({
    imports: [RouterModule.forChild(routes)],
    exports: [RouterModule],
})
export class InvLotPartRoutingModule {}</v>
      </c>
      <c r="K76" s="46" t="str">
        <f>B.Frontend!P10</f>
        <v xml:space="preserve"> new AppMenuItem("InvLotPart", "Pages.Master.Inv.InvLotPart", "flaticon-book",   "/app/main/master/inv/invlotpart"),</v>
      </c>
      <c r="L76" s="47" t="str">
        <f>B.Frontend!Q10</f>
        <v>{
    path: 'master/inv/invlotpart',
    loadChildren: () =&gt; import('./master/inv/invlotpart/invlotpart.module').then(m =&gt; m.InvLotPartModule),
    data: { permission: 'Pages.Master.Inv.InvLotPart' }
},</v>
      </c>
      <c r="M76" s="45" t="str">
        <f>B.Frontend!R10</f>
        <v>ApiServiceProxies.MstInvLotPartServiceProxy,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A9" sqref="A9:A1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353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40</v>
      </c>
      <c r="D3" s="9" t="s">
        <v>41</v>
      </c>
      <c r="E3" s="9" t="s">
        <v>36</v>
      </c>
      <c r="F3" s="10" t="str">
        <f>"J"&amp;COUNTA($A:$A)</f>
        <v>J16</v>
      </c>
      <c r="G3" s="4" t="s">
        <v>53</v>
      </c>
      <c r="H3" s="9" t="str">
        <f>"I"&amp;COUNTA($A:$A)</f>
        <v>I16</v>
      </c>
      <c r="I3" s="9" t="str">
        <f>REPT(CHAR(9),2)&amp;"[Required]"&amp;"
"</f>
        <v xml:space="preserve">		[Required]
</v>
      </c>
      <c r="J3" s="10" t="str">
        <f>"L"&amp;COUNTA($A:$A)</f>
        <v>L16</v>
      </c>
      <c r="K3" s="5" t="s">
        <v>52</v>
      </c>
      <c r="L3" s="10" t="str">
        <f>"M"&amp;COUNTA($A:$A)</f>
        <v>M16</v>
      </c>
      <c r="M3" s="10" t="str">
        <f>"N"&amp;COUNTA($A:$A)</f>
        <v>N16</v>
      </c>
      <c r="N3" s="10" t="str">
        <f>"O"&amp;COUNTA($A:$A)</f>
        <v>O16</v>
      </c>
      <c r="O3" s="10" t="str">
        <f>"P"&amp;COUNTA($A:$A)</f>
        <v>P16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MstInvLotPartExportInput{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T16</v>
      </c>
      <c r="V3" s="10" t="str">
        <f>"V"&amp;COUNTA($A:$A)</f>
        <v>V16</v>
      </c>
      <c r="W3" s="9" t="str">
        <f>"W"&amp;COUNTA($A:$A)</f>
        <v>W16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MstInvLotPart: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MstInvLotPartConsts	
	{
</v>
      </c>
      <c r="F6" s="10" t="str">
        <f>REPT(CHAR(9),1)&amp;"public class "&amp;B3&amp;"Dto"&amp;K3&amp;REPT(CHAR(9),1)&amp;"
"&amp;REPT(CHAR(9),1)&amp;C3</f>
        <v xml:space="preserve">	public class MstInvLotPartDto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CreateOrEditMstInvLotPartDto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GetMstInvLotPartInput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MstInvLotPart</v>
      </c>
      <c r="C7" s="10" t="str">
        <f>REPT(CHAR(9),1)&amp;"[Table("""&amp;B7&amp;""")]"&amp;"
"</f>
        <v xml:space="preserve">	[Table("MstInvLotPart")]
</v>
      </c>
      <c r="D7" s="10"/>
      <c r="E7" s="10"/>
      <c r="F7" s="10"/>
      <c r="G7" s="10"/>
      <c r="H7" s="10"/>
      <c r="I7" s="10"/>
      <c r="J7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[Table("MstInvLotPart")]
	public class MstInvLotPart: FullAuditedEntity&lt;long&gt;, IEntity&lt;long&gt;	
	{
		public const int MaxPartNoLength = 12;
		public const int MaxSourceLength = 10;
		public const int MaxCarfamilyCodeLength = 4;
		public const int MaxCarfamilyNameLength = 30;
		public const int MaxLineCodeLength = 2;
		public const int MaxColorLength = 10;
		public const int MaxPartNameLength = 500;
		public const int MaxIsActiveLength = 1;
		[StringLength(MaxPartNoLength)]
		public virtual string PartNo { get; set; }
		[StringLength(MaxSourceLength)]
		public virtual string Source { get; set; }
		[StringLength(MaxCarfamilyCodeLength)]
		public virtual string CarfamilyCode { get; set; }
		[StringLength(MaxCarfamilyNameLength)]
		public virtual string CarfamilyName { get; set; }
		[StringLength(MaxLineCodeLength)]
		public virtual string LineCode { get; set; }
		[StringLength(MaxColorLength)]
		public virtual string Color { get; set; }
		[StringLength(MaxPartNameLength)]
		public virtual string PartName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DbSet&lt;MstInvLotPart&gt; MstInvLotParts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prod.Master.Inv
{
	public class MstInvLotPartConsts	
	{
		public const int MaxPartNoLength = 12;
		public const int MaxSourceLength = 10;
		public const int MaxCarfamilyCodeLength = 4;
		public const int MaxCarfamilyNameLength = 30;
		public const int MaxLineCodeLength = 2;
		public const int MaxColorLength = 10;
		public const int MaxPartNameLength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prod.Master.Inv.Dto
{
	public class MstInvLotPartDto : EntityDto&lt;long?&gt;	
	{
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	}
	public class CreateOrEditMstInvLotPartDto : EntityDto&lt;long?&gt;	
	{
		[StringLength(MstInvLotPartConsts.MaxPartNoLength)]
		public virtual string PartNo { get; set; }
		[StringLength(MstInvLotPartConsts.MaxSourceLength)]
		public virtual string Source { get; set; }
		[StringLength(MstInvLotPartConsts.MaxCarfamilyCodeLength)]
		public virtual string CarfamilyCode { get; set; }
		[StringLength(MstInvLotPartConsts.MaxCarfamilyNameLength)]
		public virtual string CarfamilyName { get; set; }
		[StringLength(MstInvLotPartConsts.MaxLineCodeLength)]
		public virtual string LineCode { get; set; }
		[StringLength(MstInvLotPartConsts.MaxColorLength)]
		public virtual string Color { get; set; }
		[StringLength(MstInvLotPartConsts.MaxPartNameLength)]
		public virtual string PartName { get; set; }
		[StringLength(MstInvLotPartConsts.MaxIsActiveLength)]
		public virtual string IsActive { get; set; }
	}
	public class GetMstInvLotPartInput : PagedAndSortedResultRequestDto	
	{
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perMstInvLotPart = PARENTS.CreateChildPermission(AppPermissions.Pages_Master_Inv_InvLotPart, L( "MasterInvInvLotPart"), multiTenancySides: MultiTenancySides.Tenant);
		perMstInvLotPart.CreateChildPermission(AppPermissions.Pages_Master_Inv_InvLotPart_CreateEdit, L( "MasterInvInvLotPartCreateEdit"), multiTenancySides: MultiTenancySides.Tenant);
		perMstInvLotPart.CreateChildPermission(AppPermissions.Pages_Master_Inv_InvLotPart_Delete, L( "MasterInvInvLotPartDelete"),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Pages_Master_Inv_InvLotPart = "Pages.Master.Inv.InvLotPart";
		public const string Pages_Master_Inv_InvLotPart_CreateEdit = "Pages.Master.Inv.InvLotPart.CreateEdit";
		public const string Pages_Master_Inv_InvLotPart_Delete = "Pages.Master.Inv.InvLotPart.Delete";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IMstInvLotPartAppService : IApplicationService
	{
		Task&lt;PagedResultDto&lt;MstInvLotPartDto&gt;&gt; GetAll(GetMstInvLotPartInput input);
		Task CreateOrEdit(CreateOrEditMstInvLotPartDto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[AbpAuthorize(AppPermissions.Pages_Master_Inv_InvLotPart)]
    public class MstInvLotPartAppService : vovinaAppServiceBase, IMstInvLotPartAppService
    {
        private readonly IDapperRepository&lt;MstInvLotPart, long&gt; _dapperRepo;
        private readonly IRepository&lt;MstInvLotPart, long&gt; _repo;
        private readonly IMstInvLotPartExcelExporter _calendarListExcelExporter;
        public MstInvLotPartAppService(IRepository&lt;MstInvLotPart,long&gt; repo, 
                                         IDapperRepository&lt;MstInvLotPart,long&gt; dapperRepo,
                                        IMstInvLotPartExcelExporter calendarListExcelExporter
            )
        {
            _repo = repo;
            _dapperRepo = dapperRepo;
            _calendarListExcelExporter = calendarListExcelExporter;
        }
        [AbpAuthorize(AppPermissions.Pages_Master_Inv_InvLotPart_CreateEdit)]
        public async Task CreateOrEdit(CreateOrEditMstInvLotPartDto input)
        {
            if (input.Id == null) await Create(input);
            else await Update(input);
        }
        //CREATE
        private async Task Create(CreateOrEditMstInvLotPartDto input)
        {          
            var mainObj = ObjectMapper.Map&lt;MstInvLotPart&gt;(input);
            await CurrentUnitOfWork.GetDbContext&lt;vovinaDbContext&gt;().AddAsync(mainObj);
        }
        // EDIT
        private async Task Update(CreateOrEditMstInvLotPartDto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[AbpAuthorize(AppPermissions.Pages_Master_Inv_InvLotPart_Delete)]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Task&lt;PagedResultDto&lt;MstInvLotPartDto&gt;&gt; GetAll(GetMstInvLotPartInput input)
        {
            var filtered = _repo.GetAll()
				.WhereIf(!string.IsNullOrWhiteSpace(input.PartNo), e =&gt; e.PartNo.Contains(input.PartNo))
				.WhereIf(!string.IsNullOrWhiteSpace(input.Source), e =&gt; e.Source.Contains(input.Source))
				.WhereIf(!string.IsNullOrWhiteSpace(input.CarfamilyCode), e =&gt; e.CarfamilyCode.Contains(input.CarfamilyCode))
				.WhereIf(!string.IsNullOrWhiteSpace(input.CarfamilyName), e =&gt; e.CarfamilyName.Contains(input.CarfamilyName))
				.WhereIf(!string.IsNullOrWhiteSpace(input.LineCode), e =&gt; e.LineCode.Contains(input.LineCode))
				.WhereIf(!string.IsNullOrWhiteSpace(input.Color), e =&gt; e.Color.Contains(input.Color))
				.WhereIf(!string.IsNullOrWhiteSpace(input.PartName), e =&gt; e.PartName.Contains(input.PartName))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MstInvLotPartDto
                        {
							Id = o.Id,
							PartNo = o.PartNo,
							Source = o.Source,
							CarfamilyCode = o.CarfamilyCode,
							CarfamilyName = o.CarfamilyName,
							LineCode = o.LineCode,
							Color = o.Color,
							PartName = o.PartName,
							IsActive = o.IsActive,
                        };
            var totalCount = await filtered.CountAsync();
			var paged = system.PageBy(input);
            return new PagedResultDto&lt;MstInvLotPartDto&gt;(
                totalCount,
                 await paged.ToListAsync()
            );
        }
        public async Task&lt;FileDto&gt; GetInvLotPartToExcel(MstInvLotPartExportInput input)
        {
            var query = from o in _repo.GetAll()
                        select new MstInvLotPartDto
                        {
							Id = o.Id,
							PartNo = o.PartNo,
							Source = o.Source,
							CarfamilyCode = o.CarfamilyCode,
							CarfamilyName = o.CarfamilyName,
							LineCode = o.LineCode,
							Color = o.Color,
							PartName = o.PartName,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_dapperRepo.ExecuteAsync(MstInvLotPartConsts.SP_MST_WPT_CALENDAR_GENERATE);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prod.Master.Inv.Dto
{
	public class MstInvLotPartExportInput{
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IMstInvLotPartExcelExporter : IApplicationService
	{
		FileDto ExportToFile(List&lt;MstInvLotPartDto&gt; mstinvlotpart);
	}
}
</v>
      </c>
      <c r="T7" s="26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MstInvLotPartExcelExporter : NpoiExcelExporterBase, IMstInvLotPartExcelExporter
    {
        public MstInvLotPartExcelExporter(ITempFileCacheManager tempFileCacheManager) : base(tempFileCacheManager) { }
        public FileDto ExportToFile(List&lt;MstInvLotPartDto&gt; invlotpart)
        {
            return CreateExcelPackage(
				"MasterInvInvLotPart.xlsx",
				excelPackage =&gt;
				 {
					var sheet = excelPackage.CreateSheet("InvLotPart");
					AddHeader(
								sheet,
								("PartNo"),
								("Source"),
								("CarfamilyCode"),
								("CarfamilyName"),
								("LineCode"),
								("Color"),
								("PartName"),
								("IsActive"),
							   );
					AddObjects(
						 sheet, 1, invlotpart,                                       
								_ =&gt; _.PartNo,
								_ =&gt; _.Source,
								_ =&gt; _.CarfamilyCode,
								_ =&gt; _.CarfamilyName,
								_ =&gt; _.LineCode,
								_ =&gt; _.Color,
								_ =&gt; _.PartName,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configuration.CreateMap&lt;MstInvLotPartDto, MstInvLotPart&gt;();
  configuration.CreateMap&lt;MstInvLotPart, MstInvLotPartDto&gt;();
  configuration.CreateMap&lt;CreateOrEditMstInvLotPartDto, MstInvLotPart&gt;();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361</v>
      </c>
      <c r="B9" s="28" t="s">
        <v>368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12;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[StringLength(MstInvLotPartConsts.MaxPartNoLength)]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362</v>
      </c>
      <c r="B10" s="28" t="s">
        <v>369</v>
      </c>
      <c r="C10" t="s">
        <v>1</v>
      </c>
      <c r="D10" t="str">
        <f t="shared" ref="D10:D11" si="13">SUBSTITUTE(PROPER(A10),"_","")</f>
        <v>Source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MaxSourceLength = 10;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[StringLength(MaxSourceLength)]
		public virtual string Source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Source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[StringLength(MstInvLotPartConsts.MaxSourceLength)]
		public virtual string Source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Source { get; set; }
</v>
      </c>
      <c r="P10" t="str">
        <f t="shared" ref="P10:P11" si="22">REPT(CHAR(9),7)&amp;D10&amp;" = o." &amp;D10 &amp;","</f>
        <v xml:space="preserve">							Source = o.Source,</v>
      </c>
      <c r="T10" s="63" t="str">
        <f t="shared" ref="T10:T11" si="23">REPT(CHAR(9),8)&amp;"("""&amp;D10&amp;"""),"</f>
        <v xml:space="preserve">								("Source"),</v>
      </c>
      <c r="V10" s="64" t="str">
        <f t="shared" ref="V10:V11" si="24">REPT(CHAR(9),8)&amp;"_ =&gt; _."&amp;D10&amp;","</f>
        <v xml:space="preserve">								_ =&gt; _.Source,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.WhereIf(!string.IsNullOrWhiteSpace(input.Source), e =&gt; e.Source.Contains(input.Source))</v>
      </c>
    </row>
    <row r="11" spans="1:23" customFormat="1" ht="18.75" customHeight="1" x14ac:dyDescent="0.25">
      <c r="A11" s="28" t="s">
        <v>363</v>
      </c>
      <c r="B11" s="28" t="s">
        <v>370</v>
      </c>
      <c r="C11" t="s">
        <v>1</v>
      </c>
      <c r="D11" t="str">
        <f t="shared" si="13"/>
        <v>CarfamilyCode</v>
      </c>
      <c r="E11" t="str">
        <f t="shared" si="14"/>
        <v>nvarchar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MaxCarfamilyCodeLength = 4;
</v>
      </c>
      <c r="J11" t="str">
        <f t="shared" si="17"/>
        <v xml:space="preserve">		[StringLength(MaxCarfamilyCodeLength)]
		public virtual string CarfamilyCode { get; set; }
</v>
      </c>
      <c r="K11" s="6"/>
      <c r="L11" t="str">
        <f t="shared" si="18"/>
        <v/>
      </c>
      <c r="M11" t="str">
        <f t="shared" si="19"/>
        <v xml:space="preserve">		public virtual string CarfamilyCode { get; set; }
</v>
      </c>
      <c r="N11" t="str">
        <f t="shared" si="20"/>
        <v xml:space="preserve">		[StringLength(MstInvLotPartConsts.MaxCarfamilyCodeLength)]
		public virtual string CarfamilyCode { get; set; }
</v>
      </c>
      <c r="O11" t="str">
        <f t="shared" si="21"/>
        <v xml:space="preserve">		public virtual string CarfamilyCode { get; set; }
</v>
      </c>
      <c r="P11" t="str">
        <f t="shared" si="22"/>
        <v xml:space="preserve">							CarfamilyCode = o.CarfamilyCode,</v>
      </c>
      <c r="T11" s="63" t="str">
        <f t="shared" si="23"/>
        <v xml:space="preserve">								("CarfamilyCode"),</v>
      </c>
      <c r="V11" s="64" t="str">
        <f t="shared" si="24"/>
        <v xml:space="preserve">								_ =&gt; _.CarfamilyCode,</v>
      </c>
      <c r="W11" s="63" t="str">
        <f t="shared" si="25"/>
        <v xml:space="preserve">				.WhereIf(!string.IsNullOrWhiteSpace(input.CarfamilyCode), e =&gt; e.CarfamilyCode.Contains(input.CarfamilyCode))</v>
      </c>
    </row>
    <row r="12" spans="1:23" customFormat="1" ht="18.75" customHeight="1" x14ac:dyDescent="0.25">
      <c r="A12" s="28" t="s">
        <v>364</v>
      </c>
      <c r="B12" s="28" t="s">
        <v>371</v>
      </c>
      <c r="C12" t="s">
        <v>1</v>
      </c>
      <c r="D12" t="str">
        <f t="shared" ref="D12:D13" si="26">SUBSTITUTE(PROPER(A12),"_","")</f>
        <v>CarfamilyName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30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MaxCarfamilyNameLength = 30;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[StringLength(MaxCarfamilyNameLength)]
		public virtual string CarfamilyName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CarfamilyName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[StringLength(MstInvLotPartConsts.MaxCarfamilyNameLength)]
		public virtual string CarfamilyName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CarfamilyName { get; set; }
</v>
      </c>
      <c r="P12" t="str">
        <f t="shared" ref="P12:P13" si="35">REPT(CHAR(9),7)&amp;D12&amp;" = o." &amp;D12 &amp;","</f>
        <v xml:space="preserve">							CarfamilyName = o.CarfamilyName,</v>
      </c>
      <c r="T12" s="63" t="str">
        <f t="shared" ref="T12:T13" si="36">REPT(CHAR(9),8)&amp;"("""&amp;D12&amp;"""),"</f>
        <v xml:space="preserve">								("CarfamilyName"),</v>
      </c>
      <c r="V12" s="64" t="str">
        <f t="shared" ref="V12:V13" si="37">REPT(CHAR(9),8)&amp;"_ =&gt; _."&amp;D12&amp;","</f>
        <v xml:space="preserve">								_ =&gt; _.CarfamilyName,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.WhereIf(!string.IsNullOrWhiteSpace(input.CarfamilyName), e =&gt; e.CarfamilyName.Contains(input.CarfamilyName))</v>
      </c>
    </row>
    <row r="13" spans="1:23" customFormat="1" ht="18.75" customHeight="1" x14ac:dyDescent="0.25">
      <c r="A13" s="28" t="s">
        <v>365</v>
      </c>
      <c r="B13" s="28" t="s">
        <v>372</v>
      </c>
      <c r="C13" t="s">
        <v>1</v>
      </c>
      <c r="D13" t="str">
        <f t="shared" si="26"/>
        <v>LineCode</v>
      </c>
      <c r="E13" t="str">
        <f t="shared" si="27"/>
        <v>varchar</v>
      </c>
      <c r="F13" s="6"/>
      <c r="G13" t="str">
        <f t="shared" si="28"/>
        <v>2</v>
      </c>
      <c r="H13" t="str">
        <f>+VLOOKUP(E13,'Data Type Mapping'!A:B,2,)</f>
        <v>string</v>
      </c>
      <c r="I13" t="str">
        <f t="shared" si="29"/>
        <v xml:space="preserve">		public const int MaxLineCodeLength = 2;
</v>
      </c>
      <c r="J13" t="str">
        <f t="shared" si="30"/>
        <v xml:space="preserve">		[StringLength(MaxLineCodeLength)]
		public virtual string LineCode { get; set; }
</v>
      </c>
      <c r="K13" s="6"/>
      <c r="L13" t="str">
        <f t="shared" si="31"/>
        <v/>
      </c>
      <c r="M13" t="str">
        <f t="shared" si="32"/>
        <v xml:space="preserve">		public virtual string LineCode { get; set; }
</v>
      </c>
      <c r="N13" t="str">
        <f t="shared" si="33"/>
        <v xml:space="preserve">		[StringLength(MstInvLotPartConsts.MaxLineCodeLength)]
		public virtual string LineCode { get; set; }
</v>
      </c>
      <c r="O13" t="str">
        <f t="shared" si="34"/>
        <v xml:space="preserve">		public virtual string LineCode { get; set; }
</v>
      </c>
      <c r="P13" t="str">
        <f t="shared" si="35"/>
        <v xml:space="preserve">							LineCode = o.LineCode,</v>
      </c>
      <c r="T13" s="63" t="str">
        <f t="shared" si="36"/>
        <v xml:space="preserve">								("LineCode"),</v>
      </c>
      <c r="V13" s="64" t="str">
        <f t="shared" si="37"/>
        <v xml:space="preserve">								_ =&gt; _.LineCode,</v>
      </c>
      <c r="W13" s="63" t="str">
        <f t="shared" si="38"/>
        <v xml:space="preserve">				.WhereIf(!string.IsNullOrWhiteSpace(input.LineCode), e =&gt; e.LineCode.Contains(input.LineCode))</v>
      </c>
    </row>
    <row r="14" spans="1:23" customFormat="1" ht="18.75" customHeight="1" x14ac:dyDescent="0.25">
      <c r="A14" s="28" t="s">
        <v>366</v>
      </c>
      <c r="B14" s="28" t="s">
        <v>373</v>
      </c>
      <c r="C14" t="s">
        <v>1</v>
      </c>
      <c r="D14" t="str">
        <f t="shared" ref="D14" si="39">SUBSTITUTE(PROPER(A14),"_","")</f>
        <v>Color</v>
      </c>
      <c r="E14" t="str">
        <f t="shared" ref="E14" si="40">IFERROR(LEFT(B14, FIND("(",B14)-1),B14)</f>
        <v>varchar</v>
      </c>
      <c r="F14" s="6"/>
      <c r="G14" t="str">
        <f t="shared" ref="G14" si="41">IFERROR(MID(B14,FIND("(",B14) +1, FIND(")",B14) - FIND("(",B14) - 1),"")</f>
        <v>10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MaxColorLength = 10;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[StringLength(MaxColorLength)]
		public virtual string Color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Color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[StringLength(MstInvLotPartConsts.MaxColorLength)]
		public virtual string Color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Color { get; set; }
</v>
      </c>
      <c r="P14" t="str">
        <f t="shared" ref="P14" si="48">REPT(CHAR(9),7)&amp;D14&amp;" = o." &amp;D14 &amp;","</f>
        <v xml:space="preserve">							Color = o.Color,</v>
      </c>
      <c r="T14" s="63" t="str">
        <f t="shared" ref="T14" si="49">REPT(CHAR(9),8)&amp;"("""&amp;D14&amp;"""),"</f>
        <v xml:space="preserve">								("Color"),</v>
      </c>
      <c r="V14" s="64" t="str">
        <f t="shared" ref="V14" si="50">REPT(CHAR(9),8)&amp;"_ =&gt; _."&amp;D14&amp;","</f>
        <v xml:space="preserve">								_ =&gt; _.Color,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.WhereIf(!string.IsNullOrWhiteSpace(input.Color), e =&gt; e.Color.Contains(input.Color))</v>
      </c>
    </row>
    <row r="15" spans="1:23" customFormat="1" ht="18.75" customHeight="1" x14ac:dyDescent="0.25">
      <c r="A15" s="28" t="s">
        <v>367</v>
      </c>
      <c r="B15" s="28" t="s">
        <v>374</v>
      </c>
      <c r="C15" t="s">
        <v>1</v>
      </c>
      <c r="D15" t="str">
        <f t="shared" ref="D15" si="52">SUBSTITUTE(PROPER(A15),"_","")</f>
        <v>PartName</v>
      </c>
      <c r="E15" t="str">
        <f t="shared" ref="E15" si="53">IFERROR(LEFT(B15, FIND("(",B15)-1),B15)</f>
        <v>nvarchar</v>
      </c>
      <c r="F15" s="6"/>
      <c r="G15" t="str">
        <f t="shared" ref="G15" si="54">IFERROR(MID(B15,FIND("(",B15) +1, FIND(")",B15) - FIND("(",B15) - 1),"")</f>
        <v>500</v>
      </c>
      <c r="H15" t="str">
        <f>+VLOOKUP(E15,'Data Type Mapping'!A:B,2,)</f>
        <v>string</v>
      </c>
      <c r="I15" t="str">
        <f t="shared" ref="I15" si="55">IF(H15="string",REPT(CHAR(9),2)&amp;"public const int Max"&amp;D15&amp;"Length = "&amp;G15&amp;";"&amp;$E$3,"" )</f>
        <v xml:space="preserve">		public const int MaxPartNameLength = 500;
</v>
      </c>
      <c r="J15" t="str">
        <f t="shared" ref="J15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[StringLength(MaxPartNameLength)]
		public virtual string PartName { get; set; }
</v>
      </c>
      <c r="K15" s="6"/>
      <c r="L15" t="str">
        <f t="shared" ref="L15" si="57">IF(K15="","",REPT(CHAR(9),1)&amp;"[Index(nameof("&amp;IF(D15="","",""&amp;D15)&amp;")"&amp;", Name="&amp;"""IX_"&amp;$B$7&amp;"_"&amp;D15&amp;""")]")</f>
        <v/>
      </c>
      <c r="M15" t="str">
        <f t="shared" ref="M15" si="58">REPT(CHAR(9),2)&amp;"public virtual "&amp;IF(OR(H15="DateTime",H15="TimeSpan"),H15&amp;"?",H15)&amp;IF(C15="?","? "," ")&amp;D15&amp;" { get; set; }" &amp; "
"</f>
        <v xml:space="preserve">		public virtual string PartName { get; set; }
</v>
      </c>
      <c r="N15" t="str">
        <f t="shared" ref="N15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[StringLength(MstInvLotPartConsts.MaxPartNameLength)]
		public virtual string PartName { get; set; }
</v>
      </c>
      <c r="O15" t="str">
        <f t="shared" ref="O15" si="60">IF(OR(H15="string",H15="DateTime",H15="int"),REPT(CHAR(9),2)&amp;"public virtual "&amp;IF(OR(H15="DateTime",H15="TimeSpan"),H15&amp;"?",H15)&amp;IF(C15="?","? "," ")&amp;D15&amp;" { get; set; }"&amp;$E$3,"")</f>
        <v xml:space="preserve">		public virtual string PartName { get; set; }
</v>
      </c>
      <c r="P15" t="str">
        <f t="shared" ref="P15" si="61">REPT(CHAR(9),7)&amp;D15&amp;" = o." &amp;D15 &amp;","</f>
        <v xml:space="preserve">							PartName = o.PartName,</v>
      </c>
      <c r="T15" s="63" t="str">
        <f t="shared" ref="T15" si="62">REPT(CHAR(9),8)&amp;"("""&amp;D15&amp;"""),"</f>
        <v xml:space="preserve">								("PartName"),</v>
      </c>
      <c r="V15" s="64" t="str">
        <f t="shared" ref="V15" si="63">REPT(CHAR(9),8)&amp;"_ =&gt; _."&amp;D15&amp;","</f>
        <v xml:space="preserve">								_ =&gt; _.PartName,</v>
      </c>
      <c r="W15" s="63" t="str">
        <f t="shared" ref="W15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.WhereIf(!string.IsNullOrWhiteSpace(input.PartName), e =&gt; e.PartName.Contains(input.PartName))</v>
      </c>
    </row>
    <row r="16" spans="1:23" customFormat="1" ht="18.75" customHeight="1" x14ac:dyDescent="0.25">
      <c r="A16" s="28" t="s">
        <v>318</v>
      </c>
      <c r="B16" s="28" t="s">
        <v>352</v>
      </c>
      <c r="C16" t="s">
        <v>1</v>
      </c>
      <c r="D16" t="str">
        <f t="shared" ref="D16" si="65">SUBSTITUTE(PROPER(A16),"_","")</f>
        <v>IsActive</v>
      </c>
      <c r="E16" t="str">
        <f t="shared" ref="E16" si="66">IFERROR(LEFT(B16, FIND("(",B16)-1),B16)</f>
        <v>varchar</v>
      </c>
      <c r="F16" s="6"/>
      <c r="G16" t="str">
        <f t="shared" ref="G16" si="67">IFERROR(MID(B16,FIND("(",B16) +1, FIND(")",B16) - FIND("(",B16) - 1),"")</f>
        <v>1</v>
      </c>
      <c r="H16" t="str">
        <f>+VLOOKUP(E16,'Data Type Mapping'!A:B,2,)</f>
        <v>string</v>
      </c>
      <c r="I16" t="str">
        <f t="shared" ref="I16" si="68">IF(H16="string",REPT(CHAR(9),2)&amp;"public const int Max"&amp;D16&amp;"Length = "&amp;G16&amp;";"&amp;$E$3,"" )</f>
        <v xml:space="preserve">		public const int MaxIsActiveLength = 1;
</v>
      </c>
      <c r="J16" t="str">
        <f t="shared" ref="J16" si="69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[StringLength(MaxIsActiveLength)]
		public virtual string IsActive { get; set; }
</v>
      </c>
      <c r="K16" s="6"/>
      <c r="L16" t="str">
        <f t="shared" ref="L16" si="70">IF(K16="","",REPT(CHAR(9),1)&amp;"[Index(nameof("&amp;IF(D16="","",""&amp;D16)&amp;")"&amp;", Name="&amp;"""IX_"&amp;$B$7&amp;"_"&amp;D16&amp;""")]")</f>
        <v/>
      </c>
      <c r="M16" t="str">
        <f t="shared" ref="M16" si="71">REPT(CHAR(9),2)&amp;"public virtual "&amp;IF(OR(H16="DateTime",H16="TimeSpan"),H16&amp;"?",H16)&amp;IF(C16="?","? "," ")&amp;D16&amp;" { get; set; }" &amp; "
"</f>
        <v xml:space="preserve">		public virtual string IsActive { get; set; }
</v>
      </c>
      <c r="N16" t="str">
        <f t="shared" ref="N16" si="72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[StringLength(MstInvLotPartConsts.MaxIsActiveLength)]
		public virtual string IsActive { get; set; }
</v>
      </c>
      <c r="O16" t="str">
        <f t="shared" ref="O16" si="73">IF(OR(H16="string",H16="DateTime",H16="int"),REPT(CHAR(9),2)&amp;"public virtual "&amp;IF(OR(H16="DateTime",H16="TimeSpan"),H16&amp;"?",H16)&amp;IF(C16="?","? "," ")&amp;D16&amp;" { get; set; }"&amp;$E$3,"")</f>
        <v xml:space="preserve">		public virtual string IsActive { get; set; }
</v>
      </c>
      <c r="P16" t="str">
        <f t="shared" ref="P16" si="74">REPT(CHAR(9),7)&amp;D16&amp;" = o." &amp;D16 &amp;","</f>
        <v xml:space="preserve">							IsActive = o.IsActive,</v>
      </c>
      <c r="T16" s="63" t="str">
        <f t="shared" ref="T16" si="75">REPT(CHAR(9),8)&amp;"("""&amp;D16&amp;"""),"</f>
        <v xml:space="preserve">								("IsActive"),</v>
      </c>
      <c r="V16" s="64" t="str">
        <f t="shared" ref="V16" si="76">REPT(CHAR(9),8)&amp;"_ =&gt; _."&amp;D16&amp;","</f>
        <v xml:space="preserve">								_ =&gt; _.IsActive,</v>
      </c>
      <c r="W16" s="63" t="str">
        <f t="shared" ref="W16" si="77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.WhereIf(!string.IsNullOrWhiteSpace(input.IsActive), e =&gt; e.IsActive.Contains(input.IsActive))</v>
      </c>
    </row>
    <row r="18" spans="8:23" ht="45.75" customHeight="1" x14ac:dyDescent="0.25">
      <c r="H18" s="11"/>
      <c r="I18" s="31" t="str">
        <f ca="1">TEXTJOIN2("
", TRUE,INDIRECT( $H$1):INDIRECT( $H$3))</f>
        <v xml:space="preserve">		public const int MaxPartNoLength = 12;
		public const int MaxSourceLength = 10;
		public const int MaxCarfamilyCodeLength = 4;
		public const int MaxCarfamilyNameLength = 30;
		public const int MaxLineCodeLength = 2;
		public const int MaxColorLength = 10;
		public const int MaxPartNameLength = 500;
		public const int MaxIsActiveLength = 1;
</v>
      </c>
      <c r="J18" s="30" t="str">
        <f ca="1">TEXTJOIN2("
", TRUE,INDIRECT( $F$1):INDIRECT( $F$3))</f>
        <v xml:space="preserve">		[StringLength(MaxPartNoLength)]
		public virtual string PartNo { get; set; }
		[StringLength(MaxSourceLength)]
		public virtual string Source { get; set; }
		[StringLength(MaxCarfamilyCodeLength)]
		public virtual string CarfamilyCode { get; set; }
		[StringLength(MaxCarfamilyNameLength)]
		public virtual string CarfamilyName { get; set; }
		[StringLength(MaxLineCodeLength)]
		public virtual string LineCode { get; set; }
		[StringLength(MaxColorLength)]
		public virtual string Color { get; set; }
		[StringLength(MaxPartNameLength)]
		public virtual string PartName { get; set; }
		[StringLength(MaxIsActiveLength)]
		public virtual string IsActive { get; set; }
</v>
      </c>
      <c r="K18" s="32" t="str">
        <f ca="1">TEXTJOIN2("
", TRUE,INDIRECT( $J$1):INDIRECT( $J$3))</f>
        <v/>
      </c>
      <c r="L18" s="12" t="s">
        <v>56</v>
      </c>
      <c r="M18" s="33" t="str">
        <f ca="1">TEXTJOIN2("
",TRUE,INDIRECT( $L$1):INDIRECT($L$3))</f>
        <v xml:space="preserve">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</v>
      </c>
      <c r="N18" s="30" t="str">
        <f ca="1">TEXTJOIN2("
",TRUE,INDIRECT( $M$1):INDIRECT($M$3))</f>
        <v xml:space="preserve">		[StringLength(MstInvLotPartConsts.MaxPartNoLength)]
		public virtual string PartNo { get; set; }
		[StringLength(MstInvLotPartConsts.MaxSourceLength)]
		public virtual string Source { get; set; }
		[StringLength(MstInvLotPartConsts.MaxCarfamilyCodeLength)]
		public virtual string CarfamilyCode { get; set; }
		[StringLength(MstInvLotPartConsts.MaxCarfamilyNameLength)]
		public virtual string CarfamilyName { get; set; }
		[StringLength(MstInvLotPartConsts.MaxLineCodeLength)]
		public virtual string LineCode { get; set; }
		[StringLength(MstInvLotPartConsts.MaxColorLength)]
		public virtual string Color { get; set; }
		[StringLength(MstInvLotPartConsts.MaxPartNameLength)]
		public virtual string PartName { get; set; }
		[StringLength(MstInvLotPartConsts.MaxIsActiveLength)]
		public virtual string IsActive { get; set; }
</v>
      </c>
      <c r="O18" s="30" t="str">
        <f ca="1">TEXTJOIN2("
",TRUE,INDIRECT( $N$1):INDIRECT($N$3))</f>
        <v xml:space="preserve">		public virtual string PartNo { get; set; }
		public virtual string Source { get; set; }
		public virtual string CarfamilyCode { get; set; }
		public virtual string CarfamilyName { get; set; }
		public virtual string LineCode { get; set; }
		public virtual string Color { get; set; }
		public virtual string PartName { get; set; }
		public virtual string IsActive { get; set; }
</v>
      </c>
      <c r="P18" s="8" t="str">
        <f ca="1">TEXTJOIN2("
",TRUE,INDIRECT( $O$1):INDIRECT($O$3))</f>
        <v xml:space="preserve">							PartNo = o.PartNo,
							Source = o.Source,
							CarfamilyCode = o.CarfamilyCode,
							CarfamilyName = o.CarfamilyName,
							LineCode = o.LineCode,
							Color = o.Color,
							PartName = o.PartName,
							IsActive = o.IsActive,</v>
      </c>
      <c r="T18" s="8" t="str">
        <f ca="1">TEXTJOIN2("
",TRUE,INDIRECT( $T$2):INDIRECT($T$3))</f>
        <v xml:space="preserve">								("PartNo"),
								("Source"),
								("CarfamilyCode"),
								("CarfamilyName"),
								("LineCode"),
								("Color"),
								("PartName"),
								("IsActive"),</v>
      </c>
      <c r="V18" s="8" t="str">
        <f ca="1">TEXTJOIN2("
",TRUE,INDIRECT( $V$2):INDIRECT($V$3))</f>
        <v xml:space="preserve">								_ =&gt; _.PartNo,
								_ =&gt; _.Source,
								_ =&gt; _.CarfamilyCode,
								_ =&gt; _.CarfamilyName,
								_ =&gt; _.LineCode,
								_ =&gt; _.Color,
								_ =&gt; _.PartName,
								_ =&gt; _.IsActive,</v>
      </c>
      <c r="W18" s="8" t="str">
        <f ca="1">TEXTJOIN2("
",TRUE,INDIRECT( $W$2):INDIRECT($W$3))</f>
        <v xml:space="preserve">				.WhereIf(!string.IsNullOrWhiteSpace(input.PartNo), e =&gt; e.PartNo.Contains(input.PartNo))
				.WhereIf(!string.IsNullOrWhiteSpace(input.Source), e =&gt; e.Source.Contains(input.Source))
				.WhereIf(!string.IsNullOrWhiteSpace(input.CarfamilyCode), e =&gt; e.CarfamilyCode.Contains(input.CarfamilyCode))
				.WhereIf(!string.IsNullOrWhiteSpace(input.CarfamilyName), e =&gt; e.CarfamilyName.Contains(input.CarfamilyName))
				.WhereIf(!string.IsNullOrWhiteSpace(input.LineCode), e =&gt; e.LineCode.Contains(input.LineCode))
				.WhereIf(!string.IsNullOrWhiteSpace(input.Color), e =&gt; e.Color.Contains(input.Color))
				.WhereIf(!string.IsNullOrWhiteSpace(input.PartName), e =&gt; e.PartName.Contains(input.PartName))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workbookViewId="0">
      <selection activeCell="C25" sqref="C24:C2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377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MstInvLotPart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InvLotPart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invlotpart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MstInvLotPartDto, MstInvLotPartServiceProxy } from '@shared/service-proxies/service-proxies';
import { finalize } from 'rxjs/internal/operators/finalize';
import { CreateOrEditInvLotPartModalComponent } from './create-or-edit-invlotpart-modal.component';
import { DatePipe } from '@angular/common';
import { FileDownloadService } from '@shared/utils/file-download.service';
import ceil from 'lodash-es/ceil';
import { Paginator } from 'primeng/paginator';
@Component({
    templateUrl: './invlotpart.component.html',
    styleUrls: ['./invlotpart.component.less'],
})
export class InvLotPartComponent extends AppComponentBase implements OnInit {
    @ViewChild('createOrEditModalInvLotPart', { static: true }) createOrEditModalInvLotPart:| CreateOrEditInvLotPartModalComponent|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MstInvLotPartDto = new MstInvLotPartDto();
    saveSelectedRow: MstInvLotPartDto = new MstInvLotPartDto();
    datas: MstInvLotPartDto = new MstInvLotPartDto();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source : string = '' ; 
	carfamilyCode : string = '' ; 
	carfamilyName : string = '' ; 
	lineCode : string = '' ; 
	color : string = '' ; 
	partName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MstInvLotPartServiceProxy,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this.l('Source'),headerTooltip: this.l('Source'),field: 'source',flex: 1},
			{headerName: this.l('Carfamily Code'),headerTooltip: this.l('Carfamily Code'),field: 'carfamilyCode',flex: 1},
			{headerName: this.l('Carfamily Name'),headerTooltip: this.l('Carfamily Name'),field: 'carfamilyName',flex: 1},
			{headerName: this.l('Line Code'),headerTooltip: this.l('Line Code'),field: 'lineCode',flex: 1},
			{headerName: this.l('Color'),headerTooltip: this.l('Color'),field: 'color',flex: 1},
			{headerName: this.l('Part Name'),headerTooltip: this.l('Part Name'),field: 'partName',flex: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this.source,
			this.carfamilyCode,
			this.carfamilyName,
			this.lineCode,
			this.carfamilyName,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source : string = '' ; 
	carfamilyCode : string = '' ; 
	carfamilyName : string = '' ; 
	lineCode : string = '' ; 
	color : string = '' ; 
	partName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this.source,
			this.carfamilyCode,
			this.carfamilyName,
			this.lineCode,
			this.carfamilyName,
			'',
            this.paginationParams.skipCount,
            this.paginationParams.pageSize
        );
    }
    onChangeRowSelection(params: { api: { getSelectedRows: () =&gt; MstInvLotPartDto[] } }) {
        this.saveSelectedRow = params.api.getSelectedRows()[0] ?? new MstInvLotPartDto();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MstInvLotPartDto):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this._service.getInvLotPartToExcel(
			this.,
			this.partNo,
			this.source,
			this.carfamilyCode,
			this.carfamilyName,
			this.lineCode,
			this.carfamilyName,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 Lot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[(ngModel)]='carfamilyName' name='carfamilyName'
									class='form-control' [placeholder]="l('Carfamily Name')"
									type='text' (keyup.enter)='searchDatas()'&gt;
								&lt;/div&gt;
								&lt;div class='input-search'&gt;
									&lt;input [(ngModel)]='lineCode' name='lineCode'
									class='form-control' [placeholder]="l('Line Code')"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(click)="createOrEditModalInvLotPart.show()"&gt;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(click)="createOrEditModalInvLotPart.show(selectedRow)"&gt;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&lt;create-or-edit-invlotpart-modal
    #createOrEditModalInvLotPart
    (modalSave)="callBackDataGrid(dataParams)"
    (modalClose)="onChangeRowSelection(dataParams)"
&gt;
&lt;/create-or-edit-invlotpart-modal&gt;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#createOrEditModalInvLotPart="bs-modal"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InvLotPart')}}&lt;/h3&gt;
                    &lt;h3 *ngIf="!rowdata.id"&gt;{{('Create New InvLotPart')}}&lt;/h3&gt;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title'&gt;Carfamily Name&lt;/label&gt;
						&lt;input type='text' class='col-md-10 form-control input-text' name='CarfamilyName' [(ngModel)]='rowdata.carfamilyName'&gt;
					&lt;/div&gt;
					&lt;div class='col-md-12 form-group row'&gt;
						&lt;label class='col-md-2 form-control title'&gt;Line Code&lt;/label&gt;
						&lt;input type='text' class='col-md-10 form-control input-text' name='LineCode' [(ngModel)]='rowdata.lineCode'&gt;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CreateOrEditMstInvLotPartDto, MstInvLotPartServiceProxy } from '@shared/service-proxies/service-proxies';
import { BsDatepickerDirective } from 'ngx-bootstrap/datepicker';
@Component({
    selector: 'create-or-edit-invlotpart-modal',
    templateUrl: './create-or-edit-invlotpart-modal.component.html',
    styleUrls: ['./create-or-edit-invlotpart-modal.component.less']
    })
export class CreateOrEditInvLotPartModalComponent extends AppComponentBase {
    @ViewChild('createOrEditModalInvLotPart',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CreateOrEditMstInvLotPartDto = new CreateOrEditMstInvLotPartDto();
    active: boolean = false;
    saving: boolean = false;
    _isActive: boolean;
    constructor(
        injector: Injector,
        private _mstwptInvLotPartService: MstInvLotPartServiceProxy,
    ) 
    {
        super(injector);
    }
    show(rowdata?: CreateOrEditMstInvLotPartDto): void {
        if (!rowdata) this.rowdata = new CreateOrEditMstInvLotPartDto();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this._mstwptInvLotPartService.createOrEdit(this.rowdata)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InvLotPartRoutingModule } from './invlotpart-routing.module';
import { InvLotPartComponent } from './invlotpart.component';
import { CreateOrEditInvLotPartModalComponent } from './create-or-edit-invlotpart-modal.component';
@NgModule({
    declarations: [
       InvLotPartComponent, 
        CreateOrEditInvLotPartModalComponent
    ],
    imports: [
        AppSharedModule, InvLotPartRoutingModule]
})
export class InvLotPartModule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InvLotPartComponent } from './invlotpart.component';
const routes: Routes = [{
    path: '',
    component: InvLotPartComponent,
    pathMatch: 'full'
}];
@NgModule({
    imports: [RouterModule.forChild(routes)],
    exports: [RouterModule],
})
export class InvLotPartRoutingModule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AppMenuItem("InvLotPart", "Pages.Master.Inv.InvLotPart", "flaticon-book",   "/app/main/master/inv/invlotpart"),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'master/inv/invlotpart',
    loadChildren: () =&gt; import('./master/inv/invlotpart/invlotpart.module').then(m =&gt; m.InvLotPartModule),
    data: { permission: 'Pages.Master.Inv.InvLotPart' }
},</v>
      </c>
      <c r="R10" s="47" t="str">
        <f>SUBSTITUTE(R9,"MstWptCalendar",$B$6)</f>
        <v>ApiServiceProxies.MstInvLotPartServiceProxy,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H22</v>
      </c>
      <c r="I12" s="28" t="str">
        <f>"I"&amp;COUNTA($A:$A)</f>
        <v>I22</v>
      </c>
      <c r="J12" s="28"/>
      <c r="K12" s="28" t="str">
        <f>"K"&amp;COUNTA($A:$A)</f>
        <v>K22</v>
      </c>
      <c r="L12" s="28" t="str">
        <f>"L"&amp;COUNTA($A:$A)</f>
        <v>L22</v>
      </c>
      <c r="M12" s="28"/>
      <c r="N12" s="28"/>
      <c r="O12" s="28"/>
      <c r="P12" s="28"/>
      <c r="Q12" s="28"/>
      <c r="R12" s="28"/>
      <c r="S12" s="28" t="str">
        <f>"S"&amp;COUNTA($A:$A)</f>
        <v>S22</v>
      </c>
      <c r="T12" s="28" t="str">
        <f>"T"&amp;COUNTA($A:$A)</f>
        <v>T22</v>
      </c>
      <c r="U12" s="28" t="str">
        <f>"U"&amp;COUNTA($A:$A)</f>
        <v>U22</v>
      </c>
      <c r="V12" s="28" t="str">
        <f>"V"&amp;COUNTA($A:$A)</f>
        <v>V22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this.l('Source'),headerTooltip: this.l('Source'),field: 'source',flex: 1},
			{headerName: this.l('Carfamily Code'),headerTooltip: this.l('Carfamily Code'),field: 'carfamilyCode',flex: 1},
			{headerName: this.l('Carfamily Name'),headerTooltip: this.l('Carfamily Name'),field: 'carfamilyName',flex: 1},
			{headerName: this.l('Line Code'),headerTooltip: this.l('Line Code'),field: 'lineCode',flex: 1},
			{headerName: this.l('Color'),headerTooltip: this.l('Color'),field: 'color',flex: 1},
			{headerName: this.l('Part Name'),headerTooltip: this.l('Part Name'),field: 'partName',flex: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[(ngModel)]='carfamilyName' name='carfamilyName'
									class='form-control' [placeholder]="l('Carfamily Name')"
									type='text' (keyup.enter)='searchDatas()'&gt;
								&lt;/div&gt;
								&lt;div class='input-search'&gt;
									&lt;input [(ngModel)]='lineCode' name='lineCode'
									class='form-control' [placeholder]="l('Line Code')"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title'&gt;Carfamily Name&lt;/label&gt;
						&lt;input type='text' class='col-md-10 form-control input-text' name='CarfamilyName' [(ngModel)]='rowdata.carfamilyName'&gt;
					&lt;/div&gt;
					&lt;div class='col-md-12 form-group row'&gt;
						&lt;label class='col-md-2 form-control title'&gt;Line Code&lt;/label&gt;
						&lt;input type='text' class='col-md-10 form-control input-text' name='LineCode' [(ngModel)]='rowdata.lineCode'&gt;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source : string = '' ; 
	carfamilyCode : string = '' ; 
	carfamilyName : string = '' ; 
	lineCode : string = '' ; 
	color : string = '' ; 
	partName : string = '' ; 
</v>
      </c>
      <c r="T13" s="62" t="str">
        <f ca="1">TEXTJOIN2("
",TRUE,INDIRECT(T11):INDIRECT(T12))</f>
        <v xml:space="preserve">			this.,
			this.partNo,
			this.source,
			this.carfamilyCode,
			this.carfamilyName,
			this.lineCode,
			this.carfamilyName,
</v>
      </c>
      <c r="U13" s="62" t="str">
        <f ca="1">TEXTJOIN2("
",TRUE,INDIRECT(U11):INDIRECT(U12))</f>
        <v xml:space="preserve">	partNo : string = '' ; 
	source : string = '' ; 
	carfamilyCode : string = '' ; 
	carfamilyName : string = '' ; 
	lineCode : string = '' ; 
	color : string = '' ; 
	partName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invlotpart.component.ts</v>
      </c>
      <c r="I14" s="37" t="str">
        <f>B8&amp;".component.html"</f>
        <v>invlotpart.component.html</v>
      </c>
      <c r="J14" s="36" t="str">
        <f>B8&amp;".component.less"</f>
        <v>invlotpart.component.less</v>
      </c>
      <c r="K14" s="37" t="str">
        <f>"create-or-edit-"&amp;B8&amp;"-modal.component.html"</f>
        <v>create-or-edit-invlotpart-modal.component.html</v>
      </c>
      <c r="L14" s="37" t="str">
        <f>"create-or-edit-"&amp;B8&amp;"-modal.component.ts"</f>
        <v>create-or-edit-invlotpart-modal.component.ts</v>
      </c>
      <c r="M14" s="37" t="str">
        <f>"create-or-edit-"&amp;B8&amp;"-modal.component.less"</f>
        <v>create-or-edit-invlotpart-modal.component.less</v>
      </c>
      <c r="N14" s="37" t="str">
        <f>B8&amp;".module.ts"</f>
        <v>invlotpart.module.ts</v>
      </c>
      <c r="O14" s="37" t="str">
        <f>B8&amp;"-routing.module.ts"</f>
        <v>invlotpart-routing.module.ts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361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2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362</v>
      </c>
      <c r="B16" s="28" t="str">
        <f t="shared" ref="B16:B22" si="8">SUBSTITUTE(PROPER(A16),"_","")</f>
        <v>Source</v>
      </c>
      <c r="C16" s="28" t="str">
        <f t="shared" ref="C16:C22" si="9">SUBSTITUTE(PROPER(A16),"_"," ")</f>
        <v>Source</v>
      </c>
      <c r="D16" s="28" t="str">
        <f t="shared" ref="D16:D22" si="10">LOWER(LEFT(B16,1))&amp;RIGHT(B16,LEN(B16) - 1)</f>
        <v>source</v>
      </c>
      <c r="E16" s="28" t="str">
        <f>A.Backend!H10</f>
        <v>string</v>
      </c>
      <c r="F16" s="28" t="str">
        <f>A.Backend!G10</f>
        <v>10</v>
      </c>
      <c r="G16" s="28" t="str">
        <f t="shared" ref="G16:G22" si="11">IF(E16="string"," : string = '' ; ",IF(OR(E16="DateTime",E16="TimeSpan")," : any ;",IF(E16="int"," : number = 0 ;","")))</f>
        <v xml:space="preserve"> : string = '' ; </v>
      </c>
      <c r="H16" s="35" t="str">
        <f t="shared" ref="H16:H22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this.l('Source'),headerTooltip: this.l('Source'),field: 'source',flex: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[(ngModel)]='source' name='source'
									class='form-control' [placeholder]="l('Source')"
									type='text' (keyup.enter)='searchDatas()'&gt;
								&lt;/div&gt;</v>
      </c>
      <c r="J16" s="28"/>
      <c r="K16" s="35" t="str">
        <f t="shared" ref="K16:K22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title'&gt;Source&lt;/label&gt;
						&lt;input type='text' class='col-md-10 form-control input-text' name='Source' [(ngModel)]='rowdata.source'&gt;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2" si="15">IF(AND(E16="string",F16 &lt;&gt;"1"),(REPT(CHAR(9),1)&amp;D16&amp;G16),"")</f>
        <v xml:space="preserve">	source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22" si="16">IF(AND(E16="string",F16 &lt;&gt;"1"),(REPT(CHAR(9),1)&amp;D16&amp;G16),"")</f>
        <v xml:space="preserve">	source : string = '' ; </v>
      </c>
      <c r="V16" s="28" t="str">
        <f t="shared" ref="V16:V22" si="17">IF(AND(E16="string",F16="1"),D16,"")</f>
        <v/>
      </c>
    </row>
    <row r="17" spans="1:22" ht="18" customHeight="1" x14ac:dyDescent="0.25">
      <c r="A17" t="s">
        <v>363</v>
      </c>
      <c r="B17" s="28" t="str">
        <f t="shared" si="8"/>
        <v>CarfamilyCode</v>
      </c>
      <c r="C17" s="28" t="str">
        <f t="shared" si="9"/>
        <v>Carfamily Code</v>
      </c>
      <c r="D17" s="28" t="str">
        <f t="shared" si="10"/>
        <v>carfamilyCode</v>
      </c>
      <c r="E17" s="28" t="str">
        <f>A.Backend!H11</f>
        <v>string</v>
      </c>
      <c r="F17" s="28" t="str">
        <f>A.Backend!G11</f>
        <v>4</v>
      </c>
      <c r="G17" s="28" t="str">
        <f t="shared" si="11"/>
        <v xml:space="preserve"> : string = '' ; </v>
      </c>
      <c r="H17" s="35" t="str">
        <f t="shared" si="12"/>
        <v xml:space="preserve">			{headerName: this.l('Carfamily Code'),headerTooltip: this.l('Carfamily Code'),field: 'carfamilyCode',flex: 1},</v>
      </c>
      <c r="I17" s="35" t="str">
        <f t="shared" si="5"/>
        <v xml:space="preserve">								&lt;div class='input-search'&gt;
									&lt;input [(ngModel)]='carfamilyCode' name='carfamilyCode'
									class='form-control' [placeholder]="l('Carfamily Code')"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carfamilyCode : string = '' ; </v>
      </c>
      <c r="T17" s="28" t="str">
        <f t="shared" ref="T17:T18" si="18">IF(AND(E17="string",F17 &lt;&gt;"1"),(REPT(CHAR(9),3)&amp;"this."&amp;D16&amp;","),"")</f>
        <v xml:space="preserve">			this.source,</v>
      </c>
      <c r="U17" s="28" t="str">
        <f t="shared" si="16"/>
        <v xml:space="preserve">	carfamilyCode : string = '' ; </v>
      </c>
      <c r="V17" s="28" t="str">
        <f t="shared" si="17"/>
        <v/>
      </c>
    </row>
    <row r="18" spans="1:22" ht="15" customHeight="1" x14ac:dyDescent="0.25">
      <c r="A18" t="s">
        <v>364</v>
      </c>
      <c r="B18" s="28" t="str">
        <f t="shared" si="8"/>
        <v>CarfamilyName</v>
      </c>
      <c r="C18" s="28" t="str">
        <f t="shared" si="9"/>
        <v>Carfamily Name</v>
      </c>
      <c r="D18" s="28" t="str">
        <f t="shared" si="10"/>
        <v>carfamilyName</v>
      </c>
      <c r="E18" s="28" t="str">
        <f>A.Backend!H12</f>
        <v>string</v>
      </c>
      <c r="F18" s="28" t="str">
        <f>A.Backend!G12</f>
        <v>30</v>
      </c>
      <c r="G18" s="28" t="str">
        <f t="shared" si="11"/>
        <v xml:space="preserve"> : string = '' ; </v>
      </c>
      <c r="H18" s="35" t="str">
        <f t="shared" si="12"/>
        <v xml:space="preserve">			{headerName: this.l('Carfamily Name'),headerTooltip: this.l('Carfamily Name'),field: 'carfamilyName',flex: 1},</v>
      </c>
      <c r="I18" s="35" t="str">
        <f t="shared" si="5"/>
        <v xml:space="preserve">								&lt;div class='input-search'&gt;
									&lt;input [(ngModel)]='carfamilyName' name='carfamilyName'
									class='form-control' [placeholder]="l('Carfamily Name')"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title'&gt;Carfamily Name&lt;/label&gt;
						&lt;input type='text' class='col-md-10 form-control input-text' name='CarfamilyName' [(ngModel)]='rowdata.carfamilyName'&gt;
					&lt;/div&gt;</v>
      </c>
      <c r="L18" s="56" t="str">
        <f t="shared" ref="L18:L22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carfamilyName : string = '' ; </v>
      </c>
      <c r="T18" s="28" t="str">
        <f t="shared" si="18"/>
        <v xml:space="preserve">			this.carfamilyCode,</v>
      </c>
      <c r="U18" s="28" t="str">
        <f t="shared" si="16"/>
        <v xml:space="preserve">	carfamilyName : string = '' ; </v>
      </c>
      <c r="V18" s="28" t="str">
        <f t="shared" si="17"/>
        <v/>
      </c>
    </row>
    <row r="19" spans="1:22" ht="18" customHeight="1" x14ac:dyDescent="0.25">
      <c r="A19" t="s">
        <v>365</v>
      </c>
      <c r="B19" s="28" t="str">
        <f t="shared" ref="B19:B20" si="20">SUBSTITUTE(PROPER(A19),"_","")</f>
        <v>LineCode</v>
      </c>
      <c r="C19" s="28" t="str">
        <f t="shared" ref="C19:C20" si="21">SUBSTITUTE(PROPER(A19),"_"," ")</f>
        <v>Line Code</v>
      </c>
      <c r="D19" s="28" t="str">
        <f t="shared" ref="D19:D20" si="22">LOWER(LEFT(B19,1))&amp;RIGHT(B19,LEN(B19) - 1)</f>
        <v>lineCode</v>
      </c>
      <c r="E19" s="28" t="str">
        <f>A.Backend!H13</f>
        <v>string</v>
      </c>
      <c r="F19" s="28" t="str">
        <f>A.Backend!G13</f>
        <v>2</v>
      </c>
      <c r="G19" s="28" t="str">
        <f t="shared" ref="G19:G20" si="23">IF(E19="string"," : string = '' ; ",IF(OR(E19="DateTime",E19="TimeSpan")," : any ;",IF(E19="int"," : number = 0 ;","")))</f>
        <v xml:space="preserve"> : string = '' ; </v>
      </c>
      <c r="H19" s="35" t="str">
        <f t="shared" ref="H19:H20" si="24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this.l('Line Code'),headerTooltip: this.l('Line Code'),field: 'lineCode',flex: 1},</v>
      </c>
      <c r="I19" s="35" t="str">
        <f t="shared" ref="I19:I20" si="25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[(ngModel)]='lineCode' name='lineCode'
									class='form-control' [placeholder]="l('Line Code')"
									type='text' (keyup.enter)='searchDatas()'&gt;
								&lt;/div&gt;</v>
      </c>
      <c r="J19" s="28"/>
      <c r="K19" s="35" t="str">
        <f t="shared" ref="K19:K20" si="26">IF(OR(E19="DateTime?",E19="TimeSpan?"),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IF(OR(E19="int?",E19="long?"),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title'&gt;Line Code&lt;/label&gt;
						&lt;input type='text' class='col-md-10 form-control input-text' name='LineCode' [(ngModel)]='rowdata.lineCode'&gt;
					&lt;/div&gt;</v>
      </c>
      <c r="L19" s="56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ref="S19:S20" si="27">IF(AND(E19="string",F19 &lt;&gt;"1"),(REPT(CHAR(9),1)&amp;D19&amp;G19),"")</f>
        <v xml:space="preserve">	lineCode : string = '' ; </v>
      </c>
      <c r="T19" s="28" t="str">
        <f t="shared" ref="T19:T20" si="28">IF(AND(E19="string",F19 &lt;&gt;"1"),(REPT(CHAR(9),3)&amp;"this."&amp;D18&amp;","),"")</f>
        <v xml:space="preserve">			this.carfamilyName,</v>
      </c>
      <c r="U19" s="28" t="str">
        <f t="shared" ref="U19:U20" si="29">IF(AND(E19="string",F19 &lt;&gt;"1"),(REPT(CHAR(9),1)&amp;D19&amp;G19),"")</f>
        <v xml:space="preserve">	lineCode : string = '' ; </v>
      </c>
      <c r="V19" s="28" t="str">
        <f t="shared" ref="V19:V20" si="30">IF(AND(E19="string",F19="1"),D19,"")</f>
        <v/>
      </c>
    </row>
    <row r="20" spans="1:22" ht="15" customHeight="1" x14ac:dyDescent="0.25">
      <c r="A20" t="s">
        <v>366</v>
      </c>
      <c r="B20" s="28" t="str">
        <f t="shared" si="20"/>
        <v>Color</v>
      </c>
      <c r="C20" s="28" t="str">
        <f t="shared" si="21"/>
        <v>Color</v>
      </c>
      <c r="D20" s="28" t="str">
        <f t="shared" si="22"/>
        <v>color</v>
      </c>
      <c r="E20" s="28" t="str">
        <f>A.Backend!H14</f>
        <v>string</v>
      </c>
      <c r="F20" s="28" t="str">
        <f>A.Backend!G14</f>
        <v>10</v>
      </c>
      <c r="G20" s="28" t="str">
        <f t="shared" si="23"/>
        <v xml:space="preserve"> : string = '' ; </v>
      </c>
      <c r="H20" s="35" t="str">
        <f t="shared" si="24"/>
        <v xml:space="preserve">			{headerName: this.l('Color'),headerTooltip: this.l('Color'),field: 'color',flex: 1},</v>
      </c>
      <c r="I20" s="35" t="str">
        <f t="shared" si="2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0" s="28"/>
      <c r="K20" s="35" t="str">
        <f t="shared" si="2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0" s="56" t="str">
        <f t="shared" ref="L20" si="31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27"/>
        <v xml:space="preserve">	color : string = '' ; </v>
      </c>
      <c r="T20" s="28" t="str">
        <f t="shared" si="28"/>
        <v xml:space="preserve">			this.lineCode,</v>
      </c>
      <c r="U20" s="28" t="str">
        <f t="shared" si="29"/>
        <v xml:space="preserve">	color : string = '' ; </v>
      </c>
      <c r="V20" s="28" t="str">
        <f t="shared" si="30"/>
        <v/>
      </c>
    </row>
    <row r="21" spans="1:22" ht="18" customHeight="1" x14ac:dyDescent="0.25">
      <c r="A21" t="s">
        <v>367</v>
      </c>
      <c r="B21" s="28" t="str">
        <f t="shared" si="8"/>
        <v>PartName</v>
      </c>
      <c r="C21" s="28" t="str">
        <f t="shared" si="9"/>
        <v>Part Name</v>
      </c>
      <c r="D21" s="28" t="str">
        <f t="shared" si="10"/>
        <v>partName</v>
      </c>
      <c r="E21" s="28" t="str">
        <f>A.Backend!H13</f>
        <v>string</v>
      </c>
      <c r="F21" s="28" t="str">
        <f>A.Backend!G13</f>
        <v>2</v>
      </c>
      <c r="G21" s="28" t="str">
        <f t="shared" si="11"/>
        <v xml:space="preserve"> : string = '' ; </v>
      </c>
      <c r="H21" s="35" t="str">
        <f t="shared" si="12"/>
        <v xml:space="preserve">			{headerName: this.l('Part Name'),headerTooltip: this.l('Part Name'),field: 'partName',flex: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21" s="28"/>
      <c r="K21" s="35" t="str">
        <f t="shared" si="13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 xml:space="preserve">	partName : string = '' ; </v>
      </c>
      <c r="T21" s="28" t="str">
        <f>IF(AND(E21="string",F21 &lt;&gt;"1"),(REPT(CHAR(9),3)&amp;"this."&amp;D18&amp;","),"")</f>
        <v xml:space="preserve">			this.carfamilyName,</v>
      </c>
      <c r="U21" s="28" t="str">
        <f t="shared" si="16"/>
        <v xml:space="preserve">	partName : string = '' ; </v>
      </c>
      <c r="V21" s="28" t="str">
        <f t="shared" si="17"/>
        <v/>
      </c>
    </row>
    <row r="22" spans="1:22" ht="18" customHeight="1" x14ac:dyDescent="0.25">
      <c r="A22" t="s">
        <v>318</v>
      </c>
      <c r="B22" s="28" t="str">
        <f t="shared" si="8"/>
        <v>IsActive</v>
      </c>
      <c r="C22" s="28" t="str">
        <f t="shared" si="9"/>
        <v>Is Active</v>
      </c>
      <c r="D22" s="28" t="str">
        <f t="shared" si="10"/>
        <v>isActive</v>
      </c>
      <c r="E22" s="28" t="str">
        <f>A.Backend!H16</f>
        <v>string</v>
      </c>
      <c r="F22" s="28" t="str">
        <f>A.Backend!G16</f>
        <v>1</v>
      </c>
      <c r="G22" s="28" t="str">
        <f t="shared" si="11"/>
        <v xml:space="preserve"> : string = '' ; </v>
      </c>
      <c r="H22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5" t="str">
        <f t="shared" si="5"/>
        <v/>
      </c>
      <c r="J22" s="28"/>
      <c r="K22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si="15"/>
        <v/>
      </c>
      <c r="T22" s="28" t="str">
        <f>IF(AND(E22="string",F22 &lt;&gt;"1"),(REPT(CHAR(9),3)&amp;"this."&amp;#REF!&amp;","),"")</f>
        <v/>
      </c>
      <c r="U22" s="28" t="str">
        <f t="shared" si="16"/>
        <v/>
      </c>
      <c r="V22" s="28" t="str">
        <f t="shared" si="17"/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2023-07-06T06:48:26Z</dcterms:modified>
</cp:coreProperties>
</file>
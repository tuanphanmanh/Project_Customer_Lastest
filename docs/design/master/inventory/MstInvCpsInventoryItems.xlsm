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master\inventory\"/>
    </mc:Choice>
  </mc:AlternateContent>
  <bookViews>
    <workbookView xWindow="-120" yWindow="-120" windowWidth="19440" windowHeight="15000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5" l="1"/>
  <c r="D16" i="5" s="1"/>
  <c r="C16" i="5"/>
  <c r="B17" i="5"/>
  <c r="D17" i="5" s="1"/>
  <c r="C17" i="5"/>
  <c r="B18" i="5"/>
  <c r="D18" i="5" s="1"/>
  <c r="C18" i="5"/>
  <c r="B7" i="5" l="1"/>
  <c r="B6" i="5"/>
  <c r="B2" i="5"/>
  <c r="B8" i="5" l="1"/>
  <c r="B3" i="5"/>
  <c r="B6" i="1" l="1"/>
  <c r="C15" i="5" l="1"/>
  <c r="B15" i="5"/>
  <c r="D15" i="5" s="1"/>
  <c r="L12" i="1"/>
  <c r="G12" i="1"/>
  <c r="F18" i="5" s="1"/>
  <c r="E12" i="1"/>
  <c r="H12" i="1" s="1"/>
  <c r="E18" i="5" s="1"/>
  <c r="D12" i="1"/>
  <c r="V12" i="1" s="1"/>
  <c r="G10" i="1"/>
  <c r="E10" i="1"/>
  <c r="H10" i="1" s="1"/>
  <c r="D10" i="1"/>
  <c r="T10" i="1" s="1"/>
  <c r="E17" i="5" l="1"/>
  <c r="F17" i="5"/>
  <c r="T17" i="5" s="1"/>
  <c r="G18" i="5"/>
  <c r="U18" i="5" s="1"/>
  <c r="V18" i="5"/>
  <c r="I18" i="5"/>
  <c r="T18" i="5"/>
  <c r="K18" i="5"/>
  <c r="H18" i="5"/>
  <c r="G17" i="5"/>
  <c r="S17" i="5" s="1"/>
  <c r="V17" i="5"/>
  <c r="L18" i="5"/>
  <c r="L17" i="5"/>
  <c r="M10" i="1"/>
  <c r="L10" i="1"/>
  <c r="P10" i="1"/>
  <c r="W12" i="1"/>
  <c r="O12" i="1"/>
  <c r="J12" i="1"/>
  <c r="I12" i="1"/>
  <c r="N12" i="1"/>
  <c r="M12" i="1"/>
  <c r="I10" i="1"/>
  <c r="N10" i="1"/>
  <c r="V10" i="1"/>
  <c r="P12" i="1"/>
  <c r="J10" i="1"/>
  <c r="O10" i="1"/>
  <c r="W10" i="1"/>
  <c r="T12" i="1"/>
  <c r="I17" i="5" l="1"/>
  <c r="K17" i="5"/>
  <c r="H17" i="5"/>
  <c r="S18" i="5"/>
  <c r="U17" i="5"/>
  <c r="G9" i="1"/>
  <c r="F15" i="5" s="1"/>
  <c r="E9" i="1"/>
  <c r="H9" i="1" s="1"/>
  <c r="E15" i="5" s="1"/>
  <c r="D9" i="1"/>
  <c r="V9" i="1" s="1"/>
  <c r="K15" i="5" l="1"/>
  <c r="T15" i="5"/>
  <c r="I15" i="5"/>
  <c r="H15" i="5"/>
  <c r="G15" i="5"/>
  <c r="S15" i="5" s="1"/>
  <c r="V15" i="5"/>
  <c r="L15" i="5"/>
  <c r="W9" i="1"/>
  <c r="P9" i="1"/>
  <c r="T9" i="1"/>
  <c r="I9" i="1"/>
  <c r="N9" i="1"/>
  <c r="M9" i="1"/>
  <c r="J9" i="1"/>
  <c r="O9" i="1"/>
  <c r="U15" i="5" l="1"/>
  <c r="Q3" i="1"/>
  <c r="B4" i="5" s="1"/>
  <c r="B5" i="5" s="1"/>
  <c r="G11" i="1" l="1"/>
  <c r="F16" i="5" s="1"/>
  <c r="E11" i="1"/>
  <c r="H11" i="1" s="1"/>
  <c r="E16" i="5" s="1"/>
  <c r="D11" i="1"/>
  <c r="T11" i="1" s="1"/>
  <c r="H16" i="5" l="1"/>
  <c r="T16" i="5"/>
  <c r="G16" i="5"/>
  <c r="S16" i="5" s="1"/>
  <c r="V16" i="5"/>
  <c r="K16" i="5"/>
  <c r="I16" i="5"/>
  <c r="L16" i="5"/>
  <c r="P11" i="1"/>
  <c r="V11" i="1"/>
  <c r="W11" i="1"/>
  <c r="J11" i="1"/>
  <c r="I11" i="1"/>
  <c r="O11" i="1"/>
  <c r="N11" i="1"/>
  <c r="M11" i="1"/>
  <c r="U16" i="5" l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4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4" i="1"/>
  <c r="T13" i="5"/>
  <c r="T7" i="1" l="1"/>
  <c r="W14" i="1"/>
  <c r="G6" i="1" l="1"/>
  <c r="L13" i="5"/>
  <c r="K13" i="5"/>
  <c r="H13" i="5"/>
  <c r="I13" i="5"/>
  <c r="S13" i="5"/>
  <c r="U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11" i="1"/>
  <c r="C7" i="1"/>
  <c r="P14" i="1"/>
  <c r="J14" i="1"/>
  <c r="I14" i="1"/>
  <c r="O14" i="1"/>
  <c r="N14" i="1"/>
  <c r="Q7" i="1" l="1"/>
  <c r="M68" i="3" s="1"/>
  <c r="L7" i="1"/>
  <c r="G68" i="3" s="1"/>
  <c r="K68" i="3"/>
  <c r="J68" i="3"/>
  <c r="M14" i="1"/>
  <c r="K14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<sst xmlns="http://schemas.openxmlformats.org/spreadsheetml/2006/main" count="450" uniqueCount="368">
  <si>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</si>
  <si>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</si>
  <si>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</si>
  <si>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</si>
  <si>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</si>
  <si>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</si>
  <si>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</si>
  <si>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</si>
  <si>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</si>
  <si>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</si>
  <si>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</si>
  <si>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</si>
  <si>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</si>
  <si>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</si>
  <si>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</si>
  <si>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</si>
  <si>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</si>
  <si>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</si>
  <si>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</si>
  <si>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</si>
  <si>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</si>
  <si>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</si>
  <si>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</si>
  <si>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</si>
  <si>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</si>
  <si>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</si>
  <si>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</si>
  <si>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</si>
  <si>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</si>
  <si>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</si>
  <si>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</si>
  <si>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</si>
  <si>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</si>
  <si>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</si>
  <si>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</si>
  <si>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</si>
  <si>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</si>
  <si>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</si>
  <si>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</si>
  <si>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</si>
  <si>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</si>
  <si>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</si>
  <si>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</si>
  <si>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</si>
  <si>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</si>
  <si>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</si>
  <si>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</si>
  <si>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</si>
  <si>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</si>
  <si>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</si>
  <si>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</si>
  <si>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</si>
  <si>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</si>
  <si>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</si>
  <si>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</si>
  <si>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</si>
  <si>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</si>
  <si>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</si>
  <si>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</si>
  <si>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</si>
  <si>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</si>
  <si>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</si>
  <si>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</si>
  <si>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</si>
  <si>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</si>
  <si>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</si>
  <si>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</si>
  <si>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</si>
  <si>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</si>
  <si>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</si>
  <si>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</si>
  <si>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</si>
  <si>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</si>
  <si>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</si>
  <si>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</si>
  <si>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</si>
  <si>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</si>
  <si>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</si>
  <si>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</si>
  <si>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</si>
  <si>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</si>
  <si>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</si>
  <si>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</si>
  <si>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</si>
  <si>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</si>
  <si>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</si>
  <si>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</si>
  <si>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</si>
  <si>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</si>
  <si>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</si>
  <si>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</si>
  <si>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</si>
  <si>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</si>
  <si>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</si>
  <si>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</si>
  <si>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</si>
  <si>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</si>
  <si>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</si>
  <si>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</si>
  <si>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</si>
  <si>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</si>
  <si>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</si>
  <si>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</si>
  <si>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</si>
  <si>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</si>
  <si>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</si>
  <si>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</si>
  <si>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</si>
  <si>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</si>
  <si>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</si>
  <si>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</si>
  <si>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</si>
  <si>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</si>
  <si>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</si>
  <si>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</si>
  <si>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</si>
  <si>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</si>
  <si>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</si>
  <si>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</si>
  <si>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</si>
  <si>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</si>
  <si>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</si>
  <si>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</si>
  <si>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</si>
  <si>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</si>
  <si>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</si>
  <si>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</si>
  <si>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</si>
  <si>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</si>
  <si>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</si>
  <si>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</si>
  <si>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</si>
  <si>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</si>
  <si>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</si>
  <si>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</si>
  <si>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</si>
  <si>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</si>
  <si>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</si>
  <si>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</si>
  <si>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</si>
  <si>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</si>
  <si>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</si>
  <si>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</si>
  <si>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</si>
  <si>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</si>
  <si>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</si>
  <si>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</si>
  <si>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</si>
  <si>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</si>
  <si>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</si>
  <si>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</si>
  <si>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</si>
  <si>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</si>
  <si>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</si>
  <si>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</si>
  <si>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</si>
  <si>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</si>
  <si>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</si>
  <si>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</si>
  <si>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</si>
  <si>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</si>
  <si>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</si>
  <si>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</si>
  <si>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</si>
  <si>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</si>
  <si>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</si>
  <si>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</si>
  <si>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</si>
  <si>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</si>
  <si>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</si>
  <si>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</si>
  <si>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</si>
  <si>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</si>
  <si>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</si>
  <si>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</si>
  <si>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</si>
  <si>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</si>
  <si>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</si>
  <si>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</si>
  <si>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</si>
  <si>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</si>
  <si>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</si>
  <si>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</si>
  <si>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</si>
  <si>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</si>
  <si>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</si>
  <si>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</si>
  <si>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</si>
  <si>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</si>
  <si>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</si>
  <si>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</si>
  <si>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</si>
  <si>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</si>
  <si>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</si>
  <si>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</si>
  <si>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</si>
  <si>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</si>
  <si>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</si>
  <si>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</si>
  <si>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</si>
  <si>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</si>
  <si>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</si>
  <si>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</si>
  <si>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</si>
  <si>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</si>
  <si>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</si>
  <si>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</si>
  <si>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</si>
  <si>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</si>
  <si>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</si>
  <si>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</si>
  <si>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</si>
  <si>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</si>
  <si>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</si>
  <si>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</si>
  <si>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</si>
  <si>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</si>
  <si>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</si>
  <si>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</si>
  <si>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</si>
  <si>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</si>
  <si>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</si>
  <si>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</si>
  <si>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</si>
  <si>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</si>
  <si>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</si>
  <si>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</si>
  <si>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</si>
  <si>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</si>
  <si>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</si>
  <si>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</si>
  <si>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</si>
  <si>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</si>
  <si>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</si>
  <si>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</si>
  <si>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</si>
  <si>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</si>
  <si>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</si>
  <si>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</si>
  <si>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</si>
  <si>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</si>
  <si>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</si>
  <si>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</si>
  <si>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</si>
  <si>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</si>
  <si>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</si>
  <si>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</si>
  <si>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</si>
  <si>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</si>
  <si>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</si>
  <si>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</si>
  <si>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</si>
  <si>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</si>
  <si>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</si>
  <si>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</si>
  <si>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</si>
  <si>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</si>
  <si>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</si>
  <si>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</si>
  <si>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</si>
  <si>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</si>
  <si>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</si>
  <si>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</si>
  <si>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</si>
  <si>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</si>
  <si>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</si>
  <si>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</si>
  <si>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</si>
  <si>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</si>
  <si>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</si>
  <si>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</si>
  <si>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</si>
  <si>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</si>
  <si>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</si>
  <si>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</si>
  <si>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</si>
  <si>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</si>
  <si>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</si>
  <si>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</si>
  <si>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</si>
  <si>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</si>
  <si>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</si>
  <si>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</si>
  <si>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</si>
  <si>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</si>
  <si>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</si>
  <si>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</si>
  <si>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</si>
  <si>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</si>
  <si>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</si>
  <si>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</si>
  <si>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</si>
  <si>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</si>
  <si>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</si>
  <si>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</si>
  <si>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</si>
  <si>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</si>
  <si>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</si>
  <si>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</si>
  <si>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</si>
  <si>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</si>
  <si>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</si>
  <si>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</si>
  <si>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</si>
  <si>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</si>
  <si>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</si>
  <si>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</si>
  <si>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</si>
  <si>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</si>
  <si>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</si>
  <si>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</si>
  <si>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</si>
  <si>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</si>
  <si>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</si>
  <si>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</si>
  <si>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</si>
  <si>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</si>
  <si>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</si>
  <si>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</si>
  <si>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</si>
  <si>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</si>
  <si>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</si>
  <si>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</si>
  <si>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</si>
  <si>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</si>
  <si>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</si>
  <si>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</si>
  <si>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</si>
  <si>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</si>
  <si>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</si>
  <si>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</si>
  <si>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</si>
  <si>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</si>
  <si>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</si>
  <si>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</si>
  <si>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</si>
  <si>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</si>
  <si>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</si>
  <si>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</si>
  <si>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</si>
  <si>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</si>
  <si>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</si>
  <si>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</si>
  <si>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</si>
  <si>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</si>
  <si>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</si>
  <si>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</si>
  <si>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</si>
  <si>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</si>
  <si>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</si>
  <si>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</si>
  <si>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</si>
  <si>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</si>
  <si>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</si>
  <si>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nvarchar(50)</t>
  </si>
  <si>
    <t>CPS</t>
  </si>
  <si>
    <t>Cps</t>
  </si>
  <si>
    <t>InvCps</t>
  </si>
  <si>
    <t>Master.Inventory</t>
  </si>
  <si>
    <t>MstInvCpsInventoryItems</t>
  </si>
  <si>
    <t>CpsInventoryItems</t>
  </si>
  <si>
    <t>PART_NO</t>
  </si>
  <si>
    <t>nvarchar(40)</t>
  </si>
  <si>
    <t>COLOR</t>
  </si>
  <si>
    <t>PART_NAME</t>
  </si>
  <si>
    <t>nvarchar(500)</t>
  </si>
  <si>
    <t>PUOM</t>
  </si>
  <si>
    <t>Mst Cps Inventory 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</si>
</sst>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52" zoomScaleNormal="100" workbookViewId="0">
      <selection activeCell="C68" sqref="C6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344</v>
      </c>
      <c r="F18" s="1" t="s">
        <v>346</v>
      </c>
      <c r="G18" t="s">
        <v>345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318</v>
      </c>
      <c r="F42" s="1" t="s">
        <v>331</v>
      </c>
      <c r="G42" t="s">
        <v>331</v>
      </c>
    </row>
    <row r="43" spans="1:8" x14ac:dyDescent="0.25">
      <c r="A43" s="1"/>
      <c r="D43" t="s">
        <v>319</v>
      </c>
      <c r="F43" s="1" t="s">
        <v>325</v>
      </c>
      <c r="G43" t="s">
        <v>332</v>
      </c>
    </row>
    <row r="44" spans="1:8" x14ac:dyDescent="0.25">
      <c r="A44" s="1"/>
      <c r="D44" t="s">
        <v>321</v>
      </c>
      <c r="F44" s="1" t="s">
        <v>326</v>
      </c>
      <c r="G44" t="s">
        <v>333</v>
      </c>
    </row>
    <row r="45" spans="1:8" x14ac:dyDescent="0.25">
      <c r="A45" s="1"/>
      <c r="D45" t="s">
        <v>320</v>
      </c>
      <c r="F45" s="1" t="s">
        <v>327</v>
      </c>
      <c r="G45" t="s">
        <v>334</v>
      </c>
    </row>
    <row r="46" spans="1:8" x14ac:dyDescent="0.25">
      <c r="A46" s="1"/>
      <c r="D46" t="s">
        <v>323</v>
      </c>
      <c r="F46" s="1" t="s">
        <v>328</v>
      </c>
      <c r="G46" t="s">
        <v>335</v>
      </c>
    </row>
    <row r="47" spans="1:8" x14ac:dyDescent="0.25">
      <c r="A47" s="1"/>
      <c r="D47" t="s">
        <v>341</v>
      </c>
      <c r="F47" s="1" t="s">
        <v>342</v>
      </c>
      <c r="G47" t="s">
        <v>343</v>
      </c>
    </row>
    <row r="48" spans="1:8" x14ac:dyDescent="0.25">
      <c r="A48" s="1"/>
      <c r="D48" t="s">
        <v>324</v>
      </c>
      <c r="F48" s="1" t="s">
        <v>329</v>
      </c>
      <c r="G48" t="s">
        <v>336</v>
      </c>
    </row>
    <row r="49" spans="1:7" x14ac:dyDescent="0.25">
      <c r="A49" s="1"/>
      <c r="D49" t="s">
        <v>322</v>
      </c>
      <c r="F49" s="1" t="s">
        <v>330</v>
      </c>
      <c r="G49" t="s">
        <v>337</v>
      </c>
    </row>
    <row r="50" spans="1:7" x14ac:dyDescent="0.25">
      <c r="A50" s="1"/>
      <c r="D50" t="s">
        <v>338</v>
      </c>
      <c r="F50" s="1" t="s">
        <v>339</v>
      </c>
      <c r="G50" t="s">
        <v>340</v>
      </c>
    </row>
    <row r="51" spans="1:7" x14ac:dyDescent="0.25">
      <c r="A51" s="1"/>
      <c r="D51" t="s">
        <v>355</v>
      </c>
      <c r="F51" s="1" t="s">
        <v>356</v>
      </c>
      <c r="G51" t="s">
        <v>357</v>
      </c>
    </row>
    <row r="52" spans="1:7" x14ac:dyDescent="0.25">
      <c r="A52" s="1"/>
      <c r="B52" t="s">
        <v>82</v>
      </c>
    </row>
    <row r="53" spans="1:7" x14ac:dyDescent="0.25">
      <c r="A53" s="1"/>
      <c r="B53" t="s">
        <v>79</v>
      </c>
    </row>
    <row r="54" spans="1:7" x14ac:dyDescent="0.25">
      <c r="A54" s="1"/>
      <c r="C54" s="17" t="s">
        <v>76</v>
      </c>
    </row>
    <row r="55" spans="1:7" x14ac:dyDescent="0.25">
      <c r="A55" s="1"/>
      <c r="C55" s="16" t="s">
        <v>77</v>
      </c>
    </row>
    <row r="56" spans="1:7" x14ac:dyDescent="0.25">
      <c r="A56" s="1"/>
      <c r="C56" s="16" t="s">
        <v>78</v>
      </c>
    </row>
    <row r="57" spans="1:7" x14ac:dyDescent="0.25">
      <c r="A57" s="1"/>
      <c r="B57" t="s">
        <v>102</v>
      </c>
      <c r="C57" s="16"/>
    </row>
    <row r="58" spans="1:7" x14ac:dyDescent="0.25">
      <c r="A58" s="1"/>
      <c r="C58" s="16" t="s">
        <v>103</v>
      </c>
    </row>
    <row r="59" spans="1:7" x14ac:dyDescent="0.25">
      <c r="A59" s="1"/>
      <c r="C59" s="16" t="s">
        <v>104</v>
      </c>
    </row>
    <row r="60" spans="1:7" x14ac:dyDescent="0.25">
      <c r="A60" s="1"/>
      <c r="C60" s="16" t="s">
        <v>105</v>
      </c>
    </row>
    <row r="61" spans="1:7" x14ac:dyDescent="0.25">
      <c r="A61" s="1"/>
      <c r="C61" s="16" t="s">
        <v>107</v>
      </c>
    </row>
    <row r="62" spans="1:7" x14ac:dyDescent="0.25">
      <c r="A62" s="1"/>
      <c r="C62" s="16" t="s">
        <v>109</v>
      </c>
    </row>
    <row r="63" spans="1:7" x14ac:dyDescent="0.25">
      <c r="A63" s="1"/>
      <c r="C63" s="16" t="s">
        <v>108</v>
      </c>
    </row>
    <row r="64" spans="1:7" x14ac:dyDescent="0.25">
      <c r="A64" s="1"/>
      <c r="C64" s="16" t="s">
        <v>106</v>
      </c>
    </row>
    <row r="65" spans="2:14" ht="21" customHeight="1" x14ac:dyDescent="0.25">
      <c r="B65" s="19" t="s">
        <v>74</v>
      </c>
    </row>
    <row r="66" spans="2:14" ht="21" customHeight="1" x14ac:dyDescent="0.25">
      <c r="B66" s="59" t="s">
        <v>226</v>
      </c>
    </row>
    <row r="67" spans="2:14" ht="15.75" thickBot="1" x14ac:dyDescent="0.3">
      <c r="C67" s="1" t="s">
        <v>68</v>
      </c>
      <c r="D67" s="1" t="s">
        <v>202</v>
      </c>
      <c r="E67" s="1" t="s">
        <v>203</v>
      </c>
      <c r="F67" s="1" t="s">
        <v>194</v>
      </c>
      <c r="G67" s="1" t="s">
        <v>195</v>
      </c>
      <c r="H67" s="1" t="s">
        <v>196</v>
      </c>
      <c r="I67" s="1" t="s">
        <v>197</v>
      </c>
      <c r="J67" s="1" t="s">
        <v>201</v>
      </c>
      <c r="K67" s="1" t="s">
        <v>204</v>
      </c>
      <c r="L67" s="1" t="s">
        <v>205</v>
      </c>
      <c r="M67" s="1" t="s">
        <v>206</v>
      </c>
      <c r="N67" s="1" t="s">
        <v>222</v>
      </c>
    </row>
    <row r="68" spans="2:14" s="15" customFormat="1" ht="21.75" customHeight="1" thickBot="1" x14ac:dyDescent="0.3">
      <c r="B68" s="49" t="s">
        <v>221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[Table("MstInvCpsInventoryItems")]
	public class MstInvCpsInventoryItems: FullAuditedEntity&lt;long&gt;, IEntity&lt;long&gt;	
	{
		public const int MaxPartNoLength = 40;
		public const int MaxPartNameLength = 500;
		public const int MaxColorLength = 40;
		public const int MaxPuomLength = 50;
		[StringLength(MaxPartNoLength)]
		public virtual string PartNo { get; set; }
		[StringLength(MaxPartNameLength)]
		public virtual string PartName { get; set; }
		[StringLength(MaxColorLength)]
		public virtual string Color { get; set; }
		[StringLength(MaxPuomLength)]
		public virtual string Puom { get; set; }
	}
}
</v>
      </c>
      <c r="D68" s="48" t="str">
        <f>A.Backend!O7</f>
        <v xml:space="preserve">		public const string Pages_Master_Inventory_CpsInventoryItems = "Pages.Master.Inventory.CpsInventoryItems";
		public const string Pages_Master_Inventory_CpsInventoryItems_CreateEdit = "Pages.Master.Inventory.CpsInventoryItems.CreateEdit";
		public const string Pages_Master_Inventory_CpsInventoryItems_Delete = "Pages.Master.Inventory.CpsInventoryItems.Delete";
</v>
      </c>
      <c r="E68" s="48" t="str">
        <f>A.Backend!N7</f>
        <v xml:space="preserve">		var perMstInvCpsInventoryItems = PARENTS.CreateChildPermission(AppPermissions.Pages_Master_Inventory_CpsInventoryItems, L( "MasterInventoryCpsInventoryItems"), multiTenancySides: MultiTenancySides.Tenant);
		perMstInvCpsInventoryItems.CreateChildPermission(AppPermissions.Pages_Master_Inventory_CpsInventoryItems_CreateEdit, L( "MasterInventoryCpsInventoryItemsCreateEdit"), multiTenancySides: MultiTenancySides.Tenant);
		perMstInvCpsInventoryItems.CreateChildPermission(AppPermissions.Pages_Master_Inventory_CpsInventoryItems_Delete, L( "MasterInventoryCpsInventoryItemsDelete"), multiTenancySides: MultiTenancySides.Tenant);</v>
      </c>
      <c r="F68" s="48" t="str">
        <f>A.Backend!K7</f>
        <v>public virtual DbSet&lt;MstInvCpsInventoryItems&gt; MstInvCpsInventoryItemss { get; set; }</v>
      </c>
      <c r="G68" s="48" t="str">
        <f ca="1">A.Backend!L7</f>
        <v xml:space="preserve">namespace prod.Master.Inventory
{
	public class MstInvCpsInventoryItemsConsts	
	{
		public const int MaxPartNoLength = 40;
		public const int MaxPartNameLength = 500;
		public const int MaxColorLength = 40;
		public const int MaxPuomLength = 50;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prod.Master.Inventory.Dto
{
	public class MstInvCpsInventoryItemsDto : EntityDto&lt;long?&gt;	
	{
		public virtual string PartNo { get; set; }
		public virtual string PartName { get; set; }
		public virtual string Color { get; set; }
		public virtual string Puom { get; set; }
	}
	public class CreateOrEditMstInvCpsInventoryItemsDto : EntityDto&lt;long?&gt;	
	{
		[StringLength(MstInvCpsInventoryItemsConsts.MaxPartNoLength)]
		public virtual string PartNo { get; set; }
		[StringLength(MstInvCpsInventoryItemsConsts.MaxPartNameLength)]
		public virtual string PartName { get; set; }
		[StringLength(MstInvCpsInventoryItemsConsts.MaxColorLength)]
		public virtual string Color { get; set; }
		[StringLength(MstInvCpsInventoryItemsConsts.MaxPuomLength)]
		public virtual string Puom { get; set; }
	}
	public class GetMstInvCpsInventoryItemsInput : PagedAndSortedResultRequestDto	
	{
		public virtual string PartNo { get; set; }
		public virtual string PartName { get; set; }
		public virtual string Color { get; set; }
		public virtual string Puom { get; set; }
	}
}
</v>
      </c>
      <c r="I68" s="48" t="str">
        <f ca="1">A.Backend!R7</f>
        <v xml:space="preserve">using Abp.Application.Services.Dto;
using System;
using System.ComponentModel.DataAnnotations;
namespace prod.Master.Inventory.Dto
{
	public class MstInvCpsInventoryItemsExportInput{
		public virtual string PartNo { get; set; }
		public virtual string PartName { get; set; }
		public virtual string Color { get; set; }
		public virtual string Puom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IMstInvCpsInventoryItemsAppService : IApplicationService
	{
		Task&lt;PagedResultDto&lt;MstInvCpsInventoryItemsDto&gt;&gt; GetAll(GetMstInvCpsInventoryItemsInput input);
		Task CreateOrEdit(CreateOrEditMstInvCpsInventoryItemsDto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IMstInvCpsInventoryItemsExcelExporter : IApplicationService
	{
		FileDto ExportToFile(List&lt;MstInvCpsInventoryItemsDto&gt; mstinvcpsinventoryitems);
	}
}
</v>
      </c>
      <c r="L68" s="48" t="str">
        <f ca="1">A.Backend!T7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MstInvCpsInventoryItemsExcelExporter : NpoiExcelExporterBase, IMstInvCpsInventoryItemsExcelExporter
    {
        public MstInvCpsInventoryItemsExcelExporter(ITempFileCacheManager tempFileCacheManager) : base(tempFileCacheManager) { }
        public FileDto ExportToFile(List&lt;MstInvCpsInventoryItemsDto&gt; cpsinventoryitems)
        {
            return CreateExcelPackage(
				"MasterInventoryCpsInventoryItems.xlsx",
				excelPackage =&gt;
				 {
					var sheet = excelPackage.CreateSheet("CpsInventoryItems");
					AddHeader(
								sheet,
								("PartNo"),
								("PartName"),
								("Color"),
								("Puom"),
							   );
					AddObjects(
						 sheet, 1, cpsinventoryitems,                                       
								_ =&gt; _.PartNo,
								_ =&gt; _.PartName,
								_ =&gt; _.Color,
								_ =&gt; _.Puom,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[AbpAuthorize(AppPermissions.Pages_Master_Inventory_CpsInventoryItems)]
    public class MstInvCpsInventoryItemsAppService : vovinaAppServiceBase, IMstInvCpsInventoryItemsAppService
    {
        private readonly IDapperRepository&lt;MstInvCpsInventoryItems, long&gt; _dapperRepo;
        private readonly IRepository&lt;MstInvCpsInventoryItems, long&gt; _repo;
        private readonly IMstInvCpsInventoryItemsExcelExporter _calendarListExcelExporter;
        public MstInvCpsInventoryItemsAppService(IRepository&lt;MstInvCpsInventoryItems,long&gt; repo, 
                                         IDapperRepository&lt;MstInvCpsInventoryItems,long&gt; dapperRepo,
                                        IMstInvCpsInventoryItemsExcelExporter calendarListExcelExporter
            )
        {
            _repo = repo;
            _dapperRepo = dapperRepo;
            _calendarListExcelExporter = calendarListExcelExporter;
        }
        [AbpAuthorize(AppPermissions.Pages_Master_Inventory_CpsInventoryItems_CreateEdit)]
        public async Task CreateOrEdit(CreateOrEditMstInvCpsInventoryItemsDto input)
        {
            if (input.Id == null) await Create(input);
            else await Update(input);
        }
        //CREATE
        private async Task Create(CreateOrEditMstInvCpsInventoryItemsDto input)
        {          
            var mainObj = ObjectMapper.Map&lt;MstInvCpsInventoryItems&gt;(input);
            await CurrentUnitOfWork.GetDbContext&lt;vovinaDbContext&gt;().AddAsync(mainObj);
        }
        // EDIT
        private async Task Update(CreateOrEditMstInvCpsInventoryItemsDto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[AbpAuthorize(AppPermissions.Pages_Master_Inventory_CpsInventoryItems_Delete)]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Task&lt;PagedResultDto&lt;MstInvCpsInventoryItemsDto&gt;&gt; GetAll(GetMstInvCpsInventoryItemsInput input)
        {
            var filtered = _repo.GetAll()
				.WhereIf(!string.IsNullOrWhiteSpace(input.PartNo), e =&gt; e.PartNo.Contains(input.PartNo))
				.WhereIf(!string.IsNullOrWhiteSpace(input.PartName), e =&gt; e.PartName.Contains(input.PartName))
				.WhereIf(!string.IsNullOrWhiteSpace(input.Color), e =&gt; e.Color.Contains(input.Color))
				.WhereIf(!string.IsNullOrWhiteSpace(input.Puom), e =&gt; e.Puom.Contains(input.Puom))                   
				;
            var pageAndFiltered = filtered.OrderBy(s =&gt; s.Id);
            var system = from o in pageAndFiltered
                         select new MstInvCpsInventoryItemsDto
                        {
							Id = o.Id,
							PartNo = o.PartNo,
							PartName = o.PartName,
							Color = o.Color,
							Puom = o.Puom,
                        };
            var totalCount = await filtered.CountAsync();
			var paged = system.PageBy(input);
            return new PagedResultDto&lt;MstInvCpsInventoryItemsDto&gt;(
                totalCount,
                 await paged.ToListAsync()
            );
        }
        public async Task&lt;FileDto&gt; GetCpsInventoryItemsToExcel(MstInvCpsInventoryItemsExportInput input)
        {
            var query = from o in _repo.GetAll()
                        select new MstInvCpsInventoryItemsDto
                        {
							Id = o.Id,
							PartNo = o.PartNo,
							PartName = o.PartName,
							Color = o.Color,
							Puom = o.Puom,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_dapperRepo.ExecuteAsync(MstInvCpsInventoryItemsConsts.SP_MST_WPT_CALENDAR_GENERATE);
       // }
    }
}</v>
      </c>
      <c r="N68" s="58" t="str">
        <f>A.Backend!U7</f>
        <v xml:space="preserve">  configuration.CreateMap&lt;MstInvCpsInventoryItemsDto, MstInvCpsInventoryItems&gt;();
  configuration.CreateMap&lt;MstInvCpsInventoryItems, MstInvCpsInventoryItemsDto&gt;();
  configuration.CreateMap&lt;CreateOrEditMstInvCpsInventoryItemsDto, MstInvCpsInventoryItems&gt;();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69</v>
      </c>
    </row>
    <row r="73" spans="2:14" ht="21" x14ac:dyDescent="0.35">
      <c r="B73" t="str">
        <f>B.Frontend!B8</f>
        <v>cpsinventoryitems</v>
      </c>
      <c r="C73" s="66" t="str">
        <f>"create folder " &amp;B73</f>
        <v>create folder cpsinventoryitems</v>
      </c>
      <c r="D73" s="66"/>
      <c r="E73" s="66"/>
      <c r="F73" s="66"/>
      <c r="G73" s="66"/>
      <c r="H73" s="66"/>
      <c r="I73" s="66"/>
      <c r="J73" s="66"/>
      <c r="K73" s="67" t="s">
        <v>223</v>
      </c>
      <c r="L73" s="67"/>
      <c r="M73" s="28"/>
    </row>
    <row r="74" spans="2:14" s="26" customFormat="1" ht="18" customHeight="1" x14ac:dyDescent="0.25">
      <c r="B74" s="56" t="s">
        <v>224</v>
      </c>
      <c r="C74" s="28" t="str">
        <f>B.Frontend!H14</f>
        <v>cpsinventoryitems.component.ts</v>
      </c>
      <c r="D74" s="28" t="str">
        <f>B.Frontend!I14</f>
        <v>cpsinventoryitems.component.html</v>
      </c>
      <c r="E74" s="28" t="str">
        <f>B.Frontend!J14</f>
        <v>cpsinventoryitems.component.less</v>
      </c>
      <c r="F74" s="28" t="str">
        <f>B.Frontend!K14</f>
        <v>create-or-edit-cpsinventoryitems-modal.component.html</v>
      </c>
      <c r="G74" s="28" t="str">
        <f>B.Frontend!L14</f>
        <v>create-or-edit-cpsinventoryitems-modal.component.ts</v>
      </c>
      <c r="H74" s="28" t="str">
        <f>B.Frontend!M14</f>
        <v>create-or-edit-cpsinventoryitems-modal.component.less</v>
      </c>
      <c r="I74" s="28" t="str">
        <f>B.Frontend!N14</f>
        <v>cpsinventoryitems.module.ts</v>
      </c>
      <c r="J74" s="28" t="str">
        <f>B.Frontend!O14</f>
        <v>cpsinventoryitems-routing.module.ts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227</v>
      </c>
    </row>
    <row r="75" spans="2:14" ht="21.75" customHeight="1" x14ac:dyDescent="0.25">
      <c r="B75" s="57" t="s">
        <v>221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MstInvCpsInventoryItemsDto, MstInvCpsInventoryItemsServiceProxy } from '@shared/service-proxies/service-proxies';
import { finalize } from 'rxjs/internal/operators/finalize';
import { CreateOrEditCpsInventoryItemsModalComponent } from './create-or-edit-cpsinventoryitems-modal.component';
import { DatePipe } from '@angular/common';
import { FileDownloadService } from '@shared/utils/file-download.service';
import ceil from 'lodash-es/ceil';
import { Paginator } from 'primeng/paginator';
@Component({
    templateUrl: './cpsinventoryitems.component.html',
    styleUrls: ['./cpsinventoryitems.component.less'],
})
export class CpsInventoryItemsComponent extends AppComponentBase implements OnInit {
    @ViewChild('createOrEditModalCpsInventoryItems', { static: true }) createOrEditModalCpsInventoryItems:| CreateOrEditCpsInventoryItemsModalComponent|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MstInvCpsInventoryItemsDto = new MstInvCpsInventoryItemsDto();
    saveSelectedRow: MstInvCpsInventoryItemsDto = new MstInvCpsInventoryItemsDto();
    datas: MstInvCpsInventoryItemsDto = new MstInvCpsInventoryItemsDto();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partName : string = '' ; 
	color : string = '' ; 
	puom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MstInvCpsInventoryItemsServiceProxy,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Name'),headerTooltip: this.l('Part Name'),field: 'partName',flex: 1},
			{headerName: this.l('Color'),headerTooltip: this.l('Color'),field: 'color',flex: 1},
			{headerName: this.l('Puom'),headerTooltip: this.l('Puom'),field: 'puom',flex: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this.partNo,
			this.partName,
			this.color,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partNo : string = '' ; 
	partName : string = '' ; 
	color : string = '' ; 
	puom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this.partNo,
			this.partName,
			this.color,
			'',
            this.paginationParams.skipCount,
            this.paginationParams.pageSize
        );
    }
    onChangeRowSelection(params: { api: { getSelectedRows: () =&gt; MstInvCpsInventoryItemsDto[] } }) {
        this.saveSelectedRow = params.api.getSelectedRows()[0] ?? new MstInvCpsInventoryItemsDto();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MstInvCpsInventoryItemsDto):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this._service.getCpsInventoryItemsToExcel(
			this.,
			this.partNo,
			this.partName,
			this.color,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Mst Cps Inventory tems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[(ngModel)]='puom' name='puom'
									class='form-control' [placeholder]="l('Puom')"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(click)="createOrEditModalCpsInventoryItems.show()"&gt;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(click)="createOrEditModalCpsInventoryItems.show(selectedRow)"&gt;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&lt;create-or-edit-cpsinventoryitems-modal
    #createOrEditModalCpsInventoryItems
    (modalSave)="callBackDataGrid(dataParams)"
    (modalClose)="onChangeRowSelection(dataParams)"
&gt;
&lt;/create-or-edit-cpsinventoryitems-modal&gt;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#createOrEditModalCpsInventoryItems="bs-modal"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CpsInventoryItems')}}&lt;/h3&gt;
                    &lt;h3 *ngIf="!rowdata.id"&gt;{{('Create New CpsInventoryItems')}}&lt;/h3&gt;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title'&gt;Puom&lt;/label&gt;
						&lt;input type='text' class='col-md-10 form-control input-text' name='Puom' [(ngModel)]='rowdata.puom'&gt;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CreateOrEditMstInvCpsInventoryItemsDto, MstInvCpsInventoryItemsServiceProxy } from '@shared/service-proxies/service-proxies';
import { BsDatepickerDirective } from 'ngx-bootstrap/datepicker';
@Component({
    selector: 'create-or-edit-cpsinventoryitems-modal',
    templateUrl: './create-or-edit-cpsinventoryitems-modal.component.html',
    styleUrls: ['./create-or-edit-cpsinventoryitems-modal.component.less']
    })
export class CreateOrEditCpsInventoryItemsModalComponent extends AppComponentBase {
    @ViewChild('createOrEditModalCpsInventoryItems',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CreateOrEditMstInvCpsInventoryItemsDto = new CreateOrEditMstInvCpsInventoryItemsDto();
    active: boolean = false;
    saving: boolean = false;
    _: boolean;
    constructor(
        injector: Injector,
        private _mstwptCpsInventoryItemsService: MstInvCpsInventoryItemsServiceProxy,
    ) 
    {
        super(injector);
    }
    show(rowdata?: CreateOrEditMstInvCpsInventoryItemsDto): void {
        if (!rowdata) this.rowdata = new CreateOrEditMstInvCpsInventoryItemsDto();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this._mstwptCpsInventoryItemsService.createOrEdit(this.rowdata)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CpsInventoryItemsRoutingModule } from './cpsinventoryitems-routing.module';
import { CpsInventoryItemsComponent } from './cpsinventoryitems.component';
import { CreateOrEditCpsInventoryItemsModalComponent } from './create-or-edit-cpsinventoryitems-modal.component';
@NgModule({
    declarations: [
       CpsInventoryItemsComponent, 
        CreateOrEditCpsInventoryItemsModalComponent
    ],
    imports: [
        AppSharedModule, CpsInventoryItemsRoutingModule]
})
export class CpsInventoryItemsModule {}</v>
      </c>
      <c r="J75" s="46" t="str">
        <f>B.Frontend!O10</f>
        <v>import {NgModule} from '@angular/core';
import {RouterModule, Routes} from '@angular/router';
import { CpsInventoryItemsComponent } from './cpsinventoryitems.component';
const routes: Routes = [{
    path: '',
    component: CpsInventoryItemsComponent,
    pathMatch: 'full'
}];
@NgModule({
    imports: [RouterModule.forChild(routes)],
    exports: [RouterModule],
})
export class CpsInventoryItemsRoutingModule {}</v>
      </c>
      <c r="K75" s="46" t="str">
        <f>B.Frontend!P10</f>
        <v xml:space="preserve"> new AppMenuItem("CpsInventoryItems", "Pages.Master.Inventory.CpsInventoryItems", "flaticon-book",   "/app/main/master/inventory/cpsinventoryitems"),</v>
      </c>
      <c r="L75" s="47" t="str">
        <f>B.Frontend!Q10</f>
        <v>{
    path: 'master/inventory/cpsinventoryitems',
    loadChildren: () =&gt; import('./master/inventory/cpsinventoryitems/cpsinventoryitems.module').then(m =&gt; m.CpsInventoryItemsModule),
    data: { permission: 'Pages.Master.Inventory.CpsInventoryItems' }
},</v>
      </c>
      <c r="M75" s="45" t="str">
        <f>B.Frontend!R10</f>
        <v>ApiServiceProxies.MstInvCpsInventoryItemsServiceProxy,</v>
      </c>
    </row>
    <row r="77" spans="2:14" x14ac:dyDescent="0.25">
      <c r="B77" s="1" t="s">
        <v>71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4"/>
  <sheetViews>
    <sheetView workbookViewId="0">
      <pane xSplit="1" topLeftCell="B1" activePane="topRight" state="frozen"/>
      <selection pane="topRight" activeCell="B3" sqref="B3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vovina.Master.Inventory.Dto;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358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359</v>
      </c>
      <c r="C3" s="9" t="s">
        <v>40</v>
      </c>
      <c r="D3" s="9" t="s">
        <v>41</v>
      </c>
      <c r="E3" s="9" t="s">
        <v>36</v>
      </c>
      <c r="F3" s="10" t="str">
        <f>"J"&amp;COUNTA($A:$A)</f>
        <v>J12</v>
      </c>
      <c r="G3" s="4" t="s">
        <v>53</v>
      </c>
      <c r="H3" s="9" t="str">
        <f>"I"&amp;COUNTA($A:$A)</f>
        <v>I12</v>
      </c>
      <c r="I3" s="9" t="str">
        <f>REPT(CHAR(9),2)&amp;"[Required]"&amp;"
"</f>
        <v xml:space="preserve">		[Required]
</v>
      </c>
      <c r="J3" s="10" t="str">
        <f>"L"&amp;COUNTA($A:$A)</f>
        <v>L12</v>
      </c>
      <c r="K3" s="5" t="s">
        <v>52</v>
      </c>
      <c r="L3" s="10" t="str">
        <f>"M"&amp;COUNTA($A:$A)</f>
        <v>M12</v>
      </c>
      <c r="M3" s="10" t="str">
        <f>"N"&amp;COUNTA($A:$A)</f>
        <v>N12</v>
      </c>
      <c r="N3" s="10" t="str">
        <f>"O"&amp;COUNTA($A:$A)</f>
        <v>O12</v>
      </c>
      <c r="O3" s="10" t="str">
        <f>"P"&amp;COUNTA($A:$A)</f>
        <v>P12</v>
      </c>
      <c r="Q3" s="10" t="str">
        <f>RIGHT(B2,(LEN(B2)-FIND(".",B2,1)))</f>
        <v>Inventory</v>
      </c>
      <c r="R3" s="29" t="str">
        <f>REPT(CHAR(9),1)&amp;"public class "&amp;B3&amp;"ExportInput"&amp;C3</f>
        <v xml:space="preserve">	public class MstInvCpsInventoryItemsExportInput{
</v>
      </c>
      <c r="S3" s="10" t="str">
        <f>"namespace "&amp;$B$6&amp;".Exporting
"&amp;$C$3</f>
        <v xml:space="preserve">namespace prod.Master.Inventory.Exporting
{
</v>
      </c>
      <c r="T3" s="10" t="str">
        <f>"T"&amp;COUNTA($A:$A)</f>
        <v>T12</v>
      </c>
      <c r="V3" s="10" t="str">
        <f>"V"&amp;COUNTA($A:$A)</f>
        <v>V12</v>
      </c>
      <c r="W3" s="9" t="str">
        <f>"W"&amp;COUNTA($A:$A)</f>
        <v>W12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360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prod.Master.Inventory</v>
      </c>
      <c r="C6" s="10" t="str">
        <f>"namespace "&amp;$B$6&amp;"
"&amp;$C$3</f>
        <v xml:space="preserve">namespace prod.Master.Inventory
{
</v>
      </c>
      <c r="D6" s="10" t="str">
        <f>REPT(CHAR(9),1)&amp;"public class "&amp;B3&amp;G3&amp;REPT(CHAR(9),1)&amp;"
"&amp;REPT(CHAR(9),1)&amp;C3</f>
        <v xml:space="preserve">	public class MstInvCpsInventoryItems: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MstInvCpsInventoryItemsConsts	
	{
</v>
      </c>
      <c r="F6" s="10" t="str">
        <f>REPT(CHAR(9),1)&amp;"public class "&amp;B3&amp;"Dto"&amp;K3&amp;REPT(CHAR(9),1)&amp;"
"&amp;REPT(CHAR(9),1)&amp;C3</f>
        <v xml:space="preserve">	public class MstInvCpsInventoryItemsDto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CreateOrEditMstInvCpsInventoryItemsDto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GetMstInvCpsInventoryItemsInput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MstInvCpsInventoryItems</v>
      </c>
      <c r="C7" s="10" t="str">
        <f>REPT(CHAR(9),1)&amp;"[Table("""&amp;B7&amp;""")]"&amp;"
"</f>
        <v xml:space="preserve">	[Table("MstInvCpsInventoryItems")]
</v>
      </c>
      <c r="D7" s="10"/>
      <c r="E7" s="10"/>
      <c r="F7" s="10"/>
      <c r="G7" s="10"/>
      <c r="H7" s="10"/>
      <c r="I7" s="10"/>
      <c r="J7" t="str">
        <f ca="1">SUBSTITUTE(SUBSTITUTE((B1&amp;C6&amp;C7&amp;K14&amp;D6&amp;I14&amp;E3&amp;J14&amp;""&amp;REPT(CHAR(9),1)&amp;D3&amp;D3),"WorkingPattern",$Q$3),"Master",$B$4)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[Table("MstInvCpsInventoryItems")]
	public class MstInvCpsInventoryItems: FullAuditedEntity&lt;long&gt;, IEntity&lt;long&gt;	
	{
		public const int MaxPartNoLength = 40;
		public const int MaxPartNameLength = 500;
		public const int MaxColorLength = 40;
		public const int MaxPuomLength = 50;
		[StringLength(MaxPartNoLength)]
		public virtual string PartNo { get; set; }
		[StringLength(MaxPartNameLength)]
		public virtual string PartName { get; set; }
		[StringLength(MaxColorLength)]
		public virtual string Color { get; set; }
		[StringLength(MaxPuomLength)]
		public virtual string Puom { get; set; }
	}
}
</v>
      </c>
      <c r="K7" t="str">
        <f>SUBSTITUTE(SUBSTITUTE(("public virtual DbSet&lt;"&amp;B3&amp;"&gt; "&amp;B3&amp;"s { get; set; }"),"WorkingPattern",$Q$3),"Master",$B$4)</f>
        <v>public virtual DbSet&lt;MstInvCpsInventoryItems&gt; MstInvCpsInventoryItemss { get; set; }</v>
      </c>
      <c r="L7" t="str">
        <f ca="1">SUBSTITUTE(SUBSTITUTE((C6&amp;E6&amp;I14&amp;"
"&amp;REPT(CHAR(9),2)&amp;"// Define Store Name: Format SP_ + &lt;Store Name&gt; = &lt;Store Name&gt;
"&amp;E3&amp;REPT(CHAR(9),1)&amp;D3&amp;D3),"WorkingPattern",$Q$3),"Master",$B$4)</f>
        <v xml:space="preserve">namespace prod.Master.Inventory
{
	public class MstInvCpsInventoryItemsConsts	
	{
		public const int MaxPartNoLength = 40;
		public const int MaxPartNameLength = 500;
		public const int MaxColorLength = 40;
		public const int MaxPuomLength = 50;
		// Define Store Name: Format SP_ + &lt;Store Name&gt; = &lt;Store Name&gt;
	}
}
</v>
      </c>
      <c r="M7" t="str">
        <f ca="1">SUBSTITUTE(SUBSTITUTE((C1&amp;"namespace "&amp;B6&amp;".Dto"&amp;E3&amp;C3&amp;F6&amp;M14&amp;E3&amp;REPT(CHAR(9),1)&amp;D3&amp;G6&amp;N14&amp;REPT(CHAR(9),1)&amp;D3&amp;H6&amp;O14&amp;"
"&amp;REPT(CHAR(9),1)&amp;D3&amp;D3),"WorkingPattern",$Q$3),"Master",$B$4)</f>
        <v xml:space="preserve">using Abp.Application.Services.Dto;
using System;
using System.ComponentModel.DataAnnotations;
namespace prod.Master.Inventory.Dto
{
	public class MstInvCpsInventoryItemsDto : EntityDto&lt;long?&gt;	
	{
		public virtual string PartNo { get; set; }
		public virtual string PartName { get; set; }
		public virtual string Color { get; set; }
		public virtual string Puom { get; set; }
	}
	public class CreateOrEditMstInvCpsInventoryItemsDto : EntityDto&lt;long?&gt;	
	{
		[StringLength(MstInvCpsInventoryItemsConsts.MaxPartNoLength)]
		public virtual string PartNo { get; set; }
		[StringLength(MstInvCpsInventoryItemsConsts.MaxPartNameLength)]
		public virtual string PartName { get; set; }
		[StringLength(MstInvCpsInventoryItemsConsts.MaxColorLength)]
		public virtual string Color { get; set; }
		[StringLength(MstInvCpsInventoryItemsConsts.MaxPuomLength)]
		public virtual string Puom { get; set; }
	}
	public class GetMstInvCpsInventoryItemsInput : PagedAndSortedResultRequestDto	
	{
		public virtual string PartNo { get; set; }
		public virtual string PartName { get; set; }
		public virtual string Color { get; set; }
		public virtual string Puom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perMstInvCpsInventoryItems = PARENTS.CreateChildPermission(AppPermissions.Pages_Master_Inventory_CpsInventoryItems, L( "MasterInventoryCpsInventoryItems"), multiTenancySides: MultiTenancySides.Tenant);
		perMstInvCpsInventoryItems.CreateChildPermission(AppPermissions.Pages_Master_Inventory_CpsInventoryItems_CreateEdit, L( "MasterInventoryCpsInventoryItemsCreateEdit"), multiTenancySides: MultiTenancySides.Tenant);
		perMstInvCpsInventoryItems.CreateChildPermission(AppPermissions.Pages_Master_Inventory_CpsInventoryItems_Delete, L( "MasterInventoryCpsInventoryItemsDelete"),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Pages_Master_Inventory_CpsInventoryItems = "Pages.Master.Inventory.CpsInventoryItems";
		public const string Pages_Master_Inventory_CpsInventoryItems_CreateEdit = "Pages.Master.Inventory.CpsInventoryItems.CreateEdit";
		public const string Pages_Master_Inventory_CpsInventoryItems_Delete = "Pages.Master.Inventory.CpsInventoryItems.Delete";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IMstInvCpsInventoryItemsAppService : IApplicationService
	{
		Task&lt;PagedResultDto&lt;MstInvCpsInventoryItemsDto&gt;&gt; GetAll(GetMstInvCpsInventoryItemsInput input);
		Task CreateOrEdit(CreateOrEditMstInvCpsInventoryItemsDto input);
		Task Delete(EntityDto input);
	}
}
</v>
      </c>
      <c r="Q7" t="str">
        <f ca="1">SUBSTITUTE(SUBSTITUTE(SUBSTITUTE(SUBSTITUTE(SUBSTITUTE(SUBSTITUTE(E1,"MstWptCalendar",$B$3),"&lt;PROPERTIES&gt;",P14),"Calendar",$B$5),"WorkingPattern",$Q$3),"Master",$B$4),"&lt;PARAMS_SEARCH&gt;",$W$14)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[AbpAuthorize(AppPermissions.Pages_Master_Inventory_CpsInventoryItems)]
    public class MstInvCpsInventoryItemsAppService : vovinaAppServiceBase, IMstInvCpsInventoryItemsAppService
    {
        private readonly IDapperRepository&lt;MstInvCpsInventoryItems, long&gt; _dapperRepo;
        private readonly IRepository&lt;MstInvCpsInventoryItems, long&gt; _repo;
        private readonly IMstInvCpsInventoryItemsExcelExporter _calendarListExcelExporter;
        public MstInvCpsInventoryItemsAppService(IRepository&lt;MstInvCpsInventoryItems,long&gt; repo, 
                                         IDapperRepository&lt;MstInvCpsInventoryItems,long&gt; dapperRepo,
                                        IMstInvCpsInventoryItemsExcelExporter calendarListExcelExporter
            )
        {
            _repo = repo;
            _dapperRepo = dapperRepo;
            _calendarListExcelExporter = calendarListExcelExporter;
        }
        [AbpAuthorize(AppPermissions.Pages_Master_Inventory_CpsInventoryItems_CreateEdit)]
        public async Task CreateOrEdit(CreateOrEditMstInvCpsInventoryItemsDto input)
        {
            if (input.Id == null) await Create(input);
            else await Update(input);
        }
        //CREATE
        private async Task Create(CreateOrEditMstInvCpsInventoryItemsDto input)
        {          
            var mainObj = ObjectMapper.Map&lt;MstInvCpsInventoryItems&gt;(input);
            await CurrentUnitOfWork.GetDbContext&lt;vovinaDbContext&gt;().AddAsync(mainObj);
        }
        // EDIT
        private async Task Update(CreateOrEditMstInvCpsInventoryItemsDto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[AbpAuthorize(AppPermissions.Pages_Master_Inventory_CpsInventoryItems_Delete)]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Task&lt;PagedResultDto&lt;MstInvCpsInventoryItemsDto&gt;&gt; GetAll(GetMstInvCpsInventoryItemsInput input)
        {
            var filtered = _repo.GetAll()
				.WhereIf(!string.IsNullOrWhiteSpace(input.PartNo), e =&gt; e.PartNo.Contains(input.PartNo))
				.WhereIf(!string.IsNullOrWhiteSpace(input.PartName), e =&gt; e.PartName.Contains(input.PartName))
				.WhereIf(!string.IsNullOrWhiteSpace(input.Color), e =&gt; e.Color.Contains(input.Color))
				.WhereIf(!string.IsNullOrWhiteSpace(input.Puom), e =&gt; e.Puom.Contains(input.Puom))                   
				;
            var pageAndFiltered = filtered.OrderBy(s =&gt; s.Id);
            var system = from o in pageAndFiltered
                         select new MstInvCpsInventoryItemsDto
                        {
							Id = o.Id,
							PartNo = o.PartNo,
							PartName = o.PartName,
							Color = o.Color,
							Puom = o.Puom,
                        };
            var totalCount = await filtered.CountAsync();
			var paged = system.PageBy(input);
            return new PagedResultDto&lt;MstInvCpsInventoryItemsDto&gt;(
                totalCount,
                 await paged.ToListAsync()
            );
        }
        public async Task&lt;FileDto&gt; GetCpsInventoryItemsToExcel(MstInvCpsInventoryItemsExportInput input)
        {
            var query = from o in _repo.GetAll()
                        select new MstInvCpsInventoryItemsDto
                        {
							Id = o.Id,
							PartNo = o.PartNo,
							PartName = o.PartName,
							Color = o.Color,
							Puom = o.Puom,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_dapperRepo.ExecuteAsync(MstInvCpsInventoryItemsConsts.SP_MST_WPT_CALENDAR_GENERATE);
       // }
    }
}</v>
      </c>
      <c r="R7" t="str">
        <f ca="1">SUBSTITUTE(SUBSTITUTE((C1&amp;"namespace "&amp;B6&amp;".Dto"&amp;E3&amp;C3&amp;R3&amp;M14&amp;E3&amp;REPT(CHAR(9),1)&amp;D3&amp;D3),"WorkingPattern",$Q$3),"Master",$B$4)</f>
        <v xml:space="preserve">using Abp.Application.Services.Dto;
using System;
using System.ComponentModel.DataAnnotations;
namespace prod.Master.Inventory.Dto
{
	public class MstInvCpsInventoryItemsExportInput{
		public virtual string PartNo { get; set; }
		public virtual string PartName { get; set; }
		public virtual string Color { get; set; }
		public virtual string Puom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IMstInvCpsInventoryItemsExcelExporter : IApplicationService
	{
		FileDto ExportToFile(List&lt;MstInvCpsInventoryItemsDto&gt; mstinvcpsinventoryitems);
	}
}
</v>
      </c>
      <c r="T7" s="26" t="str">
        <f ca="1">SUBSTITUTE(SUBSTITUTE(SUBSTITUTE(SUBSTITUTE(SUBSTITUTE(SUBSTITUTE(SUBSTITUTE(T1,"MstWptCalendar",$B$3),"&lt;PROPERTIES1&gt;",V14),"&lt;PROPERTIES&gt;",T14),"Calendar",$B$5),"calendar",LOWER(B5)),"WorkingPattern",$Q$3),"Master",$B$4)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MstInvCpsInventoryItemsExcelExporter : NpoiExcelExporterBase, IMstInvCpsInventoryItemsExcelExporter
    {
        public MstInvCpsInventoryItemsExcelExporter(ITempFileCacheManager tempFileCacheManager) : base(tempFileCacheManager) { }
        public FileDto ExportToFile(List&lt;MstInvCpsInventoryItemsDto&gt; cpsinventoryitems)
        {
            return CreateExcelPackage(
				"MasterInventoryCpsInventoryItems.xlsx",
				excelPackage =&gt;
				 {
					var sheet = excelPackage.CreateSheet("CpsInventoryItems");
					AddHeader(
								sheet,
								("PartNo"),
								("PartName"),
								("Color"),
								("Puom"),
							   );
					AddObjects(
						 sheet, 1, cpsinventoryitems,                                       
								_ =&gt; _.PartNo,
								_ =&gt; _.PartName,
								_ =&gt; _.Color,
								_ =&gt; _.Puom,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configuration.CreateMap&lt;MstInvCpsInventoryItemsDto, MstInvCpsInventoryItems&gt;();
  configuration.CreateMap&lt;MstInvCpsInventoryItems, MstInvCpsInventoryItemsDto&gt;();
  configuration.CreateMap&lt;CreateOrEditMstInvCpsInventoryItemsDto, MstInvCpsInventoryItems&gt;();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361</v>
      </c>
      <c r="B9" s="28" t="s">
        <v>362</v>
      </c>
      <c r="C9" t="s">
        <v>1</v>
      </c>
      <c r="D9" t="str">
        <f t="shared" ref="D9" si="0">SUBSTITUTE(PROPER(A9),"_","")</f>
        <v>PartNo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40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MaxPartNoLength = 40;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[StringLength(MstInvCpsInventoryItemsConsts.MaxPartNoLength)]
		public virtual string PartNo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" si="9">REPT(CHAR(9),7)&amp;D9&amp;" = o." &amp;D9 &amp;","</f>
        <v xml:space="preserve">							PartNo = o.PartNo,</v>
      </c>
      <c r="T9" s="63" t="str">
        <f t="shared" ref="T9" si="10">REPT(CHAR(9),8)&amp;"("""&amp;D9&amp;"""),"</f>
        <v xml:space="preserve">								("PartNo"),</v>
      </c>
      <c r="V9" s="64" t="str">
        <f t="shared" ref="V9" si="11">REPT(CHAR(9),8)&amp;"_ =&gt; _."&amp;D9&amp;","</f>
        <v xml:space="preserve">								_ =&gt; _.PartNo,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</row>
    <row r="10" spans="1:23" customFormat="1" ht="18.75" customHeight="1" x14ac:dyDescent="0.25">
      <c r="A10" s="28" t="s">
        <v>364</v>
      </c>
      <c r="B10" s="28" t="s">
        <v>365</v>
      </c>
      <c r="C10" t="s">
        <v>1</v>
      </c>
      <c r="D10" t="str">
        <f>SUBSTITUTE(PROPER(A10),"_","")</f>
        <v>PartName</v>
      </c>
      <c r="E10" t="str">
        <f>IFERROR(LEFT(B10, FIND("(",B10)-1),B10)</f>
        <v>nvarchar</v>
      </c>
      <c r="F10" s="6"/>
      <c r="G10" t="str">
        <f>IFERROR(MID(B10,FIND("(",B10) +1, FIND(")",B10) - FIND("(",B10) - 1),"")</f>
        <v>500</v>
      </c>
      <c r="H10" t="str">
        <f>+VLOOKUP(E10,'Data Type Mapping'!A:B,2,)</f>
        <v>string</v>
      </c>
      <c r="I10" t="str">
        <f>IF(H10="string",REPT(CHAR(9),2)&amp;"public const int Max"&amp;D10&amp;"Length = "&amp;G10&amp;";"&amp;$E$3,"" )</f>
        <v xml:space="preserve">		public const int MaxPartNameLength = 500;
</v>
      </c>
      <c r="J10" t="str">
        <f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[StringLength(MaxPartNameLength)]
		public virtual string PartName { get; set; }
</v>
      </c>
      <c r="K10" s="6"/>
      <c r="L10" t="str">
        <f>IF(K10="","",REPT(CHAR(9),1)&amp;"[Index(nameof("&amp;IF(D10="","",""&amp;D10)&amp;")"&amp;", Name="&amp;"""IX_"&amp;$B$7&amp;"_"&amp;D10&amp;""")]")</f>
        <v/>
      </c>
      <c r="M10" t="str">
        <f>REPT(CHAR(9),2)&amp;"public virtual "&amp;IF(OR(H10="DateTime",H10="TimeSpan"),H10&amp;"?",H10)&amp;IF(C10="?","? "," ")&amp;D10&amp;" { get; set; }" &amp; "
"</f>
        <v xml:space="preserve">		public virtual string PartName { get; set; }
</v>
      </c>
      <c r="N10" t="str">
        <f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[StringLength(MstInvCpsInventoryItemsConsts.MaxPartNameLength)]
		public virtual string PartName { get; set; }
</v>
      </c>
      <c r="O10" t="str">
        <f>IF(OR(H10="string",H10="DateTime",H10="int"),REPT(CHAR(9),2)&amp;"public virtual "&amp;IF(OR(H10="DateTime",H10="TimeSpan"),H10&amp;"?",H10)&amp;IF(C10="?","? "," ")&amp;D10&amp;" { get; set; }"&amp;$E$3,"")</f>
        <v xml:space="preserve">		public virtual string PartName { get; set; }
</v>
      </c>
      <c r="P10" t="str">
        <f>REPT(CHAR(9),7)&amp;D10&amp;" = o." &amp;D10 &amp;","</f>
        <v xml:space="preserve">							PartName = o.PartName,</v>
      </c>
      <c r="T10" s="63" t="str">
        <f>REPT(CHAR(9),8)&amp;"("""&amp;D10&amp;"""),"</f>
        <v xml:space="preserve">								("PartName"),</v>
      </c>
      <c r="V10" s="64" t="str">
        <f>REPT(CHAR(9),8)&amp;"_ =&gt; _."&amp;D10&amp;","</f>
        <v xml:space="preserve">								_ =&gt; _.PartName,</v>
      </c>
      <c r="W10" s="63" t="str">
        <f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.WhereIf(!string.IsNullOrWhiteSpace(input.PartName), e =&gt; e.PartName.Contains(input.PartName))</v>
      </c>
    </row>
    <row r="11" spans="1:23" customFormat="1" ht="18.75" customHeight="1" x14ac:dyDescent="0.25">
      <c r="A11" s="28" t="s">
        <v>363</v>
      </c>
      <c r="B11" s="28" t="s">
        <v>362</v>
      </c>
      <c r="C11" t="s">
        <v>1</v>
      </c>
      <c r="D11" t="str">
        <f t="shared" ref="D11" si="13">SUBSTITUTE(PROPER(A11),"_","")</f>
        <v>Color</v>
      </c>
      <c r="E11" t="str">
        <f t="shared" ref="E11" si="14">IFERROR(LEFT(B11, FIND("(",B11)-1),B11)</f>
        <v>nvarchar</v>
      </c>
      <c r="F11" s="6"/>
      <c r="G11" t="str">
        <f t="shared" ref="G11" si="15">IFERROR(MID(B11,FIND("(",B11) +1, FIND(")",B11) - FIND("(",B11) - 1),"")</f>
        <v>40</v>
      </c>
      <c r="H11" t="str">
        <f>+VLOOKUP(E11,'Data Type Mapping'!A:B,2,)</f>
        <v>string</v>
      </c>
      <c r="I11" t="str">
        <f t="shared" ref="I11" si="16">IF(H11="string",REPT(CHAR(9),2)&amp;"public const int Max"&amp;D11&amp;"Length = "&amp;G11&amp;";"&amp;$E$3,"" )</f>
        <v xml:space="preserve">		public const int MaxColorLength = 40;
</v>
      </c>
      <c r="J11" t="str">
        <f t="shared" ref="J11" si="17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[StringLength(MaxColorLength)]
		public virtual string Color { get; set; }
</v>
      </c>
      <c r="K11" s="6"/>
      <c r="L11" t="str">
        <f t="shared" ref="L11" si="18">IF(K11="","",REPT(CHAR(9),1)&amp;"[Index(nameof("&amp;IF(D11="","",""&amp;D11)&amp;")"&amp;", Name="&amp;"""IX_"&amp;$B$7&amp;"_"&amp;D11&amp;""")]")</f>
        <v/>
      </c>
      <c r="M11" t="str">
        <f t="shared" ref="M11" si="19">REPT(CHAR(9),2)&amp;"public virtual "&amp;IF(OR(H11="DateTime",H11="TimeSpan"),H11&amp;"?",H11)&amp;IF(C11="?","? "," ")&amp;D11&amp;" { get; set; }" &amp; "
"</f>
        <v xml:space="preserve">		public virtual string Color { get; set; }
</v>
      </c>
      <c r="N11" t="str">
        <f t="shared" ref="N11" si="20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[StringLength(MstInvCpsInventoryItemsConsts.MaxColorLength)]
		public virtual string Color { get; set; }
</v>
      </c>
      <c r="O11" t="str">
        <f t="shared" ref="O11" si="21">IF(OR(H11="string",H11="DateTime",H11="int"),REPT(CHAR(9),2)&amp;"public virtual "&amp;IF(OR(H11="DateTime",H11="TimeSpan"),H11&amp;"?",H11)&amp;IF(C11="?","? "," ")&amp;D11&amp;" { get; set; }"&amp;$E$3,"")</f>
        <v xml:space="preserve">		public virtual string Color { get; set; }
</v>
      </c>
      <c r="P11" t="str">
        <f t="shared" ref="P11" si="22">REPT(CHAR(9),7)&amp;D11&amp;" = o." &amp;D11 &amp;","</f>
        <v xml:space="preserve">							Color = o.Color,</v>
      </c>
      <c r="T11" s="63" t="str">
        <f t="shared" ref="T11" si="23">REPT(CHAR(9),8)&amp;"("""&amp;D11&amp;"""),"</f>
        <v xml:space="preserve">								("Color"),</v>
      </c>
      <c r="V11" s="64" t="str">
        <f t="shared" ref="V11" si="24">REPT(CHAR(9),8)&amp;"_ =&gt; _."&amp;D11&amp;","</f>
        <v xml:space="preserve">								_ =&gt; _.Color,</v>
      </c>
      <c r="W11" s="63" t="str">
        <f t="shared" ref="W11" si="25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.WhereIf(!string.IsNullOrWhiteSpace(input.Color), e =&gt; e.Color.Contains(input.Color))</v>
      </c>
    </row>
    <row r="12" spans="1:23" customFormat="1" ht="18.75" customHeight="1" x14ac:dyDescent="0.25">
      <c r="A12" s="28" t="s">
        <v>366</v>
      </c>
      <c r="B12" s="28" t="s">
        <v>354</v>
      </c>
      <c r="C12" t="s">
        <v>1</v>
      </c>
      <c r="D12" t="str">
        <f t="shared" ref="D12" si="26">SUBSTITUTE(PROPER(A12),"_","")</f>
        <v>Puom</v>
      </c>
      <c r="E12" t="str">
        <f t="shared" ref="E12" si="27">IFERROR(LEFT(B12, FIND("(",B12)-1),B12)</f>
        <v>nvarchar</v>
      </c>
      <c r="F12" s="6"/>
      <c r="G12" t="str">
        <f t="shared" ref="G12" si="28">IFERROR(MID(B12,FIND("(",B12) +1, FIND(")",B12) - FIND("(",B12) - 1),"")</f>
        <v>50</v>
      </c>
      <c r="H12" t="str">
        <f>+VLOOKUP(E12,'Data Type Mapping'!A:B,2,)</f>
        <v>string</v>
      </c>
      <c r="I12" t="str">
        <f t="shared" ref="I12" si="29">IF(H12="string",REPT(CHAR(9),2)&amp;"public const int Max"&amp;D12&amp;"Length = "&amp;G12&amp;";"&amp;$E$3,"" )</f>
        <v xml:space="preserve">		public const int MaxPuomLength = 50;
</v>
      </c>
      <c r="J12" t="str">
        <f t="shared" ref="J12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[StringLength(MaxPuomLength)]
		public virtual string Puom { get; set; }
</v>
      </c>
      <c r="K12" s="6"/>
      <c r="L12" t="str">
        <f t="shared" ref="L12" si="31">IF(K12="","",REPT(CHAR(9),1)&amp;"[Index(nameof("&amp;IF(D12="","",""&amp;D12)&amp;")"&amp;", Name="&amp;"""IX_"&amp;$B$7&amp;"_"&amp;D12&amp;""")]")</f>
        <v/>
      </c>
      <c r="M12" t="str">
        <f t="shared" ref="M12" si="32">REPT(CHAR(9),2)&amp;"public virtual "&amp;IF(OR(H12="DateTime",H12="TimeSpan"),H12&amp;"?",H12)&amp;IF(C12="?","? "," ")&amp;D12&amp;" { get; set; }" &amp; "
"</f>
        <v xml:space="preserve">		public virtual string Puom { get; set; }
</v>
      </c>
      <c r="N12" t="str">
        <f t="shared" ref="N12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[StringLength(MstInvCpsInventoryItemsConsts.MaxPuomLength)]
		public virtual string Puom { get; set; }
</v>
      </c>
      <c r="O12" t="str">
        <f t="shared" ref="O12" si="34">IF(OR(H12="string",H12="DateTime",H12="int"),REPT(CHAR(9),2)&amp;"public virtual "&amp;IF(OR(H12="DateTime",H12="TimeSpan"),H12&amp;"?",H12)&amp;IF(C12="?","? "," ")&amp;D12&amp;" { get; set; }"&amp;$E$3,"")</f>
        <v xml:space="preserve">		public virtual string Puom { get; set; }
</v>
      </c>
      <c r="P12" t="str">
        <f t="shared" ref="P12" si="35">REPT(CHAR(9),7)&amp;D12&amp;" = o." &amp;D12 &amp;","</f>
        <v xml:space="preserve">							Puom = o.Puom,</v>
      </c>
      <c r="T12" s="63" t="str">
        <f t="shared" ref="T12" si="36">REPT(CHAR(9),8)&amp;"("""&amp;D12&amp;"""),"</f>
        <v xml:space="preserve">								("Puom"),</v>
      </c>
      <c r="V12" s="64" t="str">
        <f t="shared" ref="V12" si="37">REPT(CHAR(9),8)&amp;"_ =&gt; _."&amp;D12&amp;","</f>
        <v xml:space="preserve">								_ =&gt; _.Puom,</v>
      </c>
      <c r="W12" s="63" t="str">
        <f t="shared" ref="W12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.WhereIf(!string.IsNullOrWhiteSpace(input.Puom), e =&gt; e.Puom.Contains(input.Puom))</v>
      </c>
    </row>
    <row r="14" spans="1:23" ht="45.75" customHeight="1" x14ac:dyDescent="0.25">
      <c r="H14" s="11"/>
      <c r="I14" s="31" t="str">
        <f ca="1">TEXTJOIN2("
", TRUE,INDIRECT( $H$1):INDIRECT( $H$3))</f>
        <v xml:space="preserve">		public const int MaxPartNoLength = 40;
		public const int MaxPartNameLength = 500;
		public const int MaxColorLength = 40;
		public const int MaxPuomLength = 50;
</v>
      </c>
      <c r="J14" s="30" t="str">
        <f ca="1">TEXTJOIN2("
", TRUE,INDIRECT( $F$1):INDIRECT( $F$3))</f>
        <v xml:space="preserve">		[StringLength(MaxPartNoLength)]
		public virtual string PartNo { get; set; }
		[StringLength(MaxPartNameLength)]
		public virtual string PartName { get; set; }
		[StringLength(MaxColorLength)]
		public virtual string Color { get; set; }
		[StringLength(MaxPuomLength)]
		public virtual string Puom { get; set; }
</v>
      </c>
      <c r="K14" s="32" t="str">
        <f ca="1">TEXTJOIN2("
", TRUE,INDIRECT( $J$1):INDIRECT( $J$3))</f>
        <v/>
      </c>
      <c r="L14" s="12" t="s">
        <v>56</v>
      </c>
      <c r="M14" s="33" t="str">
        <f ca="1">TEXTJOIN2("
",TRUE,INDIRECT( $L$1):INDIRECT($L$3))</f>
        <v xml:space="preserve">		public virtual string PartNo { get; set; }
		public virtual string PartName { get; set; }
		public virtual string Color { get; set; }
		public virtual string Puom { get; set; }
</v>
      </c>
      <c r="N14" s="30" t="str">
        <f ca="1">TEXTJOIN2("
",TRUE,INDIRECT( $M$1):INDIRECT($M$3))</f>
        <v xml:space="preserve">		[StringLength(MstInvCpsInventoryItemsConsts.MaxPartNoLength)]
		public virtual string PartNo { get; set; }
		[StringLength(MstInvCpsInventoryItemsConsts.MaxPartNameLength)]
		public virtual string PartName { get; set; }
		[StringLength(MstInvCpsInventoryItemsConsts.MaxColorLength)]
		public virtual string Color { get; set; }
		[StringLength(MstInvCpsInventoryItemsConsts.MaxPuomLength)]
		public virtual string Puom { get; set; }
</v>
      </c>
      <c r="O14" s="30" t="str">
        <f ca="1">TEXTJOIN2("
",TRUE,INDIRECT( $N$1):INDIRECT($N$3))</f>
        <v xml:space="preserve">		public virtual string PartNo { get; set; }
		public virtual string PartName { get; set; }
		public virtual string Color { get; set; }
		public virtual string Puom { get; set; }
</v>
      </c>
      <c r="P14" s="8" t="str">
        <f ca="1">TEXTJOIN2("
",TRUE,INDIRECT( $O$1):INDIRECT($O$3))</f>
        <v xml:space="preserve">							PartNo = o.PartNo,
							PartName = o.PartName,
							Color = o.Color,
							Puom = o.Puom,</v>
      </c>
      <c r="T14" s="8" t="str">
        <f ca="1">TEXTJOIN2("
",TRUE,INDIRECT( $T$2):INDIRECT($T$3))</f>
        <v xml:space="preserve">								("PartNo"),
								("PartName"),
								("Color"),
								("Puom"),</v>
      </c>
      <c r="V14" s="8" t="str">
        <f ca="1">TEXTJOIN2("
",TRUE,INDIRECT( $V$2):INDIRECT($V$3))</f>
        <v xml:space="preserve">								_ =&gt; _.PartNo,
								_ =&gt; _.PartName,
								_ =&gt; _.Color,
								_ =&gt; _.Puom,</v>
      </c>
      <c r="W14" s="8" t="str">
        <f ca="1">TEXTJOIN2("
",TRUE,INDIRECT( $W$2):INDIRECT($W$3))</f>
        <v xml:space="preserve">				.WhereIf(!string.IsNullOrWhiteSpace(input.PartNo), e =&gt; e.PartNo.Contains(input.PartNo))
				.WhereIf(!string.IsNullOrWhiteSpace(input.PartName), e =&gt; e.PartName.Contains(input.PartName))
				.WhereIf(!string.IsNullOrWhiteSpace(input.Color), e =&gt; e.Color.Contains(input.Color))
				.WhereIf(!string.IsNullOrWhiteSpace(input.Puom), e =&gt; e.Puom.Contains(input.Puom))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0"/>
  <sheetViews>
    <sheetView tabSelected="1" workbookViewId="0">
      <selection activeCell="C29" sqref="C29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207</v>
      </c>
      <c r="B1" s="39" t="s">
        <v>367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Inventory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inventory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MstInvCpsInventoryItems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CpsInventoryItems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cpsinventoryitems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MstInvCpsInventoryItemsDto, MstInvCpsInventoryItemsServiceProxy } from '@shared/service-proxies/service-proxies';
import { finalize } from 'rxjs/internal/operators/finalize';
import { CreateOrEditCpsInventoryItemsModalComponent } from './create-or-edit-cpsinventoryitems-modal.component';
import { DatePipe } from '@angular/common';
import { FileDownloadService } from '@shared/utils/file-download.service';
import ceil from 'lodash-es/ceil';
import { Paginator } from 'primeng/paginator';
@Component({
    templateUrl: './cpsinventoryitems.component.html',
    styleUrls: ['./cpsinventoryitems.component.less'],
})
export class CpsInventoryItemsComponent extends AppComponentBase implements OnInit {
    @ViewChild('createOrEditModalCpsInventoryItems', { static: true }) createOrEditModalCpsInventoryItems:| CreateOrEditCpsInventoryItemsModalComponent|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MstInvCpsInventoryItemsDto = new MstInvCpsInventoryItemsDto();
    saveSelectedRow: MstInvCpsInventoryItemsDto = new MstInvCpsInventoryItemsDto();
    datas: MstInvCpsInventoryItemsDto = new MstInvCpsInventoryItemsDto();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partName : string = '' ; 
	color : string = '' ; 
	puom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MstInvCpsInventoryItemsServiceProxy,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Name'),headerTooltip: this.l('Part Name'),field: 'partName',flex: 1},
			{headerName: this.l('Color'),headerTooltip: this.l('Color'),field: 'color',flex: 1},
			{headerName: this.l('Puom'),headerTooltip: this.l('Puom'),field: 'puom',flex: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this.partNo,
			this.partName,
			this.color,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partNo : string = '' ; 
	partName : string = '' ; 
	color : string = '' ; 
	puom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this.partNo,
			this.partName,
			this.color,
			'',
            this.paginationParams.skipCount,
            this.paginationParams.pageSize
        );
    }
    onChangeRowSelection(params: { api: { getSelectedRows: () =&gt; MstInvCpsInventoryItemsDto[] } }) {
        this.saveSelectedRow = params.api.getSelectedRows()[0] ?? new MstInvCpsInventoryItemsDto();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MstInvCpsInventoryItemsDto):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this._service.getCpsInventoryItemsToExcel(
			this.,
			this.partNo,
			this.partName,
			this.color,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Mst Cps Inventory tems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[(ngModel)]='puom' name='puom'
									class='form-control' [placeholder]="l('Puom')"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(click)="createOrEditModalCpsInventoryItems.show()"&gt;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(click)="createOrEditModalCpsInventoryItems.show(selectedRow)"&gt;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&lt;create-or-edit-cpsinventoryitems-modal
    #createOrEditModalCpsInventoryItems
    (modalSave)="callBackDataGrid(dataParams)"
    (modalClose)="onChangeRowSelection(dataParams)"
&gt;
&lt;/create-or-edit-cpsinventoryitems-modal&gt;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#createOrEditModalCpsInventoryItems="bs-modal"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CpsInventoryItems')}}&lt;/h3&gt;
                    &lt;h3 *ngIf="!rowdata.id"&gt;{{('Create New CpsInventoryItems')}}&lt;/h3&gt;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title'&gt;Puom&lt;/label&gt;
						&lt;input type='text' class='col-md-10 form-control input-text' name='Puom' [(ngModel)]='rowdata.puom'&gt;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CreateOrEditMstInvCpsInventoryItemsDto, MstInvCpsInventoryItemsServiceProxy } from '@shared/service-proxies/service-proxies';
import { BsDatepickerDirective } from 'ngx-bootstrap/datepicker';
@Component({
    selector: 'create-or-edit-cpsinventoryitems-modal',
    templateUrl: './create-or-edit-cpsinventoryitems-modal.component.html',
    styleUrls: ['./create-or-edit-cpsinventoryitems-modal.component.less']
    })
export class CreateOrEditCpsInventoryItemsModalComponent extends AppComponentBase {
    @ViewChild('createOrEditModalCpsInventoryItems',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CreateOrEditMstInvCpsInventoryItemsDto = new CreateOrEditMstInvCpsInventoryItemsDto();
    active: boolean = false;
    saving: boolean = false;
    _: boolean;
    constructor(
        injector: Injector,
        private _mstwptCpsInventoryItemsService: MstInvCpsInventoryItemsServiceProxy,
    ) 
    {
        super(injector);
    }
    show(rowdata?: CreateOrEditMstInvCpsInventoryItemsDto): void {
        if (!rowdata) this.rowdata = new CreateOrEditMstInvCpsInventoryItemsDto();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this._mstwptCpsInventoryItemsService.createOrEdit(this.rowdata)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CpsInventoryItemsRoutingModule } from './cpsinventoryitems-routing.module';
import { CpsInventoryItemsComponent } from './cpsinventoryitems.component';
import { CreateOrEditCpsInventoryItemsModalComponent } from './create-or-edit-cpsinventoryitems-modal.component';
@NgModule({
    declarations: [
       CpsInventoryItemsComponent, 
        CreateOrEditCpsInventoryItemsModalComponent
    ],
    imports: [
        AppSharedModule, CpsInventoryItemsRoutingModule]
})
export class CpsInventoryItemsModule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CpsInventoryItemsComponent } from './cpsinventoryitems.component';
const routes: Routes = [{
    path: '',
    component: CpsInventoryItemsComponent,
    pathMatch: 'full'
}];
@NgModule({
    imports: [RouterModule.forChild(routes)],
    exports: [RouterModule],
})
export class CpsInventoryItemsRoutingModule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AppMenuItem("CpsInventoryItems", "Pages.Master.Inventory.CpsInventoryItems", "flaticon-book",   "/app/main/master/inventory/cpsinventoryitems"),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'master/inventory/cpsinventoryitems',
    loadChildren: () =&gt; import('./master/inventory/cpsinventoryitems/cpsinventoryitems.module').then(m =&gt; m.CpsInventoryItemsModule),
    data: { permission: 'Pages.Master.Inventory.CpsInventoryItems' }
},</v>
      </c>
      <c r="R10" s="47" t="str">
        <f>SUBSTITUTE(R9,"MstWptCalendar",$B$6)</f>
        <v>ApiServiceProxies.MstInvCpsInventoryItemsServiceProxy,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H18</v>
      </c>
      <c r="I12" s="28" t="str">
        <f>"I"&amp;COUNTA($A:$A)</f>
        <v>I18</v>
      </c>
      <c r="J12" s="28"/>
      <c r="K12" s="28" t="str">
        <f>"K"&amp;COUNTA($A:$A)</f>
        <v>K18</v>
      </c>
      <c r="L12" s="28" t="str">
        <f>"L"&amp;COUNTA($A:$A)</f>
        <v>L18</v>
      </c>
      <c r="M12" s="28"/>
      <c r="N12" s="28"/>
      <c r="O12" s="28"/>
      <c r="P12" s="28"/>
      <c r="Q12" s="28"/>
      <c r="R12" s="28"/>
      <c r="S12" s="28" t="str">
        <f>"S"&amp;COUNTA($A:$A)</f>
        <v>S18</v>
      </c>
      <c r="T12" s="28" t="str">
        <f>"T"&amp;COUNTA($A:$A)</f>
        <v>T18</v>
      </c>
      <c r="U12" s="28" t="str">
        <f>"U"&amp;COUNTA($A:$A)</f>
        <v>U18</v>
      </c>
      <c r="V12" s="28" t="str">
        <f>"V"&amp;COUNTA($A:$A)</f>
        <v>V18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this.l('Part No'),headerTooltip: this.l('Part No'),field: 'partNo',flex: 1},
			{headerName: this.l('Part Name'),headerTooltip: this.l('Part Name'),field: 'partName',flex: 1},
			{headerName: this.l('Color'),headerTooltip: this.l('Color'),field: 'color',flex: 1},
			{headerName: this.l('Puom'),headerTooltip: this.l('Puom'),field: 'puom',flex: 1},</v>
      </c>
      <c r="I13" s="35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[(ngModel)]='puom' name='puom'
									class='form-control' [placeholder]="l('Puom')"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title'&gt;Puom&lt;/label&gt;
						&lt;input type='text' class='col-md-10 form-control input-text' name='Puom' [(ngModel)]='rowdata.puom'&gt;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partNo : string = '' ; 
	partName : string = '' ; 
	color : string = '' ; 
	puom : string = '' ; </v>
      </c>
      <c r="T13" s="62" t="str">
        <f ca="1">TEXTJOIN2("
",TRUE,INDIRECT(T11):INDIRECT(T12))</f>
        <v xml:space="preserve">			this.,
			this.partNo,
			this.partName,
			this.color,</v>
      </c>
      <c r="U13" s="62" t="str">
        <f ca="1">TEXTJOIN2("
",TRUE,INDIRECT(U11):INDIRECT(U12))</f>
        <v xml:space="preserve">	partNo : string = '' ; 
	partName : string = '' ; 
	color : string = '' ; 
	puom : string = '' ; </v>
      </c>
      <c r="V13" s="28" t="str">
        <f ca="1">TEXTJOIN2("
",TRUE,INDIRECT(V11):INDIRECT(V12))</f>
        <v/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cpsinventoryitems.component.ts</v>
      </c>
      <c r="I14" s="37" t="str">
        <f>B8&amp;".component.html"</f>
        <v>cpsinventoryitems.component.html</v>
      </c>
      <c r="J14" s="36" t="str">
        <f>B8&amp;".component.less"</f>
        <v>cpsinventoryitems.component.less</v>
      </c>
      <c r="K14" s="37" t="str">
        <f>"create-or-edit-"&amp;B8&amp;"-modal.component.html"</f>
        <v>create-or-edit-cpsinventoryitems-modal.component.html</v>
      </c>
      <c r="L14" s="37" t="str">
        <f>"create-or-edit-"&amp;B8&amp;"-modal.component.ts"</f>
        <v>create-or-edit-cpsinventoryitems-modal.component.ts</v>
      </c>
      <c r="M14" s="37" t="str">
        <f>"create-or-edit-"&amp;B8&amp;"-modal.component.less"</f>
        <v>create-or-edit-cpsinventoryitems-modal.component.less</v>
      </c>
      <c r="N14" s="37" t="str">
        <f>B8&amp;".module.ts"</f>
        <v>cpsinventoryitems.module.ts</v>
      </c>
      <c r="O14" s="37" t="str">
        <f>B8&amp;"-routing.module.ts"</f>
        <v>cpsinventoryitems-routing.module.ts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28" t="s">
        <v>361</v>
      </c>
      <c r="B15" s="28" t="str">
        <f t="shared" ref="B15" si="0">SUBSTITUTE(PROPER(A15),"_","")</f>
        <v>PartNo</v>
      </c>
      <c r="C15" s="28" t="str">
        <f t="shared" ref="C15" si="1">SUBSTITUTE(PROPER(A15),"_"," ")</f>
        <v>Part No</v>
      </c>
      <c r="D15" s="28" t="str">
        <f t="shared" ref="D15" si="2">LOWER(LEFT(B15,1))&amp;RIGHT(B15,LEN(B15) - 1)</f>
        <v>partNo</v>
      </c>
      <c r="E15" s="28" t="str">
        <f>A.Backend!H9</f>
        <v>string</v>
      </c>
      <c r="F15" s="28" t="str">
        <f>A.Backend!G9</f>
        <v>40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5" t="str">
        <f t="shared" ref="I15:I18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partNo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partNo : string = '' ; </v>
      </c>
      <c r="V15" s="28" t="str">
        <f t="shared" ref="V15" si="7">IF(AND(E15="string",F15="1"),D15,"")</f>
        <v/>
      </c>
    </row>
    <row r="16" spans="1:22" ht="18" customHeight="1" x14ac:dyDescent="0.25">
      <c r="A16" s="28" t="s">
        <v>364</v>
      </c>
      <c r="B16" s="28" t="str">
        <f t="shared" ref="B16:B18" si="8">SUBSTITUTE(PROPER(A16),"_","")</f>
        <v>PartName</v>
      </c>
      <c r="C16" s="28" t="str">
        <f t="shared" ref="C16:C18" si="9">SUBSTITUTE(PROPER(A16),"_"," ")</f>
        <v>Part Name</v>
      </c>
      <c r="D16" s="28" t="str">
        <f t="shared" ref="D16:D18" si="10">LOWER(LEFT(B16,1))&amp;RIGHT(B16,LEN(B16) - 1)</f>
        <v>partName</v>
      </c>
      <c r="E16" s="28" t="str">
        <f>A.Backend!H11</f>
        <v>string</v>
      </c>
      <c r="F16" s="28" t="str">
        <f>A.Backend!G11</f>
        <v>40</v>
      </c>
      <c r="G16" s="28" t="str">
        <f t="shared" ref="G16:G18" si="11">IF(E16="string"," : string = '' ; ",IF(OR(E16="DateTime",E16="TimeSpan")," : any ;",IF(E16="int"," : number = 0 ;","")))</f>
        <v xml:space="preserve"> : string = '' ; </v>
      </c>
      <c r="H16" s="35" t="str">
        <f t="shared" ref="H16:H18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this.l('Part Name'),headerTooltip: this.l('Part Name'),field: 'partName',flex: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6" s="28"/>
      <c r="K16" s="35" t="str">
        <f t="shared" ref="K16:K18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18" si="15">IF(AND(E16="string",F16 &lt;&gt;"1"),(REPT(CHAR(9),1)&amp;D16&amp;G16),"")</f>
        <v xml:space="preserve">	partName : string = '' ; </v>
      </c>
      <c r="T16" s="28" t="str">
        <f>IF(AND(E16="string",F16 &lt;&gt;"1"),(REPT(CHAR(9),3)&amp;"this."&amp;D15&amp;","),"")</f>
        <v xml:space="preserve">			this.partNo,</v>
      </c>
      <c r="U16" s="28" t="str">
        <f t="shared" ref="U16:U18" si="16">IF(AND(E16="string",F16 &lt;&gt;"1"),(REPT(CHAR(9),1)&amp;D16&amp;G16),"")</f>
        <v xml:space="preserve">	partName : string = '' ; </v>
      </c>
      <c r="V16" s="28" t="str">
        <f t="shared" ref="V16:V18" si="17">IF(AND(E16="string",F16="1"),D16,"")</f>
        <v/>
      </c>
    </row>
    <row r="17" spans="1:22" ht="18" customHeight="1" x14ac:dyDescent="0.25">
      <c r="A17" s="28" t="s">
        <v>363</v>
      </c>
      <c r="B17" s="28" t="str">
        <f t="shared" si="8"/>
        <v>Color</v>
      </c>
      <c r="C17" s="28" t="str">
        <f t="shared" si="9"/>
        <v>Color</v>
      </c>
      <c r="D17" s="28" t="str">
        <f t="shared" si="10"/>
        <v>color</v>
      </c>
      <c r="E17" s="28" t="str">
        <f>A.Backend!H10</f>
        <v>string</v>
      </c>
      <c r="F17" s="28" t="str">
        <f>A.Backend!G10</f>
        <v>500</v>
      </c>
      <c r="G17" s="28" t="str">
        <f t="shared" si="11"/>
        <v xml:space="preserve"> : string = '' ; </v>
      </c>
      <c r="H17" s="35" t="str">
        <f t="shared" si="12"/>
        <v xml:space="preserve">			{headerName: this.l('Color'),headerTooltip: this.l('Color'),field: 'color',flex: 1},</v>
      </c>
      <c r="I17" s="35" t="str">
        <f t="shared" si="5"/>
        <v xml:space="preserve">								&lt;div class='input-search'&gt;
									&lt;input [(ngModel)]='color' name='color'
									class='form-control' [placeholder]="l('Color')"
									type='text' (keyup.enter)='searchDatas()'&gt;
								&lt;/div&gt;</v>
      </c>
      <c r="J17" s="28"/>
      <c r="K17" s="35" t="str">
        <f t="shared" si="13"/>
        <v xml:space="preserve">					&lt;div class='col-md-12 form-group row'&gt;
						&lt;label class='col-md-2 form-control title'&gt;Color&lt;/label&gt;
						&lt;input type='text' class='col-md-10 form-control input-text' name='Color' [(ngModel)]='rowdata.color'&gt;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5"/>
        <v xml:space="preserve">	color : string = '' ; </v>
      </c>
      <c r="T17" s="28" t="str">
        <f t="shared" ref="T17:T18" si="18">IF(AND(E17="string",F17 &lt;&gt;"1"),(REPT(CHAR(9),3)&amp;"this."&amp;D16&amp;","),"")</f>
        <v xml:space="preserve">			this.partName,</v>
      </c>
      <c r="U17" s="28" t="str">
        <f t="shared" si="16"/>
        <v xml:space="preserve">	color : string = '' ; </v>
      </c>
      <c r="V17" s="28" t="str">
        <f t="shared" si="17"/>
        <v/>
      </c>
    </row>
    <row r="18" spans="1:22" ht="15" customHeight="1" x14ac:dyDescent="0.25">
      <c r="A18" s="28" t="s">
        <v>366</v>
      </c>
      <c r="B18" s="28" t="str">
        <f t="shared" si="8"/>
        <v>Puom</v>
      </c>
      <c r="C18" s="28" t="str">
        <f t="shared" si="9"/>
        <v>Puom</v>
      </c>
      <c r="D18" s="28" t="str">
        <f t="shared" si="10"/>
        <v>puom</v>
      </c>
      <c r="E18" s="28" t="str">
        <f>A.Backend!H12</f>
        <v>string</v>
      </c>
      <c r="F18" s="28" t="str">
        <f>A.Backend!G12</f>
        <v>50</v>
      </c>
      <c r="G18" s="28" t="str">
        <f t="shared" si="11"/>
        <v xml:space="preserve"> : string = '' ; </v>
      </c>
      <c r="H18" s="35" t="str">
        <f t="shared" si="12"/>
        <v xml:space="preserve">			{headerName: this.l('Puom'),headerTooltip: this.l('Puom'),field: 'puom',flex: 1},</v>
      </c>
      <c r="I18" s="35" t="str">
        <f t="shared" si="5"/>
        <v xml:space="preserve">								&lt;div class='input-search'&gt;
									&lt;input [(ngModel)]='puom' name='puom'
									class='form-control' [placeholder]="l('Puom')"
									type='text' (keyup.enter)='searchDatas()'&gt;
								&lt;/div&gt;</v>
      </c>
      <c r="J18" s="28"/>
      <c r="K18" s="35" t="str">
        <f t="shared" si="13"/>
        <v xml:space="preserve">					&lt;div class='col-md-12 form-group row'&gt;
						&lt;label class='col-md-2 form-control title'&gt;Puom&lt;/label&gt;
						&lt;input type='text' class='col-md-10 form-control input-text' name='Puom' [(ngModel)]='rowdata.puom'&gt;
					&lt;/div&gt;</v>
      </c>
      <c r="L18" s="56" t="str">
        <f t="shared" ref="L18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5"/>
        <v xml:space="preserve">	puom : string = '' ; </v>
      </c>
      <c r="T18" s="28" t="str">
        <f t="shared" si="18"/>
        <v xml:space="preserve">			this.color,</v>
      </c>
      <c r="U18" s="28" t="str">
        <f t="shared" si="16"/>
        <v xml:space="preserve">	puom : string = '' ; </v>
      </c>
      <c r="V18" s="28" t="str">
        <f t="shared" si="17"/>
        <v/>
      </c>
    </row>
    <row r="20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353</v>
      </c>
    </row>
    <row r="6" spans="1:2" x14ac:dyDescent="0.25">
      <c r="A6" t="s">
        <v>23</v>
      </c>
      <c r="B6" t="s">
        <v>352</v>
      </c>
    </row>
    <row r="7" spans="1:2" x14ac:dyDescent="0.25">
      <c r="A7" t="s">
        <v>24</v>
      </c>
      <c r="B7" t="s">
        <v>347</v>
      </c>
    </row>
    <row r="8" spans="1:2" x14ac:dyDescent="0.25">
      <c r="A8" t="s">
        <v>4</v>
      </c>
      <c r="B8" t="s">
        <v>347</v>
      </c>
    </row>
    <row r="9" spans="1:2" x14ac:dyDescent="0.25">
      <c r="A9" t="s">
        <v>0</v>
      </c>
      <c r="B9" t="s">
        <v>348</v>
      </c>
    </row>
    <row r="10" spans="1:2" x14ac:dyDescent="0.25">
      <c r="A10" t="s">
        <v>25</v>
      </c>
      <c r="B10" t="s">
        <v>351</v>
      </c>
    </row>
    <row r="11" spans="1:2" x14ac:dyDescent="0.25">
      <c r="A11" t="s">
        <v>26</v>
      </c>
      <c r="B11" t="s">
        <v>351</v>
      </c>
    </row>
    <row r="12" spans="1:2" x14ac:dyDescent="0.25">
      <c r="A12" t="s">
        <v>27</v>
      </c>
      <c r="B12" t="s">
        <v>351</v>
      </c>
    </row>
    <row r="13" spans="1:2" x14ac:dyDescent="0.25">
      <c r="A13" t="s">
        <v>28</v>
      </c>
      <c r="B13" t="s">
        <v>351</v>
      </c>
    </row>
    <row r="14" spans="1:2" x14ac:dyDescent="0.25">
      <c r="A14" t="s">
        <v>29</v>
      </c>
      <c r="B14" t="s">
        <v>351</v>
      </c>
    </row>
    <row r="15" spans="1:2" x14ac:dyDescent="0.25">
      <c r="A15" t="s">
        <v>30</v>
      </c>
      <c r="B15" t="s">
        <v>351</v>
      </c>
    </row>
    <row r="16" spans="1:2" x14ac:dyDescent="0.25">
      <c r="A16" t="s">
        <v>31</v>
      </c>
      <c r="B16" t="s">
        <v>349</v>
      </c>
    </row>
    <row r="17" spans="1:2" x14ac:dyDescent="0.25">
      <c r="A17" t="s">
        <v>3</v>
      </c>
      <c r="B17" t="s">
        <v>349</v>
      </c>
    </row>
    <row r="18" spans="1:2" x14ac:dyDescent="0.25">
      <c r="A18" t="s">
        <v>33</v>
      </c>
      <c r="B18" t="s">
        <v>349</v>
      </c>
    </row>
    <row r="19" spans="1:2" x14ac:dyDescent="0.25">
      <c r="A19" t="s">
        <v>2</v>
      </c>
      <c r="B19" t="s">
        <v>349</v>
      </c>
    </row>
    <row r="20" spans="1:2" x14ac:dyDescent="0.25">
      <c r="A20" t="s">
        <v>262</v>
      </c>
      <c r="B20" t="s">
        <v>350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2023-08-21T07:30:48Z</dcterms:modified>
</cp:coreProperties>
</file>
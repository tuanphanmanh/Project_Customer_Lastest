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master\inventory\"/>
    </mc:Choice>
  </mc:AlternateContent>
  <bookViews>
    <workbookView xWindow="0" yWindow="2720" windowWidth="28800" windowHeight="1643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G20" i="5" l="1"/>
  <c r="F20" i="5"/>
  <c r="E20" i="5"/>
  <c r="L20" i="5" s="1"/>
  <c r="C20" i="5"/>
  <c r="B20" i="5"/>
  <c r="D20" i="5" s="1"/>
  <c r="G14" i="1"/>
  <c r="E14" i="1"/>
  <c r="D14" i="1"/>
  <c r="T14" i="1" s="1"/>
  <c r="K20" i="5" l="1"/>
  <c r="T20" i="5"/>
  <c r="S20" i="5"/>
  <c r="U20" i="5"/>
  <c r="V20" i="5"/>
  <c r="H20" i="5"/>
  <c r="I20" i="5"/>
  <c r="O14" i="1"/>
  <c r="N14" i="1"/>
  <c r="M14" i="1"/>
  <c r="W14" i="1"/>
  <c r="J14" i="1"/>
  <c r="I14" i="1"/>
  <c r="V14" i="1"/>
  <c r="L14" i="1"/>
  <c r="P14" i="1"/>
  <c r="B2" i="5"/>
  <c r="C18" i="5" l="1"/>
  <c r="B18" i="5"/>
  <c r="D18" i="5" s="1"/>
  <c r="T18" i="5" s="1"/>
  <c r="C17" i="5"/>
  <c r="B17" i="5"/>
  <c r="D17" i="5" s="1"/>
  <c r="C16" i="5"/>
  <c r="B16" i="5"/>
  <c r="D16" i="5" s="1"/>
  <c r="T16" i="5" l="1"/>
  <c r="T17" i="5"/>
  <c r="B6" i="1"/>
  <c r="G13" i="1"/>
  <c r="F19" i="5" s="1"/>
  <c r="E13" i="1"/>
  <c r="E19" i="5" s="1"/>
  <c r="D13" i="1"/>
  <c r="V13" i="1" s="1"/>
  <c r="W13" i="1" l="1"/>
  <c r="N13" i="1"/>
  <c r="I13" i="1"/>
  <c r="M13" i="1"/>
  <c r="O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E18" i="5" s="1"/>
  <c r="D12" i="1"/>
  <c r="V12" i="1" s="1"/>
  <c r="G11" i="1"/>
  <c r="F17" i="5" s="1"/>
  <c r="E11" i="1"/>
  <c r="E17" i="5" s="1"/>
  <c r="D11" i="1"/>
  <c r="T11" i="1" s="1"/>
  <c r="V18" i="5" l="1"/>
  <c r="H18" i="5"/>
  <c r="K18" i="5"/>
  <c r="G18" i="5"/>
  <c r="S18" i="5" s="1"/>
  <c r="I18" i="5"/>
  <c r="L18" i="5"/>
  <c r="U18" i="5"/>
  <c r="I17" i="5"/>
  <c r="V17" i="5"/>
  <c r="K17" i="5"/>
  <c r="L17" i="5"/>
  <c r="H17" i="5"/>
  <c r="U17" i="5"/>
  <c r="G17" i="5"/>
  <c r="S17" i="5" s="1"/>
  <c r="M11" i="1"/>
  <c r="T19" i="5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E16" i="5" s="1"/>
  <c r="D10" i="1"/>
  <c r="T10" i="1" s="1"/>
  <c r="K16" i="5" l="1"/>
  <c r="V16" i="5"/>
  <c r="I16" i="5"/>
  <c r="L16" i="5"/>
  <c r="H16" i="5"/>
  <c r="G16" i="5"/>
  <c r="S16" i="5" s="1"/>
  <c r="U16" i="5"/>
  <c r="H19" i="5"/>
  <c r="L19" i="5"/>
  <c r="I19" i="5"/>
  <c r="G19" i="5"/>
  <c r="S19" i="5" s="1"/>
  <c r="K19" i="5"/>
  <c r="U19" i="5"/>
  <c r="V19" i="5"/>
  <c r="P10" i="1"/>
  <c r="V10" i="1"/>
  <c r="W10" i="1"/>
  <c r="J10" i="1"/>
  <c r="I10" i="1"/>
  <c r="O10" i="1"/>
  <c r="N10" i="1"/>
  <c r="M10" i="1"/>
  <c r="W3" i="1" l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5" i="1"/>
  <c r="T7" i="1" l="1"/>
  <c r="W15" i="1"/>
  <c r="G6" i="1" l="1"/>
  <c r="V13" i="5"/>
  <c r="H13" i="5"/>
  <c r="I13" i="5"/>
  <c r="K13" i="5"/>
  <c r="U13" i="5"/>
  <c r="L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P15" i="1"/>
  <c r="J15" i="1"/>
  <c r="O15" i="1"/>
  <c r="N15" i="1"/>
  <c r="I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<sst xmlns="http://schemas.openxmlformats.org/spreadsheetml/2006/main" count="457" uniqueCount="368">
  <si>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</si>
  <si>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</si>
  <si>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</si>
  <si>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</si>
  <si>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</si>
  <si>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</si>
  <si>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</si>
  <si>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</si>
  <si>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</si>
  <si>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</si>
  <si>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</si>
  <si>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</si>
  <si>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</si>
  <si>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</si>
  <si>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</si>
  <si>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</si>
  <si>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</si>
  <si>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</si>
  <si>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</si>
  <si>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</si>
  <si>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</si>
  <si>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</si>
  <si>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</si>
  <si>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</si>
  <si>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</si>
  <si>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</si>
  <si>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</si>
  <si>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</si>
  <si>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</si>
  <si>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</si>
  <si>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</si>
  <si>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</si>
  <si>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</si>
  <si>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</si>
  <si>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</si>
  <si>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</si>
  <si>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</si>
  <si>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</si>
  <si>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</si>
  <si>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</si>
  <si>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</si>
  <si>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</si>
  <si>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</si>
  <si>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</si>
  <si>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</si>
  <si>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</si>
  <si>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</si>
  <si>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</si>
  <si>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</si>
  <si>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</si>
  <si>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</si>
  <si>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</si>
  <si>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</si>
  <si>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</si>
  <si>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</si>
  <si>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</si>
  <si>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</si>
  <si>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</si>
  <si>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</si>
  <si>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</si>
  <si>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</si>
  <si>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</si>
  <si>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</si>
  <si>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</si>
  <si>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</si>
  <si>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</si>
  <si>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</si>
  <si>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</si>
  <si>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</si>
  <si>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</si>
  <si>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</si>
  <si>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</si>
  <si>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</si>
  <si>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</si>
  <si>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</si>
  <si>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</si>
  <si>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</si>
  <si>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</si>
  <si>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</si>
  <si>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</si>
  <si>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</si>
  <si>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</si>
  <si>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</si>
  <si>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</si>
  <si>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</si>
  <si>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</si>
  <si>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</si>
  <si>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</si>
  <si>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</si>
  <si>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</si>
  <si>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</si>
  <si>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</si>
  <si>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</si>
  <si>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</si>
  <si>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</si>
  <si>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</si>
  <si>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</si>
  <si>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</si>
  <si>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</si>
  <si>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</si>
  <si>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</si>
  <si>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</si>
  <si>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</si>
  <si>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</si>
  <si>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</si>
  <si>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</si>
  <si>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</si>
  <si>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</si>
  <si>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</si>
  <si>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</si>
  <si>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</si>
  <si>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</si>
  <si>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</si>
  <si>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</si>
  <si>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</si>
  <si>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</si>
  <si>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</si>
  <si>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</si>
  <si>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</si>
  <si>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</si>
  <si>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</si>
  <si>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</si>
  <si>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</si>
  <si>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</si>
  <si>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</si>
  <si>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</si>
  <si>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</si>
  <si>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</si>
  <si>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</si>
  <si>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</si>
  <si>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</si>
  <si>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</si>
  <si>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</si>
  <si>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</si>
  <si>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</si>
  <si>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</si>
  <si>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</si>
  <si>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</si>
  <si>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</si>
  <si>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</si>
  <si>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</si>
  <si>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</si>
  <si>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</si>
  <si>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</si>
  <si>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</si>
  <si>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</si>
  <si>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</si>
  <si>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</si>
  <si>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</si>
  <si>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</si>
  <si>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</si>
  <si>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</si>
  <si>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</si>
  <si>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</si>
  <si>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</si>
  <si>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</si>
  <si>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</si>
  <si>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</si>
  <si>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</si>
  <si>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</si>
  <si>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</si>
  <si>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</si>
  <si>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</si>
  <si>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</si>
  <si>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</si>
  <si>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</si>
  <si>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</si>
  <si>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</si>
  <si>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</si>
  <si>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</si>
  <si>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</si>
  <si>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</si>
  <si>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</si>
  <si>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</si>
  <si>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</si>
  <si>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</si>
  <si>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</si>
  <si>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</si>
  <si>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</si>
  <si>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</si>
  <si>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</si>
  <si>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</si>
  <si>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</si>
  <si>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</si>
  <si>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</si>
  <si>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</si>
  <si>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</si>
  <si>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</si>
  <si>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</si>
  <si>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</si>
  <si>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</si>
  <si>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</si>
  <si>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</si>
  <si>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</si>
  <si>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</si>
  <si>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</si>
  <si>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</si>
  <si>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</si>
  <si>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</si>
  <si>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</si>
  <si>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</si>
  <si>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</si>
  <si>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</si>
  <si>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</si>
  <si>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</si>
  <si>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</si>
  <si>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</si>
  <si>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</si>
  <si>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</si>
  <si>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</si>
  <si>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</si>
  <si>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</si>
  <si>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</si>
  <si>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</si>
  <si>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</si>
  <si>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</si>
  <si>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</si>
  <si>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</si>
  <si>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</si>
  <si>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</si>
  <si>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</si>
  <si>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</si>
  <si>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</si>
  <si>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</si>
  <si>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</si>
  <si>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</si>
  <si>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</si>
  <si>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</si>
  <si>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</si>
  <si>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</si>
  <si>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</si>
  <si>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</si>
  <si>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</si>
  <si>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</si>
  <si>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</si>
  <si>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</si>
  <si>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</si>
  <si>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</si>
  <si>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</si>
  <si>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</si>
  <si>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</si>
  <si>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</si>
  <si>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</si>
  <si>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</si>
  <si>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</si>
  <si>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</si>
  <si>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</si>
  <si>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</si>
  <si>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</si>
  <si>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</si>
  <si>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</si>
  <si>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</si>
  <si>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</si>
  <si>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</si>
  <si>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</si>
  <si>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</si>
  <si>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</si>
  <si>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</si>
  <si>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</si>
  <si>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</si>
  <si>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</si>
  <si>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</si>
  <si>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</si>
  <si>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</si>
  <si>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</si>
  <si>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</si>
  <si>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</si>
  <si>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</si>
  <si>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</si>
  <si>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</si>
  <si>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</si>
  <si>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</si>
  <si>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</si>
  <si>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</si>
  <si>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</si>
  <si>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</si>
  <si>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</si>
  <si>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</si>
  <si>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</si>
  <si>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</si>
  <si>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</si>
  <si>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</si>
  <si>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</si>
  <si>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</si>
  <si>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</si>
  <si>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</si>
  <si>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</si>
  <si>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</si>
  <si>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</si>
  <si>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</si>
  <si>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</si>
  <si>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</si>
  <si>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</si>
  <si>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</si>
  <si>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</si>
  <si>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</si>
  <si>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</si>
  <si>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</si>
  <si>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</si>
  <si>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</si>
  <si>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</si>
  <si>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</si>
  <si>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</si>
  <si>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</si>
  <si>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</si>
  <si>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</si>
  <si>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</si>
  <si>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</si>
  <si>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</si>
  <si>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</si>
  <si>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</si>
  <si>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</si>
  <si>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</si>
  <si>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</si>
  <si>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</si>
  <si>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</si>
  <si>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</si>
  <si>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</si>
  <si>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</si>
  <si>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</si>
  <si>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</si>
  <si>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</si>
  <si>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</si>
  <si>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</si>
  <si>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</si>
  <si>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</si>
  <si>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</si>
  <si>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</si>
  <si>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</si>
  <si>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</si>
  <si>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</si>
  <si>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</si>
  <si>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</si>
  <si>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</si>
  <si>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</si>
  <si>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</si>
  <si>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</si>
  <si>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</si>
  <si>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</si>
  <si>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</si>
  <si>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</si>
  <si>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</si>
  <si>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</si>
  <si>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</si>
  <si>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</si>
  <si>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</si>
  <si>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</si>
  <si>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</si>
  <si>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</si>
  <si>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</si>
  <si>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</si>
  <si>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</si>
  <si>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</si>
  <si>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CODE</t>
  </si>
  <si>
    <t>NAME</t>
  </si>
  <si>
    <t>Master.Inventory</t>
  </si>
  <si>
    <t>MstInvCustomsPort</t>
  </si>
  <si>
    <t>CustomsPort</t>
  </si>
  <si>
    <t>varchar(12)</t>
  </si>
  <si>
    <t>varchar(50)</t>
  </si>
  <si>
    <t>varchar(30)</t>
  </si>
  <si>
    <t>nvarchar(100)</t>
  </si>
  <si>
    <t>ACCOUNT_NUMBER</t>
  </si>
  <si>
    <t>BANK_NAME</t>
  </si>
  <si>
    <t>VENDOR_NUMBER</t>
  </si>
  <si>
    <t>IS_ACTIVE</t>
  </si>
  <si>
    <t>varchar(1)</t>
  </si>
  <si>
    <t>Customs 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</si>
</sst>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49" zoomScaleNormal="100" workbookViewId="0">
      <selection activeCell="C68" sqref="C68"/>
    </sheetView>
  </sheetViews>
  <sheetFormatPr defaultColWidth="8.81640625" defaultRowHeight="14.5" x14ac:dyDescent="0.35"/>
  <cols>
    <col min="1" max="1" width="3.453125" customWidth="1"/>
    <col min="2" max="2" width="18.453125" customWidth="1"/>
    <col min="3" max="5" width="26.1796875" customWidth="1"/>
    <col min="6" max="6" width="29.453125" customWidth="1"/>
    <col min="7" max="10" width="26.1796875" customWidth="1"/>
    <col min="11" max="11" width="26.453125" customWidth="1"/>
    <col min="12" max="12" width="27.7265625" customWidth="1"/>
    <col min="13" max="13" width="25.453125" customWidth="1"/>
    <col min="14" max="18" width="18.453125" customWidth="1"/>
  </cols>
  <sheetData>
    <row r="1" spans="1:7" ht="23.5" x14ac:dyDescent="0.55000000000000004">
      <c r="A1" s="15" t="s">
        <v>74</v>
      </c>
    </row>
    <row r="2" spans="1:7" ht="15.5" x14ac:dyDescent="0.35">
      <c r="A2" s="1"/>
      <c r="B2" s="27" t="s">
        <v>196</v>
      </c>
    </row>
    <row r="3" spans="1:7" x14ac:dyDescent="0.35">
      <c r="A3" s="1"/>
      <c r="B3" s="1" t="s">
        <v>77</v>
      </c>
    </row>
    <row r="4" spans="1:7" x14ac:dyDescent="0.35">
      <c r="A4" s="1"/>
      <c r="B4" s="17" t="s">
        <v>76</v>
      </c>
    </row>
    <row r="5" spans="1:7" x14ac:dyDescent="0.35">
      <c r="A5" s="1"/>
      <c r="B5" s="17" t="s">
        <v>79</v>
      </c>
    </row>
    <row r="6" spans="1:7" x14ac:dyDescent="0.35">
      <c r="A6" s="1"/>
      <c r="B6" s="17" t="s">
        <v>87</v>
      </c>
    </row>
    <row r="7" spans="1:7" x14ac:dyDescent="0.3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3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3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3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3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3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3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3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3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3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3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3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3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3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3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3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3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3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3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3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3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3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3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3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3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3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3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3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3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3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3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3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3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3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3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3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3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3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3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3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3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3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3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3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35">
      <c r="A51" s="1"/>
      <c r="B51" s="17"/>
    </row>
    <row r="52" spans="1:7" x14ac:dyDescent="0.35">
      <c r="A52" s="1"/>
      <c r="B52" s="17" t="s">
        <v>86</v>
      </c>
    </row>
    <row r="53" spans="1:7" x14ac:dyDescent="0.35">
      <c r="A53" s="1"/>
      <c r="B53" s="17" t="s">
        <v>83</v>
      </c>
    </row>
    <row r="54" spans="1:7" x14ac:dyDescent="0.35">
      <c r="A54" s="1"/>
      <c r="B54" s="17"/>
      <c r="C54" s="19" t="s">
        <v>80</v>
      </c>
    </row>
    <row r="55" spans="1:7" x14ac:dyDescent="0.35">
      <c r="A55" s="1"/>
      <c r="B55" s="17"/>
      <c r="C55" s="18" t="s">
        <v>81</v>
      </c>
    </row>
    <row r="56" spans="1:7" x14ac:dyDescent="0.35">
      <c r="A56" s="1"/>
      <c r="B56" s="17"/>
      <c r="C56" s="18" t="s">
        <v>82</v>
      </c>
    </row>
    <row r="57" spans="1:7" x14ac:dyDescent="0.35">
      <c r="A57" s="1"/>
      <c r="B57" s="17" t="s">
        <v>106</v>
      </c>
      <c r="C57" s="18"/>
    </row>
    <row r="58" spans="1:7" x14ac:dyDescent="0.35">
      <c r="A58" s="1"/>
      <c r="B58" s="17"/>
      <c r="C58" s="18" t="s">
        <v>107</v>
      </c>
    </row>
    <row r="59" spans="1:7" x14ac:dyDescent="0.35">
      <c r="A59" s="1"/>
      <c r="B59" s="17"/>
      <c r="C59" s="18" t="s">
        <v>108</v>
      </c>
    </row>
    <row r="60" spans="1:7" x14ac:dyDescent="0.35">
      <c r="A60" s="1"/>
      <c r="B60" s="17"/>
      <c r="C60" s="18" t="s">
        <v>109</v>
      </c>
    </row>
    <row r="61" spans="1:7" x14ac:dyDescent="0.35">
      <c r="A61" s="1"/>
      <c r="B61" s="17"/>
      <c r="C61" s="18" t="s">
        <v>111</v>
      </c>
    </row>
    <row r="62" spans="1:7" x14ac:dyDescent="0.35">
      <c r="A62" s="1"/>
      <c r="B62" s="17"/>
      <c r="C62" s="18" t="s">
        <v>113</v>
      </c>
    </row>
    <row r="63" spans="1:7" x14ac:dyDescent="0.35">
      <c r="A63" s="1"/>
      <c r="B63" s="17"/>
      <c r="C63" s="18" t="s">
        <v>112</v>
      </c>
    </row>
    <row r="64" spans="1:7" x14ac:dyDescent="0.35">
      <c r="A64" s="1"/>
      <c r="B64" s="17"/>
      <c r="C64" s="18" t="s">
        <v>110</v>
      </c>
    </row>
    <row r="65" spans="2:14" ht="21" customHeight="1" x14ac:dyDescent="0.35">
      <c r="B65" s="21" t="s">
        <v>78</v>
      </c>
    </row>
    <row r="66" spans="2:14" ht="21" customHeight="1" x14ac:dyDescent="0.35">
      <c r="B66" s="63" t="s">
        <v>231</v>
      </c>
    </row>
    <row r="67" spans="2:14" ht="15" thickBot="1" x14ac:dyDescent="0.4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4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[Table("MstInvCustomsPort")]
	[Index(nameof(Code), Name="IX_MstInvCustomsPort_Code")]
	[Index(nameof(IsActive), Name="IX_MstInvCustomsPort_IsActive")]	public class MstInvCustomsPort: FullAuditedEntity&lt;long&gt;, IEntity&lt;long&gt;	
	{
		public const int MaxCodeLength = 12;
		public const int MaxNameLength = 50;
		public const int MaxAccountNumberLength = 30;
		public const int MaxBankNameLength = 100;
		public const int MaxVendorNumberLength = 30;
		public const int MaxIsActiveLength = 1;
		[StringLength(MaxCodeLength)]
		public virtual string Code { get; set; }
		[StringLength(MaxNameLength)]
		public virtual string Name { get; set; }
		[StringLength(MaxAccountNumberLength)]
		public virtual string AccountNumber { get; set; }
		[StringLength(MaxBankNameLength)]
		public virtual string BankName { get; set; }
		[StringLength(MaxVendorNumberLength)]
		public virtual string VendorNumber { get; set; }
		[StringLength(MaxIsActiveLength)]
		public virtual string IsActive { get; set; }
	}
}
</v>
      </c>
      <c r="D68" s="51" t="str">
        <f>A.Backend!O7</f>
        <v xml:space="preserve">		public const string Pages_Master_Inventory_CustomsPort = "Pages.Master.Inventory.CustomsPort";
		public const string Pages_Master_Inventory_CustomsPort_CreateEdit = "Pages.Master.Inventory.CustomsPort.CreateEdit";
		public const string Pages_Master_Inventory_CustomsPort_Delete = "Pages.Master.Inventory.CustomsPort.Delete";
</v>
      </c>
      <c r="E68" s="51" t="str">
        <f>A.Backend!N7</f>
        <v xml:space="preserve">		var perMstInvCustomsPort = PARENTS.CreateChildPermission(AppPermissions.Pages_Master_Inventory_CustomsPort, L( "MasterInventoryCustomsPort"), multiTenancySides: MultiTenancySides.Tenant);
		perMstInvCustomsPort.CreateChildPermission(AppPermissions.Pages_Master_Inventory_CustomsPort_CreateEdit, L( "MasterInventoryCustomsPortCreateEdit"), multiTenancySides: MultiTenancySides.Tenant);
		perMstInvCustomsPort.CreateChildPermission(AppPermissions.Pages_Master_Inventory_CustomsPort_Delete, L( "MasterInventoryCustomsPortDelete"), multiTenancySides: MultiTenancySides.Tenant);</v>
      </c>
      <c r="F68" s="51" t="str">
        <f>A.Backend!K7</f>
        <v>public virtual DbSet&lt;MstInvCustomsPort&gt; MstInvCustomsPorts { get; set; }</v>
      </c>
      <c r="G68" s="51" t="str">
        <f ca="1">A.Backend!L7</f>
        <v xml:space="preserve">namespace prod.Master.Inventory
{
	public class MstInvCustomsPortConsts	
	{
		public const int MaxCodeLength = 12;
		public const int MaxNameLength = 50;
		public const int MaxAccountNumberLength = 30;
		public const int MaxBankNameLength = 100;
		public const int MaxVendorNumberLength = 30;
		public const int MaxIsActiveLength = 1;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MstInvCustomsPortDto : EntityDto&lt;long?&gt;	
	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	public class CreateOrEditMstInvCustomsPortDto : EntityDto&lt;long?&gt;	
	{
		[StringLength(MstInvCustomsPortConsts.MaxCodeLength)]
		public virtual string Code { get; set; }
		[StringLength(MstInvCustomsPortConsts.MaxNameLength)]
		public virtual string Name { get; set; }
		[StringLength(MstInvCustomsPortConsts.MaxAccountNumberLength)]
		public virtual string AccountNumber { get; set; }
		[StringLength(MstInvCustomsPortConsts.MaxBankNameLength)]
		public virtual string BankName { get; set; }
		[StringLength(MstInvCustomsPortConsts.MaxVendorNumberLength)]
		public virtual string VendorNumber { get; set; }
		[StringLength(MstInvCustomsPortConsts.MaxIsActiveLength)]
		public virtual string IsActive { get; set; }
	}
	public class GetMstInvCustomsPortInput : PagedAndSortedResultRequestDto	
	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MstInvCustomsPortExportInput{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IMstInvCustomsPortAppService : IApplicationService
	{
		Task&lt;PagedResultDto&lt;MstInvCustomsPortDto&gt;&gt; GetAll(GetMstInvCustomsPortInput input);
		Task CreateOrEdit(CreateOrEditMstInvCustomsPortDto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IMstInvCustomsPortExcelExporter : IApplicationService
	{
		FileDto ExportToFile(List&lt;MstInvCustomsPortDto&gt; mstinvcustomsport);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MstInvCustomsPortExcelExporter : NpoiExcelExporterBase, IMstInvCustomsPortExcelExporter
    {
        public MstInvCustomsPortExcelExporter(ITempFileCacheManager tempFileCacheManager) : base(tempFileCacheManager) { }
        public FileDto ExportToFile(List&lt;MstInvCustomsPortDto&gt; customsport)
        {
            return CreateExcelPackage(
				"MasterInventoryCustomsPort.xlsx",
				excelPackage =&gt;
				 {
					var sheet = excelPackage.CreateSheet("CustomsPort");
					AddHeader(
								sheet,
								("Code"),
								("Name"),
								("AccountNumber"),
								("BankName"),
								("VendorNumber"),
								("IsActive"),
							   );
					AddObjects(
						 sheet, 1, customsport,                                       
								_ =&gt; _.Code,
								_ =&gt; _.Name,
								_ =&gt; _.AccountNumber,
								_ =&gt; _.BankName,
								_ =&gt; _.VendorNumber,
								_ =&gt; _.IsActive,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[AbpAuthorize(AppPermissions.Pages_Master_Inventory_CustomsPort)]
    public class MstInvCustomsPortAppService : vovinaAppServiceBase, IMstInvCustomsPortAppService
    {
        private readonly IDapperRepository&lt;MstInvCustomsPort, long&gt; _dapperRepo;
        private readonly IRepository&lt;MstInvCustomsPort, long&gt; _repo;
        private readonly IMstInvCustomsPortExcelExporter _calendarListExcelExporter;
        public MstInvCustomsPortAppService(IRepository&lt;MstInvCustomsPort,long&gt; repo, 
                                         IDapperRepository&lt;MstInvCustomsPort,long&gt; dapperRepo,
                                        IMstInvCustomsPortExcelExporter calendarListExcelExporter
            )
        {
            _repo = repo;
            _dapperRepo = dapperRepo;
            _calendarListExcelExporter = calendarListExcelExporter;
        }
        [AbpAuthorize(AppPermissions.Pages_Master_Inventory_CustomsPort_CreateEdit)]
        public async Task CreateOrEdit(CreateOrEditMstInvCustomsPortDto input)
        {
            if (input.Id == null) await Create(input);
            else await Update(input);
        }
        //CREATE
        private async Task Create(CreateOrEditMstInvCustomsPortDto input)
        {          
            var mainObj = ObjectMapper.Map&lt;MstInvCustomsPort&gt;(input);
            await CurrentUnitOfWork.GetDbContext&lt;vovinaDbContext&gt;().AddAsync(mainObj);
        }
        // EDIT
        private async Task Update(CreateOrEditMstInvCustomsPortDto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[AbpAuthorize(AppPermissions.Pages_Master_Inventory_CustomsPort_Delete)]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Task&lt;PagedResultDto&lt;MstInvCustomsPortDto&gt;&gt; GetAll(GetMstInvCustomsPortInput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.WhereIf(!string.IsNullOrWhiteSpace(input.AccountNumber), e =&gt; e.AccountNumber.Contains(input.AccountNumber))
				.WhereIf(!string.IsNullOrWhiteSpace(input.BankName), e =&gt; e.BankName.Contains(input.BankName))
				.WhereIf(!string.IsNullOrWhiteSpace(input.VendorNumber), e =&gt; e.VendorNumber.Contains(input.VendorNumber))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MstInvCustomsPortDto
                        {
							Id = o.Id,
							Code = o.Code,
							Name = o.Name,
							AccountNumber = o.AccountNumber,
							BankName = o.BankName,
							VendorNumber = o.VendorNumber,
							IsActive = o.IsActive,
                        };
            var totalCount = await filtered.CountAsync();
			var paged = system.PageBy(input);
            return new PagedResultDto&lt;MstInvCustomsPortDto&gt;(
                totalCount,
                 await paged.ToListAsync()
            );
        }
        public async Task&lt;FileDto&gt; GetCustomsPortToExcel(MstInvCustomsPortExportInput input)
        {
            var query = from o in _repo.GetAll()
                        select new MstInvCustomsPortDto
                        {
							Id = o.Id,
							Code = o.Code,
							Name = o.Name,
							AccountNumber = o.AccountNumber,
							BankName = o.BankName,
							VendorNumber = o.VendorNumber,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_dapperRepo.ExecuteAsync(MstInvCustomsPortConsts.SP_MST_WPT_CALENDAR_GENERATE);
       // }
    }
}</v>
      </c>
      <c r="N68" s="62" t="str">
        <f>A.Backend!U7</f>
        <v xml:space="preserve">  configuration.CreateMap&lt;MstInvCustomsPortDto, MstInvCustomsPort&gt;();
  configuration.CreateMap&lt;MstInvCustomsPort, MstInvCustomsPortDto&gt;();
  configuration.CreateMap&lt;CreateOrEditMstInvCustomsPortDto, MstInvCustomsPort&gt;();</v>
      </c>
    </row>
    <row r="69" spans="2:14" s="16" customFormat="1" ht="21.75" customHeight="1" x14ac:dyDescent="0.3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3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35">
      <c r="C71" s="29"/>
      <c r="D71" s="29"/>
      <c r="E71" s="29"/>
      <c r="G71" s="29"/>
      <c r="H71" s="29"/>
    </row>
    <row r="72" spans="2:14" x14ac:dyDescent="0.35">
      <c r="B72" s="1" t="s">
        <v>73</v>
      </c>
    </row>
    <row r="73" spans="2:14" ht="21" x14ac:dyDescent="0.5">
      <c r="B73" t="str">
        <f>B.Frontend!B8</f>
        <v>customsport</v>
      </c>
      <c r="C73" s="73" t="str">
        <f>"create folder " &amp;B73</f>
        <v>create folder customsport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35">
      <c r="B74" s="60" t="s">
        <v>229</v>
      </c>
      <c r="C74" s="31" t="str">
        <f>B.Frontend!H14</f>
        <v>customsport.component.ts</v>
      </c>
      <c r="D74" s="31" t="str">
        <f>B.Frontend!I14</f>
        <v>customsport.component.html</v>
      </c>
      <c r="E74" s="31" t="str">
        <f>B.Frontend!J14</f>
        <v>customsport.component.less</v>
      </c>
      <c r="F74" s="31" t="str">
        <f>B.Frontend!K14</f>
        <v>create-or-edit-customsport-modal.component.html</v>
      </c>
      <c r="G74" s="31" t="str">
        <f>B.Frontend!L14</f>
        <v>create-or-edit-customsport-modal.component.ts</v>
      </c>
      <c r="H74" s="31" t="str">
        <f>B.Frontend!M14</f>
        <v>create-or-edit-customsport-modal.component.less</v>
      </c>
      <c r="I74" s="31" t="str">
        <f>B.Frontend!N14</f>
        <v>customsport.module.ts</v>
      </c>
      <c r="J74" s="31" t="str">
        <f>B.Frontend!O14</f>
        <v>customsport-routing.module.ts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3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MstInvCustomsPortDto, MstInvCustomsPortServiceProxy } from '@shared/service-proxies/service-proxies';
import { finalize } from 'rxjs/internal/operators/finalize';
import { CreateOrEditCustomsPortModalComponent } from './create-or-edit-customsport-modal.component';
import { DatePipe } from '@angular/common';
import { FileDownloadService } from '@shared/utils/file-download.service';
import ceil from 'lodash-es/ceil';
import { Paginator } from 'primeng/paginator';
@Component({
    templateUrl: './customsport.component.html',
    styleUrls: ['./customsport.component.less'],
})
export class CustomsPortComponent extends AppComponentBase implements OnInit {
    @ViewChild('createOrEditModalCustomsPort', { static: true }) createOrEditModalCustomsPort:| CreateOrEditCustomsPortModalComponent|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MstInvCustomsPortDto = new MstInvCustomsPortDto();
    saveSelectedRow: MstInvCustomsPortDto = new MstInvCustomsPortDto();
    datas: MstInvCustomsPortDto = new MstInvCustomsPortDto();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accountNumber : string = '' ; 
	bankName : string = '' ; 
	vendorNumber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MstInvCustomsPortServiceProxy,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this.l('Account Number'),headerTooltip: this.l('Account Number'),field: 'accountNumber',flex: 1},
			{headerName: this.l('Bank Name'),headerTooltip: this.l('Bank Name'),field: 'bankName',flex: 1},
			{headerName: this.l('Vendor Number'),headerTooltip: this.l('Vendor Number'),field: 'vendorNumber',flex: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this.accountNumber,
			this.bankName,
			this.vendorNumber,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this.accountNumber = '',
		this.bankName = '',
		this.vendorNumber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this.accountNumber,
			this.bankName,
			this.vendorNumber,
			this.isActive,
			'',
            this.paginationParams.skipCount,
            this.paginationParams.pageSize
        );
    }
    onChangeRowSelection(params: { api: { getSelectedRows: () =&gt; MstInvCustomsPortDto[] } }) {
        this.saveSelectedRow = params.api.getSelectedRows()[0] ?? new MstInvCustomsPortDto();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MstInvCustomsPortDto):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this._service.getCustomsPortToExcel(
			this.code,
			this.name,
			this.accountNumber,
			this.bankName,
			this.vendorNumber,
			this.isActive,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Customs Port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[(ngModel)]='accountNumber' name='accountNumber'
									class='form-control' [placeholder]="l('Account Number')"
									type='text' (keyup.enter)='searchDatas()'&gt;
								&lt;/div&gt;
								&lt;div class='input-search'&gt;
									&lt;input [(ngModel)]='bankName' name='bankName'
									class='form-control' [placeholder]="l('Bank Name')"
									type='text' (keyup.enter)='searchDatas()'&gt;
								&lt;/div&gt;
								&lt;div class='input-search'&gt;
									&lt;input [(ngModel)]='vendorNumber' name='vendorNumber'
									class='form-control' [placeholder]="l('Vendor Number')"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(click)="createOrEditModalCustomsPort.show()"&gt;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(click)="createOrEditModalCustomsPort.show(selectedRow)"&gt;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&lt;create-or-edit-customsport-modal
    #createOrEditModalCustomsPort
    (modalSave)="callBackDataGrid(dataParams)"
    (modalClose)="onChangeRowSelection(dataParams)"
&gt;
&lt;/create-or-edit-customsport-modal&gt;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#createOrEditModalCustomsPort="bs-modal"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CustomsPort')}}&lt;/h3&gt;
                    &lt;h3 *ngIf="!rowdata.id"&gt;{{('Create New CustomsPort')}}&lt;/h3&gt;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title'&gt;Account Number&lt;/label&gt;
						&lt;input type='text' class='col-md-10 form-control input-text' name='AccountNumber' [(ngModel)]='rowdata.accountNumber'&gt;
					&lt;/div&gt;
					&lt;div class='col-md-12 form-group row'&gt;
						&lt;label class='col-md-2 form-control title'&gt;Bank Name&lt;/label&gt;
						&lt;input type='text' class='col-md-10 form-control input-text' name='BankName' [(ngModel)]='rowdata.bankName'&gt;
					&lt;/div&gt;
					&lt;div class='col-md-12 form-group row'&gt;
						&lt;label class='col-md-2 form-control title'&gt;Vendor Number&lt;/label&gt;
						&lt;input type='text' class='col-md-10 form-control input-text' name='VendorNumber' [(ngModel)]='rowdata.vendorNumber'&gt;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CreateOrEditMstInvCustomsPortDto, MstInvCustomsPortServiceProxy } from '@shared/service-proxies/service-proxies';
import { BsDatepickerDirective } from 'ngx-bootstrap/datepicker';
@Component({
    selector: 'create-or-edit-customsport-modal',
    templateUrl: './create-or-edit-customsport-modal.component.html',
    styleUrls: ['./create-or-edit-customsport-modal.component.less']
    })
export class CreateOrEditCustomsPortModalComponent extends AppComponentBase {
    @ViewChild('createOrEditModalCustomsPort',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CreateOrEditMstInvCustomsPortDto = new CreateOrEditMstInvCustomsPortDto();
    active: boolean = false;
    saving: boolean = false;
    _isActive: boolean;
    constructor(
        injector: Injector,
        private _mstwptCustomsPortService: MstInvCustomsPortServiceProxy,
    ) 
    {
        super(injector);
    }
    show(rowdata?: CreateOrEditMstInvCustomsPortDto): void {
        if (!rowdata) this.rowdata = new CreateOrEditMstInvCustomsPortDto();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this._mstwptCustomsPortService.createOrEdit(this.rowdata)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CustomsPortRoutingModule } from './customsport-routing.module';
import { CustomsPortComponent } from './customsport.component';
import { CreateOrEditCustomsPortModalComponent } from './create-or-edit-customsport-modal.component';
@NgModule({
    declarations: [
       CustomsPortComponent, 
        CreateOrEditCustomsPortModalComponent
    ],
    imports: [
        AppSharedModule, CustomsPortRoutingModule]
})
export class CustomsPortModule {}</v>
      </c>
      <c r="J75" s="49" t="str">
        <f>B.Frontend!O10</f>
        <v>import {NgModule} from '@angular/core';
import {RouterModule, Routes} from '@angular/router';
import { CustomsPortComponent } from './customsport.component';
const routes: Routes = [{
    path: '',
    component: CustomsPortComponent,
    pathMatch: 'full'
}];
@NgModule({
    imports: [RouterModule.forChild(routes)],
    exports: [RouterModule],
})
export class CustomsPortRoutingModule {}</v>
      </c>
      <c r="K75" s="49" t="str">
        <f>B.Frontend!P10</f>
        <v xml:space="preserve"> new AppMenuItem("CustomsPort", "Pages.Master.Inventory.CustomsPort", "flaticon-book",   "/app/main/master/inventory/customsport"),</v>
      </c>
      <c r="L75" s="50" t="str">
        <f>B.Frontend!Q10</f>
        <v>{
    path: 'master/inventory/customsport',
    loadChildren: () =&gt; import('./master/inventory/customsport/customsport.module').then(m =&gt; m.CustomsPortModule),
    data: { permission: 'Pages.Master.Inventory.CustomsPort' }
},</v>
      </c>
      <c r="M75" s="48" t="str">
        <f>B.Frontend!R10</f>
        <v>ApiServiceProxies.MstInvCustomsPortServiceProxy,</v>
      </c>
    </row>
    <row r="77" spans="2:14" x14ac:dyDescent="0.3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tabSelected="1" topLeftCell="A4" workbookViewId="0">
      <pane xSplit="1" topLeftCell="E1" activePane="topRight" state="frozen"/>
      <selection pane="topRight" activeCell="K10" sqref="K10"/>
    </sheetView>
  </sheetViews>
  <sheetFormatPr defaultColWidth="9.1796875" defaultRowHeight="14.5" x14ac:dyDescent="0.35"/>
  <cols>
    <col min="1" max="1" width="20.81640625" style="8" customWidth="1"/>
    <col min="2" max="2" width="20.453125" style="9" customWidth="1"/>
    <col min="3" max="3" width="19.453125" style="8" customWidth="1"/>
    <col min="4" max="4" width="23.453125" style="8" customWidth="1"/>
    <col min="5" max="5" width="14.453125" style="8" customWidth="1"/>
    <col min="6" max="6" width="14.81640625" style="8" customWidth="1"/>
    <col min="7" max="7" width="17.26953125" style="8" bestFit="1" customWidth="1"/>
    <col min="8" max="8" width="15" style="8" customWidth="1"/>
    <col min="9" max="9" width="16" style="8" customWidth="1"/>
    <col min="10" max="10" width="15.81640625" style="8" customWidth="1"/>
    <col min="11" max="11" width="16" style="8" customWidth="1"/>
    <col min="12" max="12" width="16.7265625" style="8" customWidth="1"/>
    <col min="13" max="13" width="17.453125" style="8" customWidth="1"/>
    <col min="14" max="14" width="16.1796875" style="8" customWidth="1"/>
    <col min="15" max="15" width="14.7265625" style="8" customWidth="1"/>
    <col min="16" max="16" width="16" style="8" customWidth="1"/>
    <col min="17" max="17" width="15.7265625" style="8" customWidth="1"/>
    <col min="18" max="18" width="19.453125" style="8" customWidth="1"/>
    <col min="19" max="19" width="20.453125" style="8" customWidth="1"/>
    <col min="20" max="20" width="17" style="8" customWidth="1"/>
    <col min="21" max="21" width="14" style="8" customWidth="1"/>
    <col min="22" max="22" width="15.1796875" style="8" customWidth="1"/>
    <col min="23" max="23" width="27.81640625" style="9" customWidth="1"/>
    <col min="24" max="16384" width="9.1796875" style="8"/>
  </cols>
  <sheetData>
    <row r="1" spans="1:23" s="11" customFormat="1" ht="14.25" customHeight="1" x14ac:dyDescent="0.3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35">
      <c r="A2" s="1" t="s">
        <v>12</v>
      </c>
      <c r="B2" s="30" t="s">
        <v>355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35">
      <c r="A3" s="1" t="s">
        <v>5</v>
      </c>
      <c r="B3" s="30" t="s">
        <v>356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MstInvCustomsPortExportInput{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3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35">
      <c r="A5" s="1" t="s">
        <v>238</v>
      </c>
      <c r="B5" s="64" t="s">
        <v>357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" customHeight="1" x14ac:dyDescent="0.3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MstInvCustomsPort: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MstInvCustomsPortConsts	
	{
</v>
      </c>
      <c r="F6" s="11" t="str">
        <f>REPT(CHAR(9),1)&amp;"public class "&amp;B3&amp;"Dto"&amp;K3&amp;REPT(CHAR(9),1)&amp;"
"&amp;REPT(CHAR(9),1)&amp;C3</f>
        <v xml:space="preserve">	public class MstInvCustomsPortDto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CreateOrEditMstInvCustomsPortDto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GetMstInvCustomsPortInput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" customHeight="1" x14ac:dyDescent="0.35">
      <c r="A7" s="1" t="s">
        <v>13</v>
      </c>
      <c r="B7" s="10" t="str">
        <f>B3</f>
        <v>MstInvCustomsPort</v>
      </c>
      <c r="C7" s="11" t="str">
        <f>REPT(CHAR(9),1)&amp;"[Table("""&amp;B7&amp;""")]"&amp;"
"</f>
        <v xml:space="preserve">	[Table("MstInvCustomsPort")]
</v>
      </c>
      <c r="D7" s="11"/>
      <c r="E7" s="11"/>
      <c r="F7" s="11"/>
      <c r="G7" s="11"/>
      <c r="H7" s="11"/>
      <c r="I7" s="11"/>
      <c r="J7" s="6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[Table("MstInvCustomsPort")]
	[Index(nameof(Code), Name="IX_MstInvCustomsPort_Code")]
	[Index(nameof(IsActive), Name="IX_MstInvCustomsPort_IsActive")]	public class MstInvCustomsPort: FullAuditedEntity&lt;long&gt;, IEntity&lt;long&gt;	
	{
		public const int MaxCodeLength = 12;
		public const int MaxNameLength = 50;
		public const int MaxAccountNumberLength = 30;
		public const int MaxBankNameLength = 100;
		public const int MaxVendorNumberLength = 30;
		public const int MaxIsActiveLength = 1;
		[StringLength(MaxCodeLength)]
		public virtual string Code { get; set; }
		[StringLength(MaxNameLength)]
		public virtual string Name { get; set; }
		[StringLength(MaxAccountNumberLength)]
		public virtual string AccountNumber { get; set; }
		[StringLength(MaxBankNameLength)]
		public virtual string BankName { get; set; }
		[StringLength(MaxVendorNumberLength)]
		public virtual string VendorNumber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DbSet&lt;MstInvCustomsPort&gt; MstInvCustomsPorts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MstInvCustomsPortConsts	
	{
		public const int MaxCodeLength = 12;
		public const int MaxNameLength = 50;
		public const int MaxAccountNumberLength = 30;
		public const int MaxBankNameLength = 100;
		public const int MaxVendorNumberLength = 30;
		public const int MaxIsActiveLength = 1;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prod.Master.Inventory.Dto
{
	public class MstInvCustomsPortDto : EntityDto&lt;long?&gt;	
	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	public class CreateOrEditMstInvCustomsPortDto : EntityDto&lt;long?&gt;	
	{
		[StringLength(MstInvCustomsPortConsts.MaxCodeLength)]
		public virtual string Code { get; set; }
		[StringLength(MstInvCustomsPortConsts.MaxNameLength)]
		public virtual string Name { get; set; }
		[StringLength(MstInvCustomsPortConsts.MaxAccountNumberLength)]
		public virtual string AccountNumber { get; set; }
		[StringLength(MstInvCustomsPortConsts.MaxBankNameLength)]
		public virtual string BankName { get; set; }
		[StringLength(MstInvCustomsPortConsts.MaxVendorNumberLength)]
		public virtual string VendorNumber { get; set; }
		[StringLength(MstInvCustomsPortConsts.MaxIsActiveLength)]
		public virtual string IsActive { get; set; }
	}
	public class GetMstInvCustomsPortInput : PagedAndSortedResultRequestDto	
	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perMstInvCustomsPort = PARENTS.CreateChildPermission(AppPermissions.Pages_Master_Inventory_CustomsPort, L( "MasterInventoryCustomsPort"), multiTenancySides: MultiTenancySides.Tenant);
		perMstInvCustomsPort.CreateChildPermission(AppPermissions.Pages_Master_Inventory_CustomsPort_CreateEdit, L( "MasterInventoryCustomsPortCreateEdit"), multiTenancySides: MultiTenancySides.Tenant);
		perMstInvCustomsPort.CreateChildPermission(AppPermissions.Pages_Master_Inventory_CustomsPort_Delete, L( "MasterInventoryCustomsPortDelete"),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Pages_Master_Inventory_CustomsPort = "Pages.Master.Inventory.CustomsPort";
		public const string Pages_Master_Inventory_CustomsPort_CreateEdit = "Pages.Master.Inventory.CustomsPort.CreateEdit";
		public const string Pages_Master_Inventory_CustomsPort_Delete = "Pages.Master.Inventory.CustomsPort.Delete";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IMstInvCustomsPortAppService : IApplicationService
	{
		Task&lt;PagedResultDto&lt;MstInvCustomsPortDto&gt;&gt; GetAll(GetMstInvCustomsPortInput input);
		Task CreateOrEdit(CreateOrEditMstInvCustomsPortDto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[AbpAuthorize(AppPermissions.Pages_Master_Inventory_CustomsPort)]
    public class MstInvCustomsPortAppService : vovinaAppServiceBase, IMstInvCustomsPortAppService
    {
        private readonly IDapperRepository&lt;MstInvCustomsPort, long&gt; _dapperRepo;
        private readonly IRepository&lt;MstInvCustomsPort, long&gt; _repo;
        private readonly IMstInvCustomsPortExcelExporter _calendarListExcelExporter;
        public MstInvCustomsPortAppService(IRepository&lt;MstInvCustomsPort,long&gt; repo, 
                                         IDapperRepository&lt;MstInvCustomsPort,long&gt; dapperRepo,
                                        IMstInvCustomsPortExcelExporter calendarListExcelExporter
            )
        {
            _repo = repo;
            _dapperRepo = dapperRepo;
            _calendarListExcelExporter = calendarListExcelExporter;
        }
        [AbpAuthorize(AppPermissions.Pages_Master_Inventory_CustomsPort_CreateEdit)]
        public async Task CreateOrEdit(CreateOrEditMstInvCustomsPortDto input)
        {
            if (input.Id == null) await Create(input);
            else await Update(input);
        }
        //CREATE
        private async Task Create(CreateOrEditMstInvCustomsPortDto input)
        {          
            var mainObj = ObjectMapper.Map&lt;MstInvCustomsPort&gt;(input);
            await CurrentUnitOfWork.GetDbContext&lt;vovinaDbContext&gt;().AddAsync(mainObj);
        }
        // EDIT
        private async Task Update(CreateOrEditMstInvCustomsPortDto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[AbpAuthorize(AppPermissions.Pages_Master_Inventory_CustomsPort_Delete)]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Task&lt;PagedResultDto&lt;MstInvCustomsPortDto&gt;&gt; GetAll(GetMstInvCustomsPortInput input)
        {
            var filtered = _repo.GetAll()
				.WhereIf(!string.IsNullOrWhiteSpace(input.Code), e =&gt; e.Code.Contains(input.Code))
				.WhereIf(!string.IsNullOrWhiteSpace(input.Name), e =&gt; e.Name.Contains(input.Name))
				.WhereIf(!string.IsNullOrWhiteSpace(input.AccountNumber), e =&gt; e.AccountNumber.Contains(input.AccountNumber))
				.WhereIf(!string.IsNullOrWhiteSpace(input.BankName), e =&gt; e.BankName.Contains(input.BankName))
				.WhereIf(!string.IsNullOrWhiteSpace(input.VendorNumber), e =&gt; e.VendorNumber.Contains(input.VendorNumber))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MstInvCustomsPortDto
                        {
							Id = o.Id,
							Code = o.Code,
							Name = o.Name,
							AccountNumber = o.AccountNumber,
							BankName = o.BankName,
							VendorNumber = o.VendorNumber,
							IsActive = o.IsActive,
                        };
            var totalCount = await filtered.CountAsync();
			var paged = system.PageBy(input);
            return new PagedResultDto&lt;MstInvCustomsPortDto&gt;(
                totalCount,
                 await paged.ToListAsync()
            );
        }
        public async Task&lt;FileDto&gt; GetCustomsPortToExcel(MstInvCustomsPortExportInput input)
        {
            var query = from o in _repo.GetAll()
                        select new MstInvCustomsPortDto
                        {
							Id = o.Id,
							Code = o.Code,
							Name = o.Name,
							AccountNumber = o.AccountNumber,
							BankName = o.BankName,
							VendorNumber = o.VendorNumber,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_dapperRepo.ExecuteAsync(MstInvCustomsPortConsts.SP_MST_WPT_CALENDAR_GENERATE);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prod.Master.Inventory.Dto
{
	public class MstInvCustomsPortExportInput{
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IMstInvCustomsPortExcelExporter : IApplicationService
	{
		FileDto ExportToFile(List&lt;MstInvCustomsPortDto&gt; mstinvcustomsport);
	}
}
</v>
      </c>
      <c r="T7" s="28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MstInvCustomsPortExcelExporter : NpoiExcelExporterBase, IMstInvCustomsPortExcelExporter
    {
        public MstInvCustomsPortExcelExporter(ITempFileCacheManager tempFileCacheManager) : base(tempFileCacheManager) { }
        public FileDto ExportToFile(List&lt;MstInvCustomsPortDto&gt; customsport)
        {
            return CreateExcelPackage(
				"MasterInventoryCustomsPort.xlsx",
				excelPackage =&gt;
				 {
					var sheet = excelPackage.CreateSheet("CustomsPort");
					AddHeader(
								sheet,
								("Code"),
								("Name"),
								("AccountNumber"),
								("BankName"),
								("VendorNumber"),
								("IsActive"),
							   );
					AddObjects(
						 sheet, 1, customsport,                                       
								_ =&gt; _.Code,
								_ =&gt; _.Name,
								_ =&gt; _.AccountNumber,
								_ =&gt; _.BankName,
								_ =&gt; _.VendorNumber,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configuration.CreateMap&lt;MstInvCustomsPortDto, MstInvCustomsPort&gt;();
  configuration.CreateMap&lt;MstInvCustomsPort, MstInvCustomsPortDto&gt;();
  configuration.CreateMap&lt;CreateOrEditMstInvCustomsPortDto, MstInvCustomsPort&gt;();</v>
      </c>
      <c r="V7" s="28"/>
      <c r="W7" s="28"/>
    </row>
    <row r="8" spans="1:23" s="2" customFormat="1" x14ac:dyDescent="0.3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35">
      <c r="A9" s="72" t="s">
        <v>353</v>
      </c>
      <c r="B9" t="s">
        <v>358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12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12;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[Index(nameof(Code), Name="IX_MstInvCustomsPort_Code")]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[StringLength(MstInvCustomsPortConsts.MaxCodeLength)]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9" t="str">
        <f t="shared" ref="T9" si="10">REPT(CHAR(9),8)&amp;"("""&amp;D9&amp;"""),"</f>
        <v xml:space="preserve">								("Code"),</v>
      </c>
      <c r="V9" s="70" t="str">
        <f t="shared" ref="V9" si="11">REPT(CHAR(9),8)&amp;"_ =&gt; _."&amp;D9&amp;","</f>
        <v xml:space="preserve">								_ =&gt; _.Code,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35">
      <c r="A10" s="72" t="s">
        <v>354</v>
      </c>
      <c r="B10" s="72" t="s">
        <v>359</v>
      </c>
      <c r="C10" t="s">
        <v>1</v>
      </c>
      <c r="D10" t="str">
        <f t="shared" ref="D10:D11" si="13">SUBSTITUTE(PROPER(A10),"_","")</f>
        <v>Name</v>
      </c>
      <c r="E10" t="str">
        <f t="shared" ref="E10:E11" si="14">IFERROR(LEFT(B10, FIND("(",B10)-1),B10)</f>
        <v>varchar</v>
      </c>
      <c r="F10" s="7"/>
      <c r="G10" t="str">
        <f t="shared" ref="G10:G11" si="15">IFERROR(MID(B10,FIND("(",B10) +1, FIND(")",B10) - FIND("(",B10) - 1),"")</f>
        <v>50</v>
      </c>
      <c r="H10" s="72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MaxNameLength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[StringLength(MstInvCustomsPortConsts.MaxNameLength)]
		public virtual string 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:P11" si="22">REPT(CHAR(9),7)&amp;D10&amp;" = o." &amp;D10 &amp;","</f>
        <v xml:space="preserve">							Name = o.Name,</v>
      </c>
      <c r="T10" s="69" t="str">
        <f t="shared" ref="T10:T11" si="23">REPT(CHAR(9),8)&amp;"("""&amp;D10&amp;"""),"</f>
        <v xml:space="preserve">								("Name"),</v>
      </c>
      <c r="V10" s="70" t="str">
        <f t="shared" ref="V10:V11" si="24">REPT(CHAR(9),8)&amp;"_ =&gt; _."&amp;D10&amp;","</f>
        <v xml:space="preserve">								_ =&gt; _.Name,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1" spans="1:23" customFormat="1" ht="18.75" customHeight="1" x14ac:dyDescent="0.35">
      <c r="A11" s="72" t="s">
        <v>362</v>
      </c>
      <c r="B11" s="72" t="s">
        <v>360</v>
      </c>
      <c r="C11" t="s">
        <v>1</v>
      </c>
      <c r="D11" t="str">
        <f t="shared" si="13"/>
        <v>AccountNumber</v>
      </c>
      <c r="E11" t="str">
        <f t="shared" si="14"/>
        <v>varchar</v>
      </c>
      <c r="F11" s="7"/>
      <c r="G11" t="str">
        <f t="shared" si="15"/>
        <v>30</v>
      </c>
      <c r="H11" s="72" t="str">
        <f>+VLOOKUP(E11,'Data Type Mapping'!A:B,2,)</f>
        <v>string</v>
      </c>
      <c r="I11" t="str">
        <f t="shared" si="16"/>
        <v xml:space="preserve">		public const int MaxAccountNumberLength = 30;
</v>
      </c>
      <c r="J11" t="str">
        <f t="shared" si="17"/>
        <v xml:space="preserve">		[StringLength(MaxAccountNumberLength)]
		public virtual string AccountNumber { get; set; }
</v>
      </c>
      <c r="K11" s="7"/>
      <c r="L11" t="str">
        <f t="shared" si="18"/>
        <v/>
      </c>
      <c r="M11" t="str">
        <f t="shared" si="19"/>
        <v xml:space="preserve">		public virtual string AccountNumber { get; set; }
</v>
      </c>
      <c r="N11" t="str">
        <f t="shared" si="20"/>
        <v xml:space="preserve">		[StringLength(MstInvCustomsPortConsts.MaxAccountNumberLength)]
		public virtual string AccountNumber { get; set; }
</v>
      </c>
      <c r="O11" t="str">
        <f t="shared" si="21"/>
        <v xml:space="preserve">		public virtual string AccountNumber { get; set; }
</v>
      </c>
      <c r="P11" t="str">
        <f t="shared" si="22"/>
        <v xml:space="preserve">							AccountNumber = o.AccountNumber,</v>
      </c>
      <c r="T11" s="69" t="str">
        <f t="shared" si="23"/>
        <v xml:space="preserve">								("AccountNumber"),</v>
      </c>
      <c r="V11" s="70" t="str">
        <f t="shared" si="24"/>
        <v xml:space="preserve">								_ =&gt; _.AccountNumber,</v>
      </c>
      <c r="W11" s="69" t="str">
        <f t="shared" si="25"/>
        <v xml:space="preserve">				.WhereIf(!string.IsNullOrWhiteSpace(input.AccountNumber), e =&gt; e.AccountNumber.Contains(input.AccountNumber))</v>
      </c>
    </row>
    <row r="12" spans="1:23" customFormat="1" ht="18.75" customHeight="1" x14ac:dyDescent="0.35">
      <c r="A12" s="72" t="s">
        <v>363</v>
      </c>
      <c r="B12" s="72" t="s">
        <v>361</v>
      </c>
      <c r="C12" t="s">
        <v>1</v>
      </c>
      <c r="D12" t="str">
        <f t="shared" ref="D12:D13" si="26">SUBSTITUTE(PROPER(A12),"_","")</f>
        <v>BankName</v>
      </c>
      <c r="E12" t="str">
        <f t="shared" ref="E12:E14" si="27">IFERROR(LEFT(B12, FIND("(",B12)-1),B12)</f>
        <v>nvarchar</v>
      </c>
      <c r="F12" s="7"/>
      <c r="G12" t="str">
        <f t="shared" ref="G12:G14" si="28">IFERROR(MID(B12,FIND("(",B12) +1, FIND(")",B12) - FIND("(",B12) - 1),"")</f>
        <v>100</v>
      </c>
      <c r="H12" s="72" t="str">
        <f>+VLOOKUP(E12,'Data Type Mapping'!A:B,2,)</f>
        <v>string</v>
      </c>
      <c r="I12" t="str">
        <f t="shared" ref="I12:I14" si="29">IF(H12="string",REPT(CHAR(9),2)&amp;"public const int Max"&amp;D12&amp;"Length = "&amp;G12&amp;";"&amp;$E$3,"" )</f>
        <v xml:space="preserve">		public const int MaxBankNameLength = 100;
</v>
      </c>
      <c r="J12" t="str">
        <f t="shared" ref="J12:J14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[StringLength(MaxBankNameLength)]
		public virtual string BankName { get; set; }
</v>
      </c>
      <c r="K12" s="7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4" si="32">REPT(CHAR(9),2)&amp;"public virtual "&amp;IF(OR(H12="DateTime",H12="TimeSpan"),H12&amp;"?",H12)&amp;IF(C12="?","? "," ")&amp;D12&amp;" { get; set; }" &amp; "
"</f>
        <v xml:space="preserve">		public virtual string BankName { get; set; }
</v>
      </c>
      <c r="N12" t="str">
        <f t="shared" ref="N12:N14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[StringLength(MstInvCustomsPortConsts.MaxBankNameLength)]
		public virtual string BankName { get; set; }
</v>
      </c>
      <c r="O12" t="str">
        <f t="shared" ref="O12:O14" si="34">IF(OR(H12="string",H12="DateTime",H12="int"),REPT(CHAR(9),2)&amp;"public virtual "&amp;IF(OR(H12="DateTime",H12="TimeSpan"),H12&amp;"?",H12)&amp;IF(C12="?","? "," ")&amp;D12&amp;" { get; set; }"&amp;$E$3,"")</f>
        <v xml:space="preserve">		public virtual string BankName { get; set; }
</v>
      </c>
      <c r="P12" t="str">
        <f t="shared" ref="P12:P14" si="35">REPT(CHAR(9),7)&amp;D12&amp;" = o." &amp;D12 &amp;","</f>
        <v xml:space="preserve">							BankName = o.BankName,</v>
      </c>
      <c r="T12" s="69" t="str">
        <f t="shared" ref="T12:T14" si="36">REPT(CHAR(9),8)&amp;"("""&amp;D12&amp;"""),"</f>
        <v xml:space="preserve">								("BankName"),</v>
      </c>
      <c r="V12" s="70" t="str">
        <f t="shared" ref="V12:V14" si="37">REPT(CHAR(9),8)&amp;"_ =&gt; _."&amp;D12&amp;","</f>
        <v xml:space="preserve">								_ =&gt; _.BankName,</v>
      </c>
      <c r="W12" s="69" t="str">
        <f t="shared" ref="W12:W14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.WhereIf(!string.IsNullOrWhiteSpace(input.BankName), e =&gt; e.BankName.Contains(input.BankName))</v>
      </c>
    </row>
    <row r="13" spans="1:23" customFormat="1" ht="18.75" customHeight="1" x14ac:dyDescent="0.35">
      <c r="A13" s="72" t="s">
        <v>364</v>
      </c>
      <c r="B13" s="72" t="s">
        <v>360</v>
      </c>
      <c r="C13" t="s">
        <v>1</v>
      </c>
      <c r="D13" t="str">
        <f t="shared" si="26"/>
        <v>VendorNumber</v>
      </c>
      <c r="E13" t="str">
        <f t="shared" si="27"/>
        <v>varchar</v>
      </c>
      <c r="F13" s="7"/>
      <c r="G13" t="str">
        <f t="shared" si="28"/>
        <v>30</v>
      </c>
      <c r="H13" s="72" t="str">
        <f>+VLOOKUP(E13,'Data Type Mapping'!A:B,2,)</f>
        <v>string</v>
      </c>
      <c r="I13" t="str">
        <f t="shared" si="29"/>
        <v xml:space="preserve">		public const int MaxVendorNumberLength = 30;
</v>
      </c>
      <c r="J13" t="str">
        <f t="shared" si="30"/>
        <v xml:space="preserve">		[StringLength(MaxVendorNumberLength)]
		public virtual string VendorNumber { get; set; }
</v>
      </c>
      <c r="K13" s="7"/>
      <c r="L13" t="str">
        <f t="shared" si="31"/>
        <v/>
      </c>
      <c r="M13" t="str">
        <f t="shared" si="32"/>
        <v xml:space="preserve">		public virtual string VendorNumber { get; set; }
</v>
      </c>
      <c r="N13" t="str">
        <f t="shared" si="33"/>
        <v xml:space="preserve">		[StringLength(MstInvCustomsPortConsts.MaxVendorNumberLength)]
		public virtual string VendorNumber { get; set; }
</v>
      </c>
      <c r="O13" t="str">
        <f t="shared" si="34"/>
        <v xml:space="preserve">		public virtual string VendorNumber { get; set; }
</v>
      </c>
      <c r="P13" t="str">
        <f t="shared" si="35"/>
        <v xml:space="preserve">							VendorNumber = o.VendorNumber,</v>
      </c>
      <c r="T13" s="69" t="str">
        <f t="shared" si="36"/>
        <v xml:space="preserve">								("VendorNumber"),</v>
      </c>
      <c r="V13" s="70" t="str">
        <f t="shared" si="37"/>
        <v xml:space="preserve">								_ =&gt; _.VendorNumber,</v>
      </c>
      <c r="W13" s="69" t="str">
        <f t="shared" si="38"/>
        <v xml:space="preserve">				.WhereIf(!string.IsNullOrWhiteSpace(input.VendorNumber), e =&gt; e.VendorNumber.Contains(input.VendorNumber))</v>
      </c>
    </row>
    <row r="14" spans="1:23" s="72" customFormat="1" ht="22.5" customHeight="1" x14ac:dyDescent="0.35">
      <c r="A14" s="72" t="s">
        <v>365</v>
      </c>
      <c r="B14" s="72" t="s">
        <v>366</v>
      </c>
      <c r="C14" s="72" t="s">
        <v>1</v>
      </c>
      <c r="D14" s="72" t="str">
        <f>SUBSTITUTE(PROPER(A14),"_","")</f>
        <v>IsActive</v>
      </c>
      <c r="E14" s="72" t="str">
        <f t="shared" si="27"/>
        <v>varchar</v>
      </c>
      <c r="F14" s="7"/>
      <c r="G14" s="72" t="str">
        <f t="shared" si="28"/>
        <v>1</v>
      </c>
      <c r="H14" s="72" t="str">
        <f>+VLOOKUP(E14,'Data Type Mapping'!A:B,2,)</f>
        <v>string</v>
      </c>
      <c r="I14" s="72" t="str">
        <f t="shared" si="29"/>
        <v xml:space="preserve">		public const int MaxIsActiveLength = 1;
</v>
      </c>
      <c r="J14" s="72" t="str">
        <f t="shared" si="30"/>
        <v xml:space="preserve">		[StringLength(MaxIsActiveLength)]
		public virtual string IsActive { get; set; }
</v>
      </c>
      <c r="K14" s="7" t="s">
        <v>206</v>
      </c>
      <c r="L14" s="72" t="str">
        <f>IF(K14="","",REPT(CHAR(9),1)&amp;"[Index(nameof("&amp;IF(D14="","",""&amp;D14)&amp;")"&amp;", Name="&amp;"""IX_"&amp;$B$7&amp;"_"&amp;D14&amp;""")]")</f>
        <v xml:space="preserve">	[Index(nameof(IsActive), Name="IX_MstInvCustomsPort_IsActive")]</v>
      </c>
      <c r="M14" s="72" t="str">
        <f t="shared" si="32"/>
        <v xml:space="preserve">		public virtual string IsActive { get; set; }
</v>
      </c>
      <c r="N14" s="72" t="str">
        <f t="shared" si="33"/>
        <v xml:space="preserve">		[StringLength(MstInvCustomsPortConsts.MaxIsActiveLength)]
		public virtual string IsActive { get; set; }
</v>
      </c>
      <c r="O14" s="72" t="str">
        <f t="shared" si="34"/>
        <v xml:space="preserve">		public virtual string IsActive { get; set; }
</v>
      </c>
      <c r="P14" s="72" t="str">
        <f t="shared" si="35"/>
        <v xml:space="preserve">							IsActive = o.IsActive,</v>
      </c>
      <c r="T14" s="69" t="str">
        <f t="shared" si="36"/>
        <v xml:space="preserve">								("IsActive"),</v>
      </c>
      <c r="V14" s="70" t="str">
        <f t="shared" si="37"/>
        <v xml:space="preserve">								_ =&gt; _.IsActive,</v>
      </c>
      <c r="W14" s="69" t="str">
        <f t="shared" si="38"/>
        <v xml:space="preserve">				.WhereIf(!string.IsNullOrWhiteSpace(input.IsActive), e =&gt; e.IsActive.Contains(input.IsActive))</v>
      </c>
    </row>
    <row r="15" spans="1:23" ht="45.75" customHeight="1" x14ac:dyDescent="0.35">
      <c r="H15" s="12"/>
      <c r="I15" s="34" t="str">
        <f ca="1">TEXTJOIN2("
", TRUE,INDIRECT( $H$1):INDIRECT( $H$3))</f>
        <v xml:space="preserve">		public const int MaxCodeLength = 12;
		public const int MaxNameLength = 50;
		public const int MaxAccountNumberLength = 30;
		public const int MaxBankNameLength = 100;
		public const int MaxVendorNumberLength = 30;
		public const int MaxIsActiveLength = 1;
</v>
      </c>
      <c r="J15" s="33" t="str">
        <f ca="1">TEXTJOIN2("
", TRUE,INDIRECT( $F$1):INDIRECT( $F$3))</f>
        <v xml:space="preserve">		[StringLength(MaxCodeLength)]
		public virtual string Code { get; set; }
		[StringLength(MaxNameLength)]
		public virtual string Name { get; set; }
		[StringLength(MaxAccountNumberLength)]
		public virtual string AccountNumber { get; set; }
		[StringLength(MaxBankNameLength)]
		public virtual string BankName { get; set; }
		[StringLength(MaxVendorNumberLength)]
		public virtual string VendorNumber { get; set; }
		[StringLength(MaxIsActiveLength)]
		public virtual string IsActive { get; set; }
</v>
      </c>
      <c r="K15" s="35" t="str">
        <f ca="1">TEXTJOIN2("
", TRUE,INDIRECT( $J$1):INDIRECT( $J$3))</f>
        <v xml:space="preserve">	[Index(nameof(Code), Name="IX_MstInvCustomsPort_Code")]
	[Index(nameof(IsActive), Name="IX_MstInvCustomsPort_IsActive")]</v>
      </c>
      <c r="L15" s="13" t="s">
        <v>60</v>
      </c>
      <c r="M15" s="36" t="str">
        <f ca="1">TEXTJOIN2("
",TRUE,INDIRECT( $L$1):INDIRECT($L$3))</f>
        <v xml:space="preserve">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</v>
      </c>
      <c r="N15" s="33" t="str">
        <f ca="1">TEXTJOIN2("
",TRUE,INDIRECT( $M$1):INDIRECT($M$3))</f>
        <v xml:space="preserve">		[StringLength(MstInvCustomsPortConsts.MaxCodeLength)]
		public virtual string Code { get; set; }
		[StringLength(MstInvCustomsPortConsts.MaxNameLength)]
		public virtual string Name { get; set; }
		[StringLength(MstInvCustomsPortConsts.MaxAccountNumberLength)]
		public virtual string AccountNumber { get; set; }
		[StringLength(MstInvCustomsPortConsts.MaxBankNameLength)]
		public virtual string BankName { get; set; }
		[StringLength(MstInvCustomsPortConsts.MaxVendorNumberLength)]
		public virtual string VendorNumber { get; set; }
		[StringLength(MstInvCustomsPortConsts.MaxIsActiveLength)]
		public virtual string IsActive { get; set; }
</v>
      </c>
      <c r="O15" s="33" t="str">
        <f ca="1">TEXTJOIN2("
",TRUE,INDIRECT( $N$1):INDIRECT($N$3))</f>
        <v xml:space="preserve">		public virtual string Code { get; set; }
		public virtual string Name { get; set; }
		public virtual string AccountNumber { get; set; }
		public virtual string BankName { get; set; }
		public virtual string VendorNumber { get; set; }
		public virtual string IsActive { get; set; }
</v>
      </c>
      <c r="P15" s="9" t="str">
        <f ca="1">TEXTJOIN2("
",TRUE,INDIRECT( $O$1):INDIRECT($O$3))</f>
        <v xml:space="preserve">							Code = o.Code,
							Name = o.Name,
							AccountNumber = o.AccountNumber,
							BankName = o.BankName,
							VendorNumber = o.VendorNumber,
							IsActive = o.IsActive,</v>
      </c>
      <c r="T15" s="9" t="str">
        <f ca="1">TEXTJOIN2("
",TRUE,INDIRECT( $T$2):INDIRECT($T$3))</f>
        <v xml:space="preserve">								("Code"),
								("Name"),
								("AccountNumber"),
								("BankName"),
								("VendorNumber"),
								("IsActive"),</v>
      </c>
      <c r="V15" s="9" t="str">
        <f ca="1">TEXTJOIN2("
",TRUE,INDIRECT( $V$2):INDIRECT($V$3))</f>
        <v xml:space="preserve">								_ =&gt; _.Code,
								_ =&gt; _.Name,
								_ =&gt; _.AccountNumber,
								_ =&gt; _.BankName,
								_ =&gt; _.VendorNumber,
								_ =&gt; _.IsActive,</v>
      </c>
      <c r="W15" s="9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
				.WhereIf(!string.IsNullOrWhiteSpace(input.AccountNumber), e =&gt; e.AccountNumber.Contains(input.AccountNumber))
				.WhereIf(!string.IsNullOrWhiteSpace(input.BankName), e =&gt; e.BankName.Contains(input.BankName))
				.WhereIf(!string.IsNullOrWhiteSpace(input.VendorNumber), e =&gt; e.VendorNumber.Contains(input.VendorNumber))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B2" sqref="B2"/>
    </sheetView>
  </sheetViews>
  <sheetFormatPr defaultColWidth="8.81640625" defaultRowHeight="14.5" x14ac:dyDescent="0.35"/>
  <cols>
    <col min="1" max="1" width="17.7265625" customWidth="1"/>
    <col min="2" max="2" width="15.453125" customWidth="1"/>
    <col min="3" max="3" width="16.81640625" customWidth="1"/>
    <col min="4" max="7" width="15.1796875" customWidth="1"/>
    <col min="8" max="8" width="24.453125" customWidth="1"/>
    <col min="9" max="9" width="26.1796875" customWidth="1"/>
    <col min="10" max="10" width="22.26953125" customWidth="1"/>
    <col min="11" max="11" width="25.81640625" customWidth="1"/>
    <col min="12" max="12" width="23.7265625" customWidth="1"/>
    <col min="13" max="13" width="23.453125" customWidth="1"/>
    <col min="14" max="15" width="20.453125" customWidth="1"/>
    <col min="16" max="16" width="25.81640625" customWidth="1"/>
    <col min="17" max="18" width="25.453125" customWidth="1"/>
    <col min="19" max="19" width="24" customWidth="1"/>
    <col min="20" max="20" width="19.1796875" customWidth="1"/>
    <col min="21" max="21" width="19.81640625" customWidth="1"/>
    <col min="22" max="22" width="13.7265625" customWidth="1"/>
  </cols>
  <sheetData>
    <row r="1" spans="1:22" x14ac:dyDescent="0.35">
      <c r="A1" s="41" t="s">
        <v>212</v>
      </c>
      <c r="B1" s="42" t="s">
        <v>367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3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3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3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3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35">
      <c r="A6" s="41" t="s">
        <v>224</v>
      </c>
      <c r="B6" s="44" t="str">
        <f>A.Backend!B3</f>
        <v>MstInvCustomsPort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35">
      <c r="A7" s="41" t="s">
        <v>215</v>
      </c>
      <c r="B7" s="43" t="str">
        <f>A.Backend!B5</f>
        <v>CustomsPort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35">
      <c r="A8" s="41" t="s">
        <v>213</v>
      </c>
      <c r="B8" s="43" t="str">
        <f>LOWER(B7)</f>
        <v>customsport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3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3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MstInvCustomsPortDto, MstInvCustomsPortServiceProxy } from '@shared/service-proxies/service-proxies';
import { finalize } from 'rxjs/internal/operators/finalize';
import { CreateOrEditCustomsPortModalComponent } from './create-or-edit-customsport-modal.component';
import { DatePipe } from '@angular/common';
import { FileDownloadService } from '@shared/utils/file-download.service';
import ceil from 'lodash-es/ceil';
import { Paginator } from 'primeng/paginator';
@Component({
    templateUrl: './customsport.component.html',
    styleUrls: ['./customsport.component.less'],
})
export class CustomsPortComponent extends AppComponentBase implements OnInit {
    @ViewChild('createOrEditModalCustomsPort', { static: true }) createOrEditModalCustomsPort:| CreateOrEditCustomsPortModalComponent|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MstInvCustomsPortDto = new MstInvCustomsPortDto();
    saveSelectedRow: MstInvCustomsPortDto = new MstInvCustomsPortDto();
    datas: MstInvCustomsPortDto = new MstInvCustomsPortDto();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accountNumber : string = '' ; 
	bankName : string = '' ; 
	vendorNumber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MstInvCustomsPortServiceProxy,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
			{headerName: this.l('Account Number'),headerTooltip: this.l('Account Number'),field: 'accountNumber',flex: 1},
			{headerName: this.l('Bank Name'),headerTooltip: this.l('Bank Name'),field: 'bankName',flex: 1},
			{headerName: this.l('Vendor Number'),headerTooltip: this.l('Vendor Number'),field: 'vendorNumber',flex: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this.code,
			this.name,
			this.accountNumber,
			this.bankName,
			this.vendorNumber,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this.code = '',
		this.name = '',
this.accountNumber = '',
		this.bankName = '',
		this.vendorNumber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this.code,
			this.name,
			this.accountNumber,
			this.bankName,
			this.vendorNumber,
			this.isActive,
			'',
            this.paginationParams.skipCount,
            this.paginationParams.pageSize
        );
    }
    onChangeRowSelection(params: { api: { getSelectedRows: () =&gt; MstInvCustomsPortDto[] } }) {
        this.saveSelectedRow = params.api.getSelectedRows()[0] ?? new MstInvCustomsPortDto();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MstInvCustomsPortDto):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this._service.getCustomsPortToExcel(
			this.code,
			this.name,
			this.accountNumber,
			this.bankName,
			this.vendorNumber,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Customs Port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[(ngModel)]='accountNumber' name='accountNumber'
									class='form-control' [placeholder]="l('Account Number')"
									type='text' (keyup.enter)='searchDatas()'&gt;
								&lt;/div&gt;
								&lt;div class='input-search'&gt;
									&lt;input [(ngModel)]='bankName' name='bankName'
									class='form-control' [placeholder]="l('Bank Name')"
									type='text' (keyup.enter)='searchDatas()'&gt;
								&lt;/div&gt;
								&lt;div class='input-search'&gt;
									&lt;input [(ngModel)]='vendorNumber' name='vendorNumber'
									class='form-control' [placeholder]="l('Vendor Number')"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(click)="createOrEditModalCustomsPort.show()"&gt;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(click)="createOrEditModalCustomsPort.show(selectedRow)"&gt;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&lt;create-or-edit-customsport-modal
    #createOrEditModalCustomsPort
    (modalSave)="callBackDataGrid(dataParams)"
    (modalClose)="onChangeRowSelection(dataParams)"
&gt;
&lt;/create-or-edit-customsport-modal&gt;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#createOrEditModalCustomsPort="bs-modal"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CustomsPort')}}&lt;/h3&gt;
                    &lt;h3 *ngIf="!rowdata.id"&gt;{{('Create New CustomsPort')}}&lt;/h3&gt;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title'&gt;Account Number&lt;/label&gt;
						&lt;input type='text' class='col-md-10 form-control input-text' name='AccountNumber' [(ngModel)]='rowdata.accountNumber'&gt;
					&lt;/div&gt;
					&lt;div class='col-md-12 form-group row'&gt;
						&lt;label class='col-md-2 form-control title'&gt;Bank Name&lt;/label&gt;
						&lt;input type='text' class='col-md-10 form-control input-text' name='BankName' [(ngModel)]='rowdata.bankName'&gt;
					&lt;/div&gt;
					&lt;div class='col-md-12 form-group row'&gt;
						&lt;label class='col-md-2 form-control title'&gt;Vendor Number&lt;/label&gt;
						&lt;input type='text' class='col-md-10 form-control input-text' name='VendorNumber' [(ngModel)]='rowdata.vendorNumber'&gt;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CreateOrEditMstInvCustomsPortDto, MstInvCustomsPortServiceProxy } from '@shared/service-proxies/service-proxies';
import { BsDatepickerDirective } from 'ngx-bootstrap/datepicker';
@Component({
    selector: 'create-or-edit-customsport-modal',
    templateUrl: './create-or-edit-customsport-modal.component.html',
    styleUrls: ['./create-or-edit-customsport-modal.component.less']
    })
export class CreateOrEditCustomsPortModalComponent extends AppComponentBase {
    @ViewChild('createOrEditModalCustomsPort',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CreateOrEditMstInvCustomsPortDto = new CreateOrEditMstInvCustomsPortDto();
    active: boolean = false;
    saving: boolean = false;
    _isActive: boolean;
    constructor(
        injector: Injector,
        private _mstwptCustomsPortService: MstInvCustomsPortServiceProxy,
    ) 
    {
        super(injector);
    }
    show(rowdata?: CreateOrEditMstInvCustomsPortDto): void {
        if (!rowdata) this.rowdata = new CreateOrEditMstInvCustomsPortDto();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this._mstwptCustomsPortService.createOrEdit(this.rowdata)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CustomsPortRoutingModule } from './customsport-routing.module';
import { CustomsPortComponent } from './customsport.component';
import { CreateOrEditCustomsPortModalComponent } from './create-or-edit-customsport-modal.component';
@NgModule({
    declarations: [
       CustomsPortComponent, 
        CreateOrEditCustomsPortModalComponent
    ],
    imports: [
        AppSharedModule, CustomsPortRoutingModule]
})
export class CustomsPortModule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CustomsPortComponent } from './customsport.component';
const routes: Routes = [{
    path: '',
    component: CustomsPortComponent,
    pathMatch: 'full'
}];
@NgModule({
    imports: [RouterModule.forChild(routes)],
    exports: [RouterModule],
})
export class CustomsPortRoutingModule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AppMenuItem("CustomsPort", "Pages.Master.Inventory.CustomsPort", "flaticon-book",   "/app/main/master/inventory/customsport"),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'master/inventory/customsport',
    loadChildren: () =&gt; import('./master/inventory/customsport/customsport.module').then(m =&gt; m.CustomsPortModule),
    data: { permission: 'Pages.Master.Inventory.CustomsPort' }
},</v>
      </c>
      <c r="R10" s="50" t="str">
        <f>SUBSTITUTE(R9,"MstWptCalendar",$B$6)</f>
        <v>ApiServiceProxies.MstInvCustomsPortServiceProxy,</v>
      </c>
      <c r="S10" s="31"/>
      <c r="T10" s="31"/>
      <c r="U10" s="31"/>
      <c r="V10" s="31"/>
    </row>
    <row r="11" spans="1:22" x14ac:dyDescent="0.3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3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3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
			{headerName: this.l('Account Number'),headerTooltip: this.l('Account Number'),field: 'accountNumber',flex: 1},
			{headerName: this.l('Bank Name'),headerTooltip: this.l('Bank Name'),field: 'bankName',flex: 1},
			{headerName: this.l('Vendor Number'),headerTooltip: this.l('Vendor Number'),field: 'vendorNumber',flex: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								&lt;div class='input-search'&gt;
									&lt;input [(ngModel)]='accountNumber' name='accountNumber'
									class='form-control' [placeholder]="l('Account Number')"
									type='text' (keyup.enter)='searchDatas()'&gt;
								&lt;/div&gt;
								&lt;div class='input-search'&gt;
									&lt;input [(ngModel)]='bankName' name='bankName'
									class='form-control' [placeholder]="l('Bank Name')"
									type='text' (keyup.enter)='searchDatas()'&gt;
								&lt;/div&gt;
								&lt;div class='input-search'&gt;
									&lt;input [(ngModel)]='vendorNumber' name='vendorNumber'
									class='form-control' [placeholder]="l('Vendor Number')"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
					&lt;div class='col-md-12 form-group row'&gt;
						&lt;label class='col-md-2 form-control title'&gt;Account Number&lt;/label&gt;
						&lt;input type='text' class='col-md-10 form-control input-text' name='AccountNumber' [(ngModel)]='rowdata.accountNumber'&gt;
					&lt;/div&gt;
					&lt;div class='col-md-12 form-group row'&gt;
						&lt;label class='col-md-2 form-control title'&gt;Bank Name&lt;/label&gt;
						&lt;input type='text' class='col-md-10 form-control input-text' name='BankName' [(ngModel)]='rowdata.bankName'&gt;
					&lt;/div&gt;
					&lt;div class='col-md-12 form-group row'&gt;
						&lt;label class='col-md-2 form-control title'&gt;Vendor Number&lt;/label&gt;
						&lt;input type='text' class='col-md-10 form-control input-text' name='VendorNumber' [(ngModel)]='rowdata.vendorNumber'&gt;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code : string = '' ; 
	name : string = '' ; 
accountNumber : string = '' ; 
	bankName : string = '' ; 
	vendorNumber : string = '' ; 
	isActive : string = '' ; </v>
      </c>
      <c r="T13" s="68" t="str">
        <f ca="1">TEXTJOIN2("
",TRUE,INDIRECT(T11):INDIRECT(T12))</f>
        <v xml:space="preserve">			this.code,
			this.name,
			this.accountNumber,
			this.bankName,
			this.vendorNumber,
			this.isActive,</v>
      </c>
      <c r="U13" s="68" t="str">
        <f ca="1">TEXTJOIN2("
",TRUE,INDIRECT(U11):INDIRECT(U12))</f>
        <v xml:space="preserve">		this.code = '',
		this.name = '',
this.accountNumber = '',
		this.bankName = '',
		this.vendorNumber = '',
		this.isActive = '',</v>
      </c>
      <c r="V13" s="31" t="str">
        <f ca="1">TEXTJOIN2("
",TRUE,INDIRECT(V11):INDIRECT(V12))</f>
        <v>isActive</v>
      </c>
    </row>
    <row r="14" spans="1:22" x14ac:dyDescent="0.3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customsport.component.ts</v>
      </c>
      <c r="I14" s="40" t="str">
        <f>B8&amp;".component.html"</f>
        <v>customsport.component.html</v>
      </c>
      <c r="J14" s="39" t="str">
        <f>B8&amp;".component.less"</f>
        <v>customsport.component.less</v>
      </c>
      <c r="K14" s="40" t="str">
        <f>"create-or-edit-"&amp;B8&amp;"-modal.component.html"</f>
        <v>create-or-edit-customsport-modal.component.html</v>
      </c>
      <c r="L14" s="40" t="str">
        <f>"create-or-edit-"&amp;B8&amp;"-modal.component.ts"</f>
        <v>create-or-edit-customsport-modal.component.ts</v>
      </c>
      <c r="M14" s="40" t="str">
        <f>"create-or-edit-"&amp;B8&amp;"-modal.component.less"</f>
        <v>create-or-edit-customsport-modal.component.less</v>
      </c>
      <c r="N14" s="40" t="str">
        <f>B8&amp;".module.ts"</f>
        <v>customsport.module.ts</v>
      </c>
      <c r="O14" s="40" t="str">
        <f>B8&amp;"-routing.module.ts"</f>
        <v>customsport-routing.module.ts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35">
      <c r="A15" s="72" t="s">
        <v>353</v>
      </c>
      <c r="B15" s="31" t="str">
        <f t="shared" ref="B15:B19" si="0">SUBSTITUTE(PROPER(A15),"_","")</f>
        <v>Code</v>
      </c>
      <c r="C15" s="31" t="str">
        <f t="shared" ref="C15:C19" si="1">SUBSTITUTE(PROPER(A15),"_"," ")</f>
        <v>Code</v>
      </c>
      <c r="D15" s="31" t="str">
        <f t="shared" ref="D15:D19" si="2">LOWER(LEFT(B15,1))&amp;RIGHT(B15,LEN(B15) - 1)</f>
        <v>code</v>
      </c>
      <c r="E15" s="31" t="str">
        <f>A.Backend!H9</f>
        <v>string</v>
      </c>
      <c r="F15" s="31" t="str">
        <f>A.Backend!G9</f>
        <v>12</v>
      </c>
      <c r="G15" s="31" t="str">
        <f t="shared" ref="G15:G19" si="3">IF(E15="string"," : string = '' ; ",IF(OR(E15="DateTime",E15="TimeSpan")," : any ;",IF(E15="int"," : number = 0 ;","")))</f>
        <v xml:space="preserve"> : string = '' ; </v>
      </c>
      <c r="H15" s="38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8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31"/>
      <c r="K15" s="38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60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code : string = '' ; </v>
      </c>
      <c r="T15" s="31" t="str">
        <f>REPT(CHAR(9),3)&amp;"this."&amp;D15&amp;","</f>
        <v xml:space="preserve">			this.code,</v>
      </c>
      <c r="U15" s="31" t="str">
        <f>IF(E15="int",REPT(CHAR(9),2)&amp;"this."&amp;D15&amp;" = 0,",REPT(CHAR(9),2)&amp;"this."&amp;D15&amp;" = '',")</f>
        <v xml:space="preserve">		this.code = '',</v>
      </c>
      <c r="V15" s="31" t="str">
        <f t="shared" ref="V15:V19" si="8">IF(AND(E15="string",F15="1"),D15,"")</f>
        <v/>
      </c>
    </row>
    <row r="16" spans="1:22" ht="18" customHeight="1" x14ac:dyDescent="0.35">
      <c r="A16" s="72" t="s">
        <v>354</v>
      </c>
      <c r="B16" s="31" t="str">
        <f t="shared" ref="B16" si="9">SUBSTITUTE(PROPER(A16),"_","")</f>
        <v>Name</v>
      </c>
      <c r="C16" s="31" t="str">
        <f t="shared" ref="C16" si="10">SUBSTITUTE(PROPER(A16),"_"," ")</f>
        <v>Name</v>
      </c>
      <c r="D16" s="31" t="str">
        <f t="shared" ref="D16" si="11">LOWER(LEFT(B16,1))&amp;RIGHT(B16,LEN(B16) - 1)</f>
        <v>name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name : string = '' ; </v>
      </c>
      <c r="T16" s="31" t="str">
        <f t="shared" ref="T16" si="18">REPT(CHAR(9),3)&amp;"this."&amp;D16&amp;","</f>
        <v xml:space="preserve">			this.name,</v>
      </c>
      <c r="U16" s="31" t="str">
        <f t="shared" ref="U16" si="19">IF(E16="int",REPT(CHAR(9),2)&amp;"this."&amp;D16&amp;" = 0,",REPT(CHAR(9),2)&amp;"this."&amp;D16&amp;" = '',")</f>
        <v xml:space="preserve">		this.name = '',</v>
      </c>
      <c r="V16" s="31" t="str">
        <f t="shared" ref="V16" si="20">IF(AND(E16="string",F16="1"),D16,"")</f>
        <v/>
      </c>
    </row>
    <row r="17" spans="1:22" ht="18" customHeight="1" x14ac:dyDescent="0.35">
      <c r="A17" s="72" t="s">
        <v>362</v>
      </c>
      <c r="B17" s="31" t="str">
        <f>SUBSTITUTE(PROPER(A17),"_","")</f>
        <v>AccountNumber</v>
      </c>
      <c r="C17" s="31" t="str">
        <f>SUBSTITUTE(PROPER(A17),"_"," ")</f>
        <v>Account Number</v>
      </c>
      <c r="D17" s="31" t="str">
        <f>LOWER(LEFT(B17,1))&amp;RIGHT(B17,LEN(B17) - 1)</f>
        <v>accountNumber</v>
      </c>
      <c r="E17" s="31" t="str">
        <f>A.Backend!H11</f>
        <v>string</v>
      </c>
      <c r="F17" s="31" t="str">
        <f>A.Backend!G11</f>
        <v>30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this.l('Account Number'),headerTooltip: this.l('Account Number'),field: 'accountNumber',flex: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[(ngModel)]='accountNumber' name='accountNumber'
									class='form-control' [placeholder]="l('Account Number')"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title'&gt;Account Number&lt;/label&gt;
						&lt;input type='text' class='col-md-10 form-control input-text' name='AccountNumber' [(ngModel)]='rowdata.accountNumber'&gt;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accountNumber : string = '' ; </v>
      </c>
      <c r="T17" s="31" t="str">
        <f>REPT(CHAR(9),3)&amp;"this."&amp;D17&amp;","</f>
        <v xml:space="preserve">			this.accountNumber,</v>
      </c>
      <c r="U17" s="31" t="str">
        <f>IF(E17="int","this."&amp;D17&amp;" = 0,","this."&amp;D17&amp;" = '',")</f>
        <v>this.accountNumber = '',</v>
      </c>
      <c r="V17" s="31" t="str">
        <f>IF(AND(E17="string",F17="1"),D17,"")</f>
        <v/>
      </c>
    </row>
    <row r="18" spans="1:22" ht="15" customHeight="1" x14ac:dyDescent="0.35">
      <c r="A18" s="72" t="s">
        <v>363</v>
      </c>
      <c r="B18" s="31" t="str">
        <f t="shared" ref="B18" si="21">SUBSTITUTE(PROPER(A18),"_","")</f>
        <v>BankName</v>
      </c>
      <c r="C18" s="31" t="str">
        <f t="shared" ref="C18" si="22">SUBSTITUTE(PROPER(A18),"_"," ")</f>
        <v>Bank Name</v>
      </c>
      <c r="D18" s="31" t="str">
        <f t="shared" ref="D18" si="23">LOWER(LEFT(B18,1))&amp;RIGHT(B18,LEN(B18) - 1)</f>
        <v>bankName</v>
      </c>
      <c r="E18" s="31" t="str">
        <f>A.Backend!H12</f>
        <v>string</v>
      </c>
      <c r="F18" s="31" t="str">
        <f>A.Backend!G12</f>
        <v>100</v>
      </c>
      <c r="G18" s="31" t="str">
        <f t="shared" ref="G18" si="24">IF(E18="string"," : string = '' ; ",IF(OR(E18="DateTime",E18="TimeSpan")," : any ;",IF(E18="int"," : number = 0 ;","")))</f>
        <v xml:space="preserve"> : string = '' ; </v>
      </c>
      <c r="H18" s="38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this.l('Bank Name'),headerTooltip: this.l('Bank Name'),field: 'bankName',flex: 1},</v>
      </c>
      <c r="I18" s="38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[(ngModel)]='bankName' name='bankName'
									class='form-control' [placeholder]="l('Bank Name')"
									type='text' (keyup.enter)='searchDatas()'&gt;
								&lt;/div&gt;</v>
      </c>
      <c r="J18" s="31"/>
      <c r="K18" s="38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title'&gt;Bank Name&lt;/label&gt;
						&lt;input type='text' class='col-md-10 form-control input-text' name='BankName' [(ngModel)]='rowdata.bankName'&gt;
					&lt;/div&gt;</v>
      </c>
      <c r="L18" s="60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bankName : string = '' ; </v>
      </c>
      <c r="T18" s="31" t="str">
        <f>REPT(CHAR(9),3)&amp;"this."&amp;D18&amp;","</f>
        <v xml:space="preserve">			this.bankName,</v>
      </c>
      <c r="U18" s="31" t="str">
        <f>IF(E18="int",REPT(CHAR(9),2)&amp;"this."&amp;D18&amp;" = 0,",REPT(CHAR(9),2)&amp;"this."&amp;D18&amp;" = '',")</f>
        <v xml:space="preserve">		this.bankName = '',</v>
      </c>
      <c r="V18" s="31" t="str">
        <f t="shared" ref="V18" si="29">IF(AND(E18="string",F18="1"),D18,"")</f>
        <v/>
      </c>
    </row>
    <row r="19" spans="1:22" ht="18" customHeight="1" x14ac:dyDescent="0.35">
      <c r="A19" s="72" t="s">
        <v>364</v>
      </c>
      <c r="B19" s="31" t="str">
        <f t="shared" si="0"/>
        <v>VendorNumber</v>
      </c>
      <c r="C19" s="31" t="str">
        <f t="shared" si="1"/>
        <v>Vendor Number</v>
      </c>
      <c r="D19" s="31" t="str">
        <f t="shared" si="2"/>
        <v>vendorNumber</v>
      </c>
      <c r="E19" s="31" t="str">
        <f>A.Backend!H13</f>
        <v>string</v>
      </c>
      <c r="F19" s="31" t="str">
        <f>A.Backend!G13</f>
        <v>30</v>
      </c>
      <c r="G19" s="31" t="str">
        <f t="shared" si="3"/>
        <v xml:space="preserve"> : string = '' ; </v>
      </c>
      <c r="H19" s="38" t="str">
        <f t="shared" si="4"/>
        <v xml:space="preserve">			{headerName: this.l('Vendor Number'),headerTooltip: this.l('Vendor Number'),field: 'vendorNumber',flex: 1},</v>
      </c>
      <c r="I19" s="38" t="str">
        <f t="shared" si="5"/>
        <v xml:space="preserve">								&lt;div class='input-search'&gt;
									&lt;input [(ngModel)]='vendorNumber' name='vendorNumber'
									class='form-control' [placeholder]="l('Vendor Number')"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title'&gt;Vendor Number&lt;/label&gt;
						&lt;input type='text' class='col-md-10 form-control input-text' name='VendorNumber' [(ngModel)]='rowdata.vendorNumber'&gt;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ref="S19" si="30">REPT(CHAR(9),1)&amp;D19&amp;G19</f>
        <v xml:space="preserve">	vendorNumber : string = '' ; </v>
      </c>
      <c r="T19" s="31" t="str">
        <f t="shared" ref="T19" si="31">REPT(CHAR(9),3)&amp;"this."&amp;D19&amp;","</f>
        <v xml:space="preserve">			this.vendorNumber,</v>
      </c>
      <c r="U19" s="31" t="str">
        <f t="shared" ref="U19" si="32">IF(E19="int",REPT(CHAR(9),2)&amp;"this."&amp;D19&amp;" = 0,",REPT(CHAR(9),2)&amp;"this."&amp;D19&amp;" = '',")</f>
        <v xml:space="preserve">		this.vendorNumber = '',</v>
      </c>
      <c r="V19" s="31" t="str">
        <f t="shared" si="8"/>
        <v/>
      </c>
    </row>
    <row r="20" spans="1:22" s="72" customFormat="1" ht="18" customHeight="1" x14ac:dyDescent="0.35">
      <c r="A20" s="72" t="s">
        <v>365</v>
      </c>
      <c r="B20" s="31" t="str">
        <f t="shared" ref="B20" si="33">SUBSTITUTE(PROPER(A20),"_","")</f>
        <v>IsActive</v>
      </c>
      <c r="C20" s="31" t="str">
        <f t="shared" ref="C20" si="34">SUBSTITUTE(PROPER(A20),"_"," ")</f>
        <v>Is Active</v>
      </c>
      <c r="D20" s="31" t="str">
        <f t="shared" ref="D20" si="35">LOWER(LEFT(B20,1))&amp;RIGHT(B20,LEN(B20) - 1)</f>
        <v>isActive</v>
      </c>
      <c r="E20" s="31" t="str">
        <f>A.Backend!H14</f>
        <v>string</v>
      </c>
      <c r="F20" s="31" t="str">
        <f>A.Backend!G14</f>
        <v>1</v>
      </c>
      <c r="G20" s="31" t="str">
        <f t="shared" ref="G20" si="36">IF(E20="string"," : string = '' ; ",IF(OR(E20="DateTime",E20="TimeSpan")," : any ;",IF(E20="int"," : number = 0 ;","")))</f>
        <v xml:space="preserve"> : string = '' ; </v>
      </c>
      <c r="H20" s="38" t="str">
        <f t="shared" ref="H20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0" s="38" t="str">
        <f t="shared" ref="I20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0" s="31"/>
      <c r="K20" s="38" t="str">
        <f t="shared" ref="K20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0" s="60" t="str">
        <f t="shared" ref="L20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41">REPT(CHAR(9),1)&amp;D20&amp;G20</f>
        <v xml:space="preserve">	isActive : string = '' ; </v>
      </c>
      <c r="T20" s="31" t="str">
        <f t="shared" ref="T20" si="42">REPT(CHAR(9),3)&amp;"this."&amp;D20&amp;","</f>
        <v xml:space="preserve">			this.isActive,</v>
      </c>
      <c r="U20" s="31" t="str">
        <f t="shared" ref="U20" si="43">IF(E20="int",REPT(CHAR(9),2)&amp;"this."&amp;D20&amp;" = 0,",REPT(CHAR(9),2)&amp;"this."&amp;D20&amp;" = '',")</f>
        <v xml:space="preserve">		this.isActive = '',</v>
      </c>
      <c r="V20" s="31" t="str">
        <f t="shared" ref="V20" si="44">IF(AND(E20="string",F20="1"),D20,"")</f>
        <v>isActive</v>
      </c>
    </row>
    <row r="21" spans="1:22" ht="17.25" customHeight="1" x14ac:dyDescent="0.3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81640625" defaultRowHeight="14.5" x14ac:dyDescent="0.35"/>
  <cols>
    <col min="1" max="1" width="22.453125" bestFit="1" customWidth="1"/>
    <col min="2" max="2" width="29.81640625" bestFit="1" customWidth="1"/>
  </cols>
  <sheetData>
    <row r="1" spans="1:2" x14ac:dyDescent="0.35">
      <c r="A1" s="1" t="s">
        <v>16</v>
      </c>
      <c r="B1" s="1" t="s">
        <v>17</v>
      </c>
    </row>
    <row r="2" spans="1:2" x14ac:dyDescent="0.35">
      <c r="A2" t="s">
        <v>19</v>
      </c>
      <c r="B2" t="s">
        <v>33</v>
      </c>
    </row>
    <row r="3" spans="1:2" x14ac:dyDescent="0.35">
      <c r="A3" t="s">
        <v>18</v>
      </c>
      <c r="B3" t="s">
        <v>33</v>
      </c>
    </row>
    <row r="4" spans="1:2" x14ac:dyDescent="0.35">
      <c r="A4" t="s">
        <v>20</v>
      </c>
      <c r="B4" t="s">
        <v>21</v>
      </c>
    </row>
    <row r="5" spans="1:2" x14ac:dyDescent="0.35">
      <c r="A5" t="s">
        <v>22</v>
      </c>
      <c r="B5" t="s">
        <v>36</v>
      </c>
    </row>
    <row r="6" spans="1:2" x14ac:dyDescent="0.35">
      <c r="A6" t="s">
        <v>23</v>
      </c>
      <c r="B6" t="s">
        <v>34</v>
      </c>
    </row>
    <row r="7" spans="1:2" x14ac:dyDescent="0.35">
      <c r="A7" t="s">
        <v>24</v>
      </c>
      <c r="B7" t="s">
        <v>4</v>
      </c>
    </row>
    <row r="8" spans="1:2" x14ac:dyDescent="0.35">
      <c r="A8" t="s">
        <v>4</v>
      </c>
      <c r="B8" t="s">
        <v>4</v>
      </c>
    </row>
    <row r="9" spans="1:2" x14ac:dyDescent="0.35">
      <c r="A9" t="s">
        <v>0</v>
      </c>
      <c r="B9" t="s">
        <v>48</v>
      </c>
    </row>
    <row r="10" spans="1:2" x14ac:dyDescent="0.35">
      <c r="A10" t="s">
        <v>25</v>
      </c>
      <c r="B10" t="s">
        <v>28</v>
      </c>
    </row>
    <row r="11" spans="1:2" x14ac:dyDescent="0.35">
      <c r="A11" t="s">
        <v>26</v>
      </c>
      <c r="B11" t="s">
        <v>28</v>
      </c>
    </row>
    <row r="12" spans="1:2" x14ac:dyDescent="0.35">
      <c r="A12" t="s">
        <v>27</v>
      </c>
      <c r="B12" t="s">
        <v>28</v>
      </c>
    </row>
    <row r="13" spans="1:2" x14ac:dyDescent="0.35">
      <c r="A13" t="s">
        <v>28</v>
      </c>
      <c r="B13" t="s">
        <v>28</v>
      </c>
    </row>
    <row r="14" spans="1:2" x14ac:dyDescent="0.35">
      <c r="A14" t="s">
        <v>29</v>
      </c>
      <c r="B14" t="s">
        <v>28</v>
      </c>
    </row>
    <row r="15" spans="1:2" x14ac:dyDescent="0.35">
      <c r="A15" t="s">
        <v>30</v>
      </c>
      <c r="B15" t="s">
        <v>28</v>
      </c>
    </row>
    <row r="16" spans="1:2" x14ac:dyDescent="0.35">
      <c r="A16" t="s">
        <v>31</v>
      </c>
      <c r="B16" t="s">
        <v>32</v>
      </c>
    </row>
    <row r="17" spans="1:2" x14ac:dyDescent="0.35">
      <c r="A17" t="s">
        <v>3</v>
      </c>
      <c r="B17" t="s">
        <v>32</v>
      </c>
    </row>
    <row r="18" spans="1:2" x14ac:dyDescent="0.35">
      <c r="A18" t="s">
        <v>35</v>
      </c>
      <c r="B18" t="s">
        <v>32</v>
      </c>
    </row>
    <row r="19" spans="1:2" x14ac:dyDescent="0.35">
      <c r="A19" t="s">
        <v>2</v>
      </c>
      <c r="B19" t="s">
        <v>32</v>
      </c>
    </row>
    <row r="20" spans="1:2" x14ac:dyDescent="0.3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1640625" defaultRowHeight="15.5" x14ac:dyDescent="0.35"/>
  <cols>
    <col min="1" max="1" width="14.26953125" customWidth="1"/>
    <col min="2" max="2" width="71.7265625" style="22" customWidth="1"/>
  </cols>
  <sheetData>
    <row r="2" spans="1:2" x14ac:dyDescent="0.35">
      <c r="A2" s="24" t="s">
        <v>193</v>
      </c>
      <c r="B2" s="25" t="s">
        <v>190</v>
      </c>
    </row>
    <row r="3" spans="1:2" x14ac:dyDescent="0.35">
      <c r="B3" s="22" t="s">
        <v>115</v>
      </c>
    </row>
    <row r="4" spans="1:2" x14ac:dyDescent="0.35">
      <c r="B4" s="22" t="s">
        <v>116</v>
      </c>
    </row>
    <row r="5" spans="1:2" x14ac:dyDescent="0.35">
      <c r="B5" s="22" t="s">
        <v>117</v>
      </c>
    </row>
    <row r="6" spans="1:2" x14ac:dyDescent="0.35">
      <c r="B6" s="22" t="s">
        <v>118</v>
      </c>
    </row>
    <row r="7" spans="1:2" x14ac:dyDescent="0.35">
      <c r="B7" s="22" t="s">
        <v>119</v>
      </c>
    </row>
    <row r="8" spans="1:2" x14ac:dyDescent="0.35">
      <c r="B8" s="22" t="s">
        <v>120</v>
      </c>
    </row>
    <row r="9" spans="1:2" x14ac:dyDescent="0.35">
      <c r="B9" s="22" t="s">
        <v>121</v>
      </c>
    </row>
    <row r="10" spans="1:2" x14ac:dyDescent="0.35">
      <c r="B10" s="22" t="s">
        <v>122</v>
      </c>
    </row>
    <row r="11" spans="1:2" x14ac:dyDescent="0.35">
      <c r="B11" s="22" t="s">
        <v>123</v>
      </c>
    </row>
    <row r="12" spans="1:2" x14ac:dyDescent="0.35">
      <c r="B12" s="22" t="s">
        <v>124</v>
      </c>
    </row>
    <row r="13" spans="1:2" x14ac:dyDescent="0.35">
      <c r="B13" s="22" t="s">
        <v>125</v>
      </c>
    </row>
    <row r="14" spans="1:2" x14ac:dyDescent="0.35">
      <c r="B14" s="22" t="s">
        <v>126</v>
      </c>
    </row>
    <row r="15" spans="1:2" x14ac:dyDescent="0.35">
      <c r="B15" s="22" t="s">
        <v>127</v>
      </c>
    </row>
    <row r="16" spans="1:2" x14ac:dyDescent="0.35">
      <c r="B16" s="22" t="s">
        <v>128</v>
      </c>
    </row>
    <row r="17" spans="1:3" x14ac:dyDescent="0.35">
      <c r="B17" s="22" t="s">
        <v>129</v>
      </c>
    </row>
    <row r="18" spans="1:3" x14ac:dyDescent="0.35">
      <c r="B18" s="22" t="s">
        <v>130</v>
      </c>
      <c r="C18" t="s">
        <v>192</v>
      </c>
    </row>
    <row r="19" spans="1:3" x14ac:dyDescent="0.35">
      <c r="B19" s="22" t="s">
        <v>131</v>
      </c>
    </row>
    <row r="20" spans="1:3" x14ac:dyDescent="0.35">
      <c r="B20" s="22" t="s">
        <v>132</v>
      </c>
    </row>
    <row r="21" spans="1:3" x14ac:dyDescent="0.35">
      <c r="B21" s="22" t="s">
        <v>133</v>
      </c>
    </row>
    <row r="22" spans="1:3" x14ac:dyDescent="0.35">
      <c r="B22" s="22" t="s">
        <v>134</v>
      </c>
      <c r="C22" t="s">
        <v>197</v>
      </c>
    </row>
    <row r="23" spans="1:3" x14ac:dyDescent="0.35">
      <c r="B23" s="22" t="s">
        <v>135</v>
      </c>
    </row>
    <row r="24" spans="1:3" x14ac:dyDescent="0.35">
      <c r="B24" s="22" t="s">
        <v>136</v>
      </c>
    </row>
    <row r="25" spans="1:3" x14ac:dyDescent="0.35">
      <c r="B25" s="22" t="s">
        <v>137</v>
      </c>
    </row>
    <row r="26" spans="1:3" x14ac:dyDescent="0.35">
      <c r="A26" s="24" t="s">
        <v>194</v>
      </c>
      <c r="B26" s="25" t="s">
        <v>191</v>
      </c>
    </row>
    <row r="27" spans="1:3" x14ac:dyDescent="0.35">
      <c r="B27" s="22" t="s">
        <v>138</v>
      </c>
    </row>
    <row r="28" spans="1:3" x14ac:dyDescent="0.35">
      <c r="B28" s="23" t="s">
        <v>139</v>
      </c>
    </row>
    <row r="29" spans="1:3" x14ac:dyDescent="0.35">
      <c r="B29" s="22" t="s">
        <v>140</v>
      </c>
    </row>
    <row r="30" spans="1:3" x14ac:dyDescent="0.35">
      <c r="B30" s="22" t="s">
        <v>141</v>
      </c>
    </row>
    <row r="31" spans="1:3" x14ac:dyDescent="0.35">
      <c r="B31" s="22" t="s">
        <v>142</v>
      </c>
    </row>
    <row r="32" spans="1:3" x14ac:dyDescent="0.35">
      <c r="B32" s="22" t="s">
        <v>143</v>
      </c>
    </row>
    <row r="33" spans="2:2" x14ac:dyDescent="0.35">
      <c r="B33" s="22" t="s">
        <v>144</v>
      </c>
    </row>
    <row r="34" spans="2:2" x14ac:dyDescent="0.35">
      <c r="B34" s="22" t="s">
        <v>145</v>
      </c>
    </row>
    <row r="35" spans="2:2" x14ac:dyDescent="0.35">
      <c r="B35" s="22" t="s">
        <v>146</v>
      </c>
    </row>
    <row r="36" spans="2:2" x14ac:dyDescent="0.35">
      <c r="B36" s="22" t="s">
        <v>147</v>
      </c>
    </row>
    <row r="37" spans="2:2" x14ac:dyDescent="0.35">
      <c r="B37" s="22" t="s">
        <v>148</v>
      </c>
    </row>
    <row r="38" spans="2:2" x14ac:dyDescent="0.35">
      <c r="B38" s="22" t="s">
        <v>149</v>
      </c>
    </row>
    <row r="39" spans="2:2" x14ac:dyDescent="0.35">
      <c r="B39" s="22" t="s">
        <v>150</v>
      </c>
    </row>
    <row r="40" spans="2:2" x14ac:dyDescent="0.35">
      <c r="B40" s="22" t="s">
        <v>151</v>
      </c>
    </row>
    <row r="41" spans="2:2" x14ac:dyDescent="0.35">
      <c r="B41" s="22" t="s">
        <v>152</v>
      </c>
    </row>
    <row r="42" spans="2:2" x14ac:dyDescent="0.35">
      <c r="B42" s="22" t="s">
        <v>153</v>
      </c>
    </row>
    <row r="43" spans="2:2" x14ac:dyDescent="0.35">
      <c r="B43" s="23" t="s">
        <v>154</v>
      </c>
    </row>
    <row r="44" spans="2:2" x14ac:dyDescent="0.35">
      <c r="B44" s="22" t="s">
        <v>140</v>
      </c>
    </row>
    <row r="45" spans="2:2" x14ac:dyDescent="0.35">
      <c r="B45" s="22" t="s">
        <v>155</v>
      </c>
    </row>
    <row r="46" spans="2:2" x14ac:dyDescent="0.35">
      <c r="B46" s="22" t="s">
        <v>156</v>
      </c>
    </row>
    <row r="47" spans="2:2" x14ac:dyDescent="0.35">
      <c r="B47" s="22" t="s">
        <v>157</v>
      </c>
    </row>
    <row r="48" spans="2:2" x14ac:dyDescent="0.35">
      <c r="B48" s="22" t="s">
        <v>158</v>
      </c>
    </row>
    <row r="49" spans="2:2" x14ac:dyDescent="0.35">
      <c r="B49" s="22" t="s">
        <v>141</v>
      </c>
    </row>
    <row r="50" spans="2:2" x14ac:dyDescent="0.35">
      <c r="B50" s="22" t="s">
        <v>142</v>
      </c>
    </row>
    <row r="51" spans="2:2" x14ac:dyDescent="0.35">
      <c r="B51" s="22" t="s">
        <v>143</v>
      </c>
    </row>
    <row r="52" spans="2:2" x14ac:dyDescent="0.35">
      <c r="B52" s="22" t="s">
        <v>144</v>
      </c>
    </row>
    <row r="53" spans="2:2" x14ac:dyDescent="0.35">
      <c r="B53" s="22" t="s">
        <v>145</v>
      </c>
    </row>
    <row r="54" spans="2:2" x14ac:dyDescent="0.35">
      <c r="B54" s="22" t="s">
        <v>146</v>
      </c>
    </row>
    <row r="55" spans="2:2" x14ac:dyDescent="0.35">
      <c r="B55" s="22" t="s">
        <v>147</v>
      </c>
    </row>
    <row r="56" spans="2:2" x14ac:dyDescent="0.35">
      <c r="B56" s="22" t="s">
        <v>159</v>
      </c>
    </row>
    <row r="57" spans="2:2" x14ac:dyDescent="0.35">
      <c r="B57" s="22" t="s">
        <v>160</v>
      </c>
    </row>
    <row r="58" spans="2:2" x14ac:dyDescent="0.35">
      <c r="B58" s="22" t="s">
        <v>148</v>
      </c>
    </row>
    <row r="59" spans="2:2" x14ac:dyDescent="0.35">
      <c r="B59" s="22" t="s">
        <v>149</v>
      </c>
    </row>
    <row r="60" spans="2:2" x14ac:dyDescent="0.35">
      <c r="B60" s="22" t="s">
        <v>161</v>
      </c>
    </row>
    <row r="61" spans="2:2" x14ac:dyDescent="0.35">
      <c r="B61" s="22" t="s">
        <v>162</v>
      </c>
    </row>
    <row r="62" spans="2:2" x14ac:dyDescent="0.35">
      <c r="B62" s="22" t="s">
        <v>163</v>
      </c>
    </row>
    <row r="63" spans="2:2" x14ac:dyDescent="0.35">
      <c r="B63" s="22" t="s">
        <v>158</v>
      </c>
    </row>
    <row r="64" spans="2:2" x14ac:dyDescent="0.35">
      <c r="B64" s="22" t="s">
        <v>150</v>
      </c>
    </row>
    <row r="65" spans="2:2" x14ac:dyDescent="0.35">
      <c r="B65" s="22" t="s">
        <v>151</v>
      </c>
    </row>
    <row r="66" spans="2:2" x14ac:dyDescent="0.35">
      <c r="B66" s="22" t="s">
        <v>164</v>
      </c>
    </row>
    <row r="67" spans="2:2" x14ac:dyDescent="0.35">
      <c r="B67" s="22" t="s">
        <v>158</v>
      </c>
    </row>
    <row r="68" spans="2:2" x14ac:dyDescent="0.35">
      <c r="B68" s="22" t="s">
        <v>152</v>
      </c>
    </row>
    <row r="69" spans="2:2" x14ac:dyDescent="0.35">
      <c r="B69" s="22" t="s">
        <v>165</v>
      </c>
    </row>
    <row r="70" spans="2:2" x14ac:dyDescent="0.35">
      <c r="B70" s="23" t="s">
        <v>166</v>
      </c>
    </row>
    <row r="71" spans="2:2" x14ac:dyDescent="0.35">
      <c r="B71" s="22" t="s">
        <v>140</v>
      </c>
    </row>
    <row r="72" spans="2:2" x14ac:dyDescent="0.35">
      <c r="B72" s="22" t="s">
        <v>141</v>
      </c>
    </row>
    <row r="73" spans="2:2" x14ac:dyDescent="0.35">
      <c r="B73" s="22" t="s">
        <v>142</v>
      </c>
    </row>
    <row r="74" spans="2:2" x14ac:dyDescent="0.35">
      <c r="B74" s="22" t="s">
        <v>143</v>
      </c>
    </row>
    <row r="75" spans="2:2" x14ac:dyDescent="0.35">
      <c r="B75" s="22" t="s">
        <v>147</v>
      </c>
    </row>
    <row r="76" spans="2:2" x14ac:dyDescent="0.35">
      <c r="B76" s="22" t="s">
        <v>149</v>
      </c>
    </row>
    <row r="77" spans="2:2" x14ac:dyDescent="0.35">
      <c r="B77" s="22" t="s">
        <v>150</v>
      </c>
    </row>
    <row r="78" spans="2:2" x14ac:dyDescent="0.35">
      <c r="B78" s="22" t="s">
        <v>151</v>
      </c>
    </row>
    <row r="79" spans="2:2" x14ac:dyDescent="0.35">
      <c r="B79" s="22" t="s">
        <v>152</v>
      </c>
    </row>
    <row r="80" spans="2:2" x14ac:dyDescent="0.35">
      <c r="B80" s="22" t="s">
        <v>165</v>
      </c>
    </row>
    <row r="81" spans="1:2" x14ac:dyDescent="0.35">
      <c r="B81" s="23" t="s">
        <v>167</v>
      </c>
    </row>
    <row r="82" spans="1:2" x14ac:dyDescent="0.35">
      <c r="B82" s="23" t="s">
        <v>168</v>
      </c>
    </row>
    <row r="83" spans="1:2" x14ac:dyDescent="0.35">
      <c r="B83" s="23" t="s">
        <v>169</v>
      </c>
    </row>
    <row r="84" spans="1:2" x14ac:dyDescent="0.35">
      <c r="B84" s="23" t="s">
        <v>170</v>
      </c>
    </row>
    <row r="85" spans="1:2" x14ac:dyDescent="0.35">
      <c r="B85" s="23" t="s">
        <v>171</v>
      </c>
    </row>
    <row r="86" spans="1:2" x14ac:dyDescent="0.35">
      <c r="B86" s="23" t="s">
        <v>172</v>
      </c>
    </row>
    <row r="87" spans="1:2" x14ac:dyDescent="0.35">
      <c r="B87" s="23" t="s">
        <v>173</v>
      </c>
    </row>
    <row r="88" spans="1:2" x14ac:dyDescent="0.35">
      <c r="A88" s="24" t="s">
        <v>195</v>
      </c>
      <c r="B88" s="26" t="s">
        <v>174</v>
      </c>
    </row>
    <row r="89" spans="1:2" x14ac:dyDescent="0.35">
      <c r="B89" s="22" t="s">
        <v>175</v>
      </c>
    </row>
    <row r="90" spans="1:2" x14ac:dyDescent="0.35">
      <c r="B90" s="22" t="s">
        <v>176</v>
      </c>
    </row>
    <row r="91" spans="1:2" x14ac:dyDescent="0.35">
      <c r="B91" s="22" t="s">
        <v>177</v>
      </c>
    </row>
    <row r="92" spans="1:2" x14ac:dyDescent="0.35">
      <c r="B92" s="22" t="s">
        <v>178</v>
      </c>
    </row>
    <row r="93" spans="1:2" x14ac:dyDescent="0.35">
      <c r="B93" s="22" t="s">
        <v>179</v>
      </c>
    </row>
    <row r="94" spans="1:2" x14ac:dyDescent="0.35">
      <c r="B94" s="22" t="s">
        <v>180</v>
      </c>
    </row>
    <row r="95" spans="1:2" x14ac:dyDescent="0.35">
      <c r="B95" s="22" t="s">
        <v>181</v>
      </c>
    </row>
    <row r="96" spans="1:2" x14ac:dyDescent="0.35">
      <c r="B96" s="22" t="s">
        <v>182</v>
      </c>
    </row>
    <row r="97" spans="2:2" x14ac:dyDescent="0.35">
      <c r="B97" s="22" t="s">
        <v>183</v>
      </c>
    </row>
    <row r="98" spans="2:2" x14ac:dyDescent="0.35">
      <c r="B98" s="22" t="s">
        <v>184</v>
      </c>
    </row>
    <row r="99" spans="2:2" x14ac:dyDescent="0.35">
      <c r="B99" s="22" t="s">
        <v>185</v>
      </c>
    </row>
    <row r="100" spans="2:2" x14ac:dyDescent="0.35">
      <c r="B100" s="22" t="s">
        <v>186</v>
      </c>
    </row>
    <row r="101" spans="2:2" x14ac:dyDescent="0.35">
      <c r="B101" s="22" t="s">
        <v>187</v>
      </c>
    </row>
    <row r="102" spans="2:2" x14ac:dyDescent="0.35">
      <c r="B102" s="22" t="s">
        <v>188</v>
      </c>
    </row>
    <row r="103" spans="2:2" x14ac:dyDescent="0.3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2023-04-13T03:30:00Z</dcterms:modified>
</cp:coreProperties>
</file>
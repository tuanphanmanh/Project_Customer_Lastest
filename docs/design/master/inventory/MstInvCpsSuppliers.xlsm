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master\inventory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" i="5" l="1"/>
  <c r="F20" i="5"/>
  <c r="E20" i="5"/>
  <c r="V20" i="5" s="1"/>
  <c r="C20" i="5"/>
  <c r="B20" i="5"/>
  <c r="D20" i="5" s="1"/>
  <c r="H20" i="5" s="1"/>
  <c r="L19" i="5"/>
  <c r="G19" i="5"/>
  <c r="F19" i="5"/>
  <c r="E19" i="5"/>
  <c r="C19" i="5"/>
  <c r="B19" i="5"/>
  <c r="D19" i="5" s="1"/>
  <c r="L14" i="1"/>
  <c r="G14" i="1"/>
  <c r="E14" i="1"/>
  <c r="H14" i="1" s="1"/>
  <c r="D14" i="1"/>
  <c r="T14" i="1" s="1"/>
  <c r="L15" i="1"/>
  <c r="G15" i="1"/>
  <c r="E15" i="1"/>
  <c r="H15" i="1" s="1"/>
  <c r="D15" i="1"/>
  <c r="V15" i="1" s="1"/>
  <c r="S19" i="5" l="1"/>
  <c r="K20" i="5"/>
  <c r="L20" i="5"/>
  <c r="K19" i="5"/>
  <c r="S20" i="5"/>
  <c r="V19" i="5"/>
  <c r="T20" i="5"/>
  <c r="U19" i="5"/>
  <c r="H19" i="5"/>
  <c r="I19" i="5"/>
  <c r="U20" i="5"/>
  <c r="G20" i="5"/>
  <c r="O14" i="1"/>
  <c r="N14" i="1"/>
  <c r="M14" i="1"/>
  <c r="W14" i="1"/>
  <c r="J14" i="1"/>
  <c r="I14" i="1"/>
  <c r="V14" i="1"/>
  <c r="P14" i="1"/>
  <c r="W15" i="1"/>
  <c r="I15" i="1"/>
  <c r="O15" i="1"/>
  <c r="J15" i="1"/>
  <c r="N15" i="1"/>
  <c r="M15" i="1"/>
  <c r="P15" i="1"/>
  <c r="T15" i="1"/>
  <c r="B16" i="5"/>
  <c r="D16" i="5" s="1"/>
  <c r="T19" i="5" s="1"/>
  <c r="C16" i="5"/>
  <c r="B17" i="5"/>
  <c r="D17" i="5" s="1"/>
  <c r="C17" i="5"/>
  <c r="B18" i="5"/>
  <c r="D18" i="5" s="1"/>
  <c r="C18" i="5"/>
  <c r="B21" i="5"/>
  <c r="D21" i="5" s="1"/>
  <c r="C21" i="5"/>
  <c r="B22" i="5"/>
  <c r="D22" i="5" s="1"/>
  <c r="C22" i="5"/>
  <c r="B23" i="5"/>
  <c r="D23" i="5" s="1"/>
  <c r="C23" i="5"/>
  <c r="F23" i="5"/>
  <c r="L17" i="1" l="1"/>
  <c r="G17" i="1"/>
  <c r="E17" i="1"/>
  <c r="H17" i="1" s="1"/>
  <c r="D17" i="1"/>
  <c r="V17" i="1" s="1"/>
  <c r="W17" i="1" l="1"/>
  <c r="E23" i="5"/>
  <c r="P17" i="1"/>
  <c r="T17" i="1"/>
  <c r="I17" i="1"/>
  <c r="N17" i="1"/>
  <c r="M17" i="1"/>
  <c r="J17" i="1"/>
  <c r="O17" i="1"/>
  <c r="B7" i="5"/>
  <c r="B6" i="5"/>
  <c r="B2" i="5"/>
  <c r="G23" i="5" l="1"/>
  <c r="T23" i="5"/>
  <c r="K23" i="5"/>
  <c r="I23" i="5"/>
  <c r="V23" i="5"/>
  <c r="S23" i="5"/>
  <c r="U23" i="5"/>
  <c r="H23" i="5"/>
  <c r="B8" i="5"/>
  <c r="B3" i="5"/>
  <c r="L16" i="1"/>
  <c r="G16" i="1"/>
  <c r="F22" i="5" s="1"/>
  <c r="E16" i="1"/>
  <c r="H16" i="1" s="1"/>
  <c r="E22" i="5" s="1"/>
  <c r="D16" i="1"/>
  <c r="T16" i="1" s="1"/>
  <c r="G22" i="5" l="1"/>
  <c r="T22" i="5"/>
  <c r="K22" i="5"/>
  <c r="I22" i="5"/>
  <c r="V22" i="5"/>
  <c r="S22" i="5"/>
  <c r="U22" i="5"/>
  <c r="H22" i="5"/>
  <c r="L23" i="5"/>
  <c r="L22" i="5"/>
  <c r="M16" i="1"/>
  <c r="I16" i="1"/>
  <c r="N16" i="1"/>
  <c r="V16" i="1"/>
  <c r="J16" i="1"/>
  <c r="O16" i="1"/>
  <c r="W16" i="1"/>
  <c r="P16" i="1"/>
  <c r="B6" i="1" l="1"/>
  <c r="G13" i="1"/>
  <c r="F21" i="5" s="1"/>
  <c r="E13" i="1"/>
  <c r="H13" i="1" s="1"/>
  <c r="E21" i="5" s="1"/>
  <c r="D13" i="1"/>
  <c r="V13" i="1" s="1"/>
  <c r="G21" i="5" l="1"/>
  <c r="U21" i="5" s="1"/>
  <c r="K21" i="5"/>
  <c r="V21" i="5"/>
  <c r="S21" i="5"/>
  <c r="I21" i="5"/>
  <c r="T21" i="5"/>
  <c r="H21" i="5"/>
  <c r="L21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8" i="5" l="1"/>
  <c r="U18" i="5" s="1"/>
  <c r="V18" i="5"/>
  <c r="I18" i="5"/>
  <c r="T18" i="5"/>
  <c r="K18" i="5"/>
  <c r="H18" i="5"/>
  <c r="G17" i="5"/>
  <c r="S17" i="5" s="1"/>
  <c r="I17" i="5"/>
  <c r="T17" i="5"/>
  <c r="K17" i="5"/>
  <c r="V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S18" i="5" l="1"/>
  <c r="U17" i="5"/>
  <c r="G9" i="1"/>
  <c r="F15" i="5" s="1"/>
  <c r="E9" i="1"/>
  <c r="H9" i="1" s="1"/>
  <c r="E15" i="5" s="1"/>
  <c r="D9" i="1"/>
  <c r="V9" i="1" s="1"/>
  <c r="K15" i="5" l="1"/>
  <c r="T15" i="5"/>
  <c r="I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T16" i="5"/>
  <c r="G16" i="5"/>
  <c r="S16" i="5" s="1"/>
  <c r="V16" i="5"/>
  <c r="K16" i="5"/>
  <c r="I16" i="5"/>
  <c r="L16" i="5"/>
  <c r="P10" i="1"/>
  <c r="V10" i="1"/>
  <c r="W10" i="1"/>
  <c r="J10" i="1"/>
  <c r="I10" i="1"/>
  <c r="O10" i="1"/>
  <c r="N10" i="1"/>
  <c r="M10" i="1"/>
  <c r="U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19" i="1"/>
  <c r="T7" i="1" l="1"/>
  <c r="W19" i="1"/>
  <c r="G6" i="1" l="1"/>
  <c r="H13" i="5"/>
  <c r="S13" i="5"/>
  <c r="U13" i="5"/>
  <c r="L13" i="5"/>
  <c r="I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J19" i="1"/>
  <c r="P19" i="1"/>
  <c r="I19" i="1"/>
  <c r="N19" i="1"/>
  <c r="O19" i="1"/>
  <c r="Q7" i="1" l="1"/>
  <c r="M68" i="3" s="1"/>
  <c r="L7" i="1"/>
  <c r="G68" i="3" s="1"/>
  <c r="K68" i="3"/>
  <c r="J68" i="3"/>
  <c r="M19" i="1"/>
  <c r="K19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<sst xmlns="http://schemas.openxmlformats.org/spreadsheetml/2006/main" count="472" uniqueCount="375">
  <si>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</si>
  <si>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</si>
  <si>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</si>
  <si>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</si>
  <si>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</si>
  <si>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</si>
  <si>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</si>
  <si>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</si>
  <si>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</si>
  <si>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</si>
  <si>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</si>
  <si>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</si>
  <si>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</si>
  <si>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</si>
  <si>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</si>
  <si>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</si>
  <si>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</si>
  <si>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</si>
  <si>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</si>
  <si>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</si>
  <si>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</si>
  <si>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</si>
  <si>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</si>
  <si>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</si>
  <si>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</si>
  <si>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</si>
  <si>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</si>
  <si>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</si>
  <si>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</si>
  <si>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</si>
  <si>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</si>
  <si>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</si>
  <si>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</si>
  <si>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</si>
  <si>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</si>
  <si>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</si>
  <si>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</si>
  <si>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</si>
  <si>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</si>
  <si>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</si>
  <si>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</si>
  <si>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</si>
  <si>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</si>
  <si>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</si>
  <si>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</si>
  <si>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</si>
  <si>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</si>
  <si>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</si>
  <si>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</si>
  <si>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</si>
  <si>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</si>
  <si>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</si>
  <si>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</si>
  <si>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</si>
  <si>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</si>
  <si>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</si>
  <si>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</si>
  <si>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</si>
  <si>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</si>
  <si>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</si>
  <si>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</si>
  <si>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</si>
  <si>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</si>
  <si>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</si>
  <si>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</si>
  <si>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</si>
  <si>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</si>
  <si>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</si>
  <si>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</si>
  <si>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</si>
  <si>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</si>
  <si>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</si>
  <si>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</si>
  <si>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</si>
  <si>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</si>
  <si>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</si>
  <si>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</si>
  <si>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</si>
  <si>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</si>
  <si>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</si>
  <si>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</si>
  <si>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</si>
  <si>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</si>
  <si>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</si>
  <si>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</si>
  <si>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</si>
  <si>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</si>
  <si>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</si>
  <si>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</si>
  <si>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</si>
  <si>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</si>
  <si>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</si>
  <si>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</si>
  <si>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</si>
  <si>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</si>
  <si>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</si>
  <si>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</si>
  <si>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</si>
  <si>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</si>
  <si>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</si>
  <si>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</si>
  <si>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</si>
  <si>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</si>
  <si>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</si>
  <si>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</si>
  <si>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</si>
  <si>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</si>
  <si>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</si>
  <si>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</si>
  <si>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</si>
  <si>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</si>
  <si>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</si>
  <si>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</si>
  <si>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</si>
  <si>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</si>
  <si>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</si>
  <si>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</si>
  <si>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</si>
  <si>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</si>
  <si>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</si>
  <si>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</si>
  <si>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</si>
  <si>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</si>
  <si>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</si>
  <si>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</si>
  <si>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</si>
  <si>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</si>
  <si>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</si>
  <si>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</si>
  <si>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</si>
  <si>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</si>
  <si>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</si>
  <si>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</si>
  <si>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</si>
  <si>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</si>
  <si>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</si>
  <si>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</si>
  <si>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</si>
  <si>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</si>
  <si>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</si>
  <si>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</si>
  <si>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</si>
  <si>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</si>
  <si>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</si>
  <si>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</si>
  <si>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</si>
  <si>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</si>
  <si>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</si>
  <si>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</si>
  <si>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</si>
  <si>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</si>
  <si>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</si>
  <si>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</si>
  <si>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</si>
  <si>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</si>
  <si>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</si>
  <si>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</si>
  <si>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</si>
  <si>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</si>
  <si>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</si>
  <si>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</si>
  <si>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</si>
  <si>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</si>
  <si>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</si>
  <si>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</si>
  <si>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</si>
  <si>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</si>
  <si>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</si>
  <si>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</si>
  <si>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</si>
  <si>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</si>
  <si>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</si>
  <si>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</si>
  <si>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</si>
  <si>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</si>
  <si>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</si>
  <si>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</si>
  <si>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</si>
  <si>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</si>
  <si>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</si>
  <si>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</si>
  <si>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</si>
  <si>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</si>
  <si>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</si>
  <si>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</si>
  <si>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</si>
  <si>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</si>
  <si>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</si>
  <si>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</si>
  <si>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</si>
  <si>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</si>
  <si>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</si>
  <si>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</si>
  <si>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</si>
  <si>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</si>
  <si>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</si>
  <si>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</si>
  <si>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</si>
  <si>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</si>
  <si>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</si>
  <si>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</si>
  <si>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</si>
  <si>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</si>
  <si>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</si>
  <si>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</si>
  <si>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</si>
  <si>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</si>
  <si>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</si>
  <si>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</si>
  <si>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</si>
  <si>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</si>
  <si>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</si>
  <si>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</si>
  <si>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</si>
  <si>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</si>
  <si>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</si>
  <si>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</si>
  <si>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</si>
  <si>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</si>
  <si>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</si>
  <si>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</si>
  <si>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</si>
  <si>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</si>
  <si>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</si>
  <si>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</si>
  <si>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</si>
  <si>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</si>
  <si>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</si>
  <si>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</si>
  <si>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</si>
  <si>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</si>
  <si>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</si>
  <si>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</si>
  <si>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</si>
  <si>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</si>
  <si>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</si>
  <si>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</si>
  <si>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</si>
  <si>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</si>
  <si>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</si>
  <si>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</si>
  <si>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</si>
  <si>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</si>
  <si>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</si>
  <si>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</si>
  <si>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</si>
  <si>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</si>
  <si>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</si>
  <si>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</si>
  <si>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</si>
  <si>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</si>
  <si>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</si>
  <si>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</si>
  <si>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</si>
  <si>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</si>
  <si>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</si>
  <si>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</si>
  <si>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</si>
  <si>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</si>
  <si>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</si>
  <si>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</si>
  <si>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</si>
  <si>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</si>
  <si>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</si>
  <si>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</si>
  <si>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</si>
  <si>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</si>
  <si>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</si>
  <si>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</si>
  <si>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</si>
  <si>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</si>
  <si>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</si>
  <si>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</si>
  <si>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</si>
  <si>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</si>
  <si>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</si>
  <si>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</si>
  <si>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</si>
  <si>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</si>
  <si>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</si>
  <si>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</si>
  <si>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</si>
  <si>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</si>
  <si>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</si>
  <si>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</si>
  <si>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</si>
  <si>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</si>
  <si>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</si>
  <si>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</si>
  <si>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</si>
  <si>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</si>
  <si>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</si>
  <si>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</si>
  <si>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</si>
  <si>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</si>
  <si>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</si>
  <si>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</si>
  <si>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</si>
  <si>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</si>
  <si>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</si>
  <si>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</si>
  <si>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</si>
  <si>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</si>
  <si>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</si>
  <si>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</si>
  <si>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</si>
  <si>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</si>
  <si>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</si>
  <si>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</si>
  <si>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</si>
  <si>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</si>
  <si>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</si>
  <si>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</si>
  <si>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</si>
  <si>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</si>
  <si>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</si>
  <si>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</si>
  <si>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</si>
  <si>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</si>
  <si>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</si>
  <si>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</si>
  <si>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</si>
  <si>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</si>
  <si>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</si>
  <si>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</si>
  <si>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</si>
  <si>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</si>
  <si>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</si>
  <si>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</si>
  <si>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</si>
  <si>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</si>
  <si>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</si>
  <si>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</si>
  <si>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</si>
  <si>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</si>
  <si>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</si>
  <si>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</si>
  <si>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</si>
  <si>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</si>
  <si>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</si>
  <si>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</si>
  <si>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</si>
  <si>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</si>
  <si>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</si>
  <si>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</si>
  <si>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</si>
  <si>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</si>
  <si>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</si>
  <si>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</si>
  <si>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</si>
  <si>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</si>
  <si>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</si>
  <si>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</si>
  <si>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</si>
  <si>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</si>
  <si>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</si>
  <si>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MstInvCpsSuppliers</t>
  </si>
  <si>
    <t>CpsSuppliers</t>
  </si>
  <si>
    <t>nvarchar(255)</t>
  </si>
  <si>
    <t>nvarchar(50)</t>
  </si>
  <si>
    <t>DateTime</t>
  </si>
  <si>
    <t>Date</t>
  </si>
  <si>
    <t>Cps Suppliers</t>
  </si>
  <si>
    <t>CPS</t>
  </si>
  <si>
    <t>Cps</t>
  </si>
  <si>
    <t>InvCps</t>
  </si>
  <si>
    <t>Supplier_Name</t>
  </si>
  <si>
    <t>Supplier_Number</t>
  </si>
  <si>
    <t>VatRegistration_Num</t>
  </si>
  <si>
    <t>VatRegistration_Invoice</t>
  </si>
  <si>
    <t>Tax_Payer_Id</t>
  </si>
  <si>
    <t>Registry_Id</t>
  </si>
  <si>
    <t>Start_Date_Active</t>
  </si>
  <si>
    <t>End_Date_Active</t>
  </si>
  <si>
    <t>Master.Inventory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</si>
</sst>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52" zoomScaleNormal="100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  <c r="D51" t="s">
        <v>363</v>
      </c>
      <c r="F51" s="1" t="s">
        <v>364</v>
      </c>
      <c r="G51" t="s">
        <v>365</v>
      </c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[Table("MstInvCpsSuppliers")]
	public class MstInvCpsSuppliers: FullAuditedEntity&lt;long&gt;, IEntity&lt;long&gt;	
	{
		public const int MaxSupplierNameLength = 255;
		public const int MaxSupplierNumberLength = 50;
		public const int MaxVatregistrationNumLength = 255;
		public const int MaxVatregistrationInvoiceLength = 255;
		public const int MaxTaxPayerIdLength = 255;
		public const int MaxIsActiveLength = 1;
		[StringLength(MaxSupplierNameLength)]
		public virtual string SupplierName { get; set; }
		[StringLength(MaxSupplierNumberLength)]
		public virtual string SupplierNumber { get; set; }
		[StringLength(MaxVatregistrationNumLength)]
		public virtual string VatregistrationNum { get; set; }
		[StringLength(MaxVatregistrationInvoiceLength)]
		public virtual string VatregistrationInvoice { get; set; }
		[StringLength(MaxTaxPayerIdLength)]
		public virtual string TaxPayerId { get; set; }
		public virtual long? RegistryId { get; set; }
		[Column(TypeName="Date")]
		public virtual DateTime? StartDateActive { get; set; }
		[Column(TypeName="Date")]
		public virtual DateTime? EndDateActive { get; set; }
		[StringLength(MaxIsActiveLength)]
		public virtual string IsActive { get; set; }
	}
}
</v>
      </c>
      <c r="D68" s="48" t="str">
        <f>A.Backend!O7</f>
        <v xml:space="preserve">		public const string Pages_Master_Inventory_CpsSuppliers = "Pages.Master.Inventory.CpsSuppliers";
		public const string Pages_Master_Inventory_CpsSuppliers_CreateEdit = "Pages.Master.Inventory.CpsSuppliers.CreateEdit";
		public const string Pages_Master_Inventory_CpsSuppliers_Delete = "Pages.Master.Inventory.CpsSuppliers.Delete";
</v>
      </c>
      <c r="E68" s="48" t="str">
        <f>A.Backend!N7</f>
        <v xml:space="preserve">		var perMstInvCpsSuppliers = PARENTS.CreateChildPermission(AppPermissions.Pages_Master_Inventory_CpsSuppliers, L( "MasterInventoryCpsSuppliers"), multiTenancySides: MultiTenancySides.Tenant);
		perMstInvCpsSuppliers.CreateChildPermission(AppPermissions.Pages_Master_Inventory_CpsSuppliers_CreateEdit, L( "MasterInventoryCpsSuppliersCreateEdit"), multiTenancySides: MultiTenancySides.Tenant);
		perMstInvCpsSuppliers.CreateChildPermission(AppPermissions.Pages_Master_Inventory_CpsSuppliers_Delete, L( "MasterInventoryCpsSuppliersDelete"), multiTenancySides: MultiTenancySides.Tenant);</v>
      </c>
      <c r="F68" s="48" t="str">
        <f>A.Backend!K7</f>
        <v>public virtual DbSet&lt;MstInvCpsSuppliers&gt; MstInvCpsSupplierss { get; set; }</v>
      </c>
      <c r="G68" s="48" t="str">
        <f ca="1">A.Backend!L7</f>
        <v xml:space="preserve">namespace prod.Master.Inventory
{
	public class MstInvCpsSuppliersConsts	
	{
		public const int MaxSupplierNameLength = 255;
		public const int MaxSupplierNumberLength = 50;
		public const int MaxVatregistrationNumLength = 255;
		public const int MaxVatregistrationInvoiceLength = 255;
		public const int MaxTaxPayerIdLength = 255;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prod.Master.Inventory.Dto
{
	public class MstInvCpsSuppliersDto : EntityDto&lt;long?&gt;	
	{
		public virtual string SupplierName { get; set; }
		public virtual string SupplierNumber { get; set; }
		public virtual string VatregistrationNum { get; set; }
		public virtual string VatregistrationInvoice { get; set; }
		public virtual string TaxPayerId { get; set; }
		public virtual long? RegistryId { get; set; }
		public virtual DateTime? StartDateActive { get; set; }
		public virtual DateTime? EndDateActive { get; set; }
		public virtual string IsActive { get; set; }
	}
	public class CreateOrEditMstInvCpsSuppliersDto : EntityDto&lt;long?&gt;	
	{
		[StringLength(MstInvCpsSuppliersConsts.MaxSupplierNameLength)]
		public virtual string SupplierName { get; set; }
		[StringLength(MstInvCpsSuppliersConsts.MaxSupplierNumberLength)]
		public virtual string SupplierNumber { get; set; }
		[StringLength(MstInvCpsSuppliersConsts.MaxVatregistrationNumLength)]
		public virtual string VatregistrationNum { get; set; }
		[StringLength(MstInvCpsSuppliersConsts.MaxVatregistrationInvoiceLength)]
		public virtual string VatregistrationInvoice { get; set; }
		[StringLength(MstInvCpsSuppliersConsts.MaxTaxPayerIdLength)]
		public virtual string TaxPayerId { get; set; }
		public virtual long? RegistryId { get; set; }
		public virtual DateTime? StartDateActive { get; set; }
		public virtual DateTime? EndDateActive { get; set; }
		[StringLength(MstInvCpsSuppliersConsts.MaxIsActiveLength)]
		public virtual string IsActive { get; set; }
	}
	public class GetMstInvCpsSuppliersInput : PagedAndSortedResultRequestDto	
	{
		public virtual string SupplierName { get; set; }
		public virtual string SupplierNumber { get; set; }
		public virtual string VatregistrationNum { get; set; }
		public virtual string VatregistrationInvoice { get; set; }
		public virtual string TaxPayerId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prod.Master.Inventory.Dto
{
	public class MstInvCpsSuppliersExportInput{
		public virtual string SupplierName { get; set; }
		public virtual string SupplierNumber { get; set; }
		public virtual string VatregistrationNum { get; set; }
		public virtual string VatregistrationInvoice { get; set; }
		public virtual string TaxPayerId { get; set; }
		public virtual long? RegistryId { get; set; }
		public virtual DateTime? StartDateActive { get; set; }
		public virtual DateTime? EndDateActive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IMstInvCpsSuppliersAppService : IApplicationService
	{
		Task&lt;PagedResultDto&lt;MstInvCpsSuppliersDto&gt;&gt; GetAll(GetMstInvCpsSuppliersInput input);
		Task CreateOrEdit(CreateOrEditMstInvCpsSuppliersDto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IMstInvCpsSuppliersExcelExporter : IApplicationService
	{
		FileDto ExportToFile(List&lt;MstInvCpsSuppliersDto&gt; mstinvcpssuppliers);
	}
}
</v>
      </c>
      <c r="L68" s="48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MstInvCpsSuppliersExcelExporter : NpoiExcelExporterBase, IMstInvCpsSuppliersExcelExporter
    {
        public MstInvCpsSuppliersExcelExporter(ITempFileCacheManager tempFileCacheManager) : base(tempFileCacheManager) { }
        public FileDto ExportToFile(List&lt;MstInvCpsSuppliersDto&gt; cpssuppliers)
        {
            return CreateExcelPackage(
				"MasterInventoryCpsSuppliers.xlsx",
				excelPackage =&gt;
				 {
					var sheet = excelPackage.CreateSheet("CpsSuppliers");
					AddHeader(
								sheet,
								("SupplierName"),
								("SupplierNumber"),
								("VatregistrationNum"),
								("VatregistrationInvoice"),
								("TaxPayerId"),
								("RegistryId"),
								("StartDateActive"),
								("EndDateActive"),
								("IsActive"),
							   );
					AddObjects(
						 sheet, 1, cpssuppliers,                                       
								_ =&gt; _.SupplierName,
								_ =&gt; _.SupplierNumber,
								_ =&gt; _.VatregistrationNum,
								_ =&gt; _.VatregistrationInvoice,
								_ =&gt; _.TaxPayerId,
								_ =&gt; _.RegistryId,
								_ =&gt; _.StartDateActive,
								_ =&gt; _.EndDateActive,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[AbpAuthorize(AppPermissions.Pages_Master_Inventory_CpsSuppliers)]
    public class MstInvCpsSuppliersAppService : vovinaAppServiceBase, IMstInvCpsSuppliersAppService
    {
        private readonly IDapperRepository&lt;MstInvCpsSuppliers, long&gt; _dapperRepo;
        private readonly IRepository&lt;MstInvCpsSuppliers, long&gt; _repo;
        private readonly IMstInvCpsSuppliersExcelExporter _calendarListExcelExporter;
        public MstInvCpsSuppliersAppService(IRepository&lt;MstInvCpsSuppliers,long&gt; repo, 
                                         IDapperRepository&lt;MstInvCpsSuppliers,long&gt; dapperRepo,
                                        IMstInvCpsSuppliersExcelExporter calendarListExcelExporter
            )
        {
            _repo = repo;
            _dapperRepo = dapperRepo;
            _calendarListExcelExporter = calendarListExcelExporter;
        }
        [AbpAuthorize(AppPermissions.Pages_Master_Inventory_CpsSuppliers_CreateEdit)]
        public async Task CreateOrEdit(CreateOrEditMstInvCpsSuppliersDto input)
        {
            if (input.Id == null) await Create(input);
            else await Update(input);
        }
        //CREATE
        private async Task Create(CreateOrEditMstInvCpsSuppliersDto input)
        {          
            var mainObj = ObjectMapper.Map&lt;MstInvCpsSuppliers&gt;(input);
            await CurrentUnitOfWork.GetDbContext&lt;vovinaDbContext&gt;().AddAsync(mainObj);
        }
        // EDIT
        private async Task Update(CreateOrEditMstInvCpsSuppliersDto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[AbpAuthorize(AppPermissions.Pages_Master_Inventory_CpsSuppliers_Delete)]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Task&lt;PagedResultDto&lt;MstInvCpsSuppliersDto&gt;&gt; GetAll(GetMstInvCpsSuppliersInput input)
        {
            var filtered = _repo.GetAll()
				.WhereIf(!string.IsNullOrWhiteSpace(input.SupplierName), e =&gt; e.SupplierName.Contains(input.SupplierName))
				.WhereIf(!string.IsNullOrWhiteSpace(input.SupplierNumber), e =&gt; e.SupplierNumber.Contains(input.SupplierNumber))
				.WhereIf(!string.IsNullOrWhiteSpace(input.VatregistrationNum), e =&gt; e.VatregistrationNum.Contains(input.VatregistrationNum))
				.WhereIf(!string.IsNullOrWhiteSpace(input.VatregistrationInvoice), e =&gt; e.VatregistrationInvoice.Contains(input.VatregistrationInvoice))
				.WhereIf(!string.IsNullOrWhiteSpace(input.TaxPayerId), e =&gt; e.TaxPayerId.Contains(input.TaxPayerId))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MstInvCpsSuppliersDto
                        {
							Id = o.Id,
							SupplierName = o.SupplierName,
							SupplierNumber = o.SupplierNumber,
							VatregistrationNum = o.VatregistrationNum,
							VatregistrationInvoice = o.VatregistrationInvoice,
							TaxPayerId = o.TaxPayerId,
							RegistryId = o.RegistryId,
							StartDateActive = o.StartDateActive,
							EndDateActive = o.EndDateActive,
							IsActive = o.IsActive,
                        };
            var totalCount = await filtered.CountAsync();
			var paged = system.PageBy(input);
            return new PagedResultDto&lt;MstInvCpsSuppliersDto&gt;(
                totalCount,
                 await paged.ToListAsync()
            );
        }
        public async Task&lt;FileDto&gt; GetCpsSuppliersToExcel(MstInvCpsSuppliersExportInput input)
        {
            var query = from o in _repo.GetAll()
                        select new MstInvCpsSuppliersDto
                        {
							Id = o.Id,
							SupplierName = o.SupplierName,
							SupplierNumber = o.SupplierNumber,
							VatregistrationNum = o.VatregistrationNum,
							VatregistrationInvoice = o.VatregistrationInvoice,
							TaxPayerId = o.TaxPayerId,
							RegistryId = o.RegistryId,
							StartDateActive = o.StartDateActive,
							EndDateActive = o.EndDateActive,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_dapperRepo.ExecuteAsync(MstInvCpsSuppliersConsts.SP_MST_WPT_CALENDAR_GENERATE);
       // }
    }
}</v>
      </c>
      <c r="N68" s="58" t="str">
        <f>A.Backend!U7</f>
        <v xml:space="preserve">  configuration.CreateMap&lt;MstInvCpsSuppliersDto, MstInvCpsSuppliers&gt;();
  configuration.CreateMap&lt;MstInvCpsSuppliers, MstInvCpsSuppliersDto&gt;();
  configuration.CreateMap&lt;CreateOrEditMstInvCpsSuppliersDto, MstInvCpsSuppliers&gt;();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cpssuppliers</v>
      </c>
      <c r="C73" s="66" t="str">
        <f>"create folder " &amp;B73</f>
        <v>create folder cpssuppliers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cpssuppliers.component.ts</v>
      </c>
      <c r="D74" s="28" t="str">
        <f>B.Frontend!I14</f>
        <v>cpssuppliers.component.html</v>
      </c>
      <c r="E74" s="28" t="str">
        <f>B.Frontend!J14</f>
        <v>cpssuppliers.component.less</v>
      </c>
      <c r="F74" s="28" t="str">
        <f>B.Frontend!K14</f>
        <v>create-or-edit-cpssuppliers-modal.component.html</v>
      </c>
      <c r="G74" s="28" t="str">
        <f>B.Frontend!L14</f>
        <v>create-or-edit-cpssuppliers-modal.component.ts</v>
      </c>
      <c r="H74" s="28" t="str">
        <f>B.Frontend!M14</f>
        <v>create-or-edit-cpssuppliers-modal.component.less</v>
      </c>
      <c r="I74" s="28" t="str">
        <f>B.Frontend!N14</f>
        <v>cpssuppliers.module.ts</v>
      </c>
      <c r="J74" s="28" t="str">
        <f>B.Frontend!O14</f>
        <v>cpssuppliers-routing.module.ts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MstInvCpsSuppliersDto, MstInvCpsSuppliersServiceProxy } from '@shared/service-proxies/service-proxies';
import { finalize } from 'rxjs/internal/operators/finalize';
import { CreateOrEditCpsSuppliersModalComponent } from './create-or-edit-cpssuppliers-modal.component';
import { DatePipe } from '@angular/common';
import { FileDownloadService } from '@shared/utils/file-download.service';
import ceil from 'lodash-es/ceil';
import { Paginator } from 'primeng/paginator';
@Component({
    templateUrl: './cpssuppliers.component.html',
    styleUrls: ['./cpssuppliers.component.less'],
})
export class CpsSuppliersComponent extends AppComponentBase implements OnInit {
    @ViewChild('createOrEditModalCpsSuppliers', { static: true }) createOrEditModalCpsSuppliers:| CreateOrEditCpsSuppliersModalComponent|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MstInvCpsSuppliersDto = new MstInvCpsSuppliersDto();
    saveSelectedRow: MstInvCpsSuppliersDto = new MstInvCpsSuppliersDto();
    datas: MstInvCpsSuppliersDto = new MstInvCpsSuppliersDto();
    isLoading: boolean = false;
    dataParams: GridParams | undefined;
    rowData: any[] = [];
    gridApi!: GridApi;
    rowSelection = 'multiple';
    filter: string = '';
	pipe = new DatePipe('en-US');
	frameworkComponents: FrameworkComponent;
    	supplierName : string = '' ; 
	supplierNumber : string = '' ; 
	vatregistrationNum : string = '' ; 
	vatregistrationInvoice : string = '' ; 
	taxPayerId : string = '' ; 
	startDateActive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MstInvCpsSuppliersServiceProxy,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Name'),headerTooltip: this.l('Supplier Name'),field: 'supplierName',flex: 1},
			{headerName: this.l('Supplier Number'),headerTooltip: this.l('Supplier Number'),field: 'supplierNumber',flex: 1},
			{headerName: this.l('Vatregistration Num'),headerTooltip: this.l('Vatregistration Num'),field: 'vatregistrationNum',flex: 1},
			{headerName: this.l('Vatregistration Invoice'),headerTooltip: this.l('Vatregistration Invoice'),field: 'vatregistrationInvoice',flex: 1},
			{headerName: this.l('Tax Payer Id'),headerTooltip: this.l('Tax Payer Id'),field: 'taxPayerId',flex: 1},
			{headerName: this.l('Registry Id'),headerTooltip: this.l('Registry Id'),field: 'registryId',flex: 1},
			{headerName: this.l('Start Date Active'),headerTooltip: this.l('Start Date Active'),field: 'startDateActive',flex: 1},
			{headerName: this.l('End Date Active'),headerTooltip: this.l('End Date Active'),field: 'endDateActive',flex: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this.supplierName,
			this.supplierNumber,
			this.vatregistrationNum,
			this.supplierNumber,
			this.vatregistrationInvoice,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supplierName : string = '' ; 
	supplierNumber : string = '' ; 
	vatregistrationNum : string = '' ; 
	vatregistrationInvoice : string = '' ; 
	taxPayerId : string = '' ; 
	startDateActive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this.supplierName,
			this.supplierNumber,
			this.vatregistrationNum,
			this.supplierNumber,
			this.vatregistrationInvoice,
			'',
            this.paginationParams.skipCount,
            this.paginationParams.pageSize
        );
    }
    onChangeRowSelection(params: { api: { getSelectedRows: () =&gt; MstInvCpsSuppliersDto[] } }) {
        this.saveSelectedRow = params.api.getSelectedRows()[0] ?? new MstInvCpsSuppliersDto();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MstInvCpsSuppliersDto):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this._service.getCpsSuppliersToExcel(
			this.,
			this.supplierName,
			this.supplierNumber,
			this.vatregistrationNum,
			this.supplierNumber,
			this.vatregistrationInvoice,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Suppliers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[(ngModel)]='supplierNumber' name='supplierNumber'
									class='form-control' [placeholder]="l('Supplier Number')"
									type='text' (keyup.enter)='searchDatas()'&gt;
								&lt;/div&gt;
								&lt;div class='input-search'&gt;
									&lt;input [(ngModel)]='vatregistrationNum' name='vatregistrationNum'
									class='form-control' [placeholder]="l('Vatregistration Num')"
									type='text' (keyup.enter)='searchDatas()'&gt;
								&lt;/div&gt;
								&lt;div class='input-search'&gt;
									&lt;input [(ngModel)]='vatregistrationInvoice' name='vatregistrationInvoice'
									class='form-control' [placeholder]="l('Vatregistration Invoice')"
									type='text' (keyup.enter)='searchDatas()'&gt;
								&lt;/div&gt;
								&lt;div class='input-search'&gt;
									&lt;input [(ngModel)]='taxPayerId' name='taxPayerId'
									class='form-control' [placeholder]="l('Tax Payer Id')"
									type='text' (keyup.enter)='searchDatas()'&gt;
								&lt;/div&gt;
								&lt;div class='input-search'&gt;
									&lt;input [(ngModel)]='startDateActive' name='startDateActive'
									class='form-control' [placeholder]="l('Start Date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(click)="createOrEditModalCpsSuppliers.show()"&gt;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(click)="createOrEditModalCpsSuppliers.show(selectedRow)"&gt;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&lt;create-or-edit-cpssuppliers-modal
    #createOrEditModalCpsSuppliers
    (modalSave)="callBackDataGrid(dataParams)"
    (modalClose)="onChangeRowSelection(dataParams)"
&gt;
&lt;/create-or-edit-cpssuppliers-modal&gt;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#createOrEditModalCpsSuppliers="bs-modal"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CpsSuppliers')}}&lt;/h3&gt;
                    &lt;h3 *ngIf="!rowdata.id"&gt;{{('Create New CpsSuppliers')}}&lt;/h3&gt;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title'&gt;Supplier Number&lt;/label&gt;
						&lt;input type='text' class='col-md-10 form-control input-text' name='SupplierNumber' [(ngModel)]='rowdata.supplierNumber'&gt;
					&lt;/div&gt;
					&lt;div class='col-md-12 form-group row'&gt;
						&lt;label class='col-md-2 form-control title'&gt;Vatregistration Num&lt;/label&gt;
						&lt;input type='text' class='col-md-10 form-control input-text' name='VatregistrationNum' [(ngModel)]='rowdata.vatregistrationNum'&gt;
					&lt;/div&gt;
					&lt;div class='col-md-12 form-group row'&gt;
						&lt;label class='col-md-2 form-control title'&gt;Vatregistration Invoice&lt;/label&gt;
						&lt;input type='text' class='col-md-10 form-control input-text' name='VatregistrationInvoice' [(ngModel)]='rowdata.vatregistrationInvoice'&gt;
					&lt;/div&gt;
					&lt;div class='col-md-12 form-group row'&gt;
						&lt;label class='col-md-2 form-control title'&gt;Tax Payer Id&lt;/label&gt;
						&lt;input type='text' class='col-md-10 form-control input-text' name='TaxPayerId' [(ngModel)]='rowdata.taxPayerId'&gt;
					&lt;/div&gt;
					&lt;div class='col-md-12 form-group row'&gt;
						&lt;label class='col-md-2 form-control title'&gt;Registry Id&lt;/label&gt;
						&lt;input type='number' class='col-md-10 form-control input-text' name='RegistryId' [(ngModel)]='rowdata.registryId'&gt;
					&lt;/div&gt;
					&lt;div class='col-md-12 form-group row'&gt;
						&lt;label class='col-md-2 form-control title'&gt;Start Date Active&lt;/label&gt;
						&lt;input type='text' class='col-md-10 form-control input-text' name='StartDateActive' [(ngModel)]='rowdata.startDateActive'&gt;
					&lt;/div&gt;
					&lt;div class='col-md-12 form-group row'&gt;
						&lt;label class='col-md-2 form-control title'&gt;End Date Active&lt;/label&gt;
						&lt;input type='text' class='col-md-10 form-control input-text' name='endDateActive' 
						#datepicker='bsDatepicker' [(ngModel)]='rowdata.endDateActive'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CreateOrEditMstInvCpsSuppliersDto, MstInvCpsSuppliersServiceProxy } from '@shared/service-proxies/service-proxies';
import { BsDatepickerDirective } from 'ngx-bootstrap/datepicker';
@Component({
    selector: 'create-or-edit-cpssuppliers-modal',
    templateUrl: './create-or-edit-cpssuppliers-modal.component.html',
    styleUrls: ['./create-or-edit-cpssuppliers-modal.component.less']
    })
export class CreateOrEditCpsSuppliersModalComponent extends AppComponentBase {
    @ViewChild('createOrEditModalCpsSuppliers',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CreateOrEditMstInvCpsSuppliersDto = new CreateOrEditMstInvCpsSuppliersDto();
    active: boolean = false;
    saving: boolean = false;
    _isActive: boolean;
    constructor(
        injector: Injector,
        private _mstwptCpsSuppliersService: MstInvCpsSuppliersServiceProxy,
    ) 
    {
        super(injector);
    }
    show(rowdata?: CreateOrEditMstInvCpsSuppliersDto): void {
        if (!rowdata) this.rowdata = new CreateOrEditMstInvCpsSuppliersDto();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this._mstwptCpsSuppliersService.createOrEdit(this.rowdata)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CpsSuppliersRoutingModule } from './cpssuppliers-routing.module';
import { CpsSuppliersComponent } from './cpssuppliers.component';
import { CreateOrEditCpsSuppliersModalComponent } from './create-or-edit-cpssuppliers-modal.component';
@NgModule({
    declarations: [
       CpsSuppliersComponent, 
        CreateOrEditCpsSuppliersModalComponent
    ],
    imports: [
        AppSharedModule, CpsSuppliersRoutingModule]
})
export class CpsSuppliersModule {}</v>
      </c>
      <c r="J75" s="46" t="str">
        <f>B.Frontend!O10</f>
        <v>import {NgModule} from '@angular/core';
import {RouterModule, Routes} from '@angular/router';
import { CpsSuppliersComponent } from './cpssuppliers.component';
const routes: Routes = [{
    path: '',
    component: CpsSuppliersComponent,
    pathMatch: 'full'
}];
@NgModule({
    imports: [RouterModule.forChild(routes)],
    exports: [RouterModule],
})
export class CpsSuppliersRoutingModule {}</v>
      </c>
      <c r="K75" s="46" t="str">
        <f>B.Frontend!P10</f>
        <v xml:space="preserve"> new AppMenuItem("CpsSuppliers", "Pages.Master.Inventory.CpsSuppliers", "flaticon-book",   "/app/main/master/inventory/cpssuppliers"),</v>
      </c>
      <c r="L75" s="47" t="str">
        <f>B.Frontend!Q10</f>
        <v>{
    path: 'master/inventory/cpssuppliers',
    loadChildren: () =&gt; import('./master/inventory/cpssuppliers/cpssuppliers.module').then(m =&gt; m.CpsSuppliersModule),
    data: { permission: 'Pages.Master.Inventory.CpsSuppliers' }
},</v>
      </c>
      <c r="M75" s="45" t="str">
        <f>B.Frontend!R10</f>
        <v>ApiServiceProxies.MstInvCpsSuppliersServiceProxy,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tabSelected="1" workbookViewId="0">
      <pane xSplit="1" topLeftCell="B1" activePane="topRight" state="frozen"/>
      <selection pane="topRight" activeCell="B7" sqref="B7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374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356</v>
      </c>
      <c r="C3" s="9" t="s">
        <v>40</v>
      </c>
      <c r="D3" s="9" t="s">
        <v>41</v>
      </c>
      <c r="E3" s="9" t="s">
        <v>36</v>
      </c>
      <c r="F3" s="10" t="str">
        <f>"J"&amp;COUNTA($A:$A)</f>
        <v>J17</v>
      </c>
      <c r="G3" s="4" t="s">
        <v>53</v>
      </c>
      <c r="H3" s="9" t="str">
        <f>"I"&amp;COUNTA($A:$A)</f>
        <v>I17</v>
      </c>
      <c r="I3" s="9" t="str">
        <f>REPT(CHAR(9),2)&amp;"[Required]"&amp;"
"</f>
        <v xml:space="preserve">		[Required]
</v>
      </c>
      <c r="J3" s="10" t="str">
        <f>"L"&amp;COUNTA($A:$A)</f>
        <v>L17</v>
      </c>
      <c r="K3" s="5" t="s">
        <v>52</v>
      </c>
      <c r="L3" s="10" t="str">
        <f>"M"&amp;COUNTA($A:$A)</f>
        <v>M17</v>
      </c>
      <c r="M3" s="10" t="str">
        <f>"N"&amp;COUNTA($A:$A)</f>
        <v>N17</v>
      </c>
      <c r="N3" s="10" t="str">
        <f>"O"&amp;COUNTA($A:$A)</f>
        <v>O17</v>
      </c>
      <c r="O3" s="10" t="str">
        <f>"P"&amp;COUNTA($A:$A)</f>
        <v>P17</v>
      </c>
      <c r="Q3" s="10" t="str">
        <f>RIGHT(B2,(LEN(B2)-FIND(".",B2,1)))</f>
        <v>Inventory</v>
      </c>
      <c r="R3" s="29" t="str">
        <f>REPT(CHAR(9),1)&amp;"public class "&amp;B3&amp;"ExportInput"&amp;C3</f>
        <v xml:space="preserve">	public class MstInvCpsSuppliersExportInput{
</v>
      </c>
      <c r="S3" s="10" t="str">
        <f>"namespace "&amp;$B$6&amp;".Exporting
"&amp;$C$3</f>
        <v xml:space="preserve">namespace prod.Master.Inventory.Exporting
{
</v>
      </c>
      <c r="T3" s="10" t="str">
        <f>"T"&amp;COUNTA($A:$A)</f>
        <v>T17</v>
      </c>
      <c r="V3" s="10" t="str">
        <f>"V"&amp;COUNTA($A:$A)</f>
        <v>V17</v>
      </c>
      <c r="W3" s="9" t="str">
        <f>"W"&amp;COUNTA($A:$A)</f>
        <v>W17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357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prod.Master.Inventory</v>
      </c>
      <c r="C6" s="10" t="str">
        <f>"namespace "&amp;$B$6&amp;"
"&amp;$C$3</f>
        <v xml:space="preserve">namespace prod.Master.Inventory
{
</v>
      </c>
      <c r="D6" s="10" t="str">
        <f>REPT(CHAR(9),1)&amp;"public class "&amp;B3&amp;G3&amp;REPT(CHAR(9),1)&amp;"
"&amp;REPT(CHAR(9),1)&amp;C3</f>
        <v xml:space="preserve">	public class MstInvCpsSuppliers: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MstInvCpsSuppliersConsts	
	{
</v>
      </c>
      <c r="F6" s="10" t="str">
        <f>REPT(CHAR(9),1)&amp;"public class "&amp;B3&amp;"Dto"&amp;K3&amp;REPT(CHAR(9),1)&amp;"
"&amp;REPT(CHAR(9),1)&amp;C3</f>
        <v xml:space="preserve">	public class MstInvCpsSuppliersDto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CreateOrEditMstInvCpsSuppliersDto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GetMstInvCpsSuppliersInput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MstInvCpsSuppliers</v>
      </c>
      <c r="C7" s="10" t="str">
        <f>REPT(CHAR(9),1)&amp;"[Table("""&amp;B7&amp;""")]"&amp;"
"</f>
        <v xml:space="preserve">	[Table("MstInvCpsSuppliers")]
</v>
      </c>
      <c r="D7" s="10"/>
      <c r="E7" s="10"/>
      <c r="F7" s="10"/>
      <c r="G7" s="10"/>
      <c r="H7" s="10"/>
      <c r="I7" s="10"/>
      <c r="J7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[Table("MstInvCpsSuppliers")]
	public class MstInvCpsSuppliers: FullAuditedEntity&lt;long&gt;, IEntity&lt;long&gt;	
	{
		public const int MaxSupplierNameLength = 255;
		public const int MaxSupplierNumberLength = 50;
		public const int MaxVatregistrationNumLength = 255;
		public const int MaxVatregistrationInvoiceLength = 255;
		public const int MaxTaxPayerIdLength = 255;
		public const int MaxIsActiveLength = 1;
		[StringLength(MaxSupplierNameLength)]
		public virtual string SupplierName { get; set; }
		[StringLength(MaxSupplierNumberLength)]
		public virtual string SupplierNumber { get; set; }
		[StringLength(MaxVatregistrationNumLength)]
		public virtual string VatregistrationNum { get; set; }
		[StringLength(MaxVatregistrationInvoiceLength)]
		public virtual string VatregistrationInvoice { get; set; }
		[StringLength(MaxTaxPayerIdLength)]
		public virtual string TaxPayerId { get; set; }
		public virtual long? RegistryId { get; set; }
		[Column(TypeName="Date")]
		public virtual DateTime? StartDateActive { get; set; }
		[Column(TypeName="Date")]
		public virtual DateTime? EndDateActive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DbSet&lt;MstInvCpsSuppliers&gt; MstInvCpsSupplierss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MstInvCpsSuppliersConsts	
	{
		public const int MaxSupplierNameLength = 255;
		public const int MaxSupplierNumberLength = 50;
		public const int MaxVatregistrationNumLength = 255;
		public const int MaxVatregistrationInvoiceLength = 255;
		public const int MaxTaxPayerIdLength = 255;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prod.Master.Inventory.Dto
{
	public class MstInvCpsSuppliersDto : EntityDto&lt;long?&gt;	
	{
		public virtual string SupplierName { get; set; }
		public virtual string SupplierNumber { get; set; }
		public virtual string VatregistrationNum { get; set; }
		public virtual string VatregistrationInvoice { get; set; }
		public virtual string TaxPayerId { get; set; }
		public virtual long? RegistryId { get; set; }
		public virtual DateTime? StartDateActive { get; set; }
		public virtual DateTime? EndDateActive { get; set; }
		public virtual string IsActive { get; set; }
	}
	public class CreateOrEditMstInvCpsSuppliersDto : EntityDto&lt;long?&gt;	
	{
		[StringLength(MstInvCpsSuppliersConsts.MaxSupplierNameLength)]
		public virtual string SupplierName { get; set; }
		[StringLength(MstInvCpsSuppliersConsts.MaxSupplierNumberLength)]
		public virtual string SupplierNumber { get; set; }
		[StringLength(MstInvCpsSuppliersConsts.MaxVatregistrationNumLength)]
		public virtual string VatregistrationNum { get; set; }
		[StringLength(MstInvCpsSuppliersConsts.MaxVatregistrationInvoiceLength)]
		public virtual string VatregistrationInvoice { get; set; }
		[StringLength(MstInvCpsSuppliersConsts.MaxTaxPayerIdLength)]
		public virtual string TaxPayerId { get; set; }
		public virtual long? RegistryId { get; set; }
		public virtual DateTime? StartDateActive { get; set; }
		public virtual DateTime? EndDateActive { get; set; }
		[StringLength(MstInvCpsSuppliersConsts.MaxIsActiveLength)]
		public virtual string IsActive { get; set; }
	}
	public class GetMstInvCpsSuppliersInput : PagedAndSortedResultRequestDto	
	{
		public virtual string SupplierName { get; set; }
		public virtual string SupplierNumber { get; set; }
		public virtual string VatregistrationNum { get; set; }
		public virtual string VatregistrationInvoice { get; set; }
		public virtual string TaxPayerId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perMstInvCpsSuppliers = PARENTS.CreateChildPermission(AppPermissions.Pages_Master_Inventory_CpsSuppliers, L( "MasterInventoryCpsSuppliers"), multiTenancySides: MultiTenancySides.Tenant);
		perMstInvCpsSuppliers.CreateChildPermission(AppPermissions.Pages_Master_Inventory_CpsSuppliers_CreateEdit, L( "MasterInventoryCpsSuppliersCreateEdit"), multiTenancySides: MultiTenancySides.Tenant);
		perMstInvCpsSuppliers.CreateChildPermission(AppPermissions.Pages_Master_Inventory_CpsSuppliers_Delete, L( "MasterInventoryCpsSuppliersDelete"),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Pages_Master_Inventory_CpsSuppliers = "Pages.Master.Inventory.CpsSuppliers";
		public const string Pages_Master_Inventory_CpsSuppliers_CreateEdit = "Pages.Master.Inventory.CpsSuppliers.CreateEdit";
		public const string Pages_Master_Inventory_CpsSuppliers_Delete = "Pages.Master.Inventory.CpsSuppliers.Delete";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IMstInvCpsSuppliersAppService : IApplicationService
	{
		Task&lt;PagedResultDto&lt;MstInvCpsSuppliersDto&gt;&gt; GetAll(GetMstInvCpsSuppliersInput input);
		Task CreateOrEdit(CreateOrEditMstInvCpsSuppliersDto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[AbpAuthorize(AppPermissions.Pages_Master_Inventory_CpsSuppliers)]
    public class MstInvCpsSuppliersAppService : vovinaAppServiceBase, IMstInvCpsSuppliersAppService
    {
        private readonly IDapperRepository&lt;MstInvCpsSuppliers, long&gt; _dapperRepo;
        private readonly IRepository&lt;MstInvCpsSuppliers, long&gt; _repo;
        private readonly IMstInvCpsSuppliersExcelExporter _calendarListExcelExporter;
        public MstInvCpsSuppliersAppService(IRepository&lt;MstInvCpsSuppliers,long&gt; repo, 
                                         IDapperRepository&lt;MstInvCpsSuppliers,long&gt; dapperRepo,
                                        IMstInvCpsSuppliersExcelExporter calendarListExcelExporter
            )
        {
            _repo = repo;
            _dapperRepo = dapperRepo;
            _calendarListExcelExporter = calendarListExcelExporter;
        }
        [AbpAuthorize(AppPermissions.Pages_Master_Inventory_CpsSuppliers_CreateEdit)]
        public async Task CreateOrEdit(CreateOrEditMstInvCpsSuppliersDto input)
        {
            if (input.Id == null) await Create(input);
            else await Update(input);
        }
        //CREATE
        private async Task Create(CreateOrEditMstInvCpsSuppliersDto input)
        {          
            var mainObj = ObjectMapper.Map&lt;MstInvCpsSuppliers&gt;(input);
            await CurrentUnitOfWork.GetDbContext&lt;vovinaDbContext&gt;().AddAsync(mainObj);
        }
        // EDIT
        private async Task Update(CreateOrEditMstInvCpsSuppliersDto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[AbpAuthorize(AppPermissions.Pages_Master_Inventory_CpsSuppliers_Delete)]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Task&lt;PagedResultDto&lt;MstInvCpsSuppliersDto&gt;&gt; GetAll(GetMstInvCpsSuppliersInput input)
        {
            var filtered = _repo.GetAll()
				.WhereIf(!string.IsNullOrWhiteSpace(input.SupplierName), e =&gt; e.SupplierName.Contains(input.SupplierName))
				.WhereIf(!string.IsNullOrWhiteSpace(input.SupplierNumber), e =&gt; e.SupplierNumber.Contains(input.SupplierNumber))
				.WhereIf(!string.IsNullOrWhiteSpace(input.VatregistrationNum), e =&gt; e.VatregistrationNum.Contains(input.VatregistrationNum))
				.WhereIf(!string.IsNullOrWhiteSpace(input.VatregistrationInvoice), e =&gt; e.VatregistrationInvoice.Contains(input.VatregistrationInvoice))
				.WhereIf(!string.IsNullOrWhiteSpace(input.TaxPayerId), e =&gt; e.TaxPayerId.Contains(input.TaxPayerId))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MstInvCpsSuppliersDto
                        {
							Id = o.Id,
							SupplierName = o.SupplierName,
							SupplierNumber = o.SupplierNumber,
							VatregistrationNum = o.VatregistrationNum,
							VatregistrationInvoice = o.VatregistrationInvoice,
							TaxPayerId = o.TaxPayerId,
							RegistryId = o.RegistryId,
							StartDateActive = o.StartDateActive,
							EndDateActive = o.EndDateActive,
							IsActive = o.IsActive,
                        };
            var totalCount = await filtered.CountAsync();
			var paged = system.PageBy(input);
            return new PagedResultDto&lt;MstInvCpsSuppliersDto&gt;(
                totalCount,
                 await paged.ToListAsync()
            );
        }
        public async Task&lt;FileDto&gt; GetCpsSuppliersToExcel(MstInvCpsSuppliersExportInput input)
        {
            var query = from o in _repo.GetAll()
                        select new MstInvCpsSuppliersDto
                        {
							Id = o.Id,
							SupplierName = o.SupplierName,
							SupplierNumber = o.SupplierNumber,
							VatregistrationNum = o.VatregistrationNum,
							VatregistrationInvoice = o.VatregistrationInvoice,
							TaxPayerId = o.TaxPayerId,
							RegistryId = o.RegistryId,
							StartDateActive = o.StartDateActive,
							EndDateActive = o.EndDateActive,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_dapperRepo.ExecuteAsync(MstInvCpsSuppliersConsts.SP_MST_WPT_CALENDAR_GENERATE);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prod.Master.Inventory.Dto
{
	public class MstInvCpsSuppliersExportInput{
		public virtual string SupplierName { get; set; }
		public virtual string SupplierNumber { get; set; }
		public virtual string VatregistrationNum { get; set; }
		public virtual string VatregistrationInvoice { get; set; }
		public virtual string TaxPayerId { get; set; }
		public virtual long? RegistryId { get; set; }
		public virtual DateTime? StartDateActive { get; set; }
		public virtual DateTime? EndDateActive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IMstInvCpsSuppliersExcelExporter : IApplicationService
	{
		FileDto ExportToFile(List&lt;MstInvCpsSuppliersDto&gt; mstinvcpssuppliers);
	}
}
</v>
      </c>
      <c r="T7" s="26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MstInvCpsSuppliersExcelExporter : NpoiExcelExporterBase, IMstInvCpsSuppliersExcelExporter
    {
        public MstInvCpsSuppliersExcelExporter(ITempFileCacheManager tempFileCacheManager) : base(tempFileCacheManager) { }
        public FileDto ExportToFile(List&lt;MstInvCpsSuppliersDto&gt; cpssuppliers)
        {
            return CreateExcelPackage(
				"MasterInventoryCpsSuppliers.xlsx",
				excelPackage =&gt;
				 {
					var sheet = excelPackage.CreateSheet("CpsSuppliers");
					AddHeader(
								sheet,
								("SupplierName"),
								("SupplierNumber"),
								("VatregistrationNum"),
								("VatregistrationInvoice"),
								("TaxPayerId"),
								("RegistryId"),
								("StartDateActive"),
								("EndDateActive"),
								("IsActive"),
							   );
					AddObjects(
						 sheet, 1, cpssuppliers,                                       
								_ =&gt; _.SupplierName,
								_ =&gt; _.SupplierNumber,
								_ =&gt; _.VatregistrationNum,
								_ =&gt; _.VatregistrationInvoice,
								_ =&gt; _.TaxPayerId,
								_ =&gt; _.RegistryId,
								_ =&gt; _.StartDateActive,
								_ =&gt; _.EndDateActive,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configuration.CreateMap&lt;MstInvCpsSuppliersDto, MstInvCpsSuppliers&gt;();
  configuration.CreateMap&lt;MstInvCpsSuppliers, MstInvCpsSuppliersDto&gt;();
  configuration.CreateMap&lt;CreateOrEditMstInvCpsSuppliersDto, MstInvCpsSuppliers&gt;();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366</v>
      </c>
      <c r="B9" s="28" t="s">
        <v>358</v>
      </c>
      <c r="C9" t="s">
        <v>1</v>
      </c>
      <c r="D9" t="str">
        <f t="shared" ref="D9" si="0">SUBSTITUTE(PROPER(A9),"_","")</f>
        <v>SupplierName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255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MaxSupplierNameLength = 255;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[StringLength(MaxSupplierNameLength)]
		public virtual string SupplierName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SupplierName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[StringLength(MstInvCpsSuppliersConsts.MaxSupplierNameLength)]
		public virtual string SupplierName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SupplierName { get; set; }
</v>
      </c>
      <c r="P9" t="str">
        <f t="shared" ref="P9" si="9">REPT(CHAR(9),7)&amp;D9&amp;" = o." &amp;D9 &amp;","</f>
        <v xml:space="preserve">							SupplierName = o.SupplierName,</v>
      </c>
      <c r="T9" s="63" t="str">
        <f t="shared" ref="T9" si="10">REPT(CHAR(9),8)&amp;"("""&amp;D9&amp;"""),"</f>
        <v xml:space="preserve">								("SupplierName"),</v>
      </c>
      <c r="V9" s="64" t="str">
        <f t="shared" ref="V9" si="11">REPT(CHAR(9),8)&amp;"_ =&gt; _."&amp;D9&amp;","</f>
        <v xml:space="preserve">								_ =&gt; _.SupplierName,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.WhereIf(!string.IsNullOrWhiteSpace(input.SupplierName), e =&gt; e.SupplierName.Contains(input.SupplierName))</v>
      </c>
    </row>
    <row r="10" spans="1:23" customFormat="1" ht="18.75" customHeight="1" x14ac:dyDescent="0.25">
      <c r="A10" s="28" t="s">
        <v>367</v>
      </c>
      <c r="B10" s="28" t="s">
        <v>359</v>
      </c>
      <c r="C10" t="s">
        <v>1</v>
      </c>
      <c r="D10" t="str">
        <f t="shared" ref="D10:D11" si="13">SUBSTITUTE(PROPER(A10),"_","")</f>
        <v>SupplierNumber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MaxSupplierNumberLength = 50;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[StringLength(MaxSupplierNumberLength)]
		public virtual string SupplierNumber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SupplierNumber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[StringLength(MstInvCpsSuppliersConsts.MaxSupplierNumberLength)]
		public virtual string SupplierNumber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SupplierNumber { get; set; }
</v>
      </c>
      <c r="P10" t="str">
        <f t="shared" ref="P10:P11" si="22">REPT(CHAR(9),7)&amp;D10&amp;" = o." &amp;D10 &amp;","</f>
        <v xml:space="preserve">							SupplierNumber = o.SupplierNumber,</v>
      </c>
      <c r="T10" s="63" t="str">
        <f t="shared" ref="T10:T11" si="23">REPT(CHAR(9),8)&amp;"("""&amp;D10&amp;"""),"</f>
        <v xml:space="preserve">								("SupplierNumber"),</v>
      </c>
      <c r="V10" s="64" t="str">
        <f t="shared" ref="V10:V11" si="24">REPT(CHAR(9),8)&amp;"_ =&gt; _."&amp;D10&amp;","</f>
        <v xml:space="preserve">								_ =&gt; _.SupplierNumber,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.WhereIf(!string.IsNullOrWhiteSpace(input.SupplierNumber), e =&gt; e.SupplierNumber.Contains(input.SupplierNumber))</v>
      </c>
    </row>
    <row r="11" spans="1:23" customFormat="1" ht="18.75" customHeight="1" x14ac:dyDescent="0.25">
      <c r="A11" s="28" t="s">
        <v>368</v>
      </c>
      <c r="B11" s="28" t="s">
        <v>358</v>
      </c>
      <c r="C11" t="s">
        <v>1</v>
      </c>
      <c r="D11" t="str">
        <f t="shared" si="13"/>
        <v>VatregistrationNum</v>
      </c>
      <c r="E11" t="str">
        <f t="shared" si="14"/>
        <v>nvarchar</v>
      </c>
      <c r="F11" s="6"/>
      <c r="G11" t="str">
        <f t="shared" si="15"/>
        <v>255</v>
      </c>
      <c r="H11" t="str">
        <f>+VLOOKUP(E11,'Data Type Mapping'!A:B,2,)</f>
        <v>string</v>
      </c>
      <c r="I11" t="str">
        <f t="shared" si="16"/>
        <v xml:space="preserve">		public const int MaxVatregistrationNumLength = 255;
</v>
      </c>
      <c r="J11" t="str">
        <f t="shared" si="17"/>
        <v xml:space="preserve">		[StringLength(MaxVatregistrationNumLength)]
		public virtual string VatregistrationNum { get; set; }
</v>
      </c>
      <c r="K11" s="6"/>
      <c r="L11" t="str">
        <f t="shared" si="18"/>
        <v/>
      </c>
      <c r="M11" t="str">
        <f t="shared" si="19"/>
        <v xml:space="preserve">		public virtual string VatregistrationNum { get; set; }
</v>
      </c>
      <c r="N11" t="str">
        <f t="shared" si="20"/>
        <v xml:space="preserve">		[StringLength(MstInvCpsSuppliersConsts.MaxVatregistrationNumLength)]
		public virtual string VatregistrationNum { get; set; }
</v>
      </c>
      <c r="O11" t="str">
        <f t="shared" si="21"/>
        <v xml:space="preserve">		public virtual string VatregistrationNum { get; set; }
</v>
      </c>
      <c r="P11" t="str">
        <f t="shared" si="22"/>
        <v xml:space="preserve">							VatregistrationNum = o.VatregistrationNum,</v>
      </c>
      <c r="T11" s="63" t="str">
        <f t="shared" si="23"/>
        <v xml:space="preserve">								("VatregistrationNum"),</v>
      </c>
      <c r="V11" s="64" t="str">
        <f t="shared" si="24"/>
        <v xml:space="preserve">								_ =&gt; _.VatregistrationNum,</v>
      </c>
      <c r="W11" s="63" t="str">
        <f t="shared" si="25"/>
        <v xml:space="preserve">				.WhereIf(!string.IsNullOrWhiteSpace(input.VatregistrationNum), e =&gt; e.VatregistrationNum.Contains(input.VatregistrationNum))</v>
      </c>
    </row>
    <row r="12" spans="1:23" customFormat="1" ht="18.75" customHeight="1" x14ac:dyDescent="0.25">
      <c r="A12" s="28" t="s">
        <v>369</v>
      </c>
      <c r="B12" s="28" t="s">
        <v>358</v>
      </c>
      <c r="C12" t="s">
        <v>1</v>
      </c>
      <c r="D12" t="str">
        <f t="shared" ref="D12:D15" si="26">SUBSTITUTE(PROPER(A12),"_","")</f>
        <v>VatregistrationInvoice</v>
      </c>
      <c r="E12" t="str">
        <f t="shared" ref="E12:E15" si="27">IFERROR(LEFT(B12, FIND("(",B12)-1),B12)</f>
        <v>nvarchar</v>
      </c>
      <c r="F12" s="6"/>
      <c r="G12" t="str">
        <f t="shared" ref="G12:G15" si="28">IFERROR(MID(B12,FIND("(",B12) +1, FIND(")",B12) - FIND("(",B12) - 1),"")</f>
        <v>255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MaxVatregistrationInvoiceLength = 255;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[StringLength(MaxVatregistrationInvoiceLength)]
		public virtual string VatregistrationInvoice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VatregistrationInvoice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[StringLength(MstInvCpsSuppliersConsts.MaxVatregistrationInvoiceLength)]
		public virtual string VatregistrationInvoice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VatregistrationInvoice { get; set; }
</v>
      </c>
      <c r="P12" t="str">
        <f t="shared" ref="P12:P15" si="35">REPT(CHAR(9),7)&amp;D12&amp;" = o." &amp;D12 &amp;","</f>
        <v xml:space="preserve">							VatregistrationInvoice = o.VatregistrationInvoice,</v>
      </c>
      <c r="T12" s="63" t="str">
        <f t="shared" ref="T12:T15" si="36">REPT(CHAR(9),8)&amp;"("""&amp;D12&amp;"""),"</f>
        <v xml:space="preserve">								("VatregistrationInvoice"),</v>
      </c>
      <c r="V12" s="64" t="str">
        <f t="shared" ref="V12:V15" si="37">REPT(CHAR(9),8)&amp;"_ =&gt; _."&amp;D12&amp;","</f>
        <v xml:space="preserve">								_ =&gt; _.VatregistrationInvoice,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.WhereIf(!string.IsNullOrWhiteSpace(input.VatregistrationInvoice), e =&gt; e.VatregistrationInvoice.Contains(input.VatregistrationInvoice))</v>
      </c>
    </row>
    <row r="13" spans="1:23" customFormat="1" ht="18.75" customHeight="1" x14ac:dyDescent="0.25">
      <c r="A13" s="28" t="s">
        <v>370</v>
      </c>
      <c r="B13" s="28" t="s">
        <v>358</v>
      </c>
      <c r="C13" t="s">
        <v>1</v>
      </c>
      <c r="D13" t="str">
        <f t="shared" si="26"/>
        <v>TaxPayerId</v>
      </c>
      <c r="E13" t="str">
        <f t="shared" si="27"/>
        <v>nvarchar</v>
      </c>
      <c r="F13" s="6"/>
      <c r="G13" t="str">
        <f t="shared" si="28"/>
        <v>255</v>
      </c>
      <c r="H13" t="str">
        <f>+VLOOKUP(E13,'Data Type Mapping'!A:B,2,)</f>
        <v>string</v>
      </c>
      <c r="I13" t="str">
        <f t="shared" si="29"/>
        <v xml:space="preserve">		public const int MaxTaxPayerIdLength = 255;
</v>
      </c>
      <c r="J13" t="str">
        <f t="shared" si="30"/>
        <v xml:space="preserve">		[StringLength(MaxTaxPayerIdLength)]
		public virtual string TaxPayerId { get; set; }
</v>
      </c>
      <c r="K13" s="6"/>
      <c r="L13" t="str">
        <f t="shared" si="31"/>
        <v/>
      </c>
      <c r="M13" t="str">
        <f t="shared" si="32"/>
        <v xml:space="preserve">		public virtual string TaxPayerId { get; set; }
</v>
      </c>
      <c r="N13" t="str">
        <f t="shared" si="33"/>
        <v xml:space="preserve">		[StringLength(MstInvCpsSuppliersConsts.MaxTaxPayerIdLength)]
		public virtual string TaxPayerId { get; set; }
</v>
      </c>
      <c r="O13" t="str">
        <f t="shared" si="34"/>
        <v xml:space="preserve">		public virtual string TaxPayerId { get; set; }
</v>
      </c>
      <c r="P13" t="str">
        <f t="shared" si="35"/>
        <v xml:space="preserve">							TaxPayerId = o.TaxPayerId,</v>
      </c>
      <c r="T13" s="63" t="str">
        <f t="shared" si="36"/>
        <v xml:space="preserve">								("TaxPayerId"),</v>
      </c>
      <c r="V13" s="64" t="str">
        <f t="shared" si="37"/>
        <v xml:space="preserve">								_ =&gt; _.TaxPayerId,</v>
      </c>
      <c r="W13" s="63" t="str">
        <f t="shared" si="38"/>
        <v xml:space="preserve">				.WhereIf(!string.IsNullOrWhiteSpace(input.TaxPayerId), e =&gt; e.TaxPayerId.Contains(input.TaxPayerId))</v>
      </c>
    </row>
    <row r="14" spans="1:23" customFormat="1" ht="18.75" customHeight="1" x14ac:dyDescent="0.25">
      <c r="A14" s="28" t="s">
        <v>371</v>
      </c>
      <c r="B14" s="28" t="s">
        <v>0</v>
      </c>
      <c r="C14" t="s">
        <v>1</v>
      </c>
      <c r="D14" t="str">
        <f t="shared" ref="D14" si="39">SUBSTITUTE(PROPER(A14),"_","")</f>
        <v>RegistryId</v>
      </c>
      <c r="E14" t="str">
        <f t="shared" ref="E14" si="40">IFERROR(LEFT(B14, FIND("(",B14)-1),B14)</f>
        <v>bigint</v>
      </c>
      <c r="F14" s="6"/>
      <c r="G14" t="str">
        <f t="shared" ref="G14" si="41">IFERROR(MID(B14,FIND("(",B14) +1, FIND(")",B14) - FIND("(",B14) - 1),"")</f>
        <v/>
      </c>
      <c r="H14" t="str">
        <f>+VLOOKUP(E14,'Data Type Mapping'!A:B,2,)</f>
        <v>long?</v>
      </c>
      <c r="I14" t="str">
        <f t="shared" ref="I14" si="42">IF(H14="string",REPT(CHAR(9),2)&amp;"public const int Max"&amp;D14&amp;"Length = "&amp;G14&amp;";"&amp;$E$3,"" )</f>
        <v/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long? RegistryId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long? RegistryId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long? RegistryId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/>
      </c>
      <c r="P14" t="str">
        <f t="shared" ref="P14" si="48">REPT(CHAR(9),7)&amp;D14&amp;" = o." &amp;D14 &amp;","</f>
        <v xml:space="preserve">							RegistryId = o.RegistryId,</v>
      </c>
      <c r="T14" s="63" t="str">
        <f t="shared" ref="T14" si="49">REPT(CHAR(9),8)&amp;"("""&amp;D14&amp;"""),"</f>
        <v xml:space="preserve">								("RegistryId"),</v>
      </c>
      <c r="V14" s="64" t="str">
        <f t="shared" ref="V14" si="50">REPT(CHAR(9),8)&amp;"_ =&gt; _."&amp;D14&amp;","</f>
        <v xml:space="preserve">								_ =&gt; _.RegistryId,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s="28" t="s">
        <v>372</v>
      </c>
      <c r="B15" s="28" t="s">
        <v>360</v>
      </c>
      <c r="C15" t="s">
        <v>1</v>
      </c>
      <c r="D15" t="str">
        <f t="shared" si="26"/>
        <v>StartDateActive</v>
      </c>
      <c r="E15" t="str">
        <f t="shared" si="27"/>
        <v>DateTime</v>
      </c>
      <c r="F15" s="6" t="s">
        <v>361</v>
      </c>
      <c r="G15" t="str">
        <f t="shared" si="28"/>
        <v/>
      </c>
      <c r="H15" t="str">
        <f>+VLOOKUP(E15,'Data Type Mapping'!A:B,2,)</f>
        <v>DateTime?</v>
      </c>
      <c r="I15" t="str">
        <f t="shared" si="29"/>
        <v/>
      </c>
      <c r="J15" t="str">
        <f t="shared" si="30"/>
        <v xml:space="preserve">		[Column(TypeName="Date")]
		public virtual DateTime? StartDateActive { get; set; }
</v>
      </c>
      <c r="K15" s="6"/>
      <c r="L15" t="str">
        <f t="shared" si="31"/>
        <v/>
      </c>
      <c r="M15" t="str">
        <f t="shared" si="32"/>
        <v xml:space="preserve">		public virtual DateTime? StartDateActive { get; set; }
</v>
      </c>
      <c r="N15" t="str">
        <f t="shared" si="33"/>
        <v xml:space="preserve">		public virtual DateTime? StartDateActive { get; set; }
</v>
      </c>
      <c r="O15" t="str">
        <f t="shared" si="34"/>
        <v/>
      </c>
      <c r="P15" t="str">
        <f t="shared" si="35"/>
        <v xml:space="preserve">							StartDateActive = o.StartDateActive,</v>
      </c>
      <c r="T15" s="63" t="str">
        <f t="shared" si="36"/>
        <v xml:space="preserve">								("StartDateActive"),</v>
      </c>
      <c r="V15" s="64" t="str">
        <f t="shared" si="37"/>
        <v xml:space="preserve">								_ =&gt; _.StartDateActive,</v>
      </c>
      <c r="W15" s="63" t="str">
        <f t="shared" si="38"/>
        <v/>
      </c>
    </row>
    <row r="16" spans="1:23" customFormat="1" ht="18.75" customHeight="1" x14ac:dyDescent="0.25">
      <c r="A16" s="28" t="s">
        <v>373</v>
      </c>
      <c r="B16" s="28" t="s">
        <v>360</v>
      </c>
      <c r="C16" t="s">
        <v>1</v>
      </c>
      <c r="D16" t="str">
        <f t="shared" ref="D16" si="52">SUBSTITUTE(PROPER(A16),"_","")</f>
        <v>EndDateActive</v>
      </c>
      <c r="E16" t="str">
        <f t="shared" ref="E16" si="53">IFERROR(LEFT(B16, FIND("(",B16)-1),B16)</f>
        <v>DateTime</v>
      </c>
      <c r="F16" s="6" t="s">
        <v>361</v>
      </c>
      <c r="G16" t="str">
        <f t="shared" ref="G16" si="54">IFERROR(MID(B16,FIND("(",B16) +1, FIND(")",B16) - FIND("(",B16) - 1),"")</f>
        <v/>
      </c>
      <c r="H16" t="str">
        <f>+VLOOKUP(E16,'Data Type Mapping'!A:B,2,)</f>
        <v>DateTime?</v>
      </c>
      <c r="I16" t="str">
        <f t="shared" ref="I16" si="55">IF(H16="string",REPT(CHAR(9),2)&amp;"public const int Max"&amp;D16&amp;"Length = "&amp;G16&amp;";"&amp;$E$3,"" )</f>
        <v/>
      </c>
      <c r="J16" t="str">
        <f t="shared" ref="J16" si="56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[Column(TypeName="Date")]
		public virtual DateTime? EndDateActive { get; set; }
</v>
      </c>
      <c r="K16" s="6"/>
      <c r="L16" t="str">
        <f t="shared" ref="L16" si="57">IF(K16="","",REPT(CHAR(9),1)&amp;"[Index(nameof("&amp;IF(D16="","",""&amp;D16)&amp;")"&amp;", Name="&amp;"""IX_"&amp;$B$7&amp;"_"&amp;D16&amp;""")]")</f>
        <v/>
      </c>
      <c r="M16" t="str">
        <f t="shared" ref="M16" si="58">REPT(CHAR(9),2)&amp;"public virtual "&amp;IF(OR(H16="DateTime",H16="TimeSpan"),H16&amp;"?",H16)&amp;IF(C16="?","? "," ")&amp;D16&amp;" { get; set; }" &amp; "
"</f>
        <v xml:space="preserve">		public virtual DateTime? EndDateActive { get; set; }
</v>
      </c>
      <c r="N16" t="str">
        <f t="shared" ref="N16" si="59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DateTime? EndDateActive { get; set; }
</v>
      </c>
      <c r="O16" t="str">
        <f t="shared" ref="O16" si="60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" si="61">REPT(CHAR(9),7)&amp;D16&amp;" = o." &amp;D16 &amp;","</f>
        <v xml:space="preserve">							EndDateActive = o.EndDateActive,</v>
      </c>
      <c r="T16" s="63" t="str">
        <f t="shared" ref="T16" si="62">REPT(CHAR(9),8)&amp;"("""&amp;D16&amp;"""),"</f>
        <v xml:space="preserve">								("EndDateActive"),</v>
      </c>
      <c r="V16" s="64" t="str">
        <f t="shared" ref="V16" si="63">REPT(CHAR(9),8)&amp;"_ =&gt; _."&amp;D16&amp;","</f>
        <v xml:space="preserve">								_ =&gt; _.EndDateActive,</v>
      </c>
      <c r="W16" s="63" t="str">
        <f t="shared" ref="W16" si="64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s="28" t="s">
        <v>318</v>
      </c>
      <c r="B17" s="28" t="s">
        <v>355</v>
      </c>
      <c r="C17" t="s">
        <v>1</v>
      </c>
      <c r="D17" t="str">
        <f t="shared" ref="D17" si="65">SUBSTITUTE(PROPER(A17),"_","")</f>
        <v>IsActive</v>
      </c>
      <c r="E17" t="str">
        <f t="shared" ref="E17" si="66">IFERROR(LEFT(B17, FIND("(",B17)-1),B17)</f>
        <v>varchar</v>
      </c>
      <c r="F17" s="6"/>
      <c r="G17" t="str">
        <f t="shared" ref="G17" si="67">IFERROR(MID(B17,FIND("(",B17) +1, FIND(")",B17) - FIND("(",B17) - 1),"")</f>
        <v>1</v>
      </c>
      <c r="H17" t="str">
        <f>+VLOOKUP(E17,'Data Type Mapping'!A:B,2,)</f>
        <v>string</v>
      </c>
      <c r="I17" t="str">
        <f t="shared" ref="I17" si="68">IF(H17="string",REPT(CHAR(9),2)&amp;"public const int Max"&amp;D17&amp;"Length = "&amp;G17&amp;";"&amp;$E$3,"" )</f>
        <v xml:space="preserve">		public const int MaxIsActiveLength = 1;
</v>
      </c>
      <c r="J17" t="str">
        <f t="shared" ref="J17" si="69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[StringLength(MaxIsActiveLength)]
		public virtual string IsActive { get; set; }
</v>
      </c>
      <c r="K17" s="6"/>
      <c r="L17" t="str">
        <f t="shared" ref="L17" si="70">IF(K17="","",REPT(CHAR(9),1)&amp;"[Index(nameof("&amp;IF(D17="","",""&amp;D17)&amp;")"&amp;", Name="&amp;"""IX_"&amp;$B$7&amp;"_"&amp;D17&amp;""")]")</f>
        <v/>
      </c>
      <c r="M17" t="str">
        <f t="shared" ref="M17" si="71">REPT(CHAR(9),2)&amp;"public virtual "&amp;IF(OR(H17="DateTime",H17="TimeSpan"),H17&amp;"?",H17)&amp;IF(C17="?","? "," ")&amp;D17&amp;" { get; set; }" &amp; "
"</f>
        <v xml:space="preserve">		public virtual string IsActive { get; set; }
</v>
      </c>
      <c r="N17" t="str">
        <f t="shared" ref="N17" si="72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[StringLength(MstInvCpsSuppliersConsts.MaxIsActiveLength)]
		public virtual string IsActive { get; set; }
</v>
      </c>
      <c r="O17" t="str">
        <f t="shared" ref="O17" si="73">IF(OR(H17="string",H17="DateTime",H17="int"),REPT(CHAR(9),2)&amp;"public virtual "&amp;IF(OR(H17="DateTime",H17="TimeSpan"),H17&amp;"?",H17)&amp;IF(C17="?","? "," ")&amp;D17&amp;" { get; set; }"&amp;$E$3,"")</f>
        <v xml:space="preserve">		public virtual string IsActive { get; set; }
</v>
      </c>
      <c r="P17" t="str">
        <f t="shared" ref="P17" si="74">REPT(CHAR(9),7)&amp;D17&amp;" = o." &amp;D17 &amp;","</f>
        <v xml:space="preserve">							IsActive = o.IsActive,</v>
      </c>
      <c r="T17" s="63" t="str">
        <f t="shared" ref="T17" si="75">REPT(CHAR(9),8)&amp;"("""&amp;D17&amp;"""),"</f>
        <v xml:space="preserve">								("IsActive"),</v>
      </c>
      <c r="V17" s="64" t="str">
        <f t="shared" ref="V17" si="76">REPT(CHAR(9),8)&amp;"_ =&gt; _."&amp;D17&amp;","</f>
        <v xml:space="preserve">								_ =&gt; _.IsActive,</v>
      </c>
      <c r="W17" s="63" t="str">
        <f t="shared" ref="W17" si="77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.WhereIf(!string.IsNullOrWhiteSpace(input.IsActive), e =&gt; e.IsActive.Contains(input.IsActive))</v>
      </c>
    </row>
    <row r="19" spans="1:23" ht="45.75" customHeight="1" x14ac:dyDescent="0.25">
      <c r="H19" s="11"/>
      <c r="I19" s="31" t="str">
        <f ca="1">TEXTJOIN2("
", TRUE,INDIRECT( $H$1):INDIRECT( $H$3))</f>
        <v xml:space="preserve">		public const int MaxSupplierNameLength = 255;
		public const int MaxSupplierNumberLength = 50;
		public const int MaxVatregistrationNumLength = 255;
		public const int MaxVatregistrationInvoiceLength = 255;
		public const int MaxTaxPayerIdLength = 255;
		public const int MaxIsActiveLength = 1;
</v>
      </c>
      <c r="J19" s="30" t="str">
        <f ca="1">TEXTJOIN2("
", TRUE,INDIRECT( $F$1):INDIRECT( $F$3))</f>
        <v xml:space="preserve">		[StringLength(MaxSupplierNameLength)]
		public virtual string SupplierName { get; set; }
		[StringLength(MaxSupplierNumberLength)]
		public virtual string SupplierNumber { get; set; }
		[StringLength(MaxVatregistrationNumLength)]
		public virtual string VatregistrationNum { get; set; }
		[StringLength(MaxVatregistrationInvoiceLength)]
		public virtual string VatregistrationInvoice { get; set; }
		[StringLength(MaxTaxPayerIdLength)]
		public virtual string TaxPayerId { get; set; }
		public virtual long? RegistryId { get; set; }
		[Column(TypeName="Date")]
		public virtual DateTime? StartDateActive { get; set; }
		[Column(TypeName="Date")]
		public virtual DateTime? EndDateActive { get; set; }
		[StringLength(MaxIsActiveLength)]
		public virtual string IsActive { get; set; }
</v>
      </c>
      <c r="K19" s="32" t="str">
        <f ca="1">TEXTJOIN2("
", TRUE,INDIRECT( $J$1):INDIRECT( $J$3))</f>
        <v/>
      </c>
      <c r="L19" s="12" t="s">
        <v>56</v>
      </c>
      <c r="M19" s="33" t="str">
        <f ca="1">TEXTJOIN2("
",TRUE,INDIRECT( $L$1):INDIRECT($L$3))</f>
        <v xml:space="preserve">		public virtual string SupplierName { get; set; }
		public virtual string SupplierNumber { get; set; }
		public virtual string VatregistrationNum { get; set; }
		public virtual string VatregistrationInvoice { get; set; }
		public virtual string TaxPayerId { get; set; }
		public virtual long? RegistryId { get; set; }
		public virtual DateTime? StartDateActive { get; set; }
		public virtual DateTime? EndDateActive { get; set; }
		public virtual string IsActive { get; set; }
</v>
      </c>
      <c r="N19" s="30" t="str">
        <f ca="1">TEXTJOIN2("
",TRUE,INDIRECT( $M$1):INDIRECT($M$3))</f>
        <v xml:space="preserve">		[StringLength(MstInvCpsSuppliersConsts.MaxSupplierNameLength)]
		public virtual string SupplierName { get; set; }
		[StringLength(MstInvCpsSuppliersConsts.MaxSupplierNumberLength)]
		public virtual string SupplierNumber { get; set; }
		[StringLength(MstInvCpsSuppliersConsts.MaxVatregistrationNumLength)]
		public virtual string VatregistrationNum { get; set; }
		[StringLength(MstInvCpsSuppliersConsts.MaxVatregistrationInvoiceLength)]
		public virtual string VatregistrationInvoice { get; set; }
		[StringLength(MstInvCpsSuppliersConsts.MaxTaxPayerIdLength)]
		public virtual string TaxPayerId { get; set; }
		public virtual long? RegistryId { get; set; }
		public virtual DateTime? StartDateActive { get; set; }
		public virtual DateTime? EndDateActive { get; set; }
		[StringLength(MstInvCpsSuppliersConsts.MaxIsActiveLength)]
		public virtual string IsActive { get; set; }
</v>
      </c>
      <c r="O19" s="30" t="str">
        <f ca="1">TEXTJOIN2("
",TRUE,INDIRECT( $N$1):INDIRECT($N$3))</f>
        <v xml:space="preserve">		public virtual string SupplierName { get; set; }
		public virtual string SupplierNumber { get; set; }
		public virtual string VatregistrationNum { get; set; }
		public virtual string VatregistrationInvoice { get; set; }
		public virtual string TaxPayerId { get; set; }
		public virtual string IsActive { get; set; }
</v>
      </c>
      <c r="P19" s="8" t="str">
        <f ca="1">TEXTJOIN2("
",TRUE,INDIRECT( $O$1):INDIRECT($O$3))</f>
        <v xml:space="preserve">							SupplierName = o.SupplierName,
							SupplierNumber = o.SupplierNumber,
							VatregistrationNum = o.VatregistrationNum,
							VatregistrationInvoice = o.VatregistrationInvoice,
							TaxPayerId = o.TaxPayerId,
							RegistryId = o.RegistryId,
							StartDateActive = o.StartDateActive,
							EndDateActive = o.EndDateActive,
							IsActive = o.IsActive,</v>
      </c>
      <c r="T19" s="8" t="str">
        <f ca="1">TEXTJOIN2("
",TRUE,INDIRECT( $T$2):INDIRECT($T$3))</f>
        <v xml:space="preserve">								("SupplierName"),
								("SupplierNumber"),
								("VatregistrationNum"),
								("VatregistrationInvoice"),
								("TaxPayerId"),
								("RegistryId"),
								("StartDateActive"),
								("EndDateActive"),
								("IsActive"),</v>
      </c>
      <c r="V19" s="8" t="str">
        <f ca="1">TEXTJOIN2("
",TRUE,INDIRECT( $V$2):INDIRECT($V$3))</f>
        <v xml:space="preserve">								_ =&gt; _.SupplierName,
								_ =&gt; _.SupplierNumber,
								_ =&gt; _.VatregistrationNum,
								_ =&gt; _.VatregistrationInvoice,
								_ =&gt; _.TaxPayerId,
								_ =&gt; _.RegistryId,
								_ =&gt; _.StartDateActive,
								_ =&gt; _.EndDateActive,
								_ =&gt; _.IsActive,</v>
      </c>
      <c r="W19" s="8" t="str">
        <f ca="1">TEXTJOIN2("
",TRUE,INDIRECT( $W$2):INDIRECT($W$3))</f>
        <v xml:space="preserve">				.WhereIf(!string.IsNullOrWhiteSpace(input.SupplierName), e =&gt; e.SupplierName.Contains(input.SupplierName))
				.WhereIf(!string.IsNullOrWhiteSpace(input.SupplierNumber), e =&gt; e.SupplierNumber.Contains(input.SupplierNumber))
				.WhereIf(!string.IsNullOrWhiteSpace(input.VatregistrationNum), e =&gt; e.VatregistrationNum.Contains(input.VatregistrationNum))
				.WhereIf(!string.IsNullOrWhiteSpace(input.VatregistrationInvoice), e =&gt; e.VatregistrationInvoice.Contains(input.VatregistrationInvoice))
				.WhereIf(!string.IsNullOrWhiteSpace(input.TaxPayerId), e =&gt; e.TaxPayerId.Contains(input.TaxPayerId))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workbookViewId="0">
      <selection activeCell="A15" sqref="A15:A2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Inventory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inventory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MstInvCpsSuppliers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CpsSuppliers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cpssuppliers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MstInvCpsSuppliersDto, MstInvCpsSuppliersServiceProxy } from '@shared/service-proxies/service-proxies';
import { finalize } from 'rxjs/internal/operators/finalize';
import { CreateOrEditCpsSuppliersModalComponent } from './create-or-edit-cpssuppliers-modal.component';
import { DatePipe } from '@angular/common';
import { FileDownloadService } from '@shared/utils/file-download.service';
import ceil from 'lodash-es/ceil';
import { Paginator } from 'primeng/paginator';
@Component({
    templateUrl: './cpssuppliers.component.html',
    styleUrls: ['./cpssuppliers.component.less'],
})
export class CpsSuppliersComponent extends AppComponentBase implements OnInit {
    @ViewChild('createOrEditModalCpsSuppliers', { static: true }) createOrEditModalCpsSuppliers:| CreateOrEditCpsSuppliersModalComponent|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MstInvCpsSuppliersDto = new MstInvCpsSuppliersDto();
    saveSelectedRow: MstInvCpsSuppliersDto = new MstInvCpsSuppliersDto();
    datas: MstInvCpsSuppliersDto = new MstInvCpsSuppliersDto();
    isLoading: boolean = false;
    dataParams: GridParams | undefined;
    rowData: any[] = [];
    gridApi!: GridApi;
    rowSelection = 'multiple';
    filter: string = '';
	pipe = new DatePipe('en-US');
	frameworkComponents: FrameworkComponent;
    	supplierName : string = '' ; 
	supplierNumber : string = '' ; 
	vatregistrationNum : string = '' ; 
	vatregistrationInvoice : string = '' ; 
	taxPayerId : string = '' ; 
	startDateActive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MstInvCpsSuppliersServiceProxy,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Name'),headerTooltip: this.l('Supplier Name'),field: 'supplierName',flex: 1},
			{headerName: this.l('Supplier Number'),headerTooltip: this.l('Supplier Number'),field: 'supplierNumber',flex: 1},
			{headerName: this.l('Vatregistration Num'),headerTooltip: this.l('Vatregistration Num'),field: 'vatregistrationNum',flex: 1},
			{headerName: this.l('Vatregistration Invoice'),headerTooltip: this.l('Vatregistration Invoice'),field: 'vatregistrationInvoice',flex: 1},
			{headerName: this.l('Tax Payer Id'),headerTooltip: this.l('Tax Payer Id'),field: 'taxPayerId',flex: 1},
			{headerName: this.l('Registry Id'),headerTooltip: this.l('Registry Id'),field: 'registryId',flex: 1},
			{headerName: this.l('Start Date Active'),headerTooltip: this.l('Start Date Active'),field: 'startDateActive',flex: 1},
			{headerName: this.l('End Date Active'),headerTooltip: this.l('End Date Active'),field: 'endDateActive',flex: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this.supplierName,
			this.supplierNumber,
			this.vatregistrationNum,
			this.supplierNumber,
			this.vatregistrationInvoice,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supplierName : string = '' ; 
	supplierNumber : string = '' ; 
	vatregistrationNum : string = '' ; 
	vatregistrationInvoice : string = '' ; 
	taxPayerId : string = '' ; 
	startDateActive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this.supplierName,
			this.supplierNumber,
			this.vatregistrationNum,
			this.supplierNumber,
			this.vatregistrationInvoice,
			'',
            this.paginationParams.skipCount,
            this.paginationParams.pageSize
        );
    }
    onChangeRowSelection(params: { api: { getSelectedRows: () =&gt; MstInvCpsSuppliersDto[] } }) {
        this.saveSelectedRow = params.api.getSelectedRows()[0] ?? new MstInvCpsSuppliersDto();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MstInvCpsSuppliersDto):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this._service.getCpsSuppliersToExcel(
			this.,
			this.supplierName,
			this.supplierNumber,
			this.vatregistrationNum,
			this.supplierNumber,
			this.vatregistrationInvoice,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Suppliers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[(ngModel)]='supplierNumber' name='supplierNumber'
									class='form-control' [placeholder]="l('Supplier Number')"
									type='text' (keyup.enter)='searchDatas()'&gt;
								&lt;/div&gt;
								&lt;div class='input-search'&gt;
									&lt;input [(ngModel)]='vatregistrationNum' name='vatregistrationNum'
									class='form-control' [placeholder]="l('Vatregistration Num')"
									type='text' (keyup.enter)='searchDatas()'&gt;
								&lt;/div&gt;
								&lt;div class='input-search'&gt;
									&lt;input [(ngModel)]='vatregistrationInvoice' name='vatregistrationInvoice'
									class='form-control' [placeholder]="l('Vatregistration Invoice')"
									type='text' (keyup.enter)='searchDatas()'&gt;
								&lt;/div&gt;
								&lt;div class='input-search'&gt;
									&lt;input [(ngModel)]='taxPayerId' name='taxPayerId'
									class='form-control' [placeholder]="l('Tax Payer Id')"
									type='text' (keyup.enter)='searchDatas()'&gt;
								&lt;/div&gt;
								&lt;div class='input-search'&gt;
									&lt;input [(ngModel)]='startDateActive' name='startDateActive'
									class='form-control' [placeholder]="l('Start Date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(click)="createOrEditModalCpsSuppliers.show()"&gt;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(click)="createOrEditModalCpsSuppliers.show(selectedRow)"&gt;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&lt;create-or-edit-cpssuppliers-modal
    #createOrEditModalCpsSuppliers
    (modalSave)="callBackDataGrid(dataParams)"
    (modalClose)="onChangeRowSelection(dataParams)"
&gt;
&lt;/create-or-edit-cpssuppliers-modal&gt;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#createOrEditModalCpsSuppliers="bs-modal"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CpsSuppliers')}}&lt;/h3&gt;
                    &lt;h3 *ngIf="!rowdata.id"&gt;{{('Create New CpsSuppliers')}}&lt;/h3&gt;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title'&gt;Supplier Number&lt;/label&gt;
						&lt;input type='text' class='col-md-10 form-control input-text' name='SupplierNumber' [(ngModel)]='rowdata.supplierNumber'&gt;
					&lt;/div&gt;
					&lt;div class='col-md-12 form-group row'&gt;
						&lt;label class='col-md-2 form-control title'&gt;Vatregistration Num&lt;/label&gt;
						&lt;input type='text' class='col-md-10 form-control input-text' name='VatregistrationNum' [(ngModel)]='rowdata.vatregistrationNum'&gt;
					&lt;/div&gt;
					&lt;div class='col-md-12 form-group row'&gt;
						&lt;label class='col-md-2 form-control title'&gt;Vatregistration Invoice&lt;/label&gt;
						&lt;input type='text' class='col-md-10 form-control input-text' name='VatregistrationInvoice' [(ngModel)]='rowdata.vatregistrationInvoice'&gt;
					&lt;/div&gt;
					&lt;div class='col-md-12 form-group row'&gt;
						&lt;label class='col-md-2 form-control title'&gt;Tax Payer Id&lt;/label&gt;
						&lt;input type='text' class='col-md-10 form-control input-text' name='TaxPayerId' [(ngModel)]='rowdata.taxPayerId'&gt;
					&lt;/div&gt;
					&lt;div class='col-md-12 form-group row'&gt;
						&lt;label class='col-md-2 form-control title'&gt;Registry Id&lt;/label&gt;
						&lt;input type='number' class='col-md-10 form-control input-text' name='RegistryId' [(ngModel)]='rowdata.registryId'&gt;
					&lt;/div&gt;
					&lt;div class='col-md-12 form-group row'&gt;
						&lt;label class='col-md-2 form-control title'&gt;Start Date Active&lt;/label&gt;
						&lt;input type='text' class='col-md-10 form-control input-text' name='StartDateActive' [(ngModel)]='rowdata.startDateActive'&gt;
					&lt;/div&gt;
					&lt;div class='col-md-12 form-group row'&gt;
						&lt;label class='col-md-2 form-control title'&gt;End Date Active&lt;/label&gt;
						&lt;input type='text' class='col-md-10 form-control input-text' name='endDateActive' 
						#datepicker='bsDatepicker' [(ngModel)]='rowdata.endDateActive'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CreateOrEditMstInvCpsSuppliersDto, MstInvCpsSuppliersServiceProxy } from '@shared/service-proxies/service-proxies';
import { BsDatepickerDirective } from 'ngx-bootstrap/datepicker';
@Component({
    selector: 'create-or-edit-cpssuppliers-modal',
    templateUrl: './create-or-edit-cpssuppliers-modal.component.html',
    styleUrls: ['./create-or-edit-cpssuppliers-modal.component.less']
    })
export class CreateOrEditCpsSuppliersModalComponent extends AppComponentBase {
    @ViewChild('createOrEditModalCpsSuppliers',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CreateOrEditMstInvCpsSuppliersDto = new CreateOrEditMstInvCpsSuppliersDto();
    active: boolean = false;
    saving: boolean = false;
    _isActive: boolean;
    constructor(
        injector: Injector,
        private _mstwptCpsSuppliersService: MstInvCpsSuppliersServiceProxy,
    ) 
    {
        super(injector);
    }
    show(rowdata?: CreateOrEditMstInvCpsSuppliersDto): void {
        if (!rowdata) this.rowdata = new CreateOrEditMstInvCpsSuppliersDto();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this._mstwptCpsSuppliersService.createOrEdit(this.rowdata)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CpsSuppliersRoutingModule } from './cpssuppliers-routing.module';
import { CpsSuppliersComponent } from './cpssuppliers.component';
import { CreateOrEditCpsSuppliersModalComponent } from './create-or-edit-cpssuppliers-modal.component';
@NgModule({
    declarations: [
       CpsSuppliersComponent, 
        CreateOrEditCpsSuppliersModalComponent
    ],
    imports: [
        AppSharedModule, CpsSuppliersRoutingModule]
})
export class CpsSuppliersModule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CpsSuppliersComponent } from './cpssuppliers.component';
const routes: Routes = [{
    path: '',
    component: CpsSuppliersComponent,
    pathMatch: 'full'
}];
@NgModule({
    imports: [RouterModule.forChild(routes)],
    exports: [RouterModule],
})
export class CpsSuppliersRoutingModule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AppMenuItem("CpsSuppliers", "Pages.Master.Inventory.CpsSuppliers", "flaticon-book",   "/app/main/master/inventory/cpssuppliers"),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'master/inventory/cpssuppliers',
    loadChildren: () =&gt; import('./master/inventory/cpssuppliers/cpssuppliers.module').then(m =&gt; m.CpsSuppliersModule),
    data: { permission: 'Pages.Master.Inventory.CpsSuppliers' }
},</v>
      </c>
      <c r="R10" s="47" t="str">
        <f>SUBSTITUTE(R9,"MstWptCalendar",$B$6)</f>
        <v>ApiServiceProxies.MstInvCpsSuppliersServiceProxy,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H23</v>
      </c>
      <c r="I12" s="28" t="str">
        <f>"I"&amp;COUNTA($A:$A)</f>
        <v>I23</v>
      </c>
      <c r="J12" s="28"/>
      <c r="K12" s="28" t="str">
        <f>"K"&amp;COUNTA($A:$A)</f>
        <v>K23</v>
      </c>
      <c r="L12" s="28" t="str">
        <f>"L"&amp;COUNTA($A:$A)</f>
        <v>L23</v>
      </c>
      <c r="M12" s="28"/>
      <c r="N12" s="28"/>
      <c r="O12" s="28"/>
      <c r="P12" s="28"/>
      <c r="Q12" s="28"/>
      <c r="R12" s="28"/>
      <c r="S12" s="28" t="str">
        <f>"S"&amp;COUNTA($A:$A)</f>
        <v>S23</v>
      </c>
      <c r="T12" s="28" t="str">
        <f>"T"&amp;COUNTA($A:$A)</f>
        <v>T23</v>
      </c>
      <c r="U12" s="28" t="str">
        <f>"U"&amp;COUNTA($A:$A)</f>
        <v>U23</v>
      </c>
      <c r="V12" s="28" t="str">
        <f>"V"&amp;COUNTA($A:$A)</f>
        <v>V23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Name'),headerTooltip: this.l('Supplier Name'),field: 'supplierName',flex: 1},
			{headerName: this.l('Supplier Number'),headerTooltip: this.l('Supplier Number'),field: 'supplierNumber',flex: 1},
			{headerName: this.l('Vatregistration Num'),headerTooltip: this.l('Vatregistration Num'),field: 'vatregistrationNum',flex: 1},
			{headerName: this.l('Vatregistration Invoice'),headerTooltip: this.l('Vatregistration Invoice'),field: 'vatregistrationInvoice',flex: 1},
			{headerName: this.l('Tax Payer Id'),headerTooltip: this.l('Tax Payer Id'),field: 'taxPayerId',flex: 1},
			{headerName: this.l('Registry Id'),headerTooltip: this.l('Registry Id'),field: 'registryId',flex: 1},
			{headerName: this.l('Start Date Active'),headerTooltip: this.l('Start Date Active'),field: 'startDateActive',flex: 1},
			{headerName: this.l('End Date Active'),headerTooltip: this.l('End Date Active'),field: 'endDateActive',flex: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[(ngModel)]='supplierNumber' name='supplierNumber'
									class='form-control' [placeholder]="l('Supplier Number')"
									type='text' (keyup.enter)='searchDatas()'&gt;
								&lt;/div&gt;
								&lt;div class='input-search'&gt;
									&lt;input [(ngModel)]='vatregistrationNum' name='vatregistrationNum'
									class='form-control' [placeholder]="l('Vatregistration Num')"
									type='text' (keyup.enter)='searchDatas()'&gt;
								&lt;/div&gt;
								&lt;div class='input-search'&gt;
									&lt;input [(ngModel)]='vatregistrationInvoice' name='vatregistrationInvoice'
									class='form-control' [placeholder]="l('Vatregistration Invoice')"
									type='text' (keyup.enter)='searchDatas()'&gt;
								&lt;/div&gt;
								&lt;div class='input-search'&gt;
									&lt;input [(ngModel)]='taxPayerId' name='taxPayerId'
									class='form-control' [placeholder]="l('Tax Payer Id')"
									type='text' (keyup.enter)='searchDatas()'&gt;
								&lt;/div&gt;
								&lt;div class='input-search'&gt;
									&lt;input [(ngModel)]='startDateActive' name='startDateActive'
									class='form-control' [placeholder]="l('Start Date Active')"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title'&gt;Supplier Number&lt;/label&gt;
						&lt;input type='text' class='col-md-10 form-control input-text' name='SupplierNumber' [(ngModel)]='rowdata.supplierNumber'&gt;
					&lt;/div&gt;
					&lt;div class='col-md-12 form-group row'&gt;
						&lt;label class='col-md-2 form-control title'&gt;Vatregistration Num&lt;/label&gt;
						&lt;input type='text' class='col-md-10 form-control input-text' name='VatregistrationNum' [(ngModel)]='rowdata.vatregistrationNum'&gt;
					&lt;/div&gt;
					&lt;div class='col-md-12 form-group row'&gt;
						&lt;label class='col-md-2 form-control title'&gt;Vatregistration Invoice&lt;/label&gt;
						&lt;input type='text' class='col-md-10 form-control input-text' name='VatregistrationInvoice' [(ngModel)]='rowdata.vatregistrationInvoice'&gt;
					&lt;/div&gt;
					&lt;div class='col-md-12 form-group row'&gt;
						&lt;label class='col-md-2 form-control title'&gt;Tax Payer Id&lt;/label&gt;
						&lt;input type='text' class='col-md-10 form-control input-text' name='TaxPayerId' [(ngModel)]='rowdata.taxPayerId'&gt;
					&lt;/div&gt;
					&lt;div class='col-md-12 form-group row'&gt;
						&lt;label class='col-md-2 form-control title'&gt;Registry Id&lt;/label&gt;
						&lt;input type='number' class='col-md-10 form-control input-text' name='RegistryId' [(ngModel)]='rowdata.registryId'&gt;
					&lt;/div&gt;
					&lt;div class='col-md-12 form-group row'&gt;
						&lt;label class='col-md-2 form-control title'&gt;Start Date Active&lt;/label&gt;
						&lt;input type='text' class='col-md-10 form-control input-text' name='StartDateActive' [(ngModel)]='rowdata.startDateActive'&gt;
					&lt;/div&gt;
					&lt;div class='col-md-12 form-group row'&gt;
						&lt;label class='col-md-2 form-control title'&gt;End Date Active&lt;/label&gt;
						&lt;input type='text' class='col-md-10 form-control input-text' name='endDateActive' 
						#datepicker='bsDatepicker' [(ngModel)]='rowdata.endDateActive'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supplierName : string = '' ; 
	supplierNumber : string = '' ; 
	vatregistrationNum : string = '' ; 
	vatregistrationInvoice : string = '' ; 
	taxPayerId : string = '' ; 
	startDateActive : string = '' ; 
</v>
      </c>
      <c r="T13" s="62" t="str">
        <f ca="1">TEXTJOIN2("
",TRUE,INDIRECT(T11):INDIRECT(T12))</f>
        <v xml:space="preserve">			this.,
			this.supplierName,
			this.supplierNumber,
			this.vatregistrationNum,
			this.supplierNumber,
			this.vatregistrationInvoice,
</v>
      </c>
      <c r="U13" s="62" t="str">
        <f ca="1">TEXTJOIN2("
",TRUE,INDIRECT(U11):INDIRECT(U12))</f>
        <v xml:space="preserve">	supplierName : string = '' ; 
	supplierNumber : string = '' ; 
	vatregistrationNum : string = '' ; 
	vatregistrationInvoice : string = '' ; 
	taxPayerId : string = '' ; 
	startDateActive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cpssuppliers.component.ts</v>
      </c>
      <c r="I14" s="37" t="str">
        <f>B8&amp;".component.html"</f>
        <v>cpssuppliers.component.html</v>
      </c>
      <c r="J14" s="36" t="str">
        <f>B8&amp;".component.less"</f>
        <v>cpssuppliers.component.less</v>
      </c>
      <c r="K14" s="37" t="str">
        <f>"create-or-edit-"&amp;B8&amp;"-modal.component.html"</f>
        <v>create-or-edit-cpssuppliers-modal.component.html</v>
      </c>
      <c r="L14" s="37" t="str">
        <f>"create-or-edit-"&amp;B8&amp;"-modal.component.ts"</f>
        <v>create-or-edit-cpssuppliers-modal.component.ts</v>
      </c>
      <c r="M14" s="37" t="str">
        <f>"create-or-edit-"&amp;B8&amp;"-modal.component.less"</f>
        <v>create-or-edit-cpssuppliers-modal.component.less</v>
      </c>
      <c r="N14" s="37" t="str">
        <f>B8&amp;".module.ts"</f>
        <v>cpssuppliers.module.ts</v>
      </c>
      <c r="O14" s="37" t="str">
        <f>B8&amp;"-routing.module.ts"</f>
        <v>cpssuppliers-routing.module.ts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366</v>
      </c>
      <c r="B15" s="28" t="str">
        <f t="shared" ref="B15" si="0">SUBSTITUTE(PROPER(A15),"_","")</f>
        <v>SupplierName</v>
      </c>
      <c r="C15" s="28" t="str">
        <f t="shared" ref="C15" si="1">SUBSTITUTE(PROPER(A15),"_"," ")</f>
        <v>Supplier Name</v>
      </c>
      <c r="D15" s="28" t="str">
        <f t="shared" ref="D15" si="2">LOWER(LEFT(B15,1))&amp;RIGHT(B15,LEN(B15) - 1)</f>
        <v>supplierName</v>
      </c>
      <c r="E15" s="28" t="str">
        <f>A.Backend!H9</f>
        <v>string</v>
      </c>
      <c r="F15" s="28" t="str">
        <f>A.Backend!G9</f>
        <v>255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Name'),headerTooltip: this.l('Supplier Name'),field: 'supplierName',flex: 1},</v>
      </c>
      <c r="I15" s="35" t="str">
        <f t="shared" ref="I15:I23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[(ngModel)]='supplierName' name='supplierName'
									class='form-control' [placeholder]="l('Supplier Name')"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Name&lt;/label&gt;
						&lt;input type='text' class='col-md-10 form-control input-text' name='SupplierName' [(ngModel)]='rowdata.supplierName'&gt;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supplierName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supplierName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367</v>
      </c>
      <c r="B16" s="28" t="str">
        <f t="shared" ref="B16:B23" si="8">SUBSTITUTE(PROPER(A16),"_","")</f>
        <v>SupplierNumber</v>
      </c>
      <c r="C16" s="28" t="str">
        <f t="shared" ref="C16:C23" si="9">SUBSTITUTE(PROPER(A16),"_"," ")</f>
        <v>Supplier Number</v>
      </c>
      <c r="D16" s="28" t="str">
        <f t="shared" ref="D16:D23" si="10">LOWER(LEFT(B16,1))&amp;RIGHT(B16,LEN(B16) - 1)</f>
        <v>supplierNumber</v>
      </c>
      <c r="E16" s="28" t="str">
        <f>A.Backend!H10</f>
        <v>string</v>
      </c>
      <c r="F16" s="28" t="str">
        <f>A.Backend!G10</f>
        <v>50</v>
      </c>
      <c r="G16" s="28" t="str">
        <f t="shared" ref="G16:G23" si="11">IF(E16="string"," : string = '' ; ",IF(OR(E16="DateTime",E16="TimeSpan")," : any ;",IF(E16="int"," : number = 0 ;","")))</f>
        <v xml:space="preserve"> : string = '' ; </v>
      </c>
      <c r="H16" s="35" t="str">
        <f t="shared" ref="H16:H23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this.l('Supplier Number'),headerTooltip: this.l('Supplier Number'),field: 'supplierNumber',flex: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[(ngModel)]='supplierNumber' name='supplierNumber'
									class='form-control' [placeholder]="l('Supplier Number')"
									type='text' (keyup.enter)='searchDatas()'&gt;
								&lt;/div&gt;</v>
      </c>
      <c r="J16" s="28"/>
      <c r="K16" s="35" t="str">
        <f t="shared" ref="K16:K23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title'&gt;Supplier Number&lt;/label&gt;
						&lt;input type='text' class='col-md-10 form-control input-text' name='SupplierNumber' [(ngModel)]='rowdata.supplierNumber'&gt;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3" si="15">IF(AND(E16="string",F16 &lt;&gt;"1"),(REPT(CHAR(9),1)&amp;D16&amp;G16),"")</f>
        <v xml:space="preserve">	supplierNumber : string = '' ; </v>
      </c>
      <c r="T16" s="28" t="str">
        <f>IF(AND(E16="string",F16 &lt;&gt;"1"),(REPT(CHAR(9),3)&amp;"this."&amp;D15&amp;","),"")</f>
        <v xml:space="preserve">			this.supplierName,</v>
      </c>
      <c r="U16" s="28" t="str">
        <f t="shared" ref="U16:U23" si="16">IF(AND(E16="string",F16 &lt;&gt;"1"),(REPT(CHAR(9),1)&amp;D16&amp;G16),"")</f>
        <v xml:space="preserve">	supplierNumber : string = '' ; </v>
      </c>
      <c r="V16" s="28" t="str">
        <f t="shared" ref="V16:V23" si="17">IF(AND(E16="string",F16="1"),D16,"")</f>
        <v/>
      </c>
    </row>
    <row r="17" spans="1:22" ht="18" customHeight="1" x14ac:dyDescent="0.25">
      <c r="A17" s="28" t="s">
        <v>368</v>
      </c>
      <c r="B17" s="28" t="str">
        <f t="shared" si="8"/>
        <v>VatregistrationNum</v>
      </c>
      <c r="C17" s="28" t="str">
        <f t="shared" si="9"/>
        <v>Vatregistration Num</v>
      </c>
      <c r="D17" s="28" t="str">
        <f t="shared" si="10"/>
        <v>vatregistrationNum</v>
      </c>
      <c r="E17" s="28" t="str">
        <f>A.Backend!H11</f>
        <v>string</v>
      </c>
      <c r="F17" s="28" t="str">
        <f>A.Backend!G11</f>
        <v>255</v>
      </c>
      <c r="G17" s="28" t="str">
        <f t="shared" si="11"/>
        <v xml:space="preserve"> : string = '' ; </v>
      </c>
      <c r="H17" s="35" t="str">
        <f t="shared" si="12"/>
        <v xml:space="preserve">			{headerName: this.l('Vatregistration Num'),headerTooltip: this.l('Vatregistration Num'),field: 'vatregistrationNum',flex: 1},</v>
      </c>
      <c r="I17" s="35" t="str">
        <f t="shared" si="5"/>
        <v xml:space="preserve">								&lt;div class='input-search'&gt;
									&lt;input [(ngModel)]='vatregistrationNum' name='vatregistrationNum'
									class='form-control' [placeholder]="l('Vatregistration Num')"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title'&gt;Vatregistration Num&lt;/label&gt;
						&lt;input type='text' class='col-md-10 form-control input-text' name='VatregistrationNum' [(ngModel)]='rowdata.vatregistrationNum'&gt;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vatregistrationNum : string = '' ; </v>
      </c>
      <c r="T17" s="28" t="str">
        <f t="shared" ref="T17:T23" si="18">IF(AND(E17="string",F17 &lt;&gt;"1"),(REPT(CHAR(9),3)&amp;"this."&amp;D16&amp;","),"")</f>
        <v xml:space="preserve">			this.supplierNumber,</v>
      </c>
      <c r="U17" s="28" t="str">
        <f t="shared" si="16"/>
        <v xml:space="preserve">	vatregistrationNum : string = '' ; </v>
      </c>
      <c r="V17" s="28" t="str">
        <f t="shared" si="17"/>
        <v/>
      </c>
    </row>
    <row r="18" spans="1:22" ht="15" customHeight="1" x14ac:dyDescent="0.25">
      <c r="A18" s="28" t="s">
        <v>369</v>
      </c>
      <c r="B18" s="28" t="str">
        <f t="shared" si="8"/>
        <v>VatregistrationInvoice</v>
      </c>
      <c r="C18" s="28" t="str">
        <f t="shared" si="9"/>
        <v>Vatregistration Invoice</v>
      </c>
      <c r="D18" s="28" t="str">
        <f t="shared" si="10"/>
        <v>vatregistrationInvoice</v>
      </c>
      <c r="E18" s="28" t="str">
        <f>A.Backend!H12</f>
        <v>string</v>
      </c>
      <c r="F18" s="28" t="str">
        <f>A.Backend!G12</f>
        <v>255</v>
      </c>
      <c r="G18" s="28" t="str">
        <f t="shared" si="11"/>
        <v xml:space="preserve"> : string = '' ; </v>
      </c>
      <c r="H18" s="35" t="str">
        <f t="shared" si="12"/>
        <v xml:space="preserve">			{headerName: this.l('Vatregistration Invoice'),headerTooltip: this.l('Vatregistration Invoice'),field: 'vatregistrationInvoice',flex: 1},</v>
      </c>
      <c r="I18" s="35" t="str">
        <f t="shared" si="5"/>
        <v xml:space="preserve">								&lt;div class='input-search'&gt;
									&lt;input [(ngModel)]='vatregistrationInvoice' name='vatregistrationInvoice'
									class='form-control' [placeholder]="l('Vatregistration Invoice')"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title'&gt;Vatregistration Invoice&lt;/label&gt;
						&lt;input type='text' class='col-md-10 form-control input-text' name='VatregistrationInvoice' [(ngModel)]='rowdata.vatregistrationInvoice'&gt;
					&lt;/div&gt;</v>
      </c>
      <c r="L18" s="56" t="str">
        <f t="shared" ref="L18:L23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vatregistrationInvoice : string = '' ; </v>
      </c>
      <c r="T18" s="28" t="str">
        <f t="shared" si="18"/>
        <v xml:space="preserve">			this.vatregistrationNum,</v>
      </c>
      <c r="U18" s="28" t="str">
        <f t="shared" si="16"/>
        <v xml:space="preserve">	vatregistrationInvoice : string = '' ; </v>
      </c>
      <c r="V18" s="28" t="str">
        <f t="shared" si="17"/>
        <v/>
      </c>
    </row>
    <row r="19" spans="1:22" ht="18" customHeight="1" x14ac:dyDescent="0.25">
      <c r="A19" s="28" t="s">
        <v>370</v>
      </c>
      <c r="B19" s="28" t="str">
        <f t="shared" ref="B19:B20" si="20">SUBSTITUTE(PROPER(A19),"_","")</f>
        <v>TaxPayerId</v>
      </c>
      <c r="C19" s="28" t="str">
        <f t="shared" ref="C19:C20" si="21">SUBSTITUTE(PROPER(A19),"_"," ")</f>
        <v>Tax Payer Id</v>
      </c>
      <c r="D19" s="28" t="str">
        <f t="shared" ref="D19:D20" si="22">LOWER(LEFT(B19,1))&amp;RIGHT(B19,LEN(B19) - 1)</f>
        <v>taxPayerId</v>
      </c>
      <c r="E19" s="28" t="str">
        <f>A.Backend!H11</f>
        <v>string</v>
      </c>
      <c r="F19" s="28" t="str">
        <f>A.Backend!G11</f>
        <v>255</v>
      </c>
      <c r="G19" s="28" t="str">
        <f t="shared" ref="G19:G20" si="23">IF(E19="string"," : string = '' ; ",IF(OR(E19="DateTime",E19="TimeSpan")," : any ;",IF(E19="int"," : number = 0 ;","")))</f>
        <v xml:space="preserve"> : string = '' ; </v>
      </c>
      <c r="H19" s="35" t="str">
        <f t="shared" ref="H19:H20" si="24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this.l('Tax Payer Id'),headerTooltip: this.l('Tax Payer Id'),field: 'taxPayerId',flex: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[(ngModel)]='taxPayerId' name='taxPayerId'
									class='form-control' [placeholder]="l('Tax Payer Id')"
									type='text' (keyup.enter)='searchDatas()'&gt;
								&lt;/div&gt;</v>
      </c>
      <c r="J19" s="28"/>
      <c r="K19" s="35" t="str">
        <f t="shared" ref="K19:K20" si="25">IF(OR(E19="DateTime?",E19="TimeSpan?"),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IF(OR(E19="int?",E19="long?"),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title'&gt;Tax Payer Id&lt;/label&gt;
						&lt;input type='text' class='col-md-10 form-control input-text' name='TaxPayerId' [(ngModel)]='rowdata.taxPayerId'&gt;
					&lt;/div&gt;</v>
      </c>
      <c r="L19" s="56" t="str">
        <f t="shared" ref="L19:L20" si="26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ref="S19:S20" si="27">IF(AND(E19="string",F19 &lt;&gt;"1"),(REPT(CHAR(9),1)&amp;D19&amp;G19),"")</f>
        <v xml:space="preserve">	taxPayerId : string = '' ; </v>
      </c>
      <c r="T19" s="28" t="str">
        <f>IF(AND(E19="string",F19 &lt;&gt;"1"),(REPT(CHAR(9),3)&amp;"this."&amp;D16&amp;","),"")</f>
        <v xml:space="preserve">			this.supplierNumber,</v>
      </c>
      <c r="U19" s="28" t="str">
        <f t="shared" ref="U19:U20" si="28">IF(AND(E19="string",F19 &lt;&gt;"1"),(REPT(CHAR(9),1)&amp;D19&amp;G19),"")</f>
        <v xml:space="preserve">	taxPayerId : string = '' ; </v>
      </c>
      <c r="V19" s="28" t="str">
        <f t="shared" ref="V19:V20" si="29">IF(AND(E19="string",F19="1"),D19,"")</f>
        <v/>
      </c>
    </row>
    <row r="20" spans="1:22" ht="15" customHeight="1" x14ac:dyDescent="0.25">
      <c r="A20" s="28" t="s">
        <v>371</v>
      </c>
      <c r="B20" s="28" t="str">
        <f t="shared" si="20"/>
        <v>RegistryId</v>
      </c>
      <c r="C20" s="28" t="str">
        <f t="shared" si="21"/>
        <v>Registry Id</v>
      </c>
      <c r="D20" s="28" t="str">
        <f t="shared" si="22"/>
        <v>registryId</v>
      </c>
      <c r="E20" s="28" t="str">
        <f>A.Backend!H14</f>
        <v>long?</v>
      </c>
      <c r="F20" s="28" t="str">
        <f>A.Backend!G14</f>
        <v/>
      </c>
      <c r="G20" s="28" t="str">
        <f t="shared" si="23"/>
        <v/>
      </c>
      <c r="H20" s="35" t="str">
        <f t="shared" si="24"/>
        <v xml:space="preserve">			{headerName: this.l('Registry Id'),headerTooltip: this.l('Registry Id'),field: 'registryId',flex: 1},</v>
      </c>
      <c r="I20" s="35" t="str">
        <f t="shared" ref="I20" si="30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IF(AND(E20="string",F20 &lt;&gt;"1"),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28"/>
      <c r="K20" s="35" t="str">
        <f t="shared" si="25"/>
        <v xml:space="preserve">					&lt;div class='col-md-12 form-group row'&gt;
						&lt;label class='col-md-2 form-control title'&gt;Registry Id&lt;/label&gt;
						&lt;input type='number' class='col-md-10 form-control input-text' name='RegistryId' [(ngModel)]='rowdata.registryId'&gt;
					&lt;/div&gt;</v>
      </c>
      <c r="L20" s="56" t="str">
        <f t="shared" si="26"/>
        <v/>
      </c>
      <c r="M20" s="28"/>
      <c r="N20" s="28"/>
      <c r="O20" s="28"/>
      <c r="P20" s="28"/>
      <c r="Q20" s="28"/>
      <c r="R20" s="28"/>
      <c r="S20" s="28" t="str">
        <f t="shared" si="27"/>
        <v/>
      </c>
      <c r="T20" s="28" t="str">
        <f t="shared" ref="T20" si="31">IF(AND(E20="string",F20 &lt;&gt;"1"),(REPT(CHAR(9),3)&amp;"this."&amp;D19&amp;","),"")</f>
        <v/>
      </c>
      <c r="U20" s="28" t="str">
        <f t="shared" si="28"/>
        <v/>
      </c>
      <c r="V20" s="28" t="str">
        <f t="shared" si="29"/>
        <v/>
      </c>
    </row>
    <row r="21" spans="1:22" ht="18" customHeight="1" x14ac:dyDescent="0.25">
      <c r="A21" s="28" t="s">
        <v>372</v>
      </c>
      <c r="B21" s="28" t="str">
        <f t="shared" si="8"/>
        <v>StartDateActive</v>
      </c>
      <c r="C21" s="28" t="str">
        <f t="shared" si="9"/>
        <v>Start Date Active</v>
      </c>
      <c r="D21" s="28" t="str">
        <f t="shared" si="10"/>
        <v>startDateActive</v>
      </c>
      <c r="E21" s="28" t="str">
        <f>A.Backend!H13</f>
        <v>string</v>
      </c>
      <c r="F21" s="28" t="str">
        <f>A.Backend!G13</f>
        <v>255</v>
      </c>
      <c r="G21" s="28" t="str">
        <f t="shared" si="11"/>
        <v xml:space="preserve"> : string = '' ; </v>
      </c>
      <c r="H21" s="35" t="str">
        <f t="shared" si="12"/>
        <v xml:space="preserve">			{headerName: this.l('Start Date Active'),headerTooltip: this.l('Start Date Active'),field: 'startDateActive',flex: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[(ngModel)]='startDateActive' name='startDateActive'
									class='form-control' [placeholder]="l('Start Date Active')"
									type='text' (keyup.enter)='searchDatas()'&gt;
								&lt;/div&gt;</v>
      </c>
      <c r="J21" s="28"/>
      <c r="K21" s="35" t="str">
        <f t="shared" si="13"/>
        <v xml:space="preserve">					&lt;div class='col-md-12 form-group row'&gt;
						&lt;label class='col-md-2 form-control title'&gt;Start Date Active&lt;/label&gt;
						&lt;input type='text' class='col-md-10 form-control input-text' name='StartDateActive' [(ngModel)]='rowdata.startDateActive'&gt;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5"/>
        <v xml:space="preserve">	startDateActive : string = '' ; </v>
      </c>
      <c r="T21" s="28" t="str">
        <f>IF(AND(E21="string",F21 &lt;&gt;"1"),(REPT(CHAR(9),3)&amp;"this."&amp;D18&amp;","),"")</f>
        <v xml:space="preserve">			this.vatregistrationInvoice,</v>
      </c>
      <c r="U21" s="28" t="str">
        <f t="shared" si="16"/>
        <v xml:space="preserve">	startDateActive : string = '' ; </v>
      </c>
      <c r="V21" s="28" t="str">
        <f t="shared" si="17"/>
        <v/>
      </c>
    </row>
    <row r="22" spans="1:22" ht="15" customHeight="1" x14ac:dyDescent="0.25">
      <c r="A22" s="28" t="s">
        <v>373</v>
      </c>
      <c r="B22" s="28" t="str">
        <f t="shared" si="8"/>
        <v>EndDateActive</v>
      </c>
      <c r="C22" s="28" t="str">
        <f t="shared" si="9"/>
        <v>End Date Active</v>
      </c>
      <c r="D22" s="28" t="str">
        <f t="shared" si="10"/>
        <v>endDateActive</v>
      </c>
      <c r="E22" s="28" t="str">
        <f>A.Backend!H16</f>
        <v>DateTime?</v>
      </c>
      <c r="F22" s="28" t="str">
        <f>A.Backend!G16</f>
        <v/>
      </c>
      <c r="G22" s="28" t="str">
        <f t="shared" si="11"/>
        <v/>
      </c>
      <c r="H22" s="35" t="str">
        <f t="shared" si="12"/>
        <v xml:space="preserve">			{headerName: this.l('End Date Active'),headerTooltip: this.l('End Date Active'),field: 'endDateActive',flex: 1},</v>
      </c>
      <c r="I22" s="35" t="str">
        <f t="shared" si="5"/>
        <v/>
      </c>
      <c r="J22" s="28"/>
      <c r="K22" s="35" t="str">
        <f t="shared" si="13"/>
        <v xml:space="preserve">					&lt;div class='col-md-12 form-group row'&gt;
						&lt;label class='col-md-2 form-control title'&gt;End Date Active&lt;/label&gt;
						&lt;input type='text' class='col-md-10 form-control input-text' name='endDateActive' 
						#datepicker='bsDatepicker' [(ngModel)]='rowdata.endDateActive'  bsDatepicker &gt;
					&lt;/div&gt;</v>
      </c>
      <c r="L22" s="56" t="str">
        <f t="shared" si="19"/>
        <v/>
      </c>
      <c r="M22" s="28"/>
      <c r="N22" s="28"/>
      <c r="O22" s="28"/>
      <c r="P22" s="28"/>
      <c r="Q22" s="28"/>
      <c r="R22" s="28"/>
      <c r="S22" s="28" t="str">
        <f t="shared" si="15"/>
        <v/>
      </c>
      <c r="T22" s="28" t="str">
        <f t="shared" si="18"/>
        <v/>
      </c>
      <c r="U22" s="28" t="str">
        <f t="shared" si="16"/>
        <v/>
      </c>
      <c r="V22" s="28" t="str">
        <f t="shared" si="17"/>
        <v/>
      </c>
    </row>
    <row r="23" spans="1:22" ht="18" customHeight="1" x14ac:dyDescent="0.25">
      <c r="A23" s="28" t="s">
        <v>318</v>
      </c>
      <c r="B23" s="28" t="str">
        <f t="shared" si="8"/>
        <v>IsActive</v>
      </c>
      <c r="C23" s="28" t="str">
        <f t="shared" si="9"/>
        <v>Is Active</v>
      </c>
      <c r="D23" s="28" t="str">
        <f t="shared" si="10"/>
        <v>isActive</v>
      </c>
      <c r="E23" s="28" t="str">
        <f>A.Backend!H17</f>
        <v>string</v>
      </c>
      <c r="F23" s="28" t="str">
        <f>A.Backend!G17</f>
        <v>1</v>
      </c>
      <c r="G23" s="28" t="str">
        <f t="shared" si="11"/>
        <v xml:space="preserve"> : string = '' ; </v>
      </c>
      <c r="H23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5" t="str">
        <f t="shared" si="5"/>
        <v/>
      </c>
      <c r="J23" s="28"/>
      <c r="K23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56" t="str">
        <f t="shared" si="19"/>
        <v/>
      </c>
      <c r="M23" s="28"/>
      <c r="N23" s="28"/>
      <c r="O23" s="28"/>
      <c r="P23" s="28"/>
      <c r="Q23" s="28"/>
      <c r="R23" s="28"/>
      <c r="S23" s="28" t="str">
        <f t="shared" si="15"/>
        <v/>
      </c>
      <c r="T23" s="28" t="str">
        <f t="shared" si="18"/>
        <v/>
      </c>
      <c r="U23" s="28" t="str">
        <f t="shared" si="16"/>
        <v/>
      </c>
      <c r="V23" s="28" t="str">
        <f t="shared" si="17"/>
        <v>isActive</v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2023-05-09T07:58:43Z</dcterms:modified>
</cp:coreProperties>
</file>
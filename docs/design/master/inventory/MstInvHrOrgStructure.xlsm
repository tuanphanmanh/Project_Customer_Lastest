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0" yWindow="2720" windowWidth="28800" windowHeight="1643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5" l="1"/>
  <c r="K17" i="5"/>
  <c r="K18" i="5"/>
  <c r="K19" i="5"/>
  <c r="K20" i="5"/>
  <c r="K21" i="5"/>
  <c r="K22" i="5"/>
  <c r="K23" i="5"/>
  <c r="I16" i="5"/>
  <c r="I17" i="5"/>
  <c r="I18" i="5"/>
  <c r="I19" i="5"/>
  <c r="I20" i="5"/>
  <c r="I21" i="5"/>
  <c r="I22" i="5"/>
  <c r="I23" i="5"/>
  <c r="H16" i="5"/>
  <c r="H17" i="5"/>
  <c r="H18" i="5"/>
  <c r="H19" i="5"/>
  <c r="H20" i="5"/>
  <c r="H21" i="5"/>
  <c r="H22" i="5"/>
  <c r="H23" i="5"/>
  <c r="G16" i="5"/>
  <c r="G17" i="5"/>
  <c r="G18" i="5"/>
  <c r="G19" i="5"/>
  <c r="G20" i="5"/>
  <c r="G21" i="5"/>
  <c r="G22" i="5"/>
  <c r="G23" i="5"/>
  <c r="F16" i="5"/>
  <c r="V16" i="5" s="1"/>
  <c r="F17" i="5"/>
  <c r="F18" i="5"/>
  <c r="F19" i="5"/>
  <c r="F20" i="5"/>
  <c r="F21" i="5"/>
  <c r="F22" i="5"/>
  <c r="F23" i="5"/>
  <c r="E16" i="5"/>
  <c r="E17" i="5"/>
  <c r="V17" i="5" s="1"/>
  <c r="E18" i="5"/>
  <c r="E19" i="5"/>
  <c r="E20" i="5"/>
  <c r="L20" i="5" s="1"/>
  <c r="E21" i="5"/>
  <c r="E22" i="5"/>
  <c r="E23" i="5"/>
  <c r="C19" i="5"/>
  <c r="B19" i="5"/>
  <c r="D19" i="5" s="1"/>
  <c r="L18" i="5"/>
  <c r="C18" i="5"/>
  <c r="B18" i="5"/>
  <c r="D18" i="5" s="1"/>
  <c r="C17" i="5"/>
  <c r="B17" i="5"/>
  <c r="D17" i="5" s="1"/>
  <c r="C16" i="5"/>
  <c r="B16" i="5"/>
  <c r="D16" i="5" s="1"/>
  <c r="U21" i="5"/>
  <c r="L21" i="5"/>
  <c r="V21" i="5"/>
  <c r="C21" i="5"/>
  <c r="B21" i="5"/>
  <c r="D21" i="5" s="1"/>
  <c r="T21" i="5" s="1"/>
  <c r="C20" i="5"/>
  <c r="B20" i="5"/>
  <c r="D20" i="5" s="1"/>
  <c r="L13" i="1"/>
  <c r="G13" i="1"/>
  <c r="E13" i="1"/>
  <c r="H13" i="1" s="1"/>
  <c r="D13" i="1"/>
  <c r="T13" i="1" s="1"/>
  <c r="L12" i="1"/>
  <c r="G12" i="1"/>
  <c r="E12" i="1"/>
  <c r="H12" i="1" s="1"/>
  <c r="D12" i="1"/>
  <c r="L11" i="1"/>
  <c r="G11" i="1"/>
  <c r="E11" i="1"/>
  <c r="H11" i="1" s="1"/>
  <c r="D11" i="1"/>
  <c r="V11" i="1" s="1"/>
  <c r="V10" i="1"/>
  <c r="T10" i="1"/>
  <c r="L10" i="1"/>
  <c r="G10" i="1"/>
  <c r="E10" i="1"/>
  <c r="H10" i="1" s="1"/>
  <c r="W10" i="1" s="1"/>
  <c r="D10" i="1"/>
  <c r="P10" i="1" s="1"/>
  <c r="L15" i="1"/>
  <c r="G15" i="1"/>
  <c r="E15" i="1"/>
  <c r="H15" i="1" s="1"/>
  <c r="D15" i="1"/>
  <c r="V15" i="1" s="1"/>
  <c r="L14" i="1"/>
  <c r="G14" i="1"/>
  <c r="E14" i="1"/>
  <c r="H14" i="1" s="1"/>
  <c r="D14" i="1"/>
  <c r="T14" i="1" s="1"/>
  <c r="L17" i="5" l="1"/>
  <c r="S17" i="5"/>
  <c r="V19" i="5"/>
  <c r="T18" i="5"/>
  <c r="U18" i="5"/>
  <c r="T17" i="5"/>
  <c r="T19" i="5"/>
  <c r="T16" i="5"/>
  <c r="S16" i="5"/>
  <c r="L16" i="5"/>
  <c r="V18" i="5"/>
  <c r="U17" i="5"/>
  <c r="L19" i="5"/>
  <c r="U16" i="5"/>
  <c r="S18" i="5"/>
  <c r="U19" i="5"/>
  <c r="S19" i="5"/>
  <c r="T20" i="5"/>
  <c r="U20" i="5"/>
  <c r="S20" i="5"/>
  <c r="V20" i="5"/>
  <c r="S21" i="5"/>
  <c r="O12" i="1"/>
  <c r="M12" i="1"/>
  <c r="N12" i="1"/>
  <c r="P13" i="1"/>
  <c r="V13" i="1"/>
  <c r="N13" i="1"/>
  <c r="I13" i="1"/>
  <c r="M13" i="1"/>
  <c r="W13" i="1"/>
  <c r="J13" i="1"/>
  <c r="O13" i="1"/>
  <c r="M11" i="1"/>
  <c r="I11" i="1"/>
  <c r="O11" i="1"/>
  <c r="N11" i="1"/>
  <c r="W11" i="1"/>
  <c r="J11" i="1"/>
  <c r="T12" i="1"/>
  <c r="I12" i="1"/>
  <c r="V12" i="1"/>
  <c r="O10" i="1"/>
  <c r="T11" i="1"/>
  <c r="J12" i="1"/>
  <c r="W12" i="1"/>
  <c r="P12" i="1"/>
  <c r="M10" i="1"/>
  <c r="N10" i="1"/>
  <c r="P11" i="1"/>
  <c r="I10" i="1"/>
  <c r="J10" i="1"/>
  <c r="W15" i="1"/>
  <c r="J15" i="1"/>
  <c r="I15" i="1"/>
  <c r="M15" i="1"/>
  <c r="O15" i="1"/>
  <c r="N15" i="1"/>
  <c r="J14" i="1"/>
  <c r="I14" i="1"/>
  <c r="O14" i="1"/>
  <c r="N14" i="1"/>
  <c r="M14" i="1"/>
  <c r="W14" i="1"/>
  <c r="P15" i="1"/>
  <c r="T15" i="1"/>
  <c r="V14" i="1"/>
  <c r="P14" i="1"/>
  <c r="G9" i="1"/>
  <c r="C23" i="5" l="1"/>
  <c r="B23" i="5"/>
  <c r="D23" i="5" s="1"/>
  <c r="G17" i="1"/>
  <c r="E17" i="1"/>
  <c r="H17" i="1" s="1"/>
  <c r="D17" i="1"/>
  <c r="T17" i="1" s="1"/>
  <c r="L23" i="5" l="1"/>
  <c r="S23" i="5"/>
  <c r="T23" i="5"/>
  <c r="U23" i="5"/>
  <c r="V23" i="5"/>
  <c r="O17" i="1"/>
  <c r="N17" i="1"/>
  <c r="M17" i="1"/>
  <c r="W17" i="1"/>
  <c r="J17" i="1"/>
  <c r="I17" i="1"/>
  <c r="V17" i="1"/>
  <c r="P17" i="1"/>
  <c r="B2" i="5"/>
  <c r="C22" i="5" l="1"/>
  <c r="B22" i="5"/>
  <c r="D22" i="5" s="1"/>
  <c r="T22" i="5" l="1"/>
  <c r="B6" i="1"/>
  <c r="C15" i="5" l="1"/>
  <c r="B15" i="5"/>
  <c r="D15" i="5" s="1"/>
  <c r="T15" i="5" s="1"/>
  <c r="F15" i="5" l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6" i="1" l="1"/>
  <c r="E16" i="1"/>
  <c r="D16" i="1"/>
  <c r="T16" i="1" s="1"/>
  <c r="H16" i="1" l="1"/>
  <c r="W16" i="1" s="1"/>
  <c r="P16" i="1"/>
  <c r="V16" i="1"/>
  <c r="N16" i="1" l="1"/>
  <c r="O16" i="1"/>
  <c r="I16" i="1"/>
  <c r="J16" i="1"/>
  <c r="M16" i="1"/>
  <c r="W3" i="1"/>
  <c r="V3" i="1"/>
  <c r="S22" i="5" l="1"/>
  <c r="L22" i="5"/>
  <c r="U22" i="5"/>
  <c r="V22" i="5"/>
  <c r="B3" i="5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8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8" i="1"/>
  <c r="T7" i="1" l="1"/>
  <c r="W18" i="1"/>
  <c r="G6" i="1" l="1"/>
  <c r="V13" i="5"/>
  <c r="U13" i="5"/>
  <c r="H13" i="5"/>
  <c r="I13" i="5"/>
  <c r="S13" i="5"/>
  <c r="L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7" i="1" s="1"/>
  <c r="L9" i="1" l="1"/>
  <c r="L16" i="1"/>
  <c r="C7" i="1"/>
  <c r="P18" i="1"/>
  <c r="I18" i="1"/>
  <c r="J18" i="1"/>
  <c r="O18" i="1"/>
  <c r="N18" i="1"/>
  <c r="Q7" i="1" l="1"/>
  <c r="M68" i="3" s="1"/>
  <c r="L7" i="1"/>
  <c r="G68" i="3" s="1"/>
  <c r="K68" i="3"/>
  <c r="J68" i="3"/>
  <c r="M18" i="1"/>
  <c r="K18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<sst xmlns="http://schemas.openxmlformats.org/spreadsheetml/2006/main" count="471" uniqueCount="371">
  <si>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</si>
  <si>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</si>
  <si>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</si>
  <si>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</si>
  <si>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</si>
  <si>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</si>
  <si>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</si>
  <si>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</si>
  <si>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</si>
  <si>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</si>
  <si>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</si>
  <si>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</si>
  <si>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</si>
  <si>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</si>
  <si>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</si>
  <si>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</si>
  <si>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</si>
  <si>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</si>
  <si>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</si>
  <si>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</si>
  <si>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</si>
  <si>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</si>
  <si>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</si>
  <si>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</si>
  <si>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</si>
  <si>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</si>
  <si>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</si>
  <si>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</si>
  <si>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</si>
  <si>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</si>
  <si>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</si>
  <si>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</si>
  <si>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</si>
  <si>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</si>
  <si>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</si>
  <si>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</si>
  <si>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</si>
  <si>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</si>
  <si>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</si>
  <si>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</si>
  <si>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</si>
  <si>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</si>
  <si>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</si>
  <si>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</si>
  <si>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</si>
  <si>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</si>
  <si>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</si>
  <si>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</si>
  <si>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</si>
  <si>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</si>
  <si>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</si>
  <si>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</si>
  <si>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</si>
  <si>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</si>
  <si>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</si>
  <si>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</si>
  <si>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</si>
  <si>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</si>
  <si>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</si>
  <si>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</si>
  <si>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</si>
  <si>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</si>
  <si>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</si>
  <si>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</si>
  <si>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</si>
  <si>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</si>
  <si>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</si>
  <si>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</si>
  <si>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</si>
  <si>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</si>
  <si>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</si>
  <si>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</si>
  <si>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</si>
  <si>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</si>
  <si>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</si>
  <si>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</si>
  <si>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</si>
  <si>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</si>
  <si>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</si>
  <si>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</si>
  <si>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</si>
  <si>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</si>
  <si>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</si>
  <si>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</si>
  <si>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</si>
  <si>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</si>
  <si>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</si>
  <si>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</si>
  <si>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</si>
  <si>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</si>
  <si>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</si>
  <si>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</si>
  <si>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</si>
  <si>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</si>
  <si>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</si>
  <si>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</si>
  <si>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</si>
  <si>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</si>
  <si>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</si>
  <si>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</si>
  <si>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</si>
  <si>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</si>
  <si>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</si>
  <si>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</si>
  <si>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</si>
  <si>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</si>
  <si>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</si>
  <si>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</si>
  <si>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</si>
  <si>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</si>
  <si>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</si>
  <si>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</si>
  <si>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</si>
  <si>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</si>
  <si>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</si>
  <si>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</si>
  <si>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</si>
  <si>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</si>
  <si>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</si>
  <si>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</si>
  <si>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</si>
  <si>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</si>
  <si>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</si>
  <si>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</si>
  <si>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</si>
  <si>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</si>
  <si>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</si>
  <si>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</si>
  <si>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</si>
  <si>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</si>
  <si>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</si>
  <si>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</si>
  <si>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</si>
  <si>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</si>
  <si>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</si>
  <si>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</si>
  <si>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</si>
  <si>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</si>
  <si>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</si>
  <si>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</si>
  <si>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</si>
  <si>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</si>
  <si>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</si>
  <si>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</si>
  <si>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</si>
  <si>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</si>
  <si>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</si>
  <si>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</si>
  <si>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</si>
  <si>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</si>
  <si>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</si>
  <si>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</si>
  <si>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</si>
  <si>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</si>
  <si>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</si>
  <si>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</si>
  <si>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</si>
  <si>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</si>
  <si>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</si>
  <si>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</si>
  <si>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</si>
  <si>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</si>
  <si>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</si>
  <si>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</si>
  <si>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</si>
  <si>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</si>
  <si>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</si>
  <si>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</si>
  <si>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</si>
  <si>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</si>
  <si>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</si>
  <si>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</si>
  <si>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</si>
  <si>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</si>
  <si>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</si>
  <si>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</si>
  <si>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</si>
  <si>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</si>
  <si>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</si>
  <si>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</si>
  <si>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</si>
  <si>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</si>
  <si>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</si>
  <si>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</si>
  <si>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</si>
  <si>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</si>
  <si>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</si>
  <si>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</si>
  <si>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</si>
  <si>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</si>
  <si>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</si>
  <si>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</si>
  <si>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</si>
  <si>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</si>
  <si>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</si>
  <si>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</si>
  <si>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</si>
  <si>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</si>
  <si>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</si>
  <si>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</si>
  <si>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</si>
  <si>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</si>
  <si>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</si>
  <si>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</si>
  <si>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</si>
  <si>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</si>
  <si>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</si>
  <si>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</si>
  <si>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</si>
  <si>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</si>
  <si>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</si>
  <si>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</si>
  <si>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</si>
  <si>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</si>
  <si>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</si>
  <si>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</si>
  <si>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</si>
  <si>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</si>
  <si>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</si>
  <si>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</si>
  <si>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</si>
  <si>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</si>
  <si>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</si>
  <si>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</si>
  <si>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</si>
  <si>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</si>
  <si>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</si>
  <si>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</si>
  <si>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</si>
  <si>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</si>
  <si>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</si>
  <si>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</si>
  <si>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</si>
  <si>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</si>
  <si>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</si>
  <si>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</si>
  <si>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</si>
  <si>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</si>
  <si>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</si>
  <si>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</si>
  <si>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</si>
  <si>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</si>
  <si>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</si>
  <si>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</si>
  <si>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</si>
  <si>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</si>
  <si>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</si>
  <si>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</si>
  <si>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</si>
  <si>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</si>
  <si>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</si>
  <si>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</si>
  <si>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</si>
  <si>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</si>
  <si>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</si>
  <si>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</si>
  <si>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</si>
  <si>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</si>
  <si>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</si>
  <si>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</si>
  <si>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</si>
  <si>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</si>
  <si>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</si>
  <si>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</si>
  <si>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</si>
  <si>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</si>
  <si>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</si>
  <si>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</si>
  <si>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</si>
  <si>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</si>
  <si>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</si>
  <si>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</si>
  <si>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</si>
  <si>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</si>
  <si>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</si>
  <si>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</si>
  <si>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</si>
  <si>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</si>
  <si>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</si>
  <si>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</si>
  <si>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</si>
  <si>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</si>
  <si>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</si>
  <si>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</si>
  <si>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</si>
  <si>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</si>
  <si>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</si>
  <si>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</si>
  <si>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</si>
  <si>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</si>
  <si>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</si>
  <si>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</si>
  <si>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</si>
  <si>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</si>
  <si>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</si>
  <si>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</si>
  <si>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</si>
  <si>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</si>
  <si>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</si>
  <si>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</si>
  <si>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</si>
  <si>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</si>
  <si>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</si>
  <si>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</si>
  <si>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</si>
  <si>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</si>
  <si>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</si>
  <si>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</si>
  <si>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</si>
  <si>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</si>
  <si>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</si>
  <si>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</si>
  <si>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</si>
  <si>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</si>
  <si>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</si>
  <si>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</si>
  <si>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</si>
  <si>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</si>
  <si>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</si>
  <si>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</si>
  <si>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</si>
  <si>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</si>
  <si>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</si>
  <si>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</si>
  <si>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</si>
  <si>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</si>
  <si>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</si>
  <si>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</si>
  <si>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</si>
  <si>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</si>
  <si>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</si>
  <si>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</si>
  <si>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</si>
  <si>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</si>
  <si>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</si>
  <si>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</si>
  <si>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</si>
  <si>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</si>
  <si>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</si>
  <si>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</si>
  <si>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</si>
  <si>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</si>
  <si>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</si>
  <si>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</si>
  <si>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</si>
  <si>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</si>
  <si>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</si>
  <si>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</si>
  <si>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</si>
  <si>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</si>
  <si>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</si>
  <si>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</si>
  <si>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</si>
  <si>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Master.Inventory</t>
  </si>
  <si>
    <t>varchar(50)</t>
  </si>
  <si>
    <t>IS_ACTIVE</t>
  </si>
  <si>
    <t>varchar(1)</t>
  </si>
  <si>
    <t>Code</t>
  </si>
  <si>
    <t>Description</t>
  </si>
  <si>
    <t>varchar(500)</t>
  </si>
  <si>
    <t>varchar(100)</t>
  </si>
  <si>
    <t>MstInvHrOrgStructure</t>
  </si>
  <si>
    <t>HrOrgStructure</t>
  </si>
  <si>
    <t>Hr Org Structure</t>
  </si>
  <si>
    <t>HrId</t>
  </si>
  <si>
    <t>Published</t>
  </si>
  <si>
    <t>OrgStructureTypeName</t>
  </si>
  <si>
    <t>OrgStructureTypeCode</t>
  </si>
  <si>
    <t>ParentId</t>
  </si>
  <si>
    <t>varchar(200)</t>
  </si>
  <si>
    <t>varchar(150)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</si>
</sst>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0" borderId="0" xfId="0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49" zoomScaleNormal="100" workbookViewId="0">
      <selection activeCell="C68" sqref="C68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5" t="s">
        <v>74</v>
      </c>
    </row>
    <row r="2" spans="1:7" ht="15.5" x14ac:dyDescent="0.35">
      <c r="A2" s="1"/>
      <c r="B2" s="27" t="s">
        <v>196</v>
      </c>
    </row>
    <row r="3" spans="1:7" x14ac:dyDescent="0.35">
      <c r="A3" s="1"/>
      <c r="B3" s="1" t="s">
        <v>77</v>
      </c>
    </row>
    <row r="4" spans="1:7" x14ac:dyDescent="0.35">
      <c r="A4" s="1"/>
      <c r="B4" s="17" t="s">
        <v>76</v>
      </c>
    </row>
    <row r="5" spans="1:7" x14ac:dyDescent="0.35">
      <c r="A5" s="1"/>
      <c r="B5" s="17" t="s">
        <v>79</v>
      </c>
    </row>
    <row r="6" spans="1:7" x14ac:dyDescent="0.35">
      <c r="A6" s="1"/>
      <c r="B6" s="17" t="s">
        <v>87</v>
      </c>
    </row>
    <row r="7" spans="1:7" x14ac:dyDescent="0.3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5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3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5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35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35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35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35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35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35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35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35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35">
      <c r="A51" s="1"/>
      <c r="B51" s="17"/>
    </row>
    <row r="52" spans="1:7" x14ac:dyDescent="0.35">
      <c r="A52" s="1"/>
      <c r="B52" s="17" t="s">
        <v>86</v>
      </c>
    </row>
    <row r="53" spans="1:7" x14ac:dyDescent="0.35">
      <c r="A53" s="1"/>
      <c r="B53" s="17" t="s">
        <v>83</v>
      </c>
    </row>
    <row r="54" spans="1:7" x14ac:dyDescent="0.35">
      <c r="A54" s="1"/>
      <c r="B54" s="17"/>
      <c r="C54" s="19" t="s">
        <v>80</v>
      </c>
    </row>
    <row r="55" spans="1:7" x14ac:dyDescent="0.35">
      <c r="A55" s="1"/>
      <c r="B55" s="17"/>
      <c r="C55" s="18" t="s">
        <v>81</v>
      </c>
    </row>
    <row r="56" spans="1:7" x14ac:dyDescent="0.35">
      <c r="A56" s="1"/>
      <c r="B56" s="17"/>
      <c r="C56" s="18" t="s">
        <v>82</v>
      </c>
    </row>
    <row r="57" spans="1:7" x14ac:dyDescent="0.35">
      <c r="A57" s="1"/>
      <c r="B57" s="17" t="s">
        <v>106</v>
      </c>
      <c r="C57" s="18"/>
    </row>
    <row r="58" spans="1:7" x14ac:dyDescent="0.35">
      <c r="A58" s="1"/>
      <c r="B58" s="17"/>
      <c r="C58" s="18" t="s">
        <v>107</v>
      </c>
    </row>
    <row r="59" spans="1:7" x14ac:dyDescent="0.35">
      <c r="A59" s="1"/>
      <c r="B59" s="17"/>
      <c r="C59" s="18" t="s">
        <v>108</v>
      </c>
    </row>
    <row r="60" spans="1:7" x14ac:dyDescent="0.35">
      <c r="A60" s="1"/>
      <c r="B60" s="17"/>
      <c r="C60" s="18" t="s">
        <v>109</v>
      </c>
    </row>
    <row r="61" spans="1:7" x14ac:dyDescent="0.35">
      <c r="A61" s="1"/>
      <c r="B61" s="17"/>
      <c r="C61" s="18" t="s">
        <v>111</v>
      </c>
    </row>
    <row r="62" spans="1:7" x14ac:dyDescent="0.35">
      <c r="A62" s="1"/>
      <c r="B62" s="17"/>
      <c r="C62" s="18" t="s">
        <v>113</v>
      </c>
    </row>
    <row r="63" spans="1:7" x14ac:dyDescent="0.35">
      <c r="A63" s="1"/>
      <c r="B63" s="17"/>
      <c r="C63" s="18" t="s">
        <v>112</v>
      </c>
    </row>
    <row r="64" spans="1:7" x14ac:dyDescent="0.35">
      <c r="A64" s="1"/>
      <c r="B64" s="17"/>
      <c r="C64" s="18" t="s">
        <v>110</v>
      </c>
    </row>
    <row r="65" spans="2:14" ht="21" customHeight="1" x14ac:dyDescent="0.35">
      <c r="B65" s="21" t="s">
        <v>78</v>
      </c>
    </row>
    <row r="66" spans="2:14" ht="21" customHeight="1" x14ac:dyDescent="0.35">
      <c r="B66" s="63" t="s">
        <v>231</v>
      </c>
    </row>
    <row r="67" spans="2:14" ht="15" thickBot="1" x14ac:dyDescent="0.4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4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[Table("MstInvHrOrgStructure")]
	[Index(nameof(Hrid), Name="IX_MstInvHrOrgStructure_Hrid")]
	[Index(nameof(IsActive), Name="IX_MstInvHrOrgStructure_IsActive")]	public class MstInvHrOrgStructure: FullAuditedEntity&lt;long&gt;, IEntity&lt;long&gt;	
	{
		public const int MaxHridLength = 500;
		public const int MaxCodeLength = 50;
		public const int MaxNameLength = 200;
		public const int MaxDescriptionLength = 100;
		public const int MaxOrgstructuretypenameLength = 150;
		public const int MaxOrgstructuretypecodeLength = 100;
		public const int MaxParentidLength = 500;
		public const int MaxIsActiveLength = 1;
		[Column(TypeName="uniqueidentifier")]
		[StringLength(MaxHridLength)]
		public virtual string Hrid { get; set; }
		[StringLength(MaxCodeLength)]
		public virtual string Code { get; set; }
		[StringLength(MaxNameLength)]
		public virtual string Name { get; set; }
		[StringLength(MaxDescriptionLength)]
		public virtual string Description { get; set; }
		public virtual int Published { get; set; }
		[StringLength(MaxOrgstructuretypenameLength)]
		public virtual string Orgstructuretypename { get; set; }
		[StringLength(MaxOrgstructuretypecodeLength)]
		public virtual string Orgstructuretypecode { get; set; }
		[Column(TypeName="uniqueidentifier")]
		[StringLength(MaxParentidLength)]
		public virtual string Parentid { get; set; }
		[StringLength(MaxIsActiveLength)]
		public virtual string IsActive { get; set; }
	}
}
</v>
      </c>
      <c r="D68" s="51" t="str">
        <f>A.Backend!O7</f>
        <v xml:space="preserve">		public const string Pages_Master_Inventory_HrOrgStructure = "Pages.Master.Inventory.HrOrgStructure";
		public const string Pages_Master_Inventory_HrOrgStructure_CreateEdit = "Pages.Master.Inventory.HrOrgStructure.CreateEdit";
		public const string Pages_Master_Inventory_HrOrgStructure_Delete = "Pages.Master.Inventory.HrOrgStructure.Delete";
</v>
      </c>
      <c r="E68" s="51" t="str">
        <f>A.Backend!N7</f>
        <v xml:space="preserve">		var perMstInvHrOrgStructure = PARENTS.CreateChildPermission(AppPermissions.Pages_Master_Inventory_HrOrgStructure, L( "MasterInventoryHrOrgStructure"), multiTenancySides: MultiTenancySides.Tenant);
		perMstInvHrOrgStructure.CreateChildPermission(AppPermissions.Pages_Master_Inventory_HrOrgStructure_CreateEdit, L( "MasterInventoryHrOrgStructureCreateEdit"), multiTenancySides: MultiTenancySides.Tenant);
		perMstInvHrOrgStructure.CreateChildPermission(AppPermissions.Pages_Master_Inventory_HrOrgStructure_Delete, L( "MasterInventoryHrOrgStructureDelete"), multiTenancySides: MultiTenancySides.Tenant);</v>
      </c>
      <c r="F68" s="51" t="str">
        <f>A.Backend!K7</f>
        <v>public virtual DbSet&lt;MstInvHrOrgStructure&gt; MstInvHrOrgStructures { get; set; }</v>
      </c>
      <c r="G68" s="51" t="str">
        <f ca="1">A.Backend!L7</f>
        <v xml:space="preserve">namespace prod.Master.Inventory
{
	public class MstInvHrOrgStructureConsts	
	{
		public const int MaxHridLength = 500;
		public const int MaxCodeLength = 50;
		public const int MaxNameLength = 200;
		public const int MaxDescriptionLength = 100;
		public const int MaxOrgstructuretypenameLength = 150;
		public const int MaxOrgstructuretypecodeLength = 100;
		public const int MaxParentidLength = 500;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prod.Master.Inventory.Dto
{
	public class MstInvHrOrgStructureDto : EntityDto&lt;long?&gt;	
	{
		public virtual string Hrid { get; set; }
		public virtual string Code { get; set; }
		public virtual string Name { get; set; }
		public virtual string Description { get; set; }
		public virtual int Published { get; set; }
		public virtual string Orgstructuretypename { get; set; }
		public virtual string Orgstructuretypecode { get; set; }
		public virtual string Parentid { get; set; }
		public virtual string IsActive { get; set; }
	}
	public class CreateOrEditMstInvHrOrgStructureDto : EntityDto&lt;long?&gt;	
	{
		[StringLength(MstInvHrOrgStructureConsts.MaxHridLength)]
		public virtual string Hrid { get; set; }
		[StringLength(MstInvHrOrgStructureConsts.MaxCodeLength)]
		public virtual string Code { get; set; }
		[StringLength(MstInvHrOrgStructureConsts.MaxNameLength)]
		public virtual string Name { get; set; }
		[StringLength(MstInvHrOrgStructureConsts.MaxDescriptionLength)]
		public virtual string Description { get; set; }
		public virtual int Published { get; set; }
		[StringLength(MstInvHrOrgStructureConsts.MaxOrgstructuretypenameLength)]
		public virtual string Orgstructuretypename { get; set; }
		[StringLength(MstInvHrOrgStructureConsts.MaxOrgstructuretypecodeLength)]
		public virtual string Orgstructuretypecode { get; set; }
		[StringLength(MstInvHrOrgStructureConsts.MaxParentidLength)]
		public virtual string Parentid { get; set; }
		[StringLength(MstInvHrOrgStructureConsts.MaxIsActiveLength)]
		public virtual string IsActive { get; set; }
	}
	public class GetMstInvHrOrgStructureInput : PagedAndSortedResultRequestDto	
	{
		public virtual string Hrid { get; set; }
		public virtual string Code { get; set; }
		public virtual string Name { get; set; }
		public virtual string Description { get; set; }
		public virtual int Published { get; set; }
		public virtual string Orgstructuretypename { get; set; }
		public virtual string Orgstructuretypecode { get; set; }
		public virtual string Parentid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prod.Master.Inventory.Dto
{
	public class MstInvHrOrgStructureExportInput{
		public virtual string Hrid { get; set; }
		public virtual string Code { get; set; }
		public virtual string Name { get; set; }
		public virtual string Description { get; set; }
		public virtual int Published { get; set; }
		public virtual string Orgstructuretypename { get; set; }
		public virtual string Orgstructuretypecode { get; set; }
		public virtual string Parentid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IMstInvHrOrgStructureAppService : IApplicationService
	{
		Task&lt;PagedResultDto&lt;MstInvHrOrgStructureDto&gt;&gt; GetAll(GetMstInvHrOrgStructureInput input);
		Task CreateOrEdit(CreateOrEditMstInvHrOrgStructureDto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IMstInvHrOrgStructureExcelExporter : IApplicationService
	{
		FileDto ExportToFile(List&lt;MstInvHrOrgStructureDto&gt; mstinvhrorgstructure);
	}
}
</v>
      </c>
      <c r="L68" s="51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MstInvHrOrgStructureExcelExporter : NpoiExcelExporterBase, IMstInvHrOrgStructureExcelExporter
    {
        public MstInvHrOrgStructureExcelExporter(ITempFileCacheManager tempFileCacheManager) : base(tempFileCacheManager) { }
        public FileDto ExportToFile(List&lt;MstInvHrOrgStructureDto&gt; hrorgstructure)
        {
            return CreateExcelPackage(
				"MasterInventoryHrOrgStructure.xlsx",
				excelPackage =&gt;
				 {
					var sheet = excelPackage.CreateSheet("HrOrgStructure");
					AddHeader(
								sheet,
								("Hrid"),
								("Code"),
								("Name"),
								("Description"),
								("Published"),
								("Orgstructuretypename"),
								("Orgstructuretypecode"),
								("Parentid"),
								("IsActive"),
							   );
					AddObjects(
						 sheet, 1, hrorgstructure,                                       
								_ =&gt; _.Hrid,
								_ =&gt; _.Code,
								_ =&gt; _.Name,
								_ =&gt; _.Description,
								_ =&gt; _.Published,
								_ =&gt; _.Orgstructuretypename,
								_ =&gt; _.Orgstructuretypecode,
								_ =&gt; _.Parentid,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[AbpAuthorize(AppPermissions.Pages_Master_Inventory_HrOrgStructure)]
    public class MstInvHrOrgStructureAppService : vovinaAppServiceBase, IMstInvHrOrgStructureAppService
    {
        private readonly IDapperRepository&lt;MstInvHrOrgStructure, long&gt; _dapperRepo;
        private readonly IRepository&lt;MstInvHrOrgStructure, long&gt; _repo;
        private readonly IMstInvHrOrgStructureExcelExporter _calendarListExcelExporter;
        public MstInvHrOrgStructureAppService(IRepository&lt;MstInvHrOrgStructure,long&gt; repo, 
                                         IDapperRepository&lt;MstInvHrOrgStructure,long&gt; dapperRepo,
                                        IMstInvHrOrgStructureExcelExporter calendarListExcelExporter
            )
        {
            _repo = repo;
            _dapperRepo = dapperRepo;
            _calendarListExcelExporter = calendarListExcelExporter;
        }
        [AbpAuthorize(AppPermissions.Pages_Master_Inventory_HrOrgStructure_CreateEdit)]
        public async Task CreateOrEdit(CreateOrEditMstInvHrOrgStructureDto input)
        {
            if (input.Id == null) await Create(input);
            else await Update(input);
        }
        //CREATE
        private async Task Create(CreateOrEditMstInvHrOrgStructureDto input)
        {          
            var mainObj = ObjectMapper.Map&lt;MstInvHrOrgStructure&gt;(input);
            await CurrentUnitOfWork.GetDbContext&lt;vovinaDbContext&gt;().AddAsync(mainObj);
        }
        // EDIT
        private async Task Update(CreateOrEditMstInvHrOrgStructureDto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[AbpAuthorize(AppPermissions.Pages_Master_Inventory_HrOrgStructure_Delete)]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Task&lt;PagedResultDto&lt;MstInvHrOrgStructureDto&gt;&gt; GetAll(GetMstInvHrOrgStructureInput input)
        {
            var filtered = _repo.GetAll()
				.WhereIf(!string.IsNullOrWhiteSpace(input.Hrid), e =&gt; e.Hrid.Contains(input.Hrid))
				.WhereIf(!string.IsNullOrWhiteSpace(input.Code), e =&gt; e.Code.Contains(input.Code))
				.WhereIf(!string.IsNullOrWhiteSpace(input.Name), e =&gt; e.Name.Contains(input.Name))
				.WhereIf(!string.IsNullOrWhiteSpace(input.Description), e =&gt; e.Description.Contains(input.Description))
				.WhereIf(!string.IsNullOrWhiteSpace(input.Orgstructuretypename), e =&gt; e.Orgstructuretypename.Contains(input.Orgstructuretypename))
				.WhereIf(!string.IsNullOrWhiteSpace(input.Orgstructuretypecode), e =&gt; e.Orgstructuretypecode.Contains(input.Orgstructuretypecode))
				.WhereIf(!string.IsNullOrWhiteSpace(input.Parentid), e =&gt; e.Parentid.Contains(input.Parentid))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MstInvHrOrgStructureDto
                        {
							Id = o.Id,
							Hrid = o.Hrid,
							Code = o.Code,
							Name = o.Name,
							Description = o.Description,
							Published = o.Published,
							Orgstructuretypename = o.Orgstructuretypename,
							Orgstructuretypecode = o.Orgstructuretypecode,
							Parentid = o.Parentid,
							IsActive = o.IsActive,
                        };
            var totalCount = await filtered.CountAsync();
			var paged = system.PageBy(input);
            return new PagedResultDto&lt;MstInvHrOrgStructureDto&gt;(
                totalCount,
                 await paged.ToListAsync()
            );
        }
        public async Task&lt;FileDto&gt; GetHrOrgStructureToExcel(MstInvHrOrgStructureExportInput input)
        {
            var query = from o in _repo.GetAll()
                        select new MstInvHrOrgStructureDto
                        {
							Id = o.Id,
							Hrid = o.Hrid,
							Code = o.Code,
							Name = o.Name,
							Description = o.Description,
							Published = o.Published,
							Orgstructuretypename = o.Orgstructuretypename,
							Orgstructuretypecode = o.Orgstructuretypecode,
							Parentid = o.Parentid,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_dapperRepo.ExecuteAsync(MstInvHrOrgStructureConsts.SP_MST_WPT_CALENDAR_GENERATE);
       // }
    }
}</v>
      </c>
      <c r="N68" s="62" t="str">
        <f>A.Backend!U7</f>
        <v xml:space="preserve">  configuration.CreateMap&lt;MstInvHrOrgStructureDto, MstInvHrOrgStructure&gt;();
  configuration.CreateMap&lt;MstInvHrOrgStructure, MstInvHrOrgStructureDto&gt;();
  configuration.CreateMap&lt;CreateOrEditMstInvHrOrgStructureDto, MstInvHrOrgStructure&gt;();</v>
      </c>
    </row>
    <row r="69" spans="2:14" s="16" customFormat="1" ht="21.75" customHeight="1" x14ac:dyDescent="0.3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5">
      <c r="C71" s="29"/>
      <c r="D71" s="29"/>
      <c r="E71" s="29"/>
      <c r="G71" s="29"/>
      <c r="H71" s="29"/>
    </row>
    <row r="72" spans="2:14" x14ac:dyDescent="0.35">
      <c r="B72" s="1" t="s">
        <v>73</v>
      </c>
    </row>
    <row r="73" spans="2:14" ht="21" x14ac:dyDescent="0.5">
      <c r="B73" t="str">
        <f>B.Frontend!B8</f>
        <v>hrorgstructure</v>
      </c>
      <c r="C73" s="73" t="str">
        <f>"create folder " &amp;B73</f>
        <v>create folder hrorgstructure</v>
      </c>
      <c r="D73" s="73"/>
      <c r="E73" s="73"/>
      <c r="F73" s="73"/>
      <c r="G73" s="73"/>
      <c r="H73" s="73"/>
      <c r="I73" s="73"/>
      <c r="J73" s="73"/>
      <c r="K73" s="74" t="s">
        <v>228</v>
      </c>
      <c r="L73" s="74"/>
      <c r="M73" s="31"/>
    </row>
    <row r="74" spans="2:14" s="28" customFormat="1" ht="18" customHeight="1" x14ac:dyDescent="0.35">
      <c r="B74" s="60" t="s">
        <v>229</v>
      </c>
      <c r="C74" s="31" t="str">
        <f>B.Frontend!H14</f>
        <v>hrorgstructure.component.ts</v>
      </c>
      <c r="D74" s="31" t="str">
        <f>B.Frontend!I14</f>
        <v>hrorgstructure.component.html</v>
      </c>
      <c r="E74" s="31" t="str">
        <f>B.Frontend!J14</f>
        <v>hrorgstructure.component.less</v>
      </c>
      <c r="F74" s="31" t="str">
        <f>B.Frontend!K14</f>
        <v>create-or-edit-hrorgstructure-modal.component.html</v>
      </c>
      <c r="G74" s="31" t="str">
        <f>B.Frontend!L14</f>
        <v>create-or-edit-hrorgstructure-modal.component.ts</v>
      </c>
      <c r="H74" s="31" t="str">
        <f>B.Frontend!M14</f>
        <v>create-or-edit-hrorgstructure-modal.component.less</v>
      </c>
      <c r="I74" s="31" t="str">
        <f>B.Frontend!N14</f>
        <v>hrorgstructure.module.ts</v>
      </c>
      <c r="J74" s="31" t="str">
        <f>B.Frontend!O14</f>
        <v>hrorgstructure-routing.module.ts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MstInvHrOrgStructureDto, MstInvHrOrgStructureServiceProxy } from '@shared/service-proxies/service-proxies';
import { finalize } from 'rxjs/internal/operators/finalize';
import { CreateOrEditHrOrgStructureModalComponent } from './create-or-edit-hrorgstructure-modal.component';
import { DatePipe } from '@angular/common';
import { FileDownloadService } from '@shared/utils/file-download.service';
import ceil from 'lodash-es/ceil';
import { Paginator } from 'primeng/paginator';
@Component({
    templateUrl: './hrorgstructure.component.html',
    styleUrls: ['./hrorgstructure.component.less'],
})
export class HrOrgStructureComponent extends AppComponentBase implements OnInit {
    @ViewChild('createOrEditModalHrOrgStructure', { static: true }) createOrEditModalHrOrgStructure:| CreateOrEditHrOrgStructureModalComponent|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MstInvHrOrgStructureDto = new MstInvHrOrgStructureDto();
    saveSelectedRow: MstInvHrOrgStructureDto = new MstInvHrOrgStructureDto();
    datas: MstInvHrOrgStructureDto = new MstInvHrOrgStructureDto();
    isLoading: boolean = false;
    dataParams: GridParams | undefined;
    rowData: any[] = [];
    gridApi!: GridApi;
    rowSelection = 'multiple';
    filter: string = '';
	pipe = new DatePipe('en-US');
	frameworkComponents: FrameworkComponent;
    	hrid : string = '' ; 
	code : string = '' ; 
name : string = '' ; 
	description : string = '' ; 
published : number = 0 ;
	orgstructuretypename : string = '' ; 
orgstructuretypecode : string = '' ; 
	parentid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MstInvHrOrgStructureServiceProxy,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this.l('Hrid'),headerTooltip: this.l('Hrid'),field: 'hrid',flex: 1},
			{headerName: this.l('Code'),headerTooltip: this.l('Code'),field: 'code',flex: 1},
			{headerName: this.l('Name'),headerTooltip: this.l('Name'),field: 'name',flex: 1},
			{headerName: this.l('Description'),headerTooltip: this.l('Description'),field: 'description',flex: 1},
			{headerName: this.l('Published'),headerTooltip: this.l('Published'),field: 'published',flex: 1},
			{headerName: this.l('Orgstructuretypename'),headerTooltip: this.l('Orgstructuretypename'),field: 'orgstructuretypename',flex: 1},
			{headerName: this.l('Orgstructuretypecode'),headerTooltip: this.l('Orgstructuretypecode'),field: 'orgstructuretypecode',flex: 1},
			{headerName: this.l('Parentid'),headerTooltip: this.l('Parentid'),field: 'parentid',flex: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this.hrid,
			this.code,
			this.name,
			this.description,
			this.published,
			this.orgstructuretypename,
			this.orgstructuretypecode,
			this.parentid,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this.hrid = '',
		this.code = '',
this.name = '',
		this.description = '',
this.published = 0,
		this.orgstructuretypename = '',
this.orgstructuretypecode = '',
		this.parentid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this.hrid,
			this.code,
			this.name,
			this.description,
			this.published,
			this.orgstructuretypename,
			this.orgstructuretypecode,
			this.parentid,
			this.isActive,
			'',
            this.paginationParams.skipCount,
            this.paginationParams.pageSize
        );
    }
    onChangeRowSelection(params: { api: { getSelectedRows: () =&gt; MstInvHrOrgStructureDto[] } }) {
        this.saveSelectedRow = params.api.getSelectedRows()[0] ?? new MstInvHrOrgStructureDto();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MstInvHrOrgStructureDto):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this._service.getHrOrgStructureToExcel(
			this.hrid,
			this.code,
			this.name,
			this.description,
			this.published,
			this.orgstructuretypename,
			this.orgstructuretypecode,
			this.parentid,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Hr Org Structure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[(ngModel)]='hrid' name='hrid'
									class='form-control' [placeholder]="l('Hrid')"
									type='text' (keyup.enter)='searchDatas()'&gt;
								&lt;/div&gt;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[(ngModel)]='orgstructuretypename' name='orgstructuretypename'
									class='form-control' [placeholder]="l('Orgstructuretypename')"
									type='text' (keyup.enter)='searchDatas()'&gt;
								&lt;/div&gt;
								&lt;div class='input-search'&gt;
									&lt;input [(ngModel)]='orgstructuretypecode' name='orgstructuretypecode'
									class='form-control' [placeholder]="l('Orgstructuretypecode')"
									type='text' (keyup.enter)='searchDatas()'&gt;
								&lt;/div&gt;
								&lt;div class='input-search'&gt;
									&lt;input [(ngModel)]='parentid' name='parentid'
									class='form-control' [placeholder]="l('Parentid')"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(click)="createOrEditModalHrOrgStructure.show()"&gt;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(click)="createOrEditModalHrOrgStructure.show(selectedRow)"&gt;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&lt;create-or-edit-hrorgstructure-modal
    #createOrEditModalHrOrgStructure
    (modalSave)="callBackDataGrid(dataParams)"
    (modalClose)="onChangeRowSelection(dataParams)"
&gt;
&lt;/create-or-edit-hrorgstructure-modal&gt;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#createOrEditModalHrOrgStructure="bs-modal"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HrOrgStructure')}}&lt;/h3&gt;
                    &lt;h3 *ngIf="!rowdata.id"&gt;{{('Create New HrOrgStructure')}}&lt;/h3&gt;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title'&gt;Hrid&lt;/label&gt;
						&lt;input type='text' class='col-md-10 form-control input-text' name='Hrid' [(ngModel)]='rowdata.hrid'&gt;
					&lt;/div&gt;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title'&gt;Published&lt;/label&gt;
						&lt;input type='number' class='col-md-10 form-control input-text' name='Published' [(ngModel)]='rowdata.published'&gt;
					&lt;/div&gt;
					&lt;div class='col-md-12 form-group row'&gt;
						&lt;label class='col-md-2 form-control title'&gt;Orgstructuretypename&lt;/label&gt;
						&lt;input type='text' class='col-md-10 form-control input-text' name='Orgstructuretypename' [(ngModel)]='rowdata.orgstructuretypename'&gt;
					&lt;/div&gt;
					&lt;div class='col-md-12 form-group row'&gt;
						&lt;label class='col-md-2 form-control title'&gt;Orgstructuretypecode&lt;/label&gt;
						&lt;input type='text' class='col-md-10 form-control input-text' name='Orgstructuretypecode' [(ngModel)]='rowdata.orgstructuretypecode'&gt;
					&lt;/div&gt;
					&lt;div class='col-md-12 form-group row'&gt;
						&lt;label class='col-md-2 form-control title'&gt;Parentid&lt;/label&gt;
						&lt;input type='text' class='col-md-10 form-control input-text' name='Parentid' [(ngModel)]='rowdata.parentid'&gt;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CreateOrEditMstInvHrOrgStructureDto, MstInvHrOrgStructureServiceProxy } from '@shared/service-proxies/service-proxies';
import { BsDatepickerDirective } from 'ngx-bootstrap/datepicker';
@Component({
    selector: 'create-or-edit-hrorgstructure-modal',
    templateUrl: './create-or-edit-hrorgstructure-modal.component.html',
    styleUrls: ['./create-or-edit-hrorgstructure-modal.component.less']
    })
export class CreateOrEditHrOrgStructureModalComponent extends AppComponentBase {
    @ViewChild('createOrEditModalHrOrgStructure',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CreateOrEditMstInvHrOrgStructureDto = new CreateOrEditMstInvHrOrgStructureDto();
    active: boolean = false;
    saving: boolean = false;
    _isActive: boolean;
    constructor(
        injector: Injector,
        private _mstwptHrOrgStructureService: MstInvHrOrgStructureServiceProxy,
    ) 
    {
        super(injector);
    }
    show(rowdata?: CreateOrEditMstInvHrOrgStructureDto): void {
        if (!rowdata) this.rowdata = new CreateOrEditMstInvHrOrgStructureDto();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this._mstwptHrOrgStructureService.createOrEdit(this.rowdata)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HrOrgStructureRoutingModule } from './hrorgstructure-routing.module';
import { HrOrgStructureComponent } from './hrorgstructure.component';
import { CreateOrEditHrOrgStructureModalComponent } from './create-or-edit-hrorgstructure-modal.component';
@NgModule({
    declarations: [
       HrOrgStructureComponent, 
        CreateOrEditHrOrgStructureModalComponent
    ],
    imports: [
        AppSharedModule, HrOrgStructureRoutingModule]
})
export class HrOrgStructureModule {}</v>
      </c>
      <c r="J75" s="49" t="str">
        <f>B.Frontend!O10</f>
        <v>import {NgModule} from '@angular/core';
import {RouterModule, Routes} from '@angular/router';
import { HrOrgStructureComponent } from './hrorgstructure.component';
const routes: Routes = [{
    path: '',
    component: HrOrgStructureComponent,
    pathMatch: 'full'
}];
@NgModule({
    imports: [RouterModule.forChild(routes)],
    exports: [RouterModule],
})
export class HrOrgStructureRoutingModule {}</v>
      </c>
      <c r="K75" s="49" t="str">
        <f>B.Frontend!P10</f>
        <v xml:space="preserve"> new AppMenuItem("HrOrgStructure", "Pages.Master.Inventory.HrOrgStructure", "flaticon-book",   "/app/main/master/inventory/hrorgstructure"),</v>
      </c>
      <c r="L75" s="50" t="str">
        <f>B.Frontend!Q10</f>
        <v>{
    path: 'master/inventory/hrorgstructure',
    loadChildren: () =&gt; import('./master/inventory/hrorgstructure/hrorgstructure.module').then(m =&gt; m.HrOrgStructureModule),
    data: { permission: 'Pages.Master.Inventory.HrOrgStructure' }
},</v>
      </c>
      <c r="M75" s="48" t="str">
        <f>B.Frontend!R10</f>
        <v>ApiServiceProxies.MstInvHrOrgStructureServiceProxy,</v>
      </c>
    </row>
    <row r="77" spans="2:14" x14ac:dyDescent="0.3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8"/>
  <sheetViews>
    <sheetView tabSelected="1" workbookViewId="0">
      <pane xSplit="1" topLeftCell="B1" activePane="topRight" state="frozen"/>
      <selection pane="topRight" activeCell="C5" sqref="C5"/>
    </sheetView>
  </sheetViews>
  <sheetFormatPr defaultColWidth="9.1796875" defaultRowHeight="14.5" x14ac:dyDescent="0.35"/>
  <cols>
    <col min="1" max="1" width="20.81640625" style="8" customWidth="1"/>
    <col min="2" max="2" width="20.453125" style="9" customWidth="1"/>
    <col min="3" max="3" width="19.453125" style="8" customWidth="1"/>
    <col min="4" max="4" width="23.453125" style="8" customWidth="1"/>
    <col min="5" max="5" width="14.453125" style="8" customWidth="1"/>
    <col min="6" max="6" width="14.81640625" style="8" customWidth="1"/>
    <col min="7" max="7" width="17.26953125" style="8" bestFit="1" customWidth="1"/>
    <col min="8" max="8" width="15" style="8" customWidth="1"/>
    <col min="9" max="9" width="16" style="8" customWidth="1"/>
    <col min="10" max="10" width="15.81640625" style="8" customWidth="1"/>
    <col min="11" max="11" width="16" style="8" customWidth="1"/>
    <col min="12" max="12" width="16.7265625" style="8" customWidth="1"/>
    <col min="13" max="13" width="17.453125" style="8" customWidth="1"/>
    <col min="14" max="14" width="16.1796875" style="8" customWidth="1"/>
    <col min="15" max="15" width="14.7265625" style="8" customWidth="1"/>
    <col min="16" max="16" width="16" style="8" customWidth="1"/>
    <col min="17" max="17" width="15.7265625" style="8" customWidth="1"/>
    <col min="18" max="18" width="19.453125" style="8" customWidth="1"/>
    <col min="19" max="19" width="20.453125" style="8" customWidth="1"/>
    <col min="20" max="20" width="17" style="8" customWidth="1"/>
    <col min="21" max="21" width="14" style="8" customWidth="1"/>
    <col min="22" max="22" width="15.1796875" style="8" customWidth="1"/>
    <col min="23" max="23" width="27.81640625" style="9" customWidth="1"/>
    <col min="24" max="16384" width="9.1796875" style="8"/>
  </cols>
  <sheetData>
    <row r="1" spans="1:23" s="11" customFormat="1" ht="14.25" customHeight="1" x14ac:dyDescent="0.3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5">
      <c r="A2" s="1" t="s">
        <v>12</v>
      </c>
      <c r="B2" s="30" t="s">
        <v>353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5">
      <c r="A3" s="1" t="s">
        <v>5</v>
      </c>
      <c r="B3" s="30" t="s">
        <v>361</v>
      </c>
      <c r="C3" s="10" t="s">
        <v>43</v>
      </c>
      <c r="D3" s="10" t="s">
        <v>44</v>
      </c>
      <c r="E3" s="10" t="s">
        <v>39</v>
      </c>
      <c r="F3" s="11" t="str">
        <f>"J"&amp;COUNTA($A:$A)</f>
        <v>J17</v>
      </c>
      <c r="G3" s="4" t="s">
        <v>57</v>
      </c>
      <c r="H3" s="10" t="str">
        <f>"I"&amp;COUNTA($A:$A)</f>
        <v>I17</v>
      </c>
      <c r="I3" s="10" t="str">
        <f>REPT(CHAR(9),2)&amp;"[Required]"&amp;"
"</f>
        <v xml:space="preserve">		[Required]
</v>
      </c>
      <c r="J3" s="11" t="str">
        <f>"L"&amp;COUNTA($A:$A)</f>
        <v>L17</v>
      </c>
      <c r="K3" s="5" t="s">
        <v>56</v>
      </c>
      <c r="L3" s="11" t="str">
        <f>"M"&amp;COUNTA($A:$A)</f>
        <v>M17</v>
      </c>
      <c r="M3" s="11" t="str">
        <f>"N"&amp;COUNTA($A:$A)</f>
        <v>N17</v>
      </c>
      <c r="N3" s="11" t="str">
        <f>"O"&amp;COUNTA($A:$A)</f>
        <v>O17</v>
      </c>
      <c r="O3" s="11" t="str">
        <f>"P"&amp;COUNTA($A:$A)</f>
        <v>P17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MstInvHrOrgStructureExportInput{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T17</v>
      </c>
      <c r="V3" s="11" t="str">
        <f>"V"&amp;COUNTA($A:$A)</f>
        <v>V17</v>
      </c>
      <c r="W3" s="10" t="str">
        <f>"W"&amp;COUNTA($A:$A)</f>
        <v>W17</v>
      </c>
    </row>
    <row r="4" spans="1:23" s="11" customFormat="1" ht="33" customHeight="1" x14ac:dyDescent="0.3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5">
      <c r="A5" s="1" t="s">
        <v>238</v>
      </c>
      <c r="B5" s="64" t="s">
        <v>362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" customHeight="1" x14ac:dyDescent="0.35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MstInvHrOrgStructure: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MstInvHrOrgStructureConsts	
	{
</v>
      </c>
      <c r="F6" s="11" t="str">
        <f>REPT(CHAR(9),1)&amp;"public class "&amp;B3&amp;"Dto"&amp;K3&amp;REPT(CHAR(9),1)&amp;"
"&amp;REPT(CHAR(9),1)&amp;C3</f>
        <v xml:space="preserve">	public class MstInvHrOrgStructureDto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CreateOrEditMstInvHrOrgStructureDto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GetMstInvHrOrgStructureInput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" customHeight="1" x14ac:dyDescent="0.35">
      <c r="A7" s="1" t="s">
        <v>13</v>
      </c>
      <c r="B7" s="10" t="str">
        <f>B3</f>
        <v>MstInvHrOrgStructure</v>
      </c>
      <c r="C7" s="11" t="str">
        <f>REPT(CHAR(9),1)&amp;"[Table("""&amp;B7&amp;""")]"&amp;"
"</f>
        <v xml:space="preserve">	[Table("MstInvHrOrgStructure")]
</v>
      </c>
      <c r="D7" s="11"/>
      <c r="E7" s="11"/>
      <c r="F7" s="11"/>
      <c r="G7" s="11"/>
      <c r="H7" s="11"/>
      <c r="I7" s="11"/>
      <c r="J7" s="6" t="str">
        <f ca="1">SUBSTITUTE(SUBSTITUTE((B1&amp;C6&amp;C7&amp;K18&amp;D6&amp;I18&amp;E3&amp;J18&amp;""&amp;REPT(CHAR(9),1)&amp;D3&amp;D3),"WorkingPattern",$Q$3),"Master",$B$4)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[Table("MstInvHrOrgStructure")]
	[Index(nameof(Hrid), Name="IX_MstInvHrOrgStructure_Hrid")]
	[Index(nameof(IsActive), Name="IX_MstInvHrOrgStructure_IsActive")]	public class MstInvHrOrgStructure: FullAuditedEntity&lt;long&gt;, IEntity&lt;long&gt;	
	{
		public const int MaxHridLength = 500;
		public const int MaxCodeLength = 50;
		public const int MaxNameLength = 200;
		public const int MaxDescriptionLength = 100;
		public const int MaxOrgstructuretypenameLength = 150;
		public const int MaxOrgstructuretypecodeLength = 100;
		public const int MaxParentidLength = 500;
		public const int MaxIsActiveLength = 1;
		[Column(TypeName="uniqueidentifier")]
		[StringLength(MaxHridLength)]
		public virtual string Hrid { get; set; }
		[StringLength(MaxCodeLength)]
		public virtual string Code { get; set; }
		[StringLength(MaxNameLength)]
		public virtual string Name { get; set; }
		[StringLength(MaxDescriptionLength)]
		public virtual string Description { get; set; }
		public virtual int Published { get; set; }
		[StringLength(MaxOrgstructuretypenameLength)]
		public virtual string Orgstructuretypename { get; set; }
		[StringLength(MaxOrgstructuretypecodeLength)]
		public virtual string Orgstructuretypecode { get; set; }
		[Column(TypeName="uniqueidentifier")]
		[StringLength(MaxParentidLength)]
		public virtual string Parentid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DbSet&lt;MstInvHrOrgStructure&gt; MstInvHrOrgStructures { get; set; }</v>
      </c>
      <c r="L7" t="str">
        <f ca="1">SUBSTITUTE(SUBSTITUTE((C6&amp;E6&amp;I18&amp;"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MstInvHrOrgStructureConsts	
	{
		public const int MaxHridLength = 500;
		public const int MaxCodeLength = 50;
		public const int MaxNameLength = 200;
		public const int MaxDescriptionLength = 100;
		public const int MaxOrgstructuretypenameLength = 150;
		public const int MaxOrgstructuretypecodeLength = 100;
		public const int MaxParentidLength = 500;
		public const int MaxIsActiveLength = 1;
		// Define Store Name: Format SP_ + &lt;Store Name&gt; = &lt;Store Name&gt;
	}
}
</v>
      </c>
      <c r="M7" t="str">
        <f ca="1">SUBSTITUTE(SUBSTITUTE((C1&amp;"namespace "&amp;B6&amp;".Dto"&amp;E3&amp;C3&amp;F6&amp;M18&amp;E3&amp;REPT(CHAR(9),1)&amp;D3&amp;G6&amp;N18&amp;REPT(CHAR(9),1)&amp;D3&amp;H6&amp;O18&amp;"
"&amp;REPT(CHAR(9),1)&amp;D3&amp;D3),"WorkingPattern",$Q$3),"Master",$B$4)</f>
        <v xml:space="preserve">using Abp.Application.Services.Dto;
using System;
using System.ComponentModel.DataAnnotations;
namespace prod.Master.Inventory.Dto
{
	public class MstInvHrOrgStructureDto : EntityDto&lt;long?&gt;	
	{
		public virtual string Hrid { get; set; }
		public virtual string Code { get; set; }
		public virtual string Name { get; set; }
		public virtual string Description { get; set; }
		public virtual int Published { get; set; }
		public virtual string Orgstructuretypename { get; set; }
		public virtual string Orgstructuretypecode { get; set; }
		public virtual string Parentid { get; set; }
		public virtual string IsActive { get; set; }
	}
	public class CreateOrEditMstInvHrOrgStructureDto : EntityDto&lt;long?&gt;	
	{
		[StringLength(MstInvHrOrgStructureConsts.MaxHridLength)]
		public virtual string Hrid { get; set; }
		[StringLength(MstInvHrOrgStructureConsts.MaxCodeLength)]
		public virtual string Code { get; set; }
		[StringLength(MstInvHrOrgStructureConsts.MaxNameLength)]
		public virtual string Name { get; set; }
		[StringLength(MstInvHrOrgStructureConsts.MaxDescriptionLength)]
		public virtual string Description { get; set; }
		public virtual int Published { get; set; }
		[StringLength(MstInvHrOrgStructureConsts.MaxOrgstructuretypenameLength)]
		public virtual string Orgstructuretypename { get; set; }
		[StringLength(MstInvHrOrgStructureConsts.MaxOrgstructuretypecodeLength)]
		public virtual string Orgstructuretypecode { get; set; }
		[StringLength(MstInvHrOrgStructureConsts.MaxParentidLength)]
		public virtual string Parentid { get; set; }
		[StringLength(MstInvHrOrgStructureConsts.MaxIsActiveLength)]
		public virtual string IsActive { get; set; }
	}
	public class GetMstInvHrOrgStructureInput : PagedAndSortedResultRequestDto	
	{
		public virtual string Hrid { get; set; }
		public virtual string Code { get; set; }
		public virtual string Name { get; set; }
		public virtual string Description { get; set; }
		public virtual int Published { get; set; }
		public virtual string Orgstructuretypename { get; set; }
		public virtual string Orgstructuretypecode { get; set; }
		public virtual string Parentid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perMstInvHrOrgStructure = PARENTS.CreateChildPermission(AppPermissions.Pages_Master_Inventory_HrOrgStructure, L( "MasterInventoryHrOrgStructure"), multiTenancySides: MultiTenancySides.Tenant);
		perMstInvHrOrgStructure.CreateChildPermission(AppPermissions.Pages_Master_Inventory_HrOrgStructure_CreateEdit, L( "MasterInventoryHrOrgStructureCreateEdit"), multiTenancySides: MultiTenancySides.Tenant);
		perMstInvHrOrgStructure.CreateChildPermission(AppPermissions.Pages_Master_Inventory_HrOrgStructure_Delete, L( "MasterInventoryHrOrgStructureDelete"),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Pages_Master_Inventory_HrOrgStructure = "Pages.Master.Inventory.HrOrgStructure";
		public const string Pages_Master_Inventory_HrOrgStructure_CreateEdit = "Pages.Master.Inventory.HrOrgStructure.CreateEdit";
		public const string Pages_Master_Inventory_HrOrgStructure_Delete = "Pages.Master.Inventory.HrOrgStructure.Delete";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IMstInvHrOrgStructureAppService : IApplicationService
	{
		Task&lt;PagedResultDto&lt;MstInvHrOrgStructureDto&gt;&gt; GetAll(GetMstInvHrOrgStructureInput input);
		Task CreateOrEdit(CreateOrEditMstInvHrOrgStructureDto input);
		Task Delete(EntityDto input);
	}
}
</v>
      </c>
      <c r="Q7" t="str">
        <f ca="1">SUBSTITUTE(SUBSTITUTE(SUBSTITUTE(SUBSTITUTE(SUBSTITUTE(SUBSTITUTE(E1,"MstWptCalendar",$B$3),"&lt;PROPERTIES&gt;",P18),"Calendar",$B$5),"WorkingPattern",$Q$3),"Master",$B$4),"&lt;PARAMS_SEARCH&gt;",$W$18)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[AbpAuthorize(AppPermissions.Pages_Master_Inventory_HrOrgStructure)]
    public class MstInvHrOrgStructureAppService : vovinaAppServiceBase, IMstInvHrOrgStructureAppService
    {
        private readonly IDapperRepository&lt;MstInvHrOrgStructure, long&gt; _dapperRepo;
        private readonly IRepository&lt;MstInvHrOrgStructure, long&gt; _repo;
        private readonly IMstInvHrOrgStructureExcelExporter _calendarListExcelExporter;
        public MstInvHrOrgStructureAppService(IRepository&lt;MstInvHrOrgStructure,long&gt; repo, 
                                         IDapperRepository&lt;MstInvHrOrgStructure,long&gt; dapperRepo,
                                        IMstInvHrOrgStructureExcelExporter calendarListExcelExporter
            )
        {
            _repo = repo;
            _dapperRepo = dapperRepo;
            _calendarListExcelExporter = calendarListExcelExporter;
        }
        [AbpAuthorize(AppPermissions.Pages_Master_Inventory_HrOrgStructure_CreateEdit)]
        public async Task CreateOrEdit(CreateOrEditMstInvHrOrgStructureDto input)
        {
            if (input.Id == null) await Create(input);
            else await Update(input);
        }
        //CREATE
        private async Task Create(CreateOrEditMstInvHrOrgStructureDto input)
        {          
            var mainObj = ObjectMapper.Map&lt;MstInvHrOrgStructure&gt;(input);
            await CurrentUnitOfWork.GetDbContext&lt;vovinaDbContext&gt;().AddAsync(mainObj);
        }
        // EDIT
        private async Task Update(CreateOrEditMstInvHrOrgStructureDto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[AbpAuthorize(AppPermissions.Pages_Master_Inventory_HrOrgStructure_Delete)]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Task&lt;PagedResultDto&lt;MstInvHrOrgStructureDto&gt;&gt; GetAll(GetMstInvHrOrgStructureInput input)
        {
            var filtered = _repo.GetAll()
				.WhereIf(!string.IsNullOrWhiteSpace(input.Hrid), e =&gt; e.Hrid.Contains(input.Hrid))
				.WhereIf(!string.IsNullOrWhiteSpace(input.Code), e =&gt; e.Code.Contains(input.Code))
				.WhereIf(!string.IsNullOrWhiteSpace(input.Name), e =&gt; e.Name.Contains(input.Name))
				.WhereIf(!string.IsNullOrWhiteSpace(input.Description), e =&gt; e.Description.Contains(input.Description))
				.WhereIf(!string.IsNullOrWhiteSpace(input.Orgstructuretypename), e =&gt; e.Orgstructuretypename.Contains(input.Orgstructuretypename))
				.WhereIf(!string.IsNullOrWhiteSpace(input.Orgstructuretypecode), e =&gt; e.Orgstructuretypecode.Contains(input.Orgstructuretypecode))
				.WhereIf(!string.IsNullOrWhiteSpace(input.Parentid), e =&gt; e.Parentid.Contains(input.Parentid))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MstInvHrOrgStructureDto
                        {
							Id = o.Id,
							Hrid = o.Hrid,
							Code = o.Code,
							Name = o.Name,
							Description = o.Description,
							Published = o.Published,
							Orgstructuretypename = o.Orgstructuretypename,
							Orgstructuretypecode = o.Orgstructuretypecode,
							Parentid = o.Parentid,
							IsActive = o.IsActive,
                        };
            var totalCount = await filtered.CountAsync();
			var paged = system.PageBy(input);
            return new PagedResultDto&lt;MstInvHrOrgStructureDto&gt;(
                totalCount,
                 await paged.ToListAsync()
            );
        }
        public async Task&lt;FileDto&gt; GetHrOrgStructureToExcel(MstInvHrOrgStructureExportInput input)
        {
            var query = from o in _repo.GetAll()
                        select new MstInvHrOrgStructureDto
                        {
							Id = o.Id,
							Hrid = o.Hrid,
							Code = o.Code,
							Name = o.Name,
							Description = o.Description,
							Published = o.Published,
							Orgstructuretypename = o.Orgstructuretypename,
							Orgstructuretypecode = o.Orgstructuretypecode,
							Parentid = o.Parentid,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_dapperRepo.ExecuteAsync(MstInvHrOrgStructureConsts.SP_MST_WPT_CALENDAR_GENERATE);
       // }
    }
}</v>
      </c>
      <c r="R7" t="str">
        <f ca="1">SUBSTITUTE(SUBSTITUTE((C1&amp;"namespace "&amp;B6&amp;".Dto"&amp;E3&amp;C3&amp;R3&amp;M18&amp;E3&amp;REPT(CHAR(9),1)&amp;D3&amp;D3),"WorkingPattern",$Q$3),"Master",$B$4)</f>
        <v xml:space="preserve">using Abp.Application.Services.Dto;
using System;
using System.ComponentModel.DataAnnotations;
namespace prod.Master.Inventory.Dto
{
	public class MstInvHrOrgStructureExportInput{
		public virtual string Hrid { get; set; }
		public virtual string Code { get; set; }
		public virtual string Name { get; set; }
		public virtual string Description { get; set; }
		public virtual int Published { get; set; }
		public virtual string Orgstructuretypename { get; set; }
		public virtual string Orgstructuretypecode { get; set; }
		public virtual string Parentid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IMstInvHrOrgStructureExcelExporter : IApplicationService
	{
		FileDto ExportToFile(List&lt;MstInvHrOrgStructureDto&gt; mstinvhrorgstructure);
	}
}
</v>
      </c>
      <c r="T7" s="28" t="str">
        <f ca="1">SUBSTITUTE(SUBSTITUTE(SUBSTITUTE(SUBSTITUTE(SUBSTITUTE(SUBSTITUTE(SUBSTITUTE(T1,"MstWptCalendar",$B$3),"&lt;PROPERTIES1&gt;",V18),"&lt;PROPERTIES&gt;",T18),"Calendar",$B$5),"calendar",LOWER(B5)),"WorkingPattern",$Q$3),"Master",$B$4)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MstInvHrOrgStructureExcelExporter : NpoiExcelExporterBase, IMstInvHrOrgStructureExcelExporter
    {
        public MstInvHrOrgStructureExcelExporter(ITempFileCacheManager tempFileCacheManager) : base(tempFileCacheManager) { }
        public FileDto ExportToFile(List&lt;MstInvHrOrgStructureDto&gt; hrorgstructure)
        {
            return CreateExcelPackage(
				"MasterInventoryHrOrgStructure.xlsx",
				excelPackage =&gt;
				 {
					var sheet = excelPackage.CreateSheet("HrOrgStructure");
					AddHeader(
								sheet,
								("Hrid"),
								("Code"),
								("Name"),
								("Description"),
								("Published"),
								("Orgstructuretypename"),
								("Orgstructuretypecode"),
								("Parentid"),
								("IsActive"),
							   );
					AddObjects(
						 sheet, 1, hrorgstructure,                                       
								_ =&gt; _.Hrid,
								_ =&gt; _.Code,
								_ =&gt; _.Name,
								_ =&gt; _.Description,
								_ =&gt; _.Published,
								_ =&gt; _.Orgstructuretypename,
								_ =&gt; _.Orgstructuretypecode,
								_ =&gt; _.Parentid,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configuration.CreateMap&lt;MstInvHrOrgStructureDto, MstInvHrOrgStructure&gt;();
  configuration.CreateMap&lt;MstInvHrOrgStructure, MstInvHrOrgStructureDto&gt;();
  configuration.CreateMap&lt;CreateOrEditMstInvHrOrgStructureDto, MstInvHrOrgStructure&gt;();</v>
      </c>
      <c r="V7" s="28"/>
      <c r="W7" s="28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5">
      <c r="A9" s="72" t="s">
        <v>364</v>
      </c>
      <c r="B9" t="s">
        <v>359</v>
      </c>
      <c r="C9" t="s">
        <v>1</v>
      </c>
      <c r="D9" t="str">
        <f t="shared" ref="D9:D15" si="0">SUBSTITUTE(PROPER(A9),"_","")</f>
        <v>Hrid</v>
      </c>
      <c r="E9" t="str">
        <f t="shared" ref="E9:E15" si="1">IFERROR(LEFT(B9, FIND("(",B9)-1),B9)</f>
        <v>varchar</v>
      </c>
      <c r="F9" s="7" t="s">
        <v>20</v>
      </c>
      <c r="G9" t="str">
        <f t="shared" ref="G9:G15" si="2">IFERROR(MID(B9,FIND("(",B9) +1, FIND(")",B9) - FIND("(",B9) - 1),"")</f>
        <v>500</v>
      </c>
      <c r="H9" t="str">
        <f>+VLOOKUP(E9,'Data Type Mapping'!A:B,2,)</f>
        <v>string</v>
      </c>
      <c r="I9" t="str">
        <f t="shared" ref="I9:I15" si="3">IF(H9="string",REPT(CHAR(9),2)&amp;"public const int Max"&amp;D9&amp;"Length = "&amp;G9&amp;";"&amp;$E$3,"" )</f>
        <v xml:space="preserve">		public const int MaxHridLength = 500;
</v>
      </c>
      <c r="J9" t="str">
        <f t="shared" ref="J9:J15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[Column(TypeName="uniqueidentifier")]
		[StringLength(MaxHridLength)]
		public virtual string Hrid { get; set; }
</v>
      </c>
      <c r="K9" s="7" t="s">
        <v>206</v>
      </c>
      <c r="L9" t="str">
        <f t="shared" ref="L9:L15" si="5">IF(K9="","",REPT(CHAR(9),1)&amp;"[Index(nameof("&amp;IF(D9="","",""&amp;D9)&amp;")"&amp;", Name="&amp;"""IX_"&amp;$B$7&amp;"_"&amp;D9&amp;""")]")</f>
        <v xml:space="preserve">	[Index(nameof(Hrid), Name="IX_MstInvHrOrgStructure_Hrid")]</v>
      </c>
      <c r="M9" t="str">
        <f t="shared" ref="M9:M15" si="6">REPT(CHAR(9),2)&amp;"public virtual "&amp;IF(OR(H9="DateTime",H9="TimeSpan"),H9&amp;"?",H9)&amp;IF(C9="?","? "," ")&amp;D9&amp;" { get; set; }" &amp; "
"</f>
        <v xml:space="preserve">		public virtual string Hrid { get; set; }
</v>
      </c>
      <c r="N9" t="str">
        <f t="shared" ref="N9:N15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[StringLength(MstInvHrOrgStructureConsts.MaxHridLength)]
		public virtual string Hrid { get; set; }
</v>
      </c>
      <c r="O9" t="str">
        <f t="shared" ref="O9:O15" si="8">IF(OR(H9="string",H9="DateTime",H9="int"),REPT(CHAR(9),2)&amp;"public virtual "&amp;IF(OR(H9="DateTime",H9="TimeSpan"),H9&amp;"?",H9)&amp;IF(C9="?","? "," ")&amp;D9&amp;" { get; set; }"&amp;$E$3,"")</f>
        <v xml:space="preserve">		public virtual string Hrid { get; set; }
</v>
      </c>
      <c r="P9" t="str">
        <f t="shared" ref="P9:P15" si="9">REPT(CHAR(9),7)&amp;D9&amp;" = o." &amp;D9 &amp;","</f>
        <v xml:space="preserve">							Hrid = o.Hrid,</v>
      </c>
      <c r="T9" s="69" t="str">
        <f t="shared" ref="T9:T15" si="10">REPT(CHAR(9),8)&amp;"("""&amp;D9&amp;"""),"</f>
        <v xml:space="preserve">								("Hrid"),</v>
      </c>
      <c r="V9" s="70" t="str">
        <f t="shared" ref="V9:V15" si="11">REPT(CHAR(9),8)&amp;"_ =&gt; _."&amp;D9&amp;","</f>
        <v xml:space="preserve">								_ =&gt; _.Hrid,</v>
      </c>
      <c r="W9" s="69" t="str">
        <f t="shared" ref="W9:W15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.WhereIf(!string.IsNullOrWhiteSpace(input.Hrid), e =&gt; e.Hrid.Contains(input.Hrid))</v>
      </c>
    </row>
    <row r="10" spans="1:23" s="72" customFormat="1" ht="18.75" customHeight="1" x14ac:dyDescent="0.35">
      <c r="A10" s="72" t="s">
        <v>357</v>
      </c>
      <c r="B10" s="72" t="s">
        <v>354</v>
      </c>
      <c r="C10" s="72" t="s">
        <v>1</v>
      </c>
      <c r="D10" s="72" t="str">
        <f t="shared" ref="D10:D13" si="13">SUBSTITUTE(PROPER(A10),"_","")</f>
        <v>Code</v>
      </c>
      <c r="E10" s="72" t="str">
        <f t="shared" ref="E10:E13" si="14">IFERROR(LEFT(B10, FIND("(",B10)-1),B10)</f>
        <v>varchar</v>
      </c>
      <c r="F10" s="7"/>
      <c r="G10" s="72" t="str">
        <f t="shared" ref="G10:G13" si="15">IFERROR(MID(B10,FIND("(",B10) +1, FIND(")",B10) - FIND("(",B10) - 1),"")</f>
        <v>50</v>
      </c>
      <c r="H10" s="72" t="str">
        <f>+VLOOKUP(E10,'Data Type Mapping'!A:B,2,)</f>
        <v>string</v>
      </c>
      <c r="I10" s="72" t="str">
        <f t="shared" ref="I10:I13" si="16">IF(H10="string",REPT(CHAR(9),2)&amp;"public const int Max"&amp;D10&amp;"Length = "&amp;G10&amp;";"&amp;$E$3,"" )</f>
        <v xml:space="preserve">		public const int MaxCodeLength = 50;
</v>
      </c>
      <c r="J10" s="72" t="str">
        <f t="shared" ref="J10:J13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[StringLength(MaxCodeLength)]
		public virtual string Code { get; set; }
</v>
      </c>
      <c r="K10" s="7"/>
      <c r="L10" s="72" t="str">
        <f t="shared" ref="L10:L13" si="18">IF(K10="","",REPT(CHAR(9),1)&amp;"[Index(nameof("&amp;IF(D10="","",""&amp;D10)&amp;")"&amp;", Name="&amp;"""IX_"&amp;$B$7&amp;"_"&amp;D10&amp;""")]")</f>
        <v/>
      </c>
      <c r="M10" s="72" t="str">
        <f t="shared" ref="M10:M13" si="19">REPT(CHAR(9),2)&amp;"public virtual "&amp;IF(OR(H10="DateTime",H10="TimeSpan"),H10&amp;"?",H10)&amp;IF(C10="?","? "," ")&amp;D10&amp;" { get; set; }" &amp; "
"</f>
        <v xml:space="preserve">		public virtual string Code { get; set; }
</v>
      </c>
      <c r="N10" s="72" t="str">
        <f t="shared" ref="N10:N13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[StringLength(MstInvHrOrgStructureConsts.MaxCodeLength)]
		public virtual string Code { get; set; }
</v>
      </c>
      <c r="O10" s="72" t="str">
        <f t="shared" ref="O10:O13" si="21">IF(OR(H10="string",H10="DateTime",H10="int"),REPT(CHAR(9),2)&amp;"public virtual "&amp;IF(OR(H10="DateTime",H10="TimeSpan"),H10&amp;"?",H10)&amp;IF(C10="?","? "," ")&amp;D10&amp;" { get; set; }"&amp;$E$3,"")</f>
        <v xml:space="preserve">		public virtual string Code { get; set; }
</v>
      </c>
      <c r="P10" s="72" t="str">
        <f t="shared" ref="P10:P13" si="22">REPT(CHAR(9),7)&amp;D10&amp;" = o." &amp;D10 &amp;","</f>
        <v xml:space="preserve">							Code = o.Code,</v>
      </c>
      <c r="T10" s="69" t="str">
        <f t="shared" ref="T10:T13" si="23">REPT(CHAR(9),8)&amp;"("""&amp;D10&amp;"""),"</f>
        <v xml:space="preserve">								("Code"),</v>
      </c>
      <c r="V10" s="70" t="str">
        <f t="shared" ref="V10:V13" si="24">REPT(CHAR(9),8)&amp;"_ =&gt; _."&amp;D10&amp;","</f>
        <v xml:space="preserve">								_ =&gt; _.Code,</v>
      </c>
      <c r="W10" s="69" t="str">
        <f t="shared" ref="W10:W13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.WhereIf(!string.IsNullOrWhiteSpace(input.Code), e =&gt; e.Code.Contains(input.Code))</v>
      </c>
    </row>
    <row r="11" spans="1:23" s="72" customFormat="1" ht="18.75" customHeight="1" x14ac:dyDescent="0.35">
      <c r="A11" s="72" t="s">
        <v>238</v>
      </c>
      <c r="B11" s="72" t="s">
        <v>369</v>
      </c>
      <c r="C11" s="72" t="s">
        <v>1</v>
      </c>
      <c r="D11" s="72" t="str">
        <f t="shared" si="13"/>
        <v>Name</v>
      </c>
      <c r="E11" s="72" t="str">
        <f t="shared" si="14"/>
        <v>varchar</v>
      </c>
      <c r="F11" s="7"/>
      <c r="G11" s="72" t="str">
        <f t="shared" si="15"/>
        <v>200</v>
      </c>
      <c r="H11" s="72" t="str">
        <f>+VLOOKUP(E11,'Data Type Mapping'!A:B,2,)</f>
        <v>string</v>
      </c>
      <c r="I11" s="72" t="str">
        <f t="shared" si="16"/>
        <v xml:space="preserve">		public const int MaxNameLength = 200;
</v>
      </c>
      <c r="J11" s="72" t="str">
        <f t="shared" si="17"/>
        <v xml:space="preserve">		[StringLength(MaxNameLength)]
		public virtual string Name { get; set; }
</v>
      </c>
      <c r="K11" s="7"/>
      <c r="L11" s="72" t="str">
        <f t="shared" si="18"/>
        <v/>
      </c>
      <c r="M11" s="72" t="str">
        <f t="shared" si="19"/>
        <v xml:space="preserve">		public virtual string Name { get; set; }
</v>
      </c>
      <c r="N11" s="72" t="str">
        <f t="shared" si="20"/>
        <v xml:space="preserve">		[StringLength(MstInvHrOrgStructureConsts.MaxNameLength)]
		public virtual string Name { get; set; }
</v>
      </c>
      <c r="O11" s="72" t="str">
        <f t="shared" si="21"/>
        <v xml:space="preserve">		public virtual string Name { get; set; }
</v>
      </c>
      <c r="P11" s="72" t="str">
        <f t="shared" si="22"/>
        <v xml:space="preserve">							Name = o.Name,</v>
      </c>
      <c r="T11" s="69" t="str">
        <f t="shared" si="23"/>
        <v xml:space="preserve">								("Name"),</v>
      </c>
      <c r="V11" s="70" t="str">
        <f t="shared" si="24"/>
        <v xml:space="preserve">								_ =&gt; _.Name,</v>
      </c>
      <c r="W11" s="69" t="str">
        <f t="shared" si="25"/>
        <v xml:space="preserve">				.WhereIf(!string.IsNullOrWhiteSpace(input.Name), e =&gt; e.Name.Contains(input.Name))</v>
      </c>
    </row>
    <row r="12" spans="1:23" s="72" customFormat="1" ht="18.75" customHeight="1" x14ac:dyDescent="0.35">
      <c r="A12" s="72" t="s">
        <v>358</v>
      </c>
      <c r="B12" s="72" t="s">
        <v>360</v>
      </c>
      <c r="C12" s="72" t="s">
        <v>1</v>
      </c>
      <c r="D12" s="72" t="str">
        <f t="shared" si="13"/>
        <v>Description</v>
      </c>
      <c r="E12" s="72" t="str">
        <f t="shared" si="14"/>
        <v>varchar</v>
      </c>
      <c r="F12" s="7"/>
      <c r="G12" s="72" t="str">
        <f t="shared" si="15"/>
        <v>100</v>
      </c>
      <c r="H12" s="72" t="str">
        <f>+VLOOKUP(E12,'Data Type Mapping'!A:B,2,)</f>
        <v>string</v>
      </c>
      <c r="I12" s="72" t="str">
        <f t="shared" si="16"/>
        <v xml:space="preserve">		public const int MaxDescriptionLength = 100;
</v>
      </c>
      <c r="J12" s="72" t="str">
        <f t="shared" si="17"/>
        <v xml:space="preserve">		[StringLength(MaxDescriptionLength)]
		public virtual string Description { get; set; }
</v>
      </c>
      <c r="K12" s="7"/>
      <c r="L12" s="72" t="str">
        <f t="shared" si="18"/>
        <v/>
      </c>
      <c r="M12" s="72" t="str">
        <f t="shared" si="19"/>
        <v xml:space="preserve">		public virtual string Description { get; set; }
</v>
      </c>
      <c r="N12" s="72" t="str">
        <f t="shared" si="20"/>
        <v xml:space="preserve">		[StringLength(MstInvHrOrgStructureConsts.MaxDescriptionLength)]
		public virtual string Description { get; set; }
</v>
      </c>
      <c r="O12" s="72" t="str">
        <f t="shared" si="21"/>
        <v xml:space="preserve">		public virtual string Description { get; set; }
</v>
      </c>
      <c r="P12" s="72" t="str">
        <f t="shared" si="22"/>
        <v xml:space="preserve">							Description = o.Description,</v>
      </c>
      <c r="T12" s="69" t="str">
        <f t="shared" si="23"/>
        <v xml:space="preserve">								("Description"),</v>
      </c>
      <c r="V12" s="70" t="str">
        <f t="shared" si="24"/>
        <v xml:space="preserve">								_ =&gt; _.Description,</v>
      </c>
      <c r="W12" s="69" t="str">
        <f t="shared" si="25"/>
        <v xml:space="preserve">				.WhereIf(!string.IsNullOrWhiteSpace(input.Description), e =&gt; e.Description.Contains(input.Description))</v>
      </c>
    </row>
    <row r="13" spans="1:23" s="72" customFormat="1" ht="18.75" customHeight="1" x14ac:dyDescent="0.35">
      <c r="A13" s="72" t="s">
        <v>365</v>
      </c>
      <c r="B13" s="72" t="s">
        <v>4</v>
      </c>
      <c r="C13" s="72" t="s">
        <v>1</v>
      </c>
      <c r="D13" s="72" t="str">
        <f t="shared" si="13"/>
        <v>Published</v>
      </c>
      <c r="E13" s="72" t="str">
        <f t="shared" si="14"/>
        <v>int</v>
      </c>
      <c r="F13" s="7"/>
      <c r="G13" s="72" t="str">
        <f t="shared" si="15"/>
        <v/>
      </c>
      <c r="H13" s="72" t="str">
        <f>+VLOOKUP(E13,'Data Type Mapping'!A:B,2,)</f>
        <v>int</v>
      </c>
      <c r="I13" s="72" t="str">
        <f t="shared" si="16"/>
        <v/>
      </c>
      <c r="J13" s="72" t="str">
        <f t="shared" si="17"/>
        <v xml:space="preserve">		public virtual int Published { get; set; }
</v>
      </c>
      <c r="K13" s="7"/>
      <c r="L13" s="72" t="str">
        <f t="shared" si="18"/>
        <v/>
      </c>
      <c r="M13" s="72" t="str">
        <f t="shared" si="19"/>
        <v xml:space="preserve">		public virtual int Published { get; set; }
</v>
      </c>
      <c r="N13" s="72" t="str">
        <f t="shared" si="20"/>
        <v xml:space="preserve">		public virtual int Published { get; set; }
</v>
      </c>
      <c r="O13" s="72" t="str">
        <f t="shared" si="21"/>
        <v xml:space="preserve">		public virtual int Published { get; set; }
</v>
      </c>
      <c r="P13" s="72" t="str">
        <f t="shared" si="22"/>
        <v xml:space="preserve">							Published = o.Published,</v>
      </c>
      <c r="T13" s="69" t="str">
        <f t="shared" si="23"/>
        <v xml:space="preserve">								("Published"),</v>
      </c>
      <c r="V13" s="70" t="str">
        <f t="shared" si="24"/>
        <v xml:space="preserve">								_ =&gt; _.Published,</v>
      </c>
      <c r="W13" s="69" t="str">
        <f t="shared" si="25"/>
        <v/>
      </c>
    </row>
    <row r="14" spans="1:23" s="72" customFormat="1" ht="18.75" customHeight="1" x14ac:dyDescent="0.35">
      <c r="A14" s="72" t="s">
        <v>366</v>
      </c>
      <c r="B14" s="72" t="s">
        <v>370</v>
      </c>
      <c r="C14" s="72" t="s">
        <v>1</v>
      </c>
      <c r="D14" s="72" t="str">
        <f t="shared" si="0"/>
        <v>Orgstructuretypename</v>
      </c>
      <c r="E14" s="72" t="str">
        <f t="shared" si="1"/>
        <v>varchar</v>
      </c>
      <c r="F14" s="7"/>
      <c r="G14" s="72" t="str">
        <f t="shared" si="2"/>
        <v>150</v>
      </c>
      <c r="H14" s="72" t="str">
        <f>+VLOOKUP(E14,'Data Type Mapping'!A:B,2,)</f>
        <v>string</v>
      </c>
      <c r="I14" s="72" t="str">
        <f t="shared" si="3"/>
        <v xml:space="preserve">		public const int MaxOrgstructuretypenameLength = 150;
</v>
      </c>
      <c r="J14" s="72" t="str">
        <f t="shared" si="4"/>
        <v xml:space="preserve">		[StringLength(MaxOrgstructuretypenameLength)]
		public virtual string Orgstructuretypename { get; set; }
</v>
      </c>
      <c r="K14" s="7"/>
      <c r="L14" s="72" t="str">
        <f t="shared" si="5"/>
        <v/>
      </c>
      <c r="M14" s="72" t="str">
        <f t="shared" si="6"/>
        <v xml:space="preserve">		public virtual string Orgstructuretypename { get; set; }
</v>
      </c>
      <c r="N14" s="72" t="str">
        <f t="shared" si="7"/>
        <v xml:space="preserve">		[StringLength(MstInvHrOrgStructureConsts.MaxOrgstructuretypenameLength)]
		public virtual string Orgstructuretypename { get; set; }
</v>
      </c>
      <c r="O14" s="72" t="str">
        <f t="shared" si="8"/>
        <v xml:space="preserve">		public virtual string Orgstructuretypename { get; set; }
</v>
      </c>
      <c r="P14" s="72" t="str">
        <f t="shared" si="9"/>
        <v xml:space="preserve">							Orgstructuretypename = o.Orgstructuretypename,</v>
      </c>
      <c r="T14" s="69" t="str">
        <f t="shared" si="10"/>
        <v xml:space="preserve">								("Orgstructuretypename"),</v>
      </c>
      <c r="V14" s="70" t="str">
        <f t="shared" si="11"/>
        <v xml:space="preserve">								_ =&gt; _.Orgstructuretypename,</v>
      </c>
      <c r="W14" s="69" t="str">
        <f t="shared" si="12"/>
        <v xml:space="preserve">				.WhereIf(!string.IsNullOrWhiteSpace(input.Orgstructuretypename), e =&gt; e.Orgstructuretypename.Contains(input.Orgstructuretypename))</v>
      </c>
    </row>
    <row r="15" spans="1:23" s="72" customFormat="1" ht="18.75" customHeight="1" x14ac:dyDescent="0.35">
      <c r="A15" s="72" t="s">
        <v>367</v>
      </c>
      <c r="B15" s="72" t="s">
        <v>360</v>
      </c>
      <c r="C15" s="72" t="s">
        <v>1</v>
      </c>
      <c r="D15" s="72" t="str">
        <f t="shared" si="0"/>
        <v>Orgstructuretypecode</v>
      </c>
      <c r="E15" s="72" t="str">
        <f t="shared" si="1"/>
        <v>varchar</v>
      </c>
      <c r="F15" s="7"/>
      <c r="G15" s="72" t="str">
        <f t="shared" si="2"/>
        <v>100</v>
      </c>
      <c r="H15" s="72" t="str">
        <f>+VLOOKUP(E15,'Data Type Mapping'!A:B,2,)</f>
        <v>string</v>
      </c>
      <c r="I15" s="72" t="str">
        <f t="shared" si="3"/>
        <v xml:space="preserve">		public const int MaxOrgstructuretypecodeLength = 100;
</v>
      </c>
      <c r="J15" s="72" t="str">
        <f t="shared" si="4"/>
        <v xml:space="preserve">		[StringLength(MaxOrgstructuretypecodeLength)]
		public virtual string Orgstructuretypecode { get; set; }
</v>
      </c>
      <c r="K15" s="7"/>
      <c r="L15" s="72" t="str">
        <f t="shared" si="5"/>
        <v/>
      </c>
      <c r="M15" s="72" t="str">
        <f t="shared" si="6"/>
        <v xml:space="preserve">		public virtual string Orgstructuretypecode { get; set; }
</v>
      </c>
      <c r="N15" s="72" t="str">
        <f t="shared" si="7"/>
        <v xml:space="preserve">		[StringLength(MstInvHrOrgStructureConsts.MaxOrgstructuretypecodeLength)]
		public virtual string Orgstructuretypecode { get; set; }
</v>
      </c>
      <c r="O15" s="72" t="str">
        <f t="shared" si="8"/>
        <v xml:space="preserve">		public virtual string Orgstructuretypecode { get; set; }
</v>
      </c>
      <c r="P15" s="72" t="str">
        <f t="shared" si="9"/>
        <v xml:space="preserve">							Orgstructuretypecode = o.Orgstructuretypecode,</v>
      </c>
      <c r="T15" s="69" t="str">
        <f t="shared" si="10"/>
        <v xml:space="preserve">								("Orgstructuretypecode"),</v>
      </c>
      <c r="V15" s="70" t="str">
        <f t="shared" si="11"/>
        <v xml:space="preserve">								_ =&gt; _.Orgstructuretypecode,</v>
      </c>
      <c r="W15" s="69" t="str">
        <f t="shared" si="12"/>
        <v xml:space="preserve">				.WhereIf(!string.IsNullOrWhiteSpace(input.Orgstructuretypecode), e =&gt; e.Orgstructuretypecode.Contains(input.Orgstructuretypecode))</v>
      </c>
    </row>
    <row r="16" spans="1:23" customFormat="1" ht="18.75" customHeight="1" x14ac:dyDescent="0.35">
      <c r="A16" s="72" t="s">
        <v>368</v>
      </c>
      <c r="B16" s="72" t="s">
        <v>359</v>
      </c>
      <c r="C16" t="s">
        <v>1</v>
      </c>
      <c r="D16" t="str">
        <f t="shared" ref="D16" si="26">SUBSTITUTE(PROPER(A16),"_","")</f>
        <v>Parentid</v>
      </c>
      <c r="E16" t="str">
        <f t="shared" ref="E16" si="27">IFERROR(LEFT(B16, FIND("(",B16)-1),B16)</f>
        <v>varchar</v>
      </c>
      <c r="F16" s="7" t="s">
        <v>20</v>
      </c>
      <c r="G16" t="str">
        <f t="shared" ref="G16" si="28">IFERROR(MID(B16,FIND("(",B16) +1, FIND(")",B16) - FIND("(",B16) - 1),"")</f>
        <v>500</v>
      </c>
      <c r="H16" s="72" t="str">
        <f>+VLOOKUP(E16,'Data Type Mapping'!A:B,2,)</f>
        <v>string</v>
      </c>
      <c r="I16" t="str">
        <f t="shared" ref="I16" si="29">IF(H16="string",REPT(CHAR(9),2)&amp;"public const int Max"&amp;D16&amp;"Length = "&amp;G16&amp;";"&amp;$E$3,"" )</f>
        <v xml:space="preserve">		public const int MaxParentidLength = 500;
</v>
      </c>
      <c r="J16" t="str">
        <f t="shared" ref="J16" si="30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[Column(TypeName="uniqueidentifier")]
		[StringLength(MaxParentidLength)]
		public virtual string Parentid { get; set; }
</v>
      </c>
      <c r="K16" s="7"/>
      <c r="L16" t="str">
        <f t="shared" ref="L16" si="31">IF(K16="","",REPT(CHAR(9),1)&amp;"[Index(nameof("&amp;IF(D16="","",""&amp;D16)&amp;")"&amp;", Name="&amp;"""IX_"&amp;$B$7&amp;"_"&amp;D16&amp;""")]")</f>
        <v/>
      </c>
      <c r="M16" t="str">
        <f t="shared" ref="M16" si="32">REPT(CHAR(9),2)&amp;"public virtual "&amp;IF(OR(H16="DateTime",H16="TimeSpan"),H16&amp;"?",H16)&amp;IF(C16="?","? "," ")&amp;D16&amp;" { get; set; }" &amp; "
"</f>
        <v xml:space="preserve">		public virtual string Parentid { get; set; }
</v>
      </c>
      <c r="N16" t="str">
        <f t="shared" ref="N16" si="33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[StringLength(MstInvHrOrgStructureConsts.MaxParentidLength)]
		public virtual string Parentid { get; set; }
</v>
      </c>
      <c r="O16" t="str">
        <f t="shared" ref="O16" si="34">IF(OR(H16="string",H16="DateTime",H16="int"),REPT(CHAR(9),2)&amp;"public virtual "&amp;IF(OR(H16="DateTime",H16="TimeSpan"),H16&amp;"?",H16)&amp;IF(C16="?","? "," ")&amp;D16&amp;" { get; set; }"&amp;$E$3,"")</f>
        <v xml:space="preserve">		public virtual string Parentid { get; set; }
</v>
      </c>
      <c r="P16" t="str">
        <f t="shared" ref="P16" si="35">REPT(CHAR(9),7)&amp;D16&amp;" = o." &amp;D16 &amp;","</f>
        <v xml:space="preserve">							Parentid = o.Parentid,</v>
      </c>
      <c r="T16" s="69" t="str">
        <f t="shared" ref="T16" si="36">REPT(CHAR(9),8)&amp;"("""&amp;D16&amp;"""),"</f>
        <v xml:space="preserve">								("Parentid"),</v>
      </c>
      <c r="V16" s="70" t="str">
        <f t="shared" ref="V16" si="37">REPT(CHAR(9),8)&amp;"_ =&gt; _."&amp;D16&amp;","</f>
        <v xml:space="preserve">								_ =&gt; _.Parentid,</v>
      </c>
      <c r="W16" s="69" t="str">
        <f t="shared" ref="W16" si="38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.WhereIf(!string.IsNullOrWhiteSpace(input.Parentid), e =&gt; e.Parentid.Contains(input.Parentid))</v>
      </c>
    </row>
    <row r="17" spans="1:23" s="72" customFormat="1" ht="22.5" customHeight="1" x14ac:dyDescent="0.35">
      <c r="A17" s="72" t="s">
        <v>355</v>
      </c>
      <c r="B17" s="72" t="s">
        <v>356</v>
      </c>
      <c r="C17" s="72" t="s">
        <v>1</v>
      </c>
      <c r="D17" s="72" t="str">
        <f>SUBSTITUTE(PROPER(A17),"_","")</f>
        <v>IsActive</v>
      </c>
      <c r="E17" s="72" t="str">
        <f t="shared" ref="E17" si="39">IFERROR(LEFT(B17, FIND("(",B17)-1),B17)</f>
        <v>varchar</v>
      </c>
      <c r="F17" s="7"/>
      <c r="G17" s="72" t="str">
        <f t="shared" ref="G17" si="40">IFERROR(MID(B17,FIND("(",B17) +1, FIND(")",B17) - FIND("(",B17) - 1),"")</f>
        <v>1</v>
      </c>
      <c r="H17" s="72" t="str">
        <f>+VLOOKUP(E17,'Data Type Mapping'!A:B,2,)</f>
        <v>string</v>
      </c>
      <c r="I17" s="72" t="str">
        <f t="shared" ref="I17" si="41">IF(H17="string",REPT(CHAR(9),2)&amp;"public const int Max"&amp;D17&amp;"Length = "&amp;G17&amp;";"&amp;$E$3,"" )</f>
        <v xml:space="preserve">		public const int MaxIsActiveLength = 1;
</v>
      </c>
      <c r="J17" s="72" t="str">
        <f t="shared" ref="J17" si="42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[StringLength(MaxIsActiveLength)]
		public virtual string IsActive { get; set; }
</v>
      </c>
      <c r="K17" s="7" t="s">
        <v>206</v>
      </c>
      <c r="L17" s="72" t="str">
        <f>IF(K17="","",REPT(CHAR(9),1)&amp;"[Index(nameof("&amp;IF(D17="","",""&amp;D17)&amp;")"&amp;", Name="&amp;"""IX_"&amp;$B$7&amp;"_"&amp;D17&amp;""")]")</f>
        <v xml:space="preserve">	[Index(nameof(IsActive), Name="IX_MstInvHrOrgStructure_IsActive")]</v>
      </c>
      <c r="M17" s="72" t="str">
        <f t="shared" ref="M17" si="43">REPT(CHAR(9),2)&amp;"public virtual "&amp;IF(OR(H17="DateTime",H17="TimeSpan"),H17&amp;"?",H17)&amp;IF(C17="?","? "," ")&amp;D17&amp;" { get; set; }" &amp; "
"</f>
        <v xml:space="preserve">		public virtual string IsActive { get; set; }
</v>
      </c>
      <c r="N17" s="72" t="str">
        <f t="shared" ref="N17" si="44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[StringLength(MstInvHrOrgStructureConsts.MaxIsActiveLength)]
		public virtual string IsActive { get; set; }
</v>
      </c>
      <c r="O17" s="72" t="str">
        <f t="shared" ref="O17" si="45">IF(OR(H17="string",H17="DateTime",H17="int"),REPT(CHAR(9),2)&amp;"public virtual "&amp;IF(OR(H17="DateTime",H17="TimeSpan"),H17&amp;"?",H17)&amp;IF(C17="?","? "," ")&amp;D17&amp;" { get; set; }"&amp;$E$3,"")</f>
        <v xml:space="preserve">		public virtual string IsActive { get; set; }
</v>
      </c>
      <c r="P17" s="72" t="str">
        <f t="shared" ref="P17" si="46">REPT(CHAR(9),7)&amp;D17&amp;" = o." &amp;D17 &amp;","</f>
        <v xml:space="preserve">							IsActive = o.IsActive,</v>
      </c>
      <c r="T17" s="69" t="str">
        <f t="shared" ref="T17" si="47">REPT(CHAR(9),8)&amp;"("""&amp;D17&amp;"""),"</f>
        <v xml:space="preserve">								("IsActive"),</v>
      </c>
      <c r="V17" s="70" t="str">
        <f t="shared" ref="V17" si="48">REPT(CHAR(9),8)&amp;"_ =&gt; _."&amp;D17&amp;","</f>
        <v xml:space="preserve">								_ =&gt; _.IsActive,</v>
      </c>
      <c r="W17" s="69" t="str">
        <f t="shared" ref="W17" si="49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.WhereIf(!string.IsNullOrWhiteSpace(input.IsActive), e =&gt; e.IsActive.Contains(input.IsActive))</v>
      </c>
    </row>
    <row r="18" spans="1:23" ht="45.75" customHeight="1" x14ac:dyDescent="0.35">
      <c r="H18" s="12"/>
      <c r="I18" s="34" t="str">
        <f ca="1">TEXTJOIN2("
", TRUE,INDIRECT( $H$1):INDIRECT( $H$3))</f>
        <v xml:space="preserve">		public const int MaxHridLength = 500;
		public const int MaxCodeLength = 50;
		public const int MaxNameLength = 200;
		public const int MaxDescriptionLength = 100;
		public const int MaxOrgstructuretypenameLength = 150;
		public const int MaxOrgstructuretypecodeLength = 100;
		public const int MaxParentidLength = 500;
		public const int MaxIsActiveLength = 1;
</v>
      </c>
      <c r="J18" s="33" t="str">
        <f ca="1">TEXTJOIN2("
", TRUE,INDIRECT( $F$1):INDIRECT( $F$3))</f>
        <v xml:space="preserve">		[Column(TypeName="uniqueidentifier")]
		[StringLength(MaxHridLength)]
		public virtual string Hrid { get; set; }
		[StringLength(MaxCodeLength)]
		public virtual string Code { get; set; }
		[StringLength(MaxNameLength)]
		public virtual string Name { get; set; }
		[StringLength(MaxDescriptionLength)]
		public virtual string Description { get; set; }
		public virtual int Published { get; set; }
		[StringLength(MaxOrgstructuretypenameLength)]
		public virtual string Orgstructuretypename { get; set; }
		[StringLength(MaxOrgstructuretypecodeLength)]
		public virtual string Orgstructuretypecode { get; set; }
		[Column(TypeName="uniqueidentifier")]
		[StringLength(MaxParentidLength)]
		public virtual string Parentid { get; set; }
		[StringLength(MaxIsActiveLength)]
		public virtual string IsActive { get; set; }
</v>
      </c>
      <c r="K18" s="35" t="str">
        <f ca="1">TEXTJOIN2("
", TRUE,INDIRECT( $J$1):INDIRECT( $J$3))</f>
        <v xml:space="preserve">	[Index(nameof(Hrid), Name="IX_MstInvHrOrgStructure_Hrid")]
	[Index(nameof(IsActive), Name="IX_MstInvHrOrgStructure_IsActive")]</v>
      </c>
      <c r="L18" s="13" t="s">
        <v>60</v>
      </c>
      <c r="M18" s="36" t="str">
        <f ca="1">TEXTJOIN2("
",TRUE,INDIRECT( $L$1):INDIRECT($L$3))</f>
        <v xml:space="preserve">		public virtual string Hrid { get; set; }
		public virtual string Code { get; set; }
		public virtual string Name { get; set; }
		public virtual string Description { get; set; }
		public virtual int Published { get; set; }
		public virtual string Orgstructuretypename { get; set; }
		public virtual string Orgstructuretypecode { get; set; }
		public virtual string Parentid { get; set; }
		public virtual string IsActive { get; set; }
</v>
      </c>
      <c r="N18" s="33" t="str">
        <f ca="1">TEXTJOIN2("
",TRUE,INDIRECT( $M$1):INDIRECT($M$3))</f>
        <v xml:space="preserve">		[StringLength(MstInvHrOrgStructureConsts.MaxHridLength)]
		public virtual string Hrid { get; set; }
		[StringLength(MstInvHrOrgStructureConsts.MaxCodeLength)]
		public virtual string Code { get; set; }
		[StringLength(MstInvHrOrgStructureConsts.MaxNameLength)]
		public virtual string Name { get; set; }
		[StringLength(MstInvHrOrgStructureConsts.MaxDescriptionLength)]
		public virtual string Description { get; set; }
		public virtual int Published { get; set; }
		[StringLength(MstInvHrOrgStructureConsts.MaxOrgstructuretypenameLength)]
		public virtual string Orgstructuretypename { get; set; }
		[StringLength(MstInvHrOrgStructureConsts.MaxOrgstructuretypecodeLength)]
		public virtual string Orgstructuretypecode { get; set; }
		[StringLength(MstInvHrOrgStructureConsts.MaxParentidLength)]
		public virtual string Parentid { get; set; }
		[StringLength(MstInvHrOrgStructureConsts.MaxIsActiveLength)]
		public virtual string IsActive { get; set; }
</v>
      </c>
      <c r="O18" s="33" t="str">
        <f ca="1">TEXTJOIN2("
",TRUE,INDIRECT( $N$1):INDIRECT($N$3))</f>
        <v xml:space="preserve">		public virtual string Hrid { get; set; }
		public virtual string Code { get; set; }
		public virtual string Name { get; set; }
		public virtual string Description { get; set; }
		public virtual int Published { get; set; }
		public virtual string Orgstructuretypename { get; set; }
		public virtual string Orgstructuretypecode { get; set; }
		public virtual string Parentid { get; set; }
		public virtual string IsActive { get; set; }
</v>
      </c>
      <c r="P18" s="9" t="str">
        <f ca="1">TEXTJOIN2("
",TRUE,INDIRECT( $O$1):INDIRECT($O$3))</f>
        <v xml:space="preserve">							Hrid = o.Hrid,
							Code = o.Code,
							Name = o.Name,
							Description = o.Description,
							Published = o.Published,
							Orgstructuretypename = o.Orgstructuretypename,
							Orgstructuretypecode = o.Orgstructuretypecode,
							Parentid = o.Parentid,
							IsActive = o.IsActive,</v>
      </c>
      <c r="T18" s="9" t="str">
        <f ca="1">TEXTJOIN2("
",TRUE,INDIRECT( $T$2):INDIRECT($T$3))</f>
        <v xml:space="preserve">								("Hrid"),
								("Code"),
								("Name"),
								("Description"),
								("Published"),
								("Orgstructuretypename"),
								("Orgstructuretypecode"),
								("Parentid"),
								("IsActive"),</v>
      </c>
      <c r="V18" s="9" t="str">
        <f ca="1">TEXTJOIN2("
",TRUE,INDIRECT( $V$2):INDIRECT($V$3))</f>
        <v xml:space="preserve">								_ =&gt; _.Hrid,
								_ =&gt; _.Code,
								_ =&gt; _.Name,
								_ =&gt; _.Description,
								_ =&gt; _.Published,
								_ =&gt; _.Orgstructuretypename,
								_ =&gt; _.Orgstructuretypecode,
								_ =&gt; _.Parentid,
								_ =&gt; _.IsActive,</v>
      </c>
      <c r="W18" s="9" t="str">
        <f ca="1">TEXTJOIN2("
",TRUE,INDIRECT( $W$2):INDIRECT($W$3))</f>
        <v xml:space="preserve">				.WhereIf(!string.IsNullOrWhiteSpace(input.Hrid), e =&gt; e.Hrid.Contains(input.Hrid))
				.WhereIf(!string.IsNullOrWhiteSpace(input.Code), e =&gt; e.Code.Contains(input.Code))
				.WhereIf(!string.IsNullOrWhiteSpace(input.Name), e =&gt; e.Name.Contains(input.Name))
				.WhereIf(!string.IsNullOrWhiteSpace(input.Description), e =&gt; e.Description.Contains(input.Description))
				.WhereIf(!string.IsNullOrWhiteSpace(input.Orgstructuretypename), e =&gt; e.Orgstructuretypename.Contains(input.Orgstructuretypename))
				.WhereIf(!string.IsNullOrWhiteSpace(input.Orgstructuretypecode), e =&gt; e.Orgstructuretypecode.Contains(input.Orgstructuretypecode))
				.WhereIf(!string.IsNullOrWhiteSpace(input.Parentid), e =&gt; e.Parentid.Contains(input.Parentid))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4"/>
  <sheetViews>
    <sheetView topLeftCell="A7" workbookViewId="0">
      <selection activeCell="K15" sqref="K15:K23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41" t="s">
        <v>212</v>
      </c>
      <c r="B1" s="42" t="s">
        <v>363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5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5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5">
      <c r="A6" s="41" t="s">
        <v>224</v>
      </c>
      <c r="B6" s="44" t="str">
        <f>A.Backend!B3</f>
        <v>MstInvHrOrgStructure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5">
      <c r="A7" s="41" t="s">
        <v>215</v>
      </c>
      <c r="B7" s="43" t="str">
        <f>A.Backend!B5</f>
        <v>HrOrgStructure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5">
      <c r="A8" s="41" t="s">
        <v>213</v>
      </c>
      <c r="B8" s="43" t="str">
        <f>LOWER(B7)</f>
        <v>hrorgstructure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MstInvHrOrgStructureDto, MstInvHrOrgStructureServiceProxy } from '@shared/service-proxies/service-proxies';
import { finalize } from 'rxjs/internal/operators/finalize';
import { CreateOrEditHrOrgStructureModalComponent } from './create-or-edit-hrorgstructure-modal.component';
import { DatePipe } from '@angular/common';
import { FileDownloadService } from '@shared/utils/file-download.service';
import ceil from 'lodash-es/ceil';
import { Paginator } from 'primeng/paginator';
@Component({
    templateUrl: './hrorgstructure.component.html',
    styleUrls: ['./hrorgstructure.component.less'],
})
export class HrOrgStructureComponent extends AppComponentBase implements OnInit {
    @ViewChild('createOrEditModalHrOrgStructure', { static: true }) createOrEditModalHrOrgStructure:| CreateOrEditHrOrgStructureModalComponent|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MstInvHrOrgStructureDto = new MstInvHrOrgStructureDto();
    saveSelectedRow: MstInvHrOrgStructureDto = new MstInvHrOrgStructureDto();
    datas: MstInvHrOrgStructureDto = new MstInvHrOrgStructureDto();
    isLoading: boolean = false;
    dataParams: GridParams | undefined;
    rowData: any[] = [];
    gridApi!: GridApi;
    rowSelection = 'multiple';
    filter: string = '';
	pipe = new DatePipe('en-US');
	frameworkComponents: FrameworkComponent;
    	hrid : string = '' ; 
	code : string = '' ; 
name : string = '' ; 
	description : string = '' ; 
published : number = 0 ;
	orgstructuretypename : string = '' ; 
orgstructuretypecode : string = '' ; 
	parentid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MstInvHrOrgStructureServiceProxy,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this.l('Hrid'),headerTooltip: this.l('Hrid'),field: 'hrid',flex: 1},
			{headerName: this.l('Code'),headerTooltip: this.l('Code'),field: 'code',flex: 1},
			{headerName: this.l('Name'),headerTooltip: this.l('Name'),field: 'name',flex: 1},
			{headerName: this.l('Description'),headerTooltip: this.l('Description'),field: 'description',flex: 1},
			{headerName: this.l('Published'),headerTooltip: this.l('Published'),field: 'published',flex: 1},
			{headerName: this.l('Orgstructuretypename'),headerTooltip: this.l('Orgstructuretypename'),field: 'orgstructuretypename',flex: 1},
			{headerName: this.l('Orgstructuretypecode'),headerTooltip: this.l('Orgstructuretypecode'),field: 'orgstructuretypecode',flex: 1},
			{headerName: this.l('Parentid'),headerTooltip: this.l('Parentid'),field: 'parentid',flex: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this.hrid,
			this.code,
			this.name,
			this.description,
			this.published,
			this.orgstructuretypename,
			this.orgstructuretypecode,
			this.parentid,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this.hrid = '',
		this.code = '',
this.name = '',
		this.description = '',
this.published = 0,
		this.orgstructuretypename = '',
this.orgstructuretypecode = '',
		this.parentid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this.hrid,
			this.code,
			this.name,
			this.description,
			this.published,
			this.orgstructuretypename,
			this.orgstructuretypecode,
			this.parentid,
			this.isActive,
			'',
            this.paginationParams.skipCount,
            this.paginationParams.pageSize
        );
    }
    onChangeRowSelection(params: { api: { getSelectedRows: () =&gt; MstInvHrOrgStructureDto[] } }) {
        this.saveSelectedRow = params.api.getSelectedRows()[0] ?? new MstInvHrOrgStructureDto();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MstInvHrOrgStructureDto):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this._service.getHrOrgStructureToExcel(
			this.hrid,
			this.code,
			this.name,
			this.description,
			this.published,
			this.orgstructuretypename,
			this.orgstructuretypecode,
			this.parentid,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Hr Org Structure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[(ngModel)]='hrid' name='hrid'
									class='form-control' [placeholder]="l('Hrid')"
									type='text' (keyup.enter)='searchDatas()'&gt;
								&lt;/div&gt;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[(ngModel)]='orgstructuretypename' name='orgstructuretypename'
									class='form-control' [placeholder]="l('Orgstructuretypename')"
									type='text' (keyup.enter)='searchDatas()'&gt;
								&lt;/div&gt;
								&lt;div class='input-search'&gt;
									&lt;input [(ngModel)]='orgstructuretypecode' name='orgstructuretypecode'
									class='form-control' [placeholder]="l('Orgstructuretypecode')"
									type='text' (keyup.enter)='searchDatas()'&gt;
								&lt;/div&gt;
								&lt;div class='input-search'&gt;
									&lt;input [(ngModel)]='parentid' name='parentid'
									class='form-control' [placeholder]="l('Parentid')"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(click)="createOrEditModalHrOrgStructure.show()"&gt;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(click)="createOrEditModalHrOrgStructure.show(selectedRow)"&gt;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&lt;create-or-edit-hrorgstructure-modal
    #createOrEditModalHrOrgStructure
    (modalSave)="callBackDataGrid(dataParams)"
    (modalClose)="onChangeRowSelection(dataParams)"
&gt;
&lt;/create-or-edit-hrorgstructure-modal&gt;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#createOrEditModalHrOrgStructure="bs-modal"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HrOrgStructure')}}&lt;/h3&gt;
                    &lt;h3 *ngIf="!rowdata.id"&gt;{{('Create New HrOrgStructure')}}&lt;/h3&gt;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title'&gt;Hrid&lt;/label&gt;
						&lt;input type='text' class='col-md-10 form-control input-text' name='Hrid' [(ngModel)]='rowdata.hrid'&gt;
					&lt;/div&gt;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title'&gt;Published&lt;/label&gt;
						&lt;input type='number' class='col-md-10 form-control input-text' name='Published' [(ngModel)]='rowdata.published'&gt;
					&lt;/div&gt;
					&lt;div class='col-md-12 form-group row'&gt;
						&lt;label class='col-md-2 form-control title'&gt;Orgstructuretypename&lt;/label&gt;
						&lt;input type='text' class='col-md-10 form-control input-text' name='Orgstructuretypename' [(ngModel)]='rowdata.orgstructuretypename'&gt;
					&lt;/div&gt;
					&lt;div class='col-md-12 form-group row'&gt;
						&lt;label class='col-md-2 form-control title'&gt;Orgstructuretypecode&lt;/label&gt;
						&lt;input type='text' class='col-md-10 form-control input-text' name='Orgstructuretypecode' [(ngModel)]='rowdata.orgstructuretypecode'&gt;
					&lt;/div&gt;
					&lt;div class='col-md-12 form-group row'&gt;
						&lt;label class='col-md-2 form-control title'&gt;Parentid&lt;/label&gt;
						&lt;input type='text' class='col-md-10 form-control input-text' name='Parentid' [(ngModel)]='rowdata.parentid'&gt;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CreateOrEditMstInvHrOrgStructureDto, MstInvHrOrgStructureServiceProxy } from '@shared/service-proxies/service-proxies';
import { BsDatepickerDirective } from 'ngx-bootstrap/datepicker';
@Component({
    selector: 'create-or-edit-hrorgstructure-modal',
    templateUrl: './create-or-edit-hrorgstructure-modal.component.html',
    styleUrls: ['./create-or-edit-hrorgstructure-modal.component.less']
    })
export class CreateOrEditHrOrgStructureModalComponent extends AppComponentBase {
    @ViewChild('createOrEditModalHrOrgStructure',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CreateOrEditMstInvHrOrgStructureDto = new CreateOrEditMstInvHrOrgStructureDto();
    active: boolean = false;
    saving: boolean = false;
    _isActive: boolean;
    constructor(
        injector: Injector,
        private _mstwptHrOrgStructureService: MstInvHrOrgStructureServiceProxy,
    ) 
    {
        super(injector);
    }
    show(rowdata?: CreateOrEditMstInvHrOrgStructureDto): void {
        if (!rowdata) this.rowdata = new CreateOrEditMstInvHrOrgStructureDto();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this._mstwptHrOrgStructureService.createOrEdit(this.rowdata)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HrOrgStructureRoutingModule } from './hrorgstructure-routing.module';
import { HrOrgStructureComponent } from './hrorgstructure.component';
import { CreateOrEditHrOrgStructureModalComponent } from './create-or-edit-hrorgstructure-modal.component';
@NgModule({
    declarations: [
       HrOrgStructureComponent, 
        CreateOrEditHrOrgStructureModalComponent
    ],
    imports: [
        AppSharedModule, HrOrgStructureRoutingModule]
})
export class HrOrgStructureModule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HrOrgStructureComponent } from './hrorgstructure.component';
const routes: Routes = [{
    path: '',
    component: HrOrgStructureComponent,
    pathMatch: 'full'
}];
@NgModule({
    imports: [RouterModule.forChild(routes)],
    exports: [RouterModule],
})
export class HrOrgStructureRoutingModule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AppMenuItem("HrOrgStructure", "Pages.Master.Inventory.HrOrgStructure", "flaticon-book",   "/app/main/master/inventory/hrorgstructure"),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'master/inventory/hrorgstructure',
    loadChildren: () =&gt; import('./master/inventory/hrorgstructure/hrorgstructure.module').then(m =&gt; m.HrOrgStructureModule),
    data: { permission: 'Pages.Master.Inventory.HrOrgStructure' }
},</v>
      </c>
      <c r="R10" s="50" t="str">
        <f>SUBSTITUTE(R9,"MstWptCalendar",$B$6)</f>
        <v>ApiServiceProxies.MstInvHrOrgStructureServiceProxy,</v>
      </c>
      <c r="S10" s="31"/>
      <c r="T10" s="31"/>
      <c r="U10" s="31"/>
      <c r="V10" s="31"/>
    </row>
    <row r="11" spans="1:22" x14ac:dyDescent="0.3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H23</v>
      </c>
      <c r="I12" s="31" t="str">
        <f>"I"&amp;COUNTA($A:$A)</f>
        <v>I23</v>
      </c>
      <c r="J12" s="31"/>
      <c r="K12" s="31" t="str">
        <f>"K"&amp;COUNTA($A:$A)</f>
        <v>K23</v>
      </c>
      <c r="L12" s="31" t="str">
        <f>"L"&amp;COUNTA($A:$A)</f>
        <v>L23</v>
      </c>
      <c r="M12" s="31"/>
      <c r="N12" s="31"/>
      <c r="O12" s="31"/>
      <c r="P12" s="31"/>
      <c r="Q12" s="31"/>
      <c r="R12" s="31"/>
      <c r="S12" s="31" t="str">
        <f>"S"&amp;COUNTA($A:$A)</f>
        <v>S23</v>
      </c>
      <c r="T12" s="31" t="str">
        <f>"T"&amp;COUNTA($A:$A)</f>
        <v>T23</v>
      </c>
      <c r="U12" s="31" t="str">
        <f>"U"&amp;COUNTA($A:$A)</f>
        <v>U23</v>
      </c>
      <c r="V12" s="31" t="str">
        <f>"V"&amp;COUNTA($A:$A)</f>
        <v>V23</v>
      </c>
    </row>
    <row r="13" spans="1:22" ht="17.25" customHeight="1" x14ac:dyDescent="0.3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this.l('Hrid'),headerTooltip: this.l('Hrid'),field: 'hrid',flex: 1},
			{headerName: this.l('Code'),headerTooltip: this.l('Code'),field: 'code',flex: 1},
			{headerName: this.l('Name'),headerTooltip: this.l('Name'),field: 'name',flex: 1},
			{headerName: this.l('Description'),headerTooltip: this.l('Description'),field: 'description',flex: 1},
			{headerName: this.l('Published'),headerTooltip: this.l('Published'),field: 'published',flex: 1},
			{headerName: this.l('Orgstructuretypename'),headerTooltip: this.l('Orgstructuretypename'),field: 'orgstructuretypename',flex: 1},
			{headerName: this.l('Orgstructuretypecode'),headerTooltip: this.l('Orgstructuretypecode'),field: 'orgstructuretypecode',flex: 1},
			{headerName: this.l('Parentid'),headerTooltip: this.l('Parentid'),field: 'parentid',flex: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[(ngModel)]='hrid' name='hrid'
									class='form-control' [placeholder]="l('Hrid')"
									type='text' (keyup.enter)='searchDatas()'&gt;
								&lt;/div&gt;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[(ngModel)]='orgstructuretypename' name='orgstructuretypename'
									class='form-control' [placeholder]="l('Orgstructuretypename')"
									type='text' (keyup.enter)='searchDatas()'&gt;
								&lt;/div&gt;
								&lt;div class='input-search'&gt;
									&lt;input [(ngModel)]='orgstructuretypecode' name='orgstructuretypecode'
									class='form-control' [placeholder]="l('Orgstructuretypecode')"
									type='text' (keyup.enter)='searchDatas()'&gt;
								&lt;/div&gt;
								&lt;div class='input-search'&gt;
									&lt;input [(ngModel)]='parentid' name='parentid'
									class='form-control' [placeholder]="l('Parentid')"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title'&gt;Hrid&lt;/label&gt;
						&lt;input type='text' class='col-md-10 form-control input-text' name='Hrid' [(ngModel)]='rowdata.hrid'&gt;
					&lt;/div&gt;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title'&gt;Published&lt;/label&gt;
						&lt;input type='number' class='col-md-10 form-control input-text' name='Published' [(ngModel)]='rowdata.published'&gt;
					&lt;/div&gt;
					&lt;div class='col-md-12 form-group row'&gt;
						&lt;label class='col-md-2 form-control title'&gt;Orgstructuretypename&lt;/label&gt;
						&lt;input type='text' class='col-md-10 form-control input-text' name='Orgstructuretypename' [(ngModel)]='rowdata.orgstructuretypename'&gt;
					&lt;/div&gt;
					&lt;div class='col-md-12 form-group row'&gt;
						&lt;label class='col-md-2 form-control title'&gt;Orgstructuretypecode&lt;/label&gt;
						&lt;input type='text' class='col-md-10 form-control input-text' name='Orgstructuretypecode' [(ngModel)]='rowdata.orgstructuretypecode'&gt;
					&lt;/div&gt;
					&lt;div class='col-md-12 form-group row'&gt;
						&lt;label class='col-md-2 form-control title'&gt;Parentid&lt;/label&gt;
						&lt;input type='text' class='col-md-10 form-control input-text' name='Parentid' [(ngModel)]='rowdata.parentid'&gt;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hrid : string = '' ; 
	code : string = '' ; 
name : string = '' ; 
	description : string = '' ; 
published : number = 0 ;
	orgstructuretypename : string = '' ; 
orgstructuretypecode : string = '' ; 
	parentid : string = '' ; 
	isActive : string = '' ; </v>
      </c>
      <c r="T13" s="68" t="str">
        <f ca="1">TEXTJOIN2("
",TRUE,INDIRECT(T11):INDIRECT(T12))</f>
        <v xml:space="preserve">			this.hrid,
			this.code,
			this.name,
			this.description,
			this.published,
			this.orgstructuretypename,
			this.orgstructuretypecode,
			this.parentid,
			this.isActive,</v>
      </c>
      <c r="U13" s="68" t="str">
        <f ca="1">TEXTJOIN2("
",TRUE,INDIRECT(U11):INDIRECT(U12))</f>
        <v xml:space="preserve">		this.hrid = '',
		this.code = '',
this.name = '',
		this.description = '',
this.published = 0,
		this.orgstructuretypename = '',
this.orgstructuretypecode = '',
		this.parentid = '',
		this.isActive = '',</v>
      </c>
      <c r="V13" s="31" t="str">
        <f ca="1">TEXTJOIN2("
",TRUE,INDIRECT(V11):INDIRECT(V12))</f>
        <v>isActive</v>
      </c>
    </row>
    <row r="14" spans="1:22" x14ac:dyDescent="0.3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hrorgstructure.component.ts</v>
      </c>
      <c r="I14" s="40" t="str">
        <f>B8&amp;".component.html"</f>
        <v>hrorgstructure.component.html</v>
      </c>
      <c r="J14" s="39" t="str">
        <f>B8&amp;".component.less"</f>
        <v>hrorgstructure.component.less</v>
      </c>
      <c r="K14" s="40" t="str">
        <f>"create-or-edit-"&amp;B8&amp;"-modal.component.html"</f>
        <v>create-or-edit-hrorgstructure-modal.component.html</v>
      </c>
      <c r="L14" s="40" t="str">
        <f>"create-or-edit-"&amp;B8&amp;"-modal.component.ts"</f>
        <v>create-or-edit-hrorgstructure-modal.component.ts</v>
      </c>
      <c r="M14" s="40" t="str">
        <f>"create-or-edit-"&amp;B8&amp;"-modal.component.less"</f>
        <v>create-or-edit-hrorgstructure-modal.component.less</v>
      </c>
      <c r="N14" s="40" t="str">
        <f>B8&amp;".module.ts"</f>
        <v>hrorgstructure.module.ts</v>
      </c>
      <c r="O14" s="40" t="str">
        <f>B8&amp;"-routing.module.ts"</f>
        <v>hrorgstructure-routing.module.ts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5">
      <c r="A15" s="72" t="s">
        <v>364</v>
      </c>
      <c r="B15" s="31" t="str">
        <f t="shared" ref="B15:B20" si="0">SUBSTITUTE(PROPER(A15),"_","")</f>
        <v>Hrid</v>
      </c>
      <c r="C15" s="31" t="str">
        <f t="shared" ref="C15:C20" si="1">SUBSTITUTE(PROPER(A15),"_"," ")</f>
        <v>Hrid</v>
      </c>
      <c r="D15" s="31" t="str">
        <f t="shared" ref="D15:D20" si="2">LOWER(LEFT(B15,1))&amp;RIGHT(B15,LEN(B15) - 1)</f>
        <v>hrid</v>
      </c>
      <c r="E15" s="31" t="str">
        <f>A.Backend!H9</f>
        <v>string</v>
      </c>
      <c r="F15" s="31" t="str">
        <f>A.Backend!G9</f>
        <v>500</v>
      </c>
      <c r="G15" s="31" t="str">
        <f t="shared" ref="G15:G23" si="3">IF(E15="string"," : string = '' ; ",IF(OR(E15="DateTime",E15="TimeSpan")," : any ;",IF(E15="int"," : number = 0 ;","")))</f>
        <v xml:space="preserve"> : string = '' ; </v>
      </c>
      <c r="H15" s="38" t="str">
        <f t="shared" ref="H15:H23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this.l('Hrid'),headerTooltip: this.l('Hrid'),field: 'hrid',flex: 1},</v>
      </c>
      <c r="I15" s="38" t="str">
        <f t="shared" ref="I15:I23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[(ngModel)]='hrid' name='hrid'
									class='form-control' [placeholder]="l('Hrid')"
									type='text' (keyup.enter)='searchDatas()'&gt;
								&lt;/div&gt;</v>
      </c>
      <c r="J15" s="31"/>
      <c r="K15" s="38" t="str">
        <f t="shared" ref="K15:K23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title'&gt;Hrid&lt;/label&gt;
						&lt;input type='text' class='col-md-10 form-control input-text' name='Hrid' [(ngModel)]='rowdata.hrid'&gt;
					&lt;/div&gt;</v>
      </c>
      <c r="L15" s="60" t="str">
        <f t="shared" ref="L15:L20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hrid : string = '' ; </v>
      </c>
      <c r="T15" s="31" t="str">
        <f>REPT(CHAR(9),3)&amp;"this."&amp;D15&amp;","</f>
        <v xml:space="preserve">			this.hrid,</v>
      </c>
      <c r="U15" s="31" t="str">
        <f>IF(E15="int",REPT(CHAR(9),2)&amp;"this."&amp;D15&amp;" = 0,",REPT(CHAR(9),2)&amp;"this."&amp;D15&amp;" = '',")</f>
        <v xml:space="preserve">		this.hrid = '',</v>
      </c>
      <c r="V15" s="31" t="str">
        <f t="shared" ref="V15:V20" si="8">IF(AND(E15="string",F15="1"),D15,"")</f>
        <v/>
      </c>
    </row>
    <row r="16" spans="1:22" s="72" customFormat="1" ht="18" customHeight="1" x14ac:dyDescent="0.35">
      <c r="A16" s="72" t="s">
        <v>357</v>
      </c>
      <c r="B16" s="31" t="str">
        <f t="shared" ref="B16" si="9">SUBSTITUTE(PROPER(A16),"_","")</f>
        <v>Code</v>
      </c>
      <c r="C16" s="31" t="str">
        <f t="shared" ref="C16" si="10">SUBSTITUTE(PROPER(A16),"_"," ")</f>
        <v>Code</v>
      </c>
      <c r="D16" s="31" t="str">
        <f t="shared" ref="D16" si="11">LOWER(LEFT(B16,1))&amp;RIGHT(B16,LEN(B16) - 1)</f>
        <v>code</v>
      </c>
      <c r="E16" s="31" t="str">
        <f>A.Backend!H10</f>
        <v>string</v>
      </c>
      <c r="F16" s="31" t="str">
        <f>A.Backend!G10</f>
        <v>50</v>
      </c>
      <c r="G16" s="31" t="str">
        <f t="shared" si="3"/>
        <v xml:space="preserve"> : string = '' ; </v>
      </c>
      <c r="H16" s="38" t="str">
        <f t="shared" si="4"/>
        <v xml:space="preserve">			{headerName: this.l('Code'),headerTooltip: this.l('Code'),field: 'code',flex: 1},</v>
      </c>
      <c r="I16" s="38" t="str">
        <f t="shared" si="5"/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6" s="31"/>
      <c r="K16" s="38" t="str">
        <f t="shared" si="6"/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6" s="60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3">REPT(CHAR(9),1)&amp;D16&amp;G16</f>
        <v xml:space="preserve">	code : string = '' ; </v>
      </c>
      <c r="T16" s="31" t="str">
        <f t="shared" ref="T16" si="14">REPT(CHAR(9),3)&amp;"this."&amp;D16&amp;","</f>
        <v xml:space="preserve">			this.code,</v>
      </c>
      <c r="U16" s="31" t="str">
        <f t="shared" ref="U16" si="15">IF(E16="int",REPT(CHAR(9),2)&amp;"this."&amp;D16&amp;" = 0,",REPT(CHAR(9),2)&amp;"this."&amp;D16&amp;" = '',")</f>
        <v xml:space="preserve">		this.code = '',</v>
      </c>
      <c r="V16" s="31" t="str">
        <f t="shared" ref="V16" si="16">IF(AND(E16="string",F16="1"),D16,"")</f>
        <v/>
      </c>
    </row>
    <row r="17" spans="1:22" s="72" customFormat="1" ht="18" customHeight="1" x14ac:dyDescent="0.35">
      <c r="A17" s="72" t="s">
        <v>238</v>
      </c>
      <c r="B17" s="31" t="str">
        <f>SUBSTITUTE(PROPER(A17),"_","")</f>
        <v>Name</v>
      </c>
      <c r="C17" s="31" t="str">
        <f>SUBSTITUTE(PROPER(A17),"_"," ")</f>
        <v>Name</v>
      </c>
      <c r="D17" s="31" t="str">
        <f>LOWER(LEFT(B17,1))&amp;RIGHT(B17,LEN(B17) - 1)</f>
        <v>name</v>
      </c>
      <c r="E17" s="31" t="str">
        <f>A.Backend!H11</f>
        <v>string</v>
      </c>
      <c r="F17" s="31" t="str">
        <f>A.Backend!G11</f>
        <v>200</v>
      </c>
      <c r="G17" s="31" t="str">
        <f t="shared" si="3"/>
        <v xml:space="preserve"> : string = '' ; </v>
      </c>
      <c r="H17" s="38" t="str">
        <f t="shared" si="4"/>
        <v xml:space="preserve">			{headerName: this.l('Name'),headerTooltip: this.l('Name'),field: 'name',flex: 1},</v>
      </c>
      <c r="I17" s="38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D17&amp;G17</f>
        <v xml:space="preserve">name : string = '' ; </v>
      </c>
      <c r="T17" s="31" t="str">
        <f>REPT(CHAR(9),3)&amp;"this."&amp;D17&amp;","</f>
        <v xml:space="preserve">			this.name,</v>
      </c>
      <c r="U17" s="31" t="str">
        <f>IF(E17="int","this."&amp;D17&amp;" = 0,","this."&amp;D17&amp;" = '',")</f>
        <v>this.name = '',</v>
      </c>
      <c r="V17" s="31" t="str">
        <f>IF(AND(E17="string",F17="1"),D17,"")</f>
        <v/>
      </c>
    </row>
    <row r="18" spans="1:22" s="72" customFormat="1" ht="18" customHeight="1" x14ac:dyDescent="0.35">
      <c r="A18" s="72" t="s">
        <v>358</v>
      </c>
      <c r="B18" s="31" t="str">
        <f t="shared" ref="B18" si="17">SUBSTITUTE(PROPER(A18),"_","")</f>
        <v>Description</v>
      </c>
      <c r="C18" s="31" t="str">
        <f t="shared" ref="C18" si="18">SUBSTITUTE(PROPER(A18),"_"," ")</f>
        <v>Description</v>
      </c>
      <c r="D18" s="31" t="str">
        <f t="shared" ref="D18" si="19">LOWER(LEFT(B18,1))&amp;RIGHT(B18,LEN(B18) - 1)</f>
        <v>description</v>
      </c>
      <c r="E18" s="31" t="str">
        <f>A.Backend!H12</f>
        <v>string</v>
      </c>
      <c r="F18" s="31" t="str">
        <f>A.Backend!G12</f>
        <v>100</v>
      </c>
      <c r="G18" s="31" t="str">
        <f t="shared" si="3"/>
        <v xml:space="preserve"> : string = '' ; </v>
      </c>
      <c r="H18" s="38" t="str">
        <f t="shared" si="4"/>
        <v xml:space="preserve">			{headerName: this.l('Description'),headerTooltip: this.l('Description'),field: 'description',flex: 1},</v>
      </c>
      <c r="I18" s="38" t="str">
        <f t="shared" si="5"/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8" s="60" t="str">
        <f t="shared" ref="L18" si="20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ref="S18" si="21">REPT(CHAR(9),1)&amp;D18&amp;G18</f>
        <v xml:space="preserve">	description : string = '' ; </v>
      </c>
      <c r="T18" s="31" t="str">
        <f t="shared" ref="T18" si="22">REPT(CHAR(9),3)&amp;"this."&amp;D18&amp;","</f>
        <v xml:space="preserve">			this.description,</v>
      </c>
      <c r="U18" s="31" t="str">
        <f t="shared" ref="U18" si="23">IF(E18="int",REPT(CHAR(9),2)&amp;"this."&amp;D18&amp;" = 0,",REPT(CHAR(9),2)&amp;"this."&amp;D18&amp;" = '',")</f>
        <v xml:space="preserve">		this.description = '',</v>
      </c>
      <c r="V18" s="31" t="str">
        <f t="shared" ref="V18" si="24">IF(AND(E18="string",F18="1"),D18,"")</f>
        <v/>
      </c>
    </row>
    <row r="19" spans="1:22" s="72" customFormat="1" ht="18" customHeight="1" x14ac:dyDescent="0.35">
      <c r="A19" s="72" t="s">
        <v>365</v>
      </c>
      <c r="B19" s="31" t="str">
        <f>SUBSTITUTE(PROPER(A19),"_","")</f>
        <v>Published</v>
      </c>
      <c r="C19" s="31" t="str">
        <f>SUBSTITUTE(PROPER(A19),"_"," ")</f>
        <v>Published</v>
      </c>
      <c r="D19" s="31" t="str">
        <f>LOWER(LEFT(B19,1))&amp;RIGHT(B19,LEN(B19) - 1)</f>
        <v>published</v>
      </c>
      <c r="E19" s="31" t="str">
        <f>A.Backend!H13</f>
        <v>int</v>
      </c>
      <c r="F19" s="31" t="str">
        <f>A.Backend!G13</f>
        <v/>
      </c>
      <c r="G19" s="31" t="str">
        <f t="shared" si="3"/>
        <v xml:space="preserve"> : number = 0 ;</v>
      </c>
      <c r="H19" s="38" t="str">
        <f t="shared" si="4"/>
        <v xml:space="preserve">			{headerName: this.l('Published'),headerTooltip: this.l('Published'),field: 'published',flex: 1},</v>
      </c>
      <c r="I19" s="38" t="str">
        <f t="shared" si="5"/>
        <v/>
      </c>
      <c r="J19" s="31"/>
      <c r="K19" s="38" t="str">
        <f t="shared" si="6"/>
        <v xml:space="preserve">					&lt;div class='col-md-12 form-group row'&gt;
						&lt;label class='col-md-2 form-control title'&gt;Published&lt;/label&gt;
						&lt;input type='number' class='col-md-10 form-control input-text' name='Published' [(ngModel)]='rowdata.published'&gt;
					&lt;/div&gt;</v>
      </c>
      <c r="L19" s="60" t="str">
        <f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>D19&amp;G19</f>
        <v>published : number = 0 ;</v>
      </c>
      <c r="T19" s="31" t="str">
        <f>REPT(CHAR(9),3)&amp;"this."&amp;D19&amp;","</f>
        <v xml:space="preserve">			this.published,</v>
      </c>
      <c r="U19" s="31" t="str">
        <f>IF(E19="int","this."&amp;D19&amp;" = 0,","this."&amp;D19&amp;" = '',")</f>
        <v>this.published = 0,</v>
      </c>
      <c r="V19" s="31" t="str">
        <f>IF(AND(E19="string",F19="1"),D19,"")</f>
        <v/>
      </c>
    </row>
    <row r="20" spans="1:22" s="72" customFormat="1" ht="18" customHeight="1" x14ac:dyDescent="0.35">
      <c r="A20" s="72" t="s">
        <v>366</v>
      </c>
      <c r="B20" s="31" t="str">
        <f t="shared" si="0"/>
        <v>Orgstructuretypename</v>
      </c>
      <c r="C20" s="31" t="str">
        <f t="shared" si="1"/>
        <v>Orgstructuretypename</v>
      </c>
      <c r="D20" s="31" t="str">
        <f t="shared" si="2"/>
        <v>orgstructuretypename</v>
      </c>
      <c r="E20" s="31" t="str">
        <f>A.Backend!H14</f>
        <v>string</v>
      </c>
      <c r="F20" s="31" t="str">
        <f>A.Backend!G14</f>
        <v>150</v>
      </c>
      <c r="G20" s="31" t="str">
        <f t="shared" si="3"/>
        <v xml:space="preserve"> : string = '' ; </v>
      </c>
      <c r="H20" s="38" t="str">
        <f t="shared" si="4"/>
        <v xml:space="preserve">			{headerName: this.l('Orgstructuretypename'),headerTooltip: this.l('Orgstructuretypename'),field: 'orgstructuretypename',flex: 1},</v>
      </c>
      <c r="I20" s="38" t="str">
        <f t="shared" si="5"/>
        <v xml:space="preserve">								&lt;div class='input-search'&gt;
									&lt;input [(ngModel)]='orgstructuretypename' name='orgstructuretypename'
									class='form-control' [placeholder]="l('Orgstructuretypename')"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title'&gt;Orgstructuretypename&lt;/label&gt;
						&lt;input type='text' class='col-md-10 form-control input-text' name='Orgstructuretypename' [(ngModel)]='rowdata.orgstructuretypename'&gt;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ref="S20" si="25">REPT(CHAR(9),1)&amp;D20&amp;G20</f>
        <v xml:space="preserve">	orgstructuretypename : string = '' ; </v>
      </c>
      <c r="T20" s="31" t="str">
        <f t="shared" ref="T20" si="26">REPT(CHAR(9),3)&amp;"this."&amp;D20&amp;","</f>
        <v xml:space="preserve">			this.orgstructuretypename,</v>
      </c>
      <c r="U20" s="31" t="str">
        <f t="shared" ref="U20" si="27">IF(E20="int",REPT(CHAR(9),2)&amp;"this."&amp;D20&amp;" = 0,",REPT(CHAR(9),2)&amp;"this."&amp;D20&amp;" = '',")</f>
        <v xml:space="preserve">		this.orgstructuretypename = '',</v>
      </c>
      <c r="V20" s="31" t="str">
        <f t="shared" si="8"/>
        <v/>
      </c>
    </row>
    <row r="21" spans="1:22" s="72" customFormat="1" ht="18" customHeight="1" x14ac:dyDescent="0.35">
      <c r="A21" s="72" t="s">
        <v>367</v>
      </c>
      <c r="B21" s="31" t="str">
        <f>SUBSTITUTE(PROPER(A21),"_","")</f>
        <v>Orgstructuretypecode</v>
      </c>
      <c r="C21" s="31" t="str">
        <f>SUBSTITUTE(PROPER(A21),"_"," ")</f>
        <v>Orgstructuretypecode</v>
      </c>
      <c r="D21" s="31" t="str">
        <f>LOWER(LEFT(B21,1))&amp;RIGHT(B21,LEN(B21) - 1)</f>
        <v>orgstructuretypecode</v>
      </c>
      <c r="E21" s="31" t="str">
        <f>A.Backend!H15</f>
        <v>string</v>
      </c>
      <c r="F21" s="31" t="str">
        <f>A.Backend!G15</f>
        <v>100</v>
      </c>
      <c r="G21" s="31" t="str">
        <f t="shared" si="3"/>
        <v xml:space="preserve"> : string = '' ; </v>
      </c>
      <c r="H21" s="38" t="str">
        <f t="shared" si="4"/>
        <v xml:space="preserve">			{headerName: this.l('Orgstructuretypecode'),headerTooltip: this.l('Orgstructuretypecode'),field: 'orgstructuretypecode',flex: 1},</v>
      </c>
      <c r="I21" s="38" t="str">
        <f t="shared" si="5"/>
        <v xml:space="preserve">								&lt;div class='input-search'&gt;
									&lt;input [(ngModel)]='orgstructuretypecode' name='orgstructuretypecode'
									class='form-control' [placeholder]="l('Orgstructuretypecode')"
									type='text' (keyup.enter)='searchDatas()'&gt;
								&lt;/div&gt;</v>
      </c>
      <c r="J21" s="31"/>
      <c r="K21" s="38" t="str">
        <f t="shared" si="6"/>
        <v xml:space="preserve">					&lt;div class='col-md-12 form-group row'&gt;
						&lt;label class='col-md-2 form-control title'&gt;Orgstructuretypecode&lt;/label&gt;
						&lt;input type='text' class='col-md-10 form-control input-text' name='Orgstructuretypecode' [(ngModel)]='rowdata.orgstructuretypecode'&gt;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orgstructuretypecode : string = '' ; </v>
      </c>
      <c r="T21" s="31" t="str">
        <f>REPT(CHAR(9),3)&amp;"this."&amp;D21&amp;","</f>
        <v xml:space="preserve">			this.orgstructuretypecode,</v>
      </c>
      <c r="U21" s="31" t="str">
        <f>IF(E21="int","this."&amp;D21&amp;" = 0,","this."&amp;D21&amp;" = '',")</f>
        <v>this.orgstructuretypecode = '',</v>
      </c>
      <c r="V21" s="31" t="str">
        <f>IF(AND(E21="string",F21="1"),D21,"")</f>
        <v/>
      </c>
    </row>
    <row r="22" spans="1:22" ht="18" customHeight="1" x14ac:dyDescent="0.35">
      <c r="A22" s="72" t="s">
        <v>368</v>
      </c>
      <c r="B22" s="31" t="str">
        <f t="shared" ref="B22" si="28">SUBSTITUTE(PROPER(A22),"_","")</f>
        <v>Parentid</v>
      </c>
      <c r="C22" s="31" t="str">
        <f t="shared" ref="C22" si="29">SUBSTITUTE(PROPER(A22),"_"," ")</f>
        <v>Parentid</v>
      </c>
      <c r="D22" s="31" t="str">
        <f t="shared" ref="D22" si="30">LOWER(LEFT(B22,1))&amp;RIGHT(B22,LEN(B22) - 1)</f>
        <v>parentid</v>
      </c>
      <c r="E22" s="31" t="str">
        <f>A.Backend!H16</f>
        <v>string</v>
      </c>
      <c r="F22" s="31" t="str">
        <f>A.Backend!G16</f>
        <v>500</v>
      </c>
      <c r="G22" s="31" t="str">
        <f t="shared" si="3"/>
        <v xml:space="preserve"> : string = '' ; </v>
      </c>
      <c r="H22" s="38" t="str">
        <f t="shared" si="4"/>
        <v xml:space="preserve">			{headerName: this.l('Parentid'),headerTooltip: this.l('Parentid'),field: 'parentid',flex: 1},</v>
      </c>
      <c r="I22" s="38" t="str">
        <f t="shared" si="5"/>
        <v xml:space="preserve">								&lt;div class='input-search'&gt;
									&lt;input [(ngModel)]='parentid' name='parentid'
									class='form-control' [placeholder]="l('Parentid')"
									type='text' (keyup.enter)='searchDatas()'&gt;
								&lt;/div&gt;</v>
      </c>
      <c r="J22" s="31"/>
      <c r="K22" s="38" t="str">
        <f t="shared" si="6"/>
        <v xml:space="preserve">					&lt;div class='col-md-12 form-group row'&gt;
						&lt;label class='col-md-2 form-control title'&gt;Parentid&lt;/label&gt;
						&lt;input type='text' class='col-md-10 form-control input-text' name='Parentid' [(ngModel)]='rowdata.parentid'&gt;
					&lt;/div&gt;</v>
      </c>
      <c r="L22" s="60" t="str">
        <f t="shared" ref="L22" si="31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" si="32">REPT(CHAR(9),1)&amp;D22&amp;G22</f>
        <v xml:space="preserve">	parentid : string = '' ; </v>
      </c>
      <c r="T22" s="31" t="str">
        <f t="shared" ref="T22" si="33">REPT(CHAR(9),3)&amp;"this."&amp;D22&amp;","</f>
        <v xml:space="preserve">			this.parentid,</v>
      </c>
      <c r="U22" s="31" t="str">
        <f t="shared" ref="U22" si="34">IF(E22="int",REPT(CHAR(9),2)&amp;"this."&amp;D22&amp;" = 0,",REPT(CHAR(9),2)&amp;"this."&amp;D22&amp;" = '',")</f>
        <v xml:space="preserve">		this.parentid = '',</v>
      </c>
      <c r="V22" s="31" t="str">
        <f t="shared" ref="V22" si="35">IF(AND(E22="string",F22="1"),D22,"")</f>
        <v/>
      </c>
    </row>
    <row r="23" spans="1:22" s="72" customFormat="1" ht="18" customHeight="1" x14ac:dyDescent="0.35">
      <c r="A23" s="72" t="s">
        <v>355</v>
      </c>
      <c r="B23" s="31" t="str">
        <f t="shared" ref="B23" si="36">SUBSTITUTE(PROPER(A23),"_","")</f>
        <v>IsActive</v>
      </c>
      <c r="C23" s="31" t="str">
        <f t="shared" ref="C23" si="37">SUBSTITUTE(PROPER(A23),"_"," ")</f>
        <v>Is Active</v>
      </c>
      <c r="D23" s="31" t="str">
        <f t="shared" ref="D23" si="38">LOWER(LEFT(B23,1))&amp;RIGHT(B23,LEN(B23) - 1)</f>
        <v>isActive</v>
      </c>
      <c r="E23" s="31" t="str">
        <f>A.Backend!H17</f>
        <v>string</v>
      </c>
      <c r="F23" s="31" t="str">
        <f>A.Backend!G17</f>
        <v>1</v>
      </c>
      <c r="G23" s="31" t="str">
        <f t="shared" si="3"/>
        <v xml:space="preserve"> : string = '' ; </v>
      </c>
      <c r="H23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3" s="31"/>
      <c r="K23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60" t="str">
        <f t="shared" ref="L23" si="39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 t="shared" ref="S23" si="40">REPT(CHAR(9),1)&amp;D23&amp;G23</f>
        <v xml:space="preserve">	isActive : string = '' ; </v>
      </c>
      <c r="T23" s="31" t="str">
        <f t="shared" ref="T23" si="41">REPT(CHAR(9),3)&amp;"this."&amp;D23&amp;","</f>
        <v xml:space="preserve">			this.isActive,</v>
      </c>
      <c r="U23" s="31" t="str">
        <f t="shared" ref="U23" si="42">IF(E23="int",REPT(CHAR(9),2)&amp;"this."&amp;D23&amp;" = 0,",REPT(CHAR(9),2)&amp;"this."&amp;D23&amp;" = '',")</f>
        <v xml:space="preserve">		this.isActive = '',</v>
      </c>
      <c r="V23" s="31" t="str">
        <f t="shared" ref="V23" si="43">IF(AND(E23="string",F23="1"),D23,"")</f>
        <v>isActive</v>
      </c>
    </row>
    <row r="24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E18" sqref="E18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33</v>
      </c>
    </row>
    <row r="3" spans="1:2" x14ac:dyDescent="0.35">
      <c r="A3" t="s">
        <v>18</v>
      </c>
      <c r="B3" t="s">
        <v>33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36</v>
      </c>
    </row>
    <row r="6" spans="1:2" x14ac:dyDescent="0.35">
      <c r="A6" t="s">
        <v>23</v>
      </c>
      <c r="B6" t="s">
        <v>34</v>
      </c>
    </row>
    <row r="7" spans="1:2" x14ac:dyDescent="0.35">
      <c r="A7" t="s">
        <v>24</v>
      </c>
      <c r="B7" t="s">
        <v>4</v>
      </c>
    </row>
    <row r="8" spans="1:2" x14ac:dyDescent="0.35">
      <c r="A8" t="s">
        <v>4</v>
      </c>
      <c r="B8" t="s">
        <v>4</v>
      </c>
    </row>
    <row r="9" spans="1:2" x14ac:dyDescent="0.35">
      <c r="A9" t="s">
        <v>0</v>
      </c>
      <c r="B9" t="s">
        <v>48</v>
      </c>
    </row>
    <row r="10" spans="1:2" x14ac:dyDescent="0.35">
      <c r="A10" t="s">
        <v>25</v>
      </c>
      <c r="B10" t="s">
        <v>28</v>
      </c>
    </row>
    <row r="11" spans="1:2" x14ac:dyDescent="0.35">
      <c r="A11" t="s">
        <v>26</v>
      </c>
      <c r="B11" t="s">
        <v>28</v>
      </c>
    </row>
    <row r="12" spans="1:2" x14ac:dyDescent="0.35">
      <c r="A12" t="s">
        <v>27</v>
      </c>
      <c r="B12" t="s">
        <v>28</v>
      </c>
    </row>
    <row r="13" spans="1:2" x14ac:dyDescent="0.35">
      <c r="A13" t="s">
        <v>28</v>
      </c>
      <c r="B13" t="s">
        <v>28</v>
      </c>
    </row>
    <row r="14" spans="1:2" x14ac:dyDescent="0.35">
      <c r="A14" t="s">
        <v>29</v>
      </c>
      <c r="B14" t="s">
        <v>28</v>
      </c>
    </row>
    <row r="15" spans="1:2" x14ac:dyDescent="0.35">
      <c r="A15" t="s">
        <v>30</v>
      </c>
      <c r="B15" t="s">
        <v>28</v>
      </c>
    </row>
    <row r="16" spans="1:2" x14ac:dyDescent="0.35">
      <c r="A16" t="s">
        <v>31</v>
      </c>
      <c r="B16" t="s">
        <v>32</v>
      </c>
    </row>
    <row r="17" spans="1:2" x14ac:dyDescent="0.35">
      <c r="A17" t="s">
        <v>3</v>
      </c>
      <c r="B17" t="s">
        <v>32</v>
      </c>
    </row>
    <row r="18" spans="1:2" x14ac:dyDescent="0.35">
      <c r="A18" t="s">
        <v>35</v>
      </c>
      <c r="B18" t="s">
        <v>32</v>
      </c>
    </row>
    <row r="19" spans="1:2" x14ac:dyDescent="0.35">
      <c r="A19" t="s">
        <v>2</v>
      </c>
      <c r="B19" t="s">
        <v>32</v>
      </c>
    </row>
    <row r="20" spans="1:2" x14ac:dyDescent="0.3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2" customWidth="1"/>
  </cols>
  <sheetData>
    <row r="2" spans="1:2" x14ac:dyDescent="0.35">
      <c r="A2" s="24" t="s">
        <v>193</v>
      </c>
      <c r="B2" s="25" t="s">
        <v>190</v>
      </c>
    </row>
    <row r="3" spans="1:2" x14ac:dyDescent="0.35">
      <c r="B3" s="22" t="s">
        <v>115</v>
      </c>
    </row>
    <row r="4" spans="1:2" x14ac:dyDescent="0.35">
      <c r="B4" s="22" t="s">
        <v>116</v>
      </c>
    </row>
    <row r="5" spans="1:2" x14ac:dyDescent="0.35">
      <c r="B5" s="22" t="s">
        <v>117</v>
      </c>
    </row>
    <row r="6" spans="1:2" x14ac:dyDescent="0.35">
      <c r="B6" s="22" t="s">
        <v>118</v>
      </c>
    </row>
    <row r="7" spans="1:2" x14ac:dyDescent="0.35">
      <c r="B7" s="22" t="s">
        <v>119</v>
      </c>
    </row>
    <row r="8" spans="1:2" x14ac:dyDescent="0.35">
      <c r="B8" s="22" t="s">
        <v>120</v>
      </c>
    </row>
    <row r="9" spans="1:2" x14ac:dyDescent="0.35">
      <c r="B9" s="22" t="s">
        <v>121</v>
      </c>
    </row>
    <row r="10" spans="1:2" x14ac:dyDescent="0.35">
      <c r="B10" s="22" t="s">
        <v>122</v>
      </c>
    </row>
    <row r="11" spans="1:2" x14ac:dyDescent="0.35">
      <c r="B11" s="22" t="s">
        <v>123</v>
      </c>
    </row>
    <row r="12" spans="1:2" x14ac:dyDescent="0.35">
      <c r="B12" s="22" t="s">
        <v>124</v>
      </c>
    </row>
    <row r="13" spans="1:2" x14ac:dyDescent="0.35">
      <c r="B13" s="22" t="s">
        <v>125</v>
      </c>
    </row>
    <row r="14" spans="1:2" x14ac:dyDescent="0.35">
      <c r="B14" s="22" t="s">
        <v>126</v>
      </c>
    </row>
    <row r="15" spans="1:2" x14ac:dyDescent="0.35">
      <c r="B15" s="22" t="s">
        <v>127</v>
      </c>
    </row>
    <row r="16" spans="1:2" x14ac:dyDescent="0.35">
      <c r="B16" s="22" t="s">
        <v>128</v>
      </c>
    </row>
    <row r="17" spans="1:3" x14ac:dyDescent="0.35">
      <c r="B17" s="22" t="s">
        <v>129</v>
      </c>
    </row>
    <row r="18" spans="1:3" x14ac:dyDescent="0.35">
      <c r="B18" s="22" t="s">
        <v>130</v>
      </c>
      <c r="C18" t="s">
        <v>192</v>
      </c>
    </row>
    <row r="19" spans="1:3" x14ac:dyDescent="0.35">
      <c r="B19" s="22" t="s">
        <v>131</v>
      </c>
    </row>
    <row r="20" spans="1:3" x14ac:dyDescent="0.35">
      <c r="B20" s="22" t="s">
        <v>132</v>
      </c>
    </row>
    <row r="21" spans="1:3" x14ac:dyDescent="0.35">
      <c r="B21" s="22" t="s">
        <v>133</v>
      </c>
    </row>
    <row r="22" spans="1:3" x14ac:dyDescent="0.35">
      <c r="B22" s="22" t="s">
        <v>134</v>
      </c>
      <c r="C22" t="s">
        <v>197</v>
      </c>
    </row>
    <row r="23" spans="1:3" x14ac:dyDescent="0.35">
      <c r="B23" s="22" t="s">
        <v>135</v>
      </c>
    </row>
    <row r="24" spans="1:3" x14ac:dyDescent="0.35">
      <c r="B24" s="22" t="s">
        <v>136</v>
      </c>
    </row>
    <row r="25" spans="1:3" x14ac:dyDescent="0.35">
      <c r="B25" s="22" t="s">
        <v>137</v>
      </c>
    </row>
    <row r="26" spans="1:3" x14ac:dyDescent="0.35">
      <c r="A26" s="24" t="s">
        <v>194</v>
      </c>
      <c r="B26" s="25" t="s">
        <v>191</v>
      </c>
    </row>
    <row r="27" spans="1:3" x14ac:dyDescent="0.35">
      <c r="B27" s="22" t="s">
        <v>138</v>
      </c>
    </row>
    <row r="28" spans="1:3" x14ac:dyDescent="0.35">
      <c r="B28" s="23" t="s">
        <v>139</v>
      </c>
    </row>
    <row r="29" spans="1:3" x14ac:dyDescent="0.35">
      <c r="B29" s="22" t="s">
        <v>140</v>
      </c>
    </row>
    <row r="30" spans="1:3" x14ac:dyDescent="0.35">
      <c r="B30" s="22" t="s">
        <v>141</v>
      </c>
    </row>
    <row r="31" spans="1:3" x14ac:dyDescent="0.35">
      <c r="B31" s="22" t="s">
        <v>142</v>
      </c>
    </row>
    <row r="32" spans="1:3" x14ac:dyDescent="0.35">
      <c r="B32" s="22" t="s">
        <v>143</v>
      </c>
    </row>
    <row r="33" spans="2:2" x14ac:dyDescent="0.35">
      <c r="B33" s="22" t="s">
        <v>144</v>
      </c>
    </row>
    <row r="34" spans="2:2" x14ac:dyDescent="0.35">
      <c r="B34" s="22" t="s">
        <v>145</v>
      </c>
    </row>
    <row r="35" spans="2:2" x14ac:dyDescent="0.35">
      <c r="B35" s="22" t="s">
        <v>146</v>
      </c>
    </row>
    <row r="36" spans="2:2" x14ac:dyDescent="0.35">
      <c r="B36" s="22" t="s">
        <v>147</v>
      </c>
    </row>
    <row r="37" spans="2:2" x14ac:dyDescent="0.35">
      <c r="B37" s="22" t="s">
        <v>148</v>
      </c>
    </row>
    <row r="38" spans="2:2" x14ac:dyDescent="0.35">
      <c r="B38" s="22" t="s">
        <v>149</v>
      </c>
    </row>
    <row r="39" spans="2:2" x14ac:dyDescent="0.35">
      <c r="B39" s="22" t="s">
        <v>150</v>
      </c>
    </row>
    <row r="40" spans="2:2" x14ac:dyDescent="0.35">
      <c r="B40" s="22" t="s">
        <v>151</v>
      </c>
    </row>
    <row r="41" spans="2:2" x14ac:dyDescent="0.35">
      <c r="B41" s="22" t="s">
        <v>152</v>
      </c>
    </row>
    <row r="42" spans="2:2" x14ac:dyDescent="0.35">
      <c r="B42" s="22" t="s">
        <v>153</v>
      </c>
    </row>
    <row r="43" spans="2:2" x14ac:dyDescent="0.35">
      <c r="B43" s="23" t="s">
        <v>154</v>
      </c>
    </row>
    <row r="44" spans="2:2" x14ac:dyDescent="0.35">
      <c r="B44" s="22" t="s">
        <v>140</v>
      </c>
    </row>
    <row r="45" spans="2:2" x14ac:dyDescent="0.35">
      <c r="B45" s="22" t="s">
        <v>155</v>
      </c>
    </row>
    <row r="46" spans="2:2" x14ac:dyDescent="0.35">
      <c r="B46" s="22" t="s">
        <v>156</v>
      </c>
    </row>
    <row r="47" spans="2:2" x14ac:dyDescent="0.35">
      <c r="B47" s="22" t="s">
        <v>157</v>
      </c>
    </row>
    <row r="48" spans="2:2" x14ac:dyDescent="0.35">
      <c r="B48" s="22" t="s">
        <v>158</v>
      </c>
    </row>
    <row r="49" spans="2:2" x14ac:dyDescent="0.35">
      <c r="B49" s="22" t="s">
        <v>141</v>
      </c>
    </row>
    <row r="50" spans="2:2" x14ac:dyDescent="0.35">
      <c r="B50" s="22" t="s">
        <v>142</v>
      </c>
    </row>
    <row r="51" spans="2:2" x14ac:dyDescent="0.35">
      <c r="B51" s="22" t="s">
        <v>143</v>
      </c>
    </row>
    <row r="52" spans="2:2" x14ac:dyDescent="0.35">
      <c r="B52" s="22" t="s">
        <v>144</v>
      </c>
    </row>
    <row r="53" spans="2:2" x14ac:dyDescent="0.35">
      <c r="B53" s="22" t="s">
        <v>145</v>
      </c>
    </row>
    <row r="54" spans="2:2" x14ac:dyDescent="0.35">
      <c r="B54" s="22" t="s">
        <v>146</v>
      </c>
    </row>
    <row r="55" spans="2:2" x14ac:dyDescent="0.35">
      <c r="B55" s="22" t="s">
        <v>147</v>
      </c>
    </row>
    <row r="56" spans="2:2" x14ac:dyDescent="0.35">
      <c r="B56" s="22" t="s">
        <v>159</v>
      </c>
    </row>
    <row r="57" spans="2:2" x14ac:dyDescent="0.35">
      <c r="B57" s="22" t="s">
        <v>160</v>
      </c>
    </row>
    <row r="58" spans="2:2" x14ac:dyDescent="0.35">
      <c r="B58" s="22" t="s">
        <v>148</v>
      </c>
    </row>
    <row r="59" spans="2:2" x14ac:dyDescent="0.35">
      <c r="B59" s="22" t="s">
        <v>149</v>
      </c>
    </row>
    <row r="60" spans="2:2" x14ac:dyDescent="0.35">
      <c r="B60" s="22" t="s">
        <v>161</v>
      </c>
    </row>
    <row r="61" spans="2:2" x14ac:dyDescent="0.35">
      <c r="B61" s="22" t="s">
        <v>162</v>
      </c>
    </row>
    <row r="62" spans="2:2" x14ac:dyDescent="0.35">
      <c r="B62" s="22" t="s">
        <v>163</v>
      </c>
    </row>
    <row r="63" spans="2:2" x14ac:dyDescent="0.35">
      <c r="B63" s="22" t="s">
        <v>158</v>
      </c>
    </row>
    <row r="64" spans="2:2" x14ac:dyDescent="0.35">
      <c r="B64" s="22" t="s">
        <v>150</v>
      </c>
    </row>
    <row r="65" spans="2:2" x14ac:dyDescent="0.35">
      <c r="B65" s="22" t="s">
        <v>151</v>
      </c>
    </row>
    <row r="66" spans="2:2" x14ac:dyDescent="0.35">
      <c r="B66" s="22" t="s">
        <v>164</v>
      </c>
    </row>
    <row r="67" spans="2:2" x14ac:dyDescent="0.35">
      <c r="B67" s="22" t="s">
        <v>158</v>
      </c>
    </row>
    <row r="68" spans="2:2" x14ac:dyDescent="0.35">
      <c r="B68" s="22" t="s">
        <v>152</v>
      </c>
    </row>
    <row r="69" spans="2:2" x14ac:dyDescent="0.35">
      <c r="B69" s="22" t="s">
        <v>165</v>
      </c>
    </row>
    <row r="70" spans="2:2" x14ac:dyDescent="0.35">
      <c r="B70" s="23" t="s">
        <v>166</v>
      </c>
    </row>
    <row r="71" spans="2:2" x14ac:dyDescent="0.35">
      <c r="B71" s="22" t="s">
        <v>140</v>
      </c>
    </row>
    <row r="72" spans="2:2" x14ac:dyDescent="0.35">
      <c r="B72" s="22" t="s">
        <v>141</v>
      </c>
    </row>
    <row r="73" spans="2:2" x14ac:dyDescent="0.35">
      <c r="B73" s="22" t="s">
        <v>142</v>
      </c>
    </row>
    <row r="74" spans="2:2" x14ac:dyDescent="0.35">
      <c r="B74" s="22" t="s">
        <v>143</v>
      </c>
    </row>
    <row r="75" spans="2:2" x14ac:dyDescent="0.35">
      <c r="B75" s="22" t="s">
        <v>147</v>
      </c>
    </row>
    <row r="76" spans="2:2" x14ac:dyDescent="0.35">
      <c r="B76" s="22" t="s">
        <v>149</v>
      </c>
    </row>
    <row r="77" spans="2:2" x14ac:dyDescent="0.35">
      <c r="B77" s="22" t="s">
        <v>150</v>
      </c>
    </row>
    <row r="78" spans="2:2" x14ac:dyDescent="0.35">
      <c r="B78" s="22" t="s">
        <v>151</v>
      </c>
    </row>
    <row r="79" spans="2:2" x14ac:dyDescent="0.35">
      <c r="B79" s="22" t="s">
        <v>152</v>
      </c>
    </row>
    <row r="80" spans="2:2" x14ac:dyDescent="0.35">
      <c r="B80" s="22" t="s">
        <v>165</v>
      </c>
    </row>
    <row r="81" spans="1:2" x14ac:dyDescent="0.35">
      <c r="B81" s="23" t="s">
        <v>167</v>
      </c>
    </row>
    <row r="82" spans="1:2" x14ac:dyDescent="0.35">
      <c r="B82" s="23" t="s">
        <v>168</v>
      </c>
    </row>
    <row r="83" spans="1:2" x14ac:dyDescent="0.35">
      <c r="B83" s="23" t="s">
        <v>169</v>
      </c>
    </row>
    <row r="84" spans="1:2" x14ac:dyDescent="0.35">
      <c r="B84" s="23" t="s">
        <v>170</v>
      </c>
    </row>
    <row r="85" spans="1:2" x14ac:dyDescent="0.35">
      <c r="B85" s="23" t="s">
        <v>171</v>
      </c>
    </row>
    <row r="86" spans="1:2" x14ac:dyDescent="0.35">
      <c r="B86" s="23" t="s">
        <v>172</v>
      </c>
    </row>
    <row r="87" spans="1:2" x14ac:dyDescent="0.35">
      <c r="B87" s="23" t="s">
        <v>173</v>
      </c>
    </row>
    <row r="88" spans="1:2" x14ac:dyDescent="0.35">
      <c r="A88" s="24" t="s">
        <v>195</v>
      </c>
      <c r="B88" s="26" t="s">
        <v>174</v>
      </c>
    </row>
    <row r="89" spans="1:2" x14ac:dyDescent="0.35">
      <c r="B89" s="22" t="s">
        <v>175</v>
      </c>
    </row>
    <row r="90" spans="1:2" x14ac:dyDescent="0.35">
      <c r="B90" s="22" t="s">
        <v>176</v>
      </c>
    </row>
    <row r="91" spans="1:2" x14ac:dyDescent="0.35">
      <c r="B91" s="22" t="s">
        <v>177</v>
      </c>
    </row>
    <row r="92" spans="1:2" x14ac:dyDescent="0.35">
      <c r="B92" s="22" t="s">
        <v>178</v>
      </c>
    </row>
    <row r="93" spans="1:2" x14ac:dyDescent="0.35">
      <c r="B93" s="22" t="s">
        <v>179</v>
      </c>
    </row>
    <row r="94" spans="1:2" x14ac:dyDescent="0.35">
      <c r="B94" s="22" t="s">
        <v>180</v>
      </c>
    </row>
    <row r="95" spans="1:2" x14ac:dyDescent="0.35">
      <c r="B95" s="22" t="s">
        <v>181</v>
      </c>
    </row>
    <row r="96" spans="1:2" x14ac:dyDescent="0.35">
      <c r="B96" s="22" t="s">
        <v>182</v>
      </c>
    </row>
    <row r="97" spans="2:2" x14ac:dyDescent="0.35">
      <c r="B97" s="22" t="s">
        <v>183</v>
      </c>
    </row>
    <row r="98" spans="2:2" x14ac:dyDescent="0.35">
      <c r="B98" s="22" t="s">
        <v>184</v>
      </c>
    </row>
    <row r="99" spans="2:2" x14ac:dyDescent="0.35">
      <c r="B99" s="22" t="s">
        <v>185</v>
      </c>
    </row>
    <row r="100" spans="2:2" x14ac:dyDescent="0.35">
      <c r="B100" s="22" t="s">
        <v>186</v>
      </c>
    </row>
    <row r="101" spans="2:2" x14ac:dyDescent="0.35">
      <c r="B101" s="22" t="s">
        <v>187</v>
      </c>
    </row>
    <row r="102" spans="2:2" x14ac:dyDescent="0.35">
      <c r="B102" s="22" t="s">
        <v>188</v>
      </c>
    </row>
    <row r="103" spans="2:2" x14ac:dyDescent="0.3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2023-04-17T07:31:18Z</dcterms:modified>
</cp:coreProperties>
</file>
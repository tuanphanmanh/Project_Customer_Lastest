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TmvProdV12\docs\design\master\inventory\"/>
    </mc:Choice>
  </mc:AlternateContent>
  <xr:revisionPtr revIDLastSave="0" documentId="8_{37B12006-A9E5-4CB9-A411-9E8EE8176C0F}" xr6:coauthVersionLast="47" xr6:coauthVersionMax="47" xr10:uidLastSave="{00000000-0000-0000-0000-000000000000}"/>
  <bookViews>
    <workbookView xWindow="-120" yWindow="-120" windowWidth="19440" windowHeight="15000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" i="5" l="1"/>
  <c r="K17" i="5"/>
  <c r="K18" i="5"/>
  <c r="K19" i="5"/>
  <c r="K20" i="5"/>
  <c r="D16" i="5"/>
  <c r="E16" i="5"/>
  <c r="H16" i="5" s="1"/>
  <c r="F16" i="5"/>
  <c r="I16" i="5"/>
  <c r="D17" i="5"/>
  <c r="E17" i="5"/>
  <c r="H17" i="5" s="1"/>
  <c r="F17" i="5"/>
  <c r="G17" i="5"/>
  <c r="I17" i="5"/>
  <c r="D18" i="5"/>
  <c r="E18" i="5"/>
  <c r="H18" i="5" s="1"/>
  <c r="F18" i="5"/>
  <c r="I18" i="5"/>
  <c r="D19" i="5"/>
  <c r="E19" i="5"/>
  <c r="H19" i="5" s="1"/>
  <c r="F19" i="5"/>
  <c r="G19" i="5"/>
  <c r="I19" i="5"/>
  <c r="D20" i="5"/>
  <c r="E20" i="5"/>
  <c r="H20" i="5" s="1"/>
  <c r="F20" i="5"/>
  <c r="I20" i="5"/>
  <c r="L13" i="1"/>
  <c r="G13" i="1"/>
  <c r="E13" i="1"/>
  <c r="H13" i="1" s="1"/>
  <c r="D13" i="1"/>
  <c r="V13" i="1" s="1"/>
  <c r="G9" i="1"/>
  <c r="B16" i="5"/>
  <c r="C16" i="5"/>
  <c r="B17" i="5"/>
  <c r="C17" i="5"/>
  <c r="B18" i="5"/>
  <c r="C18" i="5"/>
  <c r="B19" i="5"/>
  <c r="C19" i="5"/>
  <c r="B20" i="5"/>
  <c r="C20" i="5"/>
  <c r="G20" i="5" l="1"/>
  <c r="G18" i="5"/>
  <c r="G16" i="5"/>
  <c r="W13" i="1"/>
  <c r="O13" i="1"/>
  <c r="J13" i="1"/>
  <c r="N13" i="1"/>
  <c r="I13" i="1"/>
  <c r="M13" i="1"/>
  <c r="P13" i="1"/>
  <c r="T13" i="1"/>
  <c r="L14" i="1"/>
  <c r="G14" i="1"/>
  <c r="E14" i="1"/>
  <c r="H14" i="1" s="1"/>
  <c r="D14" i="1"/>
  <c r="V14" i="1" s="1"/>
  <c r="W14" i="1" l="1"/>
  <c r="P14" i="1"/>
  <c r="T14" i="1"/>
  <c r="I14" i="1"/>
  <c r="N14" i="1"/>
  <c r="M14" i="1"/>
  <c r="J14" i="1"/>
  <c r="O14" i="1"/>
  <c r="B7" i="5"/>
  <c r="B6" i="5"/>
  <c r="B2" i="5"/>
  <c r="B8" i="5" l="1"/>
  <c r="B3" i="5"/>
  <c r="S20" i="5" l="1"/>
  <c r="T20" i="5"/>
  <c r="U20" i="5"/>
  <c r="V20" i="5"/>
  <c r="L20" i="5"/>
  <c r="B6" i="1" l="1"/>
  <c r="T19" i="5" l="1"/>
  <c r="U19" i="5"/>
  <c r="V19" i="5"/>
  <c r="S19" i="5"/>
  <c r="L19" i="5"/>
  <c r="C15" i="5"/>
  <c r="B15" i="5"/>
  <c r="D15" i="5" s="1"/>
  <c r="L12" i="1"/>
  <c r="G12" i="1"/>
  <c r="E12" i="1"/>
  <c r="H12" i="1" s="1"/>
  <c r="D12" i="1"/>
  <c r="V12" i="1" s="1"/>
  <c r="G11" i="1"/>
  <c r="E11" i="1"/>
  <c r="H11" i="1" s="1"/>
  <c r="D11" i="1"/>
  <c r="T11" i="1" s="1"/>
  <c r="U18" i="5" l="1"/>
  <c r="V18" i="5"/>
  <c r="T18" i="5"/>
  <c r="S17" i="5"/>
  <c r="T17" i="5"/>
  <c r="V17" i="5"/>
  <c r="L18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U17" i="5" l="1"/>
  <c r="S18" i="5"/>
  <c r="F15" i="5"/>
  <c r="E9" i="1"/>
  <c r="H9" i="1" s="1"/>
  <c r="E15" i="5" s="1"/>
  <c r="D9" i="1"/>
  <c r="V9" i="1" s="1"/>
  <c r="I15" i="5" l="1"/>
  <c r="K15" i="5"/>
  <c r="T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0" i="1" l="1"/>
  <c r="E10" i="1"/>
  <c r="H10" i="1" s="1"/>
  <c r="D10" i="1"/>
  <c r="T10" i="1" s="1"/>
  <c r="S16" i="5" l="1"/>
  <c r="T16" i="5"/>
  <c r="V16" i="5"/>
  <c r="L16" i="5"/>
  <c r="P10" i="1"/>
  <c r="V10" i="1"/>
  <c r="W10" i="1"/>
  <c r="J10" i="1"/>
  <c r="I10" i="1"/>
  <c r="O10" i="1"/>
  <c r="N10" i="1"/>
  <c r="M10" i="1"/>
  <c r="U16" i="5" l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6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6" i="1"/>
  <c r="T13" i="5"/>
  <c r="T7" i="1" l="1"/>
  <c r="W16" i="1"/>
  <c r="G6" i="1" l="1"/>
  <c r="L13" i="5"/>
  <c r="H13" i="5"/>
  <c r="S13" i="5"/>
  <c r="U13" i="5"/>
  <c r="K13" i="5"/>
  <c r="I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I16" i="1"/>
  <c r="N16" i="1"/>
  <c r="P16" i="1"/>
  <c r="J16" i="1"/>
  <c r="O16" i="1"/>
  <c r="Q7" i="1" l="1"/>
  <c r="M68" i="3" s="1"/>
  <c r="L7" i="1"/>
  <c r="G68" i="3" s="1"/>
  <c r="K68" i="3"/>
  <c r="J68" i="3"/>
  <c r="M16" i="1"/>
  <c r="K16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<sst xmlns="http://schemas.openxmlformats.org/spreadsheetml/2006/main" count="455" uniqueCount="367">
  <si>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</si>
  <si>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</si>
  <si>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</si>
  <si>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</si>
  <si>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</si>
  <si>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</si>
  <si>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</si>
  <si>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</si>
  <si>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</si>
  <si>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</si>
  <si>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</si>
  <si>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</si>
  <si>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</si>
  <si>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</si>
  <si>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</si>
  <si>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</si>
  <si>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</si>
  <si>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</si>
  <si>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</si>
  <si>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</si>
  <si>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</si>
  <si>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</si>
  <si>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</si>
  <si>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</si>
  <si>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</si>
  <si>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</si>
  <si>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</si>
  <si>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</si>
  <si>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</si>
  <si>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</si>
  <si>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</si>
  <si>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</si>
  <si>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</si>
  <si>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</si>
  <si>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</si>
  <si>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</si>
  <si>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</si>
  <si>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</si>
  <si>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</si>
  <si>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</si>
  <si>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</si>
  <si>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</si>
  <si>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</si>
  <si>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</si>
  <si>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</si>
  <si>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</si>
  <si>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</si>
  <si>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</si>
  <si>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</si>
  <si>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</si>
  <si>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</si>
  <si>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</si>
  <si>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</si>
  <si>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</si>
  <si>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</si>
  <si>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</si>
  <si>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</si>
  <si>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</si>
  <si>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</si>
  <si>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</si>
  <si>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</si>
  <si>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</si>
  <si>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</si>
  <si>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</si>
  <si>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</si>
  <si>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</si>
  <si>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</si>
  <si>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</si>
  <si>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</si>
  <si>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</si>
  <si>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</si>
  <si>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</si>
  <si>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</si>
  <si>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</si>
  <si>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</si>
  <si>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</si>
  <si>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</si>
  <si>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</si>
  <si>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</si>
  <si>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</si>
  <si>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</si>
  <si>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</si>
  <si>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</si>
  <si>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</si>
  <si>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</si>
  <si>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</si>
  <si>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</si>
  <si>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</si>
  <si>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</si>
  <si>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</si>
  <si>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</si>
  <si>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</si>
  <si>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</si>
  <si>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</si>
  <si>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</si>
  <si>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</si>
  <si>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</si>
  <si>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</si>
  <si>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</si>
  <si>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</si>
  <si>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</si>
  <si>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</si>
  <si>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</si>
  <si>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</si>
  <si>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</si>
  <si>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</si>
  <si>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</si>
  <si>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</si>
  <si>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</si>
  <si>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</si>
  <si>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</si>
  <si>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</si>
  <si>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</si>
  <si>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</si>
  <si>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</si>
  <si>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</si>
  <si>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</si>
  <si>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</si>
  <si>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</si>
  <si>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</si>
  <si>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</si>
  <si>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</si>
  <si>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</si>
  <si>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</si>
  <si>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</si>
  <si>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</si>
  <si>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</si>
  <si>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</si>
  <si>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</si>
  <si>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</si>
  <si>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</si>
  <si>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</si>
  <si>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</si>
  <si>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</si>
  <si>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</si>
  <si>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</si>
  <si>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</si>
  <si>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</si>
  <si>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</si>
  <si>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</si>
  <si>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</si>
  <si>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</si>
  <si>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</si>
  <si>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</si>
  <si>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</si>
  <si>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</si>
  <si>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</si>
  <si>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</si>
  <si>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</si>
  <si>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</si>
  <si>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</si>
  <si>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</si>
  <si>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</si>
  <si>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</si>
  <si>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</si>
  <si>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</si>
  <si>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</si>
  <si>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</si>
  <si>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</si>
  <si>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</si>
  <si>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</si>
  <si>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</si>
  <si>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</si>
  <si>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</si>
  <si>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</si>
  <si>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</si>
  <si>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</si>
  <si>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</si>
  <si>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</si>
  <si>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</si>
  <si>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</si>
  <si>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</si>
  <si>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</si>
  <si>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</si>
  <si>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</si>
  <si>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</si>
  <si>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</si>
  <si>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</si>
  <si>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</si>
  <si>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</si>
  <si>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</si>
  <si>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</si>
  <si>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</si>
  <si>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</si>
  <si>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</si>
  <si>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</si>
  <si>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</si>
  <si>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</si>
  <si>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</si>
  <si>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</si>
  <si>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</si>
  <si>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</si>
  <si>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</si>
  <si>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</si>
  <si>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</si>
  <si>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</si>
  <si>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</si>
  <si>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</si>
  <si>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</si>
  <si>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</si>
  <si>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</si>
  <si>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</si>
  <si>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</si>
  <si>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</si>
  <si>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</si>
  <si>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</si>
  <si>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</si>
  <si>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</si>
  <si>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</si>
  <si>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</si>
  <si>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</si>
  <si>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</si>
  <si>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</si>
  <si>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</si>
  <si>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</si>
  <si>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</si>
  <si>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</si>
  <si>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</si>
  <si>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</si>
  <si>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</si>
  <si>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</si>
  <si>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</si>
  <si>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</si>
  <si>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</si>
  <si>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</si>
  <si>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</si>
  <si>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</si>
  <si>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</si>
  <si>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</si>
  <si>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</si>
  <si>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</si>
  <si>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</si>
  <si>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</si>
  <si>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</si>
  <si>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</si>
  <si>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</si>
  <si>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</si>
  <si>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</si>
  <si>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</si>
  <si>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</si>
  <si>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</si>
  <si>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</si>
  <si>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</si>
  <si>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</si>
  <si>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</si>
  <si>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</si>
  <si>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</si>
  <si>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</si>
  <si>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</si>
  <si>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</si>
  <si>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</si>
  <si>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</si>
  <si>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</si>
  <si>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</si>
  <si>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</si>
  <si>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</si>
  <si>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</si>
  <si>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</si>
  <si>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</si>
  <si>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</si>
  <si>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</si>
  <si>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</si>
  <si>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</si>
  <si>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</si>
  <si>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</si>
  <si>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</si>
  <si>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</si>
  <si>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</si>
  <si>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</si>
  <si>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</si>
  <si>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</si>
  <si>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</si>
  <si>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</si>
  <si>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</si>
  <si>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</si>
  <si>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</si>
  <si>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</si>
  <si>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</si>
  <si>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</si>
  <si>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</si>
  <si>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</si>
  <si>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</si>
  <si>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</si>
  <si>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</si>
  <si>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</si>
  <si>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</si>
  <si>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</si>
  <si>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</si>
  <si>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</si>
  <si>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</si>
  <si>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</si>
  <si>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</si>
  <si>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</si>
  <si>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</si>
  <si>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</si>
  <si>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</si>
  <si>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</si>
  <si>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</si>
  <si>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</si>
  <si>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</si>
  <si>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</si>
  <si>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</si>
  <si>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</si>
  <si>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</si>
  <si>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</si>
  <si>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</si>
  <si>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</si>
  <si>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</si>
  <si>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</si>
  <si>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</si>
  <si>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</si>
  <si>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</si>
  <si>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</si>
  <si>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</si>
  <si>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</si>
  <si>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</si>
  <si>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</si>
  <si>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</si>
  <si>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</si>
  <si>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</si>
  <si>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</si>
  <si>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</si>
  <si>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</si>
  <si>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</si>
  <si>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</si>
  <si>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</si>
  <si>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</si>
  <si>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</si>
  <si>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</si>
  <si>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</si>
  <si>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</si>
  <si>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</si>
  <si>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</si>
  <si>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</si>
  <si>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</si>
  <si>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</si>
  <si>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</si>
  <si>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</si>
  <si>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</si>
  <si>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</si>
  <si>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</si>
  <si>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</si>
  <si>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</si>
  <si>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</si>
  <si>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</si>
  <si>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</si>
  <si>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</si>
  <si>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</si>
  <si>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</si>
  <si>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</si>
  <si>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</si>
  <si>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</si>
  <si>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</si>
  <si>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</si>
  <si>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</si>
  <si>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varchar(1)</t>
  </si>
  <si>
    <t>Master.Inv</t>
  </si>
  <si>
    <t>SCREEN_NAME</t>
  </si>
  <si>
    <t>varchar(40)</t>
  </si>
  <si>
    <t>SCREEN_TYPE</t>
  </si>
  <si>
    <t>SCREEN_VALUE</t>
  </si>
  <si>
    <t>varchar(1024)</t>
  </si>
  <si>
    <t>DESCRIPTION</t>
  </si>
  <si>
    <t>nvarchar(255)</t>
  </si>
  <si>
    <t>BARCODE_ID</t>
  </si>
  <si>
    <t>MstInvGpsScreenSetting</t>
  </si>
  <si>
    <t>GpsScreenSetting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</si>
</sst>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opLeftCell="A64" zoomScaleNormal="100" workbookViewId="0">
      <selection activeCell="C75" sqref="C75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82</v>
      </c>
    </row>
    <row r="53" spans="1:7" x14ac:dyDescent="0.25">
      <c r="A53" s="1"/>
      <c r="B53" t="s">
        <v>79</v>
      </c>
    </row>
    <row r="54" spans="1:7" x14ac:dyDescent="0.25">
      <c r="A54" s="1"/>
      <c r="C54" s="17" t="s">
        <v>76</v>
      </c>
    </row>
    <row r="55" spans="1:7" x14ac:dyDescent="0.25">
      <c r="A55" s="1"/>
      <c r="C55" s="16" t="s">
        <v>77</v>
      </c>
    </row>
    <row r="56" spans="1:7" x14ac:dyDescent="0.25">
      <c r="A56" s="1"/>
      <c r="C56" s="16" t="s">
        <v>78</v>
      </c>
    </row>
    <row r="57" spans="1:7" x14ac:dyDescent="0.25">
      <c r="A57" s="1"/>
      <c r="B57" t="s">
        <v>102</v>
      </c>
      <c r="C57" s="16"/>
    </row>
    <row r="58" spans="1:7" x14ac:dyDescent="0.25">
      <c r="A58" s="1"/>
      <c r="C58" s="16" t="s">
        <v>103</v>
      </c>
    </row>
    <row r="59" spans="1:7" x14ac:dyDescent="0.25">
      <c r="A59" s="1"/>
      <c r="C59" s="16" t="s">
        <v>104</v>
      </c>
    </row>
    <row r="60" spans="1:7" x14ac:dyDescent="0.25">
      <c r="A60" s="1"/>
      <c r="C60" s="16" t="s">
        <v>105</v>
      </c>
    </row>
    <row r="61" spans="1:7" x14ac:dyDescent="0.25">
      <c r="A61" s="1"/>
      <c r="C61" s="16" t="s">
        <v>107</v>
      </c>
    </row>
    <row r="62" spans="1:7" x14ac:dyDescent="0.25">
      <c r="A62" s="1"/>
      <c r="C62" s="16" t="s">
        <v>109</v>
      </c>
    </row>
    <row r="63" spans="1:7" x14ac:dyDescent="0.25">
      <c r="A63" s="1"/>
      <c r="C63" s="16" t="s">
        <v>108</v>
      </c>
    </row>
    <row r="64" spans="1:7" x14ac:dyDescent="0.25">
      <c r="A64" s="1"/>
      <c r="C64" s="16" t="s">
        <v>106</v>
      </c>
    </row>
    <row r="65" spans="2:14" ht="21" customHeight="1" x14ac:dyDescent="0.25">
      <c r="B65" s="19" t="s">
        <v>74</v>
      </c>
    </row>
    <row r="66" spans="2:14" ht="21" customHeight="1" x14ac:dyDescent="0.25">
      <c r="B66" s="59" t="s">
        <v>226</v>
      </c>
    </row>
    <row r="67" spans="2:14" ht="15.75" thickBot="1" x14ac:dyDescent="0.3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3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
{
	[Table("MstInvGpsScreenSetting")]
	public class MstInvGpsScreenSetting: FullAuditedEntity&lt;long&gt;, IEntity&lt;long&gt;	
	{
		public const int MaxScreenNameLength = 40;
		public const int MaxScreenTypeLength = 40;
		public const int MaxScreenValueLength = 1024;
		public const int MaxDescriptionLength = 255;
		public const int MaxIsActiveLength = 1;
		[StringLength(MaxScreenNameLength)]
		public virtual string ScreenName { get; set; }
		[StringLength(MaxScreenTypeLength)]
		public virtual string ScreenType { get; set; }
		[StringLength(MaxScreenValueLength)]
		public virtual string ScreenValue { get; set; }
		[StringLength(MaxDescriptionLength)]
		public virtual string Description { get; set; }
		public virtual int? BarcodeId { get; set; }
		[StringLength(MaxIsActiveLength)]
		public virtual string IsActive { get; set; }
	}
}
</v>
      </c>
      <c r="D68" s="48" t="str">
        <f>A.Backend!O7</f>
        <v xml:space="preserve">		public const string Pages_Master_Inv_GpsScreenSetting = "Pages.Master.Inv.GpsScreenSetting";
		public const string Pages_Master_Inv_GpsScreenSetting_CreateEdit = "Pages.Master.Inv.GpsScreenSetting.CreateEdit";
		public const string Pages_Master_Inv_GpsScreenSetting_Delete = "Pages.Master.Inv.GpsScreenSetting.Delete";
</v>
      </c>
      <c r="E68" s="48" t="str">
        <f>A.Backend!N7</f>
        <v xml:space="preserve">		var perMstInvGpsScreenSetting = PARENTS.CreateChildPermission(AppPermissions.Pages_Master_Inv_GpsScreenSetting, L( "MasterInvGpsScreenSetting"), multiTenancySides: MultiTenancySides.Tenant);
		perMstInvGpsScreenSetting.CreateChildPermission(AppPermissions.Pages_Master_Inv_GpsScreenSetting_CreateEdit, L( "MasterInvGpsScreenSettingCreateEdit"), multiTenancySides: MultiTenancySides.Tenant);
		perMstInvGpsScreenSetting.CreateChildPermission(AppPermissions.Pages_Master_Inv_GpsScreenSetting_Delete, L( "MasterInvGpsScreenSettingDelete"), multiTenancySides: MultiTenancySides.Tenant);</v>
      </c>
      <c r="F68" s="48" t="str">
        <f>A.Backend!K7</f>
        <v>public virtual DbSet&lt;MstInvGpsScreenSetting&gt; MstInvGpsScreenSettings { get; set; }</v>
      </c>
      <c r="G68" s="48" t="str">
        <f ca="1">A.Backend!L7</f>
        <v xml:space="preserve">namespace prod.Master.Inv
{
	public class MstInvGpsScreenSettingConsts	
	{
		public const int MaxScreenNameLength = 40;
		public const int MaxScreenTypeLength = 40;
		public const int MaxScreenValueLength = 1024;
		public const int MaxDescriptionLength = 255;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prod.Master.Inv.Dto
{
	public class MstInvGpsScreenSettingDto : EntityDto&lt;long?&gt;	
	{
		public virtual string ScreenName { get; set; }
		public virtual string ScreenType { get; set; }
		public virtual string ScreenValue { get; set; }
		public virtual string Description { get; set; }
		public virtual int? BarcodeId { get; set; }
		public virtual string IsActive { get; set; }
	}
	public class CreateOrEditMstInvGpsScreenSettingDto : EntityDto&lt;long?&gt;	
	{
		[StringLength(MstInvGpsScreenSettingConsts.MaxScreenNameLength)]
		public virtual string ScreenName { get; set; }
		[StringLength(MstInvGpsScreenSettingConsts.MaxScreenTypeLength)]
		public virtual string ScreenType { get; set; }
		[StringLength(MstInvGpsScreenSettingConsts.MaxScreenValueLength)]
		public virtual string ScreenValue { get; set; }
		[StringLength(MstInvGpsScreenSettingConsts.MaxDescriptionLength)]
		public virtual string Description { get; set; }
		public virtual int? BarcodeId { get; set; }
		[StringLength(MstInvGpsScreenSettingConsts.MaxIsActiveLength)]
		public virtual string IsActive { get; set; }
	}
	public class GetMstInvGpsScreenSettingInput : PagedAndSortedResultRequestDto	
	{
		public virtual string ScreenName { get; set; }
		public virtual string ScreenType { get; set; }
		public virtual string ScreenValue { get; set; }
		public virtual string Description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prod.Master.Inv.Dto
{
	public class MstInvGpsScreenSettingExportInput{
		public virtual string ScreenName { get; set; }
		public virtual string ScreenType { get; set; }
		public virtual string ScreenValue { get; set; }
		public virtual string Description { get; set; }
		public virtual int? BarcodeId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vovina.Master.Inv.Dto;
namespace prod.Master.Inv
{
	public interface IMstInvGpsScreenSettingAppService : IApplicationService
	{
		Task&lt;PagedResultDto&lt;MstInvGpsScreenSettingDto&gt;&gt; GetAll(GetMstInvGpsScreenSettingInput input);
		Task CreateOrEdit(CreateOrEditMstInvGpsScreenSettingDto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vovina.Master.Inv.Dto;
namespace prod.Master.Inv.Exporting
{
	public interface IMstInvGpsScreenSettingExcelExporter : IApplicationService
	{
		FileDto ExportToFile(List&lt;MstInvGpsScreenSettingDto&gt; mstinvgpsscreensetting);
	}
}
</v>
      </c>
      <c r="L68" s="48" t="str">
        <f ca="1">A.Backend!T7</f>
        <v>using System.Collections.Generic;
using vovina.DataExporting.Excel.NPOI;
using vovina.Dto;
using vovina.Master.Inv.Exporting;
using vovina.Master.Inv.Dto;
using vovina.Storage;
using vovina.Master.Inv.Dto;
namespace vovina.Master.Inv.Exporting
{
    public class MstInvGpsScreenSettingExcelExporter : NpoiExcelExporterBase, IMstInvGpsScreenSettingExcelExporter
    {
        public MstInvGpsScreenSettingExcelExporter(ITempFileCacheManager tempFileCacheManager) : base(tempFileCacheManager) { }
        public FileDto ExportToFile(List&lt;MstInvGpsScreenSettingDto&gt; gpsscreensetting)
        {
            return CreateExcelPackage(
				"MasterInvGpsScreenSetting.xlsx",
				excelPackage =&gt;
				 {
					var sheet = excelPackage.CreateSheet("GpsScreenSetting");
					AddHeader(
								sheet,
								("ScreenName"),
								("ScreenType"),
								("ScreenValue"),
								("Description"),
								("BarcodeId"),
								("IsActive"),
							   );
					AddObjects(
						 sheet, 1, gpsscreensetting,                                       
								_ =&gt; _.ScreenName,
								_ =&gt; _.ScreenType,
								_ =&gt; _.ScreenValue,
								_ =&gt; _.Description,
								_ =&gt; _.BarcodeId,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vovina.Master.Inv.Dto;
using vovina.Master.Inv.Exporting;
namespace vovina.Master.Inv
{
    [AbpAuthorize(AppPermissions.Pages_Master_Inv_GpsScreenSetting)]
    public class MstInvGpsScreenSettingAppService : vovinaAppServiceBase, IMstInvGpsScreenSettingAppService
    {
        private readonly IDapperRepository&lt;MstInvGpsScreenSetting, long&gt; _dapperRepo;
        private readonly IRepository&lt;MstInvGpsScreenSetting, long&gt; _repo;
        private readonly IMstInvGpsScreenSettingExcelExporter _calendarListExcelExporter;
        public MstInvGpsScreenSettingAppService(IRepository&lt;MstInvGpsScreenSetting,long&gt; repo, 
                                         IDapperRepository&lt;MstInvGpsScreenSetting,long&gt; dapperRepo,
                                        IMstInvGpsScreenSettingExcelExporter calendarListExcelExporter
            )
        {
            _repo = repo;
            _dapperRepo = dapperRepo;
            _calendarListExcelExporter = calendarListExcelExporter;
        }
        [AbpAuthorize(AppPermissions.Pages_Master_Inv_GpsScreenSetting_CreateEdit)]
        public async Task CreateOrEdit(CreateOrEditMstInvGpsScreenSettingDto input)
        {
            if (input.Id == null) await Create(input);
            else await Update(input);
        }
        //CREATE
        private async Task Create(CreateOrEditMstInvGpsScreenSettingDto input)
        {          
            var mainObj = ObjectMapper.Map&lt;MstInvGpsScreenSetting&gt;(input);
            await CurrentUnitOfWork.GetDbContext&lt;vovinaDbContext&gt;().AddAsync(mainObj);
        }
        // EDIT
        private async Task Update(CreateOrEditMstInvGpsScreenSettingDto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[AbpAuthorize(AppPermissions.Pages_Master_Inv_GpsScreenSetting_Delete)]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Task&lt;PagedResultDto&lt;MstInvGpsScreenSettingDto&gt;&gt; GetAll(GetMstInvGpsScreenSettingInput input)
        {
            var filtered = _repo.GetAll()
				.WhereIf(!string.IsNullOrWhiteSpace(input.ScreenName), e =&gt; e.ScreenName.Contains(input.ScreenName))
				.WhereIf(!string.IsNullOrWhiteSpace(input.ScreenType), e =&gt; e.ScreenType.Contains(input.ScreenType))
				.WhereIf(!string.IsNullOrWhiteSpace(input.ScreenValue), e =&gt; e.ScreenValue.Contains(input.ScreenValue))
				.WhereIf(!string.IsNullOrWhiteSpace(input.Description), e =&gt; e.Description.Contains(input.Description))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MstInvGpsScreenSettingDto
                        {
							Id = o.Id,
							ScreenName = o.ScreenName,
							ScreenType = o.ScreenType,
							ScreenValue = o.ScreenValue,
							Description = o.Description,
							BarcodeId = o.BarcodeId,
							IsActive = o.IsActive,
                        };
            var totalCount = await filtered.CountAsync();
			var paged = system.PageBy(input);
            return new PagedResultDto&lt;MstInvGpsScreenSettingDto&gt;(
                totalCount,
                 await paged.ToListAsync()
            );
        }
        public async Task&lt;FileDto&gt; GetGpsScreenSettingToExcel(MstInvGpsScreenSettingExportInput input)
        {
            var query = from o in _repo.GetAll()
                        select new MstInvGpsScreenSettingDto
                        {
							Id = o.Id,
							ScreenName = o.ScreenName,
							ScreenType = o.ScreenType,
							ScreenValue = o.ScreenValue,
							Description = o.Description,
							BarcodeId = o.BarcodeId,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_dapperRepo.ExecuteAsync(MstInvGpsScreenSettingConsts.SP_MST_WPT_CALENDAR_GENERATE);
       // }
    }
}</v>
      </c>
      <c r="N68" s="58" t="str">
        <f>A.Backend!U7</f>
        <v xml:space="preserve">  configuration.CreateMap&lt;MstInvGpsScreenSettingDto, MstInvGpsScreenSetting&gt;();
  configuration.CreateMap&lt;MstInvGpsScreenSetting, MstInvGpsScreenSettingDto&gt;();
  configuration.CreateMap&lt;CreateOrEditMstInvGpsScreenSettingDto, MstInvGpsScreenSetting&gt;();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69</v>
      </c>
    </row>
    <row r="73" spans="2:14" ht="21" x14ac:dyDescent="0.35">
      <c r="B73" t="str">
        <f>B.Frontend!B8</f>
        <v>gpsscreensetting</v>
      </c>
      <c r="C73" s="66" t="str">
        <f>"create folder " &amp;B73</f>
        <v>create folder gpsscreensetting</v>
      </c>
      <c r="D73" s="66"/>
      <c r="E73" s="66"/>
      <c r="F73" s="66"/>
      <c r="G73" s="66"/>
      <c r="H73" s="66"/>
      <c r="I73" s="66"/>
      <c r="J73" s="66"/>
      <c r="K73" s="67" t="s">
        <v>223</v>
      </c>
      <c r="L73" s="67"/>
      <c r="M73" s="28"/>
    </row>
    <row r="74" spans="2:14" s="26" customFormat="1" ht="18" customHeight="1" x14ac:dyDescent="0.25">
      <c r="B74" s="56" t="s">
        <v>224</v>
      </c>
      <c r="C74" s="28" t="str">
        <f>B.Frontend!H14</f>
        <v>gpsscreensetting.component.ts</v>
      </c>
      <c r="D74" s="28" t="str">
        <f>B.Frontend!I14</f>
        <v>gpsscreensetting.component.html</v>
      </c>
      <c r="E74" s="28" t="str">
        <f>B.Frontend!J14</f>
        <v>gpsscreensetting.component.less</v>
      </c>
      <c r="F74" s="28" t="str">
        <f>B.Frontend!K14</f>
        <v>create-or-edit-gpsscreensetting-modal.component.html</v>
      </c>
      <c r="G74" s="28" t="str">
        <f>B.Frontend!L14</f>
        <v>create-or-edit-gpsscreensetting-modal.component.ts</v>
      </c>
      <c r="H74" s="28" t="str">
        <f>B.Frontend!M14</f>
        <v>create-or-edit-gpsscreensetting-modal.component.less</v>
      </c>
      <c r="I74" s="28" t="str">
        <f>B.Frontend!N14</f>
        <v>gpsscreensetting.module.ts</v>
      </c>
      <c r="J74" s="28" t="str">
        <f>B.Frontend!O14</f>
        <v>gpsscreensetting-routing.module.ts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2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MstInvGpsScreenSettingDto, MstInvGpsScreenSettingServiceProxy } from '@shared/service-proxies/service-proxies';
import { finalize } from 'rxjs/internal/operators/finalize';
import { CreateOrEditGpsScreenSettingModalComponent } from './create-or-edit-gpsscreensetting-modal.component';
import { DatePipe } from '@angular/common';
import { FileDownloadService } from '@shared/utils/file-download.service';
import ceil from 'lodash-es/ceil';
import { Paginator } from 'primeng/paginator';
@Component({
    templateUrl: './gpsscreensetting.component.html',
    styleUrls: ['./gpsscreensetting.component.less'],
})
export class GpsScreenSettingComponent extends AppComponentBase implements OnInit {
    @ViewChild('createOrEditModalGpsScreenSetting', { static: true }) createOrEditModalGpsScreenSetting:| CreateOrEditGpsScreenSettingModalComponent|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MstInvGpsScreenSettingDto = new MstInvGpsScreenSettingDto();
    saveSelectedRow: MstInvGpsScreenSettingDto = new MstInvGpsScreenSettingDto();
    datas: MstInvGpsScreenSettingDto = new MstInvGpsScreenSettingDto();
    isLoading: boolean = false;
    dataParams: GridParams | undefined;
    rowData: any[] = [];
    gridApi!: GridApi;
    rowSelection = 'multiple';
    filter: string = '';
	pipe = new DatePipe('en-US');
	frameworkComponents: FrameworkComponent;
    	screenName : string = '' ; 
	screenType : string = '' ; 
	screenValue : string = '' ; 
	description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MstInvGpsScreenSettingServiceProxy,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this.l('Screen Name'),headerTooltip: this.l('Screen Name'),field: 'screenName',flex: 1},
			{headerName: this.l('Screen Type'),headerTooltip: this.l('Screen Type'),field: 'screenType',flex: 1},
			{headerName: this.l('Screen Value'),headerTooltip: this.l('Screen Value'),field: 'screenValue',flex: 1},
			{headerName: this.l('Description'),headerTooltip: this.l('Description'),field: 'description',flex: 1},
			{headerName: this.l('Barcode Id'),headerTooltip: this.l('Barcode Id'),field: 'barcodeId',flex: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this.screenName,
			this.screenType,
			this.screenValue,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screenName : string = '' ; 
	screenType : string = '' ; 
	screenValue : string = '' ; 
	description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this.screenName,
			this.screenType,
			this.screenValue,
			'',
            this.paginationParams.skipCount,
            this.paginationParams.pageSize
        );
    }
    onChangeRowSelection(params: { api: { getSelectedRows: () =&gt; MstInvGpsScreenSettingDto[] } }) {
        this.saveSelectedRow = params.api.getSelectedRows()[0] ?? new MstInvGpsScreenSettingDto();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MstInvGpsScreenSettingDto):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this._service.getGpsScreenSettingToExcel(
			this.,
			this.screenName,
			this.screenType,
			this.screenValue,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GpsScreenSetting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[(ngModel)]='screenName' name='screenName'
									class='form-control' [placeholder]="l('Screen Name')"
									type='text' (keyup.enter)='searchDatas()'&gt;
								&lt;/div&gt;
								&lt;div class='input-search'&gt;
									&lt;input [(ngModel)]='screenType' name='screenType'
									class='form-control' [placeholder]="l('Screen Type')"
									type='text' (keyup.enter)='searchDatas()'&gt;
								&lt;/div&gt;
								&lt;div class='input-search'&gt;
									&lt;input [(ngModel)]='screenValue' name='screenValue'
									class='form-control' [placeholder]="l('Screen Value')"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(click)="createOrEditModalGpsScreenSetting.show()"&gt;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(click)="createOrEditModalGpsScreenSetting.show(selectedRow)"&gt;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&lt;create-or-edit-gpsscreensetting-modal
    #createOrEditModalGpsScreenSetting
    (modalSave)="callBackDataGrid(dataParams)"
    (modalClose)="onChangeRowSelection(dataParams)"
&gt;
&lt;/create-or-edit-gpsscreensetting-modal&gt;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#createOrEditModalGpsScreenSetting="bs-modal"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GpsScreenSetting')}}&lt;/h3&gt;
                    &lt;h3 *ngIf="!rowdata.id"&gt;{{('Create New GpsScreenSetting')}}&lt;/h3&gt;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title'&gt;Screen Name&lt;/label&gt;
						&lt;input type='text' class='col-md-10 form-control input-text' name='ScreenName' [(ngModel)]='rowdata.screenName'&gt;
					&lt;/div&gt;
					&lt;div class='col-md-12 form-group row'&gt;
						&lt;label class='col-md-2 form-control title'&gt;Screen Type&lt;/label&gt;
						&lt;input type='text' class='col-md-10 form-control input-text' name='ScreenType' [(ngModel)]='rowdata.screenType'&gt;
					&lt;/div&gt;
					&lt;div class='col-md-12 form-group row'&gt;
						&lt;label class='col-md-2 form-control title'&gt;Screen Value&lt;/label&gt;
						&lt;input type='text' class='col-md-10 form-control input-text' name='ScreenValue' [(ngModel)]='rowdata.screenValue'&gt;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title'&gt;Barcode Id&lt;/label&gt;
						&lt;input type='number' class='col-md-10 form-control input-text' name='BarcodeId' [(ngModel)]='rowdata.barcodeId'&gt;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CreateOrEditMstInvGpsScreenSettingDto, MstInvGpsScreenSettingServiceProxy } from '@shared/service-proxies/service-proxies';
import { BsDatepickerDirective } from 'ngx-bootstrap/datepicker';
@Component({
    selector: 'create-or-edit-gpsscreensetting-modal',
    templateUrl: './create-or-edit-gpsscreensetting-modal.component.html',
    styleUrls: ['./create-or-edit-gpsscreensetting-modal.component.less']
    })
export class CreateOrEditGpsScreenSettingModalComponent extends AppComponentBase {
    @ViewChild('createOrEditModalGpsScreenSetting',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CreateOrEditMstInvGpsScreenSettingDto = new CreateOrEditMstInvGpsScreenSettingDto();
    active: boolean = false;
    saving: boolean = false;
    _isActive: boolean;
    constructor(
        injector: Injector,
        private _mstwptGpsScreenSettingService: MstInvGpsScreenSettingServiceProxy,
    ) 
    {
        super(injector);
    }
    show(rowdata?: CreateOrEditMstInvGpsScreenSettingDto): void {
        if (!rowdata) this.rowdata = new CreateOrEditMstInvGpsScreenSettingDto();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this._mstwptGpsScreenSettingService.createOrEdit(this.rowdata)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GpsScreenSettingRoutingModule } from './gpsscreensetting-routing.module';
import { GpsScreenSettingComponent } from './gpsscreensetting.component';
import { CreateOrEditGpsScreenSettingModalComponent } from './create-or-edit-gpsscreensetting-modal.component';
@NgModule({
    declarations: [
       GpsScreenSettingComponent, 
        CreateOrEditGpsScreenSettingModalComponent
    ],
    imports: [
        AppSharedModule, GpsScreenSettingRoutingModule]
})
export class GpsScreenSettingModule {}</v>
      </c>
      <c r="J75" s="46" t="str">
        <f>B.Frontend!O10</f>
        <v>import {NgModule} from '@angular/core';
import {RouterModule, Routes} from '@angular/router';
import { GpsScreenSettingComponent } from './gpsscreensetting.component';
const routes: Routes = [{
    path: '',
    component: GpsScreenSettingComponent,
    pathMatch: 'full'
}];
@NgModule({
    imports: [RouterModule.forChild(routes)],
    exports: [RouterModule],
})
export class GpsScreenSettingRoutingModule {}</v>
      </c>
      <c r="K75" s="46" t="str">
        <f>B.Frontend!P10</f>
        <v xml:space="preserve"> new AppMenuItem("GpsScreenSetting", "Pages.Master.Inv.GpsScreenSetting", "flaticon-book",   "/app/main/master/inv/gpsscreensetting"),</v>
      </c>
      <c r="L75" s="47" t="str">
        <f>B.Frontend!Q10</f>
        <v>{
    path: 'master/inv/gpsscreensetting',
    loadChildren: () =&gt; import('./master/inv/gpsscreensetting/gpsscreensetting.module').then(m =&gt; m.GpsScreenSettingModule),
    data: { permission: 'Pages.Master.Inv.GpsScreenSetting' }
},</v>
      </c>
      <c r="M75" s="45" t="str">
        <f>B.Frontend!R10</f>
        <v>ApiServiceProxies.MstInvGpsScreenSettingServiceProxy,</v>
      </c>
    </row>
    <row r="77" spans="2:14" x14ac:dyDescent="0.2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6"/>
  <sheetViews>
    <sheetView workbookViewId="0">
      <pane xSplit="1" topLeftCell="B1" activePane="topRight" state="frozen"/>
      <selection pane="topRight" activeCell="B3" sqref="B3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356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365</v>
      </c>
      <c r="C3" s="9" t="s">
        <v>40</v>
      </c>
      <c r="D3" s="9" t="s">
        <v>41</v>
      </c>
      <c r="E3" s="9" t="s">
        <v>36</v>
      </c>
      <c r="F3" s="10" t="str">
        <f>"J"&amp;COUNTA($A:$A)</f>
        <v>J14</v>
      </c>
      <c r="G3" s="4" t="s">
        <v>53</v>
      </c>
      <c r="H3" s="9" t="str">
        <f>"I"&amp;COUNTA($A:$A)</f>
        <v>I14</v>
      </c>
      <c r="I3" s="9" t="str">
        <f>REPT(CHAR(9),2)&amp;"[Required]"&amp;"
"</f>
        <v xml:space="preserve">		[Required]
</v>
      </c>
      <c r="J3" s="10" t="str">
        <f>"L"&amp;COUNTA($A:$A)</f>
        <v>L14</v>
      </c>
      <c r="K3" s="5" t="s">
        <v>52</v>
      </c>
      <c r="L3" s="10" t="str">
        <f>"M"&amp;COUNTA($A:$A)</f>
        <v>M14</v>
      </c>
      <c r="M3" s="10" t="str">
        <f>"N"&amp;COUNTA($A:$A)</f>
        <v>N14</v>
      </c>
      <c r="N3" s="10" t="str">
        <f>"O"&amp;COUNTA($A:$A)</f>
        <v>O14</v>
      </c>
      <c r="O3" s="10" t="str">
        <f>"P"&amp;COUNTA($A:$A)</f>
        <v>P14</v>
      </c>
      <c r="Q3" s="10" t="str">
        <f>RIGHT(B2,(LEN(B2)-FIND(".",B2,1)))</f>
        <v>Inv</v>
      </c>
      <c r="R3" s="29" t="str">
        <f>REPT(CHAR(9),1)&amp;"public class "&amp;B3&amp;"ExportInput"&amp;C3</f>
        <v xml:space="preserve">	public class MstInvGpsScreenSettingExportInput{
</v>
      </c>
      <c r="S3" s="10" t="str">
        <f>"namespace "&amp;$B$6&amp;".Exporting
"&amp;$C$3</f>
        <v xml:space="preserve">namespace prod.Master.Inv.Exporting
{
</v>
      </c>
      <c r="T3" s="10" t="str">
        <f>"T"&amp;COUNTA($A:$A)</f>
        <v>T14</v>
      </c>
      <c r="V3" s="10" t="str">
        <f>"V"&amp;COUNTA($A:$A)</f>
        <v>V14</v>
      </c>
      <c r="W3" s="9" t="str">
        <f>"W"&amp;COUNTA($A:$A)</f>
        <v>W14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prod.Master.Inv</v>
      </c>
      <c r="C6" s="10" t="str">
        <f>"namespace "&amp;$B$6&amp;"
"&amp;$C$3</f>
        <v xml:space="preserve">namespace prod.Master.Inv
{
</v>
      </c>
      <c r="D6" s="10" t="str">
        <f>REPT(CHAR(9),1)&amp;"public class "&amp;B3&amp;G3&amp;REPT(CHAR(9),1)&amp;"
"&amp;REPT(CHAR(9),1)&amp;C3</f>
        <v xml:space="preserve">	public class MstInvGpsScreenSetting: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MstInvGpsScreenSettingConsts	
	{
</v>
      </c>
      <c r="F6" s="10" t="str">
        <f>REPT(CHAR(9),1)&amp;"public class "&amp;B3&amp;"Dto"&amp;K3&amp;REPT(CHAR(9),1)&amp;"
"&amp;REPT(CHAR(9),1)&amp;C3</f>
        <v xml:space="preserve">	public class MstInvGpsScreenSettingDto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CreateOrEditMstInvGpsScreenSettingDto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GetMstInvGpsScreenSettingInput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MstInvGpsScreenSetting</v>
      </c>
      <c r="C7" s="10" t="str">
        <f>REPT(CHAR(9),1)&amp;"[Table("""&amp;B7&amp;""")]"&amp;"
"</f>
        <v xml:space="preserve">	[Table("MstInvGpsScreenSetting")]
</v>
      </c>
      <c r="D7" s="10"/>
      <c r="E7" s="10"/>
      <c r="F7" s="10"/>
      <c r="G7" s="10"/>
      <c r="H7" s="10"/>
      <c r="I7" s="10"/>
      <c r="J7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
{
	[Table("MstInvGpsScreenSetting")]
	public class MstInvGpsScreenSetting: FullAuditedEntity&lt;long&gt;, IEntity&lt;long&gt;	
	{
		public const int MaxScreenNameLength = 40;
		public const int MaxScreenTypeLength = 40;
		public const int MaxScreenValueLength = 1024;
		public const int MaxDescriptionLength = 255;
		public const int MaxIsActiveLength = 1;
		[StringLength(MaxScreenNameLength)]
		public virtual string ScreenName { get; set; }
		[StringLength(MaxScreenTypeLength)]
		public virtual string ScreenType { get; set; }
		[StringLength(MaxScreenValueLength)]
		public virtual string ScreenValue { get; set; }
		[StringLength(MaxDescriptionLength)]
		public virtual string Description { get; set; }
		public virtual int? BarcodeId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DbSet&lt;MstInvGpsScreenSetting&gt; MstInvGpsScreenSettings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prod.Master.Inv
{
	public class MstInvGpsScreenSettingConsts	
	{
		public const int MaxScreenNameLength = 40;
		public const int MaxScreenTypeLength = 40;
		public const int MaxScreenValueLength = 1024;
		public const int MaxDescriptionLength = 255;
		public const int MaxIsActiveLength = 1;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prod.Master.Inv.Dto
{
	public class MstInvGpsScreenSettingDto : EntityDto&lt;long?&gt;	
	{
		public virtual string ScreenName { get; set; }
		public virtual string ScreenType { get; set; }
		public virtual string ScreenValue { get; set; }
		public virtual string Description { get; set; }
		public virtual int? BarcodeId { get; set; }
		public virtual string IsActive { get; set; }
	}
	public class CreateOrEditMstInvGpsScreenSettingDto : EntityDto&lt;long?&gt;	
	{
		[StringLength(MstInvGpsScreenSettingConsts.MaxScreenNameLength)]
		public virtual string ScreenName { get; set; }
		[StringLength(MstInvGpsScreenSettingConsts.MaxScreenTypeLength)]
		public virtual string ScreenType { get; set; }
		[StringLength(MstInvGpsScreenSettingConsts.MaxScreenValueLength)]
		public virtual string ScreenValue { get; set; }
		[StringLength(MstInvGpsScreenSettingConsts.MaxDescriptionLength)]
		public virtual string Description { get; set; }
		public virtual int? BarcodeId { get; set; }
		[StringLength(MstInvGpsScreenSettingConsts.MaxIsActiveLength)]
		public virtual string IsActive { get; set; }
	}
	public class GetMstInvGpsScreenSettingInput : PagedAndSortedResultRequestDto	
	{
		public virtual string ScreenName { get; set; }
		public virtual string ScreenType { get; set; }
		public virtual string ScreenValue { get; set; }
		public virtual string Description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perMstInvGpsScreenSetting = PARENTS.CreateChildPermission(AppPermissions.Pages_Master_Inv_GpsScreenSetting, L( "MasterInvGpsScreenSetting"), multiTenancySides: MultiTenancySides.Tenant);
		perMstInvGpsScreenSetting.CreateChildPermission(AppPermissions.Pages_Master_Inv_GpsScreenSetting_CreateEdit, L( "MasterInvGpsScreenSettingCreateEdit"), multiTenancySides: MultiTenancySides.Tenant);
		perMstInvGpsScreenSetting.CreateChildPermission(AppPermissions.Pages_Master_Inv_GpsScreenSetting_Delete, L( "MasterInvGpsScreenSettingDelete"),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Pages_Master_Inv_GpsScreenSetting = "Pages.Master.Inv.GpsScreenSetting";
		public const string Pages_Master_Inv_GpsScreenSetting_CreateEdit = "Pages.Master.Inv.GpsScreenSetting.CreateEdit";
		public const string Pages_Master_Inv_GpsScreenSetting_Delete = "Pages.Master.Inv.GpsScreenSetting.Delete";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
{
	public interface IMstInvGpsScreenSettingAppService : IApplicationService
	{
		Task&lt;PagedResultDto&lt;MstInvGpsScreenSettingDto&gt;&gt; GetAll(GetMstInvGpsScreenSettingInput input);
		Task CreateOrEdit(CreateOrEditMstInvGpsScreenSettingDto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vovina.Master.Inv.Dto;
using vovina.Master.Inv.Exporting;
namespace vovina.Master.Inv
{
    [AbpAuthorize(AppPermissions.Pages_Master_Inv_GpsScreenSetting)]
    public class MstInvGpsScreenSettingAppService : vovinaAppServiceBase, IMstInvGpsScreenSettingAppService
    {
        private readonly IDapperRepository&lt;MstInvGpsScreenSetting, long&gt; _dapperRepo;
        private readonly IRepository&lt;MstInvGpsScreenSetting, long&gt; _repo;
        private readonly IMstInvGpsScreenSettingExcelExporter _calendarListExcelExporter;
        public MstInvGpsScreenSettingAppService(IRepository&lt;MstInvGpsScreenSetting,long&gt; repo, 
                                         IDapperRepository&lt;MstInvGpsScreenSetting,long&gt; dapperRepo,
                                        IMstInvGpsScreenSettingExcelExporter calendarListExcelExporter
            )
        {
            _repo = repo;
            _dapperRepo = dapperRepo;
            _calendarListExcelExporter = calendarListExcelExporter;
        }
        [AbpAuthorize(AppPermissions.Pages_Master_Inv_GpsScreenSetting_CreateEdit)]
        public async Task CreateOrEdit(CreateOrEditMstInvGpsScreenSettingDto input)
        {
            if (input.Id == null) await Create(input);
            else await Update(input);
        }
        //CREATE
        private async Task Create(CreateOrEditMstInvGpsScreenSettingDto input)
        {          
            var mainObj = ObjectMapper.Map&lt;MstInvGpsScreenSetting&gt;(input);
            await CurrentUnitOfWork.GetDbContext&lt;vovinaDbContext&gt;().AddAsync(mainObj);
        }
        // EDIT
        private async Task Update(CreateOrEditMstInvGpsScreenSettingDto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[AbpAuthorize(AppPermissions.Pages_Master_Inv_GpsScreenSetting_Delete)]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Task&lt;PagedResultDto&lt;MstInvGpsScreenSettingDto&gt;&gt; GetAll(GetMstInvGpsScreenSettingInput input)
        {
            var filtered = _repo.GetAll()
				.WhereIf(!string.IsNullOrWhiteSpace(input.ScreenName), e =&gt; e.ScreenName.Contains(input.ScreenName))
				.WhereIf(!string.IsNullOrWhiteSpace(input.ScreenType), e =&gt; e.ScreenType.Contains(input.ScreenType))
				.WhereIf(!string.IsNullOrWhiteSpace(input.ScreenValue), e =&gt; e.ScreenValue.Contains(input.ScreenValue))
				.WhereIf(!string.IsNullOrWhiteSpace(input.Description), e =&gt; e.Description.Contains(input.Description))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MstInvGpsScreenSettingDto
                        {
							Id = o.Id,
							ScreenName = o.ScreenName,
							ScreenType = o.ScreenType,
							ScreenValue = o.ScreenValue,
							Description = o.Description,
							BarcodeId = o.BarcodeId,
							IsActive = o.IsActive,
                        };
            var totalCount = await filtered.CountAsync();
			var paged = system.PageBy(input);
            return new PagedResultDto&lt;MstInvGpsScreenSettingDto&gt;(
                totalCount,
                 await paged.ToListAsync()
            );
        }
        public async Task&lt;FileDto&gt; GetGpsScreenSettingToExcel(MstInvGpsScreenSettingExportInput input)
        {
            var query = from o in _repo.GetAll()
                        select new MstInvGpsScreenSettingDto
                        {
							Id = o.Id,
							ScreenName = o.ScreenName,
							ScreenType = o.ScreenType,
							ScreenValue = o.ScreenValue,
							Description = o.Description,
							BarcodeId = o.BarcodeId,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_dapperRepo.ExecuteAsync(MstInvGpsScreenSettingConsts.SP_MST_WPT_CALENDAR_GENERATE);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prod.Master.Inv.Dto
{
	public class MstInvGpsScreenSettingExportInput{
		public virtual string ScreenName { get; set; }
		public virtual string ScreenType { get; set; }
		public virtual string ScreenValue { get; set; }
		public virtual string Description { get; set; }
		public virtual int? BarcodeId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prod.Master.Inv.Exporting
{
	public interface IMstInvGpsScreenSettingExcelExporter : IApplicationService
	{
		FileDto ExportToFile(List&lt;MstInvGpsScreenSettingDto&gt; mstinvgpsscreensetting);
	}
}
</v>
      </c>
      <c r="T7" s="26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vovina.Master.Inv.Exporting;
using vovina.Master.Inv.Dto;
using vovina.Storage;
using vovina.Master.Inv.Dto;
namespace vovina.Master.Inv.Exporting
{
    public class MstInvGpsScreenSettingExcelExporter : NpoiExcelExporterBase, IMstInvGpsScreenSettingExcelExporter
    {
        public MstInvGpsScreenSettingExcelExporter(ITempFileCacheManager tempFileCacheManager) : base(tempFileCacheManager) { }
        public FileDto ExportToFile(List&lt;MstInvGpsScreenSettingDto&gt; gpsscreensetting)
        {
            return CreateExcelPackage(
				"MasterInvGpsScreenSetting.xlsx",
				excelPackage =&gt;
				 {
					var sheet = excelPackage.CreateSheet("GpsScreenSetting");
					AddHeader(
								sheet,
								("ScreenName"),
								("ScreenType"),
								("ScreenValue"),
								("Description"),
								("BarcodeId"),
								("IsActive"),
							   );
					AddObjects(
						 sheet, 1, gpsscreensetting,                                       
								_ =&gt; _.ScreenName,
								_ =&gt; _.ScreenType,
								_ =&gt; _.ScreenValue,
								_ =&gt; _.Description,
								_ =&gt; _.BarcodeId,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configuration.CreateMap&lt;MstInvGpsScreenSettingDto, MstInvGpsScreenSetting&gt;();
  configuration.CreateMap&lt;MstInvGpsScreenSetting, MstInvGpsScreenSettingDto&gt;();
  configuration.CreateMap&lt;CreateOrEditMstInvGpsScreenSettingDto, MstInvGpsScreenSetting&gt;();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68" t="s">
        <v>357</v>
      </c>
      <c r="B9" s="68" t="s">
        <v>358</v>
      </c>
      <c r="C9" s="68" t="s">
        <v>1</v>
      </c>
      <c r="D9" t="str">
        <f t="shared" ref="D9" si="0">SUBSTITUTE(PROPER(A9),"_","")</f>
        <v>ScreenName</v>
      </c>
      <c r="E9" t="str">
        <f t="shared" ref="E9" si="1">IFERROR(LEFT(B9, FIND("(",B9)-1),B9)</f>
        <v>varchar</v>
      </c>
      <c r="F9" s="6"/>
      <c r="G9" t="str">
        <f>IFERROR(MID(B9,FIND("(",B9) +1, FIND(")",B9) - FIND("(",B9) - 1),"")</f>
        <v>40</v>
      </c>
      <c r="H9" t="str">
        <f>+VLOOKUP(E9,'Data Type Mapping'!A:B,2,)</f>
        <v>string</v>
      </c>
      <c r="I9" t="str">
        <f t="shared" ref="I9" si="2">IF(H9="string",REPT(CHAR(9),2)&amp;"public const int Max"&amp;D9&amp;"Length = "&amp;G9&amp;";"&amp;$E$3,"" )</f>
        <v xml:space="preserve">		public const int MaxScreenNameLength = 40;
</v>
      </c>
      <c r="J9" t="str">
        <f t="shared" ref="J9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[StringLength(MaxScreenNameLength)]
		public virtual string ScreenName { get; set; }
</v>
      </c>
      <c r="K9" s="6"/>
      <c r="L9" t="str">
        <f t="shared" ref="L9" si="4">IF(K9="","",REPT(CHAR(9),1)&amp;"[Index(nameof("&amp;IF(D9="","",""&amp;D9)&amp;")"&amp;", Name="&amp;"""IX_"&amp;$B$7&amp;"_"&amp;D9&amp;""")]")</f>
        <v/>
      </c>
      <c r="M9" t="str">
        <f t="shared" ref="M9" si="5">REPT(CHAR(9),2)&amp;"public virtual "&amp;IF(OR(H9="DateTime",H9="TimeSpan"),H9&amp;"?",H9)&amp;IF(C9="?","? "," ")&amp;D9&amp;" { get; set; }" &amp; "
"</f>
        <v xml:space="preserve">		public virtual string ScreenName { get; set; }
</v>
      </c>
      <c r="N9" t="str">
        <f t="shared" ref="N9" si="6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[StringLength(MstInvGpsScreenSettingConsts.MaxScreenNameLength)]
		public virtual string ScreenName { get; set; }
</v>
      </c>
      <c r="O9" t="str">
        <f t="shared" ref="O9" si="7">IF(OR(H9="string",H9="DateTime",H9="int"),REPT(CHAR(9),2)&amp;"public virtual "&amp;IF(OR(H9="DateTime",H9="TimeSpan"),H9&amp;"?",H9)&amp;IF(C9="?","? "," ")&amp;D9&amp;" { get; set; }"&amp;$E$3,"")</f>
        <v xml:space="preserve">		public virtual string ScreenName { get; set; }
</v>
      </c>
      <c r="P9" t="str">
        <f t="shared" ref="P9" si="8">REPT(CHAR(9),7)&amp;D9&amp;" = o." &amp;D9 &amp;","</f>
        <v xml:space="preserve">							ScreenName = o.ScreenName,</v>
      </c>
      <c r="T9" s="63" t="str">
        <f t="shared" ref="T9" si="9">REPT(CHAR(9),8)&amp;"("""&amp;D9&amp;"""),"</f>
        <v xml:space="preserve">								("ScreenName"),</v>
      </c>
      <c r="V9" s="64" t="str">
        <f t="shared" ref="V9" si="10">REPT(CHAR(9),8)&amp;"_ =&gt; _."&amp;D9&amp;","</f>
        <v xml:space="preserve">								_ =&gt; _.ScreenName,</v>
      </c>
      <c r="W9" s="63" t="str">
        <f t="shared" ref="W9" si="11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.WhereIf(!string.IsNullOrWhiteSpace(input.ScreenName), e =&gt; e.ScreenName.Contains(input.ScreenName))</v>
      </c>
    </row>
    <row r="10" spans="1:23" customFormat="1" ht="18.75" customHeight="1" x14ac:dyDescent="0.25">
      <c r="A10" s="68" t="s">
        <v>359</v>
      </c>
      <c r="B10" s="68" t="s">
        <v>358</v>
      </c>
      <c r="C10" s="68" t="s">
        <v>1</v>
      </c>
      <c r="D10" t="str">
        <f t="shared" ref="D10:D11" si="12">SUBSTITUTE(PROPER(A10),"_","")</f>
        <v>ScreenType</v>
      </c>
      <c r="E10" t="str">
        <f t="shared" ref="E10:E11" si="13">IFERROR(LEFT(B10, FIND("(",B10)-1),B10)</f>
        <v>varchar</v>
      </c>
      <c r="F10" s="6"/>
      <c r="G10" t="str">
        <f t="shared" ref="G10:G11" si="14">IFERROR(MID(B10,FIND("(",B10) +1, FIND(")",B10) - FIND("(",B10) - 1),"")</f>
        <v>40</v>
      </c>
      <c r="H10" t="str">
        <f>+VLOOKUP(E10,'Data Type Mapping'!A:B,2,)</f>
        <v>string</v>
      </c>
      <c r="I10" t="str">
        <f t="shared" ref="I10:I11" si="15">IF(H10="string",REPT(CHAR(9),2)&amp;"public const int Max"&amp;D10&amp;"Length = "&amp;G10&amp;";"&amp;$E$3,"" )</f>
        <v xml:space="preserve">		public const int MaxScreenTypeLength = 40;
</v>
      </c>
      <c r="J10" t="str">
        <f t="shared" ref="J10:J11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[StringLength(MaxScreenTypeLength)]
		public virtual string ScreenType { get; set; }
</v>
      </c>
      <c r="K10" s="6"/>
      <c r="L10" t="str">
        <f t="shared" ref="L10:L11" si="17">IF(K10="","",REPT(CHAR(9),1)&amp;"[Index(nameof("&amp;IF(D10="","",""&amp;D10)&amp;")"&amp;", Name="&amp;"""IX_"&amp;$B$7&amp;"_"&amp;D10&amp;""")]")</f>
        <v/>
      </c>
      <c r="M10" t="str">
        <f t="shared" ref="M10:M11" si="18">REPT(CHAR(9),2)&amp;"public virtual "&amp;IF(OR(H10="DateTime",H10="TimeSpan"),H10&amp;"?",H10)&amp;IF(C10="?","? "," ")&amp;D10&amp;" { get; set; }" &amp; "
"</f>
        <v xml:space="preserve">		public virtual string ScreenType { get; set; }
</v>
      </c>
      <c r="N10" t="str">
        <f t="shared" ref="N10:N11" si="19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[StringLength(MstInvGpsScreenSettingConsts.MaxScreenTypeLength)]
		public virtual string ScreenType { get; set; }
</v>
      </c>
      <c r="O10" t="str">
        <f t="shared" ref="O10:O11" si="20">IF(OR(H10="string",H10="DateTime",H10="int"),REPT(CHAR(9),2)&amp;"public virtual "&amp;IF(OR(H10="DateTime",H10="TimeSpan"),H10&amp;"?",H10)&amp;IF(C10="?","? "," ")&amp;D10&amp;" { get; set; }"&amp;$E$3,"")</f>
        <v xml:space="preserve">		public virtual string ScreenType { get; set; }
</v>
      </c>
      <c r="P10" t="str">
        <f t="shared" ref="P10:P11" si="21">REPT(CHAR(9),7)&amp;D10&amp;" = o." &amp;D10 &amp;","</f>
        <v xml:space="preserve">							ScreenType = o.ScreenType,</v>
      </c>
      <c r="T10" s="63" t="str">
        <f t="shared" ref="T10:T11" si="22">REPT(CHAR(9),8)&amp;"("""&amp;D10&amp;"""),"</f>
        <v xml:space="preserve">								("ScreenType"),</v>
      </c>
      <c r="V10" s="64" t="str">
        <f t="shared" ref="V10:V11" si="23">REPT(CHAR(9),8)&amp;"_ =&gt; _."&amp;D10&amp;","</f>
        <v xml:space="preserve">								_ =&gt; _.ScreenType,</v>
      </c>
      <c r="W10" s="63" t="str">
        <f t="shared" ref="W10:W11" si="24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.WhereIf(!string.IsNullOrWhiteSpace(input.ScreenType), e =&gt; e.ScreenType.Contains(input.ScreenType))</v>
      </c>
    </row>
    <row r="11" spans="1:23" customFormat="1" ht="18.75" customHeight="1" x14ac:dyDescent="0.25">
      <c r="A11" s="68" t="s">
        <v>360</v>
      </c>
      <c r="B11" s="68" t="s">
        <v>361</v>
      </c>
      <c r="C11" s="68" t="s">
        <v>1</v>
      </c>
      <c r="D11" t="str">
        <f t="shared" si="12"/>
        <v>ScreenValue</v>
      </c>
      <c r="E11" t="str">
        <f t="shared" si="13"/>
        <v>varchar</v>
      </c>
      <c r="F11" s="6"/>
      <c r="G11" t="str">
        <f t="shared" si="14"/>
        <v>1024</v>
      </c>
      <c r="H11" t="str">
        <f>+VLOOKUP(E11,'Data Type Mapping'!A:B,2,)</f>
        <v>string</v>
      </c>
      <c r="I11" t="str">
        <f t="shared" si="15"/>
        <v xml:space="preserve">		public const int MaxScreenValueLength = 1024;
</v>
      </c>
      <c r="J11" t="str">
        <f t="shared" si="16"/>
        <v xml:space="preserve">		[StringLength(MaxScreenValueLength)]
		public virtual string ScreenValue { get; set; }
</v>
      </c>
      <c r="K11" s="6"/>
      <c r="L11" t="str">
        <f t="shared" si="17"/>
        <v/>
      </c>
      <c r="M11" t="str">
        <f t="shared" si="18"/>
        <v xml:space="preserve">		public virtual string ScreenValue { get; set; }
</v>
      </c>
      <c r="N11" t="str">
        <f t="shared" si="19"/>
        <v xml:space="preserve">		[StringLength(MstInvGpsScreenSettingConsts.MaxScreenValueLength)]
		public virtual string ScreenValue { get; set; }
</v>
      </c>
      <c r="O11" t="str">
        <f t="shared" si="20"/>
        <v xml:space="preserve">		public virtual string ScreenValue { get; set; }
</v>
      </c>
      <c r="P11" t="str">
        <f t="shared" si="21"/>
        <v xml:space="preserve">							ScreenValue = o.ScreenValue,</v>
      </c>
      <c r="T11" s="63" t="str">
        <f t="shared" si="22"/>
        <v xml:space="preserve">								("ScreenValue"),</v>
      </c>
      <c r="V11" s="64" t="str">
        <f t="shared" si="23"/>
        <v xml:space="preserve">								_ =&gt; _.ScreenValue,</v>
      </c>
      <c r="W11" s="63" t="str">
        <f t="shared" si="24"/>
        <v xml:space="preserve">				.WhereIf(!string.IsNullOrWhiteSpace(input.ScreenValue), e =&gt; e.ScreenValue.Contains(input.ScreenValue))</v>
      </c>
    </row>
    <row r="12" spans="1:23" customFormat="1" ht="18.75" customHeight="1" x14ac:dyDescent="0.25">
      <c r="A12" s="68" t="s">
        <v>362</v>
      </c>
      <c r="B12" s="68" t="s">
        <v>363</v>
      </c>
      <c r="C12" s="68" t="s">
        <v>1</v>
      </c>
      <c r="D12" t="str">
        <f t="shared" ref="D12" si="25">SUBSTITUTE(PROPER(A12),"_","")</f>
        <v>Description</v>
      </c>
      <c r="E12" t="str">
        <f t="shared" ref="E12" si="26">IFERROR(LEFT(B12, FIND("(",B12)-1),B12)</f>
        <v>nvarchar</v>
      </c>
      <c r="F12" s="6"/>
      <c r="G12" t="str">
        <f t="shared" ref="G12" si="27">IFERROR(MID(B12,FIND("(",B12) +1, FIND(")",B12) - FIND("(",B12) - 1),"")</f>
        <v>255</v>
      </c>
      <c r="H12" t="str">
        <f>+VLOOKUP(E12,'Data Type Mapping'!A:B,2,)</f>
        <v>string</v>
      </c>
      <c r="I12" t="str">
        <f t="shared" ref="I12" si="28">IF(H12="string",REPT(CHAR(9),2)&amp;"public const int Max"&amp;D12&amp;"Length = "&amp;G12&amp;";"&amp;$E$3,"" )</f>
        <v xml:space="preserve">		public const int MaxDescriptionLength = 255;
</v>
      </c>
      <c r="J12" t="str">
        <f t="shared" ref="J12" si="29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[StringLength(MaxDescriptionLength)]
		public virtual string Description { get; set; }
</v>
      </c>
      <c r="K12" s="6"/>
      <c r="L12" t="str">
        <f t="shared" ref="L12" si="30">IF(K12="","",REPT(CHAR(9),1)&amp;"[Index(nameof("&amp;IF(D12="","",""&amp;D12)&amp;")"&amp;", Name="&amp;"""IX_"&amp;$B$7&amp;"_"&amp;D12&amp;""")]")</f>
        <v/>
      </c>
      <c r="M12" t="str">
        <f t="shared" ref="M12" si="31">REPT(CHAR(9),2)&amp;"public virtual "&amp;IF(OR(H12="DateTime",H12="TimeSpan"),H12&amp;"?",H12)&amp;IF(C12="?","? "," ")&amp;D12&amp;" { get; set; }" &amp; "
"</f>
        <v xml:space="preserve">		public virtual string Description { get; set; }
</v>
      </c>
      <c r="N12" t="str">
        <f t="shared" ref="N12" si="32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[StringLength(MstInvGpsScreenSettingConsts.MaxDescriptionLength)]
		public virtual string Description { get; set; }
</v>
      </c>
      <c r="O12" t="str">
        <f t="shared" ref="O12" si="33">IF(OR(H12="string",H12="DateTime",H12="int"),REPT(CHAR(9),2)&amp;"public virtual "&amp;IF(OR(H12="DateTime",H12="TimeSpan"),H12&amp;"?",H12)&amp;IF(C12="?","? "," ")&amp;D12&amp;" { get; set; }"&amp;$E$3,"")</f>
        <v xml:space="preserve">		public virtual string Description { get; set; }
</v>
      </c>
      <c r="P12" t="str">
        <f t="shared" ref="P12" si="34">REPT(CHAR(9),7)&amp;D12&amp;" = o." &amp;D12 &amp;","</f>
        <v xml:space="preserve">							Description = o.Description,</v>
      </c>
      <c r="T12" s="63" t="str">
        <f t="shared" ref="T12" si="35">REPT(CHAR(9),8)&amp;"("""&amp;D12&amp;"""),"</f>
        <v xml:space="preserve">								("Description"),</v>
      </c>
      <c r="V12" s="64" t="str">
        <f t="shared" ref="V12" si="36">REPT(CHAR(9),8)&amp;"_ =&gt; _."&amp;D12&amp;","</f>
        <v xml:space="preserve">								_ =&gt; _.Description,</v>
      </c>
      <c r="W12" s="63" t="str">
        <f t="shared" ref="W12" si="37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.WhereIf(!string.IsNullOrWhiteSpace(input.Description), e =&gt; e.Description.Contains(input.Description))</v>
      </c>
    </row>
    <row r="13" spans="1:23" customFormat="1" ht="18.75" customHeight="1" x14ac:dyDescent="0.25">
      <c r="A13" s="68" t="s">
        <v>364</v>
      </c>
      <c r="B13" s="68" t="s">
        <v>4</v>
      </c>
      <c r="C13" s="68" t="s">
        <v>1</v>
      </c>
      <c r="D13" t="str">
        <f t="shared" ref="D13" si="38">SUBSTITUTE(PROPER(A13),"_","")</f>
        <v>BarcodeId</v>
      </c>
      <c r="E13" t="str">
        <f t="shared" ref="E13" si="39">IFERROR(LEFT(B13, FIND("(",B13)-1),B13)</f>
        <v>int</v>
      </c>
      <c r="F13" s="6"/>
      <c r="G13" t="str">
        <f t="shared" ref="G13" si="40">IFERROR(MID(B13,FIND("(",B13) +1, FIND(")",B13) - FIND("(",B13) - 1),"")</f>
        <v/>
      </c>
      <c r="H13" t="str">
        <f>+VLOOKUP(E13,'Data Type Mapping'!A:B,2,)</f>
        <v>int?</v>
      </c>
      <c r="I13" t="str">
        <f t="shared" ref="I13" si="41">IF(H13="string",REPT(CHAR(9),2)&amp;"public const int Max"&amp;D13&amp;"Length = "&amp;G13&amp;";"&amp;$E$3,"" )</f>
        <v/>
      </c>
      <c r="J13" t="str">
        <f t="shared" ref="J13" si="42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public virtual int? BarcodeId { get; set; }
</v>
      </c>
      <c r="K13" s="6"/>
      <c r="L13" t="str">
        <f t="shared" ref="L13" si="43">IF(K13="","",REPT(CHAR(9),1)&amp;"[Index(nameof("&amp;IF(D13="","",""&amp;D13)&amp;")"&amp;", Name="&amp;"""IX_"&amp;$B$7&amp;"_"&amp;D13&amp;""")]")</f>
        <v/>
      </c>
      <c r="M13" t="str">
        <f t="shared" ref="M13" si="44">REPT(CHAR(9),2)&amp;"public virtual "&amp;IF(OR(H13="DateTime",H13="TimeSpan"),H13&amp;"?",H13)&amp;IF(C13="?","? "," ")&amp;D13&amp;" { get; set; }" &amp; "
"</f>
        <v xml:space="preserve">		public virtual int? BarcodeId { get; set; }
</v>
      </c>
      <c r="N13" t="str">
        <f t="shared" ref="N13" si="45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public virtual int? BarcodeId { get; set; }
</v>
      </c>
      <c r="O13" t="str">
        <f t="shared" ref="O13" si="46">IF(OR(H13="string",H13="DateTime",H13="int"),REPT(CHAR(9),2)&amp;"public virtual "&amp;IF(OR(H13="DateTime",H13="TimeSpan"),H13&amp;"?",H13)&amp;IF(C13="?","? "," ")&amp;D13&amp;" { get; set; }"&amp;$E$3,"")</f>
        <v/>
      </c>
      <c r="P13" t="str">
        <f t="shared" ref="P13" si="47">REPT(CHAR(9),7)&amp;D13&amp;" = o." &amp;D13 &amp;","</f>
        <v xml:space="preserve">							BarcodeId = o.BarcodeId,</v>
      </c>
      <c r="T13" s="63" t="str">
        <f t="shared" ref="T13" si="48">REPT(CHAR(9),8)&amp;"("""&amp;D13&amp;"""),"</f>
        <v xml:space="preserve">								("BarcodeId"),</v>
      </c>
      <c r="V13" s="64" t="str">
        <f t="shared" ref="V13" si="49">REPT(CHAR(9),8)&amp;"_ =&gt; _."&amp;D13&amp;","</f>
        <v xml:space="preserve">								_ =&gt; _.BarcodeId,</v>
      </c>
      <c r="W13" s="63" t="str">
        <f t="shared" ref="W13" si="50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/>
      </c>
    </row>
    <row r="14" spans="1:23" customFormat="1" ht="18.75" customHeight="1" x14ac:dyDescent="0.25">
      <c r="A14" s="68" t="s">
        <v>318</v>
      </c>
      <c r="B14" s="68" t="s">
        <v>355</v>
      </c>
      <c r="C14" s="68" t="s">
        <v>1</v>
      </c>
      <c r="D14" t="str">
        <f t="shared" ref="D14" si="51">SUBSTITUTE(PROPER(A14),"_","")</f>
        <v>IsActive</v>
      </c>
      <c r="E14" t="str">
        <f t="shared" ref="E14" si="52">IFERROR(LEFT(B14, FIND("(",B14)-1),B14)</f>
        <v>varchar</v>
      </c>
      <c r="F14" s="6"/>
      <c r="G14" t="str">
        <f t="shared" ref="G14" si="53">IFERROR(MID(B14,FIND("(",B14) +1, FIND(")",B14) - FIND("(",B14) - 1),"")</f>
        <v>1</v>
      </c>
      <c r="H14" t="str">
        <f>+VLOOKUP(E14,'Data Type Mapping'!A:B,2,)</f>
        <v>string</v>
      </c>
      <c r="I14" t="str">
        <f t="shared" ref="I14" si="54">IF(H14="string",REPT(CHAR(9),2)&amp;"public const int Max"&amp;D14&amp;"Length = "&amp;G14&amp;";"&amp;$E$3,"" )</f>
        <v xml:space="preserve">		public const int MaxIsActiveLength = 1;
</v>
      </c>
      <c r="J14" t="str">
        <f t="shared" ref="J14" si="55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[StringLength(MaxIsActiveLength)]
		public virtual string IsActive { get; set; }
</v>
      </c>
      <c r="K14" s="6"/>
      <c r="L14" t="str">
        <f t="shared" ref="L14" si="56">IF(K14="","",REPT(CHAR(9),1)&amp;"[Index(nameof("&amp;IF(D14="","",""&amp;D14)&amp;")"&amp;", Name="&amp;"""IX_"&amp;$B$7&amp;"_"&amp;D14&amp;""")]")</f>
        <v/>
      </c>
      <c r="M14" t="str">
        <f t="shared" ref="M14" si="57">REPT(CHAR(9),2)&amp;"public virtual "&amp;IF(OR(H14="DateTime",H14="TimeSpan"),H14&amp;"?",H14)&amp;IF(C14="?","? "," ")&amp;D14&amp;" { get; set; }" &amp; "
"</f>
        <v xml:space="preserve">		public virtual string IsActive { get; set; }
</v>
      </c>
      <c r="N14" t="str">
        <f t="shared" ref="N14" si="58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[StringLength(MstInvGpsScreenSettingConsts.MaxIsActiveLength)]
		public virtual string IsActive { get; set; }
</v>
      </c>
      <c r="O14" t="str">
        <f t="shared" ref="O14" si="59">IF(OR(H14="string",H14="DateTime",H14="int"),REPT(CHAR(9),2)&amp;"public virtual "&amp;IF(OR(H14="DateTime",H14="TimeSpan"),H14&amp;"?",H14)&amp;IF(C14="?","? "," ")&amp;D14&amp;" { get; set; }"&amp;$E$3,"")</f>
        <v xml:space="preserve">		public virtual string IsActive { get; set; }
</v>
      </c>
      <c r="P14" t="str">
        <f t="shared" ref="P14" si="60">REPT(CHAR(9),7)&amp;D14&amp;" = o." &amp;D14 &amp;","</f>
        <v xml:space="preserve">							IsActive = o.IsActive,</v>
      </c>
      <c r="T14" s="63" t="str">
        <f t="shared" ref="T14" si="61">REPT(CHAR(9),8)&amp;"("""&amp;D14&amp;"""),"</f>
        <v xml:space="preserve">								("IsActive"),</v>
      </c>
      <c r="V14" s="64" t="str">
        <f t="shared" ref="V14" si="62">REPT(CHAR(9),8)&amp;"_ =&gt; _."&amp;D14&amp;","</f>
        <v xml:space="preserve">								_ =&gt; _.IsActive,</v>
      </c>
      <c r="W14" s="63" t="str">
        <f t="shared" ref="W14" si="63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.WhereIf(!string.IsNullOrWhiteSpace(input.IsActive), e =&gt; e.IsActive.Contains(input.IsActive))</v>
      </c>
    </row>
    <row r="16" spans="1:23" ht="45.75" customHeight="1" x14ac:dyDescent="0.25">
      <c r="H16" s="11"/>
      <c r="I16" s="31" t="str">
        <f ca="1">TEXTJOIN2("
", TRUE,INDIRECT( $H$1):INDIRECT( $H$3))</f>
        <v xml:space="preserve">		public const int MaxScreenNameLength = 40;
		public const int MaxScreenTypeLength = 40;
		public const int MaxScreenValueLength = 1024;
		public const int MaxDescriptionLength = 255;
		public const int MaxIsActiveLength = 1;
</v>
      </c>
      <c r="J16" s="30" t="str">
        <f ca="1">TEXTJOIN2("
", TRUE,INDIRECT( $F$1):INDIRECT( $F$3))</f>
        <v xml:space="preserve">		[StringLength(MaxScreenNameLength)]
		public virtual string ScreenName { get; set; }
		[StringLength(MaxScreenTypeLength)]
		public virtual string ScreenType { get; set; }
		[StringLength(MaxScreenValueLength)]
		public virtual string ScreenValue { get; set; }
		[StringLength(MaxDescriptionLength)]
		public virtual string Description { get; set; }
		public virtual int? BarcodeId { get; set; }
		[StringLength(MaxIsActiveLength)]
		public virtual string IsActive { get; set; }
</v>
      </c>
      <c r="K16" s="32" t="str">
        <f ca="1">TEXTJOIN2("
", TRUE,INDIRECT( $J$1):INDIRECT( $J$3))</f>
        <v/>
      </c>
      <c r="L16" s="12" t="s">
        <v>56</v>
      </c>
      <c r="M16" s="33" t="str">
        <f ca="1">TEXTJOIN2("
",TRUE,INDIRECT( $L$1):INDIRECT($L$3))</f>
        <v xml:space="preserve">		public virtual string ScreenName { get; set; }
		public virtual string ScreenType { get; set; }
		public virtual string ScreenValue { get; set; }
		public virtual string Description { get; set; }
		public virtual int? BarcodeId { get; set; }
		public virtual string IsActive { get; set; }
</v>
      </c>
      <c r="N16" s="30" t="str">
        <f ca="1">TEXTJOIN2("
",TRUE,INDIRECT( $M$1):INDIRECT($M$3))</f>
        <v xml:space="preserve">		[StringLength(MstInvGpsScreenSettingConsts.MaxScreenNameLength)]
		public virtual string ScreenName { get; set; }
		[StringLength(MstInvGpsScreenSettingConsts.MaxScreenTypeLength)]
		public virtual string ScreenType { get; set; }
		[StringLength(MstInvGpsScreenSettingConsts.MaxScreenValueLength)]
		public virtual string ScreenValue { get; set; }
		[StringLength(MstInvGpsScreenSettingConsts.MaxDescriptionLength)]
		public virtual string Description { get; set; }
		public virtual int? BarcodeId { get; set; }
		[StringLength(MstInvGpsScreenSettingConsts.MaxIsActiveLength)]
		public virtual string IsActive { get; set; }
</v>
      </c>
      <c r="O16" s="30" t="str">
        <f ca="1">TEXTJOIN2("
",TRUE,INDIRECT( $N$1):INDIRECT($N$3))</f>
        <v xml:space="preserve">		public virtual string ScreenName { get; set; }
		public virtual string ScreenType { get; set; }
		public virtual string ScreenValue { get; set; }
		public virtual string Description { get; set; }
		public virtual string IsActive { get; set; }
</v>
      </c>
      <c r="P16" s="8" t="str">
        <f ca="1">TEXTJOIN2("
",TRUE,INDIRECT( $O$1):INDIRECT($O$3))</f>
        <v xml:space="preserve">							ScreenName = o.ScreenName,
							ScreenType = o.ScreenType,
							ScreenValue = o.ScreenValue,
							Description = o.Description,
							BarcodeId = o.BarcodeId,
							IsActive = o.IsActive,</v>
      </c>
      <c r="T16" s="8" t="str">
        <f ca="1">TEXTJOIN2("
",TRUE,INDIRECT( $T$2):INDIRECT($T$3))</f>
        <v xml:space="preserve">								("ScreenName"),
								("ScreenType"),
								("ScreenValue"),
								("Description"),
								("BarcodeId"),
								("IsActive"),</v>
      </c>
      <c r="V16" s="8" t="str">
        <f ca="1">TEXTJOIN2("
",TRUE,INDIRECT( $V$2):INDIRECT($V$3))</f>
        <v xml:space="preserve">								_ =&gt; _.ScreenName,
								_ =&gt; _.ScreenType,
								_ =&gt; _.ScreenValue,
								_ =&gt; _.Description,
								_ =&gt; _.BarcodeId,
								_ =&gt; _.IsActive,</v>
      </c>
      <c r="W16" s="8" t="str">
        <f ca="1">TEXTJOIN2("
",TRUE,INDIRECT( $W$2):INDIRECT($W$3))</f>
        <v xml:space="preserve">				.WhereIf(!string.IsNullOrWhiteSpace(input.ScreenName), e =&gt; e.ScreenName.Contains(input.ScreenName))
				.WhereIf(!string.IsNullOrWhiteSpace(input.ScreenType), e =&gt; e.ScreenType.Contains(input.ScreenType))
				.WhereIf(!string.IsNullOrWhiteSpace(input.ScreenValue), e =&gt; e.ScreenValue.Contains(input.ScreenValue))
				.WhereIf(!string.IsNullOrWhiteSpace(input.Description), e =&gt; e.Description.Contains(input.Description))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2"/>
  <sheetViews>
    <sheetView tabSelected="1" workbookViewId="0">
      <selection activeCell="C7" sqref="C6:C7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207</v>
      </c>
      <c r="B1" s="39" t="s">
        <v>366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Inv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inv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MstInvGpsScreenSetting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GpsScreenSetting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gpsscreensetting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MstInvGpsScreenSettingDto, MstInvGpsScreenSettingServiceProxy } from '@shared/service-proxies/service-proxies';
import { finalize } from 'rxjs/internal/operators/finalize';
import { CreateOrEditGpsScreenSettingModalComponent } from './create-or-edit-gpsscreensetting-modal.component';
import { DatePipe } from '@angular/common';
import { FileDownloadService } from '@shared/utils/file-download.service';
import ceil from 'lodash-es/ceil';
import { Paginator } from 'primeng/paginator';
@Component({
    templateUrl: './gpsscreensetting.component.html',
    styleUrls: ['./gpsscreensetting.component.less'],
})
export class GpsScreenSettingComponent extends AppComponentBase implements OnInit {
    @ViewChild('createOrEditModalGpsScreenSetting', { static: true }) createOrEditModalGpsScreenSetting:| CreateOrEditGpsScreenSettingModalComponent|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MstInvGpsScreenSettingDto = new MstInvGpsScreenSettingDto();
    saveSelectedRow: MstInvGpsScreenSettingDto = new MstInvGpsScreenSettingDto();
    datas: MstInvGpsScreenSettingDto = new MstInvGpsScreenSettingDto();
    isLoading: boolean = false;
    dataParams: GridParams | undefined;
    rowData: any[] = [];
    gridApi!: GridApi;
    rowSelection = 'multiple';
    filter: string = '';
	pipe = new DatePipe('en-US');
	frameworkComponents: FrameworkComponent;
    	screenName : string = '' ; 
	screenType : string = '' ; 
	screenValue : string = '' ; 
	description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MstInvGpsScreenSettingServiceProxy,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this.l('Screen Name'),headerTooltip: this.l('Screen Name'),field: 'screenName',flex: 1},
			{headerName: this.l('Screen Type'),headerTooltip: this.l('Screen Type'),field: 'screenType',flex: 1},
			{headerName: this.l('Screen Value'),headerTooltip: this.l('Screen Value'),field: 'screenValue',flex: 1},
			{headerName: this.l('Description'),headerTooltip: this.l('Description'),field: 'description',flex: 1},
			{headerName: this.l('Barcode Id'),headerTooltip: this.l('Barcode Id'),field: 'barcodeId',flex: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this.screenName,
			this.screenType,
			this.screenValue,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screenName : string = '' ; 
	screenType : string = '' ; 
	screenValue : string = '' ; 
	description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this.screenName,
			this.screenType,
			this.screenValue,
			'',
            this.paginationParams.skipCount,
            this.paginationParams.pageSize
        );
    }
    onChangeRowSelection(params: { api: { getSelectedRows: () =&gt; MstInvGpsScreenSettingDto[] } }) {
        this.saveSelectedRow = params.api.getSelectedRows()[0] ?? new MstInvGpsScreenSettingDto();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MstInvGpsScreenSettingDto):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this._service.getGpsScreenSettingToExcel(
			this.,
			this.screenName,
			this.screenType,
			this.screenValue,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GpsScreenSetting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[(ngModel)]='screenName' name='screenName'
									class='form-control' [placeholder]="l('Screen Name')"
									type='text' (keyup.enter)='searchDatas()'&gt;
								&lt;/div&gt;
								&lt;div class='input-search'&gt;
									&lt;input [(ngModel)]='screenType' name='screenType'
									class='form-control' [placeholder]="l('Screen Type')"
									type='text' (keyup.enter)='searchDatas()'&gt;
								&lt;/div&gt;
								&lt;div class='input-search'&gt;
									&lt;input [(ngModel)]='screenValue' name='screenValue'
									class='form-control' [placeholder]="l('Screen Value')"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(click)="createOrEditModalGpsScreenSetting.show()"&gt;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(click)="createOrEditModalGpsScreenSetting.show(selectedRow)"&gt;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&lt;create-or-edit-gpsscreensetting-modal
    #createOrEditModalGpsScreenSetting
    (modalSave)="callBackDataGrid(dataParams)"
    (modalClose)="onChangeRowSelection(dataParams)"
&gt;
&lt;/create-or-edit-gpsscreensetting-modal&gt;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#createOrEditModalGpsScreenSetting="bs-modal"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GpsScreenSetting')}}&lt;/h3&gt;
                    &lt;h3 *ngIf="!rowdata.id"&gt;{{('Create New GpsScreenSetting')}}&lt;/h3&gt;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title'&gt;Screen Name&lt;/label&gt;
						&lt;input type='text' class='col-md-10 form-control input-text' name='ScreenName' [(ngModel)]='rowdata.screenName'&gt;
					&lt;/div&gt;
					&lt;div class='col-md-12 form-group row'&gt;
						&lt;label class='col-md-2 form-control title'&gt;Screen Type&lt;/label&gt;
						&lt;input type='text' class='col-md-10 form-control input-text' name='ScreenType' [(ngModel)]='rowdata.screenType'&gt;
					&lt;/div&gt;
					&lt;div class='col-md-12 form-group row'&gt;
						&lt;label class='col-md-2 form-control title'&gt;Screen Value&lt;/label&gt;
						&lt;input type='text' class='col-md-10 form-control input-text' name='ScreenValue' [(ngModel)]='rowdata.screenValue'&gt;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title'&gt;Barcode Id&lt;/label&gt;
						&lt;input type='number' class='col-md-10 form-control input-text' name='BarcodeId' [(ngModel)]='rowdata.barcodeId'&gt;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CreateOrEditMstInvGpsScreenSettingDto, MstInvGpsScreenSettingServiceProxy } from '@shared/service-proxies/service-proxies';
import { BsDatepickerDirective } from 'ngx-bootstrap/datepicker';
@Component({
    selector: 'create-or-edit-gpsscreensetting-modal',
    templateUrl: './create-or-edit-gpsscreensetting-modal.component.html',
    styleUrls: ['./create-or-edit-gpsscreensetting-modal.component.less']
    })
export class CreateOrEditGpsScreenSettingModalComponent extends AppComponentBase {
    @ViewChild('createOrEditModalGpsScreenSetting',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CreateOrEditMstInvGpsScreenSettingDto = new CreateOrEditMstInvGpsScreenSettingDto();
    active: boolean = false;
    saving: boolean = false;
    _isActive: boolean;
    constructor(
        injector: Injector,
        private _mstwptGpsScreenSettingService: MstInvGpsScreenSettingServiceProxy,
    ) 
    {
        super(injector);
    }
    show(rowdata?: CreateOrEditMstInvGpsScreenSettingDto): void {
        if (!rowdata) this.rowdata = new CreateOrEditMstInvGpsScreenSettingDto();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this._mstwptGpsScreenSettingService.createOrEdit(this.rowdata)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GpsScreenSettingRoutingModule } from './gpsscreensetting-routing.module';
import { GpsScreenSettingComponent } from './gpsscreensetting.component';
import { CreateOrEditGpsScreenSettingModalComponent } from './create-or-edit-gpsscreensetting-modal.component';
@NgModule({
    declarations: [
       GpsScreenSettingComponent, 
        CreateOrEditGpsScreenSettingModalComponent
    ],
    imports: [
        AppSharedModule, GpsScreenSettingRoutingModule]
})
export class GpsScreenSettingModule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GpsScreenSettingComponent } from './gpsscreensetting.component';
const routes: Routes = [{
    path: '',
    component: GpsScreenSettingComponent,
    pathMatch: 'full'
}];
@NgModule({
    imports: [RouterModule.forChild(routes)],
    exports: [RouterModule],
})
export class GpsScreenSettingRoutingModule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AppMenuItem("GpsScreenSetting", "Pages.Master.Inv.GpsScreenSetting", "flaticon-book",   "/app/main/master/inv/gpsscreensetting"),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'master/inv/gpsscreensetting',
    loadChildren: () =&gt; import('./master/inv/gpsscreensetting/gpsscreensetting.module').then(m =&gt; m.GpsScreenSettingModule),
    data: { permission: 'Pages.Master.Inv.GpsScreenSetting' }
},</v>
      </c>
      <c r="R10" s="47" t="str">
        <f>SUBSTITUTE(R9,"MstWptCalendar",$B$6)</f>
        <v>ApiServiceProxies.MstInvGpsScreenSettingServiceProxy,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H20</v>
      </c>
      <c r="I12" s="28" t="str">
        <f>"I"&amp;COUNTA($A:$A)</f>
        <v>I20</v>
      </c>
      <c r="J12" s="28"/>
      <c r="K12" s="28" t="str">
        <f>"K"&amp;COUNTA($A:$A)</f>
        <v>K20</v>
      </c>
      <c r="L12" s="28" t="str">
        <f>"L"&amp;COUNTA($A:$A)</f>
        <v>L20</v>
      </c>
      <c r="M12" s="28"/>
      <c r="N12" s="28"/>
      <c r="O12" s="28"/>
      <c r="P12" s="28"/>
      <c r="Q12" s="28"/>
      <c r="R12" s="28"/>
      <c r="S12" s="28" t="str">
        <f>"S"&amp;COUNTA($A:$A)</f>
        <v>S20</v>
      </c>
      <c r="T12" s="28" t="str">
        <f>"T"&amp;COUNTA($A:$A)</f>
        <v>T20</v>
      </c>
      <c r="U12" s="28" t="str">
        <f>"U"&amp;COUNTA($A:$A)</f>
        <v>U20</v>
      </c>
      <c r="V12" s="28" t="str">
        <f>"V"&amp;COUNTA($A:$A)</f>
        <v>V20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this.l('Screen Name'),headerTooltip: this.l('Screen Name'),field: 'screenName',flex: 1},
			{headerName: this.l('Screen Type'),headerTooltip: this.l('Screen Type'),field: 'screenType',flex: 1},
			{headerName: this.l('Screen Value'),headerTooltip: this.l('Screen Value'),field: 'screenValue',flex: 1},
			{headerName: this.l('Description'),headerTooltip: this.l('Description'),field: 'description',flex: 1},
			{headerName: this.l('Barcode Id'),headerTooltip: this.l('Barcode Id'),field: 'barcodeId',flex: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[(ngModel)]='screenName' name='screenName'
									class='form-control' [placeholder]="l('Screen Name')"
									type='text' (keyup.enter)='searchDatas()'&gt;
								&lt;/div&gt;
								&lt;div class='input-search'&gt;
									&lt;input [(ngModel)]='screenType' name='screenType'
									class='form-control' [placeholder]="l('Screen Type')"
									type='text' (keyup.enter)='searchDatas()'&gt;
								&lt;/div&gt;
								&lt;div class='input-search'&gt;
									&lt;input [(ngModel)]='screenValue' name='screenValue'
									class='form-control' [placeholder]="l('Screen Value')"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title'&gt;Screen Name&lt;/label&gt;
						&lt;input type='text' class='col-md-10 form-control input-text' name='ScreenName' [(ngModel)]='rowdata.screenName'&gt;
					&lt;/div&gt;
					&lt;div class='col-md-12 form-group row'&gt;
						&lt;label class='col-md-2 form-control title'&gt;Screen Type&lt;/label&gt;
						&lt;input type='text' class='col-md-10 form-control input-text' name='ScreenType' [(ngModel)]='rowdata.screenType'&gt;
					&lt;/div&gt;
					&lt;div class='col-md-12 form-group row'&gt;
						&lt;label class='col-md-2 form-control title'&gt;Screen Value&lt;/label&gt;
						&lt;input type='text' class='col-md-10 form-control input-text' name='ScreenValue' [(ngModel)]='rowdata.screenValue'&gt;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title'&gt;Barcode Id&lt;/label&gt;
						&lt;input type='number' class='col-md-10 form-control input-text' name='BarcodeId' [(ngModel)]='rowdata.barcodeId'&gt;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screenName : string = '' ; 
	screenType : string = '' ; 
	screenValue : string = '' ; 
	description : string = '' ; 
</v>
      </c>
      <c r="T13" s="62" t="str">
        <f ca="1">TEXTJOIN2("
",TRUE,INDIRECT(T11):INDIRECT(T12))</f>
        <v xml:space="preserve">			this.,
			this.screenName,
			this.screenType,
			this.screenValue,
</v>
      </c>
      <c r="U13" s="62" t="str">
        <f ca="1">TEXTJOIN2("
",TRUE,INDIRECT(U11):INDIRECT(U12))</f>
        <v xml:space="preserve">	screenName : string = '' ; 
	screenType : string = '' ; 
	screenValue : string = '' ; 
	description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gpsscreensetting.component.ts</v>
      </c>
      <c r="I14" s="37" t="str">
        <f>B8&amp;".component.html"</f>
        <v>gpsscreensetting.component.html</v>
      </c>
      <c r="J14" s="36" t="str">
        <f>B8&amp;".component.less"</f>
        <v>gpsscreensetting.component.less</v>
      </c>
      <c r="K14" s="37" t="str">
        <f>"create-or-edit-"&amp;B8&amp;"-modal.component.html"</f>
        <v>create-or-edit-gpsscreensetting-modal.component.html</v>
      </c>
      <c r="L14" s="37" t="str">
        <f>"create-or-edit-"&amp;B8&amp;"-modal.component.ts"</f>
        <v>create-or-edit-gpsscreensetting-modal.component.ts</v>
      </c>
      <c r="M14" s="37" t="str">
        <f>"create-or-edit-"&amp;B8&amp;"-modal.component.less"</f>
        <v>create-or-edit-gpsscreensetting-modal.component.less</v>
      </c>
      <c r="N14" s="37" t="str">
        <f>B8&amp;".module.ts"</f>
        <v>gpsscreensetting.module.ts</v>
      </c>
      <c r="O14" s="37" t="str">
        <f>B8&amp;"-routing.module.ts"</f>
        <v>gpsscreensetting-routing.module.ts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68" t="s">
        <v>357</v>
      </c>
      <c r="B15" s="28" t="str">
        <f t="shared" ref="B15" si="0">SUBSTITUTE(PROPER(A15),"_","")</f>
        <v>ScreenName</v>
      </c>
      <c r="C15" s="28" t="str">
        <f t="shared" ref="C15" si="1">SUBSTITUTE(PROPER(A15),"_"," ")</f>
        <v>Screen Name</v>
      </c>
      <c r="D15" s="28" t="str">
        <f t="shared" ref="D15" si="2">LOWER(LEFT(B15,1))&amp;RIGHT(B15,LEN(B15) - 1)</f>
        <v>screenName</v>
      </c>
      <c r="E15" s="28" t="str">
        <f>A.Backend!H9</f>
        <v>string</v>
      </c>
      <c r="F15" s="28" t="str">
        <f>A.Backend!G9</f>
        <v>40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this.l('Screen Name'),headerTooltip: this.l('Screen Name'),field: 'screenName',flex: 1},</v>
      </c>
      <c r="I15" s="35" t="str">
        <f t="shared" ref="I15:I20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[(ngModel)]='screenName' name='screenName'
									class='form-control' [placeholder]="l('Screen Name')"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title'&gt;Screen Name&lt;/label&gt;
						&lt;input type='text' class='col-md-10 form-control input-text' name='ScreenName' [(ngModel)]='rowdata.screenName'&gt;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screenName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screenName : string = '' ; </v>
      </c>
      <c r="V15" s="28" t="str">
        <f t="shared" ref="V15" si="7">IF(AND(E15="string",F15="1"),D15,"")</f>
        <v/>
      </c>
    </row>
    <row r="16" spans="1:22" ht="18" customHeight="1" x14ac:dyDescent="0.25">
      <c r="A16" s="68" t="s">
        <v>359</v>
      </c>
      <c r="B16" s="28" t="str">
        <f t="shared" ref="B16:B20" si="8">SUBSTITUTE(PROPER(A16),"_","")</f>
        <v>ScreenType</v>
      </c>
      <c r="C16" s="28" t="str">
        <f t="shared" ref="C16:C20" si="9">SUBSTITUTE(PROPER(A16),"_"," ")</f>
        <v>Screen Type</v>
      </c>
      <c r="D16" s="28" t="str">
        <f t="shared" ref="D16:D20" si="10">LOWER(LEFT(B16,1))&amp;RIGHT(B16,LEN(B16) - 1)</f>
        <v>screenType</v>
      </c>
      <c r="E16" s="28" t="str">
        <f>A.Backend!H10</f>
        <v>string</v>
      </c>
      <c r="F16" s="28" t="str">
        <f>A.Backend!G10</f>
        <v>40</v>
      </c>
      <c r="G16" s="28" t="str">
        <f t="shared" ref="G16:G20" si="11">IF(E16="string"," : string = '' ; ",IF(OR(E16="DateTime",E16="TimeSpan")," : any ;",IF(E16="int"," : number = 0 ;","")))</f>
        <v xml:space="preserve"> : string = '' ; </v>
      </c>
      <c r="H16" s="35" t="str">
        <f t="shared" ref="H16:H20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this.l('Screen Type'),headerTooltip: this.l('Screen Type'),field: 'screenType',flex: 1},</v>
      </c>
      <c r="I16" s="35" t="str">
        <f t="shared" ref="I16:I20" si="13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[(ngModel)]='screenType' name='screenType'
									class='form-control' [placeholder]="l('Screen Type')"
									type='text' (keyup.enter)='searchDatas()'&gt;
								&lt;/div&gt;</v>
      </c>
      <c r="J16" s="28"/>
      <c r="K16" s="35" t="str">
        <f t="shared" ref="K16:K20" si="14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title'&gt;Screen Type&lt;/label&gt;
						&lt;input type='text' class='col-md-10 form-control input-text' name='ScreenType' [(ngModel)]='rowdata.screenType'&gt;
					&lt;/div&gt;</v>
      </c>
      <c r="L16" s="56" t="str">
        <f t="shared" ref="L16" si="15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0" si="16">IF(AND(E16="string",F16 &lt;&gt;"1"),(REPT(CHAR(9),1)&amp;D16&amp;G16),"")</f>
        <v xml:space="preserve">	screenType : string = '' ; </v>
      </c>
      <c r="T16" s="28" t="str">
        <f>IF(AND(E16="string",F16 &lt;&gt;"1"),(REPT(CHAR(9),3)&amp;"this."&amp;D15&amp;","),"")</f>
        <v xml:space="preserve">			this.screenName,</v>
      </c>
      <c r="U16" s="28" t="str">
        <f t="shared" ref="U16:U20" si="17">IF(AND(E16="string",F16 &lt;&gt;"1"),(REPT(CHAR(9),1)&amp;D16&amp;G16),"")</f>
        <v xml:space="preserve">	screenType : string = '' ; </v>
      </c>
      <c r="V16" s="28" t="str">
        <f t="shared" ref="V16:V20" si="18">IF(AND(E16="string",F16="1"),D16,"")</f>
        <v/>
      </c>
    </row>
    <row r="17" spans="1:22" ht="18" customHeight="1" x14ac:dyDescent="0.25">
      <c r="A17" s="68" t="s">
        <v>360</v>
      </c>
      <c r="B17" s="28" t="str">
        <f t="shared" si="8"/>
        <v>ScreenValue</v>
      </c>
      <c r="C17" s="28" t="str">
        <f t="shared" si="9"/>
        <v>Screen Value</v>
      </c>
      <c r="D17" s="28" t="str">
        <f t="shared" si="10"/>
        <v>screenValue</v>
      </c>
      <c r="E17" s="28" t="str">
        <f>A.Backend!H11</f>
        <v>string</v>
      </c>
      <c r="F17" s="28" t="str">
        <f>A.Backend!G11</f>
        <v>1024</v>
      </c>
      <c r="G17" s="28" t="str">
        <f t="shared" si="11"/>
        <v xml:space="preserve"> : string = '' ; </v>
      </c>
      <c r="H17" s="35" t="str">
        <f t="shared" si="12"/>
        <v xml:space="preserve">			{headerName: this.l('Screen Value'),headerTooltip: this.l('Screen Value'),field: 'screenValue',flex: 1},</v>
      </c>
      <c r="I17" s="35" t="str">
        <f t="shared" si="13"/>
        <v xml:space="preserve">								&lt;div class='input-search'&gt;
									&lt;input [(ngModel)]='screenValue' name='screenValue'
									class='form-control' [placeholder]="l('Screen Value')"
									type='text' (keyup.enter)='searchDatas()'&gt;
								&lt;/div&gt;</v>
      </c>
      <c r="J17" s="28"/>
      <c r="K17" s="35" t="str">
        <f t="shared" si="14"/>
        <v xml:space="preserve">					&lt;div class='col-md-12 form-group row'&gt;
						&lt;label class='col-md-2 form-control title'&gt;Screen Value&lt;/label&gt;
						&lt;input type='text' class='col-md-10 form-control input-text' name='ScreenValue' [(ngModel)]='rowdata.screenValue'&gt;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6"/>
        <v xml:space="preserve">	screenValue : string = '' ; </v>
      </c>
      <c r="T17" s="28" t="str">
        <f t="shared" ref="T17:T20" si="19">IF(AND(E17="string",F17 &lt;&gt;"1"),(REPT(CHAR(9),3)&amp;"this."&amp;D16&amp;","),"")</f>
        <v xml:space="preserve">			this.screenType,</v>
      </c>
      <c r="U17" s="28" t="str">
        <f t="shared" si="17"/>
        <v xml:space="preserve">	screenValue : string = '' ; </v>
      </c>
      <c r="V17" s="28" t="str">
        <f t="shared" si="18"/>
        <v/>
      </c>
    </row>
    <row r="18" spans="1:22" ht="15" customHeight="1" x14ac:dyDescent="0.25">
      <c r="A18" s="68" t="s">
        <v>362</v>
      </c>
      <c r="B18" s="28" t="str">
        <f t="shared" si="8"/>
        <v>Description</v>
      </c>
      <c r="C18" s="28" t="str">
        <f t="shared" si="9"/>
        <v>Description</v>
      </c>
      <c r="D18" s="28" t="str">
        <f t="shared" si="10"/>
        <v>description</v>
      </c>
      <c r="E18" s="28" t="str">
        <f>A.Backend!H12</f>
        <v>string</v>
      </c>
      <c r="F18" s="28" t="str">
        <f>A.Backend!G12</f>
        <v>255</v>
      </c>
      <c r="G18" s="28" t="str">
        <f t="shared" si="11"/>
        <v xml:space="preserve"> : string = '' ; </v>
      </c>
      <c r="H18" s="35" t="str">
        <f t="shared" si="12"/>
        <v xml:space="preserve">			{headerName: this.l('Description'),headerTooltip: this.l('Description'),field: 'description',flex: 1},</v>
      </c>
      <c r="I18" s="35" t="str">
        <f t="shared" si="13"/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18" s="28"/>
      <c r="K18" s="35" t="str">
        <f t="shared" si="14"/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18" s="56" t="str">
        <f t="shared" ref="L18:L20" si="20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6"/>
        <v xml:space="preserve">	description : string = '' ; </v>
      </c>
      <c r="T18" s="28" t="str">
        <f t="shared" si="19"/>
        <v xml:space="preserve">			this.screenValue,</v>
      </c>
      <c r="U18" s="28" t="str">
        <f t="shared" si="17"/>
        <v xml:space="preserve">	description : string = '' ; </v>
      </c>
      <c r="V18" s="28" t="str">
        <f t="shared" si="18"/>
        <v/>
      </c>
    </row>
    <row r="19" spans="1:22" ht="18" customHeight="1" x14ac:dyDescent="0.25">
      <c r="A19" s="68" t="s">
        <v>364</v>
      </c>
      <c r="B19" s="28" t="str">
        <f t="shared" si="8"/>
        <v>BarcodeId</v>
      </c>
      <c r="C19" s="28" t="str">
        <f t="shared" si="9"/>
        <v>Barcode Id</v>
      </c>
      <c r="D19" s="28" t="str">
        <f t="shared" si="10"/>
        <v>barcodeId</v>
      </c>
      <c r="E19" s="28" t="str">
        <f>A.Backend!H13</f>
        <v>int?</v>
      </c>
      <c r="F19" s="28" t="str">
        <f>A.Backend!G13</f>
        <v/>
      </c>
      <c r="G19" s="28" t="str">
        <f t="shared" si="11"/>
        <v/>
      </c>
      <c r="H19" s="35" t="str">
        <f t="shared" si="12"/>
        <v xml:space="preserve">			{headerName: this.l('Barcode Id'),headerTooltip: this.l('Barcode Id'),field: 'barcodeId',flex: 1},</v>
      </c>
      <c r="I19" s="35" t="str">
        <f t="shared" si="13"/>
        <v/>
      </c>
      <c r="J19" s="28"/>
      <c r="K19" s="35" t="str">
        <f t="shared" si="14"/>
        <v xml:space="preserve">					&lt;div class='col-md-12 form-group row'&gt;
						&lt;label class='col-md-2 form-control title'&gt;Barcode Id&lt;/label&gt;
						&lt;input type='number' class='col-md-10 form-control input-text' name='BarcodeId' [(ngModel)]='rowdata.barcodeId'&gt;
					&lt;/div&gt;</v>
      </c>
      <c r="L19" s="56" t="str">
        <f t="shared" si="20"/>
        <v/>
      </c>
      <c r="M19" s="28"/>
      <c r="N19" s="28"/>
      <c r="O19" s="28"/>
      <c r="P19" s="28"/>
      <c r="Q19" s="28"/>
      <c r="R19" s="28"/>
      <c r="S19" s="28" t="str">
        <f t="shared" si="16"/>
        <v/>
      </c>
      <c r="T19" s="28" t="str">
        <f t="shared" si="19"/>
        <v/>
      </c>
      <c r="U19" s="28" t="str">
        <f t="shared" si="17"/>
        <v/>
      </c>
      <c r="V19" s="28" t="str">
        <f t="shared" si="18"/>
        <v/>
      </c>
    </row>
    <row r="20" spans="1:22" ht="15" customHeight="1" x14ac:dyDescent="0.25">
      <c r="A20" s="68" t="s">
        <v>318</v>
      </c>
      <c r="B20" s="28" t="str">
        <f t="shared" si="8"/>
        <v>IsActive</v>
      </c>
      <c r="C20" s="28" t="str">
        <f t="shared" si="9"/>
        <v>Is Active</v>
      </c>
      <c r="D20" s="28" t="str">
        <f t="shared" si="10"/>
        <v>isActive</v>
      </c>
      <c r="E20" s="28" t="str">
        <f>A.Backend!H14</f>
        <v>string</v>
      </c>
      <c r="F20" s="28" t="str">
        <f>A.Backend!G14</f>
        <v>1</v>
      </c>
      <c r="G20" s="28" t="str">
        <f t="shared" si="11"/>
        <v xml:space="preserve"> : string = '' ; </v>
      </c>
      <c r="H20" s="35" t="str">
        <f t="shared" si="12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0" s="35" t="str">
        <f t="shared" si="13"/>
        <v/>
      </c>
      <c r="J20" s="28"/>
      <c r="K20" s="35" t="str">
        <f t="shared" si="14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0" s="56" t="str">
        <f t="shared" si="20"/>
        <v/>
      </c>
      <c r="M20" s="28"/>
      <c r="N20" s="28"/>
      <c r="O20" s="28"/>
      <c r="P20" s="28"/>
      <c r="Q20" s="28"/>
      <c r="R20" s="28"/>
      <c r="S20" s="28" t="str">
        <f t="shared" si="16"/>
        <v/>
      </c>
      <c r="T20" s="28" t="str">
        <f t="shared" si="19"/>
        <v/>
      </c>
      <c r="U20" s="28" t="str">
        <f t="shared" si="17"/>
        <v/>
      </c>
      <c r="V20" s="28" t="str">
        <f t="shared" si="18"/>
        <v>isActive</v>
      </c>
    </row>
    <row r="2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2023-04-25T02:38:37Z</dcterms:modified>
</cp:coreProperties>
</file>
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TmvProdV12\docs\design\master\inventory\"/>
    </mc:Choice>
  </mc:AlternateContent>
  <xr:revisionPtr revIDLastSave="0" documentId="13_ncr:1_{E9E76251-121B-407D-9140-FFCDDE6A48E9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" l="1"/>
  <c r="F40" i="5"/>
  <c r="E40" i="5"/>
  <c r="T40" i="5" s="1"/>
  <c r="C40" i="5"/>
  <c r="B40" i="5"/>
  <c r="D40" i="5" s="1"/>
  <c r="L39" i="5"/>
  <c r="G39" i="5"/>
  <c r="F39" i="5"/>
  <c r="E39" i="5"/>
  <c r="C39" i="5"/>
  <c r="B39" i="5"/>
  <c r="D39" i="5" s="1"/>
  <c r="S39" i="5" s="1"/>
  <c r="F38" i="5"/>
  <c r="E38" i="5"/>
  <c r="T38" i="5" s="1"/>
  <c r="C38" i="5"/>
  <c r="B38" i="5"/>
  <c r="D38" i="5" s="1"/>
  <c r="L37" i="5"/>
  <c r="G37" i="5"/>
  <c r="F37" i="5"/>
  <c r="E37" i="5"/>
  <c r="U37" i="5" s="1"/>
  <c r="C37" i="5"/>
  <c r="B37" i="5"/>
  <c r="D37" i="5" s="1"/>
  <c r="F36" i="5"/>
  <c r="E36" i="5"/>
  <c r="T36" i="5" s="1"/>
  <c r="C36" i="5"/>
  <c r="B36" i="5"/>
  <c r="D36" i="5" s="1"/>
  <c r="L35" i="5"/>
  <c r="G35" i="5"/>
  <c r="F35" i="5"/>
  <c r="E35" i="5"/>
  <c r="V35" i="5" s="1"/>
  <c r="C35" i="5"/>
  <c r="B35" i="5"/>
  <c r="D35" i="5" s="1"/>
  <c r="C34" i="5"/>
  <c r="B34" i="5"/>
  <c r="D34" i="5" s="1"/>
  <c r="C33" i="5"/>
  <c r="B33" i="5"/>
  <c r="D33" i="5" s="1"/>
  <c r="C32" i="5"/>
  <c r="B32" i="5"/>
  <c r="D32" i="5" s="1"/>
  <c r="C31" i="5"/>
  <c r="B31" i="5"/>
  <c r="D31" i="5" s="1"/>
  <c r="C30" i="5"/>
  <c r="B30" i="5"/>
  <c r="D30" i="5" s="1"/>
  <c r="C29" i="5"/>
  <c r="B29" i="5"/>
  <c r="D29" i="5" s="1"/>
  <c r="C28" i="5"/>
  <c r="B28" i="5"/>
  <c r="D28" i="5" s="1"/>
  <c r="C27" i="5"/>
  <c r="B27" i="5"/>
  <c r="D27" i="5" s="1"/>
  <c r="C26" i="5"/>
  <c r="B26" i="5"/>
  <c r="D26" i="5" s="1"/>
  <c r="C25" i="5"/>
  <c r="B25" i="5"/>
  <c r="D25" i="5" s="1"/>
  <c r="C24" i="5"/>
  <c r="B24" i="5"/>
  <c r="D24" i="5" s="1"/>
  <c r="C23" i="5"/>
  <c r="B23" i="5"/>
  <c r="D23" i="5" s="1"/>
  <c r="C22" i="5"/>
  <c r="B22" i="5"/>
  <c r="D22" i="5" s="1"/>
  <c r="C21" i="5"/>
  <c r="B21" i="5"/>
  <c r="D21" i="5" s="1"/>
  <c r="C20" i="5"/>
  <c r="B20" i="5"/>
  <c r="D20" i="5" s="1"/>
  <c r="L33" i="1"/>
  <c r="G33" i="1"/>
  <c r="E33" i="1"/>
  <c r="H33" i="1" s="1"/>
  <c r="D33" i="1"/>
  <c r="T33" i="1" s="1"/>
  <c r="L32" i="1"/>
  <c r="G32" i="1"/>
  <c r="E32" i="1"/>
  <c r="H32" i="1" s="1"/>
  <c r="D32" i="1"/>
  <c r="V32" i="1" s="1"/>
  <c r="L34" i="1"/>
  <c r="G34" i="1"/>
  <c r="E34" i="1"/>
  <c r="H34" i="1" s="1"/>
  <c r="M34" i="1" s="1"/>
  <c r="D34" i="1"/>
  <c r="T34" i="1" s="1"/>
  <c r="L31" i="1"/>
  <c r="G31" i="1"/>
  <c r="E31" i="1"/>
  <c r="H31" i="1" s="1"/>
  <c r="W31" i="1" s="1"/>
  <c r="D31" i="1"/>
  <c r="V31" i="1" s="1"/>
  <c r="L30" i="1"/>
  <c r="G30" i="1"/>
  <c r="E30" i="1"/>
  <c r="H30" i="1" s="1"/>
  <c r="D30" i="1"/>
  <c r="T30" i="1" s="1"/>
  <c r="L29" i="1"/>
  <c r="G29" i="1"/>
  <c r="E29" i="1"/>
  <c r="H29" i="1" s="1"/>
  <c r="W29" i="1" s="1"/>
  <c r="D29" i="1"/>
  <c r="V29" i="1" s="1"/>
  <c r="L28" i="1"/>
  <c r="G28" i="1"/>
  <c r="F34" i="5" s="1"/>
  <c r="E28" i="1"/>
  <c r="H28" i="1" s="1"/>
  <c r="E34" i="5" s="1"/>
  <c r="G34" i="5" s="1"/>
  <c r="D28" i="1"/>
  <c r="T28" i="1" s="1"/>
  <c r="L27" i="1"/>
  <c r="G27" i="1"/>
  <c r="F33" i="5" s="1"/>
  <c r="E27" i="1"/>
  <c r="H27" i="1" s="1"/>
  <c r="W27" i="1" s="1"/>
  <c r="D27" i="1"/>
  <c r="V27" i="1" s="1"/>
  <c r="L26" i="1"/>
  <c r="G26" i="1"/>
  <c r="F32" i="5" s="1"/>
  <c r="E26" i="1"/>
  <c r="H26" i="1" s="1"/>
  <c r="E32" i="5" s="1"/>
  <c r="D26" i="1"/>
  <c r="T26" i="1" s="1"/>
  <c r="L25" i="1"/>
  <c r="G25" i="1"/>
  <c r="F31" i="5" s="1"/>
  <c r="E25" i="1"/>
  <c r="H25" i="1" s="1"/>
  <c r="W25" i="1" s="1"/>
  <c r="D25" i="1"/>
  <c r="V25" i="1" s="1"/>
  <c r="L24" i="1"/>
  <c r="G24" i="1"/>
  <c r="F30" i="5" s="1"/>
  <c r="E24" i="1"/>
  <c r="H24" i="1" s="1"/>
  <c r="E30" i="5" s="1"/>
  <c r="D24" i="1"/>
  <c r="T24" i="1" s="1"/>
  <c r="L23" i="1"/>
  <c r="G23" i="1"/>
  <c r="F29" i="5" s="1"/>
  <c r="E23" i="1"/>
  <c r="H23" i="1" s="1"/>
  <c r="W23" i="1" s="1"/>
  <c r="D23" i="1"/>
  <c r="V23" i="1" s="1"/>
  <c r="L22" i="1"/>
  <c r="G22" i="1"/>
  <c r="F28" i="5" s="1"/>
  <c r="E22" i="1"/>
  <c r="H22" i="1" s="1"/>
  <c r="E28" i="5" s="1"/>
  <c r="D22" i="1"/>
  <c r="T22" i="1" s="1"/>
  <c r="L21" i="1"/>
  <c r="G21" i="1"/>
  <c r="F27" i="5" s="1"/>
  <c r="E21" i="1"/>
  <c r="H21" i="1" s="1"/>
  <c r="E27" i="5" s="1"/>
  <c r="D21" i="1"/>
  <c r="V21" i="1" s="1"/>
  <c r="L20" i="1"/>
  <c r="G20" i="1"/>
  <c r="F26" i="5" s="1"/>
  <c r="E20" i="1"/>
  <c r="H20" i="1" s="1"/>
  <c r="E26" i="5" s="1"/>
  <c r="D20" i="1"/>
  <c r="T20" i="1" s="1"/>
  <c r="L19" i="1"/>
  <c r="G19" i="1"/>
  <c r="F25" i="5" s="1"/>
  <c r="E19" i="1"/>
  <c r="H19" i="1" s="1"/>
  <c r="E25" i="5" s="1"/>
  <c r="D19" i="1"/>
  <c r="V19" i="1" s="1"/>
  <c r="L18" i="1"/>
  <c r="G18" i="1"/>
  <c r="F24" i="5" s="1"/>
  <c r="E18" i="1"/>
  <c r="H18" i="1" s="1"/>
  <c r="W18" i="1" s="1"/>
  <c r="D18" i="1"/>
  <c r="P18" i="1" s="1"/>
  <c r="L17" i="1"/>
  <c r="G17" i="1"/>
  <c r="F23" i="5" s="1"/>
  <c r="E17" i="1"/>
  <c r="H17" i="1" s="1"/>
  <c r="E23" i="5" s="1"/>
  <c r="D17" i="1"/>
  <c r="V17" i="1" s="1"/>
  <c r="L16" i="1"/>
  <c r="G16" i="1"/>
  <c r="F22" i="5" s="1"/>
  <c r="E16" i="1"/>
  <c r="H16" i="1" s="1"/>
  <c r="W16" i="1" s="1"/>
  <c r="D16" i="1"/>
  <c r="P16" i="1" s="1"/>
  <c r="L15" i="1"/>
  <c r="G15" i="1"/>
  <c r="F21" i="5" s="1"/>
  <c r="E15" i="1"/>
  <c r="H15" i="1" s="1"/>
  <c r="W15" i="1" s="1"/>
  <c r="D15" i="1"/>
  <c r="V15" i="1" s="1"/>
  <c r="L14" i="1"/>
  <c r="G14" i="1"/>
  <c r="F20" i="5" s="1"/>
  <c r="E14" i="1"/>
  <c r="H14" i="1" s="1"/>
  <c r="E20" i="5" s="1"/>
  <c r="D14" i="1"/>
  <c r="T14" i="1" s="1"/>
  <c r="L13" i="1"/>
  <c r="G13" i="1"/>
  <c r="F19" i="5" s="1"/>
  <c r="E13" i="1"/>
  <c r="H13" i="1" s="1"/>
  <c r="E19" i="5" s="1"/>
  <c r="D13" i="1"/>
  <c r="V13" i="1" s="1"/>
  <c r="B16" i="5"/>
  <c r="D16" i="5" s="1"/>
  <c r="C16" i="5"/>
  <c r="B17" i="5"/>
  <c r="D17" i="5" s="1"/>
  <c r="C17" i="5"/>
  <c r="B18" i="5"/>
  <c r="D18" i="5" s="1"/>
  <c r="C18" i="5"/>
  <c r="B19" i="5"/>
  <c r="D19" i="5" s="1"/>
  <c r="C19" i="5"/>
  <c r="S35" i="5" l="1"/>
  <c r="S37" i="5"/>
  <c r="V37" i="5"/>
  <c r="U39" i="5"/>
  <c r="V39" i="5"/>
  <c r="H35" i="5"/>
  <c r="H37" i="5"/>
  <c r="H39" i="5"/>
  <c r="U35" i="5"/>
  <c r="K36" i="5"/>
  <c r="U36" i="5"/>
  <c r="K38" i="5"/>
  <c r="U38" i="5"/>
  <c r="K40" i="5"/>
  <c r="U40" i="5"/>
  <c r="I35" i="5"/>
  <c r="T35" i="5"/>
  <c r="G36" i="5"/>
  <c r="L36" i="5"/>
  <c r="V36" i="5"/>
  <c r="I37" i="5"/>
  <c r="T37" i="5"/>
  <c r="G38" i="5"/>
  <c r="L38" i="5"/>
  <c r="V38" i="5"/>
  <c r="I39" i="5"/>
  <c r="T39" i="5"/>
  <c r="G40" i="5"/>
  <c r="L40" i="5"/>
  <c r="V40" i="5"/>
  <c r="K35" i="5"/>
  <c r="H36" i="5"/>
  <c r="S36" i="5"/>
  <c r="K37" i="5"/>
  <c r="H38" i="5"/>
  <c r="S38" i="5"/>
  <c r="K39" i="5"/>
  <c r="H40" i="5"/>
  <c r="S40" i="5"/>
  <c r="I36" i="5"/>
  <c r="I38" i="5"/>
  <c r="I40" i="5"/>
  <c r="M33" i="1"/>
  <c r="E29" i="5"/>
  <c r="G29" i="5" s="1"/>
  <c r="E31" i="5"/>
  <c r="G31" i="5" s="1"/>
  <c r="S26" i="5"/>
  <c r="H19" i="5"/>
  <c r="G19" i="5"/>
  <c r="H20" i="5"/>
  <c r="G20" i="5"/>
  <c r="S20" i="5" s="1"/>
  <c r="L20" i="5"/>
  <c r="G23" i="5"/>
  <c r="S23" i="5" s="1"/>
  <c r="H23" i="5"/>
  <c r="G25" i="5"/>
  <c r="S25" i="5" s="1"/>
  <c r="V25" i="5"/>
  <c r="L25" i="5"/>
  <c r="H25" i="5"/>
  <c r="L27" i="5"/>
  <c r="H27" i="5"/>
  <c r="G27" i="5"/>
  <c r="S28" i="5"/>
  <c r="H28" i="5"/>
  <c r="V28" i="5"/>
  <c r="G28" i="5"/>
  <c r="G30" i="5"/>
  <c r="H30" i="5"/>
  <c r="S30" i="5"/>
  <c r="H32" i="5"/>
  <c r="G32" i="5"/>
  <c r="S32" i="5"/>
  <c r="V27" i="5"/>
  <c r="V26" i="5"/>
  <c r="E21" i="5"/>
  <c r="V21" i="5" s="1"/>
  <c r="E24" i="5"/>
  <c r="I24" i="5" s="1"/>
  <c r="H26" i="5"/>
  <c r="V29" i="5"/>
  <c r="E33" i="5"/>
  <c r="L33" i="5" s="1"/>
  <c r="E22" i="5"/>
  <c r="I22" i="5" s="1"/>
  <c r="K29" i="5"/>
  <c r="T33" i="5"/>
  <c r="V34" i="5"/>
  <c r="G26" i="5"/>
  <c r="K25" i="5"/>
  <c r="H34" i="5"/>
  <c r="T25" i="5"/>
  <c r="T27" i="5"/>
  <c r="V30" i="5"/>
  <c r="L31" i="5"/>
  <c r="V32" i="5"/>
  <c r="S34" i="5"/>
  <c r="K27" i="5"/>
  <c r="U27" i="5"/>
  <c r="V20" i="5"/>
  <c r="I30" i="5"/>
  <c r="T30" i="5"/>
  <c r="I32" i="5"/>
  <c r="T32" i="5"/>
  <c r="T34" i="5"/>
  <c r="K26" i="5"/>
  <c r="U26" i="5"/>
  <c r="S27" i="5"/>
  <c r="K28" i="5"/>
  <c r="U28" i="5"/>
  <c r="K30" i="5"/>
  <c r="U30" i="5"/>
  <c r="K32" i="5"/>
  <c r="U32" i="5"/>
  <c r="K34" i="5"/>
  <c r="U34" i="5"/>
  <c r="T23" i="5"/>
  <c r="K33" i="5"/>
  <c r="I26" i="5"/>
  <c r="T26" i="5"/>
  <c r="I28" i="5"/>
  <c r="T28" i="5"/>
  <c r="I34" i="5"/>
  <c r="V24" i="5"/>
  <c r="I25" i="5"/>
  <c r="L26" i="5"/>
  <c r="I27" i="5"/>
  <c r="L28" i="5"/>
  <c r="L30" i="5"/>
  <c r="L32" i="5"/>
  <c r="L34" i="5"/>
  <c r="K21" i="5"/>
  <c r="K23" i="5"/>
  <c r="I20" i="5"/>
  <c r="T20" i="5"/>
  <c r="L21" i="5"/>
  <c r="L23" i="5"/>
  <c r="V23" i="5"/>
  <c r="T24" i="5"/>
  <c r="K20" i="5"/>
  <c r="I21" i="5"/>
  <c r="I23" i="5"/>
  <c r="I33" i="1"/>
  <c r="I34" i="1"/>
  <c r="P32" i="1"/>
  <c r="W32" i="1"/>
  <c r="O32" i="1"/>
  <c r="I32" i="1"/>
  <c r="M32" i="1"/>
  <c r="M20" i="1"/>
  <c r="O34" i="1"/>
  <c r="W34" i="1"/>
  <c r="T32" i="1"/>
  <c r="O33" i="1"/>
  <c r="W33" i="1"/>
  <c r="V33" i="1"/>
  <c r="P34" i="1"/>
  <c r="P33" i="1"/>
  <c r="V34" i="1"/>
  <c r="T27" i="1"/>
  <c r="T29" i="1"/>
  <c r="P27" i="1"/>
  <c r="T18" i="1"/>
  <c r="T23" i="1"/>
  <c r="P29" i="1"/>
  <c r="T31" i="1"/>
  <c r="P25" i="1"/>
  <c r="P23" i="1"/>
  <c r="T25" i="1"/>
  <c r="P31" i="1"/>
  <c r="M22" i="1"/>
  <c r="W22" i="1"/>
  <c r="O22" i="1"/>
  <c r="I22" i="1"/>
  <c r="M28" i="1"/>
  <c r="I28" i="1"/>
  <c r="W28" i="1"/>
  <c r="O28" i="1"/>
  <c r="M26" i="1"/>
  <c r="W26" i="1"/>
  <c r="O26" i="1"/>
  <c r="I26" i="1"/>
  <c r="M24" i="1"/>
  <c r="I24" i="1"/>
  <c r="W24" i="1"/>
  <c r="O24" i="1"/>
  <c r="M30" i="1"/>
  <c r="W30" i="1"/>
  <c r="O30" i="1"/>
  <c r="I30" i="1"/>
  <c r="P13" i="1"/>
  <c r="V22" i="1"/>
  <c r="V26" i="1"/>
  <c r="W13" i="1"/>
  <c r="T16" i="1"/>
  <c r="P19" i="1"/>
  <c r="M27" i="1"/>
  <c r="M29" i="1"/>
  <c r="M31" i="1"/>
  <c r="P15" i="1"/>
  <c r="P22" i="1"/>
  <c r="I23" i="1"/>
  <c r="P24" i="1"/>
  <c r="I25" i="1"/>
  <c r="P26" i="1"/>
  <c r="I27" i="1"/>
  <c r="P28" i="1"/>
  <c r="I29" i="1"/>
  <c r="P30" i="1"/>
  <c r="I31" i="1"/>
  <c r="V24" i="1"/>
  <c r="V28" i="1"/>
  <c r="V30" i="1"/>
  <c r="M23" i="1"/>
  <c r="M25" i="1"/>
  <c r="P17" i="1"/>
  <c r="T15" i="1"/>
  <c r="P21" i="1"/>
  <c r="O23" i="1"/>
  <c r="O25" i="1"/>
  <c r="O27" i="1"/>
  <c r="O29" i="1"/>
  <c r="O31" i="1"/>
  <c r="W21" i="1"/>
  <c r="O21" i="1"/>
  <c r="I21" i="1"/>
  <c r="M21" i="1"/>
  <c r="W19" i="1"/>
  <c r="O19" i="1"/>
  <c r="I19" i="1"/>
  <c r="M19" i="1"/>
  <c r="I17" i="1"/>
  <c r="M17" i="1"/>
  <c r="W17" i="1"/>
  <c r="O17" i="1"/>
  <c r="M16" i="1"/>
  <c r="M18" i="1"/>
  <c r="T13" i="1"/>
  <c r="I16" i="1"/>
  <c r="V16" i="1"/>
  <c r="I18" i="1"/>
  <c r="V18" i="1"/>
  <c r="I20" i="1"/>
  <c r="V20" i="1"/>
  <c r="O16" i="1"/>
  <c r="T17" i="1"/>
  <c r="O18" i="1"/>
  <c r="T19" i="1"/>
  <c r="O20" i="1"/>
  <c r="W20" i="1"/>
  <c r="T21" i="1"/>
  <c r="P20" i="1"/>
  <c r="M14" i="1"/>
  <c r="W14" i="1"/>
  <c r="O14" i="1"/>
  <c r="I14" i="1"/>
  <c r="M15" i="1"/>
  <c r="I15" i="1"/>
  <c r="V14" i="1"/>
  <c r="M13" i="1"/>
  <c r="I13" i="1"/>
  <c r="P14" i="1"/>
  <c r="O13" i="1"/>
  <c r="O15" i="1"/>
  <c r="V22" i="5" l="1"/>
  <c r="L24" i="5"/>
  <c r="H29" i="5"/>
  <c r="I29" i="5"/>
  <c r="S29" i="5"/>
  <c r="K24" i="5"/>
  <c r="T22" i="5"/>
  <c r="K22" i="5"/>
  <c r="U29" i="5"/>
  <c r="L29" i="5"/>
  <c r="S31" i="5"/>
  <c r="V31" i="5"/>
  <c r="T21" i="5"/>
  <c r="I31" i="5"/>
  <c r="K31" i="5"/>
  <c r="T29" i="5"/>
  <c r="U31" i="5"/>
  <c r="H31" i="5"/>
  <c r="T31" i="5"/>
  <c r="I33" i="5"/>
  <c r="G21" i="5"/>
  <c r="H21" i="5"/>
  <c r="U25" i="5"/>
  <c r="S33" i="5"/>
  <c r="V33" i="5"/>
  <c r="G33" i="5"/>
  <c r="U33" i="5"/>
  <c r="H33" i="5"/>
  <c r="G22" i="5"/>
  <c r="U22" i="5" s="1"/>
  <c r="L22" i="5"/>
  <c r="H22" i="5"/>
  <c r="H24" i="5"/>
  <c r="G24" i="5"/>
  <c r="S24" i="5" s="1"/>
  <c r="U20" i="5"/>
  <c r="U23" i="5"/>
  <c r="K19" i="5"/>
  <c r="S19" i="5"/>
  <c r="U19" i="5"/>
  <c r="I19" i="5"/>
  <c r="V19" i="5"/>
  <c r="T19" i="5"/>
  <c r="B7" i="5"/>
  <c r="B6" i="5"/>
  <c r="B2" i="5"/>
  <c r="U24" i="5" l="1"/>
  <c r="U21" i="5"/>
  <c r="S21" i="5"/>
  <c r="S22" i="5"/>
  <c r="B3" i="5"/>
  <c r="B6" i="1" l="1"/>
  <c r="L19" i="5" l="1"/>
  <c r="C15" i="5"/>
  <c r="B15" i="5"/>
  <c r="D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G18" i="5" l="1"/>
  <c r="H18" i="5"/>
  <c r="G17" i="5"/>
  <c r="S17" i="5" s="1"/>
  <c r="H17" i="5"/>
  <c r="U18" i="5"/>
  <c r="K18" i="5"/>
  <c r="T18" i="5"/>
  <c r="V18" i="5"/>
  <c r="I18" i="5"/>
  <c r="K17" i="5"/>
  <c r="V17" i="5"/>
  <c r="T17" i="5"/>
  <c r="I17" i="5"/>
  <c r="L18" i="5"/>
  <c r="L17" i="5"/>
  <c r="M11" i="1"/>
  <c r="L11" i="1"/>
  <c r="P11" i="1"/>
  <c r="W12" i="1"/>
  <c r="O12" i="1"/>
  <c r="I12" i="1"/>
  <c r="M12" i="1"/>
  <c r="I11" i="1"/>
  <c r="V11" i="1"/>
  <c r="P12" i="1"/>
  <c r="O11" i="1"/>
  <c r="W11" i="1"/>
  <c r="T12" i="1"/>
  <c r="S18" i="5" l="1"/>
  <c r="U17" i="5"/>
  <c r="G9" i="1"/>
  <c r="F15" i="5" s="1"/>
  <c r="E9" i="1"/>
  <c r="H9" i="1" s="1"/>
  <c r="E15" i="5" s="1"/>
  <c r="D9" i="1"/>
  <c r="V9" i="1" s="1"/>
  <c r="T15" i="5" l="1"/>
  <c r="I15" i="5"/>
  <c r="K15" i="5"/>
  <c r="H15" i="5"/>
  <c r="G15" i="5"/>
  <c r="U15" i="5" s="1"/>
  <c r="V15" i="5"/>
  <c r="L15" i="5"/>
  <c r="W9" i="1"/>
  <c r="P9" i="1"/>
  <c r="T9" i="1"/>
  <c r="I9" i="1"/>
  <c r="M9" i="1"/>
  <c r="O9" i="1"/>
  <c r="S15" i="5" l="1"/>
  <c r="Q3" i="1"/>
  <c r="B4" i="5" s="1"/>
  <c r="B5" i="5" s="1"/>
  <c r="G10" i="1" l="1"/>
  <c r="F16" i="5" s="1"/>
  <c r="E10" i="1"/>
  <c r="H10" i="1" s="1"/>
  <c r="E16" i="5" s="1"/>
  <c r="D10" i="1"/>
  <c r="T10" i="1" s="1"/>
  <c r="G16" i="5" l="1"/>
  <c r="H16" i="5"/>
  <c r="V16" i="5"/>
  <c r="T16" i="5"/>
  <c r="K16" i="5"/>
  <c r="I16" i="5"/>
  <c r="U16" i="5"/>
  <c r="L16" i="5"/>
  <c r="P10" i="1"/>
  <c r="V10" i="1"/>
  <c r="W10" i="1"/>
  <c r="I10" i="1"/>
  <c r="O10" i="1"/>
  <c r="M10" i="1"/>
  <c r="S16" i="5" l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G6" i="1" l="1"/>
  <c r="L13" i="5"/>
  <c r="H13" i="5"/>
  <c r="S13" i="5"/>
  <c r="I13" i="5"/>
  <c r="K13" i="5"/>
  <c r="U13" i="5"/>
  <c r="K10" i="5" l="1"/>
  <c r="F75" i="3" s="1"/>
  <c r="I10" i="5"/>
  <c r="D75" i="3" s="1"/>
  <c r="H10" i="5"/>
  <c r="C75" i="3" s="1"/>
  <c r="L10" i="5"/>
  <c r="G75" i="3" s="1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N33" i="1" l="1"/>
  <c r="N22" i="1"/>
  <c r="N26" i="1"/>
  <c r="N27" i="1"/>
  <c r="J25" i="1"/>
  <c r="J29" i="1"/>
  <c r="J21" i="1"/>
  <c r="N16" i="1"/>
  <c r="J16" i="1"/>
  <c r="N31" i="1"/>
  <c r="J31" i="1"/>
  <c r="N17" i="1"/>
  <c r="N20" i="1"/>
  <c r="J20" i="1"/>
  <c r="N19" i="1"/>
  <c r="J17" i="1"/>
  <c r="N18" i="1"/>
  <c r="J18" i="1"/>
  <c r="N14" i="1"/>
  <c r="N15" i="1"/>
  <c r="N13" i="1"/>
  <c r="J15" i="1"/>
  <c r="J32" i="1"/>
  <c r="N34" i="1"/>
  <c r="J30" i="1"/>
  <c r="N25" i="1"/>
  <c r="N21" i="1"/>
  <c r="J13" i="1"/>
  <c r="N32" i="1"/>
  <c r="J34" i="1"/>
  <c r="J33" i="1"/>
  <c r="N30" i="1"/>
  <c r="N23" i="1"/>
  <c r="J23" i="1"/>
  <c r="J27" i="1"/>
  <c r="J19" i="1"/>
  <c r="J14" i="1"/>
  <c r="J22" i="1"/>
  <c r="N28" i="1"/>
  <c r="J28" i="1"/>
  <c r="J26" i="1"/>
  <c r="N24" i="1"/>
  <c r="J24" i="1"/>
  <c r="N29" i="1"/>
  <c r="N12" i="1"/>
  <c r="N11" i="1"/>
  <c r="J12" i="1"/>
  <c r="J11" i="1"/>
  <c r="N10" i="1"/>
  <c r="J10" i="1"/>
  <c r="J9" i="1"/>
  <c r="N9" i="1"/>
  <c r="L9" i="1"/>
  <c r="L10" i="1"/>
  <c r="C7" i="1"/>
  <c r="K68" i="3" l="1"/>
  <c r="J68" i="3"/>
  <c r="K36" i="1"/>
  <c r="M36" i="1"/>
  <c r="R7" i="1" l="1"/>
  <c r="I68" i="3" s="1"/>
  <c r="J36" i="1"/>
  <c r="P36" i="1"/>
  <c r="O36" i="1"/>
  <c r="I36" i="1"/>
  <c r="J7" i="1" l="1"/>
  <c r="C68" i="3" s="1"/>
  <c r="L7" i="1"/>
  <c r="G68" i="3" s="1"/>
  <c r="N36" i="1"/>
  <c r="M7" i="1" l="1"/>
  <c r="H68" i="3" s="1"/>
  <c r="V36" i="1"/>
  <c r="W36" i="1"/>
  <c r="T36" i="1"/>
  <c r="Q7" i="1" l="1"/>
  <c r="M68" i="3" s="1"/>
  <c r="T7" i="1"/>
  <c r="L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<sst xmlns="http://schemas.openxmlformats.org/spreadsheetml/2006/main" count="535" uniqueCount="396">
  <si>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</si>
  <si>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</si>
  <si>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</si>
  <si>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</si>
  <si>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</si>
  <si>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</si>
  <si>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</si>
  <si>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</si>
  <si>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</si>
  <si>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</si>
  <si>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</si>
  <si>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</si>
  <si>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</si>
  <si>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</si>
  <si>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</si>
  <si>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</si>
  <si>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</si>
  <si>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</si>
  <si>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</si>
  <si>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</si>
  <si>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</si>
  <si>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</si>
  <si>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</si>
  <si>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</si>
  <si>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</si>
  <si>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</si>
  <si>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</si>
  <si>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</si>
  <si>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</si>
  <si>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</si>
  <si>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</si>
  <si>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</si>
  <si>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</si>
  <si>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</si>
  <si>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</si>
  <si>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</si>
  <si>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</si>
  <si>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</si>
  <si>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</si>
  <si>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</si>
  <si>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</si>
  <si>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</si>
  <si>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</si>
  <si>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</si>
  <si>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</si>
  <si>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</si>
  <si>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</si>
  <si>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</si>
  <si>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</si>
  <si>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</si>
  <si>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</si>
  <si>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</si>
  <si>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</si>
  <si>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</si>
  <si>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</si>
  <si>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</si>
  <si>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</si>
  <si>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</si>
  <si>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</si>
  <si>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</si>
  <si>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</si>
  <si>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</si>
  <si>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</si>
  <si>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</si>
  <si>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</si>
  <si>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</si>
  <si>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</si>
  <si>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</si>
  <si>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</si>
  <si>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</si>
  <si>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</si>
  <si>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</si>
  <si>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</si>
  <si>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</si>
  <si>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</si>
  <si>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</si>
  <si>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</si>
  <si>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</si>
  <si>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</si>
  <si>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</si>
  <si>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</si>
  <si>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</si>
  <si>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</si>
  <si>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</si>
  <si>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</si>
  <si>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</si>
  <si>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</si>
  <si>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</si>
  <si>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</si>
  <si>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</si>
  <si>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</si>
  <si>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</si>
  <si>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</si>
  <si>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</si>
  <si>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</si>
  <si>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</si>
  <si>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</si>
  <si>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</si>
  <si>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</si>
  <si>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</si>
  <si>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</si>
  <si>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</si>
  <si>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</si>
  <si>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</si>
  <si>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</si>
  <si>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</si>
  <si>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</si>
  <si>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</si>
  <si>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</si>
  <si>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</si>
  <si>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</si>
  <si>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</si>
  <si>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</si>
  <si>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</si>
  <si>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</si>
  <si>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</si>
  <si>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</si>
  <si>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</si>
  <si>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</si>
  <si>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</si>
  <si>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</si>
  <si>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</si>
  <si>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</si>
  <si>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</si>
  <si>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</si>
  <si>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</si>
  <si>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</si>
  <si>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</si>
  <si>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</si>
  <si>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</si>
  <si>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</si>
  <si>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</si>
  <si>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</si>
  <si>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</si>
  <si>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</si>
  <si>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</si>
  <si>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</si>
  <si>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</si>
  <si>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</si>
  <si>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</si>
  <si>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</si>
  <si>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</si>
  <si>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</si>
  <si>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</si>
  <si>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</si>
  <si>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</si>
  <si>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</si>
  <si>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</si>
  <si>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</si>
  <si>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</si>
  <si>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</si>
  <si>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</si>
  <si>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</si>
  <si>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</si>
  <si>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</si>
  <si>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</si>
  <si>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</si>
  <si>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</si>
  <si>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</si>
  <si>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</si>
  <si>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</si>
  <si>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</si>
  <si>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</si>
  <si>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</si>
  <si>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</si>
  <si>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</si>
  <si>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</si>
  <si>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</si>
  <si>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</si>
  <si>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</si>
  <si>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</si>
  <si>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</si>
  <si>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</si>
  <si>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</si>
  <si>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</si>
  <si>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</si>
  <si>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</si>
  <si>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</si>
  <si>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</si>
  <si>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</si>
  <si>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</si>
  <si>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</si>
  <si>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</si>
  <si>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</si>
  <si>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</si>
  <si>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</si>
  <si>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</si>
  <si>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</si>
  <si>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</si>
  <si>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</si>
  <si>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</si>
  <si>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</si>
  <si>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</si>
  <si>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</si>
  <si>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</si>
  <si>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</si>
  <si>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</si>
  <si>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</si>
  <si>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</si>
  <si>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</si>
  <si>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</si>
  <si>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</si>
  <si>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</si>
  <si>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</si>
  <si>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</si>
  <si>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</si>
  <si>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</si>
  <si>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</si>
  <si>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</si>
  <si>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</si>
  <si>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</si>
  <si>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</si>
  <si>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</si>
  <si>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</si>
  <si>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</si>
  <si>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</si>
  <si>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</si>
  <si>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</si>
  <si>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</si>
  <si>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</si>
  <si>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</si>
  <si>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</si>
  <si>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</si>
  <si>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</si>
  <si>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</si>
  <si>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</si>
  <si>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</si>
  <si>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</si>
  <si>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</si>
  <si>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</si>
  <si>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</si>
  <si>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</si>
  <si>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</si>
  <si>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</si>
  <si>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</si>
  <si>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</si>
  <si>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</si>
  <si>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</si>
  <si>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</si>
  <si>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</si>
  <si>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</si>
  <si>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</si>
  <si>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</si>
  <si>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</si>
  <si>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</si>
  <si>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</si>
  <si>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</si>
  <si>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</si>
  <si>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</si>
  <si>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</si>
  <si>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</si>
  <si>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</si>
  <si>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</si>
  <si>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</si>
  <si>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</si>
  <si>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</si>
  <si>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</si>
  <si>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</si>
  <si>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</si>
  <si>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</si>
  <si>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</si>
  <si>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</si>
  <si>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</si>
  <si>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</si>
  <si>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</si>
  <si>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</si>
  <si>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</si>
  <si>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</si>
  <si>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</si>
  <si>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</si>
  <si>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</si>
  <si>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</si>
  <si>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</si>
  <si>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</si>
  <si>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</si>
  <si>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</si>
  <si>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</si>
  <si>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</si>
  <si>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</si>
  <si>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</si>
  <si>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</si>
  <si>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</si>
  <si>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</si>
  <si>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</si>
  <si>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</si>
  <si>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</si>
  <si>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</si>
  <si>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</si>
  <si>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</si>
  <si>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</si>
  <si>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</si>
  <si>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</si>
  <si>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</si>
  <si>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</si>
  <si>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</si>
  <si>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</si>
  <si>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</si>
  <si>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</si>
  <si>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</si>
  <si>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</si>
  <si>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</si>
  <si>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</si>
  <si>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</si>
  <si>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</si>
  <si>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</si>
  <si>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</si>
  <si>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</si>
  <si>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</si>
  <si>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</si>
  <si>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</si>
  <si>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</si>
  <si>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</si>
  <si>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</si>
  <si>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</si>
  <si>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</si>
  <si>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</si>
  <si>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</si>
  <si>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</si>
  <si>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</si>
  <si>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</si>
  <si>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</si>
  <si>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</si>
  <si>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</si>
  <si>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</si>
  <si>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</si>
  <si>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</si>
  <si>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</si>
  <si>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</si>
  <si>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</si>
  <si>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</si>
  <si>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</si>
  <si>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</si>
  <si>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</si>
  <si>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</si>
  <si>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</si>
  <si>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</si>
  <si>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</si>
  <si>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</si>
  <si>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</si>
  <si>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</si>
  <si>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</si>
  <si>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</si>
  <si>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</si>
  <si>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</si>
  <si>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</si>
  <si>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</si>
  <si>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</si>
  <si>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</si>
  <si>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</si>
  <si>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</si>
  <si>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</si>
  <si>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</si>
  <si>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</si>
  <si>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</si>
  <si>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</si>
  <si>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varchar(1)</t>
  </si>
  <si>
    <t>SUPPLIER_CODE</t>
  </si>
  <si>
    <t>nvarchar(10)</t>
  </si>
  <si>
    <t>SUPPLIER_PLANT_CODE</t>
  </si>
  <si>
    <t>nvarchar(1)</t>
  </si>
  <si>
    <t>SUPPLIER_NAME</t>
  </si>
  <si>
    <t>nvarchar(100)</t>
  </si>
  <si>
    <t>ADDRESS</t>
  </si>
  <si>
    <t>DOCK_X</t>
  </si>
  <si>
    <t>varchar(20)</t>
  </si>
  <si>
    <t>DOCK_X_ADDRESS</t>
  </si>
  <si>
    <t>DELIVERY_METHOD</t>
  </si>
  <si>
    <t>DELIVERY_FREQUENCY</t>
  </si>
  <si>
    <t>varchar(3)</t>
  </si>
  <si>
    <t>CD</t>
  </si>
  <si>
    <t>varchar(40)</t>
  </si>
  <si>
    <t>ORDER_DATE_TYPE</t>
  </si>
  <si>
    <t>varchar(5)</t>
  </si>
  <si>
    <t>KEIHEN_TYPE</t>
  </si>
  <si>
    <t>STK_CONCEPT_TMV_MIN</t>
  </si>
  <si>
    <t>decimal(8, 2)</t>
  </si>
  <si>
    <t>STK_CONCEPT_TMV_MAX</t>
  </si>
  <si>
    <t>STK_CONCEPT_SUP_M_MIN</t>
  </si>
  <si>
    <t>STK_CONCEPT_SUP_M_MAX</t>
  </si>
  <si>
    <t>STK_CONCEPT_SUP_P_MIN</t>
  </si>
  <si>
    <t>STK_CONCEPT_SUP_P_MAX</t>
  </si>
  <si>
    <t>TMV_PRODUCT_PERCENTAGE</t>
  </si>
  <si>
    <t>PIC_MAIN_ID</t>
  </si>
  <si>
    <t>DELIVERY_LT</t>
  </si>
  <si>
    <t>decimal(18, 0)</t>
  </si>
  <si>
    <t>PRODUCTION_SHIFT</t>
  </si>
  <si>
    <t>varchar(10)</t>
  </si>
  <si>
    <t>TC_FROM</t>
  </si>
  <si>
    <t>TC_TO</t>
  </si>
  <si>
    <t>ORDER_TRIP</t>
  </si>
  <si>
    <t>SUPPLIER_NAME_EN</t>
  </si>
  <si>
    <t>varchar(100)</t>
  </si>
  <si>
    <t>MstInvGpsSupplierInfo</t>
  </si>
  <si>
    <t>GpsSupplierInfo</t>
  </si>
  <si>
    <t>Master.Inv</t>
  </si>
  <si>
    <t>Master Inventory Gps Supplier 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</si>
</sst>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0" fillId="0" borderId="0" xfId="0" applyAlignment="1">
      <alignment vertical="top"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abSelected="1" topLeftCell="A64" zoomScaleNormal="100" workbookViewId="0">
      <selection activeCell="D74" sqref="D74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
{
	[Table("MstInvGpsSupplierInfo")]
	public class MstInvGpsSupplierInfo: FullAuditedEntity&lt;long&gt;, IEntity&lt;long&gt;	
	{
		public const int MaxSupplierCodeLength = 10;
		public const int MaxSupplierPlantCodeLength = 1;
		public const int MaxSupplierNameLength = 100;
		public const int MaxAddressLength = 100;
		public const int MaxDockXLength = 20;
		public const int MaxDockXAddressLength = 100;
		public const int MaxDeliveryMethodLength = 20;
		public const int MaxDeliveryFrequencyLength = 3;
		public const int MaxCdLength = 40;
		public const int MaxOrderDateTypeLength = 5;
		public const int MaxKeihenTypeLength = 5;
		public const int MaxProductionShiftLength = 10;
		public const int MaxSupplierNameEnLength = 100;
		public const int MaxIsActiveLength = 1;
		[StringLength(MaxSupplierCodeLength)]
		public virtual string SupplierCode { get; set; }
		[StringLength(MaxSupplierPlantCodeLength)]
		public virtual string SupplierPlantCode { get; set; }
		[StringLength(MaxSupplierNameLength)]
		public virtual string SupplierName { get; set; }
		[StringLength(MaxAddressLength)]
		public virtual string Address { get; set; }
		[StringLength(MaxDockXLength)]
		public virtual string DockX { get; set; }
		[StringLength(MaxDockXAddressLength)]
		public virtual string DockXAddress { get; set; }
		[StringLength(MaxDeliveryMethodLength)]
		public virtual string DeliveryMethod { get; set; }
		[StringLength(MaxDeliveryFrequencyLength)]
		public virtual string DeliveryFrequency { get; set; }
		[StringLength(MaxCdLength)]
		public virtual string Cd { get; set; }
		[StringLength(MaxOrderDateTypeLength)]
		public virtual string OrderDateType { get; set; }
		[StringLength(MaxKeihenTypeLength)]
		public virtual string KeihenType { get; set; }
		public virtual decimal? StkConceptTmvMin { get; set; }
		public virtual decimal? StkConceptTmvMax { get; set; }
		public virtual decimal? StkConceptSupMMin { get; set; }
		public virtual decimal? StkConceptSupMMax { get; set; }
		public virtual decimal? StkConceptSupPMin { get; set; }
		public virtual decimal? StkConceptSupPMax { get; set; }
		public virtual int? TmvProductPercentage { get; set; }
		public virtual int? PicMainId { get; set; }
		public virtual decimal? DeliveryLt { get; set; }
		[StringLength(MaxProductionShiftLength)]
		public virtual string ProductionShift { get; set; }
		public virtual DateTime? TcFrom { get; set; }
		public virtual DateTime? TcTo { get; set; }
		public virtual int? OrderTrip { get; set; }
		[StringLength(MaxSupplierNameEnLength)]
		public virtual string SupplierNameEn { get; set; }
		[StringLength(MaxIsActiveLength)]
		public virtual string IsActive { get; set; }
	}
}
</v>
      </c>
      <c r="D68" s="48" t="str">
        <f>A.Backend!O7</f>
        <v xml:space="preserve">		public const string Pages_Master_Inv_GpsSupplierInfo = "Pages.Master.Inv.GpsSupplierInfo";
		public const string Pages_Master_Inv_GpsSupplierInfo_CreateEdit = "Pages.Master.Inv.GpsSupplierInfo.CreateEdit";
		public const string Pages_Master_Inv_GpsSupplierInfo_Delete = "Pages.Master.Inv.GpsSupplierInfo.Delete";
</v>
      </c>
      <c r="E68" s="48" t="str">
        <f>A.Backend!N7</f>
        <v xml:space="preserve">		var perMstInvGpsSupplierInfo = PARENTS.CreateChildPermission(AppPermissions.Pages_Master_Inv_GpsSupplierInfo, L( "MasterInvGpsSupplierInfo"), multiTenancySides: MultiTenancySides.Tenant);
		perMstInvGpsSupplierInfo.CreateChildPermission(AppPermissions.Pages_Master_Inv_GpsSupplierInfo_CreateEdit, L( "MasterInvGpsSupplierInfoCreateEdit"), multiTenancySides: MultiTenancySides.Tenant);
		perMstInvGpsSupplierInfo.CreateChildPermission(AppPermissions.Pages_Master_Inv_GpsSupplierInfo_Delete, L( "MasterInvGpsSupplierInfoDelete"), multiTenancySides: MultiTenancySides.Tenant);</v>
      </c>
      <c r="F68" s="48" t="str">
        <f>A.Backend!K7</f>
        <v>public virtual DbSet&lt;MstInvGpsSupplierInfo&gt; MstInvGpsSupplierInfos { get; set; }</v>
      </c>
      <c r="G68" s="48" t="str">
        <f ca="1">A.Backend!L7</f>
        <v xml:space="preserve">namespace prod.Master.Inv
{
	public class MstInvGpsSupplierInfoConsts	
	{
		public const int MaxSupplierCodeLength = 10;
		public const int MaxSupplierPlantCodeLength = 1;
		public const int MaxSupplierNameLength = 100;
		public const int MaxAddressLength = 100;
		public const int MaxDockXLength = 20;
		public const int MaxDockXAddressLength = 100;
		public const int MaxDeliveryMethodLength = 20;
		public const int MaxDeliveryFrequencyLength = 3;
		public const int MaxCdLength = 40;
		public const int MaxOrderDateTypeLength = 5;
		public const int MaxKeihenTypeLength = 5;
		public const int MaxProductionShiftLength = 10;
		public const int MaxSupplierNameEnLength = 100;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prod.Master.Inv.Dto
{
	public class MstInvGpsSupplierInfoDto : EntityDto&lt;long?&gt;	
	{
		public virtual string SupplierCode { get; set; }
		public virtual string SupplierPlantCode { get; set; }
		public virtual string SupplierName { get; set; }
		public virtual string Address { get; set; }
		public virtual string DockX { get; set; }
		public virtual string DockXAddress { get; set; }
		public virtual string DeliveryMethod { get; set; }
		public virtual string DeliveryFrequency { get; set; }
		public virtual string Cd { get; set; }
		public virtual string OrderDateType { get; set; }
		public virtual string KeihenType { get; set; }
		public virtual decimal? StkConceptTmvMin { get; set; }
		public virtual decimal? StkConceptTmvMax { get; set; }
		public virtual decimal? StkConceptSupMMin { get; set; }
		public virtual decimal? StkConceptSupMMax { get; set; }
		public virtual decimal? StkConceptSupPMin { get; set; }
		public virtual decimal? StkConceptSupPMax { get; set; }
		public virtual int? TmvProductPercentage { get; set; }
		public virtual int? PicMainId { get; set; }
		public virtual decimal? DeliveryLt { get; set; }
		public virtual string ProductionShift { get; set; }
		public virtual DateTime? TcFrom { get; set; }
		public virtual DateTime? TcTo { get; set; }
		public virtual int? OrderTrip { get; set; }
		public virtual string SupplierNameEn { get; set; }
		public virtual string IsActive { get; set; }
	}
	public class CreateOrEditMstInvGpsSupplierInfoDto : EntityDto&lt;long?&gt;	
	{
		[StringLength(MstInvGpsSupplierInfoConsts.MaxSupplierCodeLength)]
		public virtual string SupplierCode { get; set; }
		[StringLength(MstInvGpsSupplierInfoConsts.MaxSupplierPlantCodeLength)]
		public virtual string SupplierPlantCode { get; set; }
		[StringLength(MstInvGpsSupplierInfoConsts.MaxSupplierNameLength)]
		public virtual string SupplierName { get; set; }
		[StringLength(MstInvGpsSupplierInfoConsts.MaxAddressLength)]
		public virtual string Address { get; set; }
		[StringLength(MstInvGpsSupplierInfoConsts.MaxDockXLength)]
		public virtual string DockX { get; set; }
		[StringLength(MstInvGpsSupplierInfoConsts.MaxDockXAddressLength)]
		public virtual string DockXAddress { get; set; }
		[StringLength(MstInvGpsSupplierInfoConsts.MaxDeliveryMethodLength)]
		public virtual string DeliveryMethod { get; set; }
		[StringLength(MstInvGpsSupplierInfoConsts.MaxDeliveryFrequencyLength)]
		public virtual string DeliveryFrequency { get; set; }
		[StringLength(MstInvGpsSupplierInfoConsts.MaxCdLength)]
		public virtual string Cd { get; set; }
		[StringLength(MstInvGpsSupplierInfoConsts.MaxOrderDateTypeLength)]
		public virtual string OrderDateType { get; set; }
		[StringLength(MstInvGpsSupplierInfoConsts.MaxKeihenTypeLength)]
		public virtual string KeihenType { get; set; }
		public virtual decimal? StkConceptTmvMin { get; set; }
		public virtual decimal? StkConceptTmvMax { get; set; }
		public virtual decimal? StkConceptSupMMin { get; set; }
		public virtual decimal? StkConceptSupMMax { get; set; }
		public virtual decimal? StkConceptSupPMin { get; set; }
		public virtual decimal? StkConceptSupPMax { get; set; }
		public virtual int? TmvProductPercentage { get; set; }
		public virtual int? PicMainId { get; set; }
		public virtual decimal? DeliveryLt { get; set; }
		[StringLength(MstInvGpsSupplierInfoConsts.MaxProductionShiftLength)]
		public virtual string ProductionShift { get; set; }
		public virtual DateTime? TcFrom { get; set; }
		public virtual DateTime? TcTo { get; set; }
		public virtual int? OrderTrip { get; set; }
		[StringLength(MstInvGpsSupplierInfoConsts.MaxSupplierNameEnLength)]
		public virtual string SupplierNameEn { get; set; }
		[StringLength(MstInvGpsSupplierInfoConsts.MaxIsActiveLength)]
		public virtual string IsActive { get; set; }
	}
	public class GetMstInvGpsSupplierInfoInput : PagedAndSortedResultRequestDto	
	{
		public virtual string SupplierCode { get; set; }
		public virtual string SupplierPlantCode { get; set; }
		public virtual string SupplierName { get; set; }
		public virtual string Address { get; set; }
		public virtual string DockX { get; set; }
		public virtual string DockXAddress { get; set; }
		public virtual string DeliveryMethod { get; set; }
		public virtual string DeliveryFrequency { get; set; }
		public virtual string Cd { get; set; }
		public virtual string OrderDateType { get; set; }
		public virtual string KeihenType { get; set; }
		public virtual string ProductionShift { get; set; }
		public virtual string SupplierNameEn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prod.Master.Inv.Dto
{
	public class MstInvGpsSupplierInfoExportInput{
		public virtual string SupplierCode { get; set; }
		public virtual string SupplierPlantCode { get; set; }
		public virtual string SupplierName { get; set; }
		public virtual string Address { get; set; }
		public virtual string DockX { get; set; }
		public virtual string DockXAddress { get; set; }
		public virtual string DeliveryMethod { get; set; }
		public virtual string DeliveryFrequency { get; set; }
		public virtual string Cd { get; set; }
		public virtual string OrderDateType { get; set; }
		public virtual string KeihenType { get; set; }
		public virtual decimal? StkConceptTmvMin { get; set; }
		public virtual decimal? StkConceptTmvMax { get; set; }
		public virtual decimal? StkConceptSupMMin { get; set; }
		public virtual decimal? StkConceptSupMMax { get; set; }
		public virtual decimal? StkConceptSupPMin { get; set; }
		public virtual decimal? StkConceptSupPMax { get; set; }
		public virtual int? TmvProductPercentage { get; set; }
		public virtual int? PicMainId { get; set; }
		public virtual decimal? DeliveryLt { get; set; }
		public virtual string ProductionShift { get; set; }
		public virtual DateTime? TcFrom { get; set; }
		public virtual DateTime? TcTo { get; set; }
		public virtual int? OrderTrip { get; set; }
		public virtual string SupplierNameEn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vovina.Master.Inv.Dto;
namespace prod.Master.Inv
{
	public interface IMstInvGpsSupplierInfoAppService : IApplicationService
	{
		Task&lt;PagedResultDto&lt;MstInvGpsSupplierInfoDto&gt;&gt; GetAll(GetMstInvGpsSupplierInfoInput input);
		Task CreateOrEdit(CreateOrEditMstInvGpsSupplierInfoDto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vovina.Master.Inv.Dto;
namespace prod.Master.Inv.Exporting
{
	public interface IMstInvGpsSupplierInfoExcelExporter : IApplicationService
	{
		FileDto ExportToFile(List&lt;MstInvGpsSupplierInfoDto&gt; mstinvgpssupplierinfo);
	}
}
</v>
      </c>
      <c r="L68" s="48" t="str">
        <f ca="1">A.Backend!T7</f>
        <v>using System.Collections.Generic;
using vovina.DataExporting.Excel.NPOI;
using vovina.Dto;
using vovina.Master.Inv.Exporting;
using vovina.Master.Inv.Dto;
using vovina.Storage;
using vovina.Master.Inv.Dto;
namespace vovina.Master.Inv.Exporting
{
    public class MstInvGpsSupplierInfoExcelExporter : NpoiExcelExporterBase, IMstInvGpsSupplierInfoExcelExporter
    {
        public MstInvGpsSupplierInfoExcelExporter(ITempFileCacheManager tempFileCacheManager) : base(tempFileCacheManager) { }
        public FileDto ExportToFile(List&lt;MstInvGpsSupplierInfoDto&gt; gpssupplierinfo)
        {
            return CreateExcelPackage(
				"MasterInvGpsSupplierInfo.xlsx",
				excelPackage =&gt;
				 {
					var sheet = excelPackage.CreateSheet("GpsSupplierInfo");
					AddHeader(
								sheet,
								("SupplierCode"),
								("SupplierPlantCode"),
								("SupplierName"),
								("Address"),
								("DockX"),
								("DockXAddress"),
								("DeliveryMethod"),
								("DeliveryFrequency"),
								("Cd"),
								("OrderDateType"),
								("KeihenType"),
								("StkConceptTmvMin"),
								("StkConceptTmvMax"),
								("StkConceptSupMMin"),
								("StkConceptSupMMax"),
								("StkConceptSupPMin"),
								("StkConceptSupPMax"),
								("TmvProductPercentage"),
								("PicMainId"),
								("DeliveryLt"),
								("ProductionShift"),
								("TcFrom"),
								("TcTo"),
								("OrderTrip"),
								("SupplierNameEn"),
								("IsActive"),
							   );
					AddObjects(
						 sheet, 1, gpssupplierinfo,                                       
								_ =&gt; _.SupplierCode,
								_ =&gt; _.SupplierPlantCode,
								_ =&gt; _.SupplierName,
								_ =&gt; _.Address,
								_ =&gt; _.DockX,
								_ =&gt; _.DockXAddress,
								_ =&gt; _.DeliveryMethod,
								_ =&gt; _.DeliveryFrequency,
								_ =&gt; _.Cd,
								_ =&gt; _.OrderDateType,
								_ =&gt; _.KeihenType,
								_ =&gt; _.StkConceptTmvMin,
								_ =&gt; _.StkConceptTmvMax,
								_ =&gt; _.StkConceptSupMMin,
								_ =&gt; _.StkConceptSupMMax,
								_ =&gt; _.StkConceptSupPMin,
								_ =&gt; _.StkConceptSupPMax,
								_ =&gt; _.TmvProductPercentage,
								_ =&gt; _.PicMainId,
								_ =&gt; _.DeliveryLt,
								_ =&gt; _.ProductionShift,
								_ =&gt; _.TcFrom,
								_ =&gt; _.TcTo,
								_ =&gt; _.OrderTrip,
								_ =&gt; _.SupplierNameEn,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vovina.Master.Inv.Dto;
using vovina.Master.Inv.Exporting;
namespace vovina.Master.Inv
{
    [AbpAuthorize(AppPermissions.Pages_Master_Inv_GpsSupplierInfo)]
    public class MstInvGpsSupplierInfoAppService : vovinaAppServiceBase, IMstInvGpsSupplierInfoAppService
    {
        private readonly IDapperRepository&lt;MstInvGpsSupplierInfo, long&gt; _dapperRepo;
        private readonly IRepository&lt;MstInvGpsSupplierInfo, long&gt; _repo;
        private readonly IMstInvGpsSupplierInfoExcelExporter _calendarListExcelExporter;
        public MstInvGpsSupplierInfoAppService(IRepository&lt;MstInvGpsSupplierInfo,long&gt; repo, 
                                         IDapperRepository&lt;MstInvGpsSupplierInfo,long&gt; dapperRepo,
                                        IMstInvGpsSupplierInfoExcelExporter calendarListExcelExporter
            )
        {
            _repo = repo;
            _dapperRepo = dapperRepo;
            _calendarListExcelExporter = calendarListExcelExporter;
        }
        [AbpAuthorize(AppPermissions.Pages_Master_Inv_GpsSupplierInfo_CreateEdit)]
        public async Task CreateOrEdit(CreateOrEditMstInvGpsSupplierInfoDto input)
        {
            if (input.Id == null) await Create(input);
            else await Update(input);
        }
        //CREATE
        private async Task Create(CreateOrEditMstInvGpsSupplierInfoDto input)
        {          
            var mainObj = ObjectMapper.Map&lt;MstInvGpsSupplierInfo&gt;(input);
            await CurrentUnitOfWork.GetDbContext&lt;vovinaDbContext&gt;().AddAsync(mainObj);
        }
        // EDIT
        private async Task Update(CreateOrEditMstInvGpsSupplierInfoDto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[AbpAuthorize(AppPermissions.Pages_Master_Inv_GpsSupplierInfo_Delete)]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Task&lt;PagedResultDto&lt;MstInvGpsSupplierInfoDto&gt;&gt; GetAll(GetMstInvGpsSupplierInfoInput input)
        {
            var filtered = _repo.GetAll()
				.WhereIf(!string.IsNullOrWhiteSpace(input.SupplierCode), e =&gt; e.SupplierCode.Contains(input.SupplierCode))
				.WhereIf(!string.IsNullOrWhiteSpace(input.SupplierPlantCode), e =&gt; e.SupplierPlantCode.Contains(input.SupplierPlantCode))
				.WhereIf(!string.IsNullOrWhiteSpace(input.SupplierName), e =&gt; e.SupplierName.Contains(input.SupplierName))
				.WhereIf(!string.IsNullOrWhiteSpace(input.Address), e =&gt; e.Address.Contains(input.Address))
				.WhereIf(!string.IsNullOrWhiteSpace(input.DockX), e =&gt; e.DockX.Contains(input.DockX))
				.WhereIf(!string.IsNullOrWhiteSpace(input.DockXAddress), e =&gt; e.DockXAddress.Contains(input.DockXAddress))
				.WhereIf(!string.IsNullOrWhiteSpace(input.DeliveryMethod), e =&gt; e.DeliveryMethod.Contains(input.DeliveryMethod))
				.WhereIf(!string.IsNullOrWhiteSpace(input.DeliveryFrequency), e =&gt; e.DeliveryFrequency.Contains(input.DeliveryFrequency))
				.WhereIf(!string.IsNullOrWhiteSpace(input.Cd), e =&gt; e.Cd.Contains(input.Cd))
				.WhereIf(!string.IsNullOrWhiteSpace(input.OrderDateType), e =&gt; e.OrderDateType.Contains(input.OrderDateType))
				.WhereIf(!string.IsNullOrWhiteSpace(input.KeihenType), e =&gt; e.KeihenType.Contains(input.KeihenType))
				.WhereIf(!string.IsNullOrWhiteSpace(input.ProductionShift), e =&gt; e.ProductionShift.Contains(input.ProductionShift))
				.WhereIf(!string.IsNullOrWhiteSpace(input.SupplierNameEn), e =&gt; e.SupplierNameEn.Contains(input.SupplierNameEn))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MstInvGpsSupplierInfoDto
                        {
							Id = o.Id,
							SupplierCode = o.SupplierCode,
							SupplierPlantCode = o.SupplierPlantCode,
							SupplierName = o.SupplierName,
							Address = o.Address,
							DockX = o.DockX,
							DockXAddress = o.DockXAddress,
							DeliveryMethod = o.DeliveryMethod,
							DeliveryFrequency = o.DeliveryFrequency,
							Cd = o.Cd,
							OrderDateType = o.OrderDateType,
							KeihenType = o.KeihenType,
							StkConceptTmvMin = o.StkConceptTmvMin,
							StkConceptTmvMax = o.StkConceptTmvMax,
							StkConceptSupMMin = o.StkConceptSupMMin,
							StkConceptSupMMax = o.StkConceptSupMMax,
							StkConceptSupPMin = o.StkConceptSupPMin,
							StkConceptSupPMax = o.StkConceptSupPMax,
							TmvProductPercentage = o.TmvProductPercentage,
							PicMainId = o.PicMainId,
							DeliveryLt = o.DeliveryLt,
							ProductionShift = o.ProductionShift,
							TcFrom = o.TcFrom,
							TcTo = o.TcTo,
							OrderTrip = o.OrderTrip,
							SupplierNameEn = o.SupplierNameEn,
							IsActive = o.IsActive,
                        };
            var totalCount = await filtered.CountAsync();
			var paged = system.PageBy(input);
            return new PagedResultDto&lt;MstInvGpsSupplierInfoDto&gt;(
                totalCount,
                 await paged.ToListAsync()
            );
        }
        public async Task&lt;FileDto&gt; GetGpsSupplierInfoToExcel(MstInvGpsSupplierInfoExportInput input)
        {
            var query = from o in _repo.GetAll()
                        select new MstInvGpsSupplierInfoDto
                        {
							Id = o.Id,
							SupplierCode = o.SupplierCode,
							SupplierPlantCode = o.SupplierPlantCode,
							SupplierName = o.SupplierName,
							Address = o.Address,
							DockX = o.DockX,
							DockXAddress = o.DockXAddress,
							DeliveryMethod = o.DeliveryMethod,
							DeliveryFrequency = o.DeliveryFrequency,
							Cd = o.Cd,
							OrderDateType = o.OrderDateType,
							KeihenType = o.KeihenType,
							StkConceptTmvMin = o.StkConceptTmvMin,
							StkConceptTmvMax = o.StkConceptTmvMax,
							StkConceptSupMMin = o.StkConceptSupMMin,
							StkConceptSupMMax = o.StkConceptSupMMax,
							StkConceptSupPMin = o.StkConceptSupPMin,
							StkConceptSupPMax = o.StkConceptSupPMax,
							TmvProductPercentage = o.TmvProductPercentage,
							PicMainId = o.PicMainId,
							DeliveryLt = o.DeliveryLt,
							ProductionShift = o.ProductionShift,
							TcFrom = o.TcFrom,
							TcTo = o.TcTo,
							OrderTrip = o.OrderTrip,
							SupplierNameEn = o.SupplierNameEn,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_dapperRepo.ExecuteAsync(MstInvGpsSupplierInfoConsts.SP_MST_WPT_CALENDAR_GENERATE);
       // }
    }
}</v>
      </c>
      <c r="N68" s="58" t="str">
        <f>A.Backend!U7</f>
        <v xml:space="preserve">  configuration.CreateMap&lt;MstInvGpsSupplierInfoDto, MstInvGpsSupplierInfo&gt;();
  configuration.CreateMap&lt;MstInvGpsSupplierInfo, MstInvGpsSupplierInfoDto&gt;();
  configuration.CreateMap&lt;CreateOrEditMstInvGpsSupplierInfoDto, MstInvGpsSupplierInfo&gt;();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gpssupplierinfo</v>
      </c>
      <c r="C73" s="67" t="str">
        <f>"create folder " &amp;B73</f>
        <v>create folder gpssupplierinfo</v>
      </c>
      <c r="D73" s="67"/>
      <c r="E73" s="67"/>
      <c r="F73" s="67"/>
      <c r="G73" s="67"/>
      <c r="H73" s="67"/>
      <c r="I73" s="67"/>
      <c r="J73" s="67"/>
      <c r="K73" s="68" t="s">
        <v>223</v>
      </c>
      <c r="L73" s="68"/>
      <c r="M73" s="28"/>
    </row>
    <row r="74" spans="2:14" s="26" customFormat="1" ht="18" customHeight="1" x14ac:dyDescent="0.25">
      <c r="B74" s="56" t="s">
        <v>224</v>
      </c>
      <c r="C74" s="28" t="str">
        <f>B.Frontend!H14</f>
        <v>gpssupplierinfo.component.ts</v>
      </c>
      <c r="D74" s="28" t="str">
        <f>B.Frontend!I14</f>
        <v>gpssupplierinfo.component.html</v>
      </c>
      <c r="E74" s="28" t="str">
        <f>B.Frontend!J14</f>
        <v>gpssupplierinfo.component.less</v>
      </c>
      <c r="F74" s="28" t="str">
        <f>B.Frontend!K14</f>
        <v>create-or-edit-gpssupplierinfo-modal.component.html</v>
      </c>
      <c r="G74" s="28" t="str">
        <f>B.Frontend!L14</f>
        <v>create-or-edit-gpssupplierinfo-modal.component.ts</v>
      </c>
      <c r="H74" s="28" t="str">
        <f>B.Frontend!M14</f>
        <v>create-or-edit-gpssupplierinfo-modal.component.less</v>
      </c>
      <c r="I74" s="28" t="str">
        <f>B.Frontend!N14</f>
        <v>gpssupplierinfo.module.ts</v>
      </c>
      <c r="J74" s="28" t="str">
        <f>B.Frontend!O14</f>
        <v>gpssupplierinfo-routing.module.ts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MstInvGpsSupplierInfoDto, MstInvGpsSupplierInfoServiceProxy } from '@shared/service-proxies/service-proxies';
import { finalize } from 'rxjs/internal/operators/finalize';
import { CreateOrEditGpsSupplierInfoModalComponent } from './create-or-edit-gpssupplierinfo-modal.component';
import { DatePipe } from '@angular/common';
import { FileDownloadService } from '@shared/utils/file-download.service';
import ceil from 'lodash-es/ceil';
import { Paginator } from 'primeng/paginator';
@Component({
    templateUrl: './gpssupplierinfo.component.html',
    styleUrls: ['./gpssupplierinfo.component.less'],
})
export class GpsSupplierInfoComponent extends AppComponentBase implements OnInit {
    @ViewChild('createOrEditModalGpsSupplierInfo', { static: true }) createOrEditModalGpsSupplierInfo:| CreateOrEditGpsSupplierInfoModalComponent|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MstInvGpsSupplierInfoDto = new MstInvGpsSupplierInfoDto();
    saveSelectedRow: MstInvGpsSupplierInfoDto = new MstInvGpsSupplierInfoDto();
    datas: MstInvGpsSupplierInfoDto = new MstInvGpsSupplierInfoDto();
    isLoading: boolean = false;
    dataParams: GridParams | undefined;
    rowData: any[] = [];
    gridApi!: GridApi;
    rowSelection = 'multiple';
    filter: string = '';
	pipe = new DatePipe('en-US');
	frameworkComponents: FrameworkComponent;
    	supplierCode : string = '' ; 
	supplierName : string = '' ; 
	address : string = '' ; 
	dockX : string = '' ; 
	dockXAddress : string = '' ; 
	deliveryMethod : string = '' ; 
	deliveryFrequency : string = '' ; 
	cd : string = '' ; 
	orderDateType : string = '' ; 
	keihenType : string = '' ; 
	productionShift : string = '' ; 
	supplierNameEn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MstInvGpsSupplierInfoServiceProxy,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Code'),headerTooltip: this.l('Supplier Code'),field: 'supplierCode',flex: 1},
			{headerName: this.l('Supplier Plant Code'),headerTooltip: this.l('Supplier Plant Code'),field:  'supplierPlantCode', cellClass: ['text-center'], width: 120, cellRenderer: 'agCellButtonComponent',
buttonDefTwo: { text: params =&gt; (params.data?.'supplierPlantCode' == 'Y') ? 'Active' : 'Inactive',iconName: 'fa fa-circle',className: params =&gt; (params.data?.'supplierPlantCode' == 'Y') ? 'btnActive' : 'btnInActive',},}
			{headerName: this.l('Supplier Name'),headerTooltip: this.l('Supplier Name'),field: 'supplierName',flex: 1},
			{headerName: this.l('Address'),headerTooltip: this.l('Address'),field: 'address',flex: 1},
			{headerName: this.l('Dock X'),headerTooltip: this.l('Dock X'),field: 'dockX',flex: 1},
			{headerName: this.l('Dock X Address'),headerTooltip: this.l('Dock X Address'),field: 'dockXAddress',flex: 1},
			{headerName: this.l('Delivery Method'),headerTooltip: this.l('Delivery Method'),field: 'deliveryMethod',flex: 1},
			{headerName: this.l('Delivery Frequency'),headerTooltip: this.l('Delivery Frequency'),field: 'deliveryFrequency',flex: 1},
			{headerName: this.l('Cd'),headerTooltip: this.l('Cd'),field: 'cd',flex: 1},
			{headerName: this.l('Order Date Type'),headerTooltip: this.l('Order Date Type'),field: 'orderDateType',flex: 1},
			{headerName: this.l('Keihen Type'),headerTooltip: this.l('Keihen Type'),field: 'keihenType',flex: 1},
			{headerName: this.l('Stk Concept Tmv Min'),headerTooltip: this.l('Stk Concept Tmv Min'),field: 'stkConceptTmvMin',flex: 1},
			{headerName: this.l('Stk Concept Tmv Max'),headerTooltip: this.l('Stk Concept Tmv Max'),field: 'stkConceptTmvMax',flex: 1},
			{headerName: this.l('Stk Concept Sup M Min'),headerTooltip: this.l('Stk Concept Sup M Min'),field: 'stkConceptSupMMin',flex: 1},
			{headerName: this.l('Stk Concept Sup M Max'),headerTooltip: this.l('Stk Concept Sup M Max'),field: 'stkConceptSupMMax',flex: 1},
			{headerName: this.l('Stk Concept Sup P Min'),headerTooltip: this.l('Stk Concept Sup P Min'),field: 'stkConceptSupPMin',flex: 1},
			{headerName: this.l('Stk Concept Sup P Max'),headerTooltip: this.l('Stk Concept Sup P Max'),field: 'stkConceptSupPMax',flex: 1},
			{headerName: this.l('Tmv Product Percentage'),headerTooltip: this.l('Tmv Product Percentage'),field: 'tmvProductPercentage',flex: 1},
			{headerName: this.l('Pic Main Id'),headerTooltip: this.l('Pic Main Id'),field: 'picMainId',flex: 1},
			{headerName: this.l('Delivery Lt'),headerTooltip: this.l('Delivery Lt'),field: 'deliveryLt',flex: 1},
			{headerName: this.l('Production Shift'),headerTooltip: this.l('Production Shift'),field: 'productionShift',flex: 1},
			{headerName: this.l('Tc From'),headerTooltip: this.l('Tc From'),field: 'tcFrom',flex: 1},
			{headerName: this.l('Tc To'),headerTooltip: this.l('Tc To'),field: 'tcTo',flex: 1},
			{headerName: this.l('Order Trip'),headerTooltip: this.l('Order Trip'),field: 'orderTrip',flex: 1},
			{headerName: this.l('Supplier Name En'),headerTooltip: this.l('Supplier Name En'),field: 'supplierNameEn',flex: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this.supplierPlantCode,
			this.supplierName,
			this.address,
			this.dockX,
			this.dockXAddress,
			this.deliveryMethod,
			this.deliveryFrequency,
			this.cd,
			this.orderDateType,
			this.deliveryLt,
			this.orderTrip,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supplierCode : string = '' ; 
	supplierName : string = '' ; 
	address : string = '' ; 
	dockX : string = '' ; 
	dockXAddress : string = '' ; 
	deliveryMethod : string = '' ; 
	deliveryFrequency : string = '' ; 
	cd : string = '' ; 
	orderDateType : string = '' ; 
	keihenType : string = '' ; 
	productionShift : string = '' ; 
	supplierNameEn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this.supplierPlantCode,
			this.supplierName,
			this.address,
			this.dockX,
			this.dockXAddress,
			this.deliveryMethod,
			this.deliveryFrequency,
			this.cd,
			this.orderDateType,
			this.deliveryLt,
			this.orderTrip,
			'',
            this.paginationParams.skipCount,
            this.paginationParams.pageSize
        );
    }
    onChangeRowSelection(params: { api: { getSelectedRows: () =&gt; MstInvGpsSupplierInfoDto[] } }) {
        this.saveSelectedRow = params.api.getSelectedRows()[0] ?? new MstInvGpsSupplierInfoDto();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MstInvGpsSupplierInfoDto):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this._service.getGpsSupplierInfoToExcel(
			this.,
			this.supplierPlantCode,
			this.supplierName,
			this.address,
			this.dockX,
			this.dockXAddress,
			this.deliveryMethod,
			this.deliveryFrequency,
			this.cd,
			this.orderDateType,
			this.deliveryLt,
			this.orderTrip,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Inventory Gps Supplier Info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[(ngModel)]='supplierCode' name='supplierCode'
									class='form-control' [placeholder]="l('Supplier Code')"
									type='text' (keyup.enter)='searchDatas()'&gt;
								&lt;/div&gt;
								&lt;div class='input-search'&gt;
									&lt;input [(ngModel)]='supplierName' name='supplierName'
									class='form-control' [placeholder]="l('Supplier Name')"
									type='text' (keyup.enter)='searchDatas()'&gt;
								&lt;/div&gt;
								&lt;div class='input-search'&gt;
									&lt;input [(ngModel)]='address' name='address'
									class='form-control' [placeholder]="l('Address')"
									type='text' (keyup.enter)='searchDatas()'&gt;
								&lt;/div&gt;
								&lt;div class='input-search'&gt;
									&lt;input [(ngModel)]='dockX' name='dockX'
									class='form-control' [placeholder]="l('Dock X')"
									type='text' (keyup.enter)='searchDatas()'&gt;
								&lt;/div&gt;
								&lt;div class='input-search'&gt;
									&lt;input [(ngModel)]='dockXAddress' name='dockXAddress'
									class='form-control' [placeholder]="l('Dock X Address')"
									type='text' (keyup.enter)='searchDatas()'&gt;
								&lt;/div&gt;
								&lt;div class='input-search'&gt;
									&lt;input [(ngModel)]='deliveryMethod' name='deliveryMethod'
									class='form-control' [placeholder]="l('Delivery Method')"
									type='text' (keyup.enter)='searchDatas()'&gt;
								&lt;/div&gt;
								&lt;div class='input-search'&gt;
									&lt;input [(ngModel)]='deliveryFrequency' name='deliveryFrequency'
									class='form-control' [placeholder]="l('Delivery Frequency')"
									type='text' (keyup.enter)='searchDatas()'&gt;
								&lt;/div&gt;
								&lt;div class='input-search'&gt;
									&lt;input [(ngModel)]='cd' name='cd'
									class='form-control' [placeholder]="l('Cd')"
									type='text' (keyup.enter)='searchDatas()'&gt;
								&lt;/div&gt;
								&lt;div class='input-search'&gt;
									&lt;input [(ngModel)]='orderDateType' name='orderDateType'
									class='form-control' [placeholder]="l('Order Date Type')"
									type='text' (keyup.enter)='searchDatas()'&gt;
								&lt;/div&gt;
								&lt;div class='input-search'&gt;
									&lt;input [(ngModel)]='keihenType' name='keihenType'
									class='form-control' [placeholder]="l('Keihen Type')"
									type='text' (keyup.enter)='searchDatas()'&gt;
								&lt;/div&gt;
								&lt;div class='input-search'&gt;
									&lt;input [(ngModel)]='productionShift' name='productionShift'
									class='form-control' [placeholder]="l('Production Shift')"
									type='text' (keyup.enter)='searchDatas()'&gt;
								&lt;/div&gt;
								&lt;div class='input-search'&gt;
									&lt;input [(ngModel)]='supplierNameEn' name='supplierNameEn'
									class='form-control' [placeholder]="l('Supplier Name En')"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(click)="createOrEditModalGpsSupplierInfo.show()"&gt;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(click)="createOrEditModalGpsSupplierInfo.show(selectedRow)"&gt;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&lt;create-or-edit-gpssupplierinfo-modal
    #createOrEditModalGpsSupplierInfo
    (modalSave)="callBackDataGrid(dataParams)"
    (modalClose)="onChangeRowSelection(dataParams)"
&gt;
&lt;/create-or-edit-gpssupplierinfo-modal&gt;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#createOrEditModalGpsSupplierInfo="bs-modal"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GpsSupplierInfo')}}&lt;/h3&gt;
                    &lt;h3 *ngIf="!rowdata.id"&gt;{{('Create New GpsSupplierInfo')}}&lt;/h3&gt;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Code&lt;/label&gt;
						&lt;input type='text' class='col-md-10 form-control input-text' name='SupplierCode' [(ngModel)]='rowdata.supplierCode'&gt;
					&lt;/div&gt;
					&lt;div class='col-md-12 form-group row'&gt;
						&lt;label class='col-md-2 form-control title'&gt;Supplier Plant Code&lt;/label&gt;
						&lt;new-checkbox [(ngModel)]='_supplierPlantCode' name='supplierPlantCode' className='col-md-10' &gt; &lt;/new-checkbox&gt;
					&lt;/div&gt;
					&lt;div class='col-md-12 form-group row'&gt;
						&lt;label class='col-md-2 form-control title'&gt;Supplier Name&lt;/label&gt;
						&lt;input type='text' class='col-md-10 form-control input-text' name='SupplierName' [(ngModel)]='rowdata.supplierName'&gt;
					&lt;/div&gt;
					&lt;div class='col-md-12 form-group row'&gt;
						&lt;label class='col-md-2 form-control title'&gt;Address&lt;/label&gt;
						&lt;input type='text' class='col-md-10 form-control input-text' name='Address' [(ngModel)]='rowdata.address'&gt;
					&lt;/div&gt;
					&lt;div class='col-md-12 form-group row'&gt;
						&lt;label class='col-md-2 form-control title'&gt;Dock X&lt;/label&gt;
						&lt;input type='text' class='col-md-10 form-control input-text' name='DockX' [(ngModel)]='rowdata.dockX'&gt;
					&lt;/div&gt;
					&lt;div class='col-md-12 form-group row'&gt;
						&lt;label class='col-md-2 form-control title'&gt;Dock X Address&lt;/label&gt;
						&lt;input type='text' class='col-md-10 form-control input-text' name='DockXAddress' [(ngModel)]='rowdata.dockXAddress'&gt;
					&lt;/div&gt;
					&lt;div class='col-md-12 form-group row'&gt;
						&lt;label class='col-md-2 form-control title'&gt;Delivery Method&lt;/label&gt;
						&lt;input type='text' class='col-md-10 form-control input-text' name='DeliveryMethod' [(ngModel)]='rowdata.deliveryMethod'&gt;
					&lt;/div&gt;
					&lt;div class='col-md-12 form-group row'&gt;
						&lt;label class='col-md-2 form-control title'&gt;Delivery Frequency&lt;/label&gt;
						&lt;input type='text' class='col-md-10 form-control input-text' name='DeliveryFrequency' [(ngModel)]='rowdata.deliveryFrequency'&gt;
					&lt;/div&gt;
					&lt;div class='col-md-12 form-group row'&gt;
						&lt;label class='col-md-2 form-control title'&gt;Cd&lt;/label&gt;
						&lt;input type='text' class='col-md-10 form-control input-text' name='Cd' [(ngModel)]='rowdata.cd'&gt;
					&lt;/div&gt;
					&lt;div class='col-md-12 form-group row'&gt;
						&lt;label class='col-md-2 form-control title'&gt;Order Date Type&lt;/label&gt;
						&lt;input type='text' class='col-md-10 form-control input-text' name='OrderDateType' [(ngModel)]='rowdata.orderDateType'&gt;
					&lt;/div&gt;
					&lt;div class='col-md-12 form-group row'&gt;
						&lt;label class='col-md-2 form-control title'&gt;Keihen Type&lt;/label&gt;
						&lt;input type='text' class='col-md-10 form-control input-text' name='KeihenType' [(ngModel)]='rowdata.keihenType'&gt;
					&lt;/div&gt;
					&lt;div class='col-md-12 form-group row'&gt;
						&lt;label class='col-md-2 form-control title'&gt;Tmv Product Percentage&lt;/label&gt;
						&lt;input type='number' class='col-md-10 form-control input-text' name='TmvProductPercentage' [(ngModel)]='rowdata.tmvProductPercentage'&gt;
					&lt;/div&gt;
					&lt;div class='col-md-12 form-group row'&gt;
						&lt;label class='col-md-2 form-control title'&gt;Pic Main Id&lt;/label&gt;
						&lt;input type='number' class='col-md-10 form-control input-text' name='PicMainId' [(ngModel)]='rowdata.picMainId'&gt;
					&lt;/div&gt;
					&lt;div class='col-md-12 form-group row'&gt;
						&lt;label class='col-md-2 form-control title'&gt;Production Shift&lt;/label&gt;
						&lt;input type='text' class='col-md-10 form-control input-text' name='ProductionShift' [(ngModel)]='rowdata.productionShift'&gt;
					&lt;/div&gt;
					&lt;div class='col-md-12 form-group row'&gt;
						&lt;label class='col-md-2 form-control title'&gt;Tc From&lt;/label&gt;
						&lt;input type='text' class='col-md-10 form-control input-text' name='tcFrom' 
						#datepicker='bsDatepicker' [(ngModel)]='rowdata.tcFrom'  bsDatepicker &gt;
					&lt;/div&gt;
					&lt;div class='col-md-12 form-group row'&gt;
						&lt;label class='col-md-2 form-control title'&gt;Tc To&lt;/label&gt;
						&lt;input type='text' class='col-md-10 form-control input-text' name='tcTo' 
						#datepicker='bsDatepicker' [(ngModel)]='rowdata.tcTo'  bsDatepicker &gt;
					&lt;/div&gt;
					&lt;div class='col-md-12 form-group row'&gt;
						&lt;label class='col-md-2 form-control title'&gt;Order Trip&lt;/label&gt;
						&lt;input type='number' class='col-md-10 form-control input-text' name='OrderTrip' [(ngModel)]='rowdata.orderTrip'&gt;
					&lt;/div&gt;
					&lt;div class='col-md-12 form-group row'&gt;
						&lt;label class='col-md-2 form-control title'&gt;Supplier Name En&lt;/label&gt;
						&lt;input type='text' class='col-md-10 form-control input-text' name='SupplierNameEn' [(ngModel)]='rowdata.supplierNameEn'&gt;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CreateOrEditMstInvGpsSupplierInfoDto, MstInvGpsSupplierInfoServiceProxy } from '@shared/service-proxies/service-proxies';
import { BsDatepickerDirective } from 'ngx-bootstrap/datepicker';
@Component({
    selector: 'create-or-edit-gpssupplierinfo-modal',
    templateUrl: './create-or-edit-gpssupplierinfo-modal.component.html',
    styleUrls: ['./create-or-edit-gpssupplierinfo-modal.component.less']
    })
export class CreateOrEditGpsSupplierInfoModalComponent extends AppComponentBase {
    @ViewChild('createOrEditModalGpsSupplierInfo',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CreateOrEditMstInvGpsSupplierInfoDto = new CreateOrEditMstInvGpsSupplierInfoDto();
    active: boolean = false;
    saving: boolean = false;
    _supplierPlantCode
isActive: boolean;
    constructor(
        injector: Injector,
        private _mstwptGpsSupplierInfoService: MstInvGpsSupplierInfoServiceProxy,
    ) 
    {
        super(injector);
    }
    show(rowdata?: CreateOrEditMstInvGpsSupplierInfoDto): void {
        if (!rowdata) this.rowdata = new CreateOrEditMstInvGpsSupplierInfoDto();
        else this.rowdata = rowdata;
        this._supplierPlantCode
isActive = (this.rowdata.supplierPlantCode
isActive == "N")? false: true;
        this.active = true;
        this.modal.show();
    } 
    changeActive(event){
        this._supplierPlantCode
isActive = event.target.checked;
    }
    save(): void {
    this.saving = true; 
    this.rowdata.supplierPlantCode
isActive = (this._supplierPlantCode
isActive == true) ? 'Y' : 'N'
    this._mstwptGpsSupplierInfoService.createOrEdit(this.rowdata)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GpsSupplierInfoRoutingModule } from './gpssupplierinfo-routing.module';
import { GpsSupplierInfoComponent } from './gpssupplierinfo.component';
import { CreateOrEditGpsSupplierInfoModalComponent } from './create-or-edit-gpssupplierinfo-modal.component';
@NgModule({
    declarations: [
       GpsSupplierInfoComponent, 
        CreateOrEditGpsSupplierInfoModalComponent
    ],
    imports: [
        AppSharedModule, GpsSupplierInfoRoutingModule]
})
export class GpsSupplierInfoModule {}</v>
      </c>
      <c r="J75" s="46" t="str">
        <f>B.Frontend!O10</f>
        <v>import {NgModule} from '@angular/core';
import {RouterModule, Routes} from '@angular/router';
import { GpsSupplierInfoComponent } from './gpssupplierinfo.component';
const routes: Routes = [{
    path: '',
    component: GpsSupplierInfoComponent,
    pathMatch: 'full'
}];
@NgModule({
    imports: [RouterModule.forChild(routes)],
    exports: [RouterModule],
})
export class GpsSupplierInfoRoutingModule {}</v>
      </c>
      <c r="K75" s="46" t="str">
        <f>B.Frontend!P10</f>
        <v xml:space="preserve"> new AppMenuItem("GpsSupplierInfo", "Pages.Master.Inv.GpsSupplierInfo", "flaticon-book",   "/app/main/master/inv/gpssupplierinfo"),</v>
      </c>
      <c r="L75" s="47" t="str">
        <f>B.Frontend!Q10</f>
        <v>{
    path: 'master/inv/gpssupplierinfo',
    loadChildren: () =&gt; import('./master/inv/gpssupplierinfo/gpssupplierinfo.module').then(m =&gt; m.GpsSupplierInfoModule),
    data: { permission: 'Pages.Master.Inv.GpsSupplierInfo' }
},</v>
      </c>
      <c r="M75" s="45" t="str">
        <f>B.Frontend!R10</f>
        <v>ApiServiceProxies.MstInvGpsSupplierInfoServiceProxy,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36"/>
  <sheetViews>
    <sheetView topLeftCell="A21" workbookViewId="0">
      <pane xSplit="1" topLeftCell="B1" activePane="topRight" state="frozen"/>
      <selection pane="topRight" activeCell="A9" sqref="A9:A34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394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392</v>
      </c>
      <c r="C3" s="9" t="s">
        <v>40</v>
      </c>
      <c r="D3" s="9" t="s">
        <v>41</v>
      </c>
      <c r="E3" s="9" t="s">
        <v>36</v>
      </c>
      <c r="F3" s="10" t="str">
        <f>"J"&amp;COUNTA($A:$A)</f>
        <v>J34</v>
      </c>
      <c r="G3" s="4" t="s">
        <v>53</v>
      </c>
      <c r="H3" s="9" t="str">
        <f>"I"&amp;COUNTA($A:$A)</f>
        <v>I34</v>
      </c>
      <c r="I3" s="9" t="str">
        <f>REPT(CHAR(9),2)&amp;"[Required]"&amp;"
"</f>
        <v xml:space="preserve">		[Required]
</v>
      </c>
      <c r="J3" s="10" t="str">
        <f>"L"&amp;COUNTA($A:$A)</f>
        <v>L34</v>
      </c>
      <c r="K3" s="5" t="s">
        <v>52</v>
      </c>
      <c r="L3" s="10" t="str">
        <f>"M"&amp;COUNTA($A:$A)</f>
        <v>M34</v>
      </c>
      <c r="M3" s="10" t="str">
        <f>"N"&amp;COUNTA($A:$A)</f>
        <v>N34</v>
      </c>
      <c r="N3" s="10" t="str">
        <f>"O"&amp;COUNTA($A:$A)</f>
        <v>O34</v>
      </c>
      <c r="O3" s="10" t="str">
        <f>"P"&amp;COUNTA($A:$A)</f>
        <v>P34</v>
      </c>
      <c r="Q3" s="10" t="str">
        <f>RIGHT(B2,(LEN(B2)-FIND(".",B2,1)))</f>
        <v>Inv</v>
      </c>
      <c r="R3" s="29" t="str">
        <f>REPT(CHAR(9),1)&amp;"public class "&amp;B3&amp;"ExportInput"&amp;C3</f>
        <v xml:space="preserve">	public class MstInvGpsSupplierInfoExportInput{
</v>
      </c>
      <c r="S3" s="10" t="str">
        <f>"namespace "&amp;$B$6&amp;".Exporting
"&amp;$C$3</f>
        <v xml:space="preserve">namespace prod.Master.Inv.Exporting
{
</v>
      </c>
      <c r="T3" s="10" t="str">
        <f>"T"&amp;COUNTA($A:$A)</f>
        <v>T34</v>
      </c>
      <c r="V3" s="10" t="str">
        <f>"V"&amp;COUNTA($A:$A)</f>
        <v>V34</v>
      </c>
      <c r="W3" s="9" t="str">
        <f>"W"&amp;COUNTA($A:$A)</f>
        <v>W34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393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prod.Master.Inv</v>
      </c>
      <c r="C6" s="10" t="str">
        <f>"namespace "&amp;$B$6&amp;"
"&amp;$C$3</f>
        <v xml:space="preserve">namespace prod.Master.Inv
{
</v>
      </c>
      <c r="D6" s="10" t="str">
        <f>REPT(CHAR(9),1)&amp;"public class "&amp;B3&amp;G3&amp;REPT(CHAR(9),1)&amp;"
"&amp;REPT(CHAR(9),1)&amp;C3</f>
        <v xml:space="preserve">	public class MstInvGpsSupplierInfo: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MstInvGpsSupplierInfoConsts	
	{
</v>
      </c>
      <c r="F6" s="10" t="str">
        <f>REPT(CHAR(9),1)&amp;"public class "&amp;B3&amp;"Dto"&amp;K3&amp;REPT(CHAR(9),1)&amp;"
"&amp;REPT(CHAR(9),1)&amp;C3</f>
        <v xml:space="preserve">	public class MstInvGpsSupplierInfoDto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CreateOrEditMstInvGpsSupplierInfoDto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GetMstInvGpsSupplierInfoInput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MstInvGpsSupplierInfo</v>
      </c>
      <c r="C7" s="10" t="str">
        <f>REPT(CHAR(9),1)&amp;"[Table("""&amp;B7&amp;""")]"&amp;"
"</f>
        <v xml:space="preserve">	[Table("MstInvGpsSupplierInfo")]
</v>
      </c>
      <c r="D7" s="10"/>
      <c r="E7" s="10"/>
      <c r="F7" s="10"/>
      <c r="G7" s="10"/>
      <c r="H7" s="10"/>
      <c r="I7" s="10"/>
      <c r="J7" t="str">
        <f ca="1">SUBSTITUTE(SUBSTITUTE((B1&amp;C6&amp;C7&amp;K36&amp;D6&amp;I36&amp;E3&amp;J36&amp;""&amp;REPT(CHAR(9),1)&amp;D3&amp;D3),"WorkingPattern",$Q$3),"Master",$B$4)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
{
	[Table("MstInvGpsSupplierInfo")]
	public class MstInvGpsSupplierInfo: FullAuditedEntity&lt;long&gt;, IEntity&lt;long&gt;	
	{
		public const int MaxSupplierCodeLength = 10;
		public const int MaxSupplierPlantCodeLength = 1;
		public const int MaxSupplierNameLength = 100;
		public const int MaxAddressLength = 100;
		public const int MaxDockXLength = 20;
		public const int MaxDockXAddressLength = 100;
		public const int MaxDeliveryMethodLength = 20;
		public const int MaxDeliveryFrequencyLength = 3;
		public const int MaxCdLength = 40;
		public const int MaxOrderDateTypeLength = 5;
		public const int MaxKeihenTypeLength = 5;
		public const int MaxProductionShiftLength = 10;
		public const int MaxSupplierNameEnLength = 100;
		public const int MaxIsActiveLength = 1;
		[StringLength(MaxSupplierCodeLength)]
		public virtual string SupplierCode { get; set; }
		[StringLength(MaxSupplierPlantCodeLength)]
		public virtual string SupplierPlantCode { get; set; }
		[StringLength(MaxSupplierNameLength)]
		public virtual string SupplierName { get; set; }
		[StringLength(MaxAddressLength)]
		public virtual string Address { get; set; }
		[StringLength(MaxDockXLength)]
		public virtual string DockX { get; set; }
		[StringLength(MaxDockXAddressLength)]
		public virtual string DockXAddress { get; set; }
		[StringLength(MaxDeliveryMethodLength)]
		public virtual string DeliveryMethod { get; set; }
		[StringLength(MaxDeliveryFrequencyLength)]
		public virtual string DeliveryFrequency { get; set; }
		[StringLength(MaxCdLength)]
		public virtual string Cd { get; set; }
		[StringLength(MaxOrderDateTypeLength)]
		public virtual string OrderDateType { get; set; }
		[StringLength(MaxKeihenTypeLength)]
		public virtual string KeihenType { get; set; }
		public virtual decimal? StkConceptTmvMin { get; set; }
		public virtual decimal? StkConceptTmvMax { get; set; }
		public virtual decimal? StkConceptSupMMin { get; set; }
		public virtual decimal? StkConceptSupMMax { get; set; }
		public virtual decimal? StkConceptSupPMin { get; set; }
		public virtual decimal? StkConceptSupPMax { get; set; }
		public virtual int? TmvProductPercentage { get; set; }
		public virtual int? PicMainId { get; set; }
		public virtual decimal? DeliveryLt { get; set; }
		[StringLength(MaxProductionShiftLength)]
		public virtual string ProductionShift { get; set; }
		public virtual DateTime? TcFrom { get; set; }
		public virtual DateTime? TcTo { get; set; }
		public virtual int? OrderTrip { get; set; }
		[StringLength(MaxSupplierNameEnLength)]
		public virtual string SupplierNameEn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DbSet&lt;MstInvGpsSupplierInfo&gt; MstInvGpsSupplierInfos { get; set; }</v>
      </c>
      <c r="L7" t="str">
        <f ca="1">SUBSTITUTE(SUBSTITUTE((C6&amp;E6&amp;I36&amp;"
"&amp;REPT(CHAR(9),2)&amp;"// Define Store Name: Format SP_ + &lt;Store Name&gt; = &lt;Store Name&gt;
"&amp;E3&amp;REPT(CHAR(9),1)&amp;D3&amp;D3),"WorkingPattern",$Q$3),"Master",$B$4)</f>
        <v xml:space="preserve">namespace prod.Master.Inv
{
	public class MstInvGpsSupplierInfoConsts	
	{
		public const int MaxSupplierCodeLength = 10;
		public const int MaxSupplierPlantCodeLength = 1;
		public const int MaxSupplierNameLength = 100;
		public const int MaxAddressLength = 100;
		public const int MaxDockXLength = 20;
		public const int MaxDockXAddressLength = 100;
		public const int MaxDeliveryMethodLength = 20;
		public const int MaxDeliveryFrequencyLength = 3;
		public const int MaxCdLength = 40;
		public const int MaxOrderDateTypeLength = 5;
		public const int MaxKeihenTypeLength = 5;
		public const int MaxProductionShiftLength = 10;
		public const int MaxSupplierNameEnLength = 100;
		public const int MaxIsActiveLength = 1;
		// Define Store Name: Format SP_ + &lt;Store Name&gt; = &lt;Store Name&gt;
	}
}
</v>
      </c>
      <c r="M7" t="str">
        <f ca="1">SUBSTITUTE(SUBSTITUTE((C1&amp;"namespace "&amp;B6&amp;".Dto"&amp;E3&amp;C3&amp;F6&amp;M36&amp;E3&amp;REPT(CHAR(9),1)&amp;D3&amp;G6&amp;N36&amp;REPT(CHAR(9),1)&amp;D3&amp;H6&amp;O36&amp;"
"&amp;REPT(CHAR(9),1)&amp;D3&amp;D3),"WorkingPattern",$Q$3),"Master",$B$4)</f>
        <v xml:space="preserve">using Abp.Application.Services.Dto;
using System;
using System.ComponentModel.DataAnnotations;
namespace prod.Master.Inv.Dto
{
	public class MstInvGpsSupplierInfoDto : EntityDto&lt;long?&gt;	
	{
		public virtual string SupplierCode { get; set; }
		public virtual string SupplierPlantCode { get; set; }
		public virtual string SupplierName { get; set; }
		public virtual string Address { get; set; }
		public virtual string DockX { get; set; }
		public virtual string DockXAddress { get; set; }
		public virtual string DeliveryMethod { get; set; }
		public virtual string DeliveryFrequency { get; set; }
		public virtual string Cd { get; set; }
		public virtual string OrderDateType { get; set; }
		public virtual string KeihenType { get; set; }
		public virtual decimal? StkConceptTmvMin { get; set; }
		public virtual decimal? StkConceptTmvMax { get; set; }
		public virtual decimal? StkConceptSupMMin { get; set; }
		public virtual decimal? StkConceptSupMMax { get; set; }
		public virtual decimal? StkConceptSupPMin { get; set; }
		public virtual decimal? StkConceptSupPMax { get; set; }
		public virtual int? TmvProductPercentage { get; set; }
		public virtual int? PicMainId { get; set; }
		public virtual decimal? DeliveryLt { get; set; }
		public virtual string ProductionShift { get; set; }
		public virtual DateTime? TcFrom { get; set; }
		public virtual DateTime? TcTo { get; set; }
		public virtual int? OrderTrip { get; set; }
		public virtual string SupplierNameEn { get; set; }
		public virtual string IsActive { get; set; }
	}
	public class CreateOrEditMstInvGpsSupplierInfoDto : EntityDto&lt;long?&gt;	
	{
		[StringLength(MstInvGpsSupplierInfoConsts.MaxSupplierCodeLength)]
		public virtual string SupplierCode { get; set; }
		[StringLength(MstInvGpsSupplierInfoConsts.MaxSupplierPlantCodeLength)]
		public virtual string SupplierPlantCode { get; set; }
		[StringLength(MstInvGpsSupplierInfoConsts.MaxSupplierNameLength)]
		public virtual string SupplierName { get; set; }
		[StringLength(MstInvGpsSupplierInfoConsts.MaxAddressLength)]
		public virtual string Address { get; set; }
		[StringLength(MstInvGpsSupplierInfoConsts.MaxDockXLength)]
		public virtual string DockX { get; set; }
		[StringLength(MstInvGpsSupplierInfoConsts.MaxDockXAddressLength)]
		public virtual string DockXAddress { get; set; }
		[StringLength(MstInvGpsSupplierInfoConsts.MaxDeliveryMethodLength)]
		public virtual string DeliveryMethod { get; set; }
		[StringLength(MstInvGpsSupplierInfoConsts.MaxDeliveryFrequencyLength)]
		public virtual string DeliveryFrequency { get; set; }
		[StringLength(MstInvGpsSupplierInfoConsts.MaxCdLength)]
		public virtual string Cd { get; set; }
		[StringLength(MstInvGpsSupplierInfoConsts.MaxOrderDateTypeLength)]
		public virtual string OrderDateType { get; set; }
		[StringLength(MstInvGpsSupplierInfoConsts.MaxKeihenTypeLength)]
		public virtual string KeihenType { get; set; }
		public virtual decimal? StkConceptTmvMin { get; set; }
		public virtual decimal? StkConceptTmvMax { get; set; }
		public virtual decimal? StkConceptSupMMin { get; set; }
		public virtual decimal? StkConceptSupMMax { get; set; }
		public virtual decimal? StkConceptSupPMin { get; set; }
		public virtual decimal? StkConceptSupPMax { get; set; }
		public virtual int? TmvProductPercentage { get; set; }
		public virtual int? PicMainId { get; set; }
		public virtual decimal? DeliveryLt { get; set; }
		[StringLength(MstInvGpsSupplierInfoConsts.MaxProductionShiftLength)]
		public virtual string ProductionShift { get; set; }
		public virtual DateTime? TcFrom { get; set; }
		public virtual DateTime? TcTo { get; set; }
		public virtual int? OrderTrip { get; set; }
		[StringLength(MstInvGpsSupplierInfoConsts.MaxSupplierNameEnLength)]
		public virtual string SupplierNameEn { get; set; }
		[StringLength(MstInvGpsSupplierInfoConsts.MaxIsActiveLength)]
		public virtual string IsActive { get; set; }
	}
	public class GetMstInvGpsSupplierInfoInput : PagedAndSortedResultRequestDto	
	{
		public virtual string SupplierCode { get; set; }
		public virtual string SupplierPlantCode { get; set; }
		public virtual string SupplierName { get; set; }
		public virtual string Address { get; set; }
		public virtual string DockX { get; set; }
		public virtual string DockXAddress { get; set; }
		public virtual string DeliveryMethod { get; set; }
		public virtual string DeliveryFrequency { get; set; }
		public virtual string Cd { get; set; }
		public virtual string OrderDateType { get; set; }
		public virtual string KeihenType { get; set; }
		public virtual string ProductionShift { get; set; }
		public virtual string SupplierNameEn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perMstInvGpsSupplierInfo = PARENTS.CreateChildPermission(AppPermissions.Pages_Master_Inv_GpsSupplierInfo, L( "MasterInvGpsSupplierInfo"), multiTenancySides: MultiTenancySides.Tenant);
		perMstInvGpsSupplierInfo.CreateChildPermission(AppPermissions.Pages_Master_Inv_GpsSupplierInfo_CreateEdit, L( "MasterInvGpsSupplierInfoCreateEdit"), multiTenancySides: MultiTenancySides.Tenant);
		perMstInvGpsSupplierInfo.CreateChildPermission(AppPermissions.Pages_Master_Inv_GpsSupplierInfo_Delete, L( "MasterInvGpsSupplierInfoDelete"),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Pages_Master_Inv_GpsSupplierInfo = "Pages.Master.Inv.GpsSupplierInfo";
		public const string Pages_Master_Inv_GpsSupplierInfo_CreateEdit = "Pages.Master.Inv.GpsSupplierInfo.CreateEdit";
		public const string Pages_Master_Inv_GpsSupplierInfo_Delete = "Pages.Master.Inv.GpsSupplierInfo.Delete";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
{
	public interface IMstInvGpsSupplierInfoAppService : IApplicationService
	{
		Task&lt;PagedResultDto&lt;MstInvGpsSupplierInfoDto&gt;&gt; GetAll(GetMstInvGpsSupplierInfoInput input);
		Task CreateOrEdit(CreateOrEditMstInvGpsSupplierInfoDto input);
		Task Delete(EntityDto input);
	}
}
</v>
      </c>
      <c r="Q7" t="str">
        <f ca="1">SUBSTITUTE(SUBSTITUTE(SUBSTITUTE(SUBSTITUTE(SUBSTITUTE(SUBSTITUTE(E1,"MstWptCalendar",$B$3),"&lt;PROPERTIES&gt;",P36),"Calendar",$B$5),"WorkingPattern",$Q$3),"Master",$B$4),"&lt;PARAMS_SEARCH&gt;",$W$36)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vovina.Master.Inv.Dto;
using vovina.Master.Inv.Exporting;
namespace vovina.Master.Inv
{
    [AbpAuthorize(AppPermissions.Pages_Master_Inv_GpsSupplierInfo)]
    public class MstInvGpsSupplierInfoAppService : vovinaAppServiceBase, IMstInvGpsSupplierInfoAppService
    {
        private readonly IDapperRepository&lt;MstInvGpsSupplierInfo, long&gt; _dapperRepo;
        private readonly IRepository&lt;MstInvGpsSupplierInfo, long&gt; _repo;
        private readonly IMstInvGpsSupplierInfoExcelExporter _calendarListExcelExporter;
        public MstInvGpsSupplierInfoAppService(IRepository&lt;MstInvGpsSupplierInfo,long&gt; repo, 
                                         IDapperRepository&lt;MstInvGpsSupplierInfo,long&gt; dapperRepo,
                                        IMstInvGpsSupplierInfoExcelExporter calendarListExcelExporter
            )
        {
            _repo = repo;
            _dapperRepo = dapperRepo;
            _calendarListExcelExporter = calendarListExcelExporter;
        }
        [AbpAuthorize(AppPermissions.Pages_Master_Inv_GpsSupplierInfo_CreateEdit)]
        public async Task CreateOrEdit(CreateOrEditMstInvGpsSupplierInfoDto input)
        {
            if (input.Id == null) await Create(input);
            else await Update(input);
        }
        //CREATE
        private async Task Create(CreateOrEditMstInvGpsSupplierInfoDto input)
        {          
            var mainObj = ObjectMapper.Map&lt;MstInvGpsSupplierInfo&gt;(input);
            await CurrentUnitOfWork.GetDbContext&lt;vovinaDbContext&gt;().AddAsync(mainObj);
        }
        // EDIT
        private async Task Update(CreateOrEditMstInvGpsSupplierInfoDto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[AbpAuthorize(AppPermissions.Pages_Master_Inv_GpsSupplierInfo_Delete)]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Task&lt;PagedResultDto&lt;MstInvGpsSupplierInfoDto&gt;&gt; GetAll(GetMstInvGpsSupplierInfoInput input)
        {
            var filtered = _repo.GetAll()
				.WhereIf(!string.IsNullOrWhiteSpace(input.SupplierCode), e =&gt; e.SupplierCode.Contains(input.SupplierCode))
				.WhereIf(!string.IsNullOrWhiteSpace(input.SupplierPlantCode), e =&gt; e.SupplierPlantCode.Contains(input.SupplierPlantCode))
				.WhereIf(!string.IsNullOrWhiteSpace(input.SupplierName), e =&gt; e.SupplierName.Contains(input.SupplierName))
				.WhereIf(!string.IsNullOrWhiteSpace(input.Address), e =&gt; e.Address.Contains(input.Address))
				.WhereIf(!string.IsNullOrWhiteSpace(input.DockX), e =&gt; e.DockX.Contains(input.DockX))
				.WhereIf(!string.IsNullOrWhiteSpace(input.DockXAddress), e =&gt; e.DockXAddress.Contains(input.DockXAddress))
				.WhereIf(!string.IsNullOrWhiteSpace(input.DeliveryMethod), e =&gt; e.DeliveryMethod.Contains(input.DeliveryMethod))
				.WhereIf(!string.IsNullOrWhiteSpace(input.DeliveryFrequency), e =&gt; e.DeliveryFrequency.Contains(input.DeliveryFrequency))
				.WhereIf(!string.IsNullOrWhiteSpace(input.Cd), e =&gt; e.Cd.Contains(input.Cd))
				.WhereIf(!string.IsNullOrWhiteSpace(input.OrderDateType), e =&gt; e.OrderDateType.Contains(input.OrderDateType))
				.WhereIf(!string.IsNullOrWhiteSpace(input.KeihenType), e =&gt; e.KeihenType.Contains(input.KeihenType))
				.WhereIf(!string.IsNullOrWhiteSpace(input.ProductionShift), e =&gt; e.ProductionShift.Contains(input.ProductionShift))
				.WhereIf(!string.IsNullOrWhiteSpace(input.SupplierNameEn), e =&gt; e.SupplierNameEn.Contains(input.SupplierNameEn))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MstInvGpsSupplierInfoDto
                        {
							Id = o.Id,
							SupplierCode = o.SupplierCode,
							SupplierPlantCode = o.SupplierPlantCode,
							SupplierName = o.SupplierName,
							Address = o.Address,
							DockX = o.DockX,
							DockXAddress = o.DockXAddress,
							DeliveryMethod = o.DeliveryMethod,
							DeliveryFrequency = o.DeliveryFrequency,
							Cd = o.Cd,
							OrderDateType = o.OrderDateType,
							KeihenType = o.KeihenType,
							StkConceptTmvMin = o.StkConceptTmvMin,
							StkConceptTmvMax = o.StkConceptTmvMax,
							StkConceptSupMMin = o.StkConceptSupMMin,
							StkConceptSupMMax = o.StkConceptSupMMax,
							StkConceptSupPMin = o.StkConceptSupPMin,
							StkConceptSupPMax = o.StkConceptSupPMax,
							TmvProductPercentage = o.TmvProductPercentage,
							PicMainId = o.PicMainId,
							DeliveryLt = o.DeliveryLt,
							ProductionShift = o.ProductionShift,
							TcFrom = o.TcFrom,
							TcTo = o.TcTo,
							OrderTrip = o.OrderTrip,
							SupplierNameEn = o.SupplierNameEn,
							IsActive = o.IsActive,
                        };
            var totalCount = await filtered.CountAsync();
			var paged = system.PageBy(input);
            return new PagedResultDto&lt;MstInvGpsSupplierInfoDto&gt;(
                totalCount,
                 await paged.ToListAsync()
            );
        }
        public async Task&lt;FileDto&gt; GetGpsSupplierInfoToExcel(MstInvGpsSupplierInfoExportInput input)
        {
            var query = from o in _repo.GetAll()
                        select new MstInvGpsSupplierInfoDto
                        {
							Id = o.Id,
							SupplierCode = o.SupplierCode,
							SupplierPlantCode = o.SupplierPlantCode,
							SupplierName = o.SupplierName,
							Address = o.Address,
							DockX = o.DockX,
							DockXAddress = o.DockXAddress,
							DeliveryMethod = o.DeliveryMethod,
							DeliveryFrequency = o.DeliveryFrequency,
							Cd = o.Cd,
							OrderDateType = o.OrderDateType,
							KeihenType = o.KeihenType,
							StkConceptTmvMin = o.StkConceptTmvMin,
							StkConceptTmvMax = o.StkConceptTmvMax,
							StkConceptSupMMin = o.StkConceptSupMMin,
							StkConceptSupMMax = o.StkConceptSupMMax,
							StkConceptSupPMin = o.StkConceptSupPMin,
							StkConceptSupPMax = o.StkConceptSupPMax,
							TmvProductPercentage = o.TmvProductPercentage,
							PicMainId = o.PicMainId,
							DeliveryLt = o.DeliveryLt,
							ProductionShift = o.ProductionShift,
							TcFrom = o.TcFrom,
							TcTo = o.TcTo,
							OrderTrip = o.OrderTrip,
							SupplierNameEn = o.SupplierNameEn,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_dapperRepo.ExecuteAsync(MstInvGpsSupplierInfoConsts.SP_MST_WPT_CALENDAR_GENERATE);
       // }
    }
}</v>
      </c>
      <c r="R7" t="str">
        <f ca="1">SUBSTITUTE(SUBSTITUTE((C1&amp;"namespace "&amp;B6&amp;".Dto"&amp;E3&amp;C3&amp;R3&amp;M36&amp;E3&amp;REPT(CHAR(9),1)&amp;D3&amp;D3),"WorkingPattern",$Q$3),"Master",$B$4)</f>
        <v xml:space="preserve">using Abp.Application.Services.Dto;
using System;
using System.ComponentModel.DataAnnotations;
namespace prod.Master.Inv.Dto
{
	public class MstInvGpsSupplierInfoExportInput{
		public virtual string SupplierCode { get; set; }
		public virtual string SupplierPlantCode { get; set; }
		public virtual string SupplierName { get; set; }
		public virtual string Address { get; set; }
		public virtual string DockX { get; set; }
		public virtual string DockXAddress { get; set; }
		public virtual string DeliveryMethod { get; set; }
		public virtual string DeliveryFrequency { get; set; }
		public virtual string Cd { get; set; }
		public virtual string OrderDateType { get; set; }
		public virtual string KeihenType { get; set; }
		public virtual decimal? StkConceptTmvMin { get; set; }
		public virtual decimal? StkConceptTmvMax { get; set; }
		public virtual decimal? StkConceptSupMMin { get; set; }
		public virtual decimal? StkConceptSupMMax { get; set; }
		public virtual decimal? StkConceptSupPMin { get; set; }
		public virtual decimal? StkConceptSupPMax { get; set; }
		public virtual int? TmvProductPercentage { get; set; }
		public virtual int? PicMainId { get; set; }
		public virtual decimal? DeliveryLt { get; set; }
		public virtual string ProductionShift { get; set; }
		public virtual DateTime? TcFrom { get; set; }
		public virtual DateTime? TcTo { get; set; }
		public virtual int? OrderTrip { get; set; }
		public virtual string SupplierNameEn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vovina.Master.Inv.Dto;
namespace prod.Master.Inv.Exporting
{
	public interface IMstInvGpsSupplierInfoExcelExporter : IApplicationService
	{
		FileDto ExportToFile(List&lt;MstInvGpsSupplierInfoDto&gt; mstinvgpssupplierinfo);
	}
}
</v>
      </c>
      <c r="T7" s="26" t="str">
        <f ca="1">SUBSTITUTE(SUBSTITUTE(SUBSTITUTE(SUBSTITUTE(SUBSTITUTE(SUBSTITUTE(SUBSTITUTE(T1,"MstWptCalendar",$B$3),"&lt;PROPERTIES1&gt;",V36),"&lt;PROPERTIES&gt;",T36),"Calendar",$B$5),"calendar",LOWER(B5)),"WorkingPattern",$Q$3),"Master",$B$4)</f>
        <v>using System.Collections.Generic;
using vovina.DataExporting.Excel.NPOI;
using vovina.Dto;
using vovina.Master.Inv.Exporting;
using vovina.Master.Inv.Dto;
using vovina.Storage;
using vovina.Master.Inv.Dto;
namespace vovina.Master.Inv.Exporting
{
    public class MstInvGpsSupplierInfoExcelExporter : NpoiExcelExporterBase, IMstInvGpsSupplierInfoExcelExporter
    {
        public MstInvGpsSupplierInfoExcelExporter(ITempFileCacheManager tempFileCacheManager) : base(tempFileCacheManager) { }
        public FileDto ExportToFile(List&lt;MstInvGpsSupplierInfoDto&gt; gpssupplierinfo)
        {
            return CreateExcelPackage(
				"MasterInvGpsSupplierInfo.xlsx",
				excelPackage =&gt;
				 {
					var sheet = excelPackage.CreateSheet("GpsSupplierInfo");
					AddHeader(
								sheet,
								("SupplierCode"),
								("SupplierPlantCode"),
								("SupplierName"),
								("Address"),
								("DockX"),
								("DockXAddress"),
								("DeliveryMethod"),
								("DeliveryFrequency"),
								("Cd"),
								("OrderDateType"),
								("KeihenType"),
								("StkConceptTmvMin"),
								("StkConceptTmvMax"),
								("StkConceptSupMMin"),
								("StkConceptSupMMax"),
								("StkConceptSupPMin"),
								("StkConceptSupPMax"),
								("TmvProductPercentage"),
								("PicMainId"),
								("DeliveryLt"),
								("ProductionShift"),
								("TcFrom"),
								("TcTo"),
								("OrderTrip"),
								("SupplierNameEn"),
								("IsActive"),
							   );
					AddObjects(
						 sheet, 1, gpssupplierinfo,                                       
								_ =&gt; _.SupplierCode,
								_ =&gt; _.SupplierPlantCode,
								_ =&gt; _.SupplierName,
								_ =&gt; _.Address,
								_ =&gt; _.DockX,
								_ =&gt; _.DockXAddress,
								_ =&gt; _.DeliveryMethod,
								_ =&gt; _.DeliveryFrequency,
								_ =&gt; _.Cd,
								_ =&gt; _.OrderDateType,
								_ =&gt; _.KeihenType,
								_ =&gt; _.StkConceptTmvMin,
								_ =&gt; _.StkConceptTmvMax,
								_ =&gt; _.StkConceptSupMMin,
								_ =&gt; _.StkConceptSupMMax,
								_ =&gt; _.StkConceptSupPMin,
								_ =&gt; _.StkConceptSupPMax,
								_ =&gt; _.TmvProductPercentage,
								_ =&gt; _.PicMainId,
								_ =&gt; _.DeliveryLt,
								_ =&gt; _.ProductionShift,
								_ =&gt; _.TcFrom,
								_ =&gt; _.TcTo,
								_ =&gt; _.OrderTrip,
								_ =&gt; _.SupplierNameEn,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configuration.CreateMap&lt;MstInvGpsSupplierInfoDto, MstInvGpsSupplierInfo&gt;();
  configuration.CreateMap&lt;MstInvGpsSupplierInfo, MstInvGpsSupplierInfoDto&gt;();
  configuration.CreateMap&lt;CreateOrEditMstInvGpsSupplierInfoDto, MstInvGpsSupplierInfo&gt;();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t="s">
        <v>356</v>
      </c>
      <c r="B9" t="s">
        <v>357</v>
      </c>
      <c r="C9" t="s">
        <v>1</v>
      </c>
      <c r="D9" t="str">
        <f t="shared" ref="D9" si="0">SUBSTITUTE(PROPER(A9),"_","")</f>
        <v>SupplierCode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10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MaxSupplierCodeLength = 10;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[StringLength(MaxSupplierCodeLength)]
		public virtual string SupplierCode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SupplierCode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[StringLength(MstInvGpsSupplierInfoConsts.MaxSupplierCodeLength)]
		public virtual string SupplierCode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SupplierCode { get; set; }
</v>
      </c>
      <c r="P9" t="str">
        <f t="shared" ref="P9" si="9">REPT(CHAR(9),7)&amp;D9&amp;" = o." &amp;D9 &amp;","</f>
        <v xml:space="preserve">							SupplierCode = o.SupplierCode,</v>
      </c>
      <c r="T9" s="63" t="str">
        <f t="shared" ref="T9" si="10">REPT(CHAR(9),8)&amp;"("""&amp;D9&amp;"""),"</f>
        <v xml:space="preserve">								("SupplierCode"),</v>
      </c>
      <c r="V9" s="64" t="str">
        <f t="shared" ref="V9" si="11">REPT(CHAR(9),8)&amp;"_ =&gt; _."&amp;D9&amp;","</f>
        <v xml:space="preserve">								_ =&gt; _.SupplierCode,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.WhereIf(!string.IsNullOrWhiteSpace(input.SupplierCode), e =&gt; e.SupplierCode.Contains(input.SupplierCode))</v>
      </c>
    </row>
    <row r="10" spans="1:23" customFormat="1" ht="18.75" customHeight="1" x14ac:dyDescent="0.25">
      <c r="A10" t="s">
        <v>358</v>
      </c>
      <c r="B10" t="s">
        <v>359</v>
      </c>
      <c r="C10" t="s">
        <v>1</v>
      </c>
      <c r="D10" t="str">
        <f t="shared" ref="D10:D11" si="13">SUBSTITUTE(PROPER(A10),"_","")</f>
        <v>SupplierPlantCode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1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MaxSupplierPlantCodeLength = 1;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[StringLength(MaxSupplierPlantCodeLength)]
		public virtual string SupplierPlantCode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SupplierPlantCode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[StringLength(MstInvGpsSupplierInfoConsts.MaxSupplierPlantCodeLength)]
		public virtual string SupplierPlantCode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SupplierPlantCode { get; set; }
</v>
      </c>
      <c r="P10" t="str">
        <f t="shared" ref="P10:P11" si="22">REPT(CHAR(9),7)&amp;D10&amp;" = o." &amp;D10 &amp;","</f>
        <v xml:space="preserve">							SupplierPlantCode = o.SupplierPlantCode,</v>
      </c>
      <c r="T10" s="63" t="str">
        <f t="shared" ref="T10:T11" si="23">REPT(CHAR(9),8)&amp;"("""&amp;D10&amp;"""),"</f>
        <v xml:space="preserve">								("SupplierPlantCode"),</v>
      </c>
      <c r="V10" s="64" t="str">
        <f t="shared" ref="V10:V11" si="24">REPT(CHAR(9),8)&amp;"_ =&gt; _."&amp;D10&amp;","</f>
        <v xml:space="preserve">								_ =&gt; _.SupplierPlantCode,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.WhereIf(!string.IsNullOrWhiteSpace(input.SupplierPlantCode), e =&gt; e.SupplierPlantCode.Contains(input.SupplierPlantCode))</v>
      </c>
    </row>
    <row r="11" spans="1:23" customFormat="1" ht="18.75" customHeight="1" x14ac:dyDescent="0.25">
      <c r="A11" t="s">
        <v>360</v>
      </c>
      <c r="B11" t="s">
        <v>361</v>
      </c>
      <c r="C11" t="s">
        <v>1</v>
      </c>
      <c r="D11" t="str">
        <f t="shared" si="13"/>
        <v>SupplierName</v>
      </c>
      <c r="E11" t="str">
        <f t="shared" si="14"/>
        <v>nvarchar</v>
      </c>
      <c r="F11" s="6"/>
      <c r="G11" t="str">
        <f t="shared" si="15"/>
        <v>100</v>
      </c>
      <c r="H11" t="str">
        <f>+VLOOKUP(E11,'Data Type Mapping'!A:B,2,)</f>
        <v>string</v>
      </c>
      <c r="I11" t="str">
        <f t="shared" si="16"/>
        <v xml:space="preserve">		public const int MaxSupplierNameLength = 100;
</v>
      </c>
      <c r="J11" t="str">
        <f t="shared" si="17"/>
        <v xml:space="preserve">		[StringLength(MaxSupplierNameLength)]
		public virtual string SupplierName { get; set; }
</v>
      </c>
      <c r="K11" s="6"/>
      <c r="L11" t="str">
        <f t="shared" si="18"/>
        <v/>
      </c>
      <c r="M11" t="str">
        <f t="shared" si="19"/>
        <v xml:space="preserve">		public virtual string SupplierName { get; set; }
</v>
      </c>
      <c r="N11" t="str">
        <f t="shared" si="20"/>
        <v xml:space="preserve">		[StringLength(MstInvGpsSupplierInfoConsts.MaxSupplierNameLength)]
		public virtual string SupplierName { get; set; }
</v>
      </c>
      <c r="O11" t="str">
        <f t="shared" si="21"/>
        <v xml:space="preserve">		public virtual string SupplierName { get; set; }
</v>
      </c>
      <c r="P11" t="str">
        <f t="shared" si="22"/>
        <v xml:space="preserve">							SupplierName = o.SupplierName,</v>
      </c>
      <c r="T11" s="63" t="str">
        <f t="shared" si="23"/>
        <v xml:space="preserve">								("SupplierName"),</v>
      </c>
      <c r="V11" s="64" t="str">
        <f t="shared" si="24"/>
        <v xml:space="preserve">								_ =&gt; _.SupplierName,</v>
      </c>
      <c r="W11" s="63" t="str">
        <f t="shared" si="25"/>
        <v xml:space="preserve">				.WhereIf(!string.IsNullOrWhiteSpace(input.SupplierName), e =&gt; e.SupplierName.Contains(input.SupplierName))</v>
      </c>
    </row>
    <row r="12" spans="1:23" customFormat="1" ht="18.75" customHeight="1" x14ac:dyDescent="0.25">
      <c r="A12" t="s">
        <v>362</v>
      </c>
      <c r="B12" t="s">
        <v>361</v>
      </c>
      <c r="C12" t="s">
        <v>1</v>
      </c>
      <c r="D12" t="str">
        <f t="shared" ref="D12:D14" si="26">SUBSTITUTE(PROPER(A12),"_","")</f>
        <v>Address</v>
      </c>
      <c r="E12" t="str">
        <f t="shared" ref="E12:E14" si="27">IFERROR(LEFT(B12, FIND("(",B12)-1),B12)</f>
        <v>nvarchar</v>
      </c>
      <c r="F12" s="6"/>
      <c r="G12" t="str">
        <f t="shared" ref="G12:G14" si="28">IFERROR(MID(B12,FIND("(",B12) +1, FIND(")",B12) - FIND("(",B12) - 1),"")</f>
        <v>100</v>
      </c>
      <c r="H12" t="str">
        <f>+VLOOKUP(E12,'Data Type Mapping'!A:B,2,)</f>
        <v>string</v>
      </c>
      <c r="I12" t="str">
        <f t="shared" ref="I12:I14" si="29">IF(H12="string",REPT(CHAR(9),2)&amp;"public const int Max"&amp;D12&amp;"Length = "&amp;G12&amp;";"&amp;$E$3,"" )</f>
        <v xml:space="preserve">		public const int MaxAddressLength = 100;
</v>
      </c>
      <c r="J12" t="str">
        <f t="shared" ref="J12:J14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[StringLength(MaxAddressLength)]
		public virtual string Address { get; set; }
</v>
      </c>
      <c r="K12" s="6"/>
      <c r="L12" t="str">
        <f t="shared" ref="L12:L14" si="31">IF(K12="","",REPT(CHAR(9),1)&amp;"[Index(nameof("&amp;IF(D12="","",""&amp;D12)&amp;")"&amp;", Name="&amp;"""IX_"&amp;$B$7&amp;"_"&amp;D12&amp;""")]")</f>
        <v/>
      </c>
      <c r="M12" t="str">
        <f t="shared" ref="M12:M14" si="32">REPT(CHAR(9),2)&amp;"public virtual "&amp;IF(OR(H12="DateTime",H12="TimeSpan"),H12&amp;"?",H12)&amp;IF(C12="?","? "," ")&amp;D12&amp;" { get; set; }" &amp; "
"</f>
        <v xml:space="preserve">		public virtual string Address { get; set; }
</v>
      </c>
      <c r="N12" t="str">
        <f t="shared" ref="N12:N14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[StringLength(MstInvGpsSupplierInfoConsts.MaxAddressLength)]
		public virtual string Address { get; set; }
</v>
      </c>
      <c r="O12" t="str">
        <f t="shared" ref="O12:O14" si="34">IF(OR(H12="string",H12="DateTime",H12="int"),REPT(CHAR(9),2)&amp;"public virtual "&amp;IF(OR(H12="DateTime",H12="TimeSpan"),H12&amp;"?",H12)&amp;IF(C12="?","? "," ")&amp;D12&amp;" { get; set; }"&amp;$E$3,"")</f>
        <v xml:space="preserve">		public virtual string Address { get; set; }
</v>
      </c>
      <c r="P12" t="str">
        <f t="shared" ref="P12:P14" si="35">REPT(CHAR(9),7)&amp;D12&amp;" = o." &amp;D12 &amp;","</f>
        <v xml:space="preserve">							Address = o.Address,</v>
      </c>
      <c r="T12" s="63" t="str">
        <f t="shared" ref="T12:T14" si="36">REPT(CHAR(9),8)&amp;"("""&amp;D12&amp;"""),"</f>
        <v xml:space="preserve">								("Address"),</v>
      </c>
      <c r="V12" s="64" t="str">
        <f t="shared" ref="V12:V14" si="37">REPT(CHAR(9),8)&amp;"_ =&gt; _."&amp;D12&amp;","</f>
        <v xml:space="preserve">								_ =&gt; _.Address,</v>
      </c>
      <c r="W12" s="63" t="str">
        <f t="shared" ref="W12:W14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.WhereIf(!string.IsNullOrWhiteSpace(input.Address), e =&gt; e.Address.Contains(input.Address))</v>
      </c>
    </row>
    <row r="13" spans="1:23" customFormat="1" ht="18.75" customHeight="1" x14ac:dyDescent="0.25">
      <c r="A13" t="s">
        <v>363</v>
      </c>
      <c r="B13" t="s">
        <v>364</v>
      </c>
      <c r="C13" t="s">
        <v>1</v>
      </c>
      <c r="D13" t="str">
        <f t="shared" si="26"/>
        <v>DockX</v>
      </c>
      <c r="E13" t="str">
        <f t="shared" si="27"/>
        <v>varchar</v>
      </c>
      <c r="F13" s="6"/>
      <c r="G13" t="str">
        <f t="shared" si="28"/>
        <v>20</v>
      </c>
      <c r="H13" t="str">
        <f>+VLOOKUP(E13,'Data Type Mapping'!A:B,2,)</f>
        <v>string</v>
      </c>
      <c r="I13" t="str">
        <f t="shared" si="29"/>
        <v xml:space="preserve">		public const int MaxDockXLength = 20;
</v>
      </c>
      <c r="J13" t="str">
        <f t="shared" si="30"/>
        <v xml:space="preserve">		[StringLength(MaxDockXLength)]
		public virtual string DockX { get; set; }
</v>
      </c>
      <c r="K13" s="6"/>
      <c r="L13" t="str">
        <f t="shared" si="31"/>
        <v/>
      </c>
      <c r="M13" t="str">
        <f t="shared" si="32"/>
        <v xml:space="preserve">		public virtual string DockX { get; set; }
</v>
      </c>
      <c r="N13" t="str">
        <f t="shared" si="33"/>
        <v xml:space="preserve">		[StringLength(MstInvGpsSupplierInfoConsts.MaxDockXLength)]
		public virtual string DockX { get; set; }
</v>
      </c>
      <c r="O13" t="str">
        <f t="shared" si="34"/>
        <v xml:space="preserve">		public virtual string DockX { get; set; }
</v>
      </c>
      <c r="P13" t="str">
        <f t="shared" si="35"/>
        <v xml:space="preserve">							DockX = o.DockX,</v>
      </c>
      <c r="T13" s="63" t="str">
        <f t="shared" si="36"/>
        <v xml:space="preserve">								("DockX"),</v>
      </c>
      <c r="V13" s="64" t="str">
        <f t="shared" si="37"/>
        <v xml:space="preserve">								_ =&gt; _.DockX,</v>
      </c>
      <c r="W13" s="63" t="str">
        <f t="shared" si="38"/>
        <v xml:space="preserve">				.WhereIf(!string.IsNullOrWhiteSpace(input.DockX), e =&gt; e.DockX.Contains(input.DockX))</v>
      </c>
    </row>
    <row r="14" spans="1:23" customFormat="1" ht="18.75" customHeight="1" x14ac:dyDescent="0.25">
      <c r="A14" t="s">
        <v>365</v>
      </c>
      <c r="B14" t="s">
        <v>361</v>
      </c>
      <c r="C14" t="s">
        <v>1</v>
      </c>
      <c r="D14" t="str">
        <f t="shared" si="26"/>
        <v>DockXAddress</v>
      </c>
      <c r="E14" t="str">
        <f t="shared" si="27"/>
        <v>nvarchar</v>
      </c>
      <c r="F14" s="6"/>
      <c r="G14" t="str">
        <f t="shared" si="28"/>
        <v>100</v>
      </c>
      <c r="H14" t="str">
        <f>+VLOOKUP(E14,'Data Type Mapping'!A:B,2,)</f>
        <v>string</v>
      </c>
      <c r="I14" t="str">
        <f t="shared" si="29"/>
        <v xml:space="preserve">		public const int MaxDockXAddressLength = 100;
</v>
      </c>
      <c r="J14" t="str">
        <f t="shared" si="30"/>
        <v xml:space="preserve">		[StringLength(MaxDockXAddressLength)]
		public virtual string DockXAddress { get; set; }
</v>
      </c>
      <c r="K14" s="6"/>
      <c r="L14" t="str">
        <f t="shared" si="31"/>
        <v/>
      </c>
      <c r="M14" t="str">
        <f t="shared" si="32"/>
        <v xml:space="preserve">		public virtual string DockXAddress { get; set; }
</v>
      </c>
      <c r="N14" t="str">
        <f t="shared" si="33"/>
        <v xml:space="preserve">		[StringLength(MstInvGpsSupplierInfoConsts.MaxDockXAddressLength)]
		public virtual string DockXAddress { get; set; }
</v>
      </c>
      <c r="O14" t="str">
        <f t="shared" si="34"/>
        <v xml:space="preserve">		public virtual string DockXAddress { get; set; }
</v>
      </c>
      <c r="P14" t="str">
        <f t="shared" si="35"/>
        <v xml:space="preserve">							DockXAddress = o.DockXAddress,</v>
      </c>
      <c r="T14" s="63" t="str">
        <f t="shared" si="36"/>
        <v xml:space="preserve">								("DockXAddress"),</v>
      </c>
      <c r="V14" s="64" t="str">
        <f t="shared" si="37"/>
        <v xml:space="preserve">								_ =&gt; _.DockXAddress,</v>
      </c>
      <c r="W14" s="63" t="str">
        <f t="shared" si="38"/>
        <v xml:space="preserve">				.WhereIf(!string.IsNullOrWhiteSpace(input.DockXAddress), e =&gt; e.DockXAddress.Contains(input.DockXAddress))</v>
      </c>
    </row>
    <row r="15" spans="1:23" customFormat="1" ht="18.75" customHeight="1" x14ac:dyDescent="0.25">
      <c r="A15" t="s">
        <v>366</v>
      </c>
      <c r="B15" t="s">
        <v>364</v>
      </c>
      <c r="C15" t="s">
        <v>1</v>
      </c>
      <c r="D15" t="str">
        <f t="shared" ref="D15:D20" si="39">SUBSTITUTE(PROPER(A15),"_","")</f>
        <v>DeliveryMethod</v>
      </c>
      <c r="E15" t="str">
        <f t="shared" ref="E15:E20" si="40">IFERROR(LEFT(B15, FIND("(",B15)-1),B15)</f>
        <v>varchar</v>
      </c>
      <c r="F15" s="6"/>
      <c r="G15" t="str">
        <f t="shared" ref="G15:G20" si="41">IFERROR(MID(B15,FIND("(",B15) +1, FIND(")",B15) - FIND("(",B15) - 1),"")</f>
        <v>20</v>
      </c>
      <c r="H15" t="str">
        <f>+VLOOKUP(E15,'Data Type Mapping'!A:B,2,)</f>
        <v>string</v>
      </c>
      <c r="I15" t="str">
        <f t="shared" ref="I15:I20" si="42">IF(H15="string",REPT(CHAR(9),2)&amp;"public const int Max"&amp;D15&amp;"Length = "&amp;G15&amp;";"&amp;$E$3,"" )</f>
        <v xml:space="preserve">		public const int MaxDeliveryMethodLength = 20;
</v>
      </c>
      <c r="J15" t="str">
        <f t="shared" ref="J15:J20" si="43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[StringLength(MaxDeliveryMethodLength)]
		public virtual string DeliveryMethod { get; set; }
</v>
      </c>
      <c r="K15" s="6"/>
      <c r="L15" t="str">
        <f t="shared" ref="L15:L20" si="44">IF(K15="","",REPT(CHAR(9),1)&amp;"[Index(nameof("&amp;IF(D15="","",""&amp;D15)&amp;")"&amp;", Name="&amp;"""IX_"&amp;$B$7&amp;"_"&amp;D15&amp;""")]")</f>
        <v/>
      </c>
      <c r="M15" t="str">
        <f t="shared" ref="M15:M20" si="45">REPT(CHAR(9),2)&amp;"public virtual "&amp;IF(OR(H15="DateTime",H15="TimeSpan"),H15&amp;"?",H15)&amp;IF(C15="?","? "," ")&amp;D15&amp;" { get; set; }" &amp; "
"</f>
        <v xml:space="preserve">		public virtual string DeliveryMethod { get; set; }
</v>
      </c>
      <c r="N15" t="str">
        <f t="shared" ref="N15:N20" si="46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[StringLength(MstInvGpsSupplierInfoConsts.MaxDeliveryMethodLength)]
		public virtual string DeliveryMethod { get; set; }
</v>
      </c>
      <c r="O15" t="str">
        <f t="shared" ref="O15:O20" si="47">IF(OR(H15="string",H15="DateTime",H15="int"),REPT(CHAR(9),2)&amp;"public virtual "&amp;IF(OR(H15="DateTime",H15="TimeSpan"),H15&amp;"?",H15)&amp;IF(C15="?","? "," ")&amp;D15&amp;" { get; set; }"&amp;$E$3,"")</f>
        <v xml:space="preserve">		public virtual string DeliveryMethod { get; set; }
</v>
      </c>
      <c r="P15" t="str">
        <f t="shared" ref="P15:P20" si="48">REPT(CHAR(9),7)&amp;D15&amp;" = o." &amp;D15 &amp;","</f>
        <v xml:space="preserve">							DeliveryMethod = o.DeliveryMethod,</v>
      </c>
      <c r="T15" s="63" t="str">
        <f t="shared" ref="T15:T20" si="49">REPT(CHAR(9),8)&amp;"("""&amp;D15&amp;"""),"</f>
        <v xml:space="preserve">								("DeliveryMethod"),</v>
      </c>
      <c r="V15" s="64" t="str">
        <f t="shared" ref="V15:V20" si="50">REPT(CHAR(9),8)&amp;"_ =&gt; _."&amp;D15&amp;","</f>
        <v xml:space="preserve">								_ =&gt; _.DeliveryMethod,</v>
      </c>
      <c r="W15" s="63" t="str">
        <f t="shared" ref="W15:W20" si="51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.WhereIf(!string.IsNullOrWhiteSpace(input.DeliveryMethod), e =&gt; e.DeliveryMethod.Contains(input.DeliveryMethod))</v>
      </c>
    </row>
    <row r="16" spans="1:23" customFormat="1" ht="18.75" customHeight="1" x14ac:dyDescent="0.25">
      <c r="A16" t="s">
        <v>367</v>
      </c>
      <c r="B16" t="s">
        <v>368</v>
      </c>
      <c r="C16" t="s">
        <v>1</v>
      </c>
      <c r="D16" t="str">
        <f t="shared" si="39"/>
        <v>DeliveryFrequency</v>
      </c>
      <c r="E16" t="str">
        <f t="shared" si="40"/>
        <v>varchar</v>
      </c>
      <c r="F16" s="6"/>
      <c r="G16" t="str">
        <f t="shared" si="41"/>
        <v>3</v>
      </c>
      <c r="H16" t="str">
        <f>+VLOOKUP(E16,'Data Type Mapping'!A:B,2,)</f>
        <v>string</v>
      </c>
      <c r="I16" t="str">
        <f t="shared" si="42"/>
        <v xml:space="preserve">		public const int MaxDeliveryFrequencyLength = 3;
</v>
      </c>
      <c r="J16" t="str">
        <f t="shared" si="43"/>
        <v xml:space="preserve">		[StringLength(MaxDeliveryFrequencyLength)]
		public virtual string DeliveryFrequency { get; set; }
</v>
      </c>
      <c r="K16" s="6"/>
      <c r="L16" t="str">
        <f t="shared" si="44"/>
        <v/>
      </c>
      <c r="M16" t="str">
        <f t="shared" si="45"/>
        <v xml:space="preserve">		public virtual string DeliveryFrequency { get; set; }
</v>
      </c>
      <c r="N16" t="str">
        <f t="shared" si="46"/>
        <v xml:space="preserve">		[StringLength(MstInvGpsSupplierInfoConsts.MaxDeliveryFrequencyLength)]
		public virtual string DeliveryFrequency { get; set; }
</v>
      </c>
      <c r="O16" t="str">
        <f t="shared" si="47"/>
        <v xml:space="preserve">		public virtual string DeliveryFrequency { get; set; }
</v>
      </c>
      <c r="P16" t="str">
        <f t="shared" si="48"/>
        <v xml:space="preserve">							DeliveryFrequency = o.DeliveryFrequency,</v>
      </c>
      <c r="T16" s="63" t="str">
        <f t="shared" si="49"/>
        <v xml:space="preserve">								("DeliveryFrequency"),</v>
      </c>
      <c r="V16" s="64" t="str">
        <f t="shared" si="50"/>
        <v xml:space="preserve">								_ =&gt; _.DeliveryFrequency,</v>
      </c>
      <c r="W16" s="63" t="str">
        <f t="shared" si="51"/>
        <v xml:space="preserve">				.WhereIf(!string.IsNullOrWhiteSpace(input.DeliveryFrequency), e =&gt; e.DeliveryFrequency.Contains(input.DeliveryFrequency))</v>
      </c>
    </row>
    <row r="17" spans="1:23" customFormat="1" ht="18.75" customHeight="1" x14ac:dyDescent="0.25">
      <c r="A17" t="s">
        <v>369</v>
      </c>
      <c r="B17" t="s">
        <v>370</v>
      </c>
      <c r="C17" t="s">
        <v>1</v>
      </c>
      <c r="D17" t="str">
        <f t="shared" si="39"/>
        <v>Cd</v>
      </c>
      <c r="E17" t="str">
        <f t="shared" si="40"/>
        <v>varchar</v>
      </c>
      <c r="F17" s="6"/>
      <c r="G17" t="str">
        <f t="shared" si="41"/>
        <v>40</v>
      </c>
      <c r="H17" t="str">
        <f>+VLOOKUP(E17,'Data Type Mapping'!A:B,2,)</f>
        <v>string</v>
      </c>
      <c r="I17" t="str">
        <f t="shared" si="42"/>
        <v xml:space="preserve">		public const int MaxCdLength = 40;
</v>
      </c>
      <c r="J17" t="str">
        <f t="shared" si="43"/>
        <v xml:space="preserve">		[StringLength(MaxCdLength)]
		public virtual string Cd { get; set; }
</v>
      </c>
      <c r="K17" s="6"/>
      <c r="L17" t="str">
        <f t="shared" si="44"/>
        <v/>
      </c>
      <c r="M17" t="str">
        <f t="shared" si="45"/>
        <v xml:space="preserve">		public virtual string Cd { get; set; }
</v>
      </c>
      <c r="N17" t="str">
        <f t="shared" si="46"/>
        <v xml:space="preserve">		[StringLength(MstInvGpsSupplierInfoConsts.MaxCdLength)]
		public virtual string Cd { get; set; }
</v>
      </c>
      <c r="O17" t="str">
        <f t="shared" si="47"/>
        <v xml:space="preserve">		public virtual string Cd { get; set; }
</v>
      </c>
      <c r="P17" t="str">
        <f t="shared" si="48"/>
        <v xml:space="preserve">							Cd = o.Cd,</v>
      </c>
      <c r="T17" s="63" t="str">
        <f t="shared" si="49"/>
        <v xml:space="preserve">								("Cd"),</v>
      </c>
      <c r="V17" s="64" t="str">
        <f t="shared" si="50"/>
        <v xml:space="preserve">								_ =&gt; _.Cd,</v>
      </c>
      <c r="W17" s="63" t="str">
        <f t="shared" si="51"/>
        <v xml:space="preserve">				.WhereIf(!string.IsNullOrWhiteSpace(input.Cd), e =&gt; e.Cd.Contains(input.Cd))</v>
      </c>
    </row>
    <row r="18" spans="1:23" customFormat="1" ht="18.75" customHeight="1" x14ac:dyDescent="0.25">
      <c r="A18" t="s">
        <v>371</v>
      </c>
      <c r="B18" t="s">
        <v>372</v>
      </c>
      <c r="C18" t="s">
        <v>1</v>
      </c>
      <c r="D18" t="str">
        <f t="shared" si="39"/>
        <v>OrderDateType</v>
      </c>
      <c r="E18" t="str">
        <f t="shared" si="40"/>
        <v>varchar</v>
      </c>
      <c r="F18" s="6"/>
      <c r="G18" t="str">
        <f t="shared" si="41"/>
        <v>5</v>
      </c>
      <c r="H18" t="str">
        <f>+VLOOKUP(E18,'Data Type Mapping'!A:B,2,)</f>
        <v>string</v>
      </c>
      <c r="I18" t="str">
        <f t="shared" si="42"/>
        <v xml:space="preserve">		public const int MaxOrderDateTypeLength = 5;
</v>
      </c>
      <c r="J18" t="str">
        <f t="shared" si="43"/>
        <v xml:space="preserve">		[StringLength(MaxOrderDateTypeLength)]
		public virtual string OrderDateType { get; set; }
</v>
      </c>
      <c r="K18" s="6"/>
      <c r="L18" t="str">
        <f t="shared" si="44"/>
        <v/>
      </c>
      <c r="M18" t="str">
        <f t="shared" si="45"/>
        <v xml:space="preserve">		public virtual string OrderDateType { get; set; }
</v>
      </c>
      <c r="N18" t="str">
        <f t="shared" si="46"/>
        <v xml:space="preserve">		[StringLength(MstInvGpsSupplierInfoConsts.MaxOrderDateTypeLength)]
		public virtual string OrderDateType { get; set; }
</v>
      </c>
      <c r="O18" t="str">
        <f t="shared" si="47"/>
        <v xml:space="preserve">		public virtual string OrderDateType { get; set; }
</v>
      </c>
      <c r="P18" t="str">
        <f t="shared" si="48"/>
        <v xml:space="preserve">							OrderDateType = o.OrderDateType,</v>
      </c>
      <c r="T18" s="63" t="str">
        <f t="shared" si="49"/>
        <v xml:space="preserve">								("OrderDateType"),</v>
      </c>
      <c r="V18" s="64" t="str">
        <f t="shared" si="50"/>
        <v xml:space="preserve">								_ =&gt; _.OrderDateType,</v>
      </c>
      <c r="W18" s="63" t="str">
        <f t="shared" si="51"/>
        <v xml:space="preserve">				.WhereIf(!string.IsNullOrWhiteSpace(input.OrderDateType), e =&gt; e.OrderDateType.Contains(input.OrderDateType))</v>
      </c>
    </row>
    <row r="19" spans="1:23" customFormat="1" ht="18.75" customHeight="1" x14ac:dyDescent="0.25">
      <c r="A19" t="s">
        <v>373</v>
      </c>
      <c r="B19" t="s">
        <v>372</v>
      </c>
      <c r="C19" t="s">
        <v>1</v>
      </c>
      <c r="D19" t="str">
        <f t="shared" si="39"/>
        <v>KeihenType</v>
      </c>
      <c r="E19" t="str">
        <f t="shared" si="40"/>
        <v>varchar</v>
      </c>
      <c r="F19" s="6"/>
      <c r="G19" t="str">
        <f t="shared" si="41"/>
        <v>5</v>
      </c>
      <c r="H19" t="str">
        <f>+VLOOKUP(E19,'Data Type Mapping'!A:B,2,)</f>
        <v>string</v>
      </c>
      <c r="I19" t="str">
        <f t="shared" si="42"/>
        <v xml:space="preserve">		public const int MaxKeihenTypeLength = 5;
</v>
      </c>
      <c r="J19" t="str">
        <f t="shared" si="43"/>
        <v xml:space="preserve">		[StringLength(MaxKeihenTypeLength)]
		public virtual string KeihenType { get; set; }
</v>
      </c>
      <c r="K19" s="6"/>
      <c r="L19" t="str">
        <f t="shared" si="44"/>
        <v/>
      </c>
      <c r="M19" t="str">
        <f t="shared" si="45"/>
        <v xml:space="preserve">		public virtual string KeihenType { get; set; }
</v>
      </c>
      <c r="N19" t="str">
        <f t="shared" si="46"/>
        <v xml:space="preserve">		[StringLength(MstInvGpsSupplierInfoConsts.MaxKeihenTypeLength)]
		public virtual string KeihenType { get; set; }
</v>
      </c>
      <c r="O19" t="str">
        <f t="shared" si="47"/>
        <v xml:space="preserve">		public virtual string KeihenType { get; set; }
</v>
      </c>
      <c r="P19" t="str">
        <f t="shared" si="48"/>
        <v xml:space="preserve">							KeihenType = o.KeihenType,</v>
      </c>
      <c r="T19" s="63" t="str">
        <f t="shared" si="49"/>
        <v xml:space="preserve">								("KeihenType"),</v>
      </c>
      <c r="V19" s="64" t="str">
        <f t="shared" si="50"/>
        <v xml:space="preserve">								_ =&gt; _.KeihenType,</v>
      </c>
      <c r="W19" s="63" t="str">
        <f t="shared" si="51"/>
        <v xml:space="preserve">				.WhereIf(!string.IsNullOrWhiteSpace(input.KeihenType), e =&gt; e.KeihenType.Contains(input.KeihenType))</v>
      </c>
    </row>
    <row r="20" spans="1:23" customFormat="1" ht="18.75" customHeight="1" x14ac:dyDescent="0.25">
      <c r="A20" t="s">
        <v>374</v>
      </c>
      <c r="B20" t="s">
        <v>375</v>
      </c>
      <c r="C20" t="s">
        <v>1</v>
      </c>
      <c r="D20" t="str">
        <f t="shared" si="39"/>
        <v>StkConceptTmvMin</v>
      </c>
      <c r="E20" t="str">
        <f t="shared" si="40"/>
        <v>decimal</v>
      </c>
      <c r="F20" s="6"/>
      <c r="G20" t="str">
        <f t="shared" si="41"/>
        <v>8, 2</v>
      </c>
      <c r="H20" t="str">
        <f>+VLOOKUP(E20,'Data Type Mapping'!A:B,2,)</f>
        <v>decimal?</v>
      </c>
      <c r="I20" t="str">
        <f t="shared" si="42"/>
        <v/>
      </c>
      <c r="J20" t="str">
        <f t="shared" si="43"/>
        <v xml:space="preserve">		public virtual decimal? StkConceptTmvMin { get; set; }
</v>
      </c>
      <c r="K20" s="6"/>
      <c r="L20" t="str">
        <f t="shared" si="44"/>
        <v/>
      </c>
      <c r="M20" t="str">
        <f t="shared" si="45"/>
        <v xml:space="preserve">		public virtual decimal? StkConceptTmvMin { get; set; }
</v>
      </c>
      <c r="N20" t="str">
        <f t="shared" si="46"/>
        <v xml:space="preserve">		public virtual decimal? StkConceptTmvMin { get; set; }
</v>
      </c>
      <c r="O20" t="str">
        <f t="shared" si="47"/>
        <v/>
      </c>
      <c r="P20" t="str">
        <f t="shared" si="48"/>
        <v xml:space="preserve">							StkConceptTmvMin = o.StkConceptTmvMin,</v>
      </c>
      <c r="T20" s="63" t="str">
        <f t="shared" si="49"/>
        <v xml:space="preserve">								("StkConceptTmvMin"),</v>
      </c>
      <c r="V20" s="64" t="str">
        <f t="shared" si="50"/>
        <v xml:space="preserve">								_ =&gt; _.StkConceptTmvMin,</v>
      </c>
      <c r="W20" s="63" t="str">
        <f t="shared" si="51"/>
        <v/>
      </c>
    </row>
    <row r="21" spans="1:23" customFormat="1" ht="18.75" customHeight="1" x14ac:dyDescent="0.25">
      <c r="A21" t="s">
        <v>376</v>
      </c>
      <c r="B21" t="s">
        <v>375</v>
      </c>
      <c r="C21" t="s">
        <v>1</v>
      </c>
      <c r="D21" t="str">
        <f t="shared" ref="D21:D31" si="52">SUBSTITUTE(PROPER(A21),"_","")</f>
        <v>StkConceptTmvMax</v>
      </c>
      <c r="E21" t="str">
        <f t="shared" ref="E21:E31" si="53">IFERROR(LEFT(B21, FIND("(",B21)-1),B21)</f>
        <v>decimal</v>
      </c>
      <c r="F21" s="6"/>
      <c r="G21" t="str">
        <f t="shared" ref="G21:G31" si="54">IFERROR(MID(B21,FIND("(",B21) +1, FIND(")",B21) - FIND("(",B21) - 1),"")</f>
        <v>8, 2</v>
      </c>
      <c r="H21" t="str">
        <f>+VLOOKUP(E21,'Data Type Mapping'!A:B,2,)</f>
        <v>decimal?</v>
      </c>
      <c r="I21" t="str">
        <f t="shared" ref="I21:I31" si="55">IF(H21="string",REPT(CHAR(9),2)&amp;"public const int Max"&amp;D21&amp;"Length = "&amp;G21&amp;";"&amp;$E$3,"" )</f>
        <v/>
      </c>
      <c r="J21" t="str">
        <f t="shared" ref="J21:J31" si="56"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public virtual decimal? StkConceptTmvMax { get; set; }
</v>
      </c>
      <c r="K21" s="6"/>
      <c r="L21" t="str">
        <f t="shared" ref="L21:L31" si="57">IF(K21="","",REPT(CHAR(9),1)&amp;"[Index(nameof("&amp;IF(D21="","",""&amp;D21)&amp;")"&amp;", Name="&amp;"""IX_"&amp;$B$7&amp;"_"&amp;D21&amp;""")]")</f>
        <v/>
      </c>
      <c r="M21" t="str">
        <f t="shared" ref="M21:M31" si="58">REPT(CHAR(9),2)&amp;"public virtual "&amp;IF(OR(H21="DateTime",H21="TimeSpan"),H21&amp;"?",H21)&amp;IF(C21="?","? "," ")&amp;D21&amp;" { get; set; }" &amp; "
"</f>
        <v xml:space="preserve">		public virtual decimal? StkConceptTmvMax { get; set; }
</v>
      </c>
      <c r="N21" t="str">
        <f t="shared" ref="N21:N31" si="59"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public virtual decimal? StkConceptTmvMax { get; set; }
</v>
      </c>
      <c r="O21" t="str">
        <f t="shared" ref="O21:O31" si="60">IF(OR(H21="string",H21="DateTime",H21="int"),REPT(CHAR(9),2)&amp;"public virtual "&amp;IF(OR(H21="DateTime",H21="TimeSpan"),H21&amp;"?",H21)&amp;IF(C21="?","? "," ")&amp;D21&amp;" { get; set; }"&amp;$E$3,"")</f>
        <v/>
      </c>
      <c r="P21" t="str">
        <f t="shared" ref="P21:P31" si="61">REPT(CHAR(9),7)&amp;D21&amp;" = o." &amp;D21 &amp;","</f>
        <v xml:space="preserve">							StkConceptTmvMax = o.StkConceptTmvMax,</v>
      </c>
      <c r="T21" s="63" t="str">
        <f t="shared" ref="T21:T31" si="62">REPT(CHAR(9),8)&amp;"("""&amp;D21&amp;"""),"</f>
        <v xml:space="preserve">								("StkConceptTmvMax"),</v>
      </c>
      <c r="V21" s="64" t="str">
        <f t="shared" ref="V21:V31" si="63">REPT(CHAR(9),8)&amp;"_ =&gt; _."&amp;D21&amp;","</f>
        <v xml:space="preserve">								_ =&gt; _.StkConceptTmvMax,</v>
      </c>
      <c r="W21" s="63" t="str">
        <f t="shared" ref="W21:W31" si="64"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/>
      </c>
    </row>
    <row r="22" spans="1:23" customFormat="1" ht="18.75" customHeight="1" x14ac:dyDescent="0.25">
      <c r="A22" t="s">
        <v>377</v>
      </c>
      <c r="B22" t="s">
        <v>375</v>
      </c>
      <c r="C22" t="s">
        <v>1</v>
      </c>
      <c r="D22" t="str">
        <f t="shared" si="52"/>
        <v>StkConceptSupMMin</v>
      </c>
      <c r="E22" t="str">
        <f t="shared" si="53"/>
        <v>decimal</v>
      </c>
      <c r="F22" s="6"/>
      <c r="G22" t="str">
        <f t="shared" si="54"/>
        <v>8, 2</v>
      </c>
      <c r="H22" t="str">
        <f>+VLOOKUP(E22,'Data Type Mapping'!A:B,2,)</f>
        <v>decimal?</v>
      </c>
      <c r="I22" t="str">
        <f t="shared" si="55"/>
        <v/>
      </c>
      <c r="J22" t="str">
        <f t="shared" si="56"/>
        <v xml:space="preserve">		public virtual decimal? StkConceptSupMMin { get; set; }
</v>
      </c>
      <c r="K22" s="6"/>
      <c r="L22" t="str">
        <f t="shared" si="57"/>
        <v/>
      </c>
      <c r="M22" t="str">
        <f t="shared" si="58"/>
        <v xml:space="preserve">		public virtual decimal? StkConceptSupMMin { get; set; }
</v>
      </c>
      <c r="N22" t="str">
        <f t="shared" si="59"/>
        <v xml:space="preserve">		public virtual decimal? StkConceptSupMMin { get; set; }
</v>
      </c>
      <c r="O22" t="str">
        <f t="shared" si="60"/>
        <v/>
      </c>
      <c r="P22" t="str">
        <f t="shared" si="61"/>
        <v xml:space="preserve">							StkConceptSupMMin = o.StkConceptSupMMin,</v>
      </c>
      <c r="T22" s="63" t="str">
        <f t="shared" si="62"/>
        <v xml:space="preserve">								("StkConceptSupMMin"),</v>
      </c>
      <c r="V22" s="64" t="str">
        <f t="shared" si="63"/>
        <v xml:space="preserve">								_ =&gt; _.StkConceptSupMMin,</v>
      </c>
      <c r="W22" s="63" t="str">
        <f t="shared" si="64"/>
        <v/>
      </c>
    </row>
    <row r="23" spans="1:23" customFormat="1" ht="18.75" customHeight="1" x14ac:dyDescent="0.25">
      <c r="A23" t="s">
        <v>378</v>
      </c>
      <c r="B23" t="s">
        <v>375</v>
      </c>
      <c r="C23" t="s">
        <v>1</v>
      </c>
      <c r="D23" t="str">
        <f t="shared" si="52"/>
        <v>StkConceptSupMMax</v>
      </c>
      <c r="E23" t="str">
        <f t="shared" si="53"/>
        <v>decimal</v>
      </c>
      <c r="F23" s="6"/>
      <c r="G23" t="str">
        <f t="shared" si="54"/>
        <v>8, 2</v>
      </c>
      <c r="H23" t="str">
        <f>+VLOOKUP(E23,'Data Type Mapping'!A:B,2,)</f>
        <v>decimal?</v>
      </c>
      <c r="I23" t="str">
        <f t="shared" si="55"/>
        <v/>
      </c>
      <c r="J23" t="str">
        <f t="shared" si="56"/>
        <v xml:space="preserve">		public virtual decimal? StkConceptSupMMax { get; set; }
</v>
      </c>
      <c r="K23" s="6"/>
      <c r="L23" t="str">
        <f t="shared" si="57"/>
        <v/>
      </c>
      <c r="M23" t="str">
        <f t="shared" si="58"/>
        <v xml:space="preserve">		public virtual decimal? StkConceptSupMMax { get; set; }
</v>
      </c>
      <c r="N23" t="str">
        <f t="shared" si="59"/>
        <v xml:space="preserve">		public virtual decimal? StkConceptSupMMax { get; set; }
</v>
      </c>
      <c r="O23" t="str">
        <f t="shared" si="60"/>
        <v/>
      </c>
      <c r="P23" t="str">
        <f t="shared" si="61"/>
        <v xml:space="preserve">							StkConceptSupMMax = o.StkConceptSupMMax,</v>
      </c>
      <c r="T23" s="63" t="str">
        <f t="shared" si="62"/>
        <v xml:space="preserve">								("StkConceptSupMMax"),</v>
      </c>
      <c r="V23" s="64" t="str">
        <f t="shared" si="63"/>
        <v xml:space="preserve">								_ =&gt; _.StkConceptSupMMax,</v>
      </c>
      <c r="W23" s="63" t="str">
        <f t="shared" si="64"/>
        <v/>
      </c>
    </row>
    <row r="24" spans="1:23" customFormat="1" ht="18.75" customHeight="1" x14ac:dyDescent="0.25">
      <c r="A24" t="s">
        <v>379</v>
      </c>
      <c r="B24" t="s">
        <v>375</v>
      </c>
      <c r="C24" t="s">
        <v>1</v>
      </c>
      <c r="D24" t="str">
        <f t="shared" si="52"/>
        <v>StkConceptSupPMin</v>
      </c>
      <c r="E24" t="str">
        <f t="shared" si="53"/>
        <v>decimal</v>
      </c>
      <c r="F24" s="6"/>
      <c r="G24" t="str">
        <f t="shared" si="54"/>
        <v>8, 2</v>
      </c>
      <c r="H24" t="str">
        <f>+VLOOKUP(E24,'Data Type Mapping'!A:B,2,)</f>
        <v>decimal?</v>
      </c>
      <c r="I24" t="str">
        <f t="shared" si="55"/>
        <v/>
      </c>
      <c r="J24" t="str">
        <f t="shared" si="56"/>
        <v xml:space="preserve">		public virtual decimal? StkConceptSupPMin { get; set; }
</v>
      </c>
      <c r="K24" s="6"/>
      <c r="L24" t="str">
        <f t="shared" si="57"/>
        <v/>
      </c>
      <c r="M24" t="str">
        <f t="shared" si="58"/>
        <v xml:space="preserve">		public virtual decimal? StkConceptSupPMin { get; set; }
</v>
      </c>
      <c r="N24" t="str">
        <f t="shared" si="59"/>
        <v xml:space="preserve">		public virtual decimal? StkConceptSupPMin { get; set; }
</v>
      </c>
      <c r="O24" t="str">
        <f t="shared" si="60"/>
        <v/>
      </c>
      <c r="P24" t="str">
        <f t="shared" si="61"/>
        <v xml:space="preserve">							StkConceptSupPMin = o.StkConceptSupPMin,</v>
      </c>
      <c r="T24" s="63" t="str">
        <f t="shared" si="62"/>
        <v xml:space="preserve">								("StkConceptSupPMin"),</v>
      </c>
      <c r="V24" s="64" t="str">
        <f t="shared" si="63"/>
        <v xml:space="preserve">								_ =&gt; _.StkConceptSupPMin,</v>
      </c>
      <c r="W24" s="63" t="str">
        <f t="shared" si="64"/>
        <v/>
      </c>
    </row>
    <row r="25" spans="1:23" customFormat="1" ht="18.75" customHeight="1" x14ac:dyDescent="0.25">
      <c r="A25" t="s">
        <v>380</v>
      </c>
      <c r="B25" t="s">
        <v>375</v>
      </c>
      <c r="C25" t="s">
        <v>1</v>
      </c>
      <c r="D25" t="str">
        <f t="shared" si="52"/>
        <v>StkConceptSupPMax</v>
      </c>
      <c r="E25" t="str">
        <f t="shared" si="53"/>
        <v>decimal</v>
      </c>
      <c r="F25" s="6"/>
      <c r="G25" t="str">
        <f t="shared" si="54"/>
        <v>8, 2</v>
      </c>
      <c r="H25" t="str">
        <f>+VLOOKUP(E25,'Data Type Mapping'!A:B,2,)</f>
        <v>decimal?</v>
      </c>
      <c r="I25" t="str">
        <f t="shared" si="55"/>
        <v/>
      </c>
      <c r="J25" t="str">
        <f t="shared" si="56"/>
        <v xml:space="preserve">		public virtual decimal? StkConceptSupPMax { get; set; }
</v>
      </c>
      <c r="K25" s="6"/>
      <c r="L25" t="str">
        <f t="shared" si="57"/>
        <v/>
      </c>
      <c r="M25" t="str">
        <f t="shared" si="58"/>
        <v xml:space="preserve">		public virtual decimal? StkConceptSupPMax { get; set; }
</v>
      </c>
      <c r="N25" t="str">
        <f t="shared" si="59"/>
        <v xml:space="preserve">		public virtual decimal? StkConceptSupPMax { get; set; }
</v>
      </c>
      <c r="O25" t="str">
        <f t="shared" si="60"/>
        <v/>
      </c>
      <c r="P25" t="str">
        <f t="shared" si="61"/>
        <v xml:space="preserve">							StkConceptSupPMax = o.StkConceptSupPMax,</v>
      </c>
      <c r="T25" s="63" t="str">
        <f t="shared" si="62"/>
        <v xml:space="preserve">								("StkConceptSupPMax"),</v>
      </c>
      <c r="V25" s="64" t="str">
        <f t="shared" si="63"/>
        <v xml:space="preserve">								_ =&gt; _.StkConceptSupPMax,</v>
      </c>
      <c r="W25" s="63" t="str">
        <f t="shared" si="64"/>
        <v/>
      </c>
    </row>
    <row r="26" spans="1:23" customFormat="1" ht="18.75" customHeight="1" x14ac:dyDescent="0.25">
      <c r="A26" t="s">
        <v>381</v>
      </c>
      <c r="B26" t="s">
        <v>4</v>
      </c>
      <c r="C26" t="s">
        <v>1</v>
      </c>
      <c r="D26" t="str">
        <f t="shared" si="52"/>
        <v>TmvProductPercentage</v>
      </c>
      <c r="E26" t="str">
        <f t="shared" si="53"/>
        <v>int</v>
      </c>
      <c r="F26" s="6"/>
      <c r="G26" t="str">
        <f t="shared" si="54"/>
        <v/>
      </c>
      <c r="H26" t="str">
        <f>+VLOOKUP(E26,'Data Type Mapping'!A:B,2,)</f>
        <v>int?</v>
      </c>
      <c r="I26" t="str">
        <f t="shared" si="55"/>
        <v/>
      </c>
      <c r="J26" t="str">
        <f t="shared" si="56"/>
        <v xml:space="preserve">		public virtual int? TmvProductPercentage { get; set; }
</v>
      </c>
      <c r="K26" s="6"/>
      <c r="L26" t="str">
        <f t="shared" si="57"/>
        <v/>
      </c>
      <c r="M26" t="str">
        <f t="shared" si="58"/>
        <v xml:space="preserve">		public virtual int? TmvProductPercentage { get; set; }
</v>
      </c>
      <c r="N26" t="str">
        <f t="shared" si="59"/>
        <v xml:space="preserve">		public virtual int? TmvProductPercentage { get; set; }
</v>
      </c>
      <c r="O26" t="str">
        <f t="shared" si="60"/>
        <v/>
      </c>
      <c r="P26" t="str">
        <f t="shared" si="61"/>
        <v xml:space="preserve">							TmvProductPercentage = o.TmvProductPercentage,</v>
      </c>
      <c r="T26" s="63" t="str">
        <f t="shared" si="62"/>
        <v xml:space="preserve">								("TmvProductPercentage"),</v>
      </c>
      <c r="V26" s="64" t="str">
        <f t="shared" si="63"/>
        <v xml:space="preserve">								_ =&gt; _.TmvProductPercentage,</v>
      </c>
      <c r="W26" s="63" t="str">
        <f t="shared" si="64"/>
        <v/>
      </c>
    </row>
    <row r="27" spans="1:23" customFormat="1" ht="18.75" customHeight="1" x14ac:dyDescent="0.25">
      <c r="A27" t="s">
        <v>382</v>
      </c>
      <c r="B27" t="s">
        <v>4</v>
      </c>
      <c r="C27" t="s">
        <v>1</v>
      </c>
      <c r="D27" t="str">
        <f t="shared" si="52"/>
        <v>PicMainId</v>
      </c>
      <c r="E27" t="str">
        <f t="shared" si="53"/>
        <v>int</v>
      </c>
      <c r="F27" s="6"/>
      <c r="G27" t="str">
        <f t="shared" si="54"/>
        <v/>
      </c>
      <c r="H27" t="str">
        <f>+VLOOKUP(E27,'Data Type Mapping'!A:B,2,)</f>
        <v>int?</v>
      </c>
      <c r="I27" t="str">
        <f t="shared" si="55"/>
        <v/>
      </c>
      <c r="J27" t="str">
        <f t="shared" si="56"/>
        <v xml:space="preserve">		public virtual int? PicMainId { get; set; }
</v>
      </c>
      <c r="K27" s="6"/>
      <c r="L27" t="str">
        <f t="shared" si="57"/>
        <v/>
      </c>
      <c r="M27" t="str">
        <f t="shared" si="58"/>
        <v xml:space="preserve">		public virtual int? PicMainId { get; set; }
</v>
      </c>
      <c r="N27" t="str">
        <f t="shared" si="59"/>
        <v xml:space="preserve">		public virtual int? PicMainId { get; set; }
</v>
      </c>
      <c r="O27" t="str">
        <f t="shared" si="60"/>
        <v/>
      </c>
      <c r="P27" t="str">
        <f t="shared" si="61"/>
        <v xml:space="preserve">							PicMainId = o.PicMainId,</v>
      </c>
      <c r="T27" s="63" t="str">
        <f t="shared" si="62"/>
        <v xml:space="preserve">								("PicMainId"),</v>
      </c>
      <c r="V27" s="64" t="str">
        <f t="shared" si="63"/>
        <v xml:space="preserve">								_ =&gt; _.PicMainId,</v>
      </c>
      <c r="W27" s="63" t="str">
        <f t="shared" si="64"/>
        <v/>
      </c>
    </row>
    <row r="28" spans="1:23" customFormat="1" ht="18.75" customHeight="1" x14ac:dyDescent="0.25">
      <c r="A28" t="s">
        <v>383</v>
      </c>
      <c r="B28" t="s">
        <v>384</v>
      </c>
      <c r="C28" t="s">
        <v>1</v>
      </c>
      <c r="D28" t="str">
        <f t="shared" si="52"/>
        <v>DeliveryLt</v>
      </c>
      <c r="E28" t="str">
        <f t="shared" si="53"/>
        <v>decimal</v>
      </c>
      <c r="F28" s="6"/>
      <c r="G28" t="str">
        <f t="shared" si="54"/>
        <v>18, 0</v>
      </c>
      <c r="H28" t="str">
        <f>+VLOOKUP(E28,'Data Type Mapping'!A:B,2,)</f>
        <v>decimal?</v>
      </c>
      <c r="I28" t="str">
        <f t="shared" si="55"/>
        <v/>
      </c>
      <c r="J28" t="str">
        <f t="shared" si="56"/>
        <v xml:space="preserve">		public virtual decimal? DeliveryLt { get; set; }
</v>
      </c>
      <c r="K28" s="6"/>
      <c r="L28" t="str">
        <f t="shared" si="57"/>
        <v/>
      </c>
      <c r="M28" t="str">
        <f t="shared" si="58"/>
        <v xml:space="preserve">		public virtual decimal? DeliveryLt { get; set; }
</v>
      </c>
      <c r="N28" t="str">
        <f t="shared" si="59"/>
        <v xml:space="preserve">		public virtual decimal? DeliveryLt { get; set; }
</v>
      </c>
      <c r="O28" t="str">
        <f t="shared" si="60"/>
        <v/>
      </c>
      <c r="P28" t="str">
        <f t="shared" si="61"/>
        <v xml:space="preserve">							DeliveryLt = o.DeliveryLt,</v>
      </c>
      <c r="T28" s="63" t="str">
        <f t="shared" si="62"/>
        <v xml:space="preserve">								("DeliveryLt"),</v>
      </c>
      <c r="V28" s="64" t="str">
        <f t="shared" si="63"/>
        <v xml:space="preserve">								_ =&gt; _.DeliveryLt,</v>
      </c>
      <c r="W28" s="63" t="str">
        <f t="shared" si="64"/>
        <v/>
      </c>
    </row>
    <row r="29" spans="1:23" customFormat="1" ht="18.75" customHeight="1" x14ac:dyDescent="0.25">
      <c r="A29" t="s">
        <v>385</v>
      </c>
      <c r="B29" t="s">
        <v>386</v>
      </c>
      <c r="C29" t="s">
        <v>1</v>
      </c>
      <c r="D29" t="str">
        <f t="shared" si="52"/>
        <v>ProductionShift</v>
      </c>
      <c r="E29" t="str">
        <f t="shared" si="53"/>
        <v>varchar</v>
      </c>
      <c r="F29" s="6"/>
      <c r="G29" t="str">
        <f t="shared" si="54"/>
        <v>10</v>
      </c>
      <c r="H29" t="str">
        <f>+VLOOKUP(E29,'Data Type Mapping'!A:B,2,)</f>
        <v>string</v>
      </c>
      <c r="I29" t="str">
        <f t="shared" si="55"/>
        <v xml:space="preserve">		public const int MaxProductionShiftLength = 10;
</v>
      </c>
      <c r="J29" t="str">
        <f t="shared" si="56"/>
        <v xml:space="preserve">		[StringLength(MaxProductionShiftLength)]
		public virtual string ProductionShift { get; set; }
</v>
      </c>
      <c r="K29" s="6"/>
      <c r="L29" t="str">
        <f t="shared" si="57"/>
        <v/>
      </c>
      <c r="M29" t="str">
        <f t="shared" si="58"/>
        <v xml:space="preserve">		public virtual string ProductionShift { get; set; }
</v>
      </c>
      <c r="N29" t="str">
        <f t="shared" si="59"/>
        <v xml:space="preserve">		[StringLength(MstInvGpsSupplierInfoConsts.MaxProductionShiftLength)]
		public virtual string ProductionShift { get; set; }
</v>
      </c>
      <c r="O29" t="str">
        <f t="shared" si="60"/>
        <v xml:space="preserve">		public virtual string ProductionShift { get; set; }
</v>
      </c>
      <c r="P29" t="str">
        <f t="shared" si="61"/>
        <v xml:space="preserve">							ProductionShift = o.ProductionShift,</v>
      </c>
      <c r="T29" s="63" t="str">
        <f t="shared" si="62"/>
        <v xml:space="preserve">								("ProductionShift"),</v>
      </c>
      <c r="V29" s="64" t="str">
        <f t="shared" si="63"/>
        <v xml:space="preserve">								_ =&gt; _.ProductionShift,</v>
      </c>
      <c r="W29" s="63" t="str">
        <f t="shared" si="64"/>
        <v xml:space="preserve">				.WhereIf(!string.IsNullOrWhiteSpace(input.ProductionShift), e =&gt; e.ProductionShift.Contains(input.ProductionShift))</v>
      </c>
    </row>
    <row r="30" spans="1:23" customFormat="1" ht="18.75" customHeight="1" x14ac:dyDescent="0.25">
      <c r="A30" t="s">
        <v>387</v>
      </c>
      <c r="B30" t="s">
        <v>3</v>
      </c>
      <c r="C30" t="s">
        <v>1</v>
      </c>
      <c r="D30" t="str">
        <f t="shared" si="52"/>
        <v>TcFrom</v>
      </c>
      <c r="E30" t="str">
        <f t="shared" si="53"/>
        <v>datetime</v>
      </c>
      <c r="F30" s="6"/>
      <c r="G30" t="str">
        <f t="shared" si="54"/>
        <v/>
      </c>
      <c r="H30" t="str">
        <f>+VLOOKUP(E30,'Data Type Mapping'!A:B,2,)</f>
        <v>DateTime?</v>
      </c>
      <c r="I30" t="str">
        <f t="shared" si="55"/>
        <v/>
      </c>
      <c r="J30" t="str">
        <f t="shared" si="56"/>
        <v xml:space="preserve">		public virtual DateTime? TcFrom { get; set; }
</v>
      </c>
      <c r="K30" s="6"/>
      <c r="L30" t="str">
        <f t="shared" si="57"/>
        <v/>
      </c>
      <c r="M30" t="str">
        <f t="shared" si="58"/>
        <v xml:space="preserve">		public virtual DateTime? TcFrom { get; set; }
</v>
      </c>
      <c r="N30" t="str">
        <f t="shared" si="59"/>
        <v xml:space="preserve">		public virtual DateTime? TcFrom { get; set; }
</v>
      </c>
      <c r="O30" t="str">
        <f t="shared" si="60"/>
        <v/>
      </c>
      <c r="P30" t="str">
        <f t="shared" si="61"/>
        <v xml:space="preserve">							TcFrom = o.TcFrom,</v>
      </c>
      <c r="T30" s="63" t="str">
        <f t="shared" si="62"/>
        <v xml:space="preserve">								("TcFrom"),</v>
      </c>
      <c r="V30" s="64" t="str">
        <f t="shared" si="63"/>
        <v xml:space="preserve">								_ =&gt; _.TcFrom,</v>
      </c>
      <c r="W30" s="63" t="str">
        <f t="shared" si="64"/>
        <v/>
      </c>
    </row>
    <row r="31" spans="1:23" customFormat="1" ht="18.75" customHeight="1" x14ac:dyDescent="0.25">
      <c r="A31" t="s">
        <v>388</v>
      </c>
      <c r="B31" t="s">
        <v>3</v>
      </c>
      <c r="C31" t="s">
        <v>1</v>
      </c>
      <c r="D31" t="str">
        <f t="shared" si="52"/>
        <v>TcTo</v>
      </c>
      <c r="E31" t="str">
        <f t="shared" si="53"/>
        <v>datetime</v>
      </c>
      <c r="F31" s="6"/>
      <c r="G31" t="str">
        <f t="shared" si="54"/>
        <v/>
      </c>
      <c r="H31" t="str">
        <f>+VLOOKUP(E31,'Data Type Mapping'!A:B,2,)</f>
        <v>DateTime?</v>
      </c>
      <c r="I31" t="str">
        <f t="shared" si="55"/>
        <v/>
      </c>
      <c r="J31" t="str">
        <f t="shared" si="56"/>
        <v xml:space="preserve">		public virtual DateTime? TcTo { get; set; }
</v>
      </c>
      <c r="K31" s="6"/>
      <c r="L31" t="str">
        <f t="shared" si="57"/>
        <v/>
      </c>
      <c r="M31" t="str">
        <f t="shared" si="58"/>
        <v xml:space="preserve">		public virtual DateTime? TcTo { get; set; }
</v>
      </c>
      <c r="N31" t="str">
        <f t="shared" si="59"/>
        <v xml:space="preserve">		public virtual DateTime? TcTo { get; set; }
</v>
      </c>
      <c r="O31" t="str">
        <f t="shared" si="60"/>
        <v/>
      </c>
      <c r="P31" t="str">
        <f t="shared" si="61"/>
        <v xml:space="preserve">							TcTo = o.TcTo,</v>
      </c>
      <c r="T31" s="63" t="str">
        <f t="shared" si="62"/>
        <v xml:space="preserve">								("TcTo"),</v>
      </c>
      <c r="V31" s="64" t="str">
        <f t="shared" si="63"/>
        <v xml:space="preserve">								_ =&gt; _.TcTo,</v>
      </c>
      <c r="W31" s="63" t="str">
        <f t="shared" si="64"/>
        <v/>
      </c>
    </row>
    <row r="32" spans="1:23" customFormat="1" ht="18.75" customHeight="1" x14ac:dyDescent="0.25">
      <c r="A32" t="s">
        <v>389</v>
      </c>
      <c r="B32" t="s">
        <v>4</v>
      </c>
      <c r="C32" t="s">
        <v>1</v>
      </c>
      <c r="D32" t="str">
        <f>SUBSTITUTE(PROPER(A32),"_","")</f>
        <v>OrderTrip</v>
      </c>
      <c r="E32" t="str">
        <f>IFERROR(LEFT(B32, FIND("(",B32)-1),B32)</f>
        <v>int</v>
      </c>
      <c r="F32" s="6"/>
      <c r="G32" t="str">
        <f>IFERROR(MID(B32,FIND("(",B32) +1, FIND(")",B32) - FIND("(",B32) - 1),"")</f>
        <v/>
      </c>
      <c r="H32" t="str">
        <f>+VLOOKUP(E32,'Data Type Mapping'!A:B,2,)</f>
        <v>int?</v>
      </c>
      <c r="I32" t="str">
        <f>IF(H32="string",REPT(CHAR(9),2)&amp;"public const int Max"&amp;D32&amp;"Length = "&amp;G32&amp;";"&amp;$E$3,"" )</f>
        <v/>
      </c>
      <c r="J32" t="str">
        <f>IF(F32="","",REPT(CHAR(9),2)&amp;"[Column(TypeName="""&amp;F32&amp;""")]"&amp;$E$3)&amp;IF(C32="Checked","",$I$3)&amp;IF(H32="string",REPT(CHAR(9),2)&amp;"[StringLength(Max"&amp;D32&amp;"Length"&amp;")]"&amp;$E$3,"")&amp;REPT(CHAR(9),2)&amp;"public virtual "&amp;H32&amp;IF(C32="?","? "," ")&amp;D32&amp;" { get; set; }" &amp; "
"</f>
        <v xml:space="preserve">		public virtual int? OrderTrip { get; set; }
</v>
      </c>
      <c r="K32" s="6"/>
      <c r="L32" t="str">
        <f>IF(K32="","",REPT(CHAR(9),1)&amp;"[Index(nameof("&amp;IF(D32="","",""&amp;D32)&amp;")"&amp;", Name="&amp;"""IX_"&amp;$B$7&amp;"_"&amp;D32&amp;""")]")</f>
        <v/>
      </c>
      <c r="M32" t="str">
        <f>REPT(CHAR(9),2)&amp;"public virtual "&amp;IF(OR(H32="DateTime",H32="TimeSpan"),H32&amp;"?",H32)&amp;IF(C32="?","? "," ")&amp;D32&amp;" { get; set; }" &amp; "
"</f>
        <v xml:space="preserve">		public virtual int? OrderTrip { get; set; }
</v>
      </c>
      <c r="N32" t="str">
        <f>IF(C32="Checked","",$I$3)&amp;IF(H32="string",REPT(CHAR(9),2)&amp;"[StringLength("&amp;$B$3&amp;"Consts.Max"&amp;D32&amp;"Length"&amp;")]"&amp;$E$3,"")&amp;REPT(CHAR(9),2)&amp;"public virtual "&amp;IF(OR(H32="DateTime",H32="TimeSpan"),H32&amp;"?",H32)&amp;IF(C32="?","? "," ")&amp;D32&amp;" { get; set; }" &amp; "
"</f>
        <v xml:space="preserve">		public virtual int? OrderTrip { get; set; }
</v>
      </c>
      <c r="O32" t="str">
        <f>IF(OR(H32="string",H32="DateTime",H32="int"),REPT(CHAR(9),2)&amp;"public virtual "&amp;IF(OR(H32="DateTime",H32="TimeSpan"),H32&amp;"?",H32)&amp;IF(C32="?","? "," ")&amp;D32&amp;" { get; set; }"&amp;$E$3,"")</f>
        <v/>
      </c>
      <c r="P32" t="str">
        <f>REPT(CHAR(9),7)&amp;D32&amp;" = o." &amp;D32 &amp;","</f>
        <v xml:space="preserve">							OrderTrip = o.OrderTrip,</v>
      </c>
      <c r="T32" s="63" t="str">
        <f>REPT(CHAR(9),8)&amp;"("""&amp;D32&amp;"""),"</f>
        <v xml:space="preserve">								("OrderTrip"),</v>
      </c>
      <c r="V32" s="64" t="str">
        <f>REPT(CHAR(9),8)&amp;"_ =&gt; _."&amp;D32&amp;","</f>
        <v xml:space="preserve">								_ =&gt; _.OrderTrip,</v>
      </c>
      <c r="W32" s="63" t="str">
        <f>IF(H32="string",REPT(CHAR(9),4)&amp;".WhereIf(!string.IsNullOrWhiteSpace(input."&amp;D32&amp;"), e =&gt; e."&amp;D32&amp;".Contains(input."&amp;D32&amp;"))",IF(H32="DateTime",REPT(CHAR(9),4)&amp;".WhereIf(input."&amp;D32&amp;".HasValue, t =&gt; t."&amp;D32&amp;" == input."&amp;D32&amp;".Value)",""))</f>
        <v/>
      </c>
    </row>
    <row r="33" spans="1:23" customFormat="1" ht="18.75" customHeight="1" x14ac:dyDescent="0.25">
      <c r="A33" t="s">
        <v>390</v>
      </c>
      <c r="B33" t="s">
        <v>391</v>
      </c>
      <c r="C33" t="s">
        <v>1</v>
      </c>
      <c r="D33" t="str">
        <f>SUBSTITUTE(PROPER(A33),"_","")</f>
        <v>SupplierNameEn</v>
      </c>
      <c r="E33" t="str">
        <f>IFERROR(LEFT(B33, FIND("(",B33)-1),B33)</f>
        <v>varchar</v>
      </c>
      <c r="F33" s="6"/>
      <c r="G33" t="str">
        <f>IFERROR(MID(B33,FIND("(",B33) +1, FIND(")",B33) - FIND("(",B33) - 1),"")</f>
        <v>100</v>
      </c>
      <c r="H33" t="str">
        <f>+VLOOKUP(E33,'Data Type Mapping'!A:B,2,)</f>
        <v>string</v>
      </c>
      <c r="I33" t="str">
        <f>IF(H33="string",REPT(CHAR(9),2)&amp;"public const int Max"&amp;D33&amp;"Length = "&amp;G33&amp;";"&amp;$E$3,"" )</f>
        <v xml:space="preserve">		public const int MaxSupplierNameEnLength = 100;
</v>
      </c>
      <c r="J33" t="str">
        <f>IF(F33="","",REPT(CHAR(9),2)&amp;"[Column(TypeName="""&amp;F33&amp;""")]"&amp;$E$3)&amp;IF(C33="Checked","",$I$3)&amp;IF(H33="string",REPT(CHAR(9),2)&amp;"[StringLength(Max"&amp;D33&amp;"Length"&amp;")]"&amp;$E$3,"")&amp;REPT(CHAR(9),2)&amp;"public virtual "&amp;H33&amp;IF(C33="?","? "," ")&amp;D33&amp;" { get; set; }" &amp; "
"</f>
        <v xml:space="preserve">		[StringLength(MaxSupplierNameEnLength)]
		public virtual string SupplierNameEn { get; set; }
</v>
      </c>
      <c r="K33" s="6"/>
      <c r="L33" t="str">
        <f>IF(K33="","",REPT(CHAR(9),1)&amp;"[Index(nameof("&amp;IF(D33="","",""&amp;D33)&amp;")"&amp;", Name="&amp;"""IX_"&amp;$B$7&amp;"_"&amp;D33&amp;""")]")</f>
        <v/>
      </c>
      <c r="M33" t="str">
        <f>REPT(CHAR(9),2)&amp;"public virtual "&amp;IF(OR(H33="DateTime",H33="TimeSpan"),H33&amp;"?",H33)&amp;IF(C33="?","? "," ")&amp;D33&amp;" { get; set; }" &amp; "
"</f>
        <v xml:space="preserve">		public virtual string SupplierNameEn { get; set; }
</v>
      </c>
      <c r="N33" t="str">
        <f>IF(C33="Checked","",$I$3)&amp;IF(H33="string",REPT(CHAR(9),2)&amp;"[StringLength("&amp;$B$3&amp;"Consts.Max"&amp;D33&amp;"Length"&amp;")]"&amp;$E$3,"")&amp;REPT(CHAR(9),2)&amp;"public virtual "&amp;IF(OR(H33="DateTime",H33="TimeSpan"),H33&amp;"?",H33)&amp;IF(C33="?","? "," ")&amp;D33&amp;" { get; set; }" &amp; "
"</f>
        <v xml:space="preserve">		[StringLength(MstInvGpsSupplierInfoConsts.MaxSupplierNameEnLength)]
		public virtual string SupplierNameEn { get; set; }
</v>
      </c>
      <c r="O33" t="str">
        <f>IF(OR(H33="string",H33="DateTime",H33="int"),REPT(CHAR(9),2)&amp;"public virtual "&amp;IF(OR(H33="DateTime",H33="TimeSpan"),H33&amp;"?",H33)&amp;IF(C33="?","? "," ")&amp;D33&amp;" { get; set; }"&amp;$E$3,"")</f>
        <v xml:space="preserve">		public virtual string SupplierNameEn { get; set; }
</v>
      </c>
      <c r="P33" t="str">
        <f>REPT(CHAR(9),7)&amp;D33&amp;" = o." &amp;D33 &amp;","</f>
        <v xml:space="preserve">							SupplierNameEn = o.SupplierNameEn,</v>
      </c>
      <c r="T33" s="63" t="str">
        <f>REPT(CHAR(9),8)&amp;"("""&amp;D33&amp;"""),"</f>
        <v xml:space="preserve">								("SupplierNameEn"),</v>
      </c>
      <c r="V33" s="64" t="str">
        <f>REPT(CHAR(9),8)&amp;"_ =&gt; _."&amp;D33&amp;","</f>
        <v xml:space="preserve">								_ =&gt; _.SupplierNameEn,</v>
      </c>
      <c r="W33" s="63" t="str">
        <f>IF(H33="string",REPT(CHAR(9),4)&amp;".WhereIf(!string.IsNullOrWhiteSpace(input."&amp;D33&amp;"), e =&gt; e."&amp;D33&amp;".Contains(input."&amp;D33&amp;"))",IF(H33="DateTime",REPT(CHAR(9),4)&amp;".WhereIf(input."&amp;D33&amp;".HasValue, t =&gt; t."&amp;D33&amp;" == input."&amp;D33&amp;".Value)",""))</f>
        <v xml:space="preserve">				.WhereIf(!string.IsNullOrWhiteSpace(input.SupplierNameEn), e =&gt; e.SupplierNameEn.Contains(input.SupplierNameEn))</v>
      </c>
    </row>
    <row r="34" spans="1:23" customFormat="1" ht="18.75" customHeight="1" x14ac:dyDescent="0.25">
      <c r="A34" t="s">
        <v>318</v>
      </c>
      <c r="B34" t="s">
        <v>355</v>
      </c>
      <c r="C34" t="s">
        <v>1</v>
      </c>
      <c r="D34" t="str">
        <f t="shared" ref="D34" si="65">SUBSTITUTE(PROPER(A34),"_","")</f>
        <v>IsActive</v>
      </c>
      <c r="E34" t="str">
        <f t="shared" ref="E34" si="66">IFERROR(LEFT(B34, FIND("(",B34)-1),B34)</f>
        <v>varchar</v>
      </c>
      <c r="F34" s="6"/>
      <c r="G34" t="str">
        <f t="shared" ref="G34" si="67">IFERROR(MID(B34,FIND("(",B34) +1, FIND(")",B34) - FIND("(",B34) - 1),"")</f>
        <v>1</v>
      </c>
      <c r="H34" t="str">
        <f>+VLOOKUP(E34,'Data Type Mapping'!A:B,2,)</f>
        <v>string</v>
      </c>
      <c r="I34" t="str">
        <f t="shared" ref="I34" si="68">IF(H34="string",REPT(CHAR(9),2)&amp;"public const int Max"&amp;D34&amp;"Length = "&amp;G34&amp;";"&amp;$E$3,"" )</f>
        <v xml:space="preserve">		public const int MaxIsActiveLength = 1;
</v>
      </c>
      <c r="J34" t="str">
        <f t="shared" ref="J34" si="69">IF(F34="","",REPT(CHAR(9),2)&amp;"[Column(TypeName="""&amp;F34&amp;""")]"&amp;$E$3)&amp;IF(C34="Checked","",$I$3)&amp;IF(H34="string",REPT(CHAR(9),2)&amp;"[StringLength(Max"&amp;D34&amp;"Length"&amp;")]"&amp;$E$3,"")&amp;REPT(CHAR(9),2)&amp;"public virtual "&amp;H34&amp;IF(C34="?","? "," ")&amp;D34&amp;" { get; set; }" &amp; "
"</f>
        <v xml:space="preserve">		[StringLength(MaxIsActiveLength)]
		public virtual string IsActive { get; set; }
</v>
      </c>
      <c r="K34" s="6"/>
      <c r="L34" t="str">
        <f t="shared" ref="L34" si="70">IF(K34="","",REPT(CHAR(9),1)&amp;"[Index(nameof("&amp;IF(D34="","",""&amp;D34)&amp;")"&amp;", Name="&amp;"""IX_"&amp;$B$7&amp;"_"&amp;D34&amp;""")]")</f>
        <v/>
      </c>
      <c r="M34" t="str">
        <f t="shared" ref="M34" si="71">REPT(CHAR(9),2)&amp;"public virtual "&amp;IF(OR(H34="DateTime",H34="TimeSpan"),H34&amp;"?",H34)&amp;IF(C34="?","? "," ")&amp;D34&amp;" { get; set; }" &amp; "
"</f>
        <v xml:space="preserve">		public virtual string IsActive { get; set; }
</v>
      </c>
      <c r="N34" t="str">
        <f t="shared" ref="N34" si="72">IF(C34="Checked","",$I$3)&amp;IF(H34="string",REPT(CHAR(9),2)&amp;"[StringLength("&amp;$B$3&amp;"Consts.Max"&amp;D34&amp;"Length"&amp;")]"&amp;$E$3,"")&amp;REPT(CHAR(9),2)&amp;"public virtual "&amp;IF(OR(H34="DateTime",H34="TimeSpan"),H34&amp;"?",H34)&amp;IF(C34="?","? "," ")&amp;D34&amp;" { get; set; }" &amp; "
"</f>
        <v xml:space="preserve">		[StringLength(MstInvGpsSupplierInfoConsts.MaxIsActiveLength)]
		public virtual string IsActive { get; set; }
</v>
      </c>
      <c r="O34" t="str">
        <f t="shared" ref="O34" si="73">IF(OR(H34="string",H34="DateTime",H34="int"),REPT(CHAR(9),2)&amp;"public virtual "&amp;IF(OR(H34="DateTime",H34="TimeSpan"),H34&amp;"?",H34)&amp;IF(C34="?","? "," ")&amp;D34&amp;" { get; set; }"&amp;$E$3,"")</f>
        <v xml:space="preserve">		public virtual string IsActive { get; set; }
</v>
      </c>
      <c r="P34" t="str">
        <f t="shared" ref="P34" si="74">REPT(CHAR(9),7)&amp;D34&amp;" = o." &amp;D34 &amp;","</f>
        <v xml:space="preserve">							IsActive = o.IsActive,</v>
      </c>
      <c r="T34" s="63" t="str">
        <f t="shared" ref="T34" si="75">REPT(CHAR(9),8)&amp;"("""&amp;D34&amp;"""),"</f>
        <v xml:space="preserve">								("IsActive"),</v>
      </c>
      <c r="V34" s="64" t="str">
        <f t="shared" ref="V34" si="76">REPT(CHAR(9),8)&amp;"_ =&gt; _."&amp;D34&amp;","</f>
        <v xml:space="preserve">								_ =&gt; _.IsActive,</v>
      </c>
      <c r="W34" s="63" t="str">
        <f t="shared" ref="W34" si="77">IF(H34="string",REPT(CHAR(9),4)&amp;".WhereIf(!string.IsNullOrWhiteSpace(input."&amp;D34&amp;"), e =&gt; e."&amp;D34&amp;".Contains(input."&amp;D34&amp;"))",IF(H34="DateTime",REPT(CHAR(9),4)&amp;".WhereIf(input."&amp;D34&amp;".HasValue, t =&gt; t."&amp;D34&amp;" == input."&amp;D34&amp;".Value)",""))</f>
        <v xml:space="preserve">				.WhereIf(!string.IsNullOrWhiteSpace(input.IsActive), e =&gt; e.IsActive.Contains(input.IsActive))</v>
      </c>
    </row>
    <row r="36" spans="1:23" ht="45.75" customHeight="1" x14ac:dyDescent="0.25">
      <c r="H36" s="11"/>
      <c r="I36" s="31" t="str">
        <f ca="1">TEXTJOIN2("
", TRUE,INDIRECT( $H$1):INDIRECT( $H$3))</f>
        <v xml:space="preserve">		public const int MaxSupplierCodeLength = 10;
		public const int MaxSupplierPlantCodeLength = 1;
		public const int MaxSupplierNameLength = 100;
		public const int MaxAddressLength = 100;
		public const int MaxDockXLength = 20;
		public const int MaxDockXAddressLength = 100;
		public const int MaxDeliveryMethodLength = 20;
		public const int MaxDeliveryFrequencyLength = 3;
		public const int MaxCdLength = 40;
		public const int MaxOrderDateTypeLength = 5;
		public const int MaxKeihenTypeLength = 5;
		public const int MaxProductionShiftLength = 10;
		public const int MaxSupplierNameEnLength = 100;
		public const int MaxIsActiveLength = 1;
</v>
      </c>
      <c r="J36" s="30" t="str">
        <f ca="1">TEXTJOIN2("
", TRUE,INDIRECT( $F$1):INDIRECT( $F$3))</f>
        <v xml:space="preserve">		[StringLength(MaxSupplierCodeLength)]
		public virtual string SupplierCode { get; set; }
		[StringLength(MaxSupplierPlantCodeLength)]
		public virtual string SupplierPlantCode { get; set; }
		[StringLength(MaxSupplierNameLength)]
		public virtual string SupplierName { get; set; }
		[StringLength(MaxAddressLength)]
		public virtual string Address { get; set; }
		[StringLength(MaxDockXLength)]
		public virtual string DockX { get; set; }
		[StringLength(MaxDockXAddressLength)]
		public virtual string DockXAddress { get; set; }
		[StringLength(MaxDeliveryMethodLength)]
		public virtual string DeliveryMethod { get; set; }
		[StringLength(MaxDeliveryFrequencyLength)]
		public virtual string DeliveryFrequency { get; set; }
		[StringLength(MaxCdLength)]
		public virtual string Cd { get; set; }
		[StringLength(MaxOrderDateTypeLength)]
		public virtual string OrderDateType { get; set; }
		[StringLength(MaxKeihenTypeLength)]
		public virtual string KeihenType { get; set; }
		public virtual decimal? StkConceptTmvMin { get; set; }
		public virtual decimal? StkConceptTmvMax { get; set; }
		public virtual decimal? StkConceptSupMMin { get; set; }
		public virtual decimal? StkConceptSupMMax { get; set; }
		public virtual decimal? StkConceptSupPMin { get; set; }
		public virtual decimal? StkConceptSupPMax { get; set; }
		public virtual int? TmvProductPercentage { get; set; }
		public virtual int? PicMainId { get; set; }
		public virtual decimal? DeliveryLt { get; set; }
		[StringLength(MaxProductionShiftLength)]
		public virtual string ProductionShift { get; set; }
		public virtual DateTime? TcFrom { get; set; }
		public virtual DateTime? TcTo { get; set; }
		public virtual int? OrderTrip { get; set; }
		[StringLength(MaxSupplierNameEnLength)]
		public virtual string SupplierNameEn { get; set; }
		[StringLength(MaxIsActiveLength)]
		public virtual string IsActive { get; set; }
</v>
      </c>
      <c r="K36" s="32" t="str">
        <f ca="1">TEXTJOIN2("
", TRUE,INDIRECT( $J$1):INDIRECT( $J$3))</f>
        <v/>
      </c>
      <c r="L36" s="12" t="s">
        <v>56</v>
      </c>
      <c r="M36" s="33" t="str">
        <f ca="1">TEXTJOIN2("
",TRUE,INDIRECT( $L$1):INDIRECT($L$3))</f>
        <v xml:space="preserve">		public virtual string SupplierCode { get; set; }
		public virtual string SupplierPlantCode { get; set; }
		public virtual string SupplierName { get; set; }
		public virtual string Address { get; set; }
		public virtual string DockX { get; set; }
		public virtual string DockXAddress { get; set; }
		public virtual string DeliveryMethod { get; set; }
		public virtual string DeliveryFrequency { get; set; }
		public virtual string Cd { get; set; }
		public virtual string OrderDateType { get; set; }
		public virtual string KeihenType { get; set; }
		public virtual decimal? StkConceptTmvMin { get; set; }
		public virtual decimal? StkConceptTmvMax { get; set; }
		public virtual decimal? StkConceptSupMMin { get; set; }
		public virtual decimal? StkConceptSupMMax { get; set; }
		public virtual decimal? StkConceptSupPMin { get; set; }
		public virtual decimal? StkConceptSupPMax { get; set; }
		public virtual int? TmvProductPercentage { get; set; }
		public virtual int? PicMainId { get; set; }
		public virtual decimal? DeliveryLt { get; set; }
		public virtual string ProductionShift { get; set; }
		public virtual DateTime? TcFrom { get; set; }
		public virtual DateTime? TcTo { get; set; }
		public virtual int? OrderTrip { get; set; }
		public virtual string SupplierNameEn { get; set; }
		public virtual string IsActive { get; set; }
</v>
      </c>
      <c r="N36" s="30" t="str">
        <f ca="1">TEXTJOIN2("
",TRUE,INDIRECT( $M$1):INDIRECT($M$3))</f>
        <v xml:space="preserve">		[StringLength(MstInvGpsSupplierInfoConsts.MaxSupplierCodeLength)]
		public virtual string SupplierCode { get; set; }
		[StringLength(MstInvGpsSupplierInfoConsts.MaxSupplierPlantCodeLength)]
		public virtual string SupplierPlantCode { get; set; }
		[StringLength(MstInvGpsSupplierInfoConsts.MaxSupplierNameLength)]
		public virtual string SupplierName { get; set; }
		[StringLength(MstInvGpsSupplierInfoConsts.MaxAddressLength)]
		public virtual string Address { get; set; }
		[StringLength(MstInvGpsSupplierInfoConsts.MaxDockXLength)]
		public virtual string DockX { get; set; }
		[StringLength(MstInvGpsSupplierInfoConsts.MaxDockXAddressLength)]
		public virtual string DockXAddress { get; set; }
		[StringLength(MstInvGpsSupplierInfoConsts.MaxDeliveryMethodLength)]
		public virtual string DeliveryMethod { get; set; }
		[StringLength(MstInvGpsSupplierInfoConsts.MaxDeliveryFrequencyLength)]
		public virtual string DeliveryFrequency { get; set; }
		[StringLength(MstInvGpsSupplierInfoConsts.MaxCdLength)]
		public virtual string Cd { get; set; }
		[StringLength(MstInvGpsSupplierInfoConsts.MaxOrderDateTypeLength)]
		public virtual string OrderDateType { get; set; }
		[StringLength(MstInvGpsSupplierInfoConsts.MaxKeihenTypeLength)]
		public virtual string KeihenType { get; set; }
		public virtual decimal? StkConceptTmvMin { get; set; }
		public virtual decimal? StkConceptTmvMax { get; set; }
		public virtual decimal? StkConceptSupMMin { get; set; }
		public virtual decimal? StkConceptSupMMax { get; set; }
		public virtual decimal? StkConceptSupPMin { get; set; }
		public virtual decimal? StkConceptSupPMax { get; set; }
		public virtual int? TmvProductPercentage { get; set; }
		public virtual int? PicMainId { get; set; }
		public virtual decimal? DeliveryLt { get; set; }
		[StringLength(MstInvGpsSupplierInfoConsts.MaxProductionShiftLength)]
		public virtual string ProductionShift { get; set; }
		public virtual DateTime? TcFrom { get; set; }
		public virtual DateTime? TcTo { get; set; }
		public virtual int? OrderTrip { get; set; }
		[StringLength(MstInvGpsSupplierInfoConsts.MaxSupplierNameEnLength)]
		public virtual string SupplierNameEn { get; set; }
		[StringLength(MstInvGpsSupplierInfoConsts.MaxIsActiveLength)]
		public virtual string IsActive { get; set; }
</v>
      </c>
      <c r="O36" s="30" t="str">
        <f ca="1">TEXTJOIN2("
",TRUE,INDIRECT( $N$1):INDIRECT($N$3))</f>
        <v xml:space="preserve">		public virtual string SupplierCode { get; set; }
		public virtual string SupplierPlantCode { get; set; }
		public virtual string SupplierName { get; set; }
		public virtual string Address { get; set; }
		public virtual string DockX { get; set; }
		public virtual string DockXAddress { get; set; }
		public virtual string DeliveryMethod { get; set; }
		public virtual string DeliveryFrequency { get; set; }
		public virtual string Cd { get; set; }
		public virtual string OrderDateType { get; set; }
		public virtual string KeihenType { get; set; }
		public virtual string ProductionShift { get; set; }
		public virtual string SupplierNameEn { get; set; }
		public virtual string IsActive { get; set; }
</v>
      </c>
      <c r="P36" s="8" t="str">
        <f ca="1">TEXTJOIN2("
",TRUE,INDIRECT( $O$1):INDIRECT($O$3))</f>
        <v xml:space="preserve">							SupplierCode = o.SupplierCode,
							SupplierPlantCode = o.SupplierPlantCode,
							SupplierName = o.SupplierName,
							Address = o.Address,
							DockX = o.DockX,
							DockXAddress = o.DockXAddress,
							DeliveryMethod = o.DeliveryMethod,
							DeliveryFrequency = o.DeliveryFrequency,
							Cd = o.Cd,
							OrderDateType = o.OrderDateType,
							KeihenType = o.KeihenType,
							StkConceptTmvMin = o.StkConceptTmvMin,
							StkConceptTmvMax = o.StkConceptTmvMax,
							StkConceptSupMMin = o.StkConceptSupMMin,
							StkConceptSupMMax = o.StkConceptSupMMax,
							StkConceptSupPMin = o.StkConceptSupPMin,
							StkConceptSupPMax = o.StkConceptSupPMax,
							TmvProductPercentage = o.TmvProductPercentage,
							PicMainId = o.PicMainId,
							DeliveryLt = o.DeliveryLt,
							ProductionShift = o.ProductionShift,
							TcFrom = o.TcFrom,
							TcTo = o.TcTo,
							OrderTrip = o.OrderTrip,
							SupplierNameEn = o.SupplierNameEn,
							IsActive = o.IsActive,</v>
      </c>
      <c r="T36" s="8" t="str">
        <f ca="1">TEXTJOIN2("
",TRUE,INDIRECT( $T$2):INDIRECT($T$3))</f>
        <v xml:space="preserve">								("SupplierCode"),
								("SupplierPlantCode"),
								("SupplierName"),
								("Address"),
								("DockX"),
								("DockXAddress"),
								("DeliveryMethod"),
								("DeliveryFrequency"),
								("Cd"),
								("OrderDateType"),
								("KeihenType"),
								("StkConceptTmvMin"),
								("StkConceptTmvMax"),
								("StkConceptSupMMin"),
								("StkConceptSupMMax"),
								("StkConceptSupPMin"),
								("StkConceptSupPMax"),
								("TmvProductPercentage"),
								("PicMainId"),
								("DeliveryLt"),
								("ProductionShift"),
								("TcFrom"),
								("TcTo"),
								("OrderTrip"),
								("SupplierNameEn"),
								("IsActive"),</v>
      </c>
      <c r="V36" s="8" t="str">
        <f ca="1">TEXTJOIN2("
",TRUE,INDIRECT( $V$2):INDIRECT($V$3))</f>
        <v xml:space="preserve">								_ =&gt; _.SupplierCode,
								_ =&gt; _.SupplierPlantCode,
								_ =&gt; _.SupplierName,
								_ =&gt; _.Address,
								_ =&gt; _.DockX,
								_ =&gt; _.DockXAddress,
								_ =&gt; _.DeliveryMethod,
								_ =&gt; _.DeliveryFrequency,
								_ =&gt; _.Cd,
								_ =&gt; _.OrderDateType,
								_ =&gt; _.KeihenType,
								_ =&gt; _.StkConceptTmvMin,
								_ =&gt; _.StkConceptTmvMax,
								_ =&gt; _.StkConceptSupMMin,
								_ =&gt; _.StkConceptSupMMax,
								_ =&gt; _.StkConceptSupPMin,
								_ =&gt; _.StkConceptSupPMax,
								_ =&gt; _.TmvProductPercentage,
								_ =&gt; _.PicMainId,
								_ =&gt; _.DeliveryLt,
								_ =&gt; _.ProductionShift,
								_ =&gt; _.TcFrom,
								_ =&gt; _.TcTo,
								_ =&gt; _.OrderTrip,
								_ =&gt; _.SupplierNameEn,
								_ =&gt; _.IsActive,</v>
      </c>
      <c r="W36" s="8" t="str">
        <f ca="1">TEXTJOIN2("
",TRUE,INDIRECT( $W$2):INDIRECT($W$3))</f>
        <v xml:space="preserve">				.WhereIf(!string.IsNullOrWhiteSpace(input.SupplierCode), e =&gt; e.SupplierCode.Contains(input.SupplierCode))
				.WhereIf(!string.IsNullOrWhiteSpace(input.SupplierPlantCode), e =&gt; e.SupplierPlantCode.Contains(input.SupplierPlantCode))
				.WhereIf(!string.IsNullOrWhiteSpace(input.SupplierName), e =&gt; e.SupplierName.Contains(input.SupplierName))
				.WhereIf(!string.IsNullOrWhiteSpace(input.Address), e =&gt; e.Address.Contains(input.Address))
				.WhereIf(!string.IsNullOrWhiteSpace(input.DockX), e =&gt; e.DockX.Contains(input.DockX))
				.WhereIf(!string.IsNullOrWhiteSpace(input.DockXAddress), e =&gt; e.DockXAddress.Contains(input.DockXAddress))
				.WhereIf(!string.IsNullOrWhiteSpace(input.DeliveryMethod), e =&gt; e.DeliveryMethod.Contains(input.DeliveryMethod))
				.WhereIf(!string.IsNullOrWhiteSpace(input.DeliveryFrequency), e =&gt; e.DeliveryFrequency.Contains(input.DeliveryFrequency))
				.WhereIf(!string.IsNullOrWhiteSpace(input.Cd), e =&gt; e.Cd.Contains(input.Cd))
				.WhereIf(!string.IsNullOrWhiteSpace(input.OrderDateType), e =&gt; e.OrderDateType.Contains(input.OrderDateType))
				.WhereIf(!string.IsNullOrWhiteSpace(input.KeihenType), e =&gt; e.KeihenType.Contains(input.KeihenType))
				.WhereIf(!string.IsNullOrWhiteSpace(input.ProductionShift), e =&gt; e.ProductionShift.Contains(input.ProductionShift))
				.WhereIf(!string.IsNullOrWhiteSpace(input.SupplierNameEn), e =&gt; e.SupplierNameEn.Contains(input.SupplierNameEn))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43"/>
  <sheetViews>
    <sheetView topLeftCell="A34" workbookViewId="0">
      <selection activeCell="C44" sqref="C44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38" t="s">
        <v>207</v>
      </c>
      <c r="B1" s="39" t="s">
        <v>395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Inv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inv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MstInvGpsSupplierInfo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GpsSupplierInfo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gpssupplierinfo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MstInvGpsSupplierInfoDto, MstInvGpsSupplierInfoServiceProxy } from '@shared/service-proxies/service-proxies';
import { finalize } from 'rxjs/internal/operators/finalize';
import { CreateOrEditGpsSupplierInfoModalComponent } from './create-or-edit-gpssupplierinfo-modal.component';
import { DatePipe } from '@angular/common';
import { FileDownloadService } from '@shared/utils/file-download.service';
import ceil from 'lodash-es/ceil';
import { Paginator } from 'primeng/paginator';
@Component({
    templateUrl: './gpssupplierinfo.component.html',
    styleUrls: ['./gpssupplierinfo.component.less'],
})
export class GpsSupplierInfoComponent extends AppComponentBase implements OnInit {
    @ViewChild('createOrEditModalGpsSupplierInfo', { static: true }) createOrEditModalGpsSupplierInfo:| CreateOrEditGpsSupplierInfoModalComponent|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MstInvGpsSupplierInfoDto = new MstInvGpsSupplierInfoDto();
    saveSelectedRow: MstInvGpsSupplierInfoDto = new MstInvGpsSupplierInfoDto();
    datas: MstInvGpsSupplierInfoDto = new MstInvGpsSupplierInfoDto();
    isLoading: boolean = false;
    dataParams: GridParams | undefined;
    rowData: any[] = [];
    gridApi!: GridApi;
    rowSelection = 'multiple';
    filter: string = '';
	pipe = new DatePipe('en-US');
	frameworkComponents: FrameworkComponent;
    	supplierCode : string = '' ; 
	supplierName : string = '' ; 
	address : string = '' ; 
	dockX : string = '' ; 
	dockXAddress : string = '' ; 
	deliveryMethod : string = '' ; 
	deliveryFrequency : string = '' ; 
	cd : string = '' ; 
	orderDateType : string = '' ; 
	keihenType : string = '' ; 
	productionShift : string = '' ; 
	supplierNameEn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MstInvGpsSupplierInfoServiceProxy,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Code'),headerTooltip: this.l('Supplier Code'),field: 'supplierCode',flex: 1},
			{headerName: this.l('Supplier Plant Code'),headerTooltip: this.l('Supplier Plant Code'),field:  'supplierPlantCode', cellClass: ['text-center'], width: 120, cellRenderer: 'agCellButtonComponent',
buttonDefTwo: { text: params =&gt; (params.data?.'supplierPlantCode' == 'Y') ? 'Active' : 'Inactive',iconName: 'fa fa-circle',className: params =&gt; (params.data?.'supplierPlantCode' == 'Y') ? 'btnActive' : 'btnInActive',},}
			{headerName: this.l('Supplier Name'),headerTooltip: this.l('Supplier Name'),field: 'supplierName',flex: 1},
			{headerName: this.l('Address'),headerTooltip: this.l('Address'),field: 'address',flex: 1},
			{headerName: this.l('Dock X'),headerTooltip: this.l('Dock X'),field: 'dockX',flex: 1},
			{headerName: this.l('Dock X Address'),headerTooltip: this.l('Dock X Address'),field: 'dockXAddress',flex: 1},
			{headerName: this.l('Delivery Method'),headerTooltip: this.l('Delivery Method'),field: 'deliveryMethod',flex: 1},
			{headerName: this.l('Delivery Frequency'),headerTooltip: this.l('Delivery Frequency'),field: 'deliveryFrequency',flex: 1},
			{headerName: this.l('Cd'),headerTooltip: this.l('Cd'),field: 'cd',flex: 1},
			{headerName: this.l('Order Date Type'),headerTooltip: this.l('Order Date Type'),field: 'orderDateType',flex: 1},
			{headerName: this.l('Keihen Type'),headerTooltip: this.l('Keihen Type'),field: 'keihenType',flex: 1},
			{headerName: this.l('Stk Concept Tmv Min'),headerTooltip: this.l('Stk Concept Tmv Min'),field: 'stkConceptTmvMin',flex: 1},
			{headerName: this.l('Stk Concept Tmv Max'),headerTooltip: this.l('Stk Concept Tmv Max'),field: 'stkConceptTmvMax',flex: 1},
			{headerName: this.l('Stk Concept Sup M Min'),headerTooltip: this.l('Stk Concept Sup M Min'),field: 'stkConceptSupMMin',flex: 1},
			{headerName: this.l('Stk Concept Sup M Max'),headerTooltip: this.l('Stk Concept Sup M Max'),field: 'stkConceptSupMMax',flex: 1},
			{headerName: this.l('Stk Concept Sup P Min'),headerTooltip: this.l('Stk Concept Sup P Min'),field: 'stkConceptSupPMin',flex: 1},
			{headerName: this.l('Stk Concept Sup P Max'),headerTooltip: this.l('Stk Concept Sup P Max'),field: 'stkConceptSupPMax',flex: 1},
			{headerName: this.l('Tmv Product Percentage'),headerTooltip: this.l('Tmv Product Percentage'),field: 'tmvProductPercentage',flex: 1},
			{headerName: this.l('Pic Main Id'),headerTooltip: this.l('Pic Main Id'),field: 'picMainId',flex: 1},
			{headerName: this.l('Delivery Lt'),headerTooltip: this.l('Delivery Lt'),field: 'deliveryLt',flex: 1},
			{headerName: this.l('Production Shift'),headerTooltip: this.l('Production Shift'),field: 'productionShift',flex: 1},
			{headerName: this.l('Tc From'),headerTooltip: this.l('Tc From'),field: 'tcFrom',flex: 1},
			{headerName: this.l('Tc To'),headerTooltip: this.l('Tc To'),field: 'tcTo',flex: 1},
			{headerName: this.l('Order Trip'),headerTooltip: this.l('Order Trip'),field: 'orderTrip',flex: 1},
			{headerName: this.l('Supplier Name En'),headerTooltip: this.l('Supplier Name En'),field: 'supplierNameEn',flex: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this.supplierPlantCode,
			this.supplierName,
			this.address,
			this.dockX,
			this.dockXAddress,
			this.deliveryMethod,
			this.deliveryFrequency,
			this.cd,
			this.orderDateType,
			this.deliveryLt,
			this.orderTrip,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supplierCode : string = '' ; 
	supplierName : string = '' ; 
	address : string = '' ; 
	dockX : string = '' ; 
	dockXAddress : string = '' ; 
	deliveryMethod : string = '' ; 
	deliveryFrequency : string = '' ; 
	cd : string = '' ; 
	orderDateType : string = '' ; 
	keihenType : string = '' ; 
	productionShift : string = '' ; 
	supplierNameEn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this.supplierPlantCode,
			this.supplierName,
			this.address,
			this.dockX,
			this.dockXAddress,
			this.deliveryMethod,
			this.deliveryFrequency,
			this.cd,
			this.orderDateType,
			this.deliveryLt,
			this.orderTrip,
			'',
            this.paginationParams.skipCount,
            this.paginationParams.pageSize
        );
    }
    onChangeRowSelection(params: { api: { getSelectedRows: () =&gt; MstInvGpsSupplierInfoDto[] } }) {
        this.saveSelectedRow = params.api.getSelectedRows()[0] ?? new MstInvGpsSupplierInfoDto();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MstInvGpsSupplierInfoDto):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this._service.getGpsSupplierInfoToExcel(
			this.,
			this.supplierPlantCode,
			this.supplierName,
			this.address,
			this.dockX,
			this.dockXAddress,
			this.deliveryMethod,
			this.deliveryFrequency,
			this.cd,
			this.orderDateType,
			this.deliveryLt,
			this.orderTrip,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Inventory Gps Supplier Info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[(ngModel)]='supplierCode' name='supplierCode'
									class='form-control' [placeholder]="l('Supplier Code')"
									type='text' (keyup.enter)='searchDatas()'&gt;
								&lt;/div&gt;
								&lt;div class='input-search'&gt;
									&lt;input [(ngModel)]='supplierName' name='supplierName'
									class='form-control' [placeholder]="l('Supplier Name')"
									type='text' (keyup.enter)='searchDatas()'&gt;
								&lt;/div&gt;
								&lt;div class='input-search'&gt;
									&lt;input [(ngModel)]='address' name='address'
									class='form-control' [placeholder]="l('Address')"
									type='text' (keyup.enter)='searchDatas()'&gt;
								&lt;/div&gt;
								&lt;div class='input-search'&gt;
									&lt;input [(ngModel)]='dockX' name='dockX'
									class='form-control' [placeholder]="l('Dock X')"
									type='text' (keyup.enter)='searchDatas()'&gt;
								&lt;/div&gt;
								&lt;div class='input-search'&gt;
									&lt;input [(ngModel)]='dockXAddress' name='dockXAddress'
									class='form-control' [placeholder]="l('Dock X Address')"
									type='text' (keyup.enter)='searchDatas()'&gt;
								&lt;/div&gt;
								&lt;div class='input-search'&gt;
									&lt;input [(ngModel)]='deliveryMethod' name='deliveryMethod'
									class='form-control' [placeholder]="l('Delivery Method')"
									type='text' (keyup.enter)='searchDatas()'&gt;
								&lt;/div&gt;
								&lt;div class='input-search'&gt;
									&lt;input [(ngModel)]='deliveryFrequency' name='deliveryFrequency'
									class='form-control' [placeholder]="l('Delivery Frequency')"
									type='text' (keyup.enter)='searchDatas()'&gt;
								&lt;/div&gt;
								&lt;div class='input-search'&gt;
									&lt;input [(ngModel)]='cd' name='cd'
									class='form-control' [placeholder]="l('Cd')"
									type='text' (keyup.enter)='searchDatas()'&gt;
								&lt;/div&gt;
								&lt;div class='input-search'&gt;
									&lt;input [(ngModel)]='orderDateType' name='orderDateType'
									class='form-control' [placeholder]="l('Order Date Type')"
									type='text' (keyup.enter)='searchDatas()'&gt;
								&lt;/div&gt;
								&lt;div class='input-search'&gt;
									&lt;input [(ngModel)]='keihenType' name='keihenType'
									class='form-control' [placeholder]="l('Keihen Type')"
									type='text' (keyup.enter)='searchDatas()'&gt;
								&lt;/div&gt;
								&lt;div class='input-search'&gt;
									&lt;input [(ngModel)]='productionShift' name='productionShift'
									class='form-control' [placeholder]="l('Production Shift')"
									type='text' (keyup.enter)='searchDatas()'&gt;
								&lt;/div&gt;
								&lt;div class='input-search'&gt;
									&lt;input [(ngModel)]='supplierNameEn' name='supplierNameEn'
									class='form-control' [placeholder]="l('Supplier Name En')"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(click)="createOrEditModalGpsSupplierInfo.show()"&gt;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(click)="createOrEditModalGpsSupplierInfo.show(selectedRow)"&gt;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&lt;create-or-edit-gpssupplierinfo-modal
    #createOrEditModalGpsSupplierInfo
    (modalSave)="callBackDataGrid(dataParams)"
    (modalClose)="onChangeRowSelection(dataParams)"
&gt;
&lt;/create-or-edit-gpssupplierinfo-modal&gt;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#createOrEditModalGpsSupplierInfo="bs-modal"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GpsSupplierInfo')}}&lt;/h3&gt;
                    &lt;h3 *ngIf="!rowdata.id"&gt;{{('Create New GpsSupplierInfo')}}&lt;/h3&gt;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Code&lt;/label&gt;
						&lt;input type='text' class='col-md-10 form-control input-text' name='SupplierCode' [(ngModel)]='rowdata.supplierCode'&gt;
					&lt;/div&gt;
					&lt;div class='col-md-12 form-group row'&gt;
						&lt;label class='col-md-2 form-control title'&gt;Supplier Plant Code&lt;/label&gt;
						&lt;new-checkbox [(ngModel)]='_supplierPlantCode' name='supplierPlantCode' className='col-md-10' &gt; &lt;/new-checkbox&gt;
					&lt;/div&gt;
					&lt;div class='col-md-12 form-group row'&gt;
						&lt;label class='col-md-2 form-control title'&gt;Supplier Name&lt;/label&gt;
						&lt;input type='text' class='col-md-10 form-control input-text' name='SupplierName' [(ngModel)]='rowdata.supplierName'&gt;
					&lt;/div&gt;
					&lt;div class='col-md-12 form-group row'&gt;
						&lt;label class='col-md-2 form-control title'&gt;Address&lt;/label&gt;
						&lt;input type='text' class='col-md-10 form-control input-text' name='Address' [(ngModel)]='rowdata.address'&gt;
					&lt;/div&gt;
					&lt;div class='col-md-12 form-group row'&gt;
						&lt;label class='col-md-2 form-control title'&gt;Dock X&lt;/label&gt;
						&lt;input type='text' class='col-md-10 form-control input-text' name='DockX' [(ngModel)]='rowdata.dockX'&gt;
					&lt;/div&gt;
					&lt;div class='col-md-12 form-group row'&gt;
						&lt;label class='col-md-2 form-control title'&gt;Dock X Address&lt;/label&gt;
						&lt;input type='text' class='col-md-10 form-control input-text' name='DockXAddress' [(ngModel)]='rowdata.dockXAddress'&gt;
					&lt;/div&gt;
					&lt;div class='col-md-12 form-group row'&gt;
						&lt;label class='col-md-2 form-control title'&gt;Delivery Method&lt;/label&gt;
						&lt;input type='text' class='col-md-10 form-control input-text' name='DeliveryMethod' [(ngModel)]='rowdata.deliveryMethod'&gt;
					&lt;/div&gt;
					&lt;div class='col-md-12 form-group row'&gt;
						&lt;label class='col-md-2 form-control title'&gt;Delivery Frequency&lt;/label&gt;
						&lt;input type='text' class='col-md-10 form-control input-text' name='DeliveryFrequency' [(ngModel)]='rowdata.deliveryFrequency'&gt;
					&lt;/div&gt;
					&lt;div class='col-md-12 form-group row'&gt;
						&lt;label class='col-md-2 form-control title'&gt;Cd&lt;/label&gt;
						&lt;input type='text' class='col-md-10 form-control input-text' name='Cd' [(ngModel)]='rowdata.cd'&gt;
					&lt;/div&gt;
					&lt;div class='col-md-12 form-group row'&gt;
						&lt;label class='col-md-2 form-control title'&gt;Order Date Type&lt;/label&gt;
						&lt;input type='text' class='col-md-10 form-control input-text' name='OrderDateType' [(ngModel)]='rowdata.orderDateType'&gt;
					&lt;/div&gt;
					&lt;div class='col-md-12 form-group row'&gt;
						&lt;label class='col-md-2 form-control title'&gt;Keihen Type&lt;/label&gt;
						&lt;input type='text' class='col-md-10 form-control input-text' name='KeihenType' [(ngModel)]='rowdata.keihenType'&gt;
					&lt;/div&gt;
					&lt;div class='col-md-12 form-group row'&gt;
						&lt;label class='col-md-2 form-control title'&gt;Tmv Product Percentage&lt;/label&gt;
						&lt;input type='number' class='col-md-10 form-control input-text' name='TmvProductPercentage' [(ngModel)]='rowdata.tmvProductPercentage'&gt;
					&lt;/div&gt;
					&lt;div class='col-md-12 form-group row'&gt;
						&lt;label class='col-md-2 form-control title'&gt;Pic Main Id&lt;/label&gt;
						&lt;input type='number' class='col-md-10 form-control input-text' name='PicMainId' [(ngModel)]='rowdata.picMainId'&gt;
					&lt;/div&gt;
					&lt;div class='col-md-12 form-group row'&gt;
						&lt;label class='col-md-2 form-control title'&gt;Production Shift&lt;/label&gt;
						&lt;input type='text' class='col-md-10 form-control input-text' name='ProductionShift' [(ngModel)]='rowdata.productionShift'&gt;
					&lt;/div&gt;
					&lt;div class='col-md-12 form-group row'&gt;
						&lt;label class='col-md-2 form-control title'&gt;Tc From&lt;/label&gt;
						&lt;input type='text' class='col-md-10 form-control input-text' name='tcFrom' 
						#datepicker='bsDatepicker' [(ngModel)]='rowdata.tcFrom'  bsDatepicker &gt;
					&lt;/div&gt;
					&lt;div class='col-md-12 form-group row'&gt;
						&lt;label class='col-md-2 form-control title'&gt;Tc To&lt;/label&gt;
						&lt;input type='text' class='col-md-10 form-control input-text' name='tcTo' 
						#datepicker='bsDatepicker' [(ngModel)]='rowdata.tcTo'  bsDatepicker &gt;
					&lt;/div&gt;
					&lt;div class='col-md-12 form-group row'&gt;
						&lt;label class='col-md-2 form-control title'&gt;Order Trip&lt;/label&gt;
						&lt;input type='number' class='col-md-10 form-control input-text' name='OrderTrip' [(ngModel)]='rowdata.orderTrip'&gt;
					&lt;/div&gt;
					&lt;div class='col-md-12 form-group row'&gt;
						&lt;label class='col-md-2 form-control title'&gt;Supplier Name En&lt;/label&gt;
						&lt;input type='text' class='col-md-10 form-control input-text' name='SupplierNameEn' [(ngModel)]='rowdata.supplierNameEn'&gt;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CreateOrEditMstInvGpsSupplierInfoDto, MstInvGpsSupplierInfoServiceProxy } from '@shared/service-proxies/service-proxies';
import { BsDatepickerDirective } from 'ngx-bootstrap/datepicker';
@Component({
    selector: 'create-or-edit-gpssupplierinfo-modal',
    templateUrl: './create-or-edit-gpssupplierinfo-modal.component.html',
    styleUrls: ['./create-or-edit-gpssupplierinfo-modal.component.less']
    })
export class CreateOrEditGpsSupplierInfoModalComponent extends AppComponentBase {
    @ViewChild('createOrEditModalGpsSupplierInfo',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CreateOrEditMstInvGpsSupplierInfoDto = new CreateOrEditMstInvGpsSupplierInfoDto();
    active: boolean = false;
    saving: boolean = false;
    _supplierPlantCode
isActive: boolean;
    constructor(
        injector: Injector,
        private _mstwptGpsSupplierInfoService: MstInvGpsSupplierInfoServiceProxy,
    ) 
    {
        super(injector);
    }
    show(rowdata?: CreateOrEditMstInvGpsSupplierInfoDto): void {
        if (!rowdata) this.rowdata = new CreateOrEditMstInvGpsSupplierInfoDto();
        else this.rowdata = rowdata;
        this._supplierPlantCode
isActive = (this.rowdata.supplierPlantCode
isActive == "N")? false: true;
        this.active = true;
        this.modal.show();
    } 
    changeActive(event){
        this._supplierPlantCode
isActive = event.target.checked;
    }
    save(): void {
    this.saving = true; 
    this.rowdata.supplierPlantCode
isActive = (this._supplierPlantCode
isActive == true) ? 'Y' : 'N'
    this._mstwptGpsSupplierInfoService.createOrEdit(this.rowdata)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GpsSupplierInfoRoutingModule } from './gpssupplierinfo-routing.module';
import { GpsSupplierInfoComponent } from './gpssupplierinfo.component';
import { CreateOrEditGpsSupplierInfoModalComponent } from './create-or-edit-gpssupplierinfo-modal.component';
@NgModule({
    declarations: [
       GpsSupplierInfoComponent, 
        CreateOrEditGpsSupplierInfoModalComponent
    ],
    imports: [
        AppSharedModule, GpsSupplierInfoRoutingModule]
})
export class GpsSupplierInfoModule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GpsSupplierInfoComponent } from './gpssupplierinfo.component';
const routes: Routes = [{
    path: '',
    component: GpsSupplierInfoComponent,
    pathMatch: 'full'
}];
@NgModule({
    imports: [RouterModule.forChild(routes)],
    exports: [RouterModule],
})
export class GpsSupplierInfoRoutingModule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AppMenuItem("GpsSupplierInfo", "Pages.Master.Inv.GpsSupplierInfo", "flaticon-book",   "/app/main/master/inv/gpssupplierinfo"),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'master/inv/gpssupplierinfo',
    loadChildren: () =&gt; import('./master/inv/gpssupplierinfo/gpssupplierinfo.module').then(m =&gt; m.GpsSupplierInfoModule),
    data: { permission: 'Pages.Master.Inv.GpsSupplierInfo' }
},</v>
      </c>
      <c r="R10" s="47" t="str">
        <f>SUBSTITUTE(R9,"MstWptCalendar",$B$6)</f>
        <v>ApiServiceProxies.MstInvGpsSupplierInfoServiceProxy,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H40</v>
      </c>
      <c r="I12" s="28" t="str">
        <f>"I"&amp;COUNTA($A:$A)</f>
        <v>I40</v>
      </c>
      <c r="J12" s="28"/>
      <c r="K12" s="28" t="str">
        <f>"K"&amp;COUNTA($A:$A)</f>
        <v>K40</v>
      </c>
      <c r="L12" s="28" t="str">
        <f>"L"&amp;COUNTA($A:$A)</f>
        <v>L40</v>
      </c>
      <c r="M12" s="28"/>
      <c r="N12" s="28"/>
      <c r="O12" s="28"/>
      <c r="P12" s="28"/>
      <c r="Q12" s="28"/>
      <c r="R12" s="28"/>
      <c r="S12" s="28" t="str">
        <f>"S"&amp;COUNTA($A:$A)</f>
        <v>S40</v>
      </c>
      <c r="T12" s="28" t="str">
        <f>"T"&amp;COUNTA($A:$A)</f>
        <v>T40</v>
      </c>
      <c r="U12" s="28" t="str">
        <f>"U"&amp;COUNTA($A:$A)</f>
        <v>U40</v>
      </c>
      <c r="V12" s="28" t="str">
        <f>"V"&amp;COUNTA($A:$A)</f>
        <v>V40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this.l('Supplier Code'),headerTooltip: this.l('Supplier Code'),field: 'supplierCode',flex: 1},
			{headerName: this.l('Supplier Plant Code'),headerTooltip: this.l('Supplier Plant Code'),field:  'supplierPlantCode', cellClass: ['text-center'], width: 120, cellRenderer: 'agCellButtonComponent',
buttonDefTwo: { text: params =&gt; (params.data?.'supplierPlantCode' == 'Y') ? 'Active' : 'Inactive',iconName: 'fa fa-circle',className: params =&gt; (params.data?.'supplierPlantCode' == 'Y') ? 'btnActive' : 'btnInActive',},}
			{headerName: this.l('Supplier Name'),headerTooltip: this.l('Supplier Name'),field: 'supplierName',flex: 1},
			{headerName: this.l('Address'),headerTooltip: this.l('Address'),field: 'address',flex: 1},
			{headerName: this.l('Dock X'),headerTooltip: this.l('Dock X'),field: 'dockX',flex: 1},
			{headerName: this.l('Dock X Address'),headerTooltip: this.l('Dock X Address'),field: 'dockXAddress',flex: 1},
			{headerName: this.l('Delivery Method'),headerTooltip: this.l('Delivery Method'),field: 'deliveryMethod',flex: 1},
			{headerName: this.l('Delivery Frequency'),headerTooltip: this.l('Delivery Frequency'),field: 'deliveryFrequency',flex: 1},
			{headerName: this.l('Cd'),headerTooltip: this.l('Cd'),field: 'cd',flex: 1},
			{headerName: this.l('Order Date Type'),headerTooltip: this.l('Order Date Type'),field: 'orderDateType',flex: 1},
			{headerName: this.l('Keihen Type'),headerTooltip: this.l('Keihen Type'),field: 'keihenType',flex: 1},
			{headerName: this.l('Stk Concept Tmv Min'),headerTooltip: this.l('Stk Concept Tmv Min'),field: 'stkConceptTmvMin',flex: 1},
			{headerName: this.l('Stk Concept Tmv Max'),headerTooltip: this.l('Stk Concept Tmv Max'),field: 'stkConceptTmvMax',flex: 1},
			{headerName: this.l('Stk Concept Sup M Min'),headerTooltip: this.l('Stk Concept Sup M Min'),field: 'stkConceptSupMMin',flex: 1},
			{headerName: this.l('Stk Concept Sup M Max'),headerTooltip: this.l('Stk Concept Sup M Max'),field: 'stkConceptSupMMax',flex: 1},
			{headerName: this.l('Stk Concept Sup P Min'),headerTooltip: this.l('Stk Concept Sup P Min'),field: 'stkConceptSupPMin',flex: 1},
			{headerName: this.l('Stk Concept Sup P Max'),headerTooltip: this.l('Stk Concept Sup P Max'),field: 'stkConceptSupPMax',flex: 1},
			{headerName: this.l('Tmv Product Percentage'),headerTooltip: this.l('Tmv Product Percentage'),field: 'tmvProductPercentage',flex: 1},
			{headerName: this.l('Pic Main Id'),headerTooltip: this.l('Pic Main Id'),field: 'picMainId',flex: 1},
			{headerName: this.l('Delivery Lt'),headerTooltip: this.l('Delivery Lt'),field: 'deliveryLt',flex: 1},
			{headerName: this.l('Production Shift'),headerTooltip: this.l('Production Shift'),field: 'productionShift',flex: 1},
			{headerName: this.l('Tc From'),headerTooltip: this.l('Tc From'),field: 'tcFrom',flex: 1},
			{headerName: this.l('Tc To'),headerTooltip: this.l('Tc To'),field: 'tcTo',flex: 1},
			{headerName: this.l('Order Trip'),headerTooltip: this.l('Order Trip'),field: 'orderTrip',flex: 1},
			{headerName: this.l('Supplier Name En'),headerTooltip: this.l('Supplier Name En'),field: 'supplierNameEn',flex: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[(ngModel)]='supplierCode' name='supplierCode'
									class='form-control' [placeholder]="l('Supplier Code')"
									type='text' (keyup.enter)='searchDatas()'&gt;
								&lt;/div&gt;
								&lt;div class='input-search'&gt;
									&lt;input [(ngModel)]='supplierName' name='supplierName'
									class='form-control' [placeholder]="l('Supplier Name')"
									type='text' (keyup.enter)='searchDatas()'&gt;
								&lt;/div&gt;
								&lt;div class='input-search'&gt;
									&lt;input [(ngModel)]='address' name='address'
									class='form-control' [placeholder]="l('Address')"
									type='text' (keyup.enter)='searchDatas()'&gt;
								&lt;/div&gt;
								&lt;div class='input-search'&gt;
									&lt;input [(ngModel)]='dockX' name='dockX'
									class='form-control' [placeholder]="l('Dock X')"
									type='text' (keyup.enter)='searchDatas()'&gt;
								&lt;/div&gt;
								&lt;div class='input-search'&gt;
									&lt;input [(ngModel)]='dockXAddress' name='dockXAddress'
									class='form-control' [placeholder]="l('Dock X Address')"
									type='text' (keyup.enter)='searchDatas()'&gt;
								&lt;/div&gt;
								&lt;div class='input-search'&gt;
									&lt;input [(ngModel)]='deliveryMethod' name='deliveryMethod'
									class='form-control' [placeholder]="l('Delivery Method')"
									type='text' (keyup.enter)='searchDatas()'&gt;
								&lt;/div&gt;
								&lt;div class='input-search'&gt;
									&lt;input [(ngModel)]='deliveryFrequency' name='deliveryFrequency'
									class='form-control' [placeholder]="l('Delivery Frequency')"
									type='text' (keyup.enter)='searchDatas()'&gt;
								&lt;/div&gt;
								&lt;div class='input-search'&gt;
									&lt;input [(ngModel)]='cd' name='cd'
									class='form-control' [placeholder]="l('Cd')"
									type='text' (keyup.enter)='searchDatas()'&gt;
								&lt;/div&gt;
								&lt;div class='input-search'&gt;
									&lt;input [(ngModel)]='orderDateType' name='orderDateType'
									class='form-control' [placeholder]="l('Order Date Type')"
									type='text' (keyup.enter)='searchDatas()'&gt;
								&lt;/div&gt;
								&lt;div class='input-search'&gt;
									&lt;input [(ngModel)]='keihenType' name='keihenType'
									class='form-control' [placeholder]="l('Keihen Type')"
									type='text' (keyup.enter)='searchDatas()'&gt;
								&lt;/div&gt;
								&lt;div class='input-search'&gt;
									&lt;input [(ngModel)]='productionShift' name='productionShift'
									class='form-control' [placeholder]="l('Production Shift')"
									type='text' (keyup.enter)='searchDatas()'&gt;
								&lt;/div&gt;
								&lt;div class='input-search'&gt;
									&lt;input [(ngModel)]='supplierNameEn' name='supplierNameEn'
									class='form-control' [placeholder]="l('Supplier Name En')"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title'&gt;Supplier Code&lt;/label&gt;
						&lt;input type='text' class='col-md-10 form-control input-text' name='SupplierCode' [(ngModel)]='rowdata.supplierCode'&gt;
					&lt;/div&gt;
					&lt;div class='col-md-12 form-group row'&gt;
						&lt;label class='col-md-2 form-control title'&gt;Supplier Plant Code&lt;/label&gt;
						&lt;new-checkbox [(ngModel)]='_supplierPlantCode' name='supplierPlantCode' className='col-md-10' &gt; &lt;/new-checkbox&gt;
					&lt;/div&gt;
					&lt;div class='col-md-12 form-group row'&gt;
						&lt;label class='col-md-2 form-control title'&gt;Supplier Name&lt;/label&gt;
						&lt;input type='text' class='col-md-10 form-control input-text' name='SupplierName' [(ngModel)]='rowdata.supplierName'&gt;
					&lt;/div&gt;
					&lt;div class='col-md-12 form-group row'&gt;
						&lt;label class='col-md-2 form-control title'&gt;Address&lt;/label&gt;
						&lt;input type='text' class='col-md-10 form-control input-text' name='Address' [(ngModel)]='rowdata.address'&gt;
					&lt;/div&gt;
					&lt;div class='col-md-12 form-group row'&gt;
						&lt;label class='col-md-2 form-control title'&gt;Dock X&lt;/label&gt;
						&lt;input type='text' class='col-md-10 form-control input-text' name='DockX' [(ngModel)]='rowdata.dockX'&gt;
					&lt;/div&gt;
					&lt;div class='col-md-12 form-group row'&gt;
						&lt;label class='col-md-2 form-control title'&gt;Dock X Address&lt;/label&gt;
						&lt;input type='text' class='col-md-10 form-control input-text' name='DockXAddress' [(ngModel)]='rowdata.dockXAddress'&gt;
					&lt;/div&gt;
					&lt;div class='col-md-12 form-group row'&gt;
						&lt;label class='col-md-2 form-control title'&gt;Delivery Method&lt;/label&gt;
						&lt;input type='text' class='col-md-10 form-control input-text' name='DeliveryMethod' [(ngModel)]='rowdata.deliveryMethod'&gt;
					&lt;/div&gt;
					&lt;div class='col-md-12 form-group row'&gt;
						&lt;label class='col-md-2 form-control title'&gt;Delivery Frequency&lt;/label&gt;
						&lt;input type='text' class='col-md-10 form-control input-text' name='DeliveryFrequency' [(ngModel)]='rowdata.deliveryFrequency'&gt;
					&lt;/div&gt;
					&lt;div class='col-md-12 form-group row'&gt;
						&lt;label class='col-md-2 form-control title'&gt;Cd&lt;/label&gt;
						&lt;input type='text' class='col-md-10 form-control input-text' name='Cd' [(ngModel)]='rowdata.cd'&gt;
					&lt;/div&gt;
					&lt;div class='col-md-12 form-group row'&gt;
						&lt;label class='col-md-2 form-control title'&gt;Order Date Type&lt;/label&gt;
						&lt;input type='text' class='col-md-10 form-control input-text' name='OrderDateType' [(ngModel)]='rowdata.orderDateType'&gt;
					&lt;/div&gt;
					&lt;div class='col-md-12 form-group row'&gt;
						&lt;label class='col-md-2 form-control title'&gt;Keihen Type&lt;/label&gt;
						&lt;input type='text' class='col-md-10 form-control input-text' name='KeihenType' [(ngModel)]='rowdata.keihenType'&gt;
					&lt;/div&gt;
					&lt;div class='col-md-12 form-group row'&gt;
						&lt;label class='col-md-2 form-control title'&gt;Tmv Product Percentage&lt;/label&gt;
						&lt;input type='number' class='col-md-10 form-control input-text' name='TmvProductPercentage' [(ngModel)]='rowdata.tmvProductPercentage'&gt;
					&lt;/div&gt;
					&lt;div class='col-md-12 form-group row'&gt;
						&lt;label class='col-md-2 form-control title'&gt;Pic Main Id&lt;/label&gt;
						&lt;input type='number' class='col-md-10 form-control input-text' name='PicMainId' [(ngModel)]='rowdata.picMainId'&gt;
					&lt;/div&gt;
					&lt;div class='col-md-12 form-group row'&gt;
						&lt;label class='col-md-2 form-control title'&gt;Production Shift&lt;/label&gt;
						&lt;input type='text' class='col-md-10 form-control input-text' name='ProductionShift' [(ngModel)]='rowdata.productionShift'&gt;
					&lt;/div&gt;
					&lt;div class='col-md-12 form-group row'&gt;
						&lt;label class='col-md-2 form-control title'&gt;Tc From&lt;/label&gt;
						&lt;input type='text' class='col-md-10 form-control input-text' name='tcFrom' 
						#datepicker='bsDatepicker' [(ngModel)]='rowdata.tcFrom'  bsDatepicker &gt;
					&lt;/div&gt;
					&lt;div class='col-md-12 form-group row'&gt;
						&lt;label class='col-md-2 form-control title'&gt;Tc To&lt;/label&gt;
						&lt;input type='text' class='col-md-10 form-control input-text' name='tcTo' 
						#datepicker='bsDatepicker' [(ngModel)]='rowdata.tcTo'  bsDatepicker &gt;
					&lt;/div&gt;
					&lt;div class='col-md-12 form-group row'&gt;
						&lt;label class='col-md-2 form-control title'&gt;Order Trip&lt;/label&gt;
						&lt;input type='number' class='col-md-10 form-control input-text' name='OrderTrip' [(ngModel)]='rowdata.orderTrip'&gt;
					&lt;/div&gt;
					&lt;div class='col-md-12 form-group row'&gt;
						&lt;label class='col-md-2 form-control title'&gt;Supplier Name En&lt;/label&gt;
						&lt;input type='text' class='col-md-10 form-control input-text' name='SupplierNameEn' [(ngModel)]='rowdata.supplierNameEn'&gt;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supplierCode : string = '' ; 
	supplierName : string = '' ; 
	address : string = '' ; 
	dockX : string = '' ; 
	dockXAddress : string = '' ; 
	deliveryMethod : string = '' ; 
	deliveryFrequency : string = '' ; 
	cd : string = '' ; 
	orderDateType : string = '' ; 
	keihenType : string = '' ; 
	productionShift : string = '' ; 
	supplierNameEn : string = '' ; 
</v>
      </c>
      <c r="T13" s="62" t="str">
        <f ca="1">TEXTJOIN2("
",TRUE,INDIRECT(T11):INDIRECT(T12))</f>
        <v xml:space="preserve">			this.,
			this.supplierPlantCode,
			this.supplierName,
			this.address,
			this.dockX,
			this.dockXAddress,
			this.deliveryMethod,
			this.deliveryFrequency,
			this.cd,
			this.orderDateType,
			this.deliveryLt,
			this.orderTrip,
</v>
      </c>
      <c r="U13" s="62" t="str">
        <f ca="1">TEXTJOIN2("
",TRUE,INDIRECT(U11):INDIRECT(U12))</f>
        <v xml:space="preserve">	supplierCode : string = '' ; 
	supplierName : string = '' ; 
	address : string = '' ; 
	dockX : string = '' ; 
	dockXAddress : string = '' ; 
	deliveryMethod : string = '' ; 
	deliveryFrequency : string = '' ; 
	cd : string = '' ; 
	orderDateType : string = '' ; 
	keihenType : string = '' ; 
	productionShift : string = '' ; 
	supplierNameEn : string = '' ; 
</v>
      </c>
      <c r="V13" s="28" t="str">
        <f ca="1">TEXTJOIN2("
",TRUE,INDIRECT(V11):INDIRECT(V12))</f>
        <v>supplierPlantCode
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gpssupplierinfo.component.ts</v>
      </c>
      <c r="I14" s="37" t="str">
        <f>B8&amp;".component.html"</f>
        <v>gpssupplierinfo.component.html</v>
      </c>
      <c r="J14" s="36" t="str">
        <f>B8&amp;".component.less"</f>
        <v>gpssupplierinfo.component.less</v>
      </c>
      <c r="K14" s="37" t="str">
        <f>"create-or-edit-"&amp;B8&amp;"-modal.component.html"</f>
        <v>create-or-edit-gpssupplierinfo-modal.component.html</v>
      </c>
      <c r="L14" s="37" t="str">
        <f>"create-or-edit-"&amp;B8&amp;"-modal.component.ts"</f>
        <v>create-or-edit-gpssupplierinfo-modal.component.ts</v>
      </c>
      <c r="M14" s="37" t="str">
        <f>"create-or-edit-"&amp;B8&amp;"-modal.component.less"</f>
        <v>create-or-edit-gpssupplierinfo-modal.component.less</v>
      </c>
      <c r="N14" s="37" t="str">
        <f>B8&amp;".module.ts"</f>
        <v>gpssupplierinfo.module.ts</v>
      </c>
      <c r="O14" s="37" t="str">
        <f>B8&amp;"-routing.module.ts"</f>
        <v>gpssupplierinfo-routing.module.ts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356</v>
      </c>
      <c r="B15" s="28" t="str">
        <f t="shared" ref="B15" si="0">SUBSTITUTE(PROPER(A15),"_","")</f>
        <v>SupplierCode</v>
      </c>
      <c r="C15" s="28" t="str">
        <f t="shared" ref="C15" si="1">SUBSTITUTE(PROPER(A15),"_"," ")</f>
        <v>Supplier Code</v>
      </c>
      <c r="D15" s="28" t="str">
        <f t="shared" ref="D15" si="2">LOWER(LEFT(B15,1))&amp;RIGHT(B15,LEN(B15) - 1)</f>
        <v>supplierCode</v>
      </c>
      <c r="E15" s="28" t="str">
        <f>A.Backend!H9</f>
        <v>string</v>
      </c>
      <c r="F15" s="28" t="str">
        <f>A.Backend!G9</f>
        <v>10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:H32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this.l('Supplier Code'),headerTooltip: this.l('Supplier Code'),field: 'supplierCode',flex: 1},</v>
      </c>
      <c r="I15" s="35" t="str">
        <f t="shared" ref="I15:I1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[(ngModel)]='supplierCode' name='supplierCode'
									class='form-control' [placeholder]="l('Supplier Code')"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title'&gt;Supplier Code&lt;/label&gt;
						&lt;input type='text' class='col-md-10 form-control input-text' name='SupplierCode' [(ngModel)]='rowdata.supplierCode'&gt;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supplierCode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supplierCode : string = '' ; </v>
      </c>
      <c r="V15" s="28" t="str">
        <f t="shared" ref="V15" si="7">IF(AND(E15="string",F15="1"),D15,"")</f>
        <v/>
      </c>
    </row>
    <row r="16" spans="1:22" ht="18" customHeight="1" x14ac:dyDescent="0.25">
      <c r="A16" s="28" t="s">
        <v>358</v>
      </c>
      <c r="B16" s="28" t="str">
        <f t="shared" ref="B16:B20" si="8">SUBSTITUTE(PROPER(A16),"_","")</f>
        <v>SupplierPlantCode</v>
      </c>
      <c r="C16" s="28" t="str">
        <f t="shared" ref="C16:C20" si="9">SUBSTITUTE(PROPER(A16),"_"," ")</f>
        <v>Supplier Plant Code</v>
      </c>
      <c r="D16" s="28" t="str">
        <f t="shared" ref="D16:D20" si="10">LOWER(LEFT(B16,1))&amp;RIGHT(B16,LEN(B16) - 1)</f>
        <v>supplierPlantCode</v>
      </c>
      <c r="E16" s="28" t="str">
        <f>A.Backend!H10</f>
        <v>string</v>
      </c>
      <c r="F16" s="28" t="str">
        <f>A.Backend!G10</f>
        <v>1</v>
      </c>
      <c r="G16" s="28" t="str">
        <f t="shared" ref="G16:G17" si="11">IF(E16="string"," : string = '' ; ",IF(OR(E16="DateTime",E16="TimeSpan")," : any ;",IF(E16="int"," : number = 0 ;","")))</f>
        <v xml:space="preserve"> : string = '' ; </v>
      </c>
      <c r="H16" s="35" t="str">
        <f t="shared" si="4"/>
        <v xml:space="preserve">			{headerName: this.l('Supplier Plant Code'),headerTooltip: this.l('Supplier Plant Code'),field:  'supplierPlantCode', cellClass: ['text-center'], width: 120, cellRenderer: 'agCellButtonComponent',
buttonDefTwo: { text: params =&gt; (params.data?.'supplierPlantCode' == 'Y') ? 'Active' : 'Inactive',iconName: 'fa fa-circle',className: params =&gt; (params.data?.'supplierPlantCode' == 'Y') ? 'btnActive' : 'btnInActive',},}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28"/>
      <c r="K16" s="35" t="str">
        <f t="shared" ref="K16:K19" si="12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title'&gt;Supplier Plant Code&lt;/label&gt;
						&lt;new-checkbox [(ngModel)]='_supplierPlantCode' name='supplierPlantCode' className='col-md-10' &gt; &lt;/new-checkbox&gt;
					&lt;/div&gt;</v>
      </c>
      <c r="L16" s="56" t="str">
        <f t="shared" ref="L16" si="13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9" si="14">IF(AND(E16="string",F16 &lt;&gt;"1"),(REPT(CHAR(9),1)&amp;D16&amp;G16),"")</f>
        <v/>
      </c>
      <c r="T16" s="28" t="str">
        <f>IF(AND(E16="string",F16 &lt;&gt;"1"),(REPT(CHAR(9),3)&amp;"this."&amp;D15&amp;","),"")</f>
        <v/>
      </c>
      <c r="U16" s="28" t="str">
        <f t="shared" ref="U16:U19" si="15">IF(AND(E16="string",F16 &lt;&gt;"1"),(REPT(CHAR(9),1)&amp;D16&amp;G16),"")</f>
        <v/>
      </c>
      <c r="V16" s="28" t="str">
        <f t="shared" ref="V16:V20" si="16">IF(AND(E16="string",F16="1"),D16,"")</f>
        <v>supplierPlantCode</v>
      </c>
    </row>
    <row r="17" spans="1:22" ht="18" customHeight="1" x14ac:dyDescent="0.25">
      <c r="A17" s="28" t="s">
        <v>360</v>
      </c>
      <c r="B17" s="28" t="str">
        <f t="shared" si="8"/>
        <v>SupplierName</v>
      </c>
      <c r="C17" s="28" t="str">
        <f t="shared" si="9"/>
        <v>Supplier Name</v>
      </c>
      <c r="D17" s="28" t="str">
        <f t="shared" si="10"/>
        <v>supplierName</v>
      </c>
      <c r="E17" s="28" t="str">
        <f>A.Backend!H11</f>
        <v>string</v>
      </c>
      <c r="F17" s="28" t="str">
        <f>A.Backend!G11</f>
        <v>100</v>
      </c>
      <c r="G17" s="28" t="str">
        <f t="shared" si="11"/>
        <v xml:space="preserve"> : string = '' ; </v>
      </c>
      <c r="H17" s="35" t="str">
        <f t="shared" si="4"/>
        <v xml:space="preserve">			{headerName: this.l('Supplier Name'),headerTooltip: this.l('Supplier Name'),field: 'supplierName',flex: 1},</v>
      </c>
      <c r="I17" s="35" t="str">
        <f t="shared" si="5"/>
        <v xml:space="preserve">								&lt;div class='input-search'&gt;
									&lt;input [(ngModel)]='supplierName' name='supplierName'
									class='form-control' [placeholder]="l('Supplier Name')"
									type='text' (keyup.enter)='searchDatas()'&gt;
								&lt;/div&gt;</v>
      </c>
      <c r="J17" s="28"/>
      <c r="K17" s="35" t="str">
        <f t="shared" si="12"/>
        <v xml:space="preserve">					&lt;div class='col-md-12 form-group row'&gt;
						&lt;label class='col-md-2 form-control title'&gt;Supplier Name&lt;/label&gt;
						&lt;input type='text' class='col-md-10 form-control input-text' name='SupplierName' [(ngModel)]='rowdata.supplierName'&gt;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4"/>
        <v xml:space="preserve">	supplierName : string = '' ; </v>
      </c>
      <c r="T17" s="28" t="str">
        <f t="shared" ref="T17:T19" si="17">IF(AND(E17="string",F17 &lt;&gt;"1"),(REPT(CHAR(9),3)&amp;"this."&amp;D16&amp;","),"")</f>
        <v xml:space="preserve">			this.supplierPlantCode,</v>
      </c>
      <c r="U17" s="28" t="str">
        <f t="shared" si="15"/>
        <v xml:space="preserve">	supplierName : string = '' ; </v>
      </c>
      <c r="V17" s="28" t="str">
        <f t="shared" si="16"/>
        <v/>
      </c>
    </row>
    <row r="18" spans="1:22" ht="15" customHeight="1" x14ac:dyDescent="0.25">
      <c r="A18" s="28" t="s">
        <v>362</v>
      </c>
      <c r="B18" s="28" t="str">
        <f t="shared" si="8"/>
        <v>Address</v>
      </c>
      <c r="C18" s="28" t="str">
        <f t="shared" si="9"/>
        <v>Address</v>
      </c>
      <c r="D18" s="28" t="str">
        <f t="shared" si="10"/>
        <v>address</v>
      </c>
      <c r="E18" s="28" t="str">
        <f>A.Backend!H12</f>
        <v>string</v>
      </c>
      <c r="F18" s="28" t="str">
        <f>A.Backend!G12</f>
        <v>100</v>
      </c>
      <c r="G18" s="28" t="str">
        <f t="shared" ref="G18:G34" si="18">IF(E18="string"," : string = '' ; ",IF(OR(E18="DateTime",E18="TimeSpan")," : any ;",IF(E18="int"," : number = 0 ;","")))</f>
        <v xml:space="preserve"> : string = '' ; </v>
      </c>
      <c r="H18" s="35" t="str">
        <f t="shared" si="4"/>
        <v xml:space="preserve">			{headerName: this.l('Address'),headerTooltip: this.l('Address'),field: 'address',flex: 1},</v>
      </c>
      <c r="I18" s="35" t="str">
        <f t="shared" si="5"/>
        <v xml:space="preserve">								&lt;div class='input-search'&gt;
									&lt;input [(ngModel)]='address' name='address'
									class='form-control' [placeholder]="l('Address')"
									type='text' (keyup.enter)='searchDatas()'&gt;
								&lt;/div&gt;</v>
      </c>
      <c r="J18" s="28"/>
      <c r="K18" s="35" t="str">
        <f t="shared" si="12"/>
        <v xml:space="preserve">					&lt;div class='col-md-12 form-group row'&gt;
						&lt;label class='col-md-2 form-control title'&gt;Address&lt;/label&gt;
						&lt;input type='text' class='col-md-10 form-control input-text' name='Address' [(ngModel)]='rowdata.address'&gt;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4"/>
        <v xml:space="preserve">	address : string = '' ; </v>
      </c>
      <c r="T18" s="28" t="str">
        <f t="shared" si="17"/>
        <v xml:space="preserve">			this.supplierName,</v>
      </c>
      <c r="U18" s="28" t="str">
        <f t="shared" si="15"/>
        <v xml:space="preserve">	address : string = '' ; </v>
      </c>
      <c r="V18" s="28" t="str">
        <f t="shared" si="16"/>
        <v/>
      </c>
    </row>
    <row r="19" spans="1:22" ht="18" customHeight="1" x14ac:dyDescent="0.25">
      <c r="A19" s="28" t="s">
        <v>363</v>
      </c>
      <c r="B19" s="28" t="str">
        <f t="shared" si="8"/>
        <v>DockX</v>
      </c>
      <c r="C19" s="28" t="str">
        <f t="shared" si="9"/>
        <v>Dock X</v>
      </c>
      <c r="D19" s="28" t="str">
        <f t="shared" si="10"/>
        <v>dockX</v>
      </c>
      <c r="E19" s="28" t="str">
        <f>A.Backend!H13</f>
        <v>string</v>
      </c>
      <c r="F19" s="28" t="str">
        <f>A.Backend!G13</f>
        <v>20</v>
      </c>
      <c r="G19" s="28" t="str">
        <f t="shared" si="18"/>
        <v xml:space="preserve"> : string = '' ; </v>
      </c>
      <c r="H19" s="35" t="str">
        <f t="shared" si="4"/>
        <v xml:space="preserve">			{headerName: this.l('Dock X'),headerTooltip: this.l('Dock X'),field: 'dockX',flex: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[(ngModel)]='dockX' name='dockX'
									class='form-control' [placeholder]="l('Dock X')"
									type='text' (keyup.enter)='searchDatas()'&gt;
								&lt;/div&gt;</v>
      </c>
      <c r="J19" s="28"/>
      <c r="K19" s="35" t="str">
        <f t="shared" si="12"/>
        <v xml:space="preserve">					&lt;div class='col-md-12 form-group row'&gt;
						&lt;label class='col-md-2 form-control title'&gt;Dock X&lt;/label&gt;
						&lt;input type='text' class='col-md-10 form-control input-text' name='DockX' [(ngModel)]='rowdata.dockX'&gt;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4"/>
        <v xml:space="preserve">	dockX : string = '' ; </v>
      </c>
      <c r="T19" s="28" t="str">
        <f t="shared" si="17"/>
        <v xml:space="preserve">			this.address,</v>
      </c>
      <c r="U19" s="28" t="str">
        <f t="shared" si="15"/>
        <v xml:space="preserve">	dockX : string = '' ; </v>
      </c>
      <c r="V19" s="28" t="str">
        <f t="shared" si="16"/>
        <v/>
      </c>
    </row>
    <row r="20" spans="1:22" ht="15" customHeight="1" x14ac:dyDescent="0.25">
      <c r="A20" s="28" t="s">
        <v>365</v>
      </c>
      <c r="B20" s="28" t="str">
        <f t="shared" si="8"/>
        <v>DockXAddress</v>
      </c>
      <c r="C20" s="28" t="str">
        <f t="shared" si="9"/>
        <v>Dock X Address</v>
      </c>
      <c r="D20" s="28" t="str">
        <f t="shared" si="10"/>
        <v>dockXAddress</v>
      </c>
      <c r="E20" s="28" t="str">
        <f>A.Backend!H14</f>
        <v>string</v>
      </c>
      <c r="F20" s="28" t="str">
        <f>A.Backend!G14</f>
        <v>100</v>
      </c>
      <c r="G20" s="28" t="str">
        <f t="shared" si="18"/>
        <v xml:space="preserve"> : string = '' ; </v>
      </c>
      <c r="H20" s="35" t="str">
        <f t="shared" si="4"/>
        <v xml:space="preserve">			{headerName: this.l('Dock X Address'),headerTooltip: this.l('Dock X Address'),field: 'dockXAddress',flex: 1},</v>
      </c>
      <c r="I20" s="35" t="str">
        <f t="shared" ref="I20" si="20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IF(AND(E20="string",F20 &lt;&gt;"1"),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[(ngModel)]='dockXAddress' name='dockXAddress'
									class='form-control' [placeholder]="l('Dock X Address')"
									type='text' (keyup.enter)='searchDatas()'&gt;
								&lt;/div&gt;</v>
      </c>
      <c r="J20" s="28"/>
      <c r="K20" s="35" t="str">
        <f>IF(OR(E20="DateTime?",E20="TimeSpan?"),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IF(OR(E20="int?",E20="long?"),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title'&gt;Dock X Address&lt;/label&gt;
						&lt;input type='text' class='col-md-10 form-control input-text' name='DockXAddress' [(ngModel)]='rowdata.dockXAddress'&gt;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>IF(AND(E20="string",F20 &lt;&gt;"1"),(REPT(CHAR(9),1)&amp;D20&amp;G20),"")</f>
        <v xml:space="preserve">	dockXAddress : string = '' ; </v>
      </c>
      <c r="T20" s="28" t="str">
        <f>IF(AND(E20="string",F20 &lt;&gt;"1"),(REPT(CHAR(9),3)&amp;"this."&amp;D19&amp;","),"")</f>
        <v xml:space="preserve">			this.dockX,</v>
      </c>
      <c r="U20" s="28" t="str">
        <f>IF(AND(E20="string",F20 &lt;&gt;"1"),(REPT(CHAR(9),1)&amp;D20&amp;G20),"")</f>
        <v xml:space="preserve">	dockXAddress : string = '' ; </v>
      </c>
      <c r="V20" s="28" t="str">
        <f t="shared" si="16"/>
        <v/>
      </c>
    </row>
    <row r="21" spans="1:22" ht="18" customHeight="1" x14ac:dyDescent="0.25">
      <c r="A21" s="28" t="s">
        <v>366</v>
      </c>
      <c r="B21" s="28" t="str">
        <f t="shared" ref="B21:B30" si="21">SUBSTITUTE(PROPER(A21),"_","")</f>
        <v>DeliveryMethod</v>
      </c>
      <c r="C21" s="28" t="str">
        <f t="shared" ref="C21:C30" si="22">SUBSTITUTE(PROPER(A21),"_"," ")</f>
        <v>Delivery Method</v>
      </c>
      <c r="D21" s="28" t="str">
        <f t="shared" ref="D21:D30" si="23">LOWER(LEFT(B21,1))&amp;RIGHT(B21,LEN(B21) - 1)</f>
        <v>deliveryMethod</v>
      </c>
      <c r="E21" s="28" t="str">
        <f>A.Backend!H15</f>
        <v>string</v>
      </c>
      <c r="F21" s="28" t="str">
        <f>A.Backend!G15</f>
        <v>20</v>
      </c>
      <c r="G21" s="28" t="str">
        <f t="shared" si="18"/>
        <v xml:space="preserve"> : string = '' ; </v>
      </c>
      <c r="H21" s="35" t="str">
        <f t="shared" si="4"/>
        <v xml:space="preserve">			{headerName: this.l('Delivery Method'),headerTooltip: this.l('Delivery Method'),field: 'deliveryMethod',flex: 1},</v>
      </c>
      <c r="I21" s="35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[(ngModel)]='deliveryMethod' name='deliveryMethod'
									class='form-control' [placeholder]="l('Delivery Method')"
									type='text' (keyup.enter)='searchDatas()'&gt;
								&lt;/div&gt;</v>
      </c>
      <c r="J21" s="28"/>
      <c r="K21" s="35" t="str">
        <f t="shared" ref="K21:K24" si="24"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IF(OR(E21="int?",E21="long?"),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title'&gt;Delivery Method&lt;/label&gt;
						&lt;input type='text' class='col-md-10 form-control input-text' name='DeliveryMethod' [(ngModel)]='rowdata.deliveryMethod'&gt;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ref="S21:S24" si="25">IF(AND(E21="string",F21 &lt;&gt;"1"),(REPT(CHAR(9),1)&amp;D21&amp;G21),"")</f>
        <v xml:space="preserve">	deliveryMethod : string = '' ; </v>
      </c>
      <c r="T21" s="28" t="str">
        <f>IF(AND(E21="string",F21 &lt;&gt;"1"),(REPT(CHAR(9),3)&amp;"this."&amp;D20&amp;","),"")</f>
        <v xml:space="preserve">			this.dockXAddress,</v>
      </c>
      <c r="U21" s="28" t="str">
        <f t="shared" ref="U21:U24" si="26">IF(AND(E21="string",F21 &lt;&gt;"1"),(REPT(CHAR(9),1)&amp;D21&amp;G21),"")</f>
        <v xml:space="preserve">	deliveryMethod : string = '' ; </v>
      </c>
      <c r="V21" s="28" t="str">
        <f t="shared" ref="V21:V30" si="27">IF(AND(E21="string",F21="1"),D21,"")</f>
        <v/>
      </c>
    </row>
    <row r="22" spans="1:22" ht="18" customHeight="1" x14ac:dyDescent="0.25">
      <c r="A22" s="28" t="s">
        <v>367</v>
      </c>
      <c r="B22" s="28" t="str">
        <f t="shared" si="21"/>
        <v>DeliveryFrequency</v>
      </c>
      <c r="C22" s="28" t="str">
        <f t="shared" si="22"/>
        <v>Delivery Frequency</v>
      </c>
      <c r="D22" s="28" t="str">
        <f t="shared" si="23"/>
        <v>deliveryFrequency</v>
      </c>
      <c r="E22" s="28" t="str">
        <f>A.Backend!H16</f>
        <v>string</v>
      </c>
      <c r="F22" s="28" t="str">
        <f>A.Backend!G16</f>
        <v>3</v>
      </c>
      <c r="G22" s="28" t="str">
        <f t="shared" si="18"/>
        <v xml:space="preserve"> : string = '' ; </v>
      </c>
      <c r="H22" s="35" t="str">
        <f t="shared" si="4"/>
        <v xml:space="preserve">			{headerName: this.l('Delivery Frequency'),headerTooltip: this.l('Delivery Frequency'),field: 'deliveryFrequency',flex: 1},</v>
      </c>
      <c r="I22" s="35" t="str">
        <f t="shared" ref="I22:I23" si="28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IF(AND(E22="string",F22 &lt;&gt;"1"),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[(ngModel)]='deliveryFrequency' name='deliveryFrequency'
									class='form-control' [placeholder]="l('Delivery Frequency')"
									type='text' (keyup.enter)='searchDatas()'&gt;
								&lt;/div&gt;</v>
      </c>
      <c r="J22" s="28"/>
      <c r="K22" s="35" t="str">
        <f t="shared" si="24"/>
        <v xml:space="preserve">					&lt;div class='col-md-12 form-group row'&gt;
						&lt;label class='col-md-2 form-control title'&gt;Delivery Frequency&lt;/label&gt;
						&lt;input type='text' class='col-md-10 form-control input-text' name='DeliveryFrequency' [(ngModel)]='rowdata.deliveryFrequency'&gt;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25"/>
        <v xml:space="preserve">	deliveryFrequency : string = '' ; </v>
      </c>
      <c r="T22" s="28" t="str">
        <f t="shared" ref="T22:T24" si="29">IF(AND(E22="string",F22 &lt;&gt;"1"),(REPT(CHAR(9),3)&amp;"this."&amp;D21&amp;","),"")</f>
        <v xml:space="preserve">			this.deliveryMethod,</v>
      </c>
      <c r="U22" s="28" t="str">
        <f t="shared" si="26"/>
        <v xml:space="preserve">	deliveryFrequency : string = '' ; </v>
      </c>
      <c r="V22" s="28" t="str">
        <f t="shared" si="27"/>
        <v/>
      </c>
    </row>
    <row r="23" spans="1:22" ht="15" customHeight="1" x14ac:dyDescent="0.25">
      <c r="A23" s="28" t="s">
        <v>369</v>
      </c>
      <c r="B23" s="28" t="str">
        <f t="shared" si="21"/>
        <v>Cd</v>
      </c>
      <c r="C23" s="28" t="str">
        <f t="shared" si="22"/>
        <v>Cd</v>
      </c>
      <c r="D23" s="28" t="str">
        <f t="shared" si="23"/>
        <v>cd</v>
      </c>
      <c r="E23" s="28" t="str">
        <f>A.Backend!H17</f>
        <v>string</v>
      </c>
      <c r="F23" s="28" t="str">
        <f>A.Backend!G17</f>
        <v>40</v>
      </c>
      <c r="G23" s="28" t="str">
        <f t="shared" si="18"/>
        <v xml:space="preserve"> : string = '' ; </v>
      </c>
      <c r="H23" s="35" t="str">
        <f t="shared" si="4"/>
        <v xml:space="preserve">			{headerName: this.l('Cd'),headerTooltip: this.l('Cd'),field: 'cd',flex: 1},</v>
      </c>
      <c r="I23" s="35" t="str">
        <f t="shared" si="28"/>
        <v xml:space="preserve">								&lt;div class='input-search'&gt;
									&lt;input [(ngModel)]='cd' name='cd'
									class='form-control' [placeholder]="l('Cd')"
									type='text' (keyup.enter)='searchDatas()'&gt;
								&lt;/div&gt;</v>
      </c>
      <c r="J23" s="28"/>
      <c r="K23" s="35" t="str">
        <f t="shared" si="24"/>
        <v xml:space="preserve">					&lt;div class='col-md-12 form-group row'&gt;
						&lt;label class='col-md-2 form-control title'&gt;Cd&lt;/label&gt;
						&lt;input type='text' class='col-md-10 form-control input-text' name='Cd' [(ngModel)]='rowdata.cd'&gt;
					&lt;/div&gt;</v>
      </c>
      <c r="L23" s="56" t="str">
        <f t="shared" ref="L23:L26" si="30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25"/>
        <v xml:space="preserve">	cd : string = '' ; </v>
      </c>
      <c r="T23" s="28" t="str">
        <f t="shared" si="29"/>
        <v xml:space="preserve">			this.deliveryFrequency,</v>
      </c>
      <c r="U23" s="28" t="str">
        <f t="shared" si="26"/>
        <v xml:space="preserve">	cd : string = '' ; </v>
      </c>
      <c r="V23" s="28" t="str">
        <f t="shared" si="27"/>
        <v/>
      </c>
    </row>
    <row r="24" spans="1:22" ht="18" customHeight="1" x14ac:dyDescent="0.25">
      <c r="A24" s="28" t="s">
        <v>371</v>
      </c>
      <c r="B24" s="28" t="str">
        <f t="shared" si="21"/>
        <v>OrderDateType</v>
      </c>
      <c r="C24" s="28" t="str">
        <f t="shared" si="22"/>
        <v>Order Date Type</v>
      </c>
      <c r="D24" s="28" t="str">
        <f t="shared" si="23"/>
        <v>orderDateType</v>
      </c>
      <c r="E24" s="28" t="str">
        <f>A.Backend!H18</f>
        <v>string</v>
      </c>
      <c r="F24" s="28" t="str">
        <f>A.Backend!G18</f>
        <v>5</v>
      </c>
      <c r="G24" s="28" t="str">
        <f t="shared" si="18"/>
        <v xml:space="preserve"> : string = '' ; </v>
      </c>
      <c r="H24" s="35" t="str">
        <f t="shared" si="4"/>
        <v xml:space="preserve">			{headerName: this.l('Order Date Type'),headerTooltip: this.l('Order Date Type'),field: 'orderDateType',flex: 1},</v>
      </c>
      <c r="I24" s="35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IF(AND(E24="string",F24 &lt;&gt;"1"),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[(ngModel)]='orderDateType' name='orderDateType'
									class='form-control' [placeholder]="l('Order Date Type')"
									type='text' (keyup.enter)='searchDatas()'&gt;
								&lt;/div&gt;</v>
      </c>
      <c r="J24" s="28"/>
      <c r="K24" s="35" t="str">
        <f t="shared" si="24"/>
        <v xml:space="preserve">					&lt;div class='col-md-12 form-group row'&gt;
						&lt;label class='col-md-2 form-control title'&gt;Order Date Type&lt;/label&gt;
						&lt;input type='text' class='col-md-10 form-control input-text' name='OrderDateType' [(ngModel)]='rowdata.orderDateType'&gt;
					&lt;/div&gt;</v>
      </c>
      <c r="L24" s="56" t="str">
        <f t="shared" si="30"/>
        <v/>
      </c>
      <c r="M24" s="28"/>
      <c r="N24" s="28"/>
      <c r="O24" s="28"/>
      <c r="P24" s="28"/>
      <c r="Q24" s="28"/>
      <c r="R24" s="28"/>
      <c r="S24" s="28" t="str">
        <f t="shared" si="25"/>
        <v xml:space="preserve">	orderDateType : string = '' ; </v>
      </c>
      <c r="T24" s="28" t="str">
        <f t="shared" si="29"/>
        <v xml:space="preserve">			this.cd,</v>
      </c>
      <c r="U24" s="28" t="str">
        <f t="shared" si="26"/>
        <v xml:space="preserve">	orderDateType : string = '' ; </v>
      </c>
      <c r="V24" s="28" t="str">
        <f t="shared" si="27"/>
        <v/>
      </c>
    </row>
    <row r="25" spans="1:22" ht="15" customHeight="1" x14ac:dyDescent="0.25">
      <c r="A25" s="28" t="s">
        <v>373</v>
      </c>
      <c r="B25" s="28" t="str">
        <f t="shared" si="21"/>
        <v>KeihenType</v>
      </c>
      <c r="C25" s="28" t="str">
        <f t="shared" si="22"/>
        <v>Keihen Type</v>
      </c>
      <c r="D25" s="28" t="str">
        <f t="shared" si="23"/>
        <v>keihenType</v>
      </c>
      <c r="E25" s="28" t="str">
        <f>A.Backend!H19</f>
        <v>string</v>
      </c>
      <c r="F25" s="28" t="str">
        <f>A.Backend!G19</f>
        <v>5</v>
      </c>
      <c r="G25" s="28" t="str">
        <f t="shared" si="18"/>
        <v xml:space="preserve"> : string = '' ; </v>
      </c>
      <c r="H25" s="35" t="str">
        <f t="shared" si="4"/>
        <v xml:space="preserve">			{headerName: this.l('Keihen Type'),headerTooltip: this.l('Keihen Type'),field: 'keihenType',flex: 1},</v>
      </c>
      <c r="I25" s="35" t="str">
        <f t="shared" ref="I25" si="31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IF(AND(E25="string",F25 &lt;&gt;"1"),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[(ngModel)]='keihenType' name='keihenType'
									class='form-control' [placeholder]="l('Keihen Type')"
									type='text' (keyup.enter)='searchDatas()'&gt;
								&lt;/div&gt;</v>
      </c>
      <c r="J25" s="28"/>
      <c r="K25" s="35" t="str">
        <f>IF(OR(E25="DateTime?",E25="TimeSpan?"),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IF(OR(E25="int?",E25="long?"),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title'&gt;Keihen Type&lt;/label&gt;
						&lt;input type='text' class='col-md-10 form-control input-text' name='KeihenType' [(ngModel)]='rowdata.keihenType'&gt;
					&lt;/div&gt;</v>
      </c>
      <c r="L25" s="56" t="str">
        <f t="shared" si="30"/>
        <v/>
      </c>
      <c r="M25" s="28"/>
      <c r="N25" s="28"/>
      <c r="O25" s="28"/>
      <c r="P25" s="28"/>
      <c r="Q25" s="28"/>
      <c r="R25" s="28"/>
      <c r="S25" s="28" t="str">
        <f>IF(AND(E25="string",F25 &lt;&gt;"1"),(REPT(CHAR(9),1)&amp;D25&amp;G25),"")</f>
        <v xml:space="preserve">	keihenType : string = '' ; </v>
      </c>
      <c r="T25" s="28" t="str">
        <f>IF(AND(E25="string",F25 &lt;&gt;"1"),(REPT(CHAR(9),3)&amp;"this."&amp;D24&amp;","),"")</f>
        <v xml:space="preserve">			this.orderDateType,</v>
      </c>
      <c r="U25" s="28" t="str">
        <f>IF(AND(E25="string",F25 &lt;&gt;"1"),(REPT(CHAR(9),1)&amp;D25&amp;G25),"")</f>
        <v xml:space="preserve">	keihenType : string = '' ; </v>
      </c>
      <c r="V25" s="28" t="str">
        <f t="shared" si="27"/>
        <v/>
      </c>
    </row>
    <row r="26" spans="1:22" ht="18" customHeight="1" x14ac:dyDescent="0.25">
      <c r="A26" s="28" t="s">
        <v>374</v>
      </c>
      <c r="B26" s="28" t="str">
        <f t="shared" si="21"/>
        <v>StkConceptTmvMin</v>
      </c>
      <c r="C26" s="28" t="str">
        <f t="shared" si="22"/>
        <v>Stk Concept Tmv Min</v>
      </c>
      <c r="D26" s="28" t="str">
        <f t="shared" si="23"/>
        <v>stkConceptTmvMin</v>
      </c>
      <c r="E26" s="28" t="str">
        <f>A.Backend!H20</f>
        <v>decimal?</v>
      </c>
      <c r="F26" s="28" t="str">
        <f>A.Backend!G20</f>
        <v>8, 2</v>
      </c>
      <c r="G26" s="28" t="str">
        <f t="shared" si="18"/>
        <v/>
      </c>
      <c r="H26" s="35" t="str">
        <f t="shared" si="4"/>
        <v xml:space="preserve">			{headerName: this.l('Stk Concept Tmv Min'),headerTooltip: this.l('Stk Concept Tmv Min'),field: 'stkConceptTmvMin',flex: 1},</v>
      </c>
      <c r="I26" s="35" t="str">
        <f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IF(AND(E26="string",F26 &lt;&gt;"1"),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/>
      </c>
      <c r="J26" s="28"/>
      <c r="K26" s="35" t="str">
        <f t="shared" ref="K26:K29" si="32">IF(OR(E26="DateTime?",E26="TimeSpan?"),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IF(OR(E26="int?",E26="long?"),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/>
      </c>
      <c r="L26" s="56" t="str">
        <f t="shared" si="30"/>
        <v/>
      </c>
      <c r="M26" s="28"/>
      <c r="N26" s="28"/>
      <c r="O26" s="28"/>
      <c r="P26" s="28"/>
      <c r="Q26" s="28"/>
      <c r="R26" s="28"/>
      <c r="S26" s="28" t="str">
        <f t="shared" ref="S26:S29" si="33">IF(AND(E26="string",F26 &lt;&gt;"1"),(REPT(CHAR(9),1)&amp;D26&amp;G26),"")</f>
        <v/>
      </c>
      <c r="T26" s="28" t="str">
        <f>IF(AND(E26="string",F26 &lt;&gt;"1"),(REPT(CHAR(9),3)&amp;"this."&amp;D25&amp;","),"")</f>
        <v/>
      </c>
      <c r="U26" s="28" t="str">
        <f t="shared" ref="U26:U29" si="34">IF(AND(E26="string",F26 &lt;&gt;"1"),(REPT(CHAR(9),1)&amp;D26&amp;G26),"")</f>
        <v/>
      </c>
      <c r="V26" s="28" t="str">
        <f t="shared" si="27"/>
        <v/>
      </c>
    </row>
    <row r="27" spans="1:22" ht="18" customHeight="1" x14ac:dyDescent="0.25">
      <c r="A27" s="28" t="s">
        <v>376</v>
      </c>
      <c r="B27" s="28" t="str">
        <f t="shared" si="21"/>
        <v>StkConceptTmvMax</v>
      </c>
      <c r="C27" s="28" t="str">
        <f t="shared" si="22"/>
        <v>Stk Concept Tmv Max</v>
      </c>
      <c r="D27" s="28" t="str">
        <f t="shared" si="23"/>
        <v>stkConceptTmvMax</v>
      </c>
      <c r="E27" s="28" t="str">
        <f>A.Backend!H21</f>
        <v>decimal?</v>
      </c>
      <c r="F27" s="28" t="str">
        <f>A.Backend!G21</f>
        <v>8, 2</v>
      </c>
      <c r="G27" s="28" t="str">
        <f t="shared" si="18"/>
        <v/>
      </c>
      <c r="H27" s="35" t="str">
        <f t="shared" si="4"/>
        <v xml:space="preserve">			{headerName: this.l('Stk Concept Tmv Max'),headerTooltip: this.l('Stk Concept Tmv Max'),field: 'stkConceptTmvMax',flex: 1},</v>
      </c>
      <c r="I27" s="35" t="str">
        <f t="shared" ref="I27:I28" si="35"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IF(AND(E27="string",F27 &lt;&gt;"1"),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/>
      </c>
      <c r="J27" s="28"/>
      <c r="K27" s="35" t="str">
        <f t="shared" si="32"/>
        <v/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33"/>
        <v/>
      </c>
      <c r="T27" s="28" t="str">
        <f t="shared" ref="T27:T29" si="36">IF(AND(E27="string",F27 &lt;&gt;"1"),(REPT(CHAR(9),3)&amp;"this."&amp;D26&amp;","),"")</f>
        <v/>
      </c>
      <c r="U27" s="28" t="str">
        <f t="shared" si="34"/>
        <v/>
      </c>
      <c r="V27" s="28" t="str">
        <f t="shared" si="27"/>
        <v/>
      </c>
    </row>
    <row r="28" spans="1:22" ht="15" customHeight="1" x14ac:dyDescent="0.25">
      <c r="A28" s="28" t="s">
        <v>377</v>
      </c>
      <c r="B28" s="28" t="str">
        <f t="shared" si="21"/>
        <v>StkConceptSupMMin</v>
      </c>
      <c r="C28" s="28" t="str">
        <f t="shared" si="22"/>
        <v>Stk Concept Sup M Min</v>
      </c>
      <c r="D28" s="28" t="str">
        <f t="shared" si="23"/>
        <v>stkConceptSupMMin</v>
      </c>
      <c r="E28" s="28" t="str">
        <f>A.Backend!H22</f>
        <v>decimal?</v>
      </c>
      <c r="F28" s="28" t="str">
        <f>A.Backend!G22</f>
        <v>8, 2</v>
      </c>
      <c r="G28" s="28" t="str">
        <f t="shared" si="18"/>
        <v/>
      </c>
      <c r="H28" s="35" t="str">
        <f t="shared" si="4"/>
        <v xml:space="preserve">			{headerName: this.l('Stk Concept Sup M Min'),headerTooltip: this.l('Stk Concept Sup M Min'),field: 'stkConceptSupMMin',flex: 1},</v>
      </c>
      <c r="I28" s="35" t="str">
        <f t="shared" si="35"/>
        <v/>
      </c>
      <c r="J28" s="28"/>
      <c r="K28" s="35" t="str">
        <f t="shared" si="32"/>
        <v/>
      </c>
      <c r="L28" s="56" t="str">
        <f t="shared" ref="L28:L31" si="3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33"/>
        <v/>
      </c>
      <c r="T28" s="28" t="str">
        <f t="shared" si="36"/>
        <v/>
      </c>
      <c r="U28" s="28" t="str">
        <f t="shared" si="34"/>
        <v/>
      </c>
      <c r="V28" s="28" t="str">
        <f t="shared" si="27"/>
        <v/>
      </c>
    </row>
    <row r="29" spans="1:22" ht="18" customHeight="1" x14ac:dyDescent="0.25">
      <c r="A29" s="28" t="s">
        <v>378</v>
      </c>
      <c r="B29" s="28" t="str">
        <f t="shared" si="21"/>
        <v>StkConceptSupMMax</v>
      </c>
      <c r="C29" s="28" t="str">
        <f t="shared" si="22"/>
        <v>Stk Concept Sup M Max</v>
      </c>
      <c r="D29" s="28" t="str">
        <f t="shared" si="23"/>
        <v>stkConceptSupMMax</v>
      </c>
      <c r="E29" s="28" t="str">
        <f>A.Backend!H23</f>
        <v>decimal?</v>
      </c>
      <c r="F29" s="28" t="str">
        <f>A.Backend!G23</f>
        <v>8, 2</v>
      </c>
      <c r="G29" s="28" t="str">
        <f t="shared" si="18"/>
        <v/>
      </c>
      <c r="H29" s="35" t="str">
        <f t="shared" si="4"/>
        <v xml:space="preserve">			{headerName: this.l('Stk Concept Sup M Max'),headerTooltip: this.l('Stk Concept Sup M Max'),field: 'stkConceptSupMMax',flex: 1},</v>
      </c>
      <c r="I29" s="35" t="str">
        <f>IF(E29="DateTime",
REPT(CHAR(9),8)&amp;"&lt;div class='input-search'&gt;
"&amp;REPT(CHAR(9),9)&amp;"&lt;input type='text' [placeholder]=""l('"&amp;C29&amp;"')"" [(ngModel)]='"&amp;D29&amp;"' 
"&amp;REPT(CHAR(9),9)&amp;"name='"&amp;D29&amp;"'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IF(AND(E29="string",F29 &lt;&gt;"1"),
REPT(CHAR(9),8)&amp;"&lt;div class='input-search'&gt;
"&amp;REPT(CHAR(9),9)&amp;"&lt;input [(ngModel)]='"&amp;D29&amp;"' name='"&amp;D29&amp;"'
"&amp;REPT(CHAR(9),9)&amp;"class='form-control' [placeholder]=""l('"&amp;C29&amp;"')""
"&amp;REPT(CHAR(9),9)&amp;"type='text' (keyup.enter)='searchDatas()'&gt;
"&amp;REPT(CHAR(9),8)&amp;"&lt;/div&gt;",""))</f>
        <v/>
      </c>
      <c r="J29" s="28"/>
      <c r="K29" s="35" t="str">
        <f t="shared" si="32"/>
        <v/>
      </c>
      <c r="L29" s="56" t="str">
        <f t="shared" si="37"/>
        <v/>
      </c>
      <c r="M29" s="28"/>
      <c r="N29" s="28"/>
      <c r="O29" s="28"/>
      <c r="P29" s="28"/>
      <c r="Q29" s="28"/>
      <c r="R29" s="28"/>
      <c r="S29" s="28" t="str">
        <f t="shared" si="33"/>
        <v/>
      </c>
      <c r="T29" s="28" t="str">
        <f t="shared" si="36"/>
        <v/>
      </c>
      <c r="U29" s="28" t="str">
        <f t="shared" si="34"/>
        <v/>
      </c>
      <c r="V29" s="28" t="str">
        <f t="shared" si="27"/>
        <v/>
      </c>
    </row>
    <row r="30" spans="1:22" ht="15" customHeight="1" x14ac:dyDescent="0.25">
      <c r="A30" s="28" t="s">
        <v>379</v>
      </c>
      <c r="B30" s="28" t="str">
        <f t="shared" si="21"/>
        <v>StkConceptSupPMin</v>
      </c>
      <c r="C30" s="28" t="str">
        <f t="shared" si="22"/>
        <v>Stk Concept Sup P Min</v>
      </c>
      <c r="D30" s="28" t="str">
        <f t="shared" si="23"/>
        <v>stkConceptSupPMin</v>
      </c>
      <c r="E30" s="28" t="str">
        <f>A.Backend!H24</f>
        <v>decimal?</v>
      </c>
      <c r="F30" s="28" t="str">
        <f>A.Backend!G24</f>
        <v>8, 2</v>
      </c>
      <c r="G30" s="28" t="str">
        <f t="shared" si="18"/>
        <v/>
      </c>
      <c r="H30" s="35" t="str">
        <f t="shared" si="4"/>
        <v xml:space="preserve">			{headerName: this.l('Stk Concept Sup P Min'),headerTooltip: this.l('Stk Concept Sup P Min'),field: 'stkConceptSupPMin',flex: 1},</v>
      </c>
      <c r="I30" s="35" t="str">
        <f t="shared" ref="I30" si="38"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IF(AND(E30="string",F30 &lt;&gt;"1"),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/>
      </c>
      <c r="J30" s="28"/>
      <c r="K30" s="35" t="str">
        <f>IF(OR(E30="DateTime?",E30="TimeSpan?"),
REPT(CHAR(9),5)&amp;"&lt;div class='col-md-12 form-group row'&gt;
"&amp;REPT(CHAR(9),6)&amp;"&lt;label class='col-md-2 form-control title'&gt;"&amp;C30&amp;"&lt;/label&gt;
"&amp;REPT(CHAR(9),6)&amp;"&lt;input type='text' class='col-md-10 form-control input-text' name='"&amp;D30&amp;"' 
"&amp;REPT(CHAR(9),6)&amp;"#datepicker='bsDatepicker' [(ngModel)]='rowdata."&amp;D30&amp;"'  bsDatepicker &gt;
"&amp;REPT(CHAR(9),5)&amp;"&lt;/div&gt;",
IF(AND(E30="string",F30="1"),
REPT(CHAR(9),5)&amp;"&lt;div class='col-md-12 form-group row'&gt;
"&amp;REPT(CHAR(9),6)&amp;"&lt;label class='col-md-2 form-control title'&gt;"&amp;C30&amp;"&lt;/label&gt;
"&amp;REPT(CHAR(9),6)&amp;"&lt;new-checkbox [(ngModel)]='_"&amp;D30&amp;"' name='"&amp;D30&amp;"' className='col-md-10' &gt; &lt;/new-checkbox&gt;
"&amp;REPT(CHAR(9),5)&amp;"&lt;/div&gt;",
IF(E30="string",
REPT(CHAR(9),5)&amp;"&lt;div class='col-md-12 form-group row'&gt;
"&amp;REPT(CHAR(9),6)&amp;"&lt;label class='col-md-2 form-control title'&gt;"&amp;C30&amp;"&lt;/label&gt;
"&amp;REPT(CHAR(9),6)&amp;"&lt;input type='text' class='col-md-10 form-control input-text' name='"&amp;B30&amp;"' [(ngModel)]='rowdata."&amp;D30&amp;"'&gt;
"&amp;REPT(CHAR(9),5)&amp;"&lt;/div&gt;",
IF(OR(E30="int?",E30="long?"),
REPT(CHAR(9),5)&amp;"&lt;div class='col-md-12 form-group row'&gt;
"&amp;REPT(CHAR(9),6)&amp;"&lt;label class='col-md-2 form-control title'&gt;"&amp;C30&amp;"&lt;/label&gt;
"&amp;REPT(CHAR(9),6)&amp;"&lt;input type='number' class='col-md-10 form-control input-text' name='"&amp;B30&amp;"' [(ngModel)]='rowdata."&amp;D30&amp;"'&gt;
"&amp;REPT(CHAR(9),5)&amp;"&lt;/div&gt;",""))))</f>
        <v/>
      </c>
      <c r="L30" s="56" t="str">
        <f t="shared" si="37"/>
        <v/>
      </c>
      <c r="M30" s="28"/>
      <c r="N30" s="28"/>
      <c r="O30" s="28"/>
      <c r="P30" s="28"/>
      <c r="Q30" s="28"/>
      <c r="R30" s="28"/>
      <c r="S30" s="28" t="str">
        <f>IF(AND(E30="string",F30 &lt;&gt;"1"),(REPT(CHAR(9),1)&amp;D30&amp;G30),"")</f>
        <v/>
      </c>
      <c r="T30" s="28" t="str">
        <f>IF(AND(E30="string",F30 &lt;&gt;"1"),(REPT(CHAR(9),3)&amp;"this."&amp;D29&amp;","),"")</f>
        <v/>
      </c>
      <c r="U30" s="28" t="str">
        <f>IF(AND(E30="string",F30 &lt;&gt;"1"),(REPT(CHAR(9),1)&amp;D30&amp;G30),"")</f>
        <v/>
      </c>
      <c r="V30" s="28" t="str">
        <f t="shared" si="27"/>
        <v/>
      </c>
    </row>
    <row r="31" spans="1:22" ht="18" customHeight="1" x14ac:dyDescent="0.25">
      <c r="A31" s="28" t="s">
        <v>380</v>
      </c>
      <c r="B31" s="28" t="str">
        <f t="shared" ref="B31:B40" si="39">SUBSTITUTE(PROPER(A31),"_","")</f>
        <v>StkConceptSupPMax</v>
      </c>
      <c r="C31" s="28" t="str">
        <f t="shared" ref="C31:C40" si="40">SUBSTITUTE(PROPER(A31),"_"," ")</f>
        <v>Stk Concept Sup P Max</v>
      </c>
      <c r="D31" s="28" t="str">
        <f t="shared" ref="D31:D40" si="41">LOWER(LEFT(B31,1))&amp;RIGHT(B31,LEN(B31) - 1)</f>
        <v>stkConceptSupPMax</v>
      </c>
      <c r="E31" s="28" t="str">
        <f>A.Backend!H25</f>
        <v>decimal?</v>
      </c>
      <c r="F31" s="28" t="str">
        <f>A.Backend!G25</f>
        <v>8, 2</v>
      </c>
      <c r="G31" s="28" t="str">
        <f t="shared" si="18"/>
        <v/>
      </c>
      <c r="H31" s="35" t="str">
        <f t="shared" si="4"/>
        <v xml:space="preserve">			{headerName: this.l('Stk Concept Sup P Max'),headerTooltip: this.l('Stk Concept Sup P Max'),field: 'stkConceptSupPMax',flex: 1},</v>
      </c>
      <c r="I31" s="35" t="str">
        <f>IF(E31="DateTime",
REPT(CHAR(9),8)&amp;"&lt;div class='input-search'&gt;
"&amp;REPT(CHAR(9),9)&amp;"&lt;input type='text' [placeholder]=""l('"&amp;C31&amp;"')"" [(ngModel)]='"&amp;D31&amp;"' 
"&amp;REPT(CHAR(9),9)&amp;"name='"&amp;D31&amp;"'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IF(AND(E31="string",F31 &lt;&gt;"1"),
REPT(CHAR(9),8)&amp;"&lt;div class='input-search'&gt;
"&amp;REPT(CHAR(9),9)&amp;"&lt;input [(ngModel)]='"&amp;D31&amp;"' name='"&amp;D31&amp;"'
"&amp;REPT(CHAR(9),9)&amp;"class='form-control' [placeholder]=""l('"&amp;C31&amp;"')""
"&amp;REPT(CHAR(9),9)&amp;"type='text' (keyup.enter)='searchDatas()'&gt;
"&amp;REPT(CHAR(9),8)&amp;"&lt;/div&gt;",""))</f>
        <v/>
      </c>
      <c r="J31" s="28"/>
      <c r="K31" s="35" t="str">
        <f t="shared" ref="K31:K35" si="42">IF(OR(E31="DateTime?",E31="TimeSpan?"),
REPT(CHAR(9),5)&amp;"&lt;div class='col-md-12 form-group row'&gt;
"&amp;REPT(CHAR(9),6)&amp;"&lt;label class='col-md-2 form-control title'&gt;"&amp;C31&amp;"&lt;/label&gt;
"&amp;REPT(CHAR(9),6)&amp;"&lt;input type='text' class='col-md-10 form-control input-text' name='"&amp;D31&amp;"' 
"&amp;REPT(CHAR(9),6)&amp;"#datepicker='bsDatepicker' [(ngModel)]='rowdata."&amp;D31&amp;"'  bsDatepicker &gt;
"&amp;REPT(CHAR(9),5)&amp;"&lt;/div&gt;",
IF(AND(E31="string",F31="1"),
REPT(CHAR(9),5)&amp;"&lt;div class='col-md-12 form-group row'&gt;
"&amp;REPT(CHAR(9),6)&amp;"&lt;label class='col-md-2 form-control title'&gt;"&amp;C31&amp;"&lt;/label&gt;
"&amp;REPT(CHAR(9),6)&amp;"&lt;new-checkbox [(ngModel)]='_"&amp;D31&amp;"' name='"&amp;D31&amp;"' className='col-md-10' &gt; &lt;/new-checkbox&gt;
"&amp;REPT(CHAR(9),5)&amp;"&lt;/div&gt;",
IF(E31="string",
REPT(CHAR(9),5)&amp;"&lt;div class='col-md-12 form-group row'&gt;
"&amp;REPT(CHAR(9),6)&amp;"&lt;label class='col-md-2 form-control title'&gt;"&amp;C31&amp;"&lt;/label&gt;
"&amp;REPT(CHAR(9),6)&amp;"&lt;input type='text' class='col-md-10 form-control input-text' name='"&amp;B31&amp;"' [(ngModel)]='rowdata."&amp;D31&amp;"'&gt;
"&amp;REPT(CHAR(9),5)&amp;"&lt;/div&gt;",
IF(OR(E31="int?",E31="long?"),
REPT(CHAR(9),5)&amp;"&lt;div class='col-md-12 form-group row'&gt;
"&amp;REPT(CHAR(9),6)&amp;"&lt;label class='col-md-2 form-control title'&gt;"&amp;C31&amp;"&lt;/label&gt;
"&amp;REPT(CHAR(9),6)&amp;"&lt;input type='number' class='col-md-10 form-control input-text' name='"&amp;B31&amp;"' [(ngModel)]='rowdata."&amp;D31&amp;"'&gt;
"&amp;REPT(CHAR(9),5)&amp;"&lt;/div&gt;",""))))</f>
        <v/>
      </c>
      <c r="L31" s="56" t="str">
        <f t="shared" si="37"/>
        <v/>
      </c>
      <c r="M31" s="28"/>
      <c r="N31" s="28"/>
      <c r="O31" s="28"/>
      <c r="P31" s="28"/>
      <c r="Q31" s="28"/>
      <c r="R31" s="28"/>
      <c r="S31" s="28" t="str">
        <f t="shared" ref="S31:S35" si="43">IF(AND(E31="string",F31 &lt;&gt;"1"),(REPT(CHAR(9),1)&amp;D31&amp;G31),"")</f>
        <v/>
      </c>
      <c r="T31" s="28" t="str">
        <f>IF(AND(E31="string",F31 &lt;&gt;"1"),(REPT(CHAR(9),3)&amp;"this."&amp;D30&amp;","),"")</f>
        <v/>
      </c>
      <c r="U31" s="28" t="str">
        <f t="shared" ref="U31:U35" si="44">IF(AND(E31="string",F31 &lt;&gt;"1"),(REPT(CHAR(9),1)&amp;D31&amp;G31),"")</f>
        <v/>
      </c>
      <c r="V31" s="28" t="str">
        <f t="shared" ref="V31:V40" si="45">IF(AND(E31="string",F31="1"),D31,"")</f>
        <v/>
      </c>
    </row>
    <row r="32" spans="1:22" ht="18" customHeight="1" x14ac:dyDescent="0.25">
      <c r="A32" s="28" t="s">
        <v>381</v>
      </c>
      <c r="B32" s="28" t="str">
        <f t="shared" si="39"/>
        <v>TmvProductPercentage</v>
      </c>
      <c r="C32" s="28" t="str">
        <f t="shared" si="40"/>
        <v>Tmv Product Percentage</v>
      </c>
      <c r="D32" s="28" t="str">
        <f t="shared" si="41"/>
        <v>tmvProductPercentage</v>
      </c>
      <c r="E32" s="28" t="str">
        <f>A.Backend!H26</f>
        <v>int?</v>
      </c>
      <c r="F32" s="28" t="str">
        <f>A.Backend!G26</f>
        <v/>
      </c>
      <c r="G32" s="28" t="str">
        <f t="shared" si="18"/>
        <v/>
      </c>
      <c r="H32" s="35" t="str">
        <f t="shared" si="4"/>
        <v xml:space="preserve">			{headerName: this.l('Tmv Product Percentage'),headerTooltip: this.l('Tmv Product Percentage'),field: 'tmvProductPercentage',flex: 1},</v>
      </c>
      <c r="I32" s="35" t="str">
        <f t="shared" ref="I32:I33" si="46">IF(E32="DateTime",
REPT(CHAR(9),8)&amp;"&lt;div class='input-search'&gt;
"&amp;REPT(CHAR(9),9)&amp;"&lt;input type='text' [placeholder]=""l('"&amp;C32&amp;"')"" [(ngModel)]='"&amp;D32&amp;"' 
"&amp;REPT(CHAR(9),9)&amp;"name='"&amp;D32&amp;"'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IF(AND(E32="string",F32 &lt;&gt;"1"),
REPT(CHAR(9),8)&amp;"&lt;div class='input-search'&gt;
"&amp;REPT(CHAR(9),9)&amp;"&lt;input [(ngModel)]='"&amp;D32&amp;"' name='"&amp;D32&amp;"'
"&amp;REPT(CHAR(9),9)&amp;"class='form-control' [placeholder]=""l('"&amp;C32&amp;"')""
"&amp;REPT(CHAR(9),9)&amp;"type='text' (keyup.enter)='searchDatas()'&gt;
"&amp;REPT(CHAR(9),8)&amp;"&lt;/div&gt;",""))</f>
        <v/>
      </c>
      <c r="J32" s="28"/>
      <c r="K32" s="35" t="str">
        <f t="shared" si="42"/>
        <v xml:space="preserve">					&lt;div class='col-md-12 form-group row'&gt;
						&lt;label class='col-md-2 form-control title'&gt;Tmv Product Percentage&lt;/label&gt;
						&lt;input type='number' class='col-md-10 form-control input-text' name='TmvProductPercentage' [(ngModel)]='rowdata.tmvProductPercentage'&gt;
					&lt;/div&gt;</v>
      </c>
      <c r="L32" s="56" t="str">
        <f>IF(E32="DateTime",
REPT(CHAR(9),2)&amp;"const dateValue =  this.rowdata."&amp;D32&amp;" ? new Date(this.rowdata."&amp;D32&amp;"?.toString()) : new Date();
"&amp;REPT(CHAR(9),2)&amp;"this.datepicker?.bsValueChange.emit(dateValue);","")</f>
        <v/>
      </c>
      <c r="M32" s="28"/>
      <c r="N32" s="28"/>
      <c r="O32" s="28"/>
      <c r="P32" s="28"/>
      <c r="Q32" s="28"/>
      <c r="R32" s="28"/>
      <c r="S32" s="28" t="str">
        <f t="shared" si="43"/>
        <v/>
      </c>
      <c r="T32" s="28" t="str">
        <f t="shared" ref="T32:T35" si="47">IF(AND(E32="string",F32 &lt;&gt;"1"),(REPT(CHAR(9),3)&amp;"this."&amp;D31&amp;","),"")</f>
        <v/>
      </c>
      <c r="U32" s="28" t="str">
        <f t="shared" si="44"/>
        <v/>
      </c>
      <c r="V32" s="28" t="str">
        <f t="shared" si="45"/>
        <v/>
      </c>
    </row>
    <row r="33" spans="1:22" ht="15" customHeight="1" x14ac:dyDescent="0.25">
      <c r="A33" s="28" t="s">
        <v>382</v>
      </c>
      <c r="B33" s="28" t="str">
        <f t="shared" si="39"/>
        <v>PicMainId</v>
      </c>
      <c r="C33" s="28" t="str">
        <f t="shared" si="40"/>
        <v>Pic Main Id</v>
      </c>
      <c r="D33" s="28" t="str">
        <f t="shared" si="41"/>
        <v>picMainId</v>
      </c>
      <c r="E33" s="28" t="str">
        <f>A.Backend!H27</f>
        <v>int?</v>
      </c>
      <c r="F33" s="28" t="str">
        <f>A.Backend!G27</f>
        <v/>
      </c>
      <c r="G33" s="28" t="str">
        <f t="shared" si="18"/>
        <v/>
      </c>
      <c r="H33" s="35" t="str">
        <f t="shared" ref="H33:H40" si="48">IF(E33="DateTime",
REPT(CHAR(9),3)&amp;"{headerName: this.l('"&amp;C33&amp;"'),headerTooltip: this.l('"&amp;C33&amp;"'),field: '"&amp;D33&amp;"',valueGetter: (params) =&gt; this.pipe.transform(params.data?."&amp;D33&amp;", 'dd/MM/yyyy'),flex: 1},",
IF(AND(E33="string",F33="1"),
REPT(CHAR(9),3)&amp;"{headerName: this.l('"&amp;C33&amp;"'),headerTooltip: this.l('"&amp;C33&amp;"'),field:  '"&amp;D33&amp;"', cellClass: ['text-center'], width: 120, cellRenderer: 'agCellButtonComponent',
buttonDefTwo: { text: params =&gt; (params.data?.'"&amp;D33&amp;"' == 'Y') ? 'Active' : 'Inactive',iconName: 'fa fa-circle',className: params =&gt; (params.data?.'"&amp;D33&amp;"' == 'Y') ? 'btnActive' : 'btnInActive',},}",
REPT(CHAR(9),3)&amp;"{headerName: this.l('"&amp;C33&amp;"'),headerTooltip: this.l('"&amp;C33&amp;"'),field: '"&amp;D33&amp;"',flex: 1},"))</f>
        <v xml:space="preserve">			{headerName: this.l('Pic Main Id'),headerTooltip: this.l('Pic Main Id'),field: 'picMainId',flex: 1},</v>
      </c>
      <c r="I33" s="35" t="str">
        <f t="shared" si="46"/>
        <v/>
      </c>
      <c r="J33" s="28"/>
      <c r="K33" s="35" t="str">
        <f t="shared" si="42"/>
        <v xml:space="preserve">					&lt;div class='col-md-12 form-group row'&gt;
						&lt;label class='col-md-2 form-control title'&gt;Pic Main Id&lt;/label&gt;
						&lt;input type='number' class='col-md-10 form-control input-text' name='PicMainId' [(ngModel)]='rowdata.picMainId'&gt;
					&lt;/div&gt;</v>
      </c>
      <c r="L33" s="56" t="str">
        <f t="shared" ref="L33:L37" si="49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28"/>
      <c r="N33" s="28"/>
      <c r="O33" s="28"/>
      <c r="P33" s="28"/>
      <c r="Q33" s="28"/>
      <c r="R33" s="28"/>
      <c r="S33" s="28" t="str">
        <f t="shared" si="43"/>
        <v/>
      </c>
      <c r="T33" s="28" t="str">
        <f t="shared" si="47"/>
        <v/>
      </c>
      <c r="U33" s="28" t="str">
        <f t="shared" si="44"/>
        <v/>
      </c>
      <c r="V33" s="28" t="str">
        <f t="shared" si="45"/>
        <v/>
      </c>
    </row>
    <row r="34" spans="1:22" ht="18" customHeight="1" x14ac:dyDescent="0.25">
      <c r="A34" s="28" t="s">
        <v>383</v>
      </c>
      <c r="B34" s="28" t="str">
        <f t="shared" si="39"/>
        <v>DeliveryLt</v>
      </c>
      <c r="C34" s="28" t="str">
        <f t="shared" si="40"/>
        <v>Delivery Lt</v>
      </c>
      <c r="D34" s="28" t="str">
        <f t="shared" si="41"/>
        <v>deliveryLt</v>
      </c>
      <c r="E34" s="28" t="str">
        <f>A.Backend!H28</f>
        <v>decimal?</v>
      </c>
      <c r="F34" s="28" t="str">
        <f>A.Backend!G28</f>
        <v>18, 0</v>
      </c>
      <c r="G34" s="28" t="str">
        <f t="shared" si="18"/>
        <v/>
      </c>
      <c r="H34" s="35" t="str">
        <f t="shared" si="48"/>
        <v xml:space="preserve">			{headerName: this.l('Delivery Lt'),headerTooltip: this.l('Delivery Lt'),field: 'deliveryLt',flex: 1},</v>
      </c>
      <c r="I34" s="35" t="str">
        <f>IF(E34="DateTime",
REPT(CHAR(9),8)&amp;"&lt;div class='input-search'&gt;
"&amp;REPT(CHAR(9),9)&amp;"&lt;input type='text' [placeholder]=""l('"&amp;C34&amp;"')"" [(ngModel)]='"&amp;D34&amp;"' 
"&amp;REPT(CHAR(9),9)&amp;"name='"&amp;D34&amp;"'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IF(AND(E34="string",F34 &lt;&gt;"1"),
REPT(CHAR(9),8)&amp;"&lt;div class='input-search'&gt;
"&amp;REPT(CHAR(9),9)&amp;"&lt;input [(ngModel)]='"&amp;D34&amp;"' name='"&amp;D34&amp;"'
"&amp;REPT(CHAR(9),9)&amp;"class='form-control' [placeholder]=""l('"&amp;C34&amp;"')""
"&amp;REPT(CHAR(9),9)&amp;"type='text' (keyup.enter)='searchDatas()'&gt;
"&amp;REPT(CHAR(9),8)&amp;"&lt;/div&gt;",""))</f>
        <v/>
      </c>
      <c r="J34" s="28"/>
      <c r="K34" s="35" t="str">
        <f t="shared" si="42"/>
        <v/>
      </c>
      <c r="L34" s="56" t="str">
        <f t="shared" si="49"/>
        <v/>
      </c>
      <c r="M34" s="28"/>
      <c r="N34" s="28"/>
      <c r="O34" s="28"/>
      <c r="P34" s="28"/>
      <c r="Q34" s="28"/>
      <c r="R34" s="28"/>
      <c r="S34" s="28" t="str">
        <f t="shared" si="43"/>
        <v/>
      </c>
      <c r="T34" s="28" t="str">
        <f t="shared" si="47"/>
        <v/>
      </c>
      <c r="U34" s="28" t="str">
        <f t="shared" si="44"/>
        <v/>
      </c>
      <c r="V34" s="28" t="str">
        <f t="shared" si="45"/>
        <v/>
      </c>
    </row>
    <row r="35" spans="1:22" ht="18" customHeight="1" x14ac:dyDescent="0.25">
      <c r="A35" s="28" t="s">
        <v>385</v>
      </c>
      <c r="B35" s="28" t="str">
        <f t="shared" si="39"/>
        <v>ProductionShift</v>
      </c>
      <c r="C35" s="28" t="str">
        <f t="shared" si="40"/>
        <v>Production Shift</v>
      </c>
      <c r="D35" s="28" t="str">
        <f t="shared" si="41"/>
        <v>productionShift</v>
      </c>
      <c r="E35" s="28" t="str">
        <f>A.Backend!H29</f>
        <v>string</v>
      </c>
      <c r="F35" s="28" t="str">
        <f>A.Backend!G29</f>
        <v>10</v>
      </c>
      <c r="G35" s="28" t="str">
        <f t="shared" ref="G35:G40" si="50">IF(E35="string"," : string = '' ; ",IF(OR(E35="DateTime",E35="TimeSpan")," : any ;",IF(E35="int"," : number = 0 ;","")))</f>
        <v xml:space="preserve"> : string = '' ; </v>
      </c>
      <c r="H35" s="35" t="str">
        <f t="shared" si="48"/>
        <v xml:space="preserve">			{headerName: this.l('Production Shift'),headerTooltip: this.l('Production Shift'),field: 'productionShift',flex: 1},</v>
      </c>
      <c r="I35" s="35" t="str">
        <f>IF(E35="DateTime",
REPT(CHAR(9),8)&amp;"&lt;div class='input-search'&gt;
"&amp;REPT(CHAR(9),9)&amp;"&lt;input type='text' [placeholder]=""l('"&amp;C35&amp;"')"" [(ngModel)]='"&amp;D35&amp;"' 
"&amp;REPT(CHAR(9),9)&amp;"name='"&amp;D35&amp;"'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IF(AND(E35="string",F35 &lt;&gt;"1"),
REPT(CHAR(9),8)&amp;"&lt;div class='input-search'&gt;
"&amp;REPT(CHAR(9),9)&amp;"&lt;input [(ngModel)]='"&amp;D35&amp;"' name='"&amp;D35&amp;"'
"&amp;REPT(CHAR(9),9)&amp;"class='form-control' [placeholder]=""l('"&amp;C35&amp;"')""
"&amp;REPT(CHAR(9),9)&amp;"type='text' (keyup.enter)='searchDatas()'&gt;
"&amp;REPT(CHAR(9),8)&amp;"&lt;/div&gt;",""))</f>
        <v xml:space="preserve">								&lt;div class='input-search'&gt;
									&lt;input [(ngModel)]='productionShift' name='productionShift'
									class='form-control' [placeholder]="l('Production Shift')"
									type='text' (keyup.enter)='searchDatas()'&gt;
								&lt;/div&gt;</v>
      </c>
      <c r="J35" s="28"/>
      <c r="K35" s="35" t="str">
        <f t="shared" si="42"/>
        <v xml:space="preserve">					&lt;div class='col-md-12 form-group row'&gt;
						&lt;label class='col-md-2 form-control title'&gt;Production Shift&lt;/label&gt;
						&lt;input type='text' class='col-md-10 form-control input-text' name='ProductionShift' [(ngModel)]='rowdata.productionShift'&gt;
					&lt;/div&gt;</v>
      </c>
      <c r="L35" s="56" t="str">
        <f t="shared" si="49"/>
        <v/>
      </c>
      <c r="M35" s="28"/>
      <c r="N35" s="28"/>
      <c r="O35" s="28"/>
      <c r="P35" s="28"/>
      <c r="Q35" s="28"/>
      <c r="R35" s="28"/>
      <c r="S35" s="28" t="str">
        <f t="shared" si="43"/>
        <v xml:space="preserve">	productionShift : string = '' ; </v>
      </c>
      <c r="T35" s="28" t="str">
        <f t="shared" si="47"/>
        <v xml:space="preserve">			this.deliveryLt,</v>
      </c>
      <c r="U35" s="28" t="str">
        <f t="shared" si="44"/>
        <v xml:space="preserve">	productionShift : string = '' ; </v>
      </c>
      <c r="V35" s="28" t="str">
        <f t="shared" si="45"/>
        <v/>
      </c>
    </row>
    <row r="36" spans="1:22" ht="15" customHeight="1" x14ac:dyDescent="0.25">
      <c r="A36" s="28" t="s">
        <v>387</v>
      </c>
      <c r="B36" s="28" t="str">
        <f t="shared" si="39"/>
        <v>TcFrom</v>
      </c>
      <c r="C36" s="28" t="str">
        <f t="shared" si="40"/>
        <v>Tc From</v>
      </c>
      <c r="D36" s="28" t="str">
        <f t="shared" si="41"/>
        <v>tcFrom</v>
      </c>
      <c r="E36" s="28" t="str">
        <f>A.Backend!H30</f>
        <v>DateTime?</v>
      </c>
      <c r="F36" s="28" t="str">
        <f>A.Backend!G30</f>
        <v/>
      </c>
      <c r="G36" s="28" t="str">
        <f t="shared" si="50"/>
        <v/>
      </c>
      <c r="H36" s="35" t="str">
        <f t="shared" si="48"/>
        <v xml:space="preserve">			{headerName: this.l('Tc From'),headerTooltip: this.l('Tc From'),field: 'tcFrom',flex: 1},</v>
      </c>
      <c r="I36" s="35" t="str">
        <f t="shared" ref="I36" si="51">IF(E36="DateTime",
REPT(CHAR(9),8)&amp;"&lt;div class='input-search'&gt;
"&amp;REPT(CHAR(9),9)&amp;"&lt;input type='text' [placeholder]=""l('"&amp;C36&amp;"')"" [(ngModel)]='"&amp;D36&amp;"' 
"&amp;REPT(CHAR(9),9)&amp;"name='"&amp;D36&amp;"'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IF(AND(E36="string",F36 &lt;&gt;"1"),
REPT(CHAR(9),8)&amp;"&lt;div class='input-search'&gt;
"&amp;REPT(CHAR(9),9)&amp;"&lt;input [(ngModel)]='"&amp;D36&amp;"' name='"&amp;D36&amp;"'
"&amp;REPT(CHAR(9),9)&amp;"class='form-control' [placeholder]=""l('"&amp;C36&amp;"')""
"&amp;REPT(CHAR(9),9)&amp;"type='text' (keyup.enter)='searchDatas()'&gt;
"&amp;REPT(CHAR(9),8)&amp;"&lt;/div&gt;",""))</f>
        <v/>
      </c>
      <c r="J36" s="28"/>
      <c r="K36" s="35" t="str">
        <f>IF(OR(E36="DateTime?",E36="TimeSpan?"),
REPT(CHAR(9),5)&amp;"&lt;div class='col-md-12 form-group row'&gt;
"&amp;REPT(CHAR(9),6)&amp;"&lt;label class='col-md-2 form-control title'&gt;"&amp;C36&amp;"&lt;/label&gt;
"&amp;REPT(CHAR(9),6)&amp;"&lt;input type='text' class='col-md-10 form-control input-text' name='"&amp;D36&amp;"' 
"&amp;REPT(CHAR(9),6)&amp;"#datepicker='bsDatepicker' [(ngModel)]='rowdata."&amp;D36&amp;"'  bsDatepicker &gt;
"&amp;REPT(CHAR(9),5)&amp;"&lt;/div&gt;",
IF(AND(E36="string",F36="1"),
REPT(CHAR(9),5)&amp;"&lt;div class='col-md-12 form-group row'&gt;
"&amp;REPT(CHAR(9),6)&amp;"&lt;label class='col-md-2 form-control title'&gt;"&amp;C36&amp;"&lt;/label&gt;
"&amp;REPT(CHAR(9),6)&amp;"&lt;new-checkbox [(ngModel)]='_"&amp;D36&amp;"' name='"&amp;D36&amp;"' className='col-md-10' &gt; &lt;/new-checkbox&gt;
"&amp;REPT(CHAR(9),5)&amp;"&lt;/div&gt;",
IF(E36="string",
REPT(CHAR(9),5)&amp;"&lt;div class='col-md-12 form-group row'&gt;
"&amp;REPT(CHAR(9),6)&amp;"&lt;label class='col-md-2 form-control title'&gt;"&amp;C36&amp;"&lt;/label&gt;
"&amp;REPT(CHAR(9),6)&amp;"&lt;input type='text' class='col-md-10 form-control input-text' name='"&amp;B36&amp;"' [(ngModel)]='rowdata."&amp;D36&amp;"'&gt;
"&amp;REPT(CHAR(9),5)&amp;"&lt;/div&gt;",
IF(OR(E36="int?",E36="long?"),
REPT(CHAR(9),5)&amp;"&lt;div class='col-md-12 form-group row'&gt;
"&amp;REPT(CHAR(9),6)&amp;"&lt;label class='col-md-2 form-control title'&gt;"&amp;C36&amp;"&lt;/label&gt;
"&amp;REPT(CHAR(9),6)&amp;"&lt;input type='number' class='col-md-10 form-control input-text' name='"&amp;B36&amp;"' [(ngModel)]='rowdata."&amp;D36&amp;"'&gt;
"&amp;REPT(CHAR(9),5)&amp;"&lt;/div&gt;",""))))</f>
        <v xml:space="preserve">					&lt;div class='col-md-12 form-group row'&gt;
						&lt;label class='col-md-2 form-control title'&gt;Tc From&lt;/label&gt;
						&lt;input type='text' class='col-md-10 form-control input-text' name='tcFrom' 
						#datepicker='bsDatepicker' [(ngModel)]='rowdata.tcFrom'  bsDatepicker &gt;
					&lt;/div&gt;</v>
      </c>
      <c r="L36" s="56" t="str">
        <f t="shared" si="49"/>
        <v/>
      </c>
      <c r="M36" s="28"/>
      <c r="N36" s="28"/>
      <c r="O36" s="28"/>
      <c r="P36" s="28"/>
      <c r="Q36" s="28"/>
      <c r="R36" s="28"/>
      <c r="S36" s="28" t="str">
        <f>IF(AND(E36="string",F36 &lt;&gt;"1"),(REPT(CHAR(9),1)&amp;D36&amp;G36),"")</f>
        <v/>
      </c>
      <c r="T36" s="28" t="str">
        <f>IF(AND(E36="string",F36 &lt;&gt;"1"),(REPT(CHAR(9),3)&amp;"this."&amp;D35&amp;","),"")</f>
        <v/>
      </c>
      <c r="U36" s="28" t="str">
        <f>IF(AND(E36="string",F36 &lt;&gt;"1"),(REPT(CHAR(9),1)&amp;D36&amp;G36),"")</f>
        <v/>
      </c>
      <c r="V36" s="28" t="str">
        <f t="shared" si="45"/>
        <v/>
      </c>
    </row>
    <row r="37" spans="1:22" ht="18" customHeight="1" x14ac:dyDescent="0.25">
      <c r="A37" s="28" t="s">
        <v>388</v>
      </c>
      <c r="B37" s="28" t="str">
        <f t="shared" si="39"/>
        <v>TcTo</v>
      </c>
      <c r="C37" s="28" t="str">
        <f t="shared" si="40"/>
        <v>Tc To</v>
      </c>
      <c r="D37" s="28" t="str">
        <f t="shared" si="41"/>
        <v>tcTo</v>
      </c>
      <c r="E37" s="28" t="str">
        <f>A.Backend!H31</f>
        <v>DateTime?</v>
      </c>
      <c r="F37" s="28" t="str">
        <f>A.Backend!G31</f>
        <v/>
      </c>
      <c r="G37" s="28" t="str">
        <f t="shared" si="50"/>
        <v/>
      </c>
      <c r="H37" s="35" t="str">
        <f t="shared" si="48"/>
        <v xml:space="preserve">			{headerName: this.l('Tc To'),headerTooltip: this.l('Tc To'),field: 'tcTo',flex: 1},</v>
      </c>
      <c r="I37" s="35" t="str">
        <f>IF(E37="DateTime",
REPT(CHAR(9),8)&amp;"&lt;div class='input-search'&gt;
"&amp;REPT(CHAR(9),9)&amp;"&lt;input type='text' [placeholder]=""l('"&amp;C37&amp;"')"" [(ngModel)]='"&amp;D37&amp;"' 
"&amp;REPT(CHAR(9),9)&amp;"name='"&amp;D37&amp;"'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IF(AND(E37="string",F37 &lt;&gt;"1"),
REPT(CHAR(9),8)&amp;"&lt;div class='input-search'&gt;
"&amp;REPT(CHAR(9),9)&amp;"&lt;input [(ngModel)]='"&amp;D37&amp;"' name='"&amp;D37&amp;"'
"&amp;REPT(CHAR(9),9)&amp;"class='form-control' [placeholder]=""l('"&amp;C37&amp;"')""
"&amp;REPT(CHAR(9),9)&amp;"type='text' (keyup.enter)='searchDatas()'&gt;
"&amp;REPT(CHAR(9),8)&amp;"&lt;/div&gt;",""))</f>
        <v/>
      </c>
      <c r="J37" s="28"/>
      <c r="K37" s="35" t="str">
        <f t="shared" ref="K37:K40" si="52">IF(OR(E37="DateTime?",E37="TimeSpan?"),
REPT(CHAR(9),5)&amp;"&lt;div class='col-md-12 form-group row'&gt;
"&amp;REPT(CHAR(9),6)&amp;"&lt;label class='col-md-2 form-control title'&gt;"&amp;C37&amp;"&lt;/label&gt;
"&amp;REPT(CHAR(9),6)&amp;"&lt;input type='text' class='col-md-10 form-control input-text' name='"&amp;D37&amp;"' 
"&amp;REPT(CHAR(9),6)&amp;"#datepicker='bsDatepicker' [(ngModel)]='rowdata."&amp;D37&amp;"'  bsDatepicker &gt;
"&amp;REPT(CHAR(9),5)&amp;"&lt;/div&gt;",
IF(AND(E37="string",F37="1"),
REPT(CHAR(9),5)&amp;"&lt;div class='col-md-12 form-group row'&gt;
"&amp;REPT(CHAR(9),6)&amp;"&lt;label class='col-md-2 form-control title'&gt;"&amp;C37&amp;"&lt;/label&gt;
"&amp;REPT(CHAR(9),6)&amp;"&lt;new-checkbox [(ngModel)]='_"&amp;D37&amp;"' name='"&amp;D37&amp;"' className='col-md-10' &gt; &lt;/new-checkbox&gt;
"&amp;REPT(CHAR(9),5)&amp;"&lt;/div&gt;",
IF(E37="string",
REPT(CHAR(9),5)&amp;"&lt;div class='col-md-12 form-group row'&gt;
"&amp;REPT(CHAR(9),6)&amp;"&lt;label class='col-md-2 form-control title'&gt;"&amp;C37&amp;"&lt;/label&gt;
"&amp;REPT(CHAR(9),6)&amp;"&lt;input type='text' class='col-md-10 form-control input-text' name='"&amp;B37&amp;"' [(ngModel)]='rowdata."&amp;D37&amp;"'&gt;
"&amp;REPT(CHAR(9),5)&amp;"&lt;/div&gt;",
IF(OR(E37="int?",E37="long?"),
REPT(CHAR(9),5)&amp;"&lt;div class='col-md-12 form-group row'&gt;
"&amp;REPT(CHAR(9),6)&amp;"&lt;label class='col-md-2 form-control title'&gt;"&amp;C37&amp;"&lt;/label&gt;
"&amp;REPT(CHAR(9),6)&amp;"&lt;input type='number' class='col-md-10 form-control input-text' name='"&amp;B37&amp;"' [(ngModel)]='rowdata."&amp;D37&amp;"'&gt;
"&amp;REPT(CHAR(9),5)&amp;"&lt;/div&gt;",""))))</f>
        <v xml:space="preserve">					&lt;div class='col-md-12 form-group row'&gt;
						&lt;label class='col-md-2 form-control title'&gt;Tc To&lt;/label&gt;
						&lt;input type='text' class='col-md-10 form-control input-text' name='tcTo' 
						#datepicker='bsDatepicker' [(ngModel)]='rowdata.tcTo'  bsDatepicker &gt;
					&lt;/div&gt;</v>
      </c>
      <c r="L37" s="56" t="str">
        <f t="shared" si="49"/>
        <v/>
      </c>
      <c r="M37" s="28"/>
      <c r="N37" s="28"/>
      <c r="O37" s="28"/>
      <c r="P37" s="28"/>
      <c r="Q37" s="28"/>
      <c r="R37" s="28"/>
      <c r="S37" s="28" t="str">
        <f t="shared" ref="S37:S40" si="53">IF(AND(E37="string",F37 &lt;&gt;"1"),(REPT(CHAR(9),1)&amp;D37&amp;G37),"")</f>
        <v/>
      </c>
      <c r="T37" s="28" t="str">
        <f>IF(AND(E37="string",F37 &lt;&gt;"1"),(REPT(CHAR(9),3)&amp;"this."&amp;D36&amp;","),"")</f>
        <v/>
      </c>
      <c r="U37" s="28" t="str">
        <f t="shared" ref="U37:U40" si="54">IF(AND(E37="string",F37 &lt;&gt;"1"),(REPT(CHAR(9),1)&amp;D37&amp;G37),"")</f>
        <v/>
      </c>
      <c r="V37" s="28" t="str">
        <f t="shared" si="45"/>
        <v/>
      </c>
    </row>
    <row r="38" spans="1:22" ht="18" customHeight="1" x14ac:dyDescent="0.25">
      <c r="A38" s="28" t="s">
        <v>389</v>
      </c>
      <c r="B38" s="28" t="str">
        <f t="shared" si="39"/>
        <v>OrderTrip</v>
      </c>
      <c r="C38" s="28" t="str">
        <f t="shared" si="40"/>
        <v>Order Trip</v>
      </c>
      <c r="D38" s="28" t="str">
        <f t="shared" si="41"/>
        <v>orderTrip</v>
      </c>
      <c r="E38" s="28" t="str">
        <f>A.Backend!H32</f>
        <v>int?</v>
      </c>
      <c r="F38" s="28" t="str">
        <f>A.Backend!G32</f>
        <v/>
      </c>
      <c r="G38" s="28" t="str">
        <f t="shared" si="50"/>
        <v/>
      </c>
      <c r="H38" s="35" t="str">
        <f t="shared" si="48"/>
        <v xml:space="preserve">			{headerName: this.l('Order Trip'),headerTooltip: this.l('Order Trip'),field: 'orderTrip',flex: 1},</v>
      </c>
      <c r="I38" s="35" t="str">
        <f t="shared" ref="I38:I39" si="55">IF(E38="DateTime",
REPT(CHAR(9),8)&amp;"&lt;div class='input-search'&gt;
"&amp;REPT(CHAR(9),9)&amp;"&lt;input type='text' [placeholder]=""l('"&amp;C38&amp;"')"" [(ngModel)]='"&amp;D38&amp;"' 
"&amp;REPT(CHAR(9),9)&amp;"name='"&amp;D38&amp;"'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IF(AND(E38="string",F38 &lt;&gt;"1"),
REPT(CHAR(9),8)&amp;"&lt;div class='input-search'&gt;
"&amp;REPT(CHAR(9),9)&amp;"&lt;input [(ngModel)]='"&amp;D38&amp;"' name='"&amp;D38&amp;"'
"&amp;REPT(CHAR(9),9)&amp;"class='form-control' [placeholder]=""l('"&amp;C38&amp;"')""
"&amp;REPT(CHAR(9),9)&amp;"type='text' (keyup.enter)='searchDatas()'&gt;
"&amp;REPT(CHAR(9),8)&amp;"&lt;/div&gt;",""))</f>
        <v/>
      </c>
      <c r="J38" s="28"/>
      <c r="K38" s="35" t="str">
        <f t="shared" si="52"/>
        <v xml:space="preserve">					&lt;div class='col-md-12 form-group row'&gt;
						&lt;label class='col-md-2 form-control title'&gt;Order Trip&lt;/label&gt;
						&lt;input type='number' class='col-md-10 form-control input-text' name='OrderTrip' [(ngModel)]='rowdata.orderTrip'&gt;
					&lt;/div&gt;</v>
      </c>
      <c r="L38" s="56" t="str">
        <f>IF(E38="DateTime",
REPT(CHAR(9),2)&amp;"const dateValue =  this.rowdata."&amp;D38&amp;" ? new Date(this.rowdata."&amp;D38&amp;"?.toString()) : new Date();
"&amp;REPT(CHAR(9),2)&amp;"this.datepicker?.bsValueChange.emit(dateValue);","")</f>
        <v/>
      </c>
      <c r="M38" s="28"/>
      <c r="N38" s="28"/>
      <c r="O38" s="28"/>
      <c r="P38" s="28"/>
      <c r="Q38" s="28"/>
      <c r="R38" s="28"/>
      <c r="S38" s="28" t="str">
        <f t="shared" si="53"/>
        <v/>
      </c>
      <c r="T38" s="28" t="str">
        <f t="shared" ref="T38:T40" si="56">IF(AND(E38="string",F38 &lt;&gt;"1"),(REPT(CHAR(9),3)&amp;"this."&amp;D37&amp;","),"")</f>
        <v/>
      </c>
      <c r="U38" s="28" t="str">
        <f t="shared" si="54"/>
        <v/>
      </c>
      <c r="V38" s="28" t="str">
        <f t="shared" si="45"/>
        <v/>
      </c>
    </row>
    <row r="39" spans="1:22" ht="15" customHeight="1" x14ac:dyDescent="0.25">
      <c r="A39" s="28" t="s">
        <v>390</v>
      </c>
      <c r="B39" s="28" t="str">
        <f t="shared" si="39"/>
        <v>SupplierNameEn</v>
      </c>
      <c r="C39" s="28" t="str">
        <f t="shared" si="40"/>
        <v>Supplier Name En</v>
      </c>
      <c r="D39" s="28" t="str">
        <f t="shared" si="41"/>
        <v>supplierNameEn</v>
      </c>
      <c r="E39" s="28" t="str">
        <f>A.Backend!H33</f>
        <v>string</v>
      </c>
      <c r="F39" s="28" t="str">
        <f>A.Backend!G33</f>
        <v>100</v>
      </c>
      <c r="G39" s="28" t="str">
        <f t="shared" si="50"/>
        <v xml:space="preserve"> : string = '' ; </v>
      </c>
      <c r="H39" s="35" t="str">
        <f t="shared" si="48"/>
        <v xml:space="preserve">			{headerName: this.l('Supplier Name En'),headerTooltip: this.l('Supplier Name En'),field: 'supplierNameEn',flex: 1},</v>
      </c>
      <c r="I39" s="35" t="str">
        <f t="shared" si="55"/>
        <v xml:space="preserve">								&lt;div class='input-search'&gt;
									&lt;input [(ngModel)]='supplierNameEn' name='supplierNameEn'
									class='form-control' [placeholder]="l('Supplier Name En')"
									type='text' (keyup.enter)='searchDatas()'&gt;
								&lt;/div&gt;</v>
      </c>
      <c r="J39" s="28"/>
      <c r="K39" s="35" t="str">
        <f t="shared" si="52"/>
        <v xml:space="preserve">					&lt;div class='col-md-12 form-group row'&gt;
						&lt;label class='col-md-2 form-control title'&gt;Supplier Name En&lt;/label&gt;
						&lt;input type='text' class='col-md-10 form-control input-text' name='SupplierNameEn' [(ngModel)]='rowdata.supplierNameEn'&gt;
					&lt;/div&gt;</v>
      </c>
      <c r="L39" s="56" t="str">
        <f t="shared" ref="L39:L40" si="57">IF(E39="DateTime",
REPT(CHAR(9),2)&amp;"const dateValue =  this.rowdata."&amp;D39&amp;" ? new Date(this.rowdata."&amp;D39&amp;"?.toString()) : new Date();
"&amp;REPT(CHAR(9),2)&amp;"this.datepicker?.bsValueChange.emit(dateValue);","")</f>
        <v/>
      </c>
      <c r="M39" s="28"/>
      <c r="N39" s="28"/>
      <c r="O39" s="28"/>
      <c r="P39" s="28"/>
      <c r="Q39" s="28"/>
      <c r="R39" s="28"/>
      <c r="S39" s="28" t="str">
        <f t="shared" si="53"/>
        <v xml:space="preserve">	supplierNameEn : string = '' ; </v>
      </c>
      <c r="T39" s="28" t="str">
        <f t="shared" si="56"/>
        <v xml:space="preserve">			this.orderTrip,</v>
      </c>
      <c r="U39" s="28" t="str">
        <f t="shared" si="54"/>
        <v xml:space="preserve">	supplierNameEn : string = '' ; </v>
      </c>
      <c r="V39" s="28" t="str">
        <f t="shared" si="45"/>
        <v/>
      </c>
    </row>
    <row r="40" spans="1:22" ht="18" customHeight="1" x14ac:dyDescent="0.25">
      <c r="A40" s="28" t="s">
        <v>318</v>
      </c>
      <c r="B40" s="28" t="str">
        <f t="shared" si="39"/>
        <v>IsActive</v>
      </c>
      <c r="C40" s="28" t="str">
        <f t="shared" si="40"/>
        <v>Is Active</v>
      </c>
      <c r="D40" s="28" t="str">
        <f t="shared" si="41"/>
        <v>isActive</v>
      </c>
      <c r="E40" s="28" t="str">
        <f>A.Backend!H34</f>
        <v>string</v>
      </c>
      <c r="F40" s="28" t="str">
        <f>A.Backend!G34</f>
        <v>1</v>
      </c>
      <c r="G40" s="28" t="str">
        <f t="shared" si="50"/>
        <v xml:space="preserve"> : string = '' ; </v>
      </c>
      <c r="H40" s="35" t="str">
        <f t="shared" si="48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40" s="35" t="str">
        <f>IF(E40="DateTime",
REPT(CHAR(9),8)&amp;"&lt;div class='input-search'&gt;
"&amp;REPT(CHAR(9),9)&amp;"&lt;input type='text' [placeholder]=""l('"&amp;C40&amp;"')"" [(ngModel)]='"&amp;D40&amp;"' 
"&amp;REPT(CHAR(9),9)&amp;"name='"&amp;D40&amp;"'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IF(AND(E40="string",F40 &lt;&gt;"1"),
REPT(CHAR(9),8)&amp;"&lt;div class='input-search'&gt;
"&amp;REPT(CHAR(9),9)&amp;"&lt;input [(ngModel)]='"&amp;D40&amp;"' name='"&amp;D40&amp;"'
"&amp;REPT(CHAR(9),9)&amp;"class='form-control' [placeholder]=""l('"&amp;C40&amp;"')""
"&amp;REPT(CHAR(9),9)&amp;"type='text' (keyup.enter)='searchDatas()'&gt;
"&amp;REPT(CHAR(9),8)&amp;"&lt;/div&gt;",""))</f>
        <v/>
      </c>
      <c r="J40" s="28"/>
      <c r="K40" s="35" t="str">
        <f t="shared" si="52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40" s="56" t="str">
        <f t="shared" si="57"/>
        <v/>
      </c>
      <c r="M40" s="28"/>
      <c r="N40" s="28"/>
      <c r="O40" s="28"/>
      <c r="P40" s="28"/>
      <c r="Q40" s="28"/>
      <c r="R40" s="28"/>
      <c r="S40" s="28" t="str">
        <f t="shared" si="53"/>
        <v/>
      </c>
      <c r="T40" s="28" t="str">
        <f t="shared" si="56"/>
        <v/>
      </c>
      <c r="U40" s="28" t="str">
        <f t="shared" si="54"/>
        <v/>
      </c>
      <c r="V40" s="28" t="str">
        <f t="shared" si="45"/>
        <v>isActive</v>
      </c>
    </row>
    <row r="41" spans="1:22" ht="18" customHeight="1" x14ac:dyDescent="0.25">
      <c r="H41" s="66"/>
      <c r="I41" s="66"/>
      <c r="K41" s="66"/>
      <c r="L41" s="26"/>
    </row>
    <row r="4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2023-04-25T03:44:29Z</dcterms:modified>
</cp:coreProperties>
</file>
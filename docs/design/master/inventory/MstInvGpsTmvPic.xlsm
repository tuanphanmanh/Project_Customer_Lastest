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inventory\"/>
    </mc:Choice>
  </mc:AlternateContent>
  <xr:revisionPtr revIDLastSave="0" documentId="13_ncr:1_{86923282-9F80-4416-957B-48A2FB894F79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G16" i="5" s="1"/>
  <c r="F16" i="5"/>
  <c r="E17" i="5"/>
  <c r="G17" i="5" s="1"/>
  <c r="F17" i="5"/>
  <c r="E18" i="5"/>
  <c r="F18" i="5"/>
  <c r="G18" i="5"/>
  <c r="E19" i="5"/>
  <c r="F19" i="5"/>
  <c r="G19" i="5"/>
  <c r="E20" i="5"/>
  <c r="G20" i="5" s="1"/>
  <c r="F20" i="5"/>
  <c r="E21" i="5"/>
  <c r="G21" i="5" s="1"/>
  <c r="F21" i="5"/>
  <c r="E22" i="5"/>
  <c r="F22" i="5"/>
  <c r="G22" i="5"/>
  <c r="C22" i="5"/>
  <c r="B22" i="5"/>
  <c r="D22" i="5" s="1"/>
  <c r="C21" i="5"/>
  <c r="B21" i="5"/>
  <c r="D21" i="5" s="1"/>
  <c r="C20" i="5"/>
  <c r="B20" i="5"/>
  <c r="D20" i="5" s="1"/>
  <c r="L15" i="1"/>
  <c r="G15" i="1"/>
  <c r="E15" i="1"/>
  <c r="H15" i="1" s="1"/>
  <c r="D15" i="1"/>
  <c r="T15" i="1" s="1"/>
  <c r="L14" i="1"/>
  <c r="G14" i="1"/>
  <c r="E14" i="1"/>
  <c r="H14" i="1" s="1"/>
  <c r="D14" i="1"/>
  <c r="V14" i="1" s="1"/>
  <c r="L16" i="1"/>
  <c r="G16" i="1"/>
  <c r="E16" i="1"/>
  <c r="H16" i="1" s="1"/>
  <c r="D16" i="1"/>
  <c r="P16" i="1" s="1"/>
  <c r="L13" i="1"/>
  <c r="G13" i="1"/>
  <c r="E13" i="1"/>
  <c r="H13" i="1" s="1"/>
  <c r="D13" i="1"/>
  <c r="V13" i="1" s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W16" i="1" l="1"/>
  <c r="H19" i="5"/>
  <c r="H20" i="5"/>
  <c r="S20" i="5"/>
  <c r="L20" i="5"/>
  <c r="V21" i="5"/>
  <c r="I22" i="5"/>
  <c r="V20" i="5"/>
  <c r="K21" i="5"/>
  <c r="I20" i="5"/>
  <c r="T20" i="5"/>
  <c r="L21" i="5"/>
  <c r="K20" i="5"/>
  <c r="I21" i="5"/>
  <c r="M15" i="1"/>
  <c r="T16" i="1"/>
  <c r="P13" i="1"/>
  <c r="W13" i="1"/>
  <c r="P14" i="1"/>
  <c r="W14" i="1"/>
  <c r="O14" i="1"/>
  <c r="I14" i="1"/>
  <c r="M14" i="1"/>
  <c r="M16" i="1"/>
  <c r="T13" i="1"/>
  <c r="I16" i="1"/>
  <c r="V16" i="1"/>
  <c r="I15" i="1"/>
  <c r="V15" i="1"/>
  <c r="O16" i="1"/>
  <c r="T14" i="1"/>
  <c r="O15" i="1"/>
  <c r="W15" i="1"/>
  <c r="P15" i="1"/>
  <c r="M13" i="1"/>
  <c r="I13" i="1"/>
  <c r="O13" i="1"/>
  <c r="V22" i="5" l="1"/>
  <c r="T22" i="5"/>
  <c r="K22" i="5"/>
  <c r="T21" i="5"/>
  <c r="H21" i="5"/>
  <c r="U22" i="5"/>
  <c r="L22" i="5"/>
  <c r="H22" i="5"/>
  <c r="U20" i="5"/>
  <c r="K19" i="5"/>
  <c r="S19" i="5"/>
  <c r="U19" i="5"/>
  <c r="I19" i="5"/>
  <c r="V19" i="5"/>
  <c r="T19" i="5"/>
  <c r="B7" i="5"/>
  <c r="B8" i="5" s="1"/>
  <c r="B6" i="5"/>
  <c r="B2" i="5"/>
  <c r="U21" i="5" l="1"/>
  <c r="S21" i="5"/>
  <c r="S22" i="5"/>
  <c r="B3" i="5"/>
  <c r="B6" i="1" l="1"/>
  <c r="L19" i="5" l="1"/>
  <c r="C15" i="5"/>
  <c r="B15" i="5"/>
  <c r="D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H18" i="5" l="1"/>
  <c r="S17" i="5"/>
  <c r="H17" i="5"/>
  <c r="U18" i="5"/>
  <c r="K18" i="5"/>
  <c r="T18" i="5"/>
  <c r="V18" i="5"/>
  <c r="I18" i="5"/>
  <c r="K17" i="5"/>
  <c r="V17" i="5"/>
  <c r="T17" i="5"/>
  <c r="I17" i="5"/>
  <c r="L18" i="5"/>
  <c r="L17" i="5"/>
  <c r="M11" i="1"/>
  <c r="L11" i="1"/>
  <c r="P11" i="1"/>
  <c r="W12" i="1"/>
  <c r="O12" i="1"/>
  <c r="I12" i="1"/>
  <c r="M12" i="1"/>
  <c r="I11" i="1"/>
  <c r="V11" i="1"/>
  <c r="P12" i="1"/>
  <c r="O11" i="1"/>
  <c r="W11" i="1"/>
  <c r="T12" i="1"/>
  <c r="S18" i="5" l="1"/>
  <c r="U17" i="5"/>
  <c r="G9" i="1"/>
  <c r="F15" i="5" s="1"/>
  <c r="E9" i="1"/>
  <c r="H9" i="1" s="1"/>
  <c r="E15" i="5" s="1"/>
  <c r="D9" i="1"/>
  <c r="V9" i="1" s="1"/>
  <c r="T15" i="5" l="1"/>
  <c r="I15" i="5"/>
  <c r="K15" i="5"/>
  <c r="H15" i="5"/>
  <c r="G15" i="5"/>
  <c r="U15" i="5" s="1"/>
  <c r="V15" i="5"/>
  <c r="L15" i="5"/>
  <c r="W9" i="1"/>
  <c r="P9" i="1"/>
  <c r="T9" i="1"/>
  <c r="I9" i="1"/>
  <c r="M9" i="1"/>
  <c r="O9" i="1"/>
  <c r="S15" i="5" l="1"/>
  <c r="Q3" i="1"/>
  <c r="B4" i="5" s="1"/>
  <c r="B5" i="5" s="1"/>
  <c r="G10" i="1" l="1"/>
  <c r="E10" i="1"/>
  <c r="H10" i="1" s="1"/>
  <c r="D10" i="1"/>
  <c r="T10" i="1" s="1"/>
  <c r="U16" i="5" l="1"/>
  <c r="H16" i="5"/>
  <c r="V16" i="5"/>
  <c r="T16" i="5"/>
  <c r="K16" i="5"/>
  <c r="I16" i="5"/>
  <c r="L16" i="5"/>
  <c r="P10" i="1"/>
  <c r="V10" i="1"/>
  <c r="W10" i="1"/>
  <c r="I10" i="1"/>
  <c r="O10" i="1"/>
  <c r="M10" i="1"/>
  <c r="S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G6" i="1" l="1"/>
  <c r="I13" i="5"/>
  <c r="L13" i="5"/>
  <c r="U13" i="5"/>
  <c r="H13" i="5"/>
  <c r="S13" i="5"/>
  <c r="K13" i="5"/>
  <c r="K10" i="5" l="1"/>
  <c r="F75" i="3" s="1"/>
  <c r="I10" i="5"/>
  <c r="D75" i="3" s="1"/>
  <c r="H10" i="5"/>
  <c r="C75" i="3" s="1"/>
  <c r="L10" i="5"/>
  <c r="G75" i="3" s="1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N15" i="1" l="1"/>
  <c r="J15" i="1"/>
  <c r="N14" i="1"/>
  <c r="N16" i="1"/>
  <c r="J16" i="1"/>
  <c r="N13" i="1"/>
  <c r="J13" i="1"/>
  <c r="J14" i="1"/>
  <c r="N12" i="1"/>
  <c r="N11" i="1"/>
  <c r="J12" i="1"/>
  <c r="J11" i="1"/>
  <c r="N10" i="1"/>
  <c r="J10" i="1"/>
  <c r="J9" i="1"/>
  <c r="N9" i="1"/>
  <c r="L9" i="1"/>
  <c r="L10" i="1"/>
  <c r="C7" i="1"/>
  <c r="K68" i="3" l="1"/>
  <c r="J68" i="3"/>
  <c r="K18" i="1"/>
  <c r="M18" i="1"/>
  <c r="R7" i="1" l="1"/>
  <c r="I68" i="3" s="1"/>
  <c r="J18" i="1"/>
  <c r="P18" i="1"/>
  <c r="O18" i="1"/>
  <c r="I18" i="1"/>
  <c r="J7" i="1" l="1"/>
  <c r="C68" i="3" s="1"/>
  <c r="L7" i="1"/>
  <c r="G68" i="3" s="1"/>
  <c r="N18" i="1"/>
  <c r="M7" i="1" l="1"/>
  <c r="H68" i="3" s="1"/>
  <c r="V18" i="1"/>
  <c r="W18" i="1"/>
  <c r="T18" i="1"/>
  <c r="Q7" i="1" l="1"/>
  <c r="M68" i="3" s="1"/>
  <c r="T7" i="1"/>
  <c r="L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<sst xmlns="http://schemas.openxmlformats.org/spreadsheetml/2006/main" count="463" uniqueCount="372">
  <si>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</si>
  <si>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</si>
  <si>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</si>
  <si>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</si>
  <si>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</si>
  <si>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</si>
  <si>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</si>
  <si>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</si>
  <si>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</si>
  <si>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</si>
  <si>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</si>
  <si>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</si>
  <si>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</si>
  <si>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</si>
  <si>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</si>
  <si>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</si>
  <si>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</si>
  <si>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</si>
  <si>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</si>
  <si>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</si>
  <si>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</si>
  <si>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</si>
  <si>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</si>
  <si>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</si>
  <si>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</si>
  <si>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</si>
  <si>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</si>
  <si>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</si>
  <si>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</si>
  <si>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</si>
  <si>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</si>
  <si>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</si>
  <si>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</si>
  <si>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</si>
  <si>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</si>
  <si>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</si>
  <si>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</si>
  <si>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</si>
  <si>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</si>
  <si>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</si>
  <si>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</si>
  <si>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</si>
  <si>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</si>
  <si>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</si>
  <si>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</si>
  <si>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</si>
  <si>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</si>
  <si>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</si>
  <si>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</si>
  <si>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</si>
  <si>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</si>
  <si>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</si>
  <si>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</si>
  <si>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</si>
  <si>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</si>
  <si>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</si>
  <si>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</si>
  <si>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</si>
  <si>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</si>
  <si>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</si>
  <si>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</si>
  <si>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</si>
  <si>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</si>
  <si>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</si>
  <si>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</si>
  <si>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</si>
  <si>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</si>
  <si>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</si>
  <si>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</si>
  <si>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</si>
  <si>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</si>
  <si>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</si>
  <si>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</si>
  <si>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</si>
  <si>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</si>
  <si>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</si>
  <si>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</si>
  <si>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</si>
  <si>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</si>
  <si>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</si>
  <si>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</si>
  <si>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</si>
  <si>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</si>
  <si>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</si>
  <si>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</si>
  <si>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</si>
  <si>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</si>
  <si>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</si>
  <si>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</si>
  <si>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</si>
  <si>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</si>
  <si>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</si>
  <si>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</si>
  <si>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</si>
  <si>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</si>
  <si>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</si>
  <si>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</si>
  <si>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</si>
  <si>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</si>
  <si>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</si>
  <si>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</si>
  <si>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</si>
  <si>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</si>
  <si>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</si>
  <si>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</si>
  <si>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</si>
  <si>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</si>
  <si>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</si>
  <si>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</si>
  <si>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</si>
  <si>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</si>
  <si>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</si>
  <si>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</si>
  <si>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</si>
  <si>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</si>
  <si>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</si>
  <si>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</si>
  <si>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</si>
  <si>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</si>
  <si>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</si>
  <si>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</si>
  <si>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</si>
  <si>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</si>
  <si>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</si>
  <si>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</si>
  <si>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</si>
  <si>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</si>
  <si>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</si>
  <si>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</si>
  <si>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</si>
  <si>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</si>
  <si>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</si>
  <si>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</si>
  <si>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</si>
  <si>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</si>
  <si>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</si>
  <si>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</si>
  <si>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</si>
  <si>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</si>
  <si>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</si>
  <si>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</si>
  <si>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</si>
  <si>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</si>
  <si>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</si>
  <si>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</si>
  <si>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</si>
  <si>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</si>
  <si>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</si>
  <si>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</si>
  <si>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</si>
  <si>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</si>
  <si>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</si>
  <si>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</si>
  <si>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</si>
  <si>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</si>
  <si>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</si>
  <si>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</si>
  <si>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</si>
  <si>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</si>
  <si>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</si>
  <si>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</si>
  <si>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</si>
  <si>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</si>
  <si>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</si>
  <si>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</si>
  <si>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</si>
  <si>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</si>
  <si>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</si>
  <si>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</si>
  <si>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</si>
  <si>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</si>
  <si>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</si>
  <si>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</si>
  <si>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</si>
  <si>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</si>
  <si>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</si>
  <si>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</si>
  <si>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</si>
  <si>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</si>
  <si>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</si>
  <si>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</si>
  <si>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</si>
  <si>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</si>
  <si>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</si>
  <si>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</si>
  <si>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</si>
  <si>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</si>
  <si>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</si>
  <si>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</si>
  <si>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</si>
  <si>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</si>
  <si>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</si>
  <si>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</si>
  <si>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</si>
  <si>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</si>
  <si>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</si>
  <si>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</si>
  <si>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</si>
  <si>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</si>
  <si>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</si>
  <si>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</si>
  <si>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</si>
  <si>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</si>
  <si>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</si>
  <si>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</si>
  <si>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</si>
  <si>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</si>
  <si>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</si>
  <si>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</si>
  <si>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</si>
  <si>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</si>
  <si>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</si>
  <si>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</si>
  <si>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</si>
  <si>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</si>
  <si>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</si>
  <si>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</si>
  <si>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</si>
  <si>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</si>
  <si>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</si>
  <si>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</si>
  <si>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</si>
  <si>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</si>
  <si>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</si>
  <si>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</si>
  <si>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</si>
  <si>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</si>
  <si>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</si>
  <si>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</si>
  <si>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</si>
  <si>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</si>
  <si>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</si>
  <si>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</si>
  <si>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</si>
  <si>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</si>
  <si>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</si>
  <si>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</si>
  <si>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</si>
  <si>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</si>
  <si>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</si>
  <si>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</si>
  <si>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</si>
  <si>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</si>
  <si>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</si>
  <si>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</si>
  <si>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</si>
  <si>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</si>
  <si>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</si>
  <si>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</si>
  <si>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</si>
  <si>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</si>
  <si>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</si>
  <si>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</si>
  <si>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</si>
  <si>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</si>
  <si>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</si>
  <si>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</si>
  <si>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</si>
  <si>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</si>
  <si>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</si>
  <si>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</si>
  <si>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</si>
  <si>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</si>
  <si>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</si>
  <si>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</si>
  <si>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</si>
  <si>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</si>
  <si>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</si>
  <si>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</si>
  <si>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</si>
  <si>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</si>
  <si>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</si>
  <si>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</si>
  <si>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</si>
  <si>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</si>
  <si>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</si>
  <si>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</si>
  <si>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</si>
  <si>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</si>
  <si>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</si>
  <si>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</si>
  <si>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</si>
  <si>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</si>
  <si>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</si>
  <si>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</si>
  <si>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</si>
  <si>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</si>
  <si>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</si>
  <si>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</si>
  <si>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</si>
  <si>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</si>
  <si>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</si>
  <si>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</si>
  <si>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</si>
  <si>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</si>
  <si>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</si>
  <si>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</si>
  <si>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</si>
  <si>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</si>
  <si>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</si>
  <si>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</si>
  <si>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</si>
  <si>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</si>
  <si>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</si>
  <si>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</si>
  <si>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</si>
  <si>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</si>
  <si>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</si>
  <si>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</si>
  <si>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</si>
  <si>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</si>
  <si>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</si>
  <si>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</si>
  <si>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</si>
  <si>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</si>
  <si>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</si>
  <si>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</si>
  <si>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</si>
  <si>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</si>
  <si>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</si>
  <si>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</si>
  <si>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</si>
  <si>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</si>
  <si>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</si>
  <si>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</si>
  <si>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</si>
  <si>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</si>
  <si>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</si>
  <si>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</si>
  <si>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</si>
  <si>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</si>
  <si>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</si>
  <si>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</si>
  <si>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</si>
  <si>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</si>
  <si>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</si>
  <si>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</si>
  <si>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</si>
  <si>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</si>
  <si>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</si>
  <si>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</si>
  <si>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</si>
  <si>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</si>
  <si>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</si>
  <si>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</si>
  <si>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</si>
  <si>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</si>
  <si>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</si>
  <si>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</si>
  <si>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</si>
  <si>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</si>
  <si>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</si>
  <si>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</si>
  <si>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</si>
  <si>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</si>
  <si>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</si>
  <si>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nvarchar(100)</t>
  </si>
  <si>
    <t>varchar(40)</t>
  </si>
  <si>
    <t>Master.Inv</t>
  </si>
  <si>
    <t>PIC_USER_ACCOUNT</t>
  </si>
  <si>
    <t>PIC_NAME</t>
  </si>
  <si>
    <t>nvarchar(40)</t>
  </si>
  <si>
    <t>PIC_TELEPHONE</t>
  </si>
  <si>
    <t>PIC_EMAIL</t>
  </si>
  <si>
    <t>IS_MAIN_PIC</t>
  </si>
  <si>
    <t>varchar(50)</t>
  </si>
  <si>
    <t>PIC_TELEPHONE_2</t>
  </si>
  <si>
    <t>SUPPLIERS</t>
  </si>
  <si>
    <t>varchar(2048)</t>
  </si>
  <si>
    <t>MstInvGpsTmvPic</t>
  </si>
  <si>
    <t>GpsTmvPic</t>
  </si>
  <si>
    <t>Master Inventory Gps TmvPic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</si>
</sst>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0" fillId="0" borderId="0" xfId="0" applyAlignment="1">
      <alignment vertical="top"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4" zoomScaleNormal="100" workbookViewId="0">
      <selection activeCell="F65" sqref="F6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[Table("MstInvGpsTmvPic")]
	public class MstInvGpsTmvPic: FullAuditedEntity&lt;long&gt;, IEntity&lt;long&gt;	
	{
		public const int MaxPicUserAccountLength = 40;
		public const int MaxPicNameLength = 40;
		public const int MaxPicTelephoneLength = 100;
		public const int MaxPicEmailLength = 100;
		public const int MaxIsMainPicLength = 50;
		public const int MaxPicTelephone2Length = 50;
		public const int MaxSuppliersLength = 2048;
		public const int MaxIsActiveLength = 1;
		[StringLength(MaxPicUserAccountLength)]
		public virtual string PicUserAccount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[StringLength(MaxPicTelephone2Length)]
		public virtual string PicTelephone2 { get; set; }
		[StringLength(MaxSuppliersLength)]
		public virtual string Suppliers { get; set; }
		[StringLength(MaxIsActiveLength)]
		public virtual string IsActive { get; set; }
	}
}
</v>
      </c>
      <c r="D68" s="48" t="str">
        <f>A.Backend!O7</f>
        <v xml:space="preserve">		public const string Pages_Master_Inv_GpsTmvPic = "Pages.Master.Inv.GpsTmvPic";
		public const string Pages_Master_Inv_GpsTmvPic_CreateEdit = "Pages.Master.Inv.GpsTmvPic.CreateEdit";
		public const string Pages_Master_Inv_GpsTmvPic_Delete = "Pages.Master.Inv.GpsTmvPic.Delete";
</v>
      </c>
      <c r="E68" s="48" t="str">
        <f>A.Backend!N7</f>
        <v xml:space="preserve">		var perMstInvGpsTmvPic = PARENTS.CreateChildPermission(AppPermissions.Pages_Master_Inv_GpsTmvPic, L( "MasterInvGpsTmvPic"), multiTenancySides: MultiTenancySides.Tenant);
		perMstInvGpsTmvPic.CreateChildPermission(AppPermissions.Pages_Master_Inv_GpsTmvPic_CreateEdit, L( "MasterInvGpsTmvPicCreateEdit"), multiTenancySides: MultiTenancySides.Tenant);
		perMstInvGpsTmvPic.CreateChildPermission(AppPermissions.Pages_Master_Inv_GpsTmvPic_Delete, L( "MasterInvGpsTmvPicDelete"), multiTenancySides: MultiTenancySides.Tenant);</v>
      </c>
      <c r="F68" s="48" t="str">
        <f>A.Backend!K7</f>
        <v>public virtual DbSet&lt;MstInvGpsTmvPic&gt; MstInvGpsTmvPics { get; set; }</v>
      </c>
      <c r="G68" s="48" t="str">
        <f ca="1">A.Backend!L7</f>
        <v xml:space="preserve">namespace prod.Master.Inv
{
	public class MstInvGpsTmvPicConsts	
	{
		public const int MaxPicUserAccountLength = 40;
		public const int MaxPicNameLength = 40;
		public const int MaxPicTelephoneLength = 100;
		public const int MaxPicEmailLength = 100;
		public const int MaxIsMainPicLength = 50;
		public const int MaxPicTelephone2Length = 50;
		public const int MaxSuppliersLength = 2048;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MstInvGpsTmvPicDto : EntityDto&lt;long?&gt;	
	{
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	}
	public class CreateOrEditMstInvGpsTmvPicDto : EntityDto&lt;long?&gt;	
	{
		[StringLength(MstInvGpsTmvPicConsts.MaxPicUserAccountLength)]
		public virtual string PicUserAccount { get; set; }
		[StringLength(MstInvGpsTmvPicConsts.MaxPicNameLength)]
		public virtual string PicName { get; set; }
		[StringLength(MstInvGpsTmvPicConsts.MaxPicTelephoneLength)]
		public virtual string PicTelephone { get; set; }
		[StringLength(MstInvGpsTmvPicConsts.MaxPicEmailLength)]
		public virtual string PicEmail { get; set; }
		[StringLength(MstInvGpsTmvPicConsts.MaxIsMainPicLength)]
		public virtual string IsMainPic { get; set; }
		[StringLength(MstInvGpsTmvPicConsts.MaxPicTelephone2Length)]
		public virtual string PicTelephone2 { get; set; }
		[StringLength(MstInvGpsTmvPicConsts.MaxSuppliersLength)]
		public virtual string Suppliers { get; set; }
		[StringLength(MstInvGpsTmvPicConsts.MaxIsActiveLength)]
		public virtual string IsActive { get; set; }
	}
	public class GetMstInvGpsTmvPicInput : PagedAndSortedResultRequestDto	
	{
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MstInvGpsTmvPicExportInput{
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IMstInvGpsTmvPicAppService : IApplicationService
	{
		Task&lt;PagedResultDto&lt;MstInvGpsTmvPicDto&gt;&gt; GetAll(GetMstInvGpsTmvPicInput input);
		Task CreateOrEdit(CreateOrEditMstInvGpsTmvPicDto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IMstInvGpsTmvPicExcelExporter : IApplicationService
	{
		FileDto ExportToFile(List&lt;MstInvGpsTmvPicDto&gt; mstinvgpstmvpic);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MstInvGpsTmvPicExcelExporter : NpoiExcelExporterBase, IMstInvGpsTmvPicExcelExporter
    {
        public MstInvGpsTmvPicExcelExporter(ITempFileCacheManager tempFileCacheManager) : base(tempFileCacheManager) { }
        public FileDto ExportToFile(List&lt;MstInvGpsTmvPicDto&gt; gpstmvpic)
        {
            return CreateExcelPackage(
				"MasterInvGpsTmvPic.xlsx",
				excelPackage =&gt;
				 {
					var sheet = excelPackage.CreateSheet("GpsTmvPic");
					AddHeader(
								sheet,
								("PicUserAccount"),
								("PicName"),
								("PicTelephone"),
								("PicEmail"),
								("IsMainPic"),
								("PicTelephone2"),
								("Suppliers"),
								("IsActive"),
							   );
					AddObjects(
						 sheet, 1, gpstmvpic,                                       
								_ =&gt; _.PicUserAccount,
								_ =&gt; _.PicName,
								_ =&gt; _.PicTelephone,
								_ =&gt; _.PicEmail,
								_ =&gt; _.IsMainPic,
								_ =&gt; _.PicTelephone2,
								_ =&gt; _.Suppliers,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[AbpAuthorize(AppPermissions.Pages_Master_Inv_GpsTmvPic)]
    public class MstInvGpsTmvPicAppService : vovinaAppServiceBase, IMstInvGpsTmvPicAppService
    {
        private readonly IDapperRepository&lt;MstInvGpsTmvPic, long&gt; _dapperRepo;
        private readonly IRepository&lt;MstInvGpsTmvPic, long&gt; _repo;
        private readonly IMstInvGpsTmvPicExcelExporter _calendarListExcelExporter;
        public MstInvGpsTmvPicAppService(IRepository&lt;MstInvGpsTmvPic,long&gt; repo, 
                                         IDapperRepository&lt;MstInvGpsTmvPic,long&gt; dapperRepo,
                                        IMstInvGpsTmvPicExcelExporter calendarListExcelExporter
            )
        {
            _repo = repo;
            _dapperRepo = dapperRepo;
            _calendarListExcelExporter = calendarListExcelExporter;
        }
        [AbpAuthorize(AppPermissions.Pages_Master_Inv_GpsTmvPic_CreateEdit)]
        public async Task CreateOrEdit(CreateOrEditMstInvGpsTmvPicDto input)
        {
            if (input.Id == null) await Create(input);
            else await Update(input);
        }
        //CREATE
        private async Task Create(CreateOrEditMstInvGpsTmvPicDto input)
        {          
            var mainObj = ObjectMapper.Map&lt;MstInvGpsTmvPic&gt;(input);
            await CurrentUnitOfWork.GetDbContext&lt;vovinaDbContext&gt;().AddAsync(mainObj);
        }
        // EDIT
        private async Task Update(CreateOrEditMstInvGpsTmvPicDto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[AbpAuthorize(AppPermissions.Pages_Master_Inv_GpsTmvPic_Delete)]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Task&lt;PagedResultDto&lt;MstInvGpsTmvPicDto&gt;&gt; GetAll(GetMstInvGpsTmvPicInput input)
        {
            var filtered = _repo.GetAll()
				.WhereIf(!string.IsNullOrWhiteSpace(input.PicUserAccount), e =&gt; e.PicUserAccount.Contains(input.PicUserAccount))
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.WhereIf(!string.IsNullOrWhiteSpace(input.PicTelephone2), e =&gt; e.PicTelephone2.Contains(input.PicTelephone2))
				.WhereIf(!string.IsNullOrWhiteSpace(input.Suppliers), e =&gt; e.Suppliers.Contains(input.Suppliers))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MstInvGpsTmvPicDto
                        {
							Id = o.Id,
							PicUserAccount = o.PicUserAccount,
							PicName = o.PicName,
							PicTelephone = o.PicTelephone,
							PicEmail = o.PicEmail,
							IsMainPic = o.IsMainPic,
							PicTelephone2 = o.PicTelephone2,
							Suppliers = o.Suppliers,
							IsActive = o.IsActive,
                        };
            var totalCount = await filtered.CountAsync();
			var paged = system.PageBy(input);
            return new PagedResultDto&lt;MstInvGpsTmvPicDto&gt;(
                totalCount,
                 await paged.ToListAsync()
            );
        }
        public async Task&lt;FileDto&gt; GetGpsTmvPicToExcel(MstInvGpsTmvPicExportInput input)
        {
            var query = from o in _repo.GetAll()
                        select new MstInvGpsTmvPicDto
                        {
							Id = o.Id,
							PicUserAccount = o.PicUserAccount,
							PicName = o.PicName,
							PicTelephone = o.PicTelephone,
							PicEmail = o.PicEmail,
							IsMainPic = o.IsMainPic,
							PicTelephone2 = o.PicTelephone2,
							Suppliers = o.Suppliers,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_dapperRepo.ExecuteAsync(MstInvGpsTmvPicConsts.SP_MST_WPT_CALENDAR_GENERATE);
       // }
    }
}</v>
      </c>
      <c r="N68" s="58" t="str">
        <f>A.Backend!U7</f>
        <v xml:space="preserve">  configuration.CreateMap&lt;MstInvGpsTmvPicDto, MstInvGpsTmvPic&gt;();
  configuration.CreateMap&lt;MstInvGpsTmvPic, MstInvGpsTmvPicDto&gt;();
  configuration.CreateMap&lt;CreateOrEditMstInvGpsTmvPicDto, MstInvGpsTmvPic&gt;();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gpstmvpic</v>
      </c>
      <c r="C73" s="67" t="str">
        <f>"create folder " &amp;B73</f>
        <v>create folder gpstmvpic</v>
      </c>
      <c r="D73" s="67"/>
      <c r="E73" s="67"/>
      <c r="F73" s="67"/>
      <c r="G73" s="67"/>
      <c r="H73" s="67"/>
      <c r="I73" s="67"/>
      <c r="J73" s="67"/>
      <c r="K73" s="68" t="s">
        <v>223</v>
      </c>
      <c r="L73" s="68"/>
      <c r="M73" s="28"/>
    </row>
    <row r="74" spans="2:14" s="26" customFormat="1" ht="18" customHeight="1" x14ac:dyDescent="0.25">
      <c r="B74" s="56" t="s">
        <v>224</v>
      </c>
      <c r="C74" s="28" t="str">
        <f>B.Frontend!H14</f>
        <v>gpstmvpic.component.ts</v>
      </c>
      <c r="D74" s="28" t="str">
        <f>B.Frontend!I14</f>
        <v>gpstmvpic.component.html</v>
      </c>
      <c r="E74" s="28" t="str">
        <f>B.Frontend!J14</f>
        <v>gpstmvpic.component.less</v>
      </c>
      <c r="F74" s="28" t="str">
        <f>B.Frontend!K14</f>
        <v>create-or-edit-gpstmvpic-modal.component.html</v>
      </c>
      <c r="G74" s="28" t="str">
        <f>B.Frontend!L14</f>
        <v>create-or-edit-gpstmvpic-modal.component.ts</v>
      </c>
      <c r="H74" s="28" t="str">
        <f>B.Frontend!M14</f>
        <v>create-or-edit-gpstmvpic-modal.component.less</v>
      </c>
      <c r="I74" s="28" t="str">
        <f>B.Frontend!N14</f>
        <v>gpstmvpic.module.ts</v>
      </c>
      <c r="J74" s="28" t="str">
        <f>B.Frontend!O14</f>
        <v>gpstmvpic-routing.module.ts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MstInvGpsTmvPicDto, MstInvGpsTmvPicServiceProxy } from '@shared/service-proxies/service-proxies';
import { finalize } from 'rxjs/internal/operators/finalize';
import { CreateOrEditGpsTmvPicModalComponent } from './create-or-edit-gpstmvpic-modal.component';
import { DatePipe } from '@angular/common';
import { FileDownloadService } from '@shared/utils/file-download.service';
import ceil from 'lodash-es/ceil';
import { Paginator } from 'primeng/paginator';
@Component({
    templateUrl: './gpstmvpic.component.html',
    styleUrls: ['./gpstmvpic.component.less'],
})
export class GpsTmvPicComponent extends AppComponentBase implements OnInit {
    @ViewChild('createOrEditModalGpsTmvPic', { static: true }) createOrEditModalGpsTmvPic:| CreateOrEditGpsTmvPicModalComponent|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MstInvGpsTmvPicDto = new MstInvGpsTmvPicDto();
    saveSelectedRow: MstInvGpsTmvPicDto = new MstInvGpsTmvPicDto();
    datas: MstInvGpsTmvPicDto = new MstInvGpsTmvPicDto();
    isLoading: boolean = false;
    dataParams: GridParams | undefined;
    rowData: any[] = [];
    gridApi!: GridApi;
    rowSelection = 'multiple';
    filter: string = '';
	pipe = new DatePipe('en-US');
	frameworkComponents: FrameworkComponent;
    	picUserAccount : string = '' ; 
	picName : string = '' ; 
	picTelephone : string = '' ; 
	picEmail : string = '' ; 
	isMainPic : string = '' ; 
	picTelephone2 : string = '' ; 
	suppliers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MstInvGpsTmvPicServiceProxy,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 User Account'),headerTooltip: this.l('Pic User Account'),field: 'picUserAccount',flex: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this.l('Pic Telephone 2'),headerTooltip: this.l('Pic Telephone 2'),field: 'picTelephone2',flex: 1},
			{headerName: this.l('Suppliers'),headerTooltip: this.l('Suppliers'),field: 'suppliers',flex: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this.picUserAccount,
			this.picName,
			this.picTelephone,
			this.picEmail,
			this.isMainPic,
			this.picTelephone2,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picUserAccount : string = '' ; 
	picName : string = '' ; 
	picTelephone : string = '' ; 
	picEmail : string = '' ; 
	isMainPic : string = '' ; 
	picTelephone2 : string = '' ; 
	suppliers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this.picUserAccount,
			this.picName,
			this.picTelephone,
			this.picEmail,
			this.isMainPic,
			this.picTelephone2,
			'',
            this.paginationParams.skipCount,
            this.paginationParams.pageSize
        );
    }
    onChangeRowSelection(params: { api: { getSelectedRows: () =&gt; MstInvGpsTmvPicDto[] } }) {
        this.saveSelectedRow = params.api.getSelectedRows()[0] ?? new MstInvGpsTmvPicDto();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MstInvGpsTmvPicDto):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this._service.getGpsTmvPicToExcel(
			this.,
			this.picUserAccount,
			this.picName,
			this.picTelephone,
			this.picEmail,
			this.isMainPic,
			this.picTelephone2,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TmvPic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[(ngModel)]='picUserAccount' name='picUserAccount'
									class='form-control' [placeholder]="l('Pic User Account')"
									type='text' (keyup.enter)='searchDatas()'&gt;
								&lt;/div&gt;
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								&lt;div class='input-search'&gt;
									&lt;input [(ngModel)]='picTelephone2' name='picTelephone2'
									class='form-control' [placeholder]="l('Pic Telephone 2')"
									type='text' (keyup.enter)='searchDatas()'&gt;
								&lt;/div&gt;
								&lt;div class='input-search'&gt;
									&lt;input [(ngModel)]='suppliers' name='suppliers'
									class='form-control' [placeholder]="l('Suppliers')"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(click)="createOrEditModalGpsTmvPic.show()"&gt;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(click)="createOrEditModalGpsTmvPic.show(selectedRow)"&gt;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&lt;create-or-edit-gpstmvpic-modal
    #createOrEditModalGpsTmvPic
    (modalSave)="callBackDataGrid(dataParams)"
    (modalClose)="onChangeRowSelection(dataParams)"
&gt;
&lt;/create-or-edit-gpstmvpic-modal&gt;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#createOrEditModalGpsTmvPic="bs-modal"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GpsTmvPic')}}&lt;/h3&gt;
                    &lt;h3 *ngIf="!rowdata.id"&gt;{{('Create New GpsTmvPic')}}&lt;/h3&gt;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 User Account&lt;/label&gt;
						&lt;input type='text' class='col-md-10 form-control input-text' name='PicUserAccount' [(ngModel)]='rowdata.picUserAccount'&gt;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title'&gt;Pic Telephone 2&lt;/label&gt;
						&lt;input type='text' class='col-md-10 form-control input-text' name='PicTelephone2' [(ngModel)]='rowdata.picTelephone2'&gt;
					&lt;/div&gt;
					&lt;div class='col-md-12 form-group row'&gt;
						&lt;label class='col-md-2 form-control title'&gt;Suppliers&lt;/label&gt;
						&lt;input type='text' class='col-md-10 form-control input-text' name='Suppliers' [(ngModel)]='rowdata.suppliers'&gt;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CreateOrEditMstInvGpsTmvPicDto, MstInvGpsTmvPicServiceProxy } from '@shared/service-proxies/service-proxies';
import { BsDatepickerDirective } from 'ngx-bootstrap/datepicker';
@Component({
    selector: 'create-or-edit-gpstmvpic-modal',
    templateUrl: './create-or-edit-gpstmvpic-modal.component.html',
    styleUrls: ['./create-or-edit-gpstmvpic-modal.component.less']
    })
export class CreateOrEditGpsTmvPicModalComponent extends AppComponentBase {
    @ViewChild('createOrEditModalGpsTmvPic',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CreateOrEditMstInvGpsTmvPicDto = new CreateOrEditMstInvGpsTmvPicDto();
    active: boolean = false;
    saving: boolean = false;
    _isActive: boolean;
    constructor(
        injector: Injector,
        private _mstwptGpsTmvPicService: MstInvGpsTmvPicServiceProxy,
    ) 
    {
        super(injector);
    }
    show(rowdata?: CreateOrEditMstInvGpsTmvPicDto): void {
        if (!rowdata) this.rowdata = new CreateOrEditMstInvGpsTmvPicDto();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this._mstwptGpsTmvPicService.createOrEdit(this.rowdata)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GpsTmvPicRoutingModule } from './gpstmvpic-routing.module';
import { GpsTmvPicComponent } from './gpstmvpic.component';
import { CreateOrEditGpsTmvPicModalComponent } from './create-or-edit-gpstmvpic-modal.component';
@NgModule({
    declarations: [
       GpsTmvPicComponent, 
        CreateOrEditGpsTmvPicModalComponent
    ],
    imports: [
        AppSharedModule, GpsTmvPicRoutingModule]
})
export class GpsTmvPicModule {}</v>
      </c>
      <c r="J75" s="46" t="str">
        <f>B.Frontend!O10</f>
        <v>import {NgModule} from '@angular/core';
import {RouterModule, Routes} from '@angular/router';
import { GpsTmvPicComponent } from './gpstmvpic.component';
const routes: Routes = [{
    path: '',
    component: GpsTmvPicComponent,
    pathMatch: 'full'
}];
@NgModule({
    imports: [RouterModule.forChild(routes)],
    exports: [RouterModule],
})
export class GpsTmvPicRoutingModule {}</v>
      </c>
      <c r="K75" s="46" t="str">
        <f>B.Frontend!P10</f>
        <v xml:space="preserve"> new AppMenuItem("GpsTmvPic", "Pages.Master.Inv.GpsTmvPic", "flaticon-book",   "/app/main/master/inv/gpstmvpic"),</v>
      </c>
      <c r="L75" s="47" t="str">
        <f>B.Frontend!Q10</f>
        <v>{
    path: 'master/inv/gpstmvpic',
    loadChildren: () =&gt; import('./master/inv/gpstmvpic/gpstmvpic.module').then(m =&gt; m.GpsTmvPicModule),
    data: { permission: 'Pages.Master.Inv.GpsTmvPic' }
},</v>
      </c>
      <c r="M75" s="45" t="str">
        <f>B.Frontend!R10</f>
        <v>ApiServiceProxies.MstInvGpsTmvPicServiceProxy,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8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369</v>
      </c>
      <c r="C3" s="9" t="s">
        <v>40</v>
      </c>
      <c r="D3" s="9" t="s">
        <v>41</v>
      </c>
      <c r="E3" s="9" t="s">
        <v>36</v>
      </c>
      <c r="F3" s="10" t="str">
        <f>"J"&amp;COUNTA($A:$A)</f>
        <v>J16</v>
      </c>
      <c r="G3" s="4" t="s">
        <v>53</v>
      </c>
      <c r="H3" s="9" t="str">
        <f>"I"&amp;COUNTA($A:$A)</f>
        <v>I16</v>
      </c>
      <c r="I3" s="9" t="str">
        <f>REPT(CHAR(9),2)&amp;"[Required]"&amp;"
"</f>
        <v xml:space="preserve">		[Required]
</v>
      </c>
      <c r="J3" s="10" t="str">
        <f>"L"&amp;COUNTA($A:$A)</f>
        <v>L16</v>
      </c>
      <c r="K3" s="5" t="s">
        <v>52</v>
      </c>
      <c r="L3" s="10" t="str">
        <f>"M"&amp;COUNTA($A:$A)</f>
        <v>M16</v>
      </c>
      <c r="M3" s="10" t="str">
        <f>"N"&amp;COUNTA($A:$A)</f>
        <v>N16</v>
      </c>
      <c r="N3" s="10" t="str">
        <f>"O"&amp;COUNTA($A:$A)</f>
        <v>O16</v>
      </c>
      <c r="O3" s="10" t="str">
        <f>"P"&amp;COUNTA($A:$A)</f>
        <v>P16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MstInvGpsTmvPicExportInput{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T16</v>
      </c>
      <c r="V3" s="10" t="str">
        <f>"V"&amp;COUNTA($A:$A)</f>
        <v>V16</v>
      </c>
      <c r="W3" s="9" t="str">
        <f>"W"&amp;COUNTA($A:$A)</f>
        <v>W16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MstInvGpsTmvPic: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MstInvGpsTmvPicConsts	
	{
</v>
      </c>
      <c r="F6" s="10" t="str">
        <f>REPT(CHAR(9),1)&amp;"public class "&amp;B3&amp;"Dto"&amp;K3&amp;REPT(CHAR(9),1)&amp;"
"&amp;REPT(CHAR(9),1)&amp;C3</f>
        <v xml:space="preserve">	public class MstInvGpsTmvPicDto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CreateOrEditMstInvGpsTmvPicDto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GetMstInvGpsTmvPicInput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MstInvGpsTmvPic</v>
      </c>
      <c r="C7" s="10" t="str">
        <f>REPT(CHAR(9),1)&amp;"[Table("""&amp;B7&amp;""")]"&amp;"
"</f>
        <v xml:space="preserve">	[Table("MstInvGpsTmvPic")]
</v>
      </c>
      <c r="D7" s="10"/>
      <c r="E7" s="10"/>
      <c r="F7" s="10"/>
      <c r="G7" s="10"/>
      <c r="H7" s="10"/>
      <c r="I7" s="10"/>
      <c r="J7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[Table("MstInvGpsTmvPic")]
	public class MstInvGpsTmvPic: FullAuditedEntity&lt;long&gt;, IEntity&lt;long&gt;	
	{
		public const int MaxPicUserAccountLength = 40;
		public const int MaxPicNameLength = 40;
		public const int MaxPicTelephoneLength = 100;
		public const int MaxPicEmailLength = 100;
		public const int MaxIsMainPicLength = 50;
		public const int MaxPicTelephone2Length = 50;
		public const int MaxSuppliersLength = 2048;
		public const int MaxIsActiveLength = 1;
		[StringLength(MaxPicUserAccountLength)]
		public virtual string PicUserAccount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[StringLength(MaxPicTelephone2Length)]
		public virtual string PicTelephone2 { get; set; }
		[StringLength(MaxSuppliersLength)]
		public virtual string Suppliers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DbSet&lt;MstInvGpsTmvPic&gt; MstInvGpsTmvPics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prod.Master.Inv
{
	public class MstInvGpsTmvPicConsts	
	{
		public const int MaxPicUserAccountLength = 40;
		public const int MaxPicNameLength = 40;
		public const int MaxPicTelephoneLength = 100;
		public const int MaxPicEmailLength = 100;
		public const int MaxIsMainPicLength = 50;
		public const int MaxPicTelephone2Length = 50;
		public const int MaxSuppliersLength = 2048;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prod.Master.Inv.Dto
{
	public class MstInvGpsTmvPicDto : EntityDto&lt;long?&gt;	
	{
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	}
	public class CreateOrEditMstInvGpsTmvPicDto : EntityDto&lt;long?&gt;	
	{
		[StringLength(MstInvGpsTmvPicConsts.MaxPicUserAccountLength)]
		public virtual string PicUserAccount { get; set; }
		[StringLength(MstInvGpsTmvPicConsts.MaxPicNameLength)]
		public virtual string PicName { get; set; }
		[StringLength(MstInvGpsTmvPicConsts.MaxPicTelephoneLength)]
		public virtual string PicTelephone { get; set; }
		[StringLength(MstInvGpsTmvPicConsts.MaxPicEmailLength)]
		public virtual string PicEmail { get; set; }
		[StringLength(MstInvGpsTmvPicConsts.MaxIsMainPicLength)]
		public virtual string IsMainPic { get; set; }
		[StringLength(MstInvGpsTmvPicConsts.MaxPicTelephone2Length)]
		public virtual string PicTelephone2 { get; set; }
		[StringLength(MstInvGpsTmvPicConsts.MaxSuppliersLength)]
		public virtual string Suppliers { get; set; }
		[StringLength(MstInvGpsTmvPicConsts.MaxIsActiveLength)]
		public virtual string IsActive { get; set; }
	}
	public class GetMstInvGpsTmvPicInput : PagedAndSortedResultRequestDto	
	{
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perMstInvGpsTmvPic = PARENTS.CreateChildPermission(AppPermissions.Pages_Master_Inv_GpsTmvPic, L( "MasterInvGpsTmvPic"), multiTenancySides: MultiTenancySides.Tenant);
		perMstInvGpsTmvPic.CreateChildPermission(AppPermissions.Pages_Master_Inv_GpsTmvPic_CreateEdit, L( "MasterInvGpsTmvPicCreateEdit"), multiTenancySides: MultiTenancySides.Tenant);
		perMstInvGpsTmvPic.CreateChildPermission(AppPermissions.Pages_Master_Inv_GpsTmvPic_Delete, L( "MasterInvGpsTmvPicDelete"),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Pages_Master_Inv_GpsTmvPic = "Pages.Master.Inv.GpsTmvPic";
		public const string Pages_Master_Inv_GpsTmvPic_CreateEdit = "Pages.Master.Inv.GpsTmvPic.CreateEdit";
		public const string Pages_Master_Inv_GpsTmvPic_Delete = "Pages.Master.Inv.GpsTmvPic.Delete";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IMstInvGpsTmvPicAppService : IApplicationService
	{
		Task&lt;PagedResultDto&lt;MstInvGpsTmvPicDto&gt;&gt; GetAll(GetMstInvGpsTmvPicInput input);
		Task CreateOrEdit(CreateOrEditMstInvGpsTmvPicDto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[AbpAuthorize(AppPermissions.Pages_Master_Inv_GpsTmvPic)]
    public class MstInvGpsTmvPicAppService : vovinaAppServiceBase, IMstInvGpsTmvPicAppService
    {
        private readonly IDapperRepository&lt;MstInvGpsTmvPic, long&gt; _dapperRepo;
        private readonly IRepository&lt;MstInvGpsTmvPic, long&gt; _repo;
        private readonly IMstInvGpsTmvPicExcelExporter _calendarListExcelExporter;
        public MstInvGpsTmvPicAppService(IRepository&lt;MstInvGpsTmvPic,long&gt; repo, 
                                         IDapperRepository&lt;MstInvGpsTmvPic,long&gt; dapperRepo,
                                        IMstInvGpsTmvPicExcelExporter calendarListExcelExporter
            )
        {
            _repo = repo;
            _dapperRepo = dapperRepo;
            _calendarListExcelExporter = calendarListExcelExporter;
        }
        [AbpAuthorize(AppPermissions.Pages_Master_Inv_GpsTmvPic_CreateEdit)]
        public async Task CreateOrEdit(CreateOrEditMstInvGpsTmvPicDto input)
        {
            if (input.Id == null) await Create(input);
            else await Update(input);
        }
        //CREATE
        private async Task Create(CreateOrEditMstInvGpsTmvPicDto input)
        {          
            var mainObj = ObjectMapper.Map&lt;MstInvGpsTmvPic&gt;(input);
            await CurrentUnitOfWork.GetDbContext&lt;vovinaDbContext&gt;().AddAsync(mainObj);
        }
        // EDIT
        private async Task Update(CreateOrEditMstInvGpsTmvPicDto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[AbpAuthorize(AppPermissions.Pages_Master_Inv_GpsTmvPic_Delete)]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Task&lt;PagedResultDto&lt;MstInvGpsTmvPicDto&gt;&gt; GetAll(GetMstInvGpsTmvPicInput input)
        {
            var filtered = _repo.GetAll()
				.WhereIf(!string.IsNullOrWhiteSpace(input.PicUserAccount), e =&gt; e.PicUserAccount.Contains(input.PicUserAccount))
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.WhereIf(!string.IsNullOrWhiteSpace(input.PicTelephone2), e =&gt; e.PicTelephone2.Contains(input.PicTelephone2))
				.WhereIf(!string.IsNullOrWhiteSpace(input.Suppliers), e =&gt; e.Suppliers.Contains(input.Suppliers))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MstInvGpsTmvPicDto
                        {
							Id = o.Id,
							PicUserAccount = o.PicUserAccount,
							PicName = o.PicName,
							PicTelephone = o.PicTelephone,
							PicEmail = o.PicEmail,
							IsMainPic = o.IsMainPic,
							PicTelephone2 = o.PicTelephone2,
							Suppliers = o.Suppliers,
							IsActive = o.IsActive,
                        };
            var totalCount = await filtered.CountAsync();
			var paged = system.PageBy(input);
            return new PagedResultDto&lt;MstInvGpsTmvPicDto&gt;(
                totalCount,
                 await paged.ToListAsync()
            );
        }
        public async Task&lt;FileDto&gt; GetGpsTmvPicToExcel(MstInvGpsTmvPicExportInput input)
        {
            var query = from o in _repo.GetAll()
                        select new MstInvGpsTmvPicDto
                        {
							Id = o.Id,
							PicUserAccount = o.PicUserAccount,
							PicName = o.PicName,
							PicTelephone = o.PicTelephone,
							PicEmail = o.PicEmail,
							IsMainPic = o.IsMainPic,
							PicTelephone2 = o.PicTelephone2,
							Suppliers = o.Suppliers,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_dapperRepo.ExecuteAsync(MstInvGpsTmvPicConsts.SP_MST_WPT_CALENDAR_GENERATE);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prod.Master.Inv.Dto
{
	public class MstInvGpsTmvPicExportInput{
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IMstInvGpsTmvPicExcelExporter : IApplicationService
	{
		FileDto ExportToFile(List&lt;MstInvGpsTmvPicDto&gt; mstinvgpstmvpic);
	}
}
</v>
      </c>
      <c r="T7" s="26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MstInvGpsTmvPicExcelExporter : NpoiExcelExporterBase, IMstInvGpsTmvPicExcelExporter
    {
        public MstInvGpsTmvPicExcelExporter(ITempFileCacheManager tempFileCacheManager) : base(tempFileCacheManager) { }
        public FileDto ExportToFile(List&lt;MstInvGpsTmvPicDto&gt; gpstmvpic)
        {
            return CreateExcelPackage(
				"MasterInvGpsTmvPic.xlsx",
				excelPackage =&gt;
				 {
					var sheet = excelPackage.CreateSheet("GpsTmvPic");
					AddHeader(
								sheet,
								("PicUserAccount"),
								("PicName"),
								("PicTelephone"),
								("PicEmail"),
								("IsMainPic"),
								("PicTelephone2"),
								("Suppliers"),
								("IsActive"),
							   );
					AddObjects(
						 sheet, 1, gpstmvpic,                                       
								_ =&gt; _.PicUserAccount,
								_ =&gt; _.PicName,
								_ =&gt; _.PicTelephone,
								_ =&gt; _.PicEmail,
								_ =&gt; _.IsMainPic,
								_ =&gt; _.PicTelephone2,
								_ =&gt; _.Suppliers,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configuration.CreateMap&lt;MstInvGpsTmvPicDto, MstInvGpsTmvPic&gt;();
  configuration.CreateMap&lt;MstInvGpsTmvPic, MstInvGpsTmvPicDto&gt;();
  configuration.CreateMap&lt;CreateOrEditMstInvGpsTmvPicDto, MstInvGpsTmvPic&gt;();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t="s">
        <v>359</v>
      </c>
      <c r="B9" t="s">
        <v>357</v>
      </c>
      <c r="C9" t="s">
        <v>1</v>
      </c>
      <c r="D9" t="str">
        <f t="shared" ref="D9" si="0">SUBSTITUTE(PROPER(A9),"_","")</f>
        <v>PicUserAccount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MaxPicUserAccountLength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[StringLength(MaxPicUserAccountLength)]
		public virtual string PicUserAccount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PicUserAccount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[StringLength(MstInvGpsTmvPicConsts.MaxPicUserAccountLength)]
		public virtual string PicUserAccount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PicUserAccount { get; set; }
</v>
      </c>
      <c r="P9" t="str">
        <f t="shared" ref="P9" si="9">REPT(CHAR(9),7)&amp;D9&amp;" = o." &amp;D9 &amp;","</f>
        <v xml:space="preserve">							PicUserAccount = o.PicUserAccount,</v>
      </c>
      <c r="T9" s="63" t="str">
        <f t="shared" ref="T9" si="10">REPT(CHAR(9),8)&amp;"("""&amp;D9&amp;"""),"</f>
        <v xml:space="preserve">								("PicUserAccount"),</v>
      </c>
      <c r="V9" s="64" t="str">
        <f t="shared" ref="V9" si="11">REPT(CHAR(9),8)&amp;"_ =&gt; _."&amp;D9&amp;","</f>
        <v xml:space="preserve">								_ =&gt; _.PicUserAccount,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.WhereIf(!string.IsNullOrWhiteSpace(input.PicUserAccount), e =&gt; e.PicUserAccount.Contains(input.PicUserAccount))</v>
      </c>
    </row>
    <row r="10" spans="1:23" customFormat="1" ht="18.75" customHeight="1" x14ac:dyDescent="0.25">
      <c r="A10" t="s">
        <v>360</v>
      </c>
      <c r="B10" t="s">
        <v>361</v>
      </c>
      <c r="C10" t="s">
        <v>1</v>
      </c>
      <c r="D10" t="str">
        <f t="shared" ref="D10:D11" si="13">SUBSTITUTE(PROPER(A10),"_","")</f>
        <v>PicName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40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MaxPicNameLength = 40;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[StringLength(MaxPicNameLength)]
		public virtual string PicName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PicName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[StringLength(MstInvGpsTmvPicConsts.MaxPicNameLength)]
		public virtual string PicName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PicName { get; set; }
</v>
      </c>
      <c r="P10" t="str">
        <f t="shared" ref="P10:P11" si="22">REPT(CHAR(9),7)&amp;D10&amp;" = o." &amp;D10 &amp;","</f>
        <v xml:space="preserve">							PicName = o.PicName,</v>
      </c>
      <c r="T10" s="63" t="str">
        <f t="shared" ref="T10:T11" si="23">REPT(CHAR(9),8)&amp;"("""&amp;D10&amp;"""),"</f>
        <v xml:space="preserve">								("PicName"),</v>
      </c>
      <c r="V10" s="64" t="str">
        <f t="shared" ref="V10:V11" si="24">REPT(CHAR(9),8)&amp;"_ =&gt; _."&amp;D10&amp;","</f>
        <v xml:space="preserve">								_ =&gt; _.PicName,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.WhereIf(!string.IsNullOrWhiteSpace(input.PicName), e =&gt; e.PicName.Contains(input.PicName))</v>
      </c>
    </row>
    <row r="11" spans="1:23" customFormat="1" ht="18.75" customHeight="1" x14ac:dyDescent="0.25">
      <c r="A11" t="s">
        <v>362</v>
      </c>
      <c r="B11" t="s">
        <v>356</v>
      </c>
      <c r="C11" t="s">
        <v>1</v>
      </c>
      <c r="D11" t="str">
        <f t="shared" si="13"/>
        <v>PicTelephone</v>
      </c>
      <c r="E11" t="str">
        <f t="shared" si="14"/>
        <v>nvarchar</v>
      </c>
      <c r="F11" s="6"/>
      <c r="G11" t="str">
        <f t="shared" si="15"/>
        <v>100</v>
      </c>
      <c r="H11" t="str">
        <f>+VLOOKUP(E11,'Data Type Mapping'!A:B,2,)</f>
        <v>string</v>
      </c>
      <c r="I11" t="str">
        <f t="shared" si="16"/>
        <v xml:space="preserve">		public const int MaxPicTelephoneLength = 100;
</v>
      </c>
      <c r="J11" t="str">
        <f t="shared" si="17"/>
        <v xml:space="preserve">		[StringLength(MaxPicTelephoneLength)]
		public virtual string PicTelephone { get; set; }
</v>
      </c>
      <c r="K11" s="6"/>
      <c r="L11" t="str">
        <f t="shared" si="18"/>
        <v/>
      </c>
      <c r="M11" t="str">
        <f t="shared" si="19"/>
        <v xml:space="preserve">		public virtual string PicTelephone { get; set; }
</v>
      </c>
      <c r="N11" t="str">
        <f t="shared" si="20"/>
        <v xml:space="preserve">		[StringLength(MstInvGpsTmvPicConsts.MaxPicTelephoneLength)]
		public virtual string PicTelephone { get; set; }
</v>
      </c>
      <c r="O11" t="str">
        <f t="shared" si="21"/>
        <v xml:space="preserve">		public virtual string PicTelephone { get; set; }
</v>
      </c>
      <c r="P11" t="str">
        <f t="shared" si="22"/>
        <v xml:space="preserve">							PicTelephone = o.PicTelephone,</v>
      </c>
      <c r="T11" s="63" t="str">
        <f t="shared" si="23"/>
        <v xml:space="preserve">								("PicTelephone"),</v>
      </c>
      <c r="V11" s="64" t="str">
        <f t="shared" si="24"/>
        <v xml:space="preserve">								_ =&gt; _.PicTelephone,</v>
      </c>
      <c r="W11" s="63" t="str">
        <f t="shared" si="25"/>
        <v xml:space="preserve">				.WhereIf(!string.IsNullOrWhiteSpace(input.PicTelephone), e =&gt; e.PicTelephone.Contains(input.PicTelephone))</v>
      </c>
    </row>
    <row r="12" spans="1:23" customFormat="1" ht="18.75" customHeight="1" x14ac:dyDescent="0.25">
      <c r="A12" t="s">
        <v>363</v>
      </c>
      <c r="B12" t="s">
        <v>356</v>
      </c>
      <c r="C12" t="s">
        <v>1</v>
      </c>
      <c r="D12" t="str">
        <f t="shared" ref="D12:D13" si="26">SUBSTITUTE(PROPER(A12),"_","")</f>
        <v>PicEmail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MaxPicEmailLength = 100;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[StringLength(MaxPicEmailLength)]
		public virtual string PicEmail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PicEmail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[StringLength(MstInvGpsTmvPicConsts.MaxPicEmailLength)]
		public virtual string PicEmail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PicEmail { get; set; }
</v>
      </c>
      <c r="P12" t="str">
        <f t="shared" ref="P12:P13" si="35">REPT(CHAR(9),7)&amp;D12&amp;" = o." &amp;D12 &amp;","</f>
        <v xml:space="preserve">							PicEmail = o.PicEmail,</v>
      </c>
      <c r="T12" s="63" t="str">
        <f t="shared" ref="T12:T13" si="36">REPT(CHAR(9),8)&amp;"("""&amp;D12&amp;"""),"</f>
        <v xml:space="preserve">								("PicEmail"),</v>
      </c>
      <c r="V12" s="64" t="str">
        <f t="shared" ref="V12:V13" si="37">REPT(CHAR(9),8)&amp;"_ =&gt; _."&amp;D12&amp;","</f>
        <v xml:space="preserve">								_ =&gt; _.PicEmail,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.WhereIf(!string.IsNullOrWhiteSpace(input.PicEmail), e =&gt; e.PicEmail.Contains(input.PicEmail))</v>
      </c>
    </row>
    <row r="13" spans="1:23" customFormat="1" ht="18.75" customHeight="1" x14ac:dyDescent="0.25">
      <c r="A13" t="s">
        <v>364</v>
      </c>
      <c r="B13" t="s">
        <v>365</v>
      </c>
      <c r="C13" t="s">
        <v>1</v>
      </c>
      <c r="D13" t="str">
        <f t="shared" si="26"/>
        <v>IsMainPic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MaxIsMainPicLength = 50;
</v>
      </c>
      <c r="J13" t="str">
        <f t="shared" si="30"/>
        <v xml:space="preserve">		[StringLength(MaxIsMainPicLength)]
		public virtual string IsMainPic { get; set; }
</v>
      </c>
      <c r="K13" s="6"/>
      <c r="L13" t="str">
        <f t="shared" si="31"/>
        <v/>
      </c>
      <c r="M13" t="str">
        <f t="shared" si="32"/>
        <v xml:space="preserve">		public virtual string IsMainPic { get; set; }
</v>
      </c>
      <c r="N13" t="str">
        <f t="shared" si="33"/>
        <v xml:space="preserve">		[StringLength(MstInvGpsTmvPicConsts.MaxIsMainPicLength)]
		public virtual string IsMainPic { get; set; }
</v>
      </c>
      <c r="O13" t="str">
        <f t="shared" si="34"/>
        <v xml:space="preserve">		public virtual string IsMainPic { get; set; }
</v>
      </c>
      <c r="P13" t="str">
        <f t="shared" si="35"/>
        <v xml:space="preserve">							IsMainPic = o.IsMainPic,</v>
      </c>
      <c r="T13" s="63" t="str">
        <f t="shared" si="36"/>
        <v xml:space="preserve">								("IsMainPic"),</v>
      </c>
      <c r="V13" s="64" t="str">
        <f t="shared" si="37"/>
        <v xml:space="preserve">								_ =&gt; _.IsMainPic,</v>
      </c>
      <c r="W13" s="63" t="str">
        <f t="shared" si="38"/>
        <v xml:space="preserve">				.WhereIf(!string.IsNullOrWhiteSpace(input.IsMainPic), e =&gt; e.IsMainPic.Contains(input.IsMainPic))</v>
      </c>
    </row>
    <row r="14" spans="1:23" customFormat="1" ht="18.75" customHeight="1" x14ac:dyDescent="0.25">
      <c r="A14" t="s">
        <v>366</v>
      </c>
      <c r="B14" t="s">
        <v>365</v>
      </c>
      <c r="C14" t="s">
        <v>1</v>
      </c>
      <c r="D14" t="str">
        <f>SUBSTITUTE(PROPER(A14),"_","")</f>
        <v>PicTelephone2</v>
      </c>
      <c r="E14" t="str">
        <f>IFERROR(LEFT(B14, FIND("(",B14)-1),B14)</f>
        <v>varchar</v>
      </c>
      <c r="F14" s="6"/>
      <c r="G14" t="str">
        <f>IFERROR(MID(B14,FIND("(",B14) +1, FIND(")",B14) - FIND("(",B14) - 1),"")</f>
        <v>50</v>
      </c>
      <c r="H14" t="str">
        <f>+VLOOKUP(E14,'Data Type Mapping'!A:B,2,)</f>
        <v>string</v>
      </c>
      <c r="I14" t="str">
        <f>IF(H14="string",REPT(CHAR(9),2)&amp;"public const int Max"&amp;D14&amp;"Length = "&amp;G14&amp;";"&amp;$E$3,"" )</f>
        <v xml:space="preserve">		public const int MaxPicTelephone2Length = 50;
</v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[StringLength(MaxPicTelephone2Length)]
		public virtual string PicTelephone2 { get; set; }
</v>
      </c>
      <c r="K14" s="6"/>
      <c r="L14" t="str">
        <f>IF(K14="","",REPT(CHAR(9),1)&amp;"[Index(nameof("&amp;IF(D14="","",""&amp;D14)&amp;")"&amp;", Name="&amp;"""IX_"&amp;$B$7&amp;"_"&amp;D14&amp;""")]")</f>
        <v/>
      </c>
      <c r="M14" t="str">
        <f>REPT(CHAR(9),2)&amp;"public virtual "&amp;IF(OR(H14="DateTime",H14="TimeSpan"),H14&amp;"?",H14)&amp;IF(C14="?","? "," ")&amp;D14&amp;" { get; set; }" &amp; "
"</f>
        <v xml:space="preserve">		public virtual string PicTelephone2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[StringLength(MstInvGpsTmvPicConsts.MaxPicTelephone2Length)]
		public virtual string PicTelephone2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 xml:space="preserve">		public virtual string PicTelephone2 { get; set; }
</v>
      </c>
      <c r="P14" t="str">
        <f>REPT(CHAR(9),7)&amp;D14&amp;" = o." &amp;D14 &amp;","</f>
        <v xml:space="preserve">							PicTelephone2 = o.PicTelephone2,</v>
      </c>
      <c r="T14" s="63" t="str">
        <f>REPT(CHAR(9),8)&amp;"("""&amp;D14&amp;"""),"</f>
        <v xml:space="preserve">								("PicTelephone2"),</v>
      </c>
      <c r="V14" s="64" t="str">
        <f>REPT(CHAR(9),8)&amp;"_ =&gt; _."&amp;D14&amp;","</f>
        <v xml:space="preserve">								_ =&gt; _.PicTelephone2,</v>
      </c>
      <c r="W14" s="63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.WhereIf(!string.IsNullOrWhiteSpace(input.PicTelephone2), e =&gt; e.PicTelephone2.Contains(input.PicTelephone2))</v>
      </c>
    </row>
    <row r="15" spans="1:23" customFormat="1" ht="18.75" customHeight="1" x14ac:dyDescent="0.25">
      <c r="A15" t="s">
        <v>367</v>
      </c>
      <c r="B15" t="s">
        <v>368</v>
      </c>
      <c r="C15" t="s">
        <v>1</v>
      </c>
      <c r="D15" t="str">
        <f>SUBSTITUTE(PROPER(A15),"_","")</f>
        <v>Suppliers</v>
      </c>
      <c r="E15" t="str">
        <f>IFERROR(LEFT(B15, FIND("(",B15)-1),B15)</f>
        <v>varchar</v>
      </c>
      <c r="F15" s="6"/>
      <c r="G15" t="str">
        <f>IFERROR(MID(B15,FIND("(",B15) +1, FIND(")",B15) - FIND("(",B15) - 1),"")</f>
        <v>2048</v>
      </c>
      <c r="H15" t="str">
        <f>+VLOOKUP(E15,'Data Type Mapping'!A:B,2,)</f>
        <v>string</v>
      </c>
      <c r="I15" t="str">
        <f>IF(H15="string",REPT(CHAR(9),2)&amp;"public const int Max"&amp;D15&amp;"Length = "&amp;G15&amp;";"&amp;$E$3,"" )</f>
        <v xml:space="preserve">		public const int MaxSuppliersLength = 2048;
</v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[StringLength(MaxSuppliersLength)]
		public virtual string Suppliers { get; set; }
</v>
      </c>
      <c r="K15" s="6"/>
      <c r="L15" t="str">
        <f>IF(K15="","",REPT(CHAR(9),1)&amp;"[Index(nameof("&amp;IF(D15="","",""&amp;D15)&amp;")"&amp;", Name="&amp;"""IX_"&amp;$B$7&amp;"_"&amp;D15&amp;""")]")</f>
        <v/>
      </c>
      <c r="M15" t="str">
        <f>REPT(CHAR(9),2)&amp;"public virtual "&amp;IF(OR(H15="DateTime",H15="TimeSpan"),H15&amp;"?",H15)&amp;IF(C15="?","? "," ")&amp;D15&amp;" { get; set; }" &amp; "
"</f>
        <v xml:space="preserve">		public virtual string Suppliers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[StringLength(MstInvGpsTmvPicConsts.MaxSuppliersLength)]
		public virtual string Suppliers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 xml:space="preserve">		public virtual string Suppliers { get; set; }
</v>
      </c>
      <c r="P15" t="str">
        <f>REPT(CHAR(9),7)&amp;D15&amp;" = o." &amp;D15 &amp;","</f>
        <v xml:space="preserve">							Suppliers = o.Suppliers,</v>
      </c>
      <c r="T15" s="63" t="str">
        <f>REPT(CHAR(9),8)&amp;"("""&amp;D15&amp;"""),"</f>
        <v xml:space="preserve">								("Suppliers"),</v>
      </c>
      <c r="V15" s="64" t="str">
        <f>REPT(CHAR(9),8)&amp;"_ =&gt; _."&amp;D15&amp;","</f>
        <v xml:space="preserve">								_ =&gt; _.Suppliers,</v>
      </c>
      <c r="W15" s="63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.WhereIf(!string.IsNullOrWhiteSpace(input.Suppliers), e =&gt; e.Suppliers.Contains(input.Suppliers))</v>
      </c>
    </row>
    <row r="16" spans="1:23" customFormat="1" ht="18.75" customHeight="1" x14ac:dyDescent="0.25">
      <c r="A16" t="s">
        <v>318</v>
      </c>
      <c r="B16" t="s">
        <v>355</v>
      </c>
      <c r="C16" t="s">
        <v>1</v>
      </c>
      <c r="D16" t="str">
        <f t="shared" ref="D16" si="39">SUBSTITUTE(PROPER(A16),"_","")</f>
        <v>IsActive</v>
      </c>
      <c r="E16" t="str">
        <f t="shared" ref="E16" si="40">IFERROR(LEFT(B16, FIND("(",B16)-1),B16)</f>
        <v>varchar</v>
      </c>
      <c r="F16" s="6"/>
      <c r="G16" t="str">
        <f t="shared" ref="G16" si="41">IFERROR(MID(B16,FIND("(",B16) +1, FIND(")",B16) - FIND("(",B16) - 1),"")</f>
        <v>1</v>
      </c>
      <c r="H16" t="str">
        <f>+VLOOKUP(E16,'Data Type Mapping'!A:B,2,)</f>
        <v>string</v>
      </c>
      <c r="I16" t="str">
        <f t="shared" ref="I16" si="42">IF(H16="string",REPT(CHAR(9),2)&amp;"public const int Max"&amp;D16&amp;"Length = "&amp;G16&amp;";"&amp;$E$3,"" )</f>
        <v xml:space="preserve">		public const int MaxIsActiveLength = 1;
</v>
      </c>
      <c r="J16" t="str">
        <f t="shared" ref="J16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[StringLength(MaxIsActiveLength)]
		public virtual string IsActive { get; set; }
</v>
      </c>
      <c r="K16" s="6"/>
      <c r="L16" t="str">
        <f t="shared" ref="L16" si="44">IF(K16="","",REPT(CHAR(9),1)&amp;"[Index(nameof("&amp;IF(D16="","",""&amp;D16)&amp;")"&amp;", Name="&amp;"""IX_"&amp;$B$7&amp;"_"&amp;D16&amp;""")]")</f>
        <v/>
      </c>
      <c r="M16" t="str">
        <f t="shared" ref="M16" si="45">REPT(CHAR(9),2)&amp;"public virtual "&amp;IF(OR(H16="DateTime",H16="TimeSpan"),H16&amp;"?",H16)&amp;IF(C16="?","? "," ")&amp;D16&amp;" { get; set; }" &amp; "
"</f>
        <v xml:space="preserve">		public virtual string IsActive { get; set; }
</v>
      </c>
      <c r="N16" t="str">
        <f t="shared" ref="N16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[StringLength(MstInvGpsTmvPicConsts.MaxIsActiveLength)]
		public virtual string IsActive { get; set; }
</v>
      </c>
      <c r="O16" t="str">
        <f t="shared" ref="O16" si="47">IF(OR(H16="string",H16="DateTime",H16="int"),REPT(CHAR(9),2)&amp;"public virtual "&amp;IF(OR(H16="DateTime",H16="TimeSpan"),H16&amp;"?",H16)&amp;IF(C16="?","? "," ")&amp;D16&amp;" { get; set; }"&amp;$E$3,"")</f>
        <v xml:space="preserve">		public virtual string IsActive { get; set; }
</v>
      </c>
      <c r="P16" t="str">
        <f t="shared" ref="P16" si="48">REPT(CHAR(9),7)&amp;D16&amp;" = o." &amp;D16 &amp;","</f>
        <v xml:space="preserve">							IsActive = o.IsActive,</v>
      </c>
      <c r="T16" s="63" t="str">
        <f t="shared" ref="T16" si="49">REPT(CHAR(9),8)&amp;"("""&amp;D16&amp;"""),"</f>
        <v xml:space="preserve">								("IsActive"),</v>
      </c>
      <c r="V16" s="64" t="str">
        <f t="shared" ref="V16" si="50">REPT(CHAR(9),8)&amp;"_ =&gt; _."&amp;D16&amp;","</f>
        <v xml:space="preserve">								_ =&gt; _.IsActive,</v>
      </c>
      <c r="W16" s="63" t="str">
        <f t="shared" ref="W16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.WhereIf(!string.IsNullOrWhiteSpace(input.IsActive), e =&gt; e.IsActive.Contains(input.IsActive))</v>
      </c>
    </row>
    <row r="18" spans="8:23" ht="45.75" customHeight="1" x14ac:dyDescent="0.25">
      <c r="H18" s="11"/>
      <c r="I18" s="31" t="str">
        <f ca="1">TEXTJOIN2("
", TRUE,INDIRECT( $H$1):INDIRECT( $H$3))</f>
        <v xml:space="preserve">		public const int MaxPicUserAccountLength = 40;
		public const int MaxPicNameLength = 40;
		public const int MaxPicTelephoneLength = 100;
		public const int MaxPicEmailLength = 100;
		public const int MaxIsMainPicLength = 50;
		public const int MaxPicTelephone2Length = 50;
		public const int MaxSuppliersLength = 2048;
		public const int MaxIsActiveLength = 1;
</v>
      </c>
      <c r="J18" s="30" t="str">
        <f ca="1">TEXTJOIN2("
", TRUE,INDIRECT( $F$1):INDIRECT( $F$3))</f>
        <v xml:space="preserve">		[StringLength(MaxPicUserAccountLength)]
		public virtual string PicUserAccount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[StringLength(MaxPicTelephone2Length)]
		public virtual string PicTelephone2 { get; set; }
		[StringLength(MaxSuppliersLength)]
		public virtual string Suppliers { get; set; }
		[StringLength(MaxIsActiveLength)]
		public virtual string IsActive { get; set; }
</v>
      </c>
      <c r="K18" s="32" t="str">
        <f ca="1">TEXTJOIN2("
", TRUE,INDIRECT( $J$1):INDIRECT( $J$3))</f>
        <v/>
      </c>
      <c r="L18" s="12" t="s">
        <v>56</v>
      </c>
      <c r="M18" s="33" t="str">
        <f ca="1">TEXTJOIN2("
",TRUE,INDIRECT( $L$1):INDIRECT($L$3))</f>
        <v xml:space="preserve">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</v>
      </c>
      <c r="N18" s="30" t="str">
        <f ca="1">TEXTJOIN2("
",TRUE,INDIRECT( $M$1):INDIRECT($M$3))</f>
        <v xml:space="preserve">		[StringLength(MstInvGpsTmvPicConsts.MaxPicUserAccountLength)]
		public virtual string PicUserAccount { get; set; }
		[StringLength(MstInvGpsTmvPicConsts.MaxPicNameLength)]
		public virtual string PicName { get; set; }
		[StringLength(MstInvGpsTmvPicConsts.MaxPicTelephoneLength)]
		public virtual string PicTelephone { get; set; }
		[StringLength(MstInvGpsTmvPicConsts.MaxPicEmailLength)]
		public virtual string PicEmail { get; set; }
		[StringLength(MstInvGpsTmvPicConsts.MaxIsMainPicLength)]
		public virtual string IsMainPic { get; set; }
		[StringLength(MstInvGpsTmvPicConsts.MaxPicTelephone2Length)]
		public virtual string PicTelephone2 { get; set; }
		[StringLength(MstInvGpsTmvPicConsts.MaxSuppliersLength)]
		public virtual string Suppliers { get; set; }
		[StringLength(MstInvGpsTmvPicConsts.MaxIsActiveLength)]
		public virtual string IsActive { get; set; }
</v>
      </c>
      <c r="O18" s="30" t="str">
        <f ca="1">TEXTJOIN2("
",TRUE,INDIRECT( $N$1):INDIRECT($N$3))</f>
        <v xml:space="preserve">		public virtual string PicUserAccount { get; set; }
		public virtual string PicName { get; set; }
		public virtual string PicTelephone { get; set; }
		public virtual string PicEmail { get; set; }
		public virtual string IsMainPic { get; set; }
		public virtual string PicTelephone2 { get; set; }
		public virtual string Suppliers { get; set; }
		public virtual string IsActive { get; set; }
</v>
      </c>
      <c r="P18" s="8" t="str">
        <f ca="1">TEXTJOIN2("
",TRUE,INDIRECT( $O$1):INDIRECT($O$3))</f>
        <v xml:space="preserve">							PicUserAccount = o.PicUserAccount,
							PicName = o.PicName,
							PicTelephone = o.PicTelephone,
							PicEmail = o.PicEmail,
							IsMainPic = o.IsMainPic,
							PicTelephone2 = o.PicTelephone2,
							Suppliers = o.Suppliers,
							IsActive = o.IsActive,</v>
      </c>
      <c r="T18" s="8" t="str">
        <f ca="1">TEXTJOIN2("
",TRUE,INDIRECT( $T$2):INDIRECT($T$3))</f>
        <v xml:space="preserve">								("PicUserAccount"),
								("PicName"),
								("PicTelephone"),
								("PicEmail"),
								("IsMainPic"),
								("PicTelephone2"),
								("Suppliers"),
								("IsActive"),</v>
      </c>
      <c r="V18" s="8" t="str">
        <f ca="1">TEXTJOIN2("
",TRUE,INDIRECT( $V$2):INDIRECT($V$3))</f>
        <v xml:space="preserve">								_ =&gt; _.PicUserAccount,
								_ =&gt; _.PicName,
								_ =&gt; _.PicTelephone,
								_ =&gt; _.PicEmail,
								_ =&gt; _.IsMainPic,
								_ =&gt; _.PicTelephone2,
								_ =&gt; _.Suppliers,
								_ =&gt; _.IsActive,</v>
      </c>
      <c r="W18" s="8" t="str">
        <f ca="1">TEXTJOIN2("
",TRUE,INDIRECT( $W$2):INDIRECT($W$3))</f>
        <v xml:space="preserve">				.WhereIf(!string.IsNullOrWhiteSpace(input.PicUserAccount), e =&gt; e.PicUserAccount.Contains(input.PicUserAccount))
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.WhereIf(!string.IsNullOrWhiteSpace(input.PicTelephone2), e =&gt; e.PicTelephone2.Contains(input.PicTelephone2))
				.WhereIf(!string.IsNullOrWhiteSpace(input.Suppliers), e =&gt; e.Suppliers.Contains(input.Suppliers))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5"/>
  <sheetViews>
    <sheetView topLeftCell="A19" workbookViewId="0">
      <selection activeCell="C29" sqref="C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207</v>
      </c>
      <c r="B1" s="39" t="s">
        <v>371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MstInvGpsTmvPic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GpsTmvPic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gpstmvpic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MstInvGpsTmvPicDto, MstInvGpsTmvPicServiceProxy } from '@shared/service-proxies/service-proxies';
import { finalize } from 'rxjs/internal/operators/finalize';
import { CreateOrEditGpsTmvPicModalComponent } from './create-or-edit-gpstmvpic-modal.component';
import { DatePipe } from '@angular/common';
import { FileDownloadService } from '@shared/utils/file-download.service';
import ceil from 'lodash-es/ceil';
import { Paginator } from 'primeng/paginator';
@Component({
    templateUrl: './gpstmvpic.component.html',
    styleUrls: ['./gpstmvpic.component.less'],
})
export class GpsTmvPicComponent extends AppComponentBase implements OnInit {
    @ViewChild('createOrEditModalGpsTmvPic', { static: true }) createOrEditModalGpsTmvPic:| CreateOrEditGpsTmvPicModalComponent|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MstInvGpsTmvPicDto = new MstInvGpsTmvPicDto();
    saveSelectedRow: MstInvGpsTmvPicDto = new MstInvGpsTmvPicDto();
    datas: MstInvGpsTmvPicDto = new MstInvGpsTmvPicDto();
    isLoading: boolean = false;
    dataParams: GridParams | undefined;
    rowData: any[] = [];
    gridApi!: GridApi;
    rowSelection = 'multiple';
    filter: string = '';
	pipe = new DatePipe('en-US');
	frameworkComponents: FrameworkComponent;
    	picUserAccount : string = '' ; 
	picName : string = '' ; 
	picTelephone : string = '' ; 
	picEmail : string = '' ; 
	isMainPic : string = '' ; 
	picTelephone2 : string = '' ; 
	suppliers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MstInvGpsTmvPicServiceProxy,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 User Account'),headerTooltip: this.l('Pic User Account'),field: 'picUserAccount',flex: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this.l('Pic Telephone 2'),headerTooltip: this.l('Pic Telephone 2'),field: 'picTelephone2',flex: 1},
			{headerName: this.l('Suppliers'),headerTooltip: this.l('Suppliers'),field: 'suppliers',flex: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this.picUserAccount,
			this.picName,
			this.picTelephone,
			this.picEmail,
			this.isMainPic,
			this.picTelephone2,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picUserAccount : string = '' ; 
	picName : string = '' ; 
	picTelephone : string = '' ; 
	picEmail : string = '' ; 
	isMainPic : string = '' ; 
	picTelephone2 : string = '' ; 
	suppliers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this.picUserAccount,
			this.picName,
			this.picTelephone,
			this.picEmail,
			this.isMainPic,
			this.picTelephone2,
			'',
            this.paginationParams.skipCount,
            this.paginationParams.pageSize
        );
    }
    onChangeRowSelection(params: { api: { getSelectedRows: () =&gt; MstInvGpsTmvPicDto[] } }) {
        this.saveSelectedRow = params.api.getSelectedRows()[0] ?? new MstInvGpsTmvPicDto();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MstInvGpsTmvPicDto):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this._service.getGpsTmvPicToExcel(
			this.,
			this.picUserAccount,
			this.picName,
			this.picTelephone,
			this.picEmail,
			this.isMainPic,
			this.picTelephone2,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TmvPic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[(ngModel)]='picUserAccount' name='picUserAccount'
									class='form-control' [placeholder]="l('Pic User Account')"
									type='text' (keyup.enter)='searchDatas()'&gt;
								&lt;/div&gt;
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								&lt;div class='input-search'&gt;
									&lt;input [(ngModel)]='picTelephone2' name='picTelephone2'
									class='form-control' [placeholder]="l('Pic Telephone 2')"
									type='text' (keyup.enter)='searchDatas()'&gt;
								&lt;/div&gt;
								&lt;div class='input-search'&gt;
									&lt;input [(ngModel)]='suppliers' name='suppliers'
									class='form-control' [placeholder]="l('Suppliers')"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(click)="createOrEditModalGpsTmvPic.show()"&gt;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(click)="createOrEditModalGpsTmvPic.show(selectedRow)"&gt;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&lt;create-or-edit-gpstmvpic-modal
    #createOrEditModalGpsTmvPic
    (modalSave)="callBackDataGrid(dataParams)"
    (modalClose)="onChangeRowSelection(dataParams)"
&gt;
&lt;/create-or-edit-gpstmvpic-modal&gt;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#createOrEditModalGpsTmvPic="bs-modal"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GpsTmvPic')}}&lt;/h3&gt;
                    &lt;h3 *ngIf="!rowdata.id"&gt;{{('Create New GpsTmvPic')}}&lt;/h3&gt;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 User Account&lt;/label&gt;
						&lt;input type='text' class='col-md-10 form-control input-text' name='PicUserAccount' [(ngModel)]='rowdata.picUserAccount'&gt;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title'&gt;Pic Telephone 2&lt;/label&gt;
						&lt;input type='text' class='col-md-10 form-control input-text' name='PicTelephone2' [(ngModel)]='rowdata.picTelephone2'&gt;
					&lt;/div&gt;
					&lt;div class='col-md-12 form-group row'&gt;
						&lt;label class='col-md-2 form-control title'&gt;Suppliers&lt;/label&gt;
						&lt;input type='text' class='col-md-10 form-control input-text' name='Suppliers' [(ngModel)]='rowdata.suppliers'&gt;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CreateOrEditMstInvGpsTmvPicDto, MstInvGpsTmvPicServiceProxy } from '@shared/service-proxies/service-proxies';
import { BsDatepickerDirective } from 'ngx-bootstrap/datepicker';
@Component({
    selector: 'create-or-edit-gpstmvpic-modal',
    templateUrl: './create-or-edit-gpstmvpic-modal.component.html',
    styleUrls: ['./create-or-edit-gpstmvpic-modal.component.less']
    })
export class CreateOrEditGpsTmvPicModalComponent extends AppComponentBase {
    @ViewChild('createOrEditModalGpsTmvPic',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CreateOrEditMstInvGpsTmvPicDto = new CreateOrEditMstInvGpsTmvPicDto();
    active: boolean = false;
    saving: boolean = false;
    _isActive: boolean;
    constructor(
        injector: Injector,
        private _mstwptGpsTmvPicService: MstInvGpsTmvPicServiceProxy,
    ) 
    {
        super(injector);
    }
    show(rowdata?: CreateOrEditMstInvGpsTmvPicDto): void {
        if (!rowdata) this.rowdata = new CreateOrEditMstInvGpsTmvPicDto();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this._mstwptGpsTmvPicService.createOrEdit(this.rowdata)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GpsTmvPicRoutingModule } from './gpstmvpic-routing.module';
import { GpsTmvPicComponent } from './gpstmvpic.component';
import { CreateOrEditGpsTmvPicModalComponent } from './create-or-edit-gpstmvpic-modal.component';
@NgModule({
    declarations: [
       GpsTmvPicComponent, 
        CreateOrEditGpsTmvPicModalComponent
    ],
    imports: [
        AppSharedModule, GpsTmvPicRoutingModule]
})
export class GpsTmvPicModule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GpsTmvPicComponent } from './gpstmvpic.component';
const routes: Routes = [{
    path: '',
    component: GpsTmvPicComponent,
    pathMatch: 'full'
}];
@NgModule({
    imports: [RouterModule.forChild(routes)],
    exports: [RouterModule],
})
export class GpsTmvPicRoutingModule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AppMenuItem("GpsTmvPic", "Pages.Master.Inv.GpsTmvPic", "flaticon-book",   "/app/main/master/inv/gpstmvpic"),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'master/inv/gpstmvpic',
    loadChildren: () =&gt; import('./master/inv/gpstmvpic/gpstmvpic.module').then(m =&gt; m.GpsTmvPicModule),
    data: { permission: 'Pages.Master.Inv.GpsTmvPic' }
},</v>
      </c>
      <c r="R10" s="47" t="str">
        <f>SUBSTITUTE(R9,"MstWptCalendar",$B$6)</f>
        <v>ApiServiceProxies.MstInvGpsTmvPicServiceProxy,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H22</v>
      </c>
      <c r="I12" s="28" t="str">
        <f>"I"&amp;COUNTA($A:$A)</f>
        <v>I22</v>
      </c>
      <c r="J12" s="28"/>
      <c r="K12" s="28" t="str">
        <f>"K"&amp;COUNTA($A:$A)</f>
        <v>K22</v>
      </c>
      <c r="L12" s="28" t="str">
        <f>"L"&amp;COUNTA($A:$A)</f>
        <v>L22</v>
      </c>
      <c r="M12" s="28"/>
      <c r="N12" s="28"/>
      <c r="O12" s="28"/>
      <c r="P12" s="28"/>
      <c r="Q12" s="28"/>
      <c r="R12" s="28"/>
      <c r="S12" s="28" t="str">
        <f>"S"&amp;COUNTA($A:$A)</f>
        <v>S22</v>
      </c>
      <c r="T12" s="28" t="str">
        <f>"T"&amp;COUNTA($A:$A)</f>
        <v>T22</v>
      </c>
      <c r="U12" s="28" t="str">
        <f>"U"&amp;COUNTA($A:$A)</f>
        <v>U22</v>
      </c>
      <c r="V12" s="28" t="str">
        <f>"V"&amp;COUNTA($A:$A)</f>
        <v>V22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this.l('Pic User Account'),headerTooltip: this.l('Pic User Account'),field: 'picUserAccount',flex: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this.l('Pic Telephone 2'),headerTooltip: this.l('Pic Telephone 2'),field: 'picTelephone2',flex: 1},
			{headerName: this.l('Suppliers'),headerTooltip: this.l('Suppliers'),field: 'suppliers',flex: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[(ngModel)]='picUserAccount' name='picUserAccount'
									class='form-control' [placeholder]="l('Pic User Account')"
									type='text' (keyup.enter)='searchDatas()'&gt;
								&lt;/div&gt;
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								&lt;div class='input-search'&gt;
									&lt;input [(ngModel)]='picTelephone2' name='picTelephone2'
									class='form-control' [placeholder]="l('Pic Telephone 2')"
									type='text' (keyup.enter)='searchDatas()'&gt;
								&lt;/div&gt;
								&lt;div class='input-search'&gt;
									&lt;input [(ngModel)]='suppliers' name='suppliers'
									class='form-control' [placeholder]="l('Suppliers')"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title'&gt;Pic User Account&lt;/label&gt;
						&lt;input type='text' class='col-md-10 form-control input-text' name='PicUserAccount' [(ngModel)]='rowdata.picUserAccount'&gt;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title'&gt;Pic Telephone 2&lt;/label&gt;
						&lt;input type='text' class='col-md-10 form-control input-text' name='PicTelephone2' [(ngModel)]='rowdata.picTelephone2'&gt;
					&lt;/div&gt;
					&lt;div class='col-md-12 form-group row'&gt;
						&lt;label class='col-md-2 form-control title'&gt;Suppliers&lt;/label&gt;
						&lt;input type='text' class='col-md-10 form-control input-text' name='Suppliers' [(ngModel)]='rowdata.suppliers'&gt;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picUserAccount : string = '' ; 
	picName : string = '' ; 
	picTelephone : string = '' ; 
	picEmail : string = '' ; 
	isMainPic : string = '' ; 
	picTelephone2 : string = '' ; 
	suppliers : string = '' ; 
</v>
      </c>
      <c r="T13" s="62" t="str">
        <f ca="1">TEXTJOIN2("
",TRUE,INDIRECT(T11):INDIRECT(T12))</f>
        <v xml:space="preserve">			this.,
			this.picUserAccount,
			this.picName,
			this.picTelephone,
			this.picEmail,
			this.isMainPic,
			this.picTelephone2,
</v>
      </c>
      <c r="U13" s="62" t="str">
        <f ca="1">TEXTJOIN2("
",TRUE,INDIRECT(U11):INDIRECT(U12))</f>
        <v xml:space="preserve">	picUserAccount : string = '' ; 
	picName : string = '' ; 
	picTelephone : string = '' ; 
	picEmail : string = '' ; 
	isMainPic : string = '' ; 
	picTelephone2 : string = '' ; 
	suppliers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gpstmvpic.component.ts</v>
      </c>
      <c r="I14" s="37" t="str">
        <f>B8&amp;".component.html"</f>
        <v>gpstmvpic.component.html</v>
      </c>
      <c r="J14" s="36" t="str">
        <f>B8&amp;".component.less"</f>
        <v>gpstmvpic.component.less</v>
      </c>
      <c r="K14" s="37" t="str">
        <f>"create-or-edit-"&amp;B8&amp;"-modal.component.html"</f>
        <v>create-or-edit-gpstmvpic-modal.component.html</v>
      </c>
      <c r="L14" s="37" t="str">
        <f>"create-or-edit-"&amp;B8&amp;"-modal.component.ts"</f>
        <v>create-or-edit-gpstmvpic-modal.component.ts</v>
      </c>
      <c r="M14" s="37" t="str">
        <f>"create-or-edit-"&amp;B8&amp;"-modal.component.less"</f>
        <v>create-or-edit-gpstmvpic-modal.component.less</v>
      </c>
      <c r="N14" s="37" t="str">
        <f>B8&amp;".module.ts"</f>
        <v>gpstmvpic.module.ts</v>
      </c>
      <c r="O14" s="37" t="str">
        <f>B8&amp;"-routing.module.ts"</f>
        <v>gpstmvpic-routing.module.ts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359</v>
      </c>
      <c r="B15" s="28" t="str">
        <f t="shared" ref="B15" si="0">SUBSTITUTE(PROPER(A15),"_","")</f>
        <v>PicUserAccount</v>
      </c>
      <c r="C15" s="28" t="str">
        <f t="shared" ref="C15" si="1">SUBSTITUTE(PROPER(A15),"_"," ")</f>
        <v>Pic User Account</v>
      </c>
      <c r="D15" s="28" t="str">
        <f t="shared" ref="D15" si="2">LOWER(LEFT(B15,1))&amp;RIGHT(B15,LEN(B15) - 1)</f>
        <v>picUserAccount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22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this.l('Pic User Account'),headerTooltip: this.l('Pic User Account'),field: 'picUserAccount',flex: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[(ngModel)]='picUserAccount' name='picUserAccount'
									class='form-control' [placeholder]="l('Pic User Account')"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title'&gt;Pic User Account&lt;/label&gt;
						&lt;input type='text' class='col-md-10 form-control input-text' name='PicUserAccount' [(ngModel)]='rowdata.picUserAccount'&gt;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picUserAccount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picUserAccount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360</v>
      </c>
      <c r="B16" s="28" t="str">
        <f t="shared" ref="B16:B20" si="8">SUBSTITUTE(PROPER(A16),"_","")</f>
        <v>PicName</v>
      </c>
      <c r="C16" s="28" t="str">
        <f t="shared" ref="C16:C20" si="9">SUBSTITUTE(PROPER(A16),"_"," ")</f>
        <v>Pic Name</v>
      </c>
      <c r="D16" s="28" t="str">
        <f t="shared" ref="D16:D20" si="10">LOWER(LEFT(B16,1))&amp;RIGHT(B16,LEN(B16) - 1)</f>
        <v>picName</v>
      </c>
      <c r="E16" s="28" t="str">
        <f>A.Backend!H10</f>
        <v>string</v>
      </c>
      <c r="F16" s="28" t="str">
        <f>A.Backend!G10</f>
        <v>40</v>
      </c>
      <c r="G16" s="28" t="str">
        <f t="shared" ref="G16:G22" si="11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this.l('Pic Name'),headerTooltip: this.l('Pic Name'),field: 'picName',flex: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[(ngModel)]='picName' name='picName'
									class='form-control' [placeholder]="l('Pic Name')"
									type='text' (keyup.enter)='searchDatas()'&gt;
								&lt;/div&gt;</v>
      </c>
      <c r="J16" s="28"/>
      <c r="K16" s="35" t="str">
        <f t="shared" ref="K16:K19" si="12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title'&gt;Pic Name&lt;/label&gt;
						&lt;input type='text' class='col-md-10 form-control input-text' name='PicName' [(ngModel)]='rowdata.picName'&gt;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9" si="14">IF(AND(E16="string",F16 &lt;&gt;"1"),(REPT(CHAR(9),1)&amp;D16&amp;G16),"")</f>
        <v xml:space="preserve">	picName : string = '' ; </v>
      </c>
      <c r="T16" s="28" t="str">
        <f>IF(AND(E16="string",F16 &lt;&gt;"1"),(REPT(CHAR(9),3)&amp;"this."&amp;D15&amp;","),"")</f>
        <v xml:space="preserve">			this.picUserAccount,</v>
      </c>
      <c r="U16" s="28" t="str">
        <f t="shared" ref="U16:U19" si="15">IF(AND(E16="string",F16 &lt;&gt;"1"),(REPT(CHAR(9),1)&amp;D16&amp;G16),"")</f>
        <v xml:space="preserve">	picName : string = '' ; </v>
      </c>
      <c r="V16" s="28" t="str">
        <f t="shared" ref="V16:V20" si="16">IF(AND(E16="string",F16="1"),D16,"")</f>
        <v/>
      </c>
    </row>
    <row r="17" spans="1:22" ht="18" customHeight="1" x14ac:dyDescent="0.25">
      <c r="A17" t="s">
        <v>362</v>
      </c>
      <c r="B17" s="28" t="str">
        <f t="shared" si="8"/>
        <v>PicTelephone</v>
      </c>
      <c r="C17" s="28" t="str">
        <f t="shared" si="9"/>
        <v>Pic Telephone</v>
      </c>
      <c r="D17" s="28" t="str">
        <f t="shared" si="10"/>
        <v>picTelephone</v>
      </c>
      <c r="E17" s="28" t="str">
        <f>A.Backend!H11</f>
        <v>string</v>
      </c>
      <c r="F17" s="28" t="str">
        <f>A.Backend!G11</f>
        <v>100</v>
      </c>
      <c r="G17" s="28" t="str">
        <f t="shared" si="11"/>
        <v xml:space="preserve"> : string = '' ; </v>
      </c>
      <c r="H17" s="35" t="str">
        <f t="shared" si="4"/>
        <v xml:space="preserve">			{headerName: this.l('Pic Telephone'),headerTooltip: this.l('Pic Telephone'),field: 'picTelephone',flex: 1},</v>
      </c>
      <c r="I17" s="35" t="str">
        <f t="shared" si="5"/>
        <v xml:space="preserve">								&lt;div class='input-search'&gt;
									&lt;input [(ngModel)]='picTelephone' name='picTelephone'
									class='form-control' [placeholder]="l('Pic Telephone')"
									type='text' (keyup.enter)='searchDatas()'&gt;
								&lt;/div&gt;</v>
      </c>
      <c r="J17" s="28"/>
      <c r="K17" s="35" t="str">
        <f t="shared" si="12"/>
        <v xml:space="preserve">					&lt;div class='col-md-12 form-group row'&gt;
						&lt;label class='col-md-2 form-control title'&gt;Pic Telephone&lt;/label&gt;
						&lt;input type='text' class='col-md-10 form-control input-text' name='PicTelephone' [(ngModel)]='rowdata.picTelephone'&gt;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picTelephone : string = '' ; </v>
      </c>
      <c r="T17" s="28" t="str">
        <f t="shared" ref="T17:T19" si="17">IF(AND(E17="string",F17 &lt;&gt;"1"),(REPT(CHAR(9),3)&amp;"this."&amp;D16&amp;","),"")</f>
        <v xml:space="preserve">			this.picName,</v>
      </c>
      <c r="U17" s="28" t="str">
        <f t="shared" si="15"/>
        <v xml:space="preserve">	picTelephone : string = '' ; </v>
      </c>
      <c r="V17" s="28" t="str">
        <f t="shared" si="16"/>
        <v/>
      </c>
    </row>
    <row r="18" spans="1:22" ht="15" customHeight="1" x14ac:dyDescent="0.25">
      <c r="A18" t="s">
        <v>363</v>
      </c>
      <c r="B18" s="28" t="str">
        <f t="shared" si="8"/>
        <v>PicEmail</v>
      </c>
      <c r="C18" s="28" t="str">
        <f t="shared" si="9"/>
        <v>Pic Email</v>
      </c>
      <c r="D18" s="28" t="str">
        <f t="shared" si="10"/>
        <v>picEmail</v>
      </c>
      <c r="E18" s="28" t="str">
        <f>A.Backend!H12</f>
        <v>string</v>
      </c>
      <c r="F18" s="28" t="str">
        <f>A.Backend!G12</f>
        <v>100</v>
      </c>
      <c r="G18" s="28" t="str">
        <f t="shared" si="11"/>
        <v xml:space="preserve"> : string = '' ; </v>
      </c>
      <c r="H18" s="35" t="str">
        <f t="shared" si="4"/>
        <v xml:space="preserve">			{headerName: this.l('Pic Email'),headerTooltip: this.l('Pic Email'),field: 'picEmail',flex: 1},</v>
      </c>
      <c r="I18" s="35" t="str">
        <f t="shared" si="5"/>
        <v xml:space="preserve">								&lt;div class='input-search'&gt;
									&lt;input [(ngModel)]='picEmail' name='picEmail'
									class='form-control' [placeholder]="l('Pic Email')"
									type='text' (keyup.enter)='searchDatas()'&gt;
								&lt;/div&gt;</v>
      </c>
      <c r="J18" s="28"/>
      <c r="K18" s="35" t="str">
        <f t="shared" si="12"/>
        <v xml:space="preserve">					&lt;div class='col-md-12 form-group row'&gt;
						&lt;label class='col-md-2 form-control title'&gt;Pic Email&lt;/label&gt;
						&lt;input type='text' class='col-md-10 form-control input-text' name='PicEmail' [(ngModel)]='rowdata.picEmail'&gt;
					&lt;/div&gt;</v>
      </c>
      <c r="L18" s="56" t="str">
        <f t="shared" ref="L18:L21" si="1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picEmail : string = '' ; </v>
      </c>
      <c r="T18" s="28" t="str">
        <f t="shared" si="17"/>
        <v xml:space="preserve">			this.picTelephone,</v>
      </c>
      <c r="U18" s="28" t="str">
        <f t="shared" si="15"/>
        <v xml:space="preserve">	picEmail : string = '' ; </v>
      </c>
      <c r="V18" s="28" t="str">
        <f t="shared" si="16"/>
        <v/>
      </c>
    </row>
    <row r="19" spans="1:22" ht="18" customHeight="1" x14ac:dyDescent="0.25">
      <c r="A19" t="s">
        <v>364</v>
      </c>
      <c r="B19" s="28" t="str">
        <f t="shared" si="8"/>
        <v>IsMainPic</v>
      </c>
      <c r="C19" s="28" t="str">
        <f t="shared" si="9"/>
        <v>Is Main Pic</v>
      </c>
      <c r="D19" s="28" t="str">
        <f t="shared" si="10"/>
        <v>isMainPic</v>
      </c>
      <c r="E19" s="28" t="str">
        <f>A.Backend!H13</f>
        <v>string</v>
      </c>
      <c r="F19" s="28" t="str">
        <f>A.Backend!G13</f>
        <v>50</v>
      </c>
      <c r="G19" s="28" t="str">
        <f t="shared" si="11"/>
        <v xml:space="preserve"> : string = '' ; </v>
      </c>
      <c r="H19" s="35" t="str">
        <f t="shared" si="4"/>
        <v xml:space="preserve">			{headerName: this.l('Is Main Pic'),headerTooltip: this.l('Is Main Pic'),field: 'isMainPic',flex: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[(ngModel)]='isMainPic' name='isMainPic'
									class='form-control' [placeholder]="l('Is Main Pic')"
									type='text' (keyup.enter)='searchDatas()'&gt;
								&lt;/div&gt;</v>
      </c>
      <c r="J19" s="28"/>
      <c r="K19" s="35" t="str">
        <f t="shared" si="12"/>
        <v xml:space="preserve">					&lt;div class='col-md-12 form-group row'&gt;
						&lt;label class='col-md-2 form-control title'&gt;Is Main Pic&lt;/label&gt;
						&lt;input type='text' class='col-md-10 form-control input-text' name='IsMainPic' [(ngModel)]='rowdata.isMainPic'&gt;
					&lt;/div&gt;</v>
      </c>
      <c r="L19" s="56" t="str">
        <f t="shared" si="18"/>
        <v/>
      </c>
      <c r="M19" s="28"/>
      <c r="N19" s="28"/>
      <c r="O19" s="28"/>
      <c r="P19" s="28"/>
      <c r="Q19" s="28"/>
      <c r="R19" s="28"/>
      <c r="S19" s="28" t="str">
        <f t="shared" si="14"/>
        <v xml:space="preserve">	isMainPic : string = '' ; </v>
      </c>
      <c r="T19" s="28" t="str">
        <f t="shared" si="17"/>
        <v xml:space="preserve">			this.picEmail,</v>
      </c>
      <c r="U19" s="28" t="str">
        <f t="shared" si="15"/>
        <v xml:space="preserve">	isMainPic : string = '' ; </v>
      </c>
      <c r="V19" s="28" t="str">
        <f t="shared" si="16"/>
        <v/>
      </c>
    </row>
    <row r="20" spans="1:22" ht="15" customHeight="1" x14ac:dyDescent="0.25">
      <c r="A20" t="s">
        <v>366</v>
      </c>
      <c r="B20" s="28" t="str">
        <f t="shared" si="8"/>
        <v>PicTelephone2</v>
      </c>
      <c r="C20" s="28" t="str">
        <f t="shared" si="9"/>
        <v>Pic Telephone 2</v>
      </c>
      <c r="D20" s="28" t="str">
        <f t="shared" si="10"/>
        <v>picTelephone2</v>
      </c>
      <c r="E20" s="28" t="str">
        <f>A.Backend!H14</f>
        <v>string</v>
      </c>
      <c r="F20" s="28" t="str">
        <f>A.Backend!G14</f>
        <v>50</v>
      </c>
      <c r="G20" s="28" t="str">
        <f t="shared" si="11"/>
        <v xml:space="preserve"> : string = '' ; </v>
      </c>
      <c r="H20" s="35" t="str">
        <f t="shared" si="4"/>
        <v xml:space="preserve">			{headerName: this.l('Pic Telephone 2'),headerTooltip: this.l('Pic Telephone 2'),field: 'picTelephone2',flex: 1},</v>
      </c>
      <c r="I20" s="35" t="str">
        <f t="shared" ref="I20" si="19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IF(AND(E20="string",F20 &lt;&gt;"1"),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[(ngModel)]='picTelephone2' name='picTelephone2'
									class='form-control' [placeholder]="l('Pic Telephone 2')"
									type='text' (keyup.enter)='searchDatas()'&gt;
								&lt;/div&gt;</v>
      </c>
      <c r="J20" s="28"/>
      <c r="K20" s="35" t="str">
        <f>IF(OR(E20="DateTime?",E20="TimeSpan?"),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IF(OR(E20="int?",E20="long?"),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title'&gt;Pic Telephone 2&lt;/label&gt;
						&lt;input type='text' class='col-md-10 form-control input-text' name='PicTelephone2' [(ngModel)]='rowdata.picTelephone2'&gt;
					&lt;/div&gt;</v>
      </c>
      <c r="L20" s="56" t="str">
        <f t="shared" si="18"/>
        <v/>
      </c>
      <c r="M20" s="28"/>
      <c r="N20" s="28"/>
      <c r="O20" s="28"/>
      <c r="P20" s="28"/>
      <c r="Q20" s="28"/>
      <c r="R20" s="28"/>
      <c r="S20" s="28" t="str">
        <f>IF(AND(E20="string",F20 &lt;&gt;"1"),(REPT(CHAR(9),1)&amp;D20&amp;G20),"")</f>
        <v xml:space="preserve">	picTelephone2 : string = '' ; </v>
      </c>
      <c r="T20" s="28" t="str">
        <f>IF(AND(E20="string",F20 &lt;&gt;"1"),(REPT(CHAR(9),3)&amp;"this."&amp;D19&amp;","),"")</f>
        <v xml:space="preserve">			this.isMainPic,</v>
      </c>
      <c r="U20" s="28" t="str">
        <f>IF(AND(E20="string",F20 &lt;&gt;"1"),(REPT(CHAR(9),1)&amp;D20&amp;G20),"")</f>
        <v xml:space="preserve">	picTelephone2 : string = '' ; </v>
      </c>
      <c r="V20" s="28" t="str">
        <f t="shared" si="16"/>
        <v/>
      </c>
    </row>
    <row r="21" spans="1:22" ht="18" customHeight="1" x14ac:dyDescent="0.25">
      <c r="A21" t="s">
        <v>367</v>
      </c>
      <c r="B21" s="28" t="str">
        <f t="shared" ref="B21:B22" si="20">SUBSTITUTE(PROPER(A21),"_","")</f>
        <v>Suppliers</v>
      </c>
      <c r="C21" s="28" t="str">
        <f t="shared" ref="C21:C22" si="21">SUBSTITUTE(PROPER(A21),"_"," ")</f>
        <v>Suppliers</v>
      </c>
      <c r="D21" s="28" t="str">
        <f t="shared" ref="D21:D22" si="22">LOWER(LEFT(B21,1))&amp;RIGHT(B21,LEN(B21) - 1)</f>
        <v>suppliers</v>
      </c>
      <c r="E21" s="28" t="str">
        <f>A.Backend!H15</f>
        <v>string</v>
      </c>
      <c r="F21" s="28" t="str">
        <f>A.Backend!G15</f>
        <v>2048</v>
      </c>
      <c r="G21" s="28" t="str">
        <f t="shared" si="11"/>
        <v xml:space="preserve"> : string = '' ; </v>
      </c>
      <c r="H21" s="35" t="str">
        <f t="shared" si="4"/>
        <v xml:space="preserve">			{headerName: this.l('Suppliers'),headerTooltip: this.l('Suppliers'),field: 'suppliers',flex: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[(ngModel)]='suppliers' name='suppliers'
									class='form-control' [placeholder]="l('Suppliers')"
									type='text' (keyup.enter)='searchDatas()'&gt;
								&lt;/div&gt;</v>
      </c>
      <c r="J21" s="28"/>
      <c r="K21" s="35" t="str">
        <f t="shared" ref="K21:K22" si="23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title'&gt;Suppliers&lt;/label&gt;
						&lt;input type='text' class='col-md-10 form-control input-text' name='Suppliers' [(ngModel)]='rowdata.suppliers'&gt;
					&lt;/div&gt;</v>
      </c>
      <c r="L21" s="56" t="str">
        <f t="shared" si="18"/>
        <v/>
      </c>
      <c r="M21" s="28"/>
      <c r="N21" s="28"/>
      <c r="O21" s="28"/>
      <c r="P21" s="28"/>
      <c r="Q21" s="28"/>
      <c r="R21" s="28"/>
      <c r="S21" s="28" t="str">
        <f t="shared" ref="S21:S22" si="24">IF(AND(E21="string",F21 &lt;&gt;"1"),(REPT(CHAR(9),1)&amp;D21&amp;G21),"")</f>
        <v xml:space="preserve">	suppliers : string = '' ; </v>
      </c>
      <c r="T21" s="28" t="str">
        <f>IF(AND(E21="string",F21 &lt;&gt;"1"),(REPT(CHAR(9),3)&amp;"this."&amp;D20&amp;","),"")</f>
        <v xml:space="preserve">			this.picTelephone2,</v>
      </c>
      <c r="U21" s="28" t="str">
        <f t="shared" ref="U21:U22" si="25">IF(AND(E21="string",F21 &lt;&gt;"1"),(REPT(CHAR(9),1)&amp;D21&amp;G21),"")</f>
        <v xml:space="preserve">	suppliers : string = '' ; </v>
      </c>
      <c r="V21" s="28" t="str">
        <f t="shared" ref="V21:V22" si="26">IF(AND(E21="string",F21="1"),D21,"")</f>
        <v/>
      </c>
    </row>
    <row r="22" spans="1:22" ht="18" customHeight="1" x14ac:dyDescent="0.25">
      <c r="A22" t="s">
        <v>318</v>
      </c>
      <c r="B22" s="28" t="str">
        <f t="shared" si="20"/>
        <v>IsActive</v>
      </c>
      <c r="C22" s="28" t="str">
        <f t="shared" si="21"/>
        <v>Is Active</v>
      </c>
      <c r="D22" s="28" t="str">
        <f t="shared" si="22"/>
        <v>isActive</v>
      </c>
      <c r="E22" s="28" t="str">
        <f>A.Backend!H16</f>
        <v>string</v>
      </c>
      <c r="F22" s="28" t="str">
        <f>A.Backend!G16</f>
        <v>1</v>
      </c>
      <c r="G22" s="28" t="str">
        <f t="shared" si="11"/>
        <v xml:space="preserve"> : string = '' ; </v>
      </c>
      <c r="H22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2" s="35" t="str">
        <f t="shared" ref="I22" si="27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 t="shared" si="2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4"/>
        <v/>
      </c>
      <c r="T22" s="28" t="str">
        <f t="shared" ref="T22" si="28">IF(AND(E22="string",F22 &lt;&gt;"1"),(REPT(CHAR(9),3)&amp;"this."&amp;D21&amp;","),"")</f>
        <v/>
      </c>
      <c r="U22" s="28" t="str">
        <f t="shared" si="25"/>
        <v/>
      </c>
      <c r="V22" s="28" t="str">
        <f t="shared" si="26"/>
        <v>isActive</v>
      </c>
    </row>
    <row r="23" spans="1:22" ht="18" customHeight="1" x14ac:dyDescent="0.25">
      <c r="H23" s="66"/>
      <c r="I23" s="66"/>
      <c r="K23" s="66"/>
      <c r="L23" s="26"/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2023-04-25T03:44:59Z</dcterms:modified>
</cp:coreProperties>
</file>
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H12" i="1"/>
  <c r="H13" i="1"/>
  <c r="H14" i="1"/>
  <c r="H15" i="1"/>
  <c r="F16" i="5" l="1"/>
  <c r="F17" i="5"/>
  <c r="F18" i="5"/>
  <c r="F21" i="5"/>
  <c r="E21" i="5" l="1"/>
  <c r="C21" i="5"/>
  <c r="B21" i="5"/>
  <c r="D21" i="5" s="1"/>
  <c r="G15" i="1"/>
  <c r="E15" i="1"/>
  <c r="D15" i="1"/>
  <c r="V15" i="1" s="1"/>
  <c r="L21" i="5" l="1"/>
  <c r="G21" i="5"/>
  <c r="S21" i="5" s="1"/>
  <c r="K21" i="5"/>
  <c r="T21" i="5"/>
  <c r="U21" i="5"/>
  <c r="V21" i="5"/>
  <c r="H21" i="5"/>
  <c r="I21" i="5"/>
  <c r="I15" i="1"/>
  <c r="W15" i="1"/>
  <c r="O15" i="1"/>
  <c r="J15" i="1"/>
  <c r="N15" i="1"/>
  <c r="M15" i="1"/>
  <c r="P15" i="1"/>
  <c r="T15" i="1"/>
  <c r="B2" i="5"/>
  <c r="C18" i="5" l="1"/>
  <c r="B18" i="5"/>
  <c r="D18" i="5" s="1"/>
  <c r="T18" i="5" s="1"/>
  <c r="C17" i="5"/>
  <c r="B17" i="5"/>
  <c r="D17" i="5" s="1"/>
  <c r="C16" i="5"/>
  <c r="B16" i="5"/>
  <c r="D16" i="5" s="1"/>
  <c r="T16" i="5" l="1"/>
  <c r="T17" i="5"/>
  <c r="B6" i="1"/>
  <c r="G13" i="1"/>
  <c r="F19" i="5" s="1"/>
  <c r="E13" i="1"/>
  <c r="E19" i="5" s="1"/>
  <c r="G19" i="5" s="1"/>
  <c r="D13" i="1"/>
  <c r="V13" i="1" s="1"/>
  <c r="W13" i="1" l="1"/>
  <c r="N13" i="1"/>
  <c r="I13" i="1"/>
  <c r="M13" i="1"/>
  <c r="O13" i="1"/>
  <c r="J13" i="1"/>
  <c r="L13" i="1"/>
  <c r="P13" i="1"/>
  <c r="T13" i="1"/>
  <c r="C19" i="5"/>
  <c r="B19" i="5"/>
  <c r="D19" i="5" s="1"/>
  <c r="C15" i="5"/>
  <c r="B15" i="5"/>
  <c r="D15" i="5" s="1"/>
  <c r="T15" i="5" s="1"/>
  <c r="L12" i="1"/>
  <c r="G12" i="1"/>
  <c r="E12" i="1"/>
  <c r="E18" i="5" s="1"/>
  <c r="G18" i="5" s="1"/>
  <c r="D12" i="1"/>
  <c r="V12" i="1" s="1"/>
  <c r="G11" i="1"/>
  <c r="E11" i="1"/>
  <c r="E17" i="5" s="1"/>
  <c r="G17" i="5" s="1"/>
  <c r="D11" i="1"/>
  <c r="T11" i="1" s="1"/>
  <c r="V18" i="5" l="1"/>
  <c r="H18" i="5"/>
  <c r="K18" i="5"/>
  <c r="S18" i="5"/>
  <c r="I18" i="5"/>
  <c r="L18" i="5"/>
  <c r="U18" i="5"/>
  <c r="I17" i="5"/>
  <c r="V17" i="5"/>
  <c r="K17" i="5"/>
  <c r="L17" i="5"/>
  <c r="H17" i="5"/>
  <c r="U17" i="5"/>
  <c r="S17" i="5"/>
  <c r="M11" i="1"/>
  <c r="T19" i="5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C20" i="5" l="1"/>
  <c r="B20" i="5"/>
  <c r="D20" i="5" s="1"/>
  <c r="G14" i="1"/>
  <c r="F20" i="5" s="1"/>
  <c r="E14" i="1"/>
  <c r="E20" i="5" s="1"/>
  <c r="G20" i="5" s="1"/>
  <c r="D14" i="1"/>
  <c r="V14" i="1" s="1"/>
  <c r="I20" i="5" l="1"/>
  <c r="T20" i="5"/>
  <c r="W14" i="1"/>
  <c r="J14" i="1"/>
  <c r="I14" i="1"/>
  <c r="O14" i="1"/>
  <c r="N14" i="1"/>
  <c r="M14" i="1"/>
  <c r="P14" i="1"/>
  <c r="T14" i="1"/>
  <c r="G9" i="1"/>
  <c r="F15" i="5" s="1"/>
  <c r="E9" i="1"/>
  <c r="H9" i="1" s="1"/>
  <c r="E15" i="5" s="1"/>
  <c r="D9" i="1"/>
  <c r="V9" i="1" s="1"/>
  <c r="K20" i="5" l="1"/>
  <c r="H20" i="5"/>
  <c r="S20" i="5"/>
  <c r="U20" i="5"/>
  <c r="L20" i="5"/>
  <c r="V20" i="5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E10" i="1"/>
  <c r="E16" i="5" s="1"/>
  <c r="G16" i="5" s="1"/>
  <c r="D10" i="1"/>
  <c r="T10" i="1" s="1"/>
  <c r="K16" i="5" l="1"/>
  <c r="V16" i="5"/>
  <c r="I16" i="5"/>
  <c r="L16" i="5"/>
  <c r="H16" i="5"/>
  <c r="S16" i="5"/>
  <c r="U16" i="5"/>
  <c r="H19" i="5"/>
  <c r="L19" i="5"/>
  <c r="I19" i="5"/>
  <c r="S19" i="5"/>
  <c r="K19" i="5"/>
  <c r="U19" i="5"/>
  <c r="V19" i="5"/>
  <c r="P10" i="1"/>
  <c r="V10" i="1"/>
  <c r="W10" i="1"/>
  <c r="J10" i="1"/>
  <c r="I10" i="1"/>
  <c r="O10" i="1"/>
  <c r="N10" i="1"/>
  <c r="M10" i="1"/>
  <c r="W3" i="1" l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R3" i="1" l="1"/>
  <c r="D1" i="1"/>
  <c r="F6" i="1"/>
  <c r="T16" i="1"/>
  <c r="T13" i="5"/>
  <c r="T7" i="1" l="1"/>
  <c r="W16" i="1"/>
  <c r="G6" i="1" l="1"/>
  <c r="L13" i="5"/>
  <c r="V13" i="5"/>
  <c r="U13" i="5"/>
  <c r="I13" i="5"/>
  <c r="S13" i="5"/>
  <c r="H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l="1"/>
  <c r="L15" i="1"/>
  <c r="L9" i="1"/>
  <c r="L10" i="1"/>
  <c r="C7" i="1"/>
  <c r="J16" i="1"/>
  <c r="N16" i="1"/>
  <c r="P16" i="1"/>
  <c r="O16" i="1"/>
  <c r="I16" i="1"/>
  <c r="Q7" i="1" l="1"/>
  <c r="M68" i="3" s="1"/>
  <c r="L7" i="1"/>
  <c r="G68" i="3" s="1"/>
  <c r="K68" i="3"/>
  <c r="J68" i="3"/>
  <c r="M16" i="1"/>
  <c r="K1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<sst xmlns="http://schemas.openxmlformats.org/spreadsheetml/2006/main" count="461" uniqueCount="368">
  <si>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</si>
  <si>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</si>
  <si>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</si>
  <si>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</si>
  <si>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</si>
  <si>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</si>
  <si>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</si>
  <si>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</si>
  <si>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</si>
  <si>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</si>
  <si>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</si>
  <si>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</si>
  <si>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</si>
  <si>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</si>
  <si>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</si>
  <si>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</si>
  <si>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</si>
  <si>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</si>
  <si>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</si>
  <si>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</si>
  <si>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</si>
  <si>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</si>
  <si>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</si>
  <si>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</si>
  <si>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</si>
  <si>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</si>
  <si>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</si>
  <si>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</si>
  <si>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</si>
  <si>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</si>
  <si>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</si>
  <si>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</si>
  <si>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</si>
  <si>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</si>
  <si>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</si>
  <si>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</si>
  <si>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</si>
  <si>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</si>
  <si>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</si>
  <si>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</si>
  <si>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</si>
  <si>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</si>
  <si>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</si>
  <si>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</si>
  <si>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</si>
  <si>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</si>
  <si>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</si>
  <si>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</si>
  <si>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</si>
  <si>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</si>
  <si>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</si>
  <si>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</si>
  <si>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</si>
  <si>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</si>
  <si>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</si>
  <si>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</si>
  <si>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</si>
  <si>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</si>
  <si>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</si>
  <si>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</si>
  <si>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</si>
  <si>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</si>
  <si>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</si>
  <si>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</si>
  <si>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</si>
  <si>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</si>
  <si>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</si>
  <si>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</si>
  <si>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</si>
  <si>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</si>
  <si>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</si>
  <si>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</si>
  <si>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</si>
  <si>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</si>
  <si>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</si>
  <si>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</si>
  <si>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</si>
  <si>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</si>
  <si>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</si>
  <si>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</si>
  <si>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</si>
  <si>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</si>
  <si>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</si>
  <si>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</si>
  <si>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</si>
  <si>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</si>
  <si>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</si>
  <si>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</si>
  <si>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</si>
  <si>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</si>
  <si>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</si>
  <si>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</si>
  <si>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</si>
  <si>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</si>
  <si>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</si>
  <si>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</si>
  <si>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</si>
  <si>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</si>
  <si>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</si>
  <si>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</si>
  <si>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</si>
  <si>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</si>
  <si>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</si>
  <si>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</si>
  <si>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</si>
  <si>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</si>
  <si>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</si>
  <si>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</si>
  <si>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</si>
  <si>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</si>
  <si>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</si>
  <si>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</si>
  <si>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</si>
  <si>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</si>
  <si>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</si>
  <si>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</si>
  <si>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</si>
  <si>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</si>
  <si>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</si>
  <si>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</si>
  <si>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</si>
  <si>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</si>
  <si>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</si>
  <si>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</si>
  <si>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</si>
  <si>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</si>
  <si>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</si>
  <si>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</si>
  <si>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</si>
  <si>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</si>
  <si>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</si>
  <si>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</si>
  <si>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</si>
  <si>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</si>
  <si>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</si>
  <si>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</si>
  <si>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</si>
  <si>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</si>
  <si>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</si>
  <si>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</si>
  <si>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</si>
  <si>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</si>
  <si>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</si>
  <si>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</si>
  <si>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</si>
  <si>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</si>
  <si>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</si>
  <si>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</si>
  <si>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</si>
  <si>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</si>
  <si>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</si>
  <si>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</si>
  <si>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</si>
  <si>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</si>
  <si>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</si>
  <si>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</si>
  <si>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</si>
  <si>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</si>
  <si>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</si>
  <si>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</si>
  <si>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</si>
  <si>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</si>
  <si>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</si>
  <si>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</si>
  <si>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</si>
  <si>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</si>
  <si>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</si>
  <si>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</si>
  <si>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</si>
  <si>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</si>
  <si>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</si>
  <si>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</si>
  <si>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</si>
  <si>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</si>
  <si>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</si>
  <si>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</si>
  <si>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</si>
  <si>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</si>
  <si>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</si>
  <si>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</si>
  <si>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</si>
  <si>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</si>
  <si>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</si>
  <si>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</si>
  <si>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</si>
  <si>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</si>
  <si>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</si>
  <si>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</si>
  <si>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</si>
  <si>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</si>
  <si>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</si>
  <si>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</si>
  <si>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</si>
  <si>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</si>
  <si>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</si>
  <si>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</si>
  <si>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</si>
  <si>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</si>
  <si>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</si>
  <si>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</si>
  <si>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</si>
  <si>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</si>
  <si>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</si>
  <si>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</si>
  <si>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</si>
  <si>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</si>
  <si>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</si>
  <si>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</si>
  <si>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</si>
  <si>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</si>
  <si>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</si>
  <si>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</si>
  <si>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</si>
  <si>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</si>
  <si>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</si>
  <si>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</si>
  <si>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</si>
  <si>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</si>
  <si>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</si>
  <si>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</si>
  <si>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</si>
  <si>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</si>
  <si>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</si>
  <si>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</si>
  <si>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</si>
  <si>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</si>
  <si>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</si>
  <si>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</si>
  <si>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</si>
  <si>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</si>
  <si>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</si>
  <si>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</si>
  <si>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</si>
  <si>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</si>
  <si>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</si>
  <si>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</si>
  <si>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</si>
  <si>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</si>
  <si>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</si>
  <si>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</si>
  <si>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</si>
  <si>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</si>
  <si>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</si>
  <si>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</si>
  <si>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</si>
  <si>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</si>
  <si>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</si>
  <si>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</si>
  <si>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</si>
  <si>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</si>
  <si>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</si>
  <si>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</si>
  <si>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</si>
  <si>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</si>
  <si>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</si>
  <si>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</si>
  <si>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</si>
  <si>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</si>
  <si>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</si>
  <si>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</si>
  <si>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</si>
  <si>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</si>
  <si>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</si>
  <si>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</si>
  <si>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</si>
  <si>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</si>
  <si>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</si>
  <si>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</si>
  <si>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</si>
  <si>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</si>
  <si>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</si>
  <si>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</si>
  <si>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</si>
  <si>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</si>
  <si>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</si>
  <si>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</si>
  <si>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</si>
  <si>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</si>
  <si>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</si>
  <si>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</si>
  <si>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</si>
  <si>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</si>
  <si>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</si>
  <si>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</si>
  <si>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</si>
  <si>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</si>
  <si>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</si>
  <si>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</si>
  <si>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</si>
  <si>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</si>
  <si>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</si>
  <si>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</si>
  <si>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</si>
  <si>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</si>
  <si>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</si>
  <si>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</si>
  <si>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</si>
  <si>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</si>
  <si>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</si>
  <si>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</si>
  <si>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</si>
  <si>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</si>
  <si>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</si>
  <si>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</si>
  <si>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</si>
  <si>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</si>
  <si>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</si>
  <si>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</si>
  <si>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</si>
  <si>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</si>
  <si>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</si>
  <si>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</si>
  <si>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</si>
  <si>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</si>
  <si>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</si>
  <si>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</si>
  <si>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</si>
  <si>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</si>
  <si>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</si>
  <si>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</si>
  <si>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</si>
  <si>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</si>
  <si>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</si>
  <si>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</si>
  <si>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</si>
  <si>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</si>
  <si>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</si>
  <si>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</si>
  <si>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</si>
  <si>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</si>
  <si>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</si>
  <si>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</si>
  <si>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</si>
  <si>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</si>
  <si>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</si>
  <si>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</si>
  <si>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</si>
  <si>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</si>
  <si>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</si>
  <si>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</si>
  <si>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</si>
  <si>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</si>
  <si>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</si>
  <si>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</si>
  <si>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</si>
  <si>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</si>
  <si>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</si>
  <si>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</si>
  <si>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</si>
  <si>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</si>
  <si>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</si>
  <si>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</si>
  <si>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</si>
  <si>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CODE</t>
  </si>
  <si>
    <t>NAME</t>
  </si>
  <si>
    <t>SUPPLIER_NO</t>
  </si>
  <si>
    <t>SHIPPING_NO</t>
  </si>
  <si>
    <t>EF_DATEFROM</t>
  </si>
  <si>
    <t>EF_DATETO</t>
  </si>
  <si>
    <t>Master.Inventory</t>
  </si>
  <si>
    <t>MstInvForwarder</t>
  </si>
  <si>
    <t>Forwarder</t>
  </si>
  <si>
    <t>varchar(10)</t>
  </si>
  <si>
    <t>varchar(100)</t>
  </si>
  <si>
    <t>IS_ACTIVE</t>
  </si>
  <si>
    <t>varchar(1)</t>
  </si>
  <si>
    <t>DateTime2</t>
  </si>
  <si>
    <t>Inventory Forwarder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</si>
</sst>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0" xfId="0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46" zoomScaleNormal="100" workbookViewId="0">
      <selection activeCell="D54" sqref="D54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[Table("MstInvForwarder")]
	[Index(nameof(Code), Name="IX_MstInvForwarder_Code")]
	[Index(nameof(IsActive), Name="IX_MstInvForwarder_IsActive")]	public class MstInvForwarder: FullAuditedEntity&lt;long&gt;, IEntity&lt;long&gt;	
	{
		public const int MaxCodeLength = 10;
		public const int MaxNameLength = 100;
		public const int MaxSupplierNoLength = 10;
		public const int MaxShippingNoLength = 10;
		public const int MaxIsActiveLength = 1;
		[StringLength(MaxCodeLength)]
		public virtual string Code { get; set; }
		[StringLength(MaxNameLength)]
		public virtual string Name { get; set; }
		[StringLength(MaxSupplierNoLength)]
		public virtual string SupplierNo { get; set; }
		[StringLength(MaxShippingNoLength)]
		public virtual string ShippingNo { get; set; }
		public virtual DateTime EfDatefrom { get; set; }
		public virtual DateTime EfDateto { get; set; }
		[StringLength(MaxIsActiveLength)]
		public virtual string IsActive { get; set; }
	}
}
</v>
      </c>
      <c r="D68" s="51" t="str">
        <f>A.Backend!O7</f>
        <v xml:space="preserve">		public const string Pages_Master_Inventory_Forwarder = "Pages.Master.Inventory.Forwarder";
		public const string Pages_Master_Inventory_Forwarder_CreateEdit = "Pages.Master.Inventory.Forwarder.CreateEdit";
		public const string Pages_Master_Inventory_Forwarder_Delete = "Pages.Master.Inventory.Forwarder.Delete";
</v>
      </c>
      <c r="E68" s="51" t="str">
        <f>A.Backend!N7</f>
        <v xml:space="preserve">		var perMstInvForwarder = PARENTS.CreateChildPermission(AppPermissions.Pages_Master_Inventory_Forwarder, L( "MasterInventoryForwarder"), multiTenancySides: MultiTenancySides.Tenant);
		perMstInvForwarder.CreateChildPermission(AppPermissions.Pages_Master_Inventory_Forwarder_CreateEdit, L( "MasterInventoryForwarderCreateEdit"), multiTenancySides: MultiTenancySides.Tenant);
		perMstInvForwarder.CreateChildPermission(AppPermissions.Pages_Master_Inventory_Forwarder_Delete, L( "MasterInventoryForwarderDelete"), multiTenancySides: MultiTenancySides.Tenant);</v>
      </c>
      <c r="F68" s="51" t="str">
        <f>A.Backend!K7</f>
        <v>public virtual DbSet&lt;MstInvForwarder&gt; MstInvForwarders { get; set; }</v>
      </c>
      <c r="G68" s="51" t="str">
        <f ca="1">A.Backend!L7</f>
        <v xml:space="preserve">namespace prod.Master.Inventory
{
	public class MstInvForwarderConsts	
	{
		public const int MaxCodeLength = 10;
		public const int MaxNameLength = 100;
		public const int MaxSupplierNoLength = 10;
		public const int MaxShippingNoLength = 10;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prod.Master.Inventory.Dto
{
	public class MstInvForwarderDto : EntityDto&lt;long?&gt;	
	{
		public virtual string Code { get; set; }
		public virtual string Name { get; set; }
		public virtual string SupplierNo { get; set; }
		public virtual string ShippingNo { get; set; }
		public virtual DateTime? EfDatefrom { get; set; }
		public virtual DateTime? EfDateto { get; set; }
		public virtual string IsActive { get; set; }
	}
	public class CreateOrEditMstInvForwarderDto : EntityDto&lt;long?&gt;	
	{
		[StringLength(MstInvForwarderConsts.MaxCodeLength)]
		public virtual string Code { get; set; }
		[StringLength(MstInvForwarderConsts.MaxNameLength)]
		public virtual string Name { get; set; }
		[StringLength(MstInvForwarderConsts.MaxSupplierNoLength)]
		public virtual string SupplierNo { get; set; }
		[StringLength(MstInvForwarderConsts.MaxShippingNoLength)]
		public virtual string ShippingNo { get; set; }
		public virtual DateTime? EfDatefrom { get; set; }
		public virtual DateTime? EfDateto { get; set; }
		[StringLength(MstInvForwarderConsts.MaxIsActiveLength)]
		public virtual string IsActive { get; set; }
	}
	public class GetMstInvForwarderInput : PagedAndSortedResultRequestDto	
	{
		public virtual string Code { get; set; }
		public virtual string Name { get; set; }
		public virtual string SupplierNo { get; set; }
		public virtual string ShippingNo { get; set; }
		public virtual DateTime? EfDatefrom { get; set; }
		public virtual DateTime? EfDateto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prod.Master.Inventory.Dto
{
	public class MstInvForwarderExportInput{
		public virtual string Code { get; set; }
		public virtual string Name { get; set; }
		public virtual string SupplierNo { get; set; }
		public virtual string ShippingNo { get; set; }
		public virtual DateTime? EfDatefrom { get; set; }
		public virtual DateTime? EfDateto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IMstInvForwarderAppService : IApplicationService
	{
		Task&lt;PagedResultDto&lt;MstInvForwarderDto&gt;&gt; GetAll(GetMstInvForwarderInput input);
		Task CreateOrEdit(CreateOrEditMstInvForwarderDto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IMstInvForwarderExcelExporter : IApplicationService
	{
		FileDto ExportToFile(List&lt;MstInvForwarderDto&gt; mstinvforwarder);
	}
}
</v>
      </c>
      <c r="L68" s="51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MstInvForwarderExcelExporter : NpoiExcelExporterBase, IMstInvForwarderExcelExporter
    {
        public MstInvForwarderExcelExporter(ITempFileCacheManager tempFileCacheManager) : base(tempFileCacheManager) { }
        public FileDto ExportToFile(List&lt;MstInvForwarderDto&gt; forwarder)
        {
            return CreateExcelPackage(
				"MasterInventoryForwarder.xlsx",
				excelPackage =&gt;
				 {
					var sheet = excelPackage.CreateSheet("Forwarder");
					AddHeader(
								sheet,
								("Code"),
								("Name"),
								("SupplierNo"),
								("ShippingNo"),
								("EfDatefrom"),
								("EfDateto"),
								("IsActive"),
							   );
					AddObjects(
						 sheet, 1, forwarder,                                       
								_ =&gt; _.Code,
								_ =&gt; _.Name,
								_ =&gt; _.SupplierNo,
								_ =&gt; _.ShippingNo,
								_ =&gt; _.EfDatefrom,
								_ =&gt; _.EfDateto,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[AbpAuthorize(AppPermissions.Pages_Master_Inventory_Forwarder)]
    public class MstInvForwarderAppService : vovinaAppServiceBase, IMstInvForwarderAppService
    {
        private readonly IDapperRepository&lt;MstInvForwarder, long&gt; _dapperRepo;
        private readonly IRepository&lt;MstInvForwarder, long&gt; _repo;
        private readonly IMstInvForwarderExcelExporter _calendarListExcelExporter;
        public MstInvForwarderAppService(IRepository&lt;MstInvForwarder,long&gt; repo, 
                                         IDapperRepository&lt;MstInvForwarder,long&gt; dapperRepo,
                                        IMstInvForwarderExcelExporter calendarListExcelExporter
            )
        {
            _repo = repo;
            _dapperRepo = dapperRepo;
            _calendarListExcelExporter = calendarListExcelExporter;
        }
        [AbpAuthorize(AppPermissions.Pages_Master_Inventory_Forwarder_CreateEdit)]
        public async Task CreateOrEdit(CreateOrEditMstInvForwarderDto input)
        {
            if (input.Id == null) await Create(input);
            else await Update(input);
        }
        //CREATE
        private async Task Create(CreateOrEditMstInvForwarderDto input)
        {          
            var mainObj = ObjectMapper.Map&lt;MstInvForwarder&gt;(input);
            await CurrentUnitOfWork.GetDbContext&lt;vovinaDbContext&gt;().AddAsync(mainObj);
        }
        // EDIT
        private async Task Update(CreateOrEditMstInvForwarderDto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[AbpAuthorize(AppPermissions.Pages_Master_Inventory_Forwarder_Delete)]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Task&lt;PagedResultDto&lt;MstInvForwarderDto&gt;&gt; GetAll(GetMstInvForwarderInput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.WhereIf(!string.IsNullOrWhiteSpace(input.SupplierNo), e =&gt; e.SupplierNo.Contains(input.SupplierNo))
				.WhereIf(!string.IsNullOrWhiteSpace(input.ShippingNo), e =&gt; e.ShippingNo.Contains(input.ShippingNo))
				.WhereIf(input.EfDatefrom.HasValue, t =&gt; t.EfDatefrom == input.EfDatefrom.Value)
				.WhereIf(input.EfDateto.HasValue, t =&gt; t.EfDateto == input.EfDateto.Value)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MstInvForwarderDto
                        {
							Id = o.Id,
							Code = o.Code,
							Name = o.Name,
							SupplierNo = o.SupplierNo,
							ShippingNo = o.ShippingNo,
							EfDatefrom = o.EfDatefrom,
							EfDateto = o.EfDateto,
							IsActive = o.IsActive,
                        };
            var totalCount = await filtered.CountAsync();
			var paged = system.PageBy(input);
            return new PagedResultDto&lt;MstInvForwarderDto&gt;(
                totalCount,
                 await paged.ToListAsync()
            );
        }
        public async Task&lt;FileDto&gt; GetForwarderToExcel(MstInvForwarderExportInput input)
        {
            var query = from o in _repo.GetAll()
                        select new MstInvForwarderDto
                        {
							Id = o.Id,
							Code = o.Code,
							Name = o.Name,
							SupplierNo = o.SupplierNo,
							ShippingNo = o.ShippingNo,
							EfDatefrom = o.EfDatefrom,
							EfDateto = o.EfDateto,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_dapperRepo.ExecuteAsync(MstInvForwarderConsts.SP_MST_WPT_CALENDAR_GENERATE);
       // }
    }
}</v>
      </c>
      <c r="N68" s="62" t="str">
        <f>A.Backend!U7</f>
        <v xml:space="preserve">  configuration.CreateMap&lt;MstInvForwarderDto, MstInvForwarder&gt;();
  configuration.CreateMap&lt;MstInvForwarder, MstInvForwarderDto&gt;();
  configuration.CreateMap&lt;CreateOrEditMstInvForwarderDto, MstInvForwarder&gt;();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forwarder</v>
      </c>
      <c r="C73" s="73" t="str">
        <f>"create folder " &amp;B73</f>
        <v>create folder forwarder</v>
      </c>
      <c r="D73" s="73"/>
      <c r="E73" s="73"/>
      <c r="F73" s="73"/>
      <c r="G73" s="73"/>
      <c r="H73" s="73"/>
      <c r="I73" s="73"/>
      <c r="J73" s="73"/>
      <c r="K73" s="74" t="s">
        <v>228</v>
      </c>
      <c r="L73" s="74"/>
      <c r="M73" s="31"/>
    </row>
    <row r="74" spans="2:14" s="28" customFormat="1" ht="18" customHeight="1" x14ac:dyDescent="0.35">
      <c r="B74" s="60" t="s">
        <v>229</v>
      </c>
      <c r="C74" s="31" t="str">
        <f>B.Frontend!H14</f>
        <v>forwarder.component.ts</v>
      </c>
      <c r="D74" s="31" t="str">
        <f>B.Frontend!I14</f>
        <v>forwarder.component.html</v>
      </c>
      <c r="E74" s="31" t="str">
        <f>B.Frontend!J14</f>
        <v>forwarder.component.less</v>
      </c>
      <c r="F74" s="31" t="str">
        <f>B.Frontend!K14</f>
        <v>create-or-edit-forwarder-modal.component.html</v>
      </c>
      <c r="G74" s="31" t="str">
        <f>B.Frontend!L14</f>
        <v>create-or-edit-forwarder-modal.component.ts</v>
      </c>
      <c r="H74" s="31" t="str">
        <f>B.Frontend!M14</f>
        <v>create-or-edit-forwarder-modal.component.less</v>
      </c>
      <c r="I74" s="31" t="str">
        <f>B.Frontend!N14</f>
        <v>forwarder.module.ts</v>
      </c>
      <c r="J74" s="31" t="str">
        <f>B.Frontend!O14</f>
        <v>forwarder-routing.module.ts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MstInvForwarderDto, MstInvForwarderServiceProxy } from '@shared/service-proxies/service-proxies';
import { finalize } from 'rxjs/internal/operators/finalize';
import { CreateOrEditForwarderModalComponent } from './create-or-edit-forwarder-modal.component';
import { DatePipe } from '@angular/common';
import { FileDownloadService } from '@shared/utils/file-download.service';
import ceil from 'lodash-es/ceil';
import { Paginator } from 'primeng/paginator';
@Component({
    templateUrl: './forwarder.component.html',
    styleUrls: ['./forwarder.component.less'],
})
export class ForwarderComponent extends AppComponentBase implements OnInit {
    @ViewChild('createOrEditModalForwarder', { static: true }) createOrEditModalForwarder:| CreateOrEditForwarderModalComponent|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MstInvForwarderDto = new MstInvForwarderDto();
    saveSelectedRow: MstInvForwarderDto = new MstInvForwarderDto();
    datas: MstInvForwarderDto = new MstInvForwarderDto();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supplierNo : string = '' ; 
	shippingNo : string = '' ; 
	efDatefrom : any ;
	efDateto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MstInvForwarderServiceProxy,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this.l('Supplier No'),headerTooltip: this.l('Supplier No'),field: 'supplierNo',flex: 1},
			{headerName: this.l('Shipping No'),headerTooltip: this.l('Shipping No'),field: 'shippingNo',flex: 1},
			{headerName: this.l('Ef Datefrom'),headerTooltip: this.l('Ef Datefrom'),field: 'efDatefrom',valueGetter: (params) =&gt; this.pipe.transform(params.data?.efDatefrom, 'dd/MM/yyyy'),flex: 1},
			{headerName: this.l('Ef Dateto'),headerTooltip: this.l('Ef Dateto'),field: 'efDateto',valueGetter: (params) =&gt; this.pipe.transform(params.data?.efDateto,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this.supplierNo,
			this.shippingNo,
			this.efDatefrom,
			this.efDateto,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this.supplierNo = '',
		this.shippingNo = '',
		this.efDatefrom = '',
		this.efDateto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this.supplierNo,
			this.shippingNo,
			this.efDatefrom,
			this.efDateto,
			this.isActive,
			'',
            this.paginationParams.skipCount,
            this.paginationParams.pageSize
        );
    }
    onChangeRowSelection(params: { api: { getSelectedRows: () =&gt; MstInvForwarderDto[] } }) {
        this.saveSelectedRow = params.api.getSelectedRows()[0] ?? new MstInvForwarderDto();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MstInvForwarderDto):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this._service.getForwarderToExcel(
			this.code,
			this.name,
			this.supplierNo,
			this.shippingNo,
			this.efDatefrom,
			this.efDateto,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Inventory Forwarder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[(ngModel)]='shippingNo' name='shippingNo'
									class='form-control' [placeholder]="l('Shipping No')"
									type='text' (keyup.enter)='searchDatas()'&gt;
								&lt;/div&gt;
								&lt;div class='input-search'&gt;
									&lt;input type='text' [placeholder]="l('Ef Datefrom')" [(ngModel)]='efDatefrom' 
									name='efDatefrom'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[placeholder]="l('Ef Dateto')" [(ngModel)]='efDateto' 
									name='efDateto'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(click)="createOrEditModalForwarder.show()"&gt;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(click)="createOrEditModalForwarder.show(selectedRow)"&gt;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&lt;create-or-edit-forwarder-modal
    #createOrEditModalForwarder
    (modalSave)="callBackDataGrid(dataParams)"
    (modalClose)="onChangeRowSelection(dataParams)"
&gt;
&lt;/create-or-edit-forwarder-modal&gt;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#createOrEditModalForwarder="bs-modal"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Forwarder')}}&lt;/h3&gt;
                    &lt;h3 *ngIf="!rowdata.id"&gt;{{('Create New Forwarder')}}&lt;/h3&gt;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title'&gt;Shipping No&lt;/label&gt;
						&lt;input type='text' class='col-md-10 form-control input-text' name='ShippingNo' [(ngModel)]='rowdata.shippingNo'&gt;
					&lt;/div&gt;
					&lt;div class='col-md-12 form-group row'&gt;
						&lt;label class='col-md-2 form-control title'&gt;Ef Datefrom&lt;/label&gt;
						&lt;input type='text' class='col-md-10 form-control input-text' name='efDatefrom' 
						#datepicker='bsDatepicker' [(ngModel)]='rowdata.efDatefrom'  bsDatepicker &gt;
					&lt;/div&gt;
					&lt;div class='col-md-12 form-group row'&gt;
						&lt;label class='col-md-2 form-control title'&gt;Ef Dateto&lt;/label&gt;
						&lt;input type='text' class='col-md-10 form-control input-text' name='efDateto' 
						#datepicker='bsDatepicker' [(ngModel)]='rowdata.efDateto'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CreateOrEditMstInvForwarderDto, MstInvForwarderServiceProxy } from '@shared/service-proxies/service-proxies';
import { BsDatepickerDirective } from 'ngx-bootstrap/datepicker';
@Component({
    selector: 'create-or-edit-forwarder-modal',
    templateUrl: './create-or-edit-forwarder-modal.component.html',
    styleUrls: ['./create-or-edit-forwarder-modal.component.less']
    })
export class CreateOrEditForwarderModalComponent extends AppComponentBase {
    @ViewChild('createOrEditModalForwarder',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CreateOrEditMstInvForwarderDto = new CreateOrEditMstInvForwarderDto();
    active: boolean = false;
    saving: boolean = false;
    _isActive: boolean;
    constructor(
        injector: Injector,
        private _mstwptForwarderService: MstInvForwarderServiceProxy,
    ) 
    {
        super(injector);
    }
    show(rowdata?: CreateOrEditMstInvForwarderDto): void {
        if (!rowdata) this.rowdata = new CreateOrEditMstInvForwarderDto();
        else this.rowdata = rowdata;
		const dateValue =  this.rowdata.efDatefrom ? new Date(this.rowdata.efDatefrom?.toString()) : new Date();
		this.datepicker?.bsValueChange.emit(dateValue);
		const dateValue =  this.rowdata.efDateto ? new Date(this.rowdata.efDateto?.toString())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this._mstwptForwarderService.createOrEdit(this.rowdata)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ForwarderRoutingModule } from './forwarder-routing.module';
import { ForwarderComponent } from './forwarder.component';
import { CreateOrEditForwarderModalComponent } from './create-or-edit-forwarder-modal.component';
@NgModule({
    declarations: [
       ForwarderComponent, 
        CreateOrEditForwarderModalComponent
    ],
    imports: [
        AppSharedModule, ForwarderRoutingModule]
})
export class ForwarderModule {}</v>
      </c>
      <c r="J75" s="49" t="str">
        <f>B.Frontend!O10</f>
        <v>import {NgModule} from '@angular/core';
import {RouterModule, Routes} from '@angular/router';
import { ForwarderComponent } from './forwarder.component';
const routes: Routes = [{
    path: '',
    component: ForwarderComponent,
    pathMatch: 'full'
}];
@NgModule({
    imports: [RouterModule.forChild(routes)],
    exports: [RouterModule],
})
export class ForwarderRoutingModule {}</v>
      </c>
      <c r="K75" s="49" t="str">
        <f>B.Frontend!P10</f>
        <v xml:space="preserve"> new AppMenuItem("Forwarder", "Pages.Master.Inventory.Forwarder", "flaticon-book",   "/app/main/master/inventory/forwarder"),</v>
      </c>
      <c r="L75" s="50" t="str">
        <f>B.Frontend!Q10</f>
        <v>{
    path: 'master/inventory/forwarder',
    loadChildren: () =&gt; import('./master/inventory/forwarder/forwarder.module').then(m =&gt; m.ForwarderModule),
    data: { permission: 'Pages.Master.Inventory.Forwarder' }
},</v>
      </c>
      <c r="M75" s="48" t="str">
        <f>B.Frontend!R10</f>
        <v>ApiServiceProxies.MstInvForwarderServiceProxy,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360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MstInvForwarderExportInput{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T15</v>
      </c>
      <c r="V3" s="11" t="str">
        <f>"V"&amp;COUNTA($A:$A)</f>
        <v>V15</v>
      </c>
      <c r="W3" s="10" t="str">
        <f>"W"&amp;COUNTA($A:$A)</f>
        <v>W15</v>
      </c>
    </row>
    <row r="4" spans="1:23" s="11" customFormat="1" ht="33" customHeight="1" x14ac:dyDescent="0.3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361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MstInvForwarder: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MstInvForwarderConsts	
	{
</v>
      </c>
      <c r="F6" s="11" t="str">
        <f>REPT(CHAR(9),1)&amp;"public class "&amp;B3&amp;"Dto"&amp;K3&amp;REPT(CHAR(9),1)&amp;"
"&amp;REPT(CHAR(9),1)&amp;C3</f>
        <v xml:space="preserve">	public class MstInvForwarderDto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CreateOrEditMstInvForwarderDto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GetMstInvForwarderInput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MstInvForwarder</v>
      </c>
      <c r="C7" s="11" t="str">
        <f>REPT(CHAR(9),1)&amp;"[Table("""&amp;B7&amp;""")]"&amp;"
"</f>
        <v xml:space="preserve">	[Table("MstInvForwarder")]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[Table("MstInvForwarder")]
	[Index(nameof(Code), Name="IX_MstInvForwarder_Code")]
	[Index(nameof(IsActive), Name="IX_MstInvForwarder_IsActive")]	public class MstInvForwarder: FullAuditedEntity&lt;long&gt;, IEntity&lt;long&gt;	
	{
		public const int MaxCodeLength = 10;
		public const int MaxNameLength = 100;
		public const int MaxSupplierNoLength = 10;
		public const int MaxShippingNoLength = 10;
		public const int MaxIsActiveLength = 1;
		[StringLength(MaxCodeLength)]
		public virtual string Code { get; set; }
		[StringLength(MaxNameLength)]
		public virtual string Name { get; set; }
		[StringLength(MaxSupplierNoLength)]
		public virtual string SupplierNo { get; set; }
		[StringLength(MaxShippingNoLength)]
		public virtual string ShippingNo { get; set; }
		public virtual DateTime EfDatefrom { get; set; }
		public virtual DateTime EfDateto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DbSet&lt;MstInvForwarder&gt; MstInvForwarders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MstInvForwarderConsts	
	{
		public const int MaxCodeLength = 10;
		public const int MaxNameLength = 100;
		public const int MaxSupplierNoLength = 10;
		public const int MaxShippingNoLength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prod.Master.Inventory.Dto
{
	public class MstInvForwarderDto : EntityDto&lt;long?&gt;	
	{
		public virtual string Code { get; set; }
		public virtual string Name { get; set; }
		public virtual string SupplierNo { get; set; }
		public virtual string ShippingNo { get; set; }
		public virtual DateTime? EfDatefrom { get; set; }
		public virtual DateTime? EfDateto { get; set; }
		public virtual string IsActive { get; set; }
	}
	public class CreateOrEditMstInvForwarderDto : EntityDto&lt;long?&gt;	
	{
		[StringLength(MstInvForwarderConsts.MaxCodeLength)]
		public virtual string Code { get; set; }
		[StringLength(MstInvForwarderConsts.MaxNameLength)]
		public virtual string Name { get; set; }
		[StringLength(MstInvForwarderConsts.MaxSupplierNoLength)]
		public virtual string SupplierNo { get; set; }
		[StringLength(MstInvForwarderConsts.MaxShippingNoLength)]
		public virtual string ShippingNo { get; set; }
		public virtual DateTime? EfDatefrom { get; set; }
		public virtual DateTime? EfDateto { get; set; }
		[StringLength(MstInvForwarderConsts.MaxIsActiveLength)]
		public virtual string IsActive { get; set; }
	}
	public class GetMstInvForwarderInput : PagedAndSortedResultRequestDto	
	{
		public virtual string Code { get; set; }
		public virtual string Name { get; set; }
		public virtual string SupplierNo { get; set; }
		public virtual string ShippingNo { get; set; }
		public virtual DateTime? EfDatefrom { get; set; }
		public virtual DateTime? EfDateto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perMstInvForwarder = PARENTS.CreateChildPermission(AppPermissions.Pages_Master_Inventory_Forwarder, L( "MasterInventoryForwarder"), multiTenancySides: MultiTenancySides.Tenant);
		perMstInvForwarder.CreateChildPermission(AppPermissions.Pages_Master_Inventory_Forwarder_CreateEdit, L( "MasterInventoryForwarderCreateEdit"), multiTenancySides: MultiTenancySides.Tenant);
		perMstInvForwarder.CreateChildPermission(AppPermissions.Pages_Master_Inventory_Forwarder_Delete, L( "MasterInventoryForwarderDelete"),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Pages_Master_Inventory_Forwarder = "Pages.Master.Inventory.Forwarder";
		public const string Pages_Master_Inventory_Forwarder_CreateEdit = "Pages.Master.Inventory.Forwarder.CreateEdit";
		public const string Pages_Master_Inventory_Forwarder_Delete = "Pages.Master.Inventory.Forwarder.Delete";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IMstInvForwarderAppService : IApplicationService
	{
		Task&lt;PagedResultDto&lt;MstInvForwarderDto&gt;&gt; GetAll(GetMstInvForwarderInput input);
		Task CreateOrEdit(CreateOrEditMstInvForwarderDto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[AbpAuthorize(AppPermissions.Pages_Master_Inventory_Forwarder)]
    public class MstInvForwarderAppService : vovinaAppServiceBase, IMstInvForwarderAppService
    {
        private readonly IDapperRepository&lt;MstInvForwarder, long&gt; _dapperRepo;
        private readonly IRepository&lt;MstInvForwarder, long&gt; _repo;
        private readonly IMstInvForwarderExcelExporter _calendarListExcelExporter;
        public MstInvForwarderAppService(IRepository&lt;MstInvForwarder,long&gt; repo, 
                                         IDapperRepository&lt;MstInvForwarder,long&gt; dapperRepo,
                                        IMstInvForwarderExcelExporter calendarListExcelExporter
            )
        {
            _repo = repo;
            _dapperRepo = dapperRepo;
            _calendarListExcelExporter = calendarListExcelExporter;
        }
        [AbpAuthorize(AppPermissions.Pages_Master_Inventory_Forwarder_CreateEdit)]
        public async Task CreateOrEdit(CreateOrEditMstInvForwarderDto input)
        {
            if (input.Id == null) await Create(input);
            else await Update(input);
        }
        //CREATE
        private async Task Create(CreateOrEditMstInvForwarderDto input)
        {          
            var mainObj = ObjectMapper.Map&lt;MstInvForwarder&gt;(input);
            await CurrentUnitOfWork.GetDbContext&lt;vovinaDbContext&gt;().AddAsync(mainObj);
        }
        // EDIT
        private async Task Update(CreateOrEditMstInvForwarderDto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[AbpAuthorize(AppPermissions.Pages_Master_Inventory_Forwarder_Delete)]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Task&lt;PagedResultDto&lt;MstInvForwarderDto&gt;&gt; GetAll(GetMstInvForwarderInput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.WhereIf(!string.IsNullOrWhiteSpace(input.SupplierNo), e =&gt; e.SupplierNo.Contains(input.SupplierNo))
				.WhereIf(!string.IsNullOrWhiteSpace(input.ShippingNo), e =&gt; e.ShippingNo.Contains(input.ShippingNo))
				.WhereIf(input.EfDatefrom.HasValue, t =&gt; t.EfDatefrom == input.EfDatefrom.Value)
				.WhereIf(input.EfDateto.HasValue, t =&gt; t.EfDateto == input.EfDateto.Value)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MstInvForwarderDto
                        {
							Id = o.Id,
							Code = o.Code,
							Name = o.Name,
							SupplierNo = o.SupplierNo,
							ShippingNo = o.ShippingNo,
							EfDatefrom = o.EfDatefrom,
							EfDateto = o.EfDateto,
							IsActive = o.IsActive,
                        };
            var totalCount = await filtered.CountAsync();
			var paged = system.PageBy(input);
            return new PagedResultDto&lt;MstInvForwarderDto&gt;(
                totalCount,
                 await paged.ToListAsync()
            );
        }
        public async Task&lt;FileDto&gt; GetForwarderToExcel(MstInvForwarderExportInput input)
        {
            var query = from o in _repo.GetAll()
                        select new MstInvForwarderDto
                        {
							Id = o.Id,
							Code = o.Code,
							Name = o.Name,
							SupplierNo = o.SupplierNo,
							ShippingNo = o.ShippingNo,
							EfDatefrom = o.EfDatefrom,
							EfDateto = o.EfDateto,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_dapperRepo.ExecuteAsync(MstInvForwarderConsts.SP_MST_WPT_CALENDAR_GENERATE);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prod.Master.Inventory.Dto
{
	public class MstInvForwarderExportInput{
		public virtual string Code { get; set; }
		public virtual string Name { get; set; }
		public virtual string SupplierNo { get; set; }
		public virtual string ShippingNo { get; set; }
		public virtual DateTime? EfDatefrom { get; set; }
		public virtual DateTime? EfDateto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IMstInvForwarderExcelExporter : IApplicationService
	{
		FileDto ExportToFile(List&lt;MstInvForwarderDto&gt; mstinvforwarder);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MstInvForwarderExcelExporter : NpoiExcelExporterBase, IMstInvForwarderExcelExporter
    {
        public MstInvForwarderExcelExporter(ITempFileCacheManager tempFileCacheManager) : base(tempFileCacheManager) { }
        public FileDto ExportToFile(List&lt;MstInvForwarderDto&gt; forwarder)
        {
            return CreateExcelPackage(
				"MasterInventoryForwarder.xlsx",
				excelPackage =&gt;
				 {
					var sheet = excelPackage.CreateSheet("Forwarder");
					AddHeader(
								sheet,
								("Code"),
								("Name"),
								("SupplierNo"),
								("ShippingNo"),
								("EfDatefrom"),
								("EfDateto"),
								("IsActive"),
							   );
					AddObjects(
						 sheet, 1, forwarder,                                       
								_ =&gt; _.Code,
								_ =&gt; _.Name,
								_ =&gt; _.SupplierNo,
								_ =&gt; _.ShippingNo,
								_ =&gt; _.EfDatefrom,
								_ =&gt; _.EfDateto,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configuration.CreateMap&lt;MstInvForwarderDto, MstInvForwarder&gt;();
  configuration.CreateMap&lt;MstInvForwarder, MstInvForwarderDto&gt;();
  configuration.CreateMap&lt;CreateOrEditMstInvForwarderDto, MstInvForwarder&gt;();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s="72" t="s">
        <v>353</v>
      </c>
      <c r="B9" t="s">
        <v>362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Name="IX_MstInvForwarder_Code")]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[StringLength(MstInvForwarderConsts.MaxCodeLength)]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5">
      <c r="A10" s="72" t="s">
        <v>354</v>
      </c>
      <c r="B10" s="72" t="s">
        <v>363</v>
      </c>
      <c r="C10" t="s">
        <v>1</v>
      </c>
      <c r="D10" t="str">
        <f t="shared" ref="D10:D11" si="13">SUBSTITUTE(PROPER(A10),"_","")</f>
        <v>Name</v>
      </c>
      <c r="E10" t="str">
        <f t="shared" ref="E10:E11" si="14">IFERROR(LEFT(B10, FIND("(",B10)-1),B10)</f>
        <v>varchar</v>
      </c>
      <c r="F10" s="7"/>
      <c r="G10" t="str">
        <f t="shared" ref="G10:G11" si="15">IFERROR(MID(B10,FIND("(",B10) +1, FIND(")",B10) - FIND("(",B10) - 1),"")</f>
        <v>100</v>
      </c>
      <c r="H10" s="72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MaxNameLength = 100;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7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[StringLength(MstInvForwarderConsts.MaxNameLength)]
		public virtual string 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:P11" si="22">REPT(CHAR(9),7)&amp;D10&amp;" = o." &amp;D10 &amp;","</f>
        <v xml:space="preserve">							Name = o.Name,</v>
      </c>
      <c r="T10" s="69" t="str">
        <f t="shared" ref="T10:T11" si="23">REPT(CHAR(9),8)&amp;"("""&amp;D10&amp;"""),"</f>
        <v xml:space="preserve">								("Name"),</v>
      </c>
      <c r="V10" s="70" t="str">
        <f t="shared" ref="V10:V11" si="24">REPT(CHAR(9),8)&amp;"_ =&gt; _."&amp;D10&amp;","</f>
        <v xml:space="preserve">								_ =&gt; _.Name,</v>
      </c>
      <c r="W10" s="69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18.75" customHeight="1" x14ac:dyDescent="0.35">
      <c r="A11" s="72" t="s">
        <v>355</v>
      </c>
      <c r="B11" s="72" t="s">
        <v>362</v>
      </c>
      <c r="C11" t="s">
        <v>1</v>
      </c>
      <c r="D11" t="str">
        <f t="shared" si="13"/>
        <v>SupplierNo</v>
      </c>
      <c r="E11" t="str">
        <f t="shared" si="14"/>
        <v>varchar</v>
      </c>
      <c r="F11" s="7"/>
      <c r="G11" t="str">
        <f t="shared" si="15"/>
        <v>10</v>
      </c>
      <c r="H11" s="72" t="str">
        <f>+VLOOKUP(E11,'Data Type Mapping'!A:B,2,)</f>
        <v>string</v>
      </c>
      <c r="I11" t="str">
        <f t="shared" si="16"/>
        <v xml:space="preserve">		public const int MaxSupplierNoLength = 10;
</v>
      </c>
      <c r="J11" t="str">
        <f t="shared" si="17"/>
        <v xml:space="preserve">		[StringLength(MaxSupplierNoLength)]
		public virtual string SupplierNo { get; set; }
</v>
      </c>
      <c r="K11" s="7"/>
      <c r="L11" t="str">
        <f t="shared" si="18"/>
        <v/>
      </c>
      <c r="M11" t="str">
        <f t="shared" si="19"/>
        <v xml:space="preserve">		public virtual string SupplierNo { get; set; }
</v>
      </c>
      <c r="N11" t="str">
        <f t="shared" si="20"/>
        <v xml:space="preserve">		[StringLength(MstInvForwarderConsts.MaxSupplierNoLength)]
		public virtual string SupplierNo { get; set; }
</v>
      </c>
      <c r="O11" t="str">
        <f t="shared" si="21"/>
        <v xml:space="preserve">		public virtual string SupplierNo { get; set; }
</v>
      </c>
      <c r="P11" t="str">
        <f t="shared" si="22"/>
        <v xml:space="preserve">							SupplierNo = o.SupplierNo,</v>
      </c>
      <c r="T11" s="69" t="str">
        <f t="shared" si="23"/>
        <v xml:space="preserve">								("SupplierNo"),</v>
      </c>
      <c r="V11" s="70" t="str">
        <f t="shared" si="24"/>
        <v xml:space="preserve">								_ =&gt; _.SupplierNo,</v>
      </c>
      <c r="W11" s="69" t="str">
        <f t="shared" si="25"/>
        <v xml:space="preserve">				.WhereIf(!string.IsNullOrWhiteSpace(input.SupplierNo), e =&gt; e.SupplierNo.Contains(input.SupplierNo))</v>
      </c>
    </row>
    <row r="12" spans="1:23" customFormat="1" ht="18.75" customHeight="1" x14ac:dyDescent="0.35">
      <c r="A12" s="72" t="s">
        <v>356</v>
      </c>
      <c r="B12" s="72" t="s">
        <v>362</v>
      </c>
      <c r="C12" t="s">
        <v>1</v>
      </c>
      <c r="D12" t="str">
        <f t="shared" ref="D12:D13" si="26">SUBSTITUTE(PROPER(A12),"_","")</f>
        <v>ShippingNo</v>
      </c>
      <c r="E12" t="str">
        <f t="shared" ref="E12:E13" si="27">IFERROR(LEFT(B12, FIND("(",B12)-1),B12)</f>
        <v>varchar</v>
      </c>
      <c r="F12" s="7"/>
      <c r="G12" t="str">
        <f t="shared" ref="G12:G13" si="28">IFERROR(MID(B12,FIND("(",B12) +1, FIND(")",B12) - FIND("(",B12) - 1),"")</f>
        <v>10</v>
      </c>
      <c r="H12" s="7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MaxShippingNoLength = 10;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[StringLength(MaxShippingNoLength)]
		public virtual string ShippingNo { get; set; }
</v>
      </c>
      <c r="K12" s="7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ShippingNo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[StringLength(MstInvForwarderConsts.MaxShippingNoLength)]
		public virtual string ShippingNo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ShippingNo { get; set; }
</v>
      </c>
      <c r="P12" t="str">
        <f t="shared" ref="P12:P13" si="35">REPT(CHAR(9),7)&amp;D12&amp;" = o." &amp;D12 &amp;","</f>
        <v xml:space="preserve">							ShippingNo = o.ShippingNo,</v>
      </c>
      <c r="T12" s="69" t="str">
        <f t="shared" ref="T12:T13" si="36">REPT(CHAR(9),8)&amp;"("""&amp;D12&amp;"""),"</f>
        <v xml:space="preserve">								("ShippingNo"),</v>
      </c>
      <c r="V12" s="70" t="str">
        <f t="shared" ref="V12:V13" si="37">REPT(CHAR(9),8)&amp;"_ =&gt; _."&amp;D12&amp;","</f>
        <v xml:space="preserve">								_ =&gt; _.ShippingNo,</v>
      </c>
      <c r="W12" s="69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.WhereIf(!string.IsNullOrWhiteSpace(input.ShippingNo), e =&gt; e.ShippingNo.Contains(input.ShippingNo))</v>
      </c>
    </row>
    <row r="13" spans="1:23" customFormat="1" ht="18.75" customHeight="1" x14ac:dyDescent="0.35">
      <c r="A13" s="72" t="s">
        <v>357</v>
      </c>
      <c r="B13" t="s">
        <v>366</v>
      </c>
      <c r="C13" t="s">
        <v>1</v>
      </c>
      <c r="D13" t="str">
        <f t="shared" si="26"/>
        <v>EfDatefrom</v>
      </c>
      <c r="E13" t="str">
        <f t="shared" si="27"/>
        <v>DateTime2</v>
      </c>
      <c r="F13" s="7"/>
      <c r="G13" t="str">
        <f t="shared" si="28"/>
        <v/>
      </c>
      <c r="H13" s="72" t="str">
        <f>+VLOOKUP(E13,'Data Type Mapping'!A:B,2,)</f>
        <v>DateTime</v>
      </c>
      <c r="I13" t="str">
        <f t="shared" si="29"/>
        <v/>
      </c>
      <c r="J13" t="str">
        <f t="shared" si="30"/>
        <v xml:space="preserve">		public virtual DateTime EfDatefrom { get; set; }
</v>
      </c>
      <c r="K13" s="7"/>
      <c r="L13" t="str">
        <f t="shared" si="31"/>
        <v/>
      </c>
      <c r="M13" t="str">
        <f t="shared" si="32"/>
        <v xml:space="preserve">		public virtual DateTime? EfDatefrom { get; set; }
</v>
      </c>
      <c r="N13" t="str">
        <f t="shared" si="33"/>
        <v xml:space="preserve">		public virtual DateTime? EfDatefrom { get; set; }
</v>
      </c>
      <c r="O13" t="str">
        <f t="shared" si="34"/>
        <v xml:space="preserve">		public virtual DateTime? EfDatefrom { get; set; }
</v>
      </c>
      <c r="P13" t="str">
        <f t="shared" si="35"/>
        <v xml:space="preserve">							EfDatefrom = o.EfDatefrom,</v>
      </c>
      <c r="T13" s="69" t="str">
        <f t="shared" si="36"/>
        <v xml:space="preserve">								("EfDatefrom"),</v>
      </c>
      <c r="V13" s="70" t="str">
        <f t="shared" si="37"/>
        <v xml:space="preserve">								_ =&gt; _.EfDatefrom,</v>
      </c>
      <c r="W13" s="69" t="str">
        <f t="shared" si="38"/>
        <v xml:space="preserve">				.WhereIf(input.EfDatefrom.HasValue, t =&gt; t.EfDatefrom == input.EfDatefrom.Value)</v>
      </c>
    </row>
    <row r="14" spans="1:23" customFormat="1" ht="22.5" customHeight="1" x14ac:dyDescent="0.35">
      <c r="A14" s="72" t="s">
        <v>358</v>
      </c>
      <c r="B14" s="72" t="s">
        <v>366</v>
      </c>
      <c r="C14" t="s">
        <v>1</v>
      </c>
      <c r="D14" t="str">
        <f>SUBSTITUTE(PROPER(A14),"_","")</f>
        <v>EfDateto</v>
      </c>
      <c r="E14" t="str">
        <f t="shared" ref="E14" si="39">IFERROR(LEFT(B14, FIND("(",B14)-1),B14)</f>
        <v>DateTime2</v>
      </c>
      <c r="F14" s="7"/>
      <c r="G14" t="str">
        <f t="shared" ref="G14" si="40">IFERROR(MID(B14,FIND("(",B14) +1, FIND(")",B14) - FIND("(",B14) - 1),"")</f>
        <v/>
      </c>
      <c r="H14" s="72" t="str">
        <f>+VLOOKUP(E14,'Data Type Mapping'!A:B,2,)</f>
        <v>DateTime</v>
      </c>
      <c r="I14" t="str">
        <f t="shared" ref="I14" si="41">IF(H14="string",REPT(CHAR(9),2)&amp;"public const int Max"&amp;D14&amp;"Length = "&amp;G14&amp;";"&amp;$E$3,"" )</f>
        <v/>
      </c>
      <c r="J14" t="str">
        <f t="shared" ref="J14" si="42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DateTime EfDateto { get; set; }
</v>
      </c>
      <c r="K14" s="7"/>
      <c r="L14" t="str">
        <f>IF(K14="","",REPT(CHAR(9),1)&amp;"[Index(nameof("&amp;IF(D14="","",""&amp;D14)&amp;")"&amp;", Name="&amp;"""IX_"&amp;$B$7&amp;"_"&amp;D14&amp;""")]")</f>
        <v/>
      </c>
      <c r="M14" t="str">
        <f t="shared" ref="M14" si="43">REPT(CHAR(9),2)&amp;"public virtual "&amp;IF(OR(H14="DateTime",H14="TimeSpan"),H14&amp;"?",H14)&amp;IF(C14="?","? "," ")&amp;D14&amp;" { get; set; }" &amp; "
"</f>
        <v xml:space="preserve">		public virtual DateTime? EfDateto { get; set; }
</v>
      </c>
      <c r="N14" t="str">
        <f t="shared" ref="N14" si="44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DateTime? EfDateto { get; set; }
</v>
      </c>
      <c r="O14" t="str">
        <f t="shared" ref="O14" si="45">IF(OR(H14="string",H14="DateTime",H14="int"),REPT(CHAR(9),2)&amp;"public virtual "&amp;IF(OR(H14="DateTime",H14="TimeSpan"),H14&amp;"?",H14)&amp;IF(C14="?","? "," ")&amp;D14&amp;" { get; set; }"&amp;$E$3,"")</f>
        <v xml:space="preserve">		public virtual DateTime? EfDateto { get; set; }
</v>
      </c>
      <c r="P14" t="str">
        <f t="shared" ref="P14" si="46">REPT(CHAR(9),7)&amp;D14&amp;" = o." &amp;D14 &amp;","</f>
        <v xml:space="preserve">							EfDateto = o.EfDateto,</v>
      </c>
      <c r="T14" s="69" t="str">
        <f t="shared" ref="T14" si="47">REPT(CHAR(9),8)&amp;"("""&amp;D14&amp;"""),"</f>
        <v xml:space="preserve">								("EfDateto"),</v>
      </c>
      <c r="V14" s="70" t="str">
        <f t="shared" ref="V14" si="48">REPT(CHAR(9),8)&amp;"_ =&gt; _."&amp;D14&amp;","</f>
        <v xml:space="preserve">								_ =&gt; _.EfDateto,</v>
      </c>
      <c r="W14" s="69" t="str">
        <f t="shared" ref="W14" si="49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.WhereIf(input.EfDateto.HasValue, t =&gt; t.EfDateto == input.EfDateto.Value)</v>
      </c>
    </row>
    <row r="15" spans="1:23" s="72" customFormat="1" ht="22.5" customHeight="1" x14ac:dyDescent="0.35">
      <c r="A15" s="72" t="s">
        <v>364</v>
      </c>
      <c r="B15" s="72" t="s">
        <v>365</v>
      </c>
      <c r="C15" s="72" t="s">
        <v>1</v>
      </c>
      <c r="D15" s="72" t="str">
        <f>SUBSTITUTE(PROPER(A15),"_","")</f>
        <v>IsActive</v>
      </c>
      <c r="E15" s="72" t="str">
        <f t="shared" ref="E15" si="50">IFERROR(LEFT(B15, FIND("(",B15)-1),B15)</f>
        <v>varchar</v>
      </c>
      <c r="F15" s="7"/>
      <c r="G15" s="72" t="str">
        <f t="shared" ref="G15" si="51">IFERROR(MID(B15,FIND("(",B15) +1, FIND(")",B15) - FIND("(",B15) - 1),"")</f>
        <v>1</v>
      </c>
      <c r="H15" s="72" t="str">
        <f>+VLOOKUP(E15,'Data Type Mapping'!A:B,2,)</f>
        <v>string</v>
      </c>
      <c r="I15" s="72" t="str">
        <f t="shared" ref="I15" si="52">IF(H15="string",REPT(CHAR(9),2)&amp;"public const int Max"&amp;D15&amp;"Length = "&amp;G15&amp;";"&amp;$E$3,"" )</f>
        <v xml:space="preserve">		public const int MaxIsActiveLength = 1;
</v>
      </c>
      <c r="J15" s="72" t="str">
        <f t="shared" ref="J15" si="53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[StringLength(MaxIsActiveLength)]
		public virtual string IsActive { get; set; }
</v>
      </c>
      <c r="K15" s="7" t="s">
        <v>206</v>
      </c>
      <c r="L15" s="72" t="str">
        <f>IF(K15="","",REPT(CHAR(9),1)&amp;"[Index(nameof("&amp;IF(D15="","",""&amp;D15)&amp;")"&amp;", Name="&amp;"""IX_"&amp;$B$7&amp;"_"&amp;D15&amp;""")]")</f>
        <v xml:space="preserve">	[Index(nameof(IsActive), Name="IX_MstInvForwarder_IsActive")]</v>
      </c>
      <c r="M15" s="72" t="str">
        <f t="shared" ref="M15" si="54">REPT(CHAR(9),2)&amp;"public virtual "&amp;IF(OR(H15="DateTime",H15="TimeSpan"),H15&amp;"?",H15)&amp;IF(C15="?","? "," ")&amp;D15&amp;" { get; set; }" &amp; "
"</f>
        <v xml:space="preserve">		public virtual string IsActive { get; set; }
</v>
      </c>
      <c r="N15" s="72" t="str">
        <f t="shared" ref="N15" si="55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[StringLength(MstInvForwarderConsts.MaxIsActiveLength)]
		public virtual string IsActive { get; set; }
</v>
      </c>
      <c r="O15" s="72" t="str">
        <f t="shared" ref="O15" si="56">IF(OR(H15="string",H15="DateTime",H15="int"),REPT(CHAR(9),2)&amp;"public virtual "&amp;IF(OR(H15="DateTime",H15="TimeSpan"),H15&amp;"?",H15)&amp;IF(C15="?","? "," ")&amp;D15&amp;" { get; set; }"&amp;$E$3,"")</f>
        <v xml:space="preserve">		public virtual string IsActive { get; set; }
</v>
      </c>
      <c r="P15" s="72" t="str">
        <f t="shared" ref="P15" si="57">REPT(CHAR(9),7)&amp;D15&amp;" = o." &amp;D15 &amp;","</f>
        <v xml:space="preserve">							IsActive = o.IsActive,</v>
      </c>
      <c r="T15" s="69" t="str">
        <f t="shared" ref="T15" si="58">REPT(CHAR(9),8)&amp;"("""&amp;D15&amp;"""),"</f>
        <v xml:space="preserve">								("IsActive"),</v>
      </c>
      <c r="V15" s="70" t="str">
        <f t="shared" ref="V15" si="59">REPT(CHAR(9),8)&amp;"_ =&gt; _."&amp;D15&amp;","</f>
        <v xml:space="preserve">								_ =&gt; _.IsActive,</v>
      </c>
      <c r="W15" s="69" t="str">
        <f t="shared" ref="W15" si="60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.WhereIf(!string.IsNullOrWhiteSpace(input.IsActive), e =&gt; e.IsActive.Contains(input.IsActive))</v>
      </c>
    </row>
    <row r="16" spans="1:23" ht="45.75" customHeight="1" x14ac:dyDescent="0.35">
      <c r="H16" s="12"/>
      <c r="I16" s="34" t="str">
        <f ca="1">TEXTJOIN2("
", TRUE,INDIRECT( $H$1):INDIRECT( $H$3))</f>
        <v xml:space="preserve">		public const int MaxCodeLength = 10;
		public const int MaxNameLength = 100;
		public const int MaxSupplierNoLength = 10;
		public const int MaxShippingNoLength = 10;
		public const int MaxIsActiveLength = 1;
</v>
      </c>
      <c r="J16" s="33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[StringLength(MaxSupplierNoLength)]
		public virtual string SupplierNo { get; set; }
		[StringLength(MaxShippingNoLength)]
		public virtual string ShippingNo { get; set; }
		public virtual DateTime EfDatefrom { get; set; }
		public virtual DateTime EfDateto { get; set; }
		[StringLength(MaxIsActiveLength)]
		public virtual string IsActive { get; set; }
</v>
      </c>
      <c r="K16" s="35" t="str">
        <f ca="1">TEXTJOIN2("
", TRUE,INDIRECT( $J$1):INDIRECT( $J$3))</f>
        <v xml:space="preserve">	[Index(nameof(Code), Name="IX_MstInvForwarder_Code")]
	[Index(nameof(IsActive), Name="IX_MstInvForwarder_IsActive")]</v>
      </c>
      <c r="L16" s="13" t="s">
        <v>60</v>
      </c>
      <c r="M16" s="36" t="str">
        <f ca="1">TEXTJOIN2("
",TRUE,INDIRECT( $L$1):INDIRECT($L$3))</f>
        <v xml:space="preserve">		public virtual string Code { get; set; }
		public virtual string Name { get; set; }
		public virtual string SupplierNo { get; set; }
		public virtual string ShippingNo { get; set; }
		public virtual DateTime? EfDatefrom { get; set; }
		public virtual DateTime? EfDateto { get; set; }
		public virtual string IsActive { get; set; }
</v>
      </c>
      <c r="N16" s="33" t="str">
        <f ca="1">TEXTJOIN2("
",TRUE,INDIRECT( $M$1):INDIRECT($M$3))</f>
        <v xml:space="preserve">		[StringLength(MstInvForwarderConsts.MaxCodeLength)]
		public virtual string Code { get; set; }
		[StringLength(MstInvForwarderConsts.MaxNameLength)]
		public virtual string Name { get; set; }
		[StringLength(MstInvForwarderConsts.MaxSupplierNoLength)]
		public virtual string SupplierNo { get; set; }
		[StringLength(MstInvForwarderConsts.MaxShippingNoLength)]
		public virtual string ShippingNo { get; set; }
		public virtual DateTime? EfDatefrom { get; set; }
		public virtual DateTime? EfDateto { get; set; }
		[StringLength(MstInvForwarderConsts.MaxIsActiveLength)]
		public virtual string IsActive { get; set; }
</v>
      </c>
      <c r="O16" s="33" t="str">
        <f ca="1">TEXTJOIN2("
",TRUE,INDIRECT( $N$1):INDIRECT($N$3))</f>
        <v xml:space="preserve">		public virtual string Code { get; set; }
		public virtual string Name { get; set; }
		public virtual string SupplierNo { get; set; }
		public virtual string ShippingNo { get; set; }
		public virtual DateTime? EfDatefrom { get; set; }
		public virtual DateTime? EfDateto { get; set; }
		public virtual string IsActive { get; set; }
</v>
      </c>
      <c r="P16" s="9" t="str">
        <f ca="1">TEXTJOIN2("
",TRUE,INDIRECT( $O$1):INDIRECT($O$3))</f>
        <v xml:space="preserve">							Code = o.Code,
							Name = o.Name,
							SupplierNo = o.SupplierNo,
							ShippingNo = o.ShippingNo,
							EfDatefrom = o.EfDatefrom,
							EfDateto = o.EfDateto,
							IsActive = o.IsActive,</v>
      </c>
      <c r="T16" s="9" t="str">
        <f ca="1">TEXTJOIN2("
",TRUE,INDIRECT( $T$2):INDIRECT($T$3))</f>
        <v xml:space="preserve">								("Code"),
								("Name"),
								("SupplierNo"),
								("ShippingNo"),
								("EfDatefrom"),
								("EfDateto"),
								("IsActive"),</v>
      </c>
      <c r="V16" s="9" t="str">
        <f ca="1">TEXTJOIN2("
",TRUE,INDIRECT( $V$2):INDIRECT($V$3))</f>
        <v xml:space="preserve">								_ =&gt; _.Code,
								_ =&gt; _.Name,
								_ =&gt; _.SupplierNo,
								_ =&gt; _.ShippingNo,
								_ =&gt; _.EfDatefrom,
								_ =&gt; _.EfDateto,
								_ =&gt; _.IsActive,</v>
      </c>
      <c r="W16" s="9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.WhereIf(!string.IsNullOrWhiteSpace(input.SupplierNo), e =&gt; e.SupplierNo.Contains(input.SupplierNo))
				.WhereIf(!string.IsNullOrWhiteSpace(input.ShippingNo), e =&gt; e.ShippingNo.Contains(input.ShippingNo))
				.WhereIf(input.EfDatefrom.HasValue, t =&gt; t.EfDatefrom == input.EfDatefrom.Value)
				.WhereIf(input.EfDateto.HasValue, t =&gt; t.EfDateto == input.EfDateto.Value)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workbookViewId="0">
      <selection activeCell="B2" sqref="B2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ht="29" x14ac:dyDescent="0.35">
      <c r="A1" s="41" t="s">
        <v>212</v>
      </c>
      <c r="B1" s="42" t="s">
        <v>367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MstInvForwarder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Forwarder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forwarder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MstInvForwarderDto, MstInvForwarderServiceProxy } from '@shared/service-proxies/service-proxies';
import { finalize } from 'rxjs/internal/operators/finalize';
import { CreateOrEditForwarderModalComponent } from './create-or-edit-forwarder-modal.component';
import { DatePipe } from '@angular/common';
import { FileDownloadService } from '@shared/utils/file-download.service';
import ceil from 'lodash-es/ceil';
import { Paginator } from 'primeng/paginator';
@Component({
    templateUrl: './forwarder.component.html',
    styleUrls: ['./forwarder.component.less'],
})
export class ForwarderComponent extends AppComponentBase implements OnInit {
    @ViewChild('createOrEditModalForwarder', { static: true }) createOrEditModalForwarder:| CreateOrEditForwarderModalComponent|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MstInvForwarderDto = new MstInvForwarderDto();
    saveSelectedRow: MstInvForwarderDto = new MstInvForwarderDto();
    datas: MstInvForwarderDto = new MstInvForwarderDto();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supplierNo : string = '' ; 
	shippingNo : string = '' ; 
	efDatefrom : any ;
	efDateto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MstInvForwarderServiceProxy,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this.l('Supplier No'),headerTooltip: this.l('Supplier No'),field: 'supplierNo',flex: 1},
			{headerName: this.l('Shipping No'),headerTooltip: this.l('Shipping No'),field: 'shippingNo',flex: 1},
			{headerName: this.l('Ef Datefrom'),headerTooltip: this.l('Ef Datefrom'),field: 'efDatefrom',valueGetter: (params) =&gt; this.pipe.transform(params.data?.efDatefrom, 'dd/MM/yyyy'),flex: 1},
			{headerName: this.l('Ef Dateto'),headerTooltip: this.l('Ef Dateto'),field: 'efDateto',valueGetter: (params) =&gt; this.pipe.transform(params.data?.efDateto,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this.supplierNo,
			this.shippingNo,
			this.efDatefrom,
			this.efDateto,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this.supplierNo = '',
		this.shippingNo = '',
		this.efDatefrom = '',
		this.efDateto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this.supplierNo,
			this.shippingNo,
			this.efDatefrom,
			this.efDateto,
			this.isActive,
			'',
            this.paginationParams.skipCount,
            this.paginationParams.pageSize
        );
    }
    onChangeRowSelection(params: { api: { getSelectedRows: () =&gt; MstInvForwarderDto[] } }) {
        this.saveSelectedRow = params.api.getSelectedRows()[0] ?? new MstInvForwarderDto();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MstInvForwarderDto):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this._service.getForwarderToExcel(
			this.code,
			this.name,
			this.supplierNo,
			this.shippingNo,
			this.efDatefrom,
			this.efDateto,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Inventory Forwarder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[(ngModel)]='shippingNo' name='shippingNo'
									class='form-control' [placeholder]="l('Shipping No')"
									type='text' (keyup.enter)='searchDatas()'&gt;
								&lt;/div&gt;
								&lt;div class='input-search'&gt;
									&lt;input type='text' [placeholder]="l('Ef Datefrom')" [(ngModel)]='efDatefrom' 
									name='efDatefrom'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[placeholder]="l('Ef Dateto')" [(ngModel)]='efDateto' 
									name='efDateto'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(click)="createOrEditModalForwarder.show()"&gt;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(click)="createOrEditModalForwarder.show(selectedRow)"&gt;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&lt;create-or-edit-forwarder-modal
    #createOrEditModalForwarder
    (modalSave)="callBackDataGrid(dataParams)"
    (modalClose)="onChangeRowSelection(dataParams)"
&gt;
&lt;/create-or-edit-forwarder-modal&gt;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#createOrEditModalForwarder="bs-modal"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Forwarder')}}&lt;/h3&gt;
                    &lt;h3 *ngIf="!rowdata.id"&gt;{{('Create New Forwarder')}}&lt;/h3&gt;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title'&gt;Shipping No&lt;/label&gt;
						&lt;input type='text' class='col-md-10 form-control input-text' name='ShippingNo' [(ngModel)]='rowdata.shippingNo'&gt;
					&lt;/div&gt;
					&lt;div class='col-md-12 form-group row'&gt;
						&lt;label class='col-md-2 form-control title'&gt;Ef Datefrom&lt;/label&gt;
						&lt;input type='text' class='col-md-10 form-control input-text' name='efDatefrom' 
						#datepicker='bsDatepicker' [(ngModel)]='rowdata.efDatefrom'  bsDatepicker &gt;
					&lt;/div&gt;
					&lt;div class='col-md-12 form-group row'&gt;
						&lt;label class='col-md-2 form-control title'&gt;Ef Dateto&lt;/label&gt;
						&lt;input type='text' class='col-md-10 form-control input-text' name='efDateto' 
						#datepicker='bsDatepicker' [(ngModel)]='rowdata.efDateto'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CreateOrEditMstInvForwarderDto, MstInvForwarderServiceProxy } from '@shared/service-proxies/service-proxies';
import { BsDatepickerDirective } from 'ngx-bootstrap/datepicker';
@Component({
    selector: 'create-or-edit-forwarder-modal',
    templateUrl: './create-or-edit-forwarder-modal.component.html',
    styleUrls: ['./create-or-edit-forwarder-modal.component.less']
    })
export class CreateOrEditForwarderModalComponent extends AppComponentBase {
    @ViewChild('createOrEditModalForwarder',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CreateOrEditMstInvForwarderDto = new CreateOrEditMstInvForwarderDto();
    active: boolean = false;
    saving: boolean = false;
    _isActive: boolean;
    constructor(
        injector: Injector,
        private _mstwptForwarderService: MstInvForwarderServiceProxy,
    ) 
    {
        super(injector);
    }
    show(rowdata?: CreateOrEditMstInvForwarderDto): void {
        if (!rowdata) this.rowdata = new CreateOrEditMstInvForwarderDto();
        else this.rowdata = rowdata;
		const dateValue =  this.rowdata.efDatefrom ? new Date(this.rowdata.efDatefrom?.toString()) : new Date();
		this.datepicker?.bsValueChange.emit(dateValue);
		const dateValue =  this.rowdata.efDateto ? new Date(this.rowdata.efDateto?.toString())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this._mstwptForwarderService.createOrEdit(this.rowdata)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ForwarderRoutingModule } from './forwarder-routing.module';
import { ForwarderComponent } from './forwarder.component';
import { CreateOrEditForwarderModalComponent } from './create-or-edit-forwarder-modal.component';
@NgModule({
    declarations: [
       ForwarderComponent, 
        CreateOrEditForwarderModalComponent
    ],
    imports: [
        AppSharedModule, ForwarderRoutingModule]
})
export class ForwarderModule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ForwarderComponent } from './forwarder.component';
const routes: Routes = [{
    path: '',
    component: ForwarderComponent,
    pathMatch: 'full'
}];
@NgModule({
    imports: [RouterModule.forChild(routes)],
    exports: [RouterModule],
})
export class ForwarderRoutingModule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AppMenuItem("Forwarder", "Pages.Master.Inventory.Forwarder", "flaticon-book",   "/app/main/master/inventory/forwarder"),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'master/inventory/forwarder',
    loadChildren: () =&gt; import('./master/inventory/forwarder/forwarder.module').then(m =&gt; m.ForwarderModule),
    data: { permission: 'Pages.Master.Inventory.Forwarder' }
},</v>
      </c>
      <c r="R10" s="50" t="str">
        <f>SUBSTITUTE(R9,"MstWptCalendar",$B$6)</f>
        <v>ApiServiceProxies.MstInvForwarderServiceProxy,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H21</v>
      </c>
      <c r="I12" s="31" t="str">
        <f>"I"&amp;COUNTA($A:$A)</f>
        <v>I21</v>
      </c>
      <c r="J12" s="31"/>
      <c r="K12" s="31" t="str">
        <f>"K"&amp;COUNTA($A:$A)</f>
        <v>K21</v>
      </c>
      <c r="L12" s="31" t="str">
        <f>"L"&amp;COUNTA($A:$A)</f>
        <v>L21</v>
      </c>
      <c r="M12" s="31"/>
      <c r="N12" s="31"/>
      <c r="O12" s="31"/>
      <c r="P12" s="31"/>
      <c r="Q12" s="31"/>
      <c r="R12" s="31"/>
      <c r="S12" s="31" t="str">
        <f>"S"&amp;COUNTA($A:$A)</f>
        <v>S21</v>
      </c>
      <c r="T12" s="31" t="str">
        <f>"T"&amp;COUNTA($A:$A)</f>
        <v>T21</v>
      </c>
      <c r="U12" s="31" t="str">
        <f>"U"&amp;COUNTA($A:$A)</f>
        <v>U21</v>
      </c>
      <c r="V12" s="31" t="str">
        <f>"V"&amp;COUNTA($A:$A)</f>
        <v>V21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this.l('Supplier No'),headerTooltip: this.l('Supplier No'),field: 'supplierNo',flex: 1},
			{headerName: this.l('Shipping No'),headerTooltip: this.l('Shipping No'),field: 'shippingNo',flex: 1},
			{headerName: this.l('Ef Datefrom'),headerTooltip: this.l('Ef Datefrom'),field: 'efDatefrom',valueGetter: (params) =&gt; this.pipe.transform(params.data?.efDatefrom, 'dd/MM/yyyy'),flex: 1},
			{headerName: this.l('Ef Dateto'),headerTooltip: this.l('Ef Dateto'),field: 'efDateto',valueGetter: (params) =&gt; this.pipe.transform(params.data?.efDateto,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[(ngModel)]='shippingNo' name='shippingNo'
									class='form-control' [placeholder]="l('Shipping No')"
									type='text' (keyup.enter)='searchDatas()'&gt;
								&lt;/div&gt;
								&lt;div class='input-search'&gt;
									&lt;input type='text' [placeholder]="l('Ef Datefrom')" [(ngModel)]='efDatefrom' 
									name='efDatefrom'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[placeholder]="l('Ef Dateto')" [(ngModel)]='efDateto' 
									name='efDateto'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title'&gt;Shipping No&lt;/label&gt;
						&lt;input type='text' class='col-md-10 form-control input-text' name='ShippingNo' [(ngModel)]='rowdata.shippingNo'&gt;
					&lt;/div&gt;
					&lt;div class='col-md-12 form-group row'&gt;
						&lt;label class='col-md-2 form-control title'&gt;Ef Datefrom&lt;/label&gt;
						&lt;input type='text' class='col-md-10 form-control input-text' name='efDatefrom' 
						#datepicker='bsDatepicker' [(ngModel)]='rowdata.efDatefrom'  bsDatepicker &gt;
					&lt;/div&gt;
					&lt;div class='col-md-12 form-group row'&gt;
						&lt;label class='col-md-2 form-control title'&gt;Ef Dateto&lt;/label&gt;
						&lt;input type='text' class='col-md-10 form-control input-text' name='efDateto' 
						#datepicker='bsDatepicker' [(ngModel)]='rowdata.efDateto'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this.rowdata.efDatefrom ? new Date(this.rowdata.efDatefrom?.toString()) : new Date();
		this.datepicker?.bsValueChange.emit(dateValue);
		const dateValue =  this.rowdata.efDateto ? new Date(this.rowdata.efDateto?.toString())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code : string = '' ; 
	name : string = '' ; 
supplierNo : string = '' ; 
	shippingNo : string = '' ; 
	efDatefrom : any ;
	efDateto : any ;
	isActive : string = '' ; </v>
      </c>
      <c r="T13" s="68" t="str">
        <f ca="1">TEXTJOIN2("
",TRUE,INDIRECT(T11):INDIRECT(T12))</f>
        <v xml:space="preserve">			this.code,
			this.name,
			this.supplierNo,
			this.shippingNo,
			this.efDatefrom,
			this.efDateto,
			this.isActive,</v>
      </c>
      <c r="U13" s="68" t="str">
        <f ca="1">TEXTJOIN2("
",TRUE,INDIRECT(U11):INDIRECT(U12))</f>
        <v xml:space="preserve">		this.code = '',
		this.name = '',
this.supplierNo = '',
		this.shippingNo = '',
		this.efDatefrom = '',
		this.efDateto = '',
		this.isActive = '',</v>
      </c>
      <c r="V13" s="31" t="str">
        <f ca="1">TEXTJOIN2("
",TRUE,INDIRECT(V11):INDIRECT(V12))</f>
        <v>isActive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forwarder.component.ts</v>
      </c>
      <c r="I14" s="40" t="str">
        <f>B8&amp;".component.html"</f>
        <v>forwarder.component.html</v>
      </c>
      <c r="J14" s="39" t="str">
        <f>B8&amp;".component.less"</f>
        <v>forwarder.component.less</v>
      </c>
      <c r="K14" s="40" t="str">
        <f>"create-or-edit-"&amp;B8&amp;"-modal.component.html"</f>
        <v>create-or-edit-forwarder-modal.component.html</v>
      </c>
      <c r="L14" s="40" t="str">
        <f>"create-or-edit-"&amp;B8&amp;"-modal.component.ts"</f>
        <v>create-or-edit-forwarder-modal.component.ts</v>
      </c>
      <c r="M14" s="40" t="str">
        <f>"create-or-edit-"&amp;B8&amp;"-modal.component.less"</f>
        <v>create-or-edit-forwarder-modal.component.less</v>
      </c>
      <c r="N14" s="40" t="str">
        <f>B8&amp;".module.ts"</f>
        <v>forwarder.module.ts</v>
      </c>
      <c r="O14" s="40" t="str">
        <f>B8&amp;"-routing.module.ts"</f>
        <v>forwarder-routing.module.ts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s="72" t="s">
        <v>353</v>
      </c>
      <c r="B15" s="31" t="str">
        <f t="shared" ref="B15:B19" si="0">SUBSTITUTE(PROPER(A15),"_","")</f>
        <v>Code</v>
      </c>
      <c r="C15" s="31" t="str">
        <f t="shared" ref="C15:C19" si="1">SUBSTITUTE(PROPER(A15),"_"," ")</f>
        <v>Code</v>
      </c>
      <c r="D15" s="31" t="str">
        <f t="shared" ref="D15:D19" si="2">LOWER(LEFT(B15,1))&amp;RIGHT(B15,LEN(B15) - 1)</f>
        <v>code</v>
      </c>
      <c r="E15" s="31" t="str">
        <f>A.Backend!H9</f>
        <v>string</v>
      </c>
      <c r="F15" s="31" t="str">
        <f>A.Backend!G9</f>
        <v>10</v>
      </c>
      <c r="G15" s="31" t="str">
        <f t="shared" ref="G15:G21" si="3">IF(E15="string"," : string = '' ; ",IF(OR(E15="DateTime",E15="TimeSpan")," : any ;",IF(E15="int"," : number = 0 ;","")))</f>
        <v xml:space="preserve"> : string = '' ; </v>
      </c>
      <c r="H15" s="38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:V19" si="8">IF(AND(E15="string",F15="1"),D15,"")</f>
        <v/>
      </c>
    </row>
    <row r="16" spans="1:22" ht="18" customHeight="1" x14ac:dyDescent="0.35">
      <c r="A16" s="72" t="s">
        <v>354</v>
      </c>
      <c r="B16" s="31" t="str">
        <f t="shared" ref="B16" si="9">SUBSTITUTE(PROPER(A16),"_","")</f>
        <v>Name</v>
      </c>
      <c r="C16" s="31" t="str">
        <f t="shared" ref="C16" si="10">SUBSTITUTE(PROPER(A16),"_"," ")</f>
        <v>Name</v>
      </c>
      <c r="D16" s="31" t="str">
        <f t="shared" ref="D16" si="11">LOWER(LEFT(B16,1))&amp;RIGHT(B16,LEN(B16) - 1)</f>
        <v>name</v>
      </c>
      <c r="E16" s="31" t="str">
        <f>A.Backend!H10</f>
        <v>string</v>
      </c>
      <c r="F16" s="31" t="str">
        <f>A.Backend!G10</f>
        <v>100</v>
      </c>
      <c r="G16" s="31" t="str">
        <f t="shared" si="3"/>
        <v xml:space="preserve"> : string = '' ; </v>
      </c>
      <c r="H16" s="38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8" t="str">
        <f t="shared" ref="I16" si="13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31"/>
      <c r="K16" s="38" t="str">
        <f t="shared" ref="K16" si="14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60" t="str">
        <f t="shared" ref="L16" si="15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6">REPT(CHAR(9),1)&amp;D16&amp;G16</f>
        <v xml:space="preserve">	name : string = '' ; </v>
      </c>
      <c r="T16" s="31" t="str">
        <f t="shared" ref="T16" si="17">REPT(CHAR(9),3)&amp;"this."&amp;D16&amp;","</f>
        <v xml:space="preserve">			this.name,</v>
      </c>
      <c r="U16" s="31" t="str">
        <f t="shared" ref="U16" si="18">IF(E16="int",REPT(CHAR(9),2)&amp;"this."&amp;D16&amp;" = 0,",REPT(CHAR(9),2)&amp;"this."&amp;D16&amp;" = '',")</f>
        <v xml:space="preserve">		this.name = '',</v>
      </c>
      <c r="V16" s="31" t="str">
        <f t="shared" ref="V16" si="19">IF(AND(E16="string",F16="1"),D16,"")</f>
        <v/>
      </c>
    </row>
    <row r="17" spans="1:22" ht="18" customHeight="1" x14ac:dyDescent="0.35">
      <c r="A17" s="72" t="s">
        <v>355</v>
      </c>
      <c r="B17" s="31" t="str">
        <f>SUBSTITUTE(PROPER(A17),"_","")</f>
        <v>SupplierNo</v>
      </c>
      <c r="C17" s="31" t="str">
        <f>SUBSTITUTE(PROPER(A17),"_"," ")</f>
        <v>Supplier No</v>
      </c>
      <c r="D17" s="31" t="str">
        <f>LOWER(LEFT(B17,1))&amp;RIGHT(B17,LEN(B17) - 1)</f>
        <v>supplierNo</v>
      </c>
      <c r="E17" s="31" t="str">
        <f>A.Backend!H11</f>
        <v>string</v>
      </c>
      <c r="F17" s="31" t="str">
        <f>A.Backend!G11</f>
        <v>10</v>
      </c>
      <c r="G17" s="31" t="str">
        <f t="shared" si="3"/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this.l('Supplier No'),headerTooltip: this.l('Supplier No'),field: 'supplierNo',flex: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 xml:space="preserve">supplierNo : string = '' ; </v>
      </c>
      <c r="T17" s="31" t="str">
        <f>REPT(CHAR(9),3)&amp;"this."&amp;D17&amp;","</f>
        <v xml:space="preserve">			this.supplierNo,</v>
      </c>
      <c r="U17" s="31" t="str">
        <f>IF(E17="int","this."&amp;D17&amp;" = 0,","this."&amp;D17&amp;" = '',")</f>
        <v>this.supplierNo = '',</v>
      </c>
      <c r="V17" s="31" t="str">
        <f>IF(AND(E17="string",F17="1"),D17,"")</f>
        <v/>
      </c>
    </row>
    <row r="18" spans="1:22" ht="15" customHeight="1" x14ac:dyDescent="0.35">
      <c r="A18" s="72" t="s">
        <v>356</v>
      </c>
      <c r="B18" s="31" t="str">
        <f t="shared" ref="B18" si="20">SUBSTITUTE(PROPER(A18),"_","")</f>
        <v>ShippingNo</v>
      </c>
      <c r="C18" s="31" t="str">
        <f t="shared" ref="C18" si="21">SUBSTITUTE(PROPER(A18),"_"," ")</f>
        <v>Shipping No</v>
      </c>
      <c r="D18" s="31" t="str">
        <f t="shared" ref="D18" si="22">LOWER(LEFT(B18,1))&amp;RIGHT(B18,LEN(B18) - 1)</f>
        <v>shippingNo</v>
      </c>
      <c r="E18" s="31" t="str">
        <f>A.Backend!H12</f>
        <v>string</v>
      </c>
      <c r="F18" s="31" t="str">
        <f>A.Backend!G12</f>
        <v>10</v>
      </c>
      <c r="G18" s="31" t="str">
        <f t="shared" si="3"/>
        <v xml:space="preserve"> : string = '' ; </v>
      </c>
      <c r="H18" s="38" t="str">
        <f t="shared" ref="H18" si="23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this.l('Shipping No'),headerTooltip: this.l('Shipping No'),field: 'shippingNo',flex: 1},</v>
      </c>
      <c r="I18" s="38" t="str">
        <f t="shared" ref="I18" si="24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[(ngModel)]='shippingNo' name='shippingNo'
									class='form-control' [placeholder]="l('Shipping No')"
									type='text' (keyup.enter)='searchDatas()'&gt;
								&lt;/div&gt;</v>
      </c>
      <c r="J18" s="31"/>
      <c r="K18" s="38" t="str">
        <f t="shared" ref="K18" si="25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title'&gt;Shipping No&lt;/label&gt;
						&lt;input type='text' class='col-md-10 form-control input-text' name='ShippingNo' [(ngModel)]='rowdata.shippingNo'&gt;
					&lt;/div&gt;</v>
      </c>
      <c r="L18" s="60" t="str">
        <f t="shared" ref="L18" si="2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REPT(CHAR(9),1)&amp;D18&amp;G18</f>
        <v xml:space="preserve">	shippingNo : string = '' ; </v>
      </c>
      <c r="T18" s="31" t="str">
        <f>REPT(CHAR(9),3)&amp;"this."&amp;D18&amp;","</f>
        <v xml:space="preserve">			this.shippingNo,</v>
      </c>
      <c r="U18" s="31" t="str">
        <f>IF(E18="int",REPT(CHAR(9),2)&amp;"this."&amp;D18&amp;" = 0,",REPT(CHAR(9),2)&amp;"this."&amp;D18&amp;" = '',")</f>
        <v xml:space="preserve">		this.shippingNo = '',</v>
      </c>
      <c r="V18" s="31" t="str">
        <f t="shared" ref="V18" si="27">IF(AND(E18="string",F18="1"),D18,"")</f>
        <v/>
      </c>
    </row>
    <row r="19" spans="1:22" ht="18" customHeight="1" x14ac:dyDescent="0.35">
      <c r="A19" s="72" t="s">
        <v>357</v>
      </c>
      <c r="B19" s="31" t="str">
        <f t="shared" si="0"/>
        <v>EfDatefrom</v>
      </c>
      <c r="C19" s="31" t="str">
        <f t="shared" si="1"/>
        <v>Ef Datefrom</v>
      </c>
      <c r="D19" s="31" t="str">
        <f t="shared" si="2"/>
        <v>efDatefrom</v>
      </c>
      <c r="E19" s="31" t="str">
        <f>A.Backend!H13</f>
        <v>DateTime</v>
      </c>
      <c r="F19" s="31" t="str">
        <f>A.Backend!G13</f>
        <v/>
      </c>
      <c r="G19" s="31" t="str">
        <f t="shared" si="3"/>
        <v xml:space="preserve"> : any ;</v>
      </c>
      <c r="H19" s="38" t="str">
        <f t="shared" si="4"/>
        <v xml:space="preserve">			{headerName: this.l('Ef Datefrom'),headerTooltip: this.l('Ef Datefrom'),field: 'efDatefrom',valueGetter: (params) =&gt; this.pipe.transform(params.data?.efDatefrom, 'dd/MM/yyyy'),flex: 1},</v>
      </c>
      <c r="I19" s="38" t="str">
        <f t="shared" si="5"/>
        <v xml:space="preserve">								&lt;div class='input-search'&gt;
									&lt;input type='text' [placeholder]="l('Ef Datefrom')" [(ngModel)]='efDatefrom' 
									name='efDatefrom'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si="6"/>
        <v xml:space="preserve">					&lt;div class='col-md-12 form-group row'&gt;
						&lt;label class='col-md-2 form-control title'&gt;Ef Datefrom&lt;/label&gt;
						&lt;input type='text' class='col-md-10 form-control input-text' name='efDatefrom' 
						#datepicker='bsDatepicker' [(ngModel)]='rowdata.efDatefrom'  bsDatepicker &gt;
					&lt;/div&gt;</v>
      </c>
      <c r="L19" s="60" t="str">
        <f t="shared" si="7"/>
        <v xml:space="preserve">		const dateValue =  this.rowdata.efDatefrom ? new Date(this.rowdata.efDatefrom?.toString())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 t="shared" ref="S19" si="28">REPT(CHAR(9),1)&amp;D19&amp;G19</f>
        <v xml:space="preserve">	efDatefrom : any ;</v>
      </c>
      <c r="T19" s="31" t="str">
        <f t="shared" ref="T19" si="29">REPT(CHAR(9),3)&amp;"this."&amp;D19&amp;","</f>
        <v xml:space="preserve">			this.efDatefrom,</v>
      </c>
      <c r="U19" s="31" t="str">
        <f t="shared" ref="U19" si="30">IF(E19="int",REPT(CHAR(9),2)&amp;"this."&amp;D19&amp;" = 0,",REPT(CHAR(9),2)&amp;"this."&amp;D19&amp;" = '',")</f>
        <v xml:space="preserve">		this.efDatefrom = '',</v>
      </c>
      <c r="V19" s="31" t="str">
        <f t="shared" si="8"/>
        <v/>
      </c>
    </row>
    <row r="20" spans="1:22" ht="18" customHeight="1" x14ac:dyDescent="0.35">
      <c r="A20" s="72" t="s">
        <v>358</v>
      </c>
      <c r="B20" s="31" t="str">
        <f t="shared" ref="B20:B21" si="31">SUBSTITUTE(PROPER(A20),"_","")</f>
        <v>EfDateto</v>
      </c>
      <c r="C20" s="31" t="str">
        <f t="shared" ref="C20:C21" si="32">SUBSTITUTE(PROPER(A20),"_"," ")</f>
        <v>Ef Dateto</v>
      </c>
      <c r="D20" s="31" t="str">
        <f t="shared" ref="D20:D21" si="33">LOWER(LEFT(B20,1))&amp;RIGHT(B20,LEN(B20) - 1)</f>
        <v>efDateto</v>
      </c>
      <c r="E20" s="31" t="str">
        <f>A.Backend!H14</f>
        <v>DateTime</v>
      </c>
      <c r="F20" s="31" t="str">
        <f>A.Backend!G14</f>
        <v/>
      </c>
      <c r="G20" s="31" t="str">
        <f t="shared" si="3"/>
        <v xml:space="preserve"> : any ;</v>
      </c>
      <c r="H20" s="38" t="str">
        <f t="shared" ref="H20:H21" si="34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this.l('Ef Dateto'),headerTooltip: this.l('Ef Dateto'),field: 'efDateto',valueGetter: (params) =&gt; this.pipe.transform(params.data?.efDateto, 'dd/MM/yyyy'),flex: 1},</v>
      </c>
      <c r="I20" s="38" t="str">
        <f t="shared" ref="I20:I21" si="35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type='text' [placeholder]="l('Ef Dateto')" [(ngModel)]='efDateto' 
									name='efDateto' (keydown)='searchDatas()' class='form-control' 
									bsDatepicker #d='bsDatepicker' placement='bottom left'&gt;
									&lt;i class='fa fa-calendar-alt' (click)='d.toggle()'&gt;&lt;/i&gt;
								&lt;/div&gt;</v>
      </c>
      <c r="J20" s="31"/>
      <c r="K20" s="38" t="str">
        <f t="shared" ref="K20:K21" si="36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title'&gt;Ef Dateto&lt;/label&gt;
						&lt;input type='text' class='col-md-10 form-control input-text' name='efDateto' 
						#datepicker='bsDatepicker' [(ngModel)]='rowdata.efDateto'  bsDatepicker &gt;
					&lt;/div&gt;</v>
      </c>
      <c r="L20" s="60" t="str">
        <f t="shared" ref="L20:L21" si="37">IF(E20="DateTime",
REPT(CHAR(9),2)&amp;"const dateValue =  this.rowdata."&amp;D20&amp;" ? new Date(this.rowdata."&amp;D20&amp;"?.toString()) : new Date();
"&amp;REPT(CHAR(9),2)&amp;"this.datepicker?.bsValueChange.emit(dateValue);","")</f>
        <v xml:space="preserve">		const dateValue =  this.rowdata.efDateto ? new Date(this.rowdata.efDateto?.toString()) : new Date();
		this.datepicker?.bsValueChange.emit(dateValue);</v>
      </c>
      <c r="M20" s="31"/>
      <c r="N20" s="31"/>
      <c r="O20" s="31"/>
      <c r="P20" s="31"/>
      <c r="Q20" s="31"/>
      <c r="R20" s="31"/>
      <c r="S20" s="31" t="str">
        <f t="shared" ref="S20" si="38">REPT(CHAR(9),1)&amp;D20&amp;G20</f>
        <v xml:space="preserve">	efDateto : any ;</v>
      </c>
      <c r="T20" s="31" t="str">
        <f t="shared" ref="T20" si="39">REPT(CHAR(9),3)&amp;"this."&amp;D20&amp;","</f>
        <v xml:space="preserve">			this.efDateto,</v>
      </c>
      <c r="U20" s="31" t="str">
        <f t="shared" ref="U20" si="40">IF(E20="int",REPT(CHAR(9),2)&amp;"this."&amp;D20&amp;" = 0,",REPT(CHAR(9),2)&amp;"this."&amp;D20&amp;" = '',")</f>
        <v xml:space="preserve">		this.efDateto = '',</v>
      </c>
      <c r="V20" s="31" t="str">
        <f t="shared" ref="V20:V21" si="41">IF(AND(E20="string",F20="1"),D20,"")</f>
        <v/>
      </c>
    </row>
    <row r="21" spans="1:22" s="72" customFormat="1" ht="15" customHeight="1" x14ac:dyDescent="0.35">
      <c r="A21" s="72" t="s">
        <v>364</v>
      </c>
      <c r="B21" s="31" t="str">
        <f t="shared" si="31"/>
        <v>IsActive</v>
      </c>
      <c r="C21" s="31" t="str">
        <f t="shared" si="32"/>
        <v>Is Active</v>
      </c>
      <c r="D21" s="31" t="str">
        <f t="shared" si="33"/>
        <v>isActive</v>
      </c>
      <c r="E21" s="31" t="str">
        <f>A.Backend!H15</f>
        <v>string</v>
      </c>
      <c r="F21" s="31" t="str">
        <f>A.Backend!G15</f>
        <v>1</v>
      </c>
      <c r="G21" s="31" t="str">
        <f t="shared" si="3"/>
        <v xml:space="preserve"> : string = '' ; </v>
      </c>
      <c r="H21" s="38" t="str">
        <f t="shared" si="3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8" t="str">
        <f t="shared" si="3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31"/>
      <c r="K21" s="38" t="str">
        <f t="shared" si="3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60" t="str">
        <f t="shared" si="37"/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isActive : string = '' ; </v>
      </c>
      <c r="T21" s="31" t="str">
        <f>REPT(CHAR(9),3)&amp;"this."&amp;D21&amp;","</f>
        <v xml:space="preserve">			this.isActive,</v>
      </c>
      <c r="U21" s="31" t="str">
        <f>IF(E21="int",REPT(CHAR(9),2)&amp;"this."&amp;D21&amp;" = 0,",REPT(CHAR(9),2)&amp;"this."&amp;D21&amp;" = '',")</f>
        <v xml:space="preserve">		this.isActive = '',</v>
      </c>
      <c r="V21" s="31" t="str">
        <f t="shared" si="41"/>
        <v>isActive</v>
      </c>
    </row>
    <row r="22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2023-04-13T03:32:14Z</dcterms:modified>
</cp:coreProperties>
</file>
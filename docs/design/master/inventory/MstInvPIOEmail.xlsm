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0" i="5" l="1"/>
  <c r="F20" i="5"/>
  <c r="E20" i="5"/>
  <c r="C20" i="5"/>
  <c r="B20" i="5"/>
  <c r="D20" i="5" s="1"/>
  <c r="F19" i="5"/>
  <c r="E19" i="5"/>
  <c r="C19" i="5"/>
  <c r="B19" i="5"/>
  <c r="D19" i="5" s="1"/>
  <c r="F18" i="5"/>
  <c r="E18" i="5"/>
  <c r="C18" i="5"/>
  <c r="B18" i="5"/>
  <c r="D18" i="5" s="1"/>
  <c r="F17" i="5"/>
  <c r="E17" i="5"/>
  <c r="C17" i="5"/>
  <c r="B17" i="5"/>
  <c r="D17" i="5" s="1"/>
  <c r="L14" i="1"/>
  <c r="G14" i="1"/>
  <c r="E14" i="1"/>
  <c r="H14" i="1" s="1"/>
  <c r="D14" i="1"/>
  <c r="V14" i="1" s="1"/>
  <c r="L13" i="1"/>
  <c r="G13" i="1"/>
  <c r="E13" i="1"/>
  <c r="H13" i="1" s="1"/>
  <c r="M13" i="1" s="1"/>
  <c r="D13" i="1"/>
  <c r="T13" i="1" s="1"/>
  <c r="L12" i="1"/>
  <c r="G12" i="1"/>
  <c r="E12" i="1"/>
  <c r="H12" i="1" s="1"/>
  <c r="D12" i="1"/>
  <c r="V12" i="1" s="1"/>
  <c r="L11" i="1"/>
  <c r="G11" i="1"/>
  <c r="E11" i="1"/>
  <c r="H11" i="1" s="1"/>
  <c r="D11" i="1"/>
  <c r="V11" i="1" s="1"/>
  <c r="H20" i="5" l="1"/>
  <c r="T19" i="5"/>
  <c r="V20" i="5"/>
  <c r="K19" i="5"/>
  <c r="I17" i="5"/>
  <c r="T18" i="5"/>
  <c r="V18" i="5"/>
  <c r="G19" i="5"/>
  <c r="U19" i="5" s="1"/>
  <c r="L19" i="5"/>
  <c r="V19" i="5"/>
  <c r="I20" i="5"/>
  <c r="T20" i="5"/>
  <c r="K18" i="5"/>
  <c r="G18" i="5"/>
  <c r="H19" i="5"/>
  <c r="S19" i="5"/>
  <c r="K20" i="5"/>
  <c r="U20" i="5"/>
  <c r="L18" i="5"/>
  <c r="I19" i="5"/>
  <c r="G20" i="5"/>
  <c r="L20" i="5"/>
  <c r="H17" i="5"/>
  <c r="U18" i="5"/>
  <c r="K17" i="5"/>
  <c r="H18" i="5"/>
  <c r="S18" i="5"/>
  <c r="G17" i="5"/>
  <c r="S17" i="5" s="1"/>
  <c r="L17" i="5"/>
  <c r="V17" i="5"/>
  <c r="I18" i="5"/>
  <c r="W12" i="1"/>
  <c r="O12" i="1"/>
  <c r="J12" i="1"/>
  <c r="N12" i="1"/>
  <c r="M12" i="1"/>
  <c r="I12" i="1"/>
  <c r="W14" i="1"/>
  <c r="O14" i="1"/>
  <c r="J14" i="1"/>
  <c r="N14" i="1"/>
  <c r="I14" i="1"/>
  <c r="M14" i="1"/>
  <c r="P12" i="1"/>
  <c r="I13" i="1"/>
  <c r="N13" i="1"/>
  <c r="V13" i="1"/>
  <c r="P14" i="1"/>
  <c r="T12" i="1"/>
  <c r="J13" i="1"/>
  <c r="O13" i="1"/>
  <c r="W13" i="1"/>
  <c r="T14" i="1"/>
  <c r="P13" i="1"/>
  <c r="W11" i="1"/>
  <c r="O11" i="1"/>
  <c r="J11" i="1"/>
  <c r="M11" i="1"/>
  <c r="N11" i="1"/>
  <c r="I11" i="1"/>
  <c r="P11" i="1"/>
  <c r="T11" i="1"/>
  <c r="B16" i="5"/>
  <c r="D16" i="5" s="1"/>
  <c r="T17" i="5" s="1"/>
  <c r="C16" i="5"/>
  <c r="U17" i="5" l="1"/>
  <c r="B7" i="5"/>
  <c r="B6" i="5"/>
  <c r="B2" i="5"/>
  <c r="B8" i="5" l="1"/>
  <c r="B3" i="5"/>
  <c r="B6" i="1" l="1"/>
  <c r="C15" i="5" l="1"/>
  <c r="B15" i="5"/>
  <c r="D15" i="5" s="1"/>
  <c r="G9" i="1" l="1"/>
  <c r="F15" i="5" s="1"/>
  <c r="E9" i="1"/>
  <c r="H9" i="1" s="1"/>
  <c r="E15" i="5" s="1"/>
  <c r="D9" i="1"/>
  <c r="V9" i="1" s="1"/>
  <c r="T15" i="5" l="1"/>
  <c r="K15" i="5"/>
  <c r="I15" i="5"/>
  <c r="H15" i="5"/>
  <c r="G15" i="5"/>
  <c r="U15" i="5" s="1"/>
  <c r="V15" i="5"/>
  <c r="L15" i="5"/>
  <c r="W9" i="1"/>
  <c r="P9" i="1"/>
  <c r="T9" i="1"/>
  <c r="I9" i="1"/>
  <c r="N9" i="1"/>
  <c r="M9" i="1"/>
  <c r="J9" i="1"/>
  <c r="O9" i="1"/>
  <c r="S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G16" i="5"/>
  <c r="S16" i="5" s="1"/>
  <c r="T16" i="5"/>
  <c r="V16" i="5"/>
  <c r="K16" i="5"/>
  <c r="I16" i="5"/>
  <c r="L16" i="5"/>
  <c r="P10" i="1"/>
  <c r="V10" i="1"/>
  <c r="W10" i="1"/>
  <c r="J10" i="1"/>
  <c r="I10" i="1"/>
  <c r="O10" i="1"/>
  <c r="N10" i="1"/>
  <c r="M10" i="1"/>
  <c r="U16" i="5" l="1"/>
  <c r="W3" i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16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16" i="1"/>
  <c r="T7" i="1" l="1"/>
  <c r="W16" i="1"/>
  <c r="G6" i="1" l="1"/>
  <c r="S13" i="5"/>
  <c r="H13" i="5"/>
  <c r="I13" i="5"/>
  <c r="K13" i="5"/>
  <c r="L13" i="5"/>
  <c r="U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9" i="1" l="1"/>
  <c r="L10" i="1"/>
  <c r="C7" i="1"/>
  <c r="N16" i="1"/>
  <c r="O16" i="1"/>
  <c r="J16" i="1"/>
  <c r="P16" i="1"/>
  <c r="I16" i="1"/>
  <c r="Q7" i="1" l="1"/>
  <c r="M69" i="3" s="1"/>
  <c r="L7" i="1"/>
  <c r="G69" i="3" s="1"/>
  <c r="K69" i="3"/>
  <c r="J69" i="3"/>
  <c r="K16" i="1"/>
  <c r="M16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<sst xmlns="http://schemas.openxmlformats.org/spreadsheetml/2006/main" count="459" uniqueCount="372">
  <si>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</si>
  <si>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</si>
  <si>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</si>
  <si>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</si>
  <si>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</si>
  <si>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</si>
  <si>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</si>
  <si>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</si>
  <si>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</si>
  <si>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</si>
  <si>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</si>
  <si>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</si>
  <si>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</si>
  <si>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</si>
  <si>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</si>
  <si>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</si>
  <si>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</si>
  <si>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</si>
  <si>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</si>
  <si>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</si>
  <si>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</si>
  <si>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</si>
  <si>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</si>
  <si>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</si>
  <si>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</si>
  <si>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</si>
  <si>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</si>
  <si>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</si>
  <si>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</si>
  <si>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</si>
  <si>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</si>
  <si>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</si>
  <si>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</si>
  <si>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</si>
  <si>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</si>
  <si>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</si>
  <si>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</si>
  <si>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</si>
  <si>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</si>
  <si>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</si>
  <si>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</si>
  <si>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</si>
  <si>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</si>
  <si>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</si>
  <si>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</si>
  <si>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</si>
  <si>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</si>
  <si>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</si>
  <si>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</si>
  <si>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</si>
  <si>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</si>
  <si>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</si>
  <si>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</si>
  <si>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</si>
  <si>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</si>
  <si>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</si>
  <si>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</si>
  <si>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</si>
  <si>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</si>
  <si>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</si>
  <si>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</si>
  <si>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</si>
  <si>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</si>
  <si>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</si>
  <si>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</si>
  <si>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</si>
  <si>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</si>
  <si>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</si>
  <si>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</si>
  <si>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</si>
  <si>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</si>
  <si>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</si>
  <si>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</si>
  <si>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</si>
  <si>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</si>
  <si>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</si>
  <si>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</si>
  <si>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</si>
  <si>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</si>
  <si>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</si>
  <si>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</si>
  <si>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</si>
  <si>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</si>
  <si>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</si>
  <si>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</si>
  <si>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</si>
  <si>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</si>
  <si>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</si>
  <si>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</si>
  <si>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</si>
  <si>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</si>
  <si>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</si>
  <si>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</si>
  <si>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</si>
  <si>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</si>
  <si>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</si>
  <si>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</si>
  <si>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</si>
  <si>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</si>
  <si>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</si>
  <si>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</si>
  <si>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</si>
  <si>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</si>
  <si>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</si>
  <si>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</si>
  <si>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</si>
  <si>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</si>
  <si>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</si>
  <si>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</si>
  <si>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</si>
  <si>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</si>
  <si>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</si>
  <si>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</si>
  <si>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</si>
  <si>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</si>
  <si>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</si>
  <si>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</si>
  <si>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</si>
  <si>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</si>
  <si>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</si>
  <si>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</si>
  <si>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</si>
  <si>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</si>
  <si>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</si>
  <si>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</si>
  <si>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</si>
  <si>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</si>
  <si>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</si>
  <si>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</si>
  <si>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</si>
  <si>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</si>
  <si>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</si>
  <si>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</si>
  <si>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</si>
  <si>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</si>
  <si>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</si>
  <si>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</si>
  <si>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</si>
  <si>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</si>
  <si>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</si>
  <si>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</si>
  <si>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</si>
  <si>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</si>
  <si>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</si>
  <si>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</si>
  <si>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</si>
  <si>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</si>
  <si>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</si>
  <si>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</si>
  <si>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</si>
  <si>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</si>
  <si>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</si>
  <si>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</si>
  <si>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</si>
  <si>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</si>
  <si>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</si>
  <si>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</si>
  <si>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</si>
  <si>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</si>
  <si>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</si>
  <si>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</si>
  <si>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</si>
  <si>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</si>
  <si>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</si>
  <si>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</si>
  <si>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</si>
  <si>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</si>
  <si>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</si>
  <si>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</si>
  <si>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</si>
  <si>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</si>
  <si>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</si>
  <si>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</si>
  <si>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</si>
  <si>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</si>
  <si>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</si>
  <si>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</si>
  <si>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</si>
  <si>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</si>
  <si>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</si>
  <si>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</si>
  <si>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</si>
  <si>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</si>
  <si>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</si>
  <si>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</si>
  <si>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</si>
  <si>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</si>
  <si>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</si>
  <si>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</si>
  <si>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</si>
  <si>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</si>
  <si>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</si>
  <si>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</si>
  <si>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</si>
  <si>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</si>
  <si>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</si>
  <si>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</si>
  <si>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</si>
  <si>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</si>
  <si>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</si>
  <si>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</si>
  <si>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</si>
  <si>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</si>
  <si>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</si>
  <si>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</si>
  <si>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</si>
  <si>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</si>
  <si>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</si>
  <si>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</si>
  <si>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</si>
  <si>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</si>
  <si>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</si>
  <si>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</si>
  <si>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</si>
  <si>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</si>
  <si>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</si>
  <si>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</si>
  <si>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</si>
  <si>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</si>
  <si>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</si>
  <si>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</si>
  <si>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</si>
  <si>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</si>
  <si>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</si>
  <si>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</si>
  <si>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</si>
  <si>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</si>
  <si>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</si>
  <si>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</si>
  <si>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</si>
  <si>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</si>
  <si>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</si>
  <si>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</si>
  <si>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</si>
  <si>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</si>
  <si>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</si>
  <si>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</si>
  <si>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</si>
  <si>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</si>
  <si>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</si>
  <si>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</si>
  <si>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</si>
  <si>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</si>
  <si>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</si>
  <si>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</si>
  <si>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</si>
  <si>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</si>
  <si>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</si>
  <si>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</si>
  <si>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</si>
  <si>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</si>
  <si>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</si>
  <si>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</si>
  <si>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</si>
  <si>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</si>
  <si>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</si>
  <si>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</si>
  <si>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</si>
  <si>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</si>
  <si>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</si>
  <si>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</si>
  <si>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</si>
  <si>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</si>
  <si>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</si>
  <si>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</si>
  <si>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</si>
  <si>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</si>
  <si>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</si>
  <si>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</si>
  <si>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</si>
  <si>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</si>
  <si>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</si>
  <si>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</si>
  <si>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</si>
  <si>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</si>
  <si>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</si>
  <si>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</si>
  <si>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</si>
  <si>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</si>
  <si>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</si>
  <si>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</si>
  <si>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</si>
  <si>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</si>
  <si>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</si>
  <si>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</si>
  <si>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</si>
  <si>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</si>
  <si>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</si>
  <si>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</si>
  <si>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</si>
  <si>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</si>
  <si>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</si>
  <si>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</si>
  <si>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</si>
  <si>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</si>
  <si>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</si>
  <si>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</si>
  <si>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</si>
  <si>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</si>
  <si>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</si>
  <si>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</si>
  <si>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</si>
  <si>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</si>
  <si>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</si>
  <si>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</si>
  <si>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</si>
  <si>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</si>
  <si>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</si>
  <si>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</si>
  <si>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</si>
  <si>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</si>
  <si>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</si>
  <si>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</si>
  <si>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</si>
  <si>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</si>
  <si>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</si>
  <si>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</si>
  <si>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</si>
  <si>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</si>
  <si>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</si>
  <si>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</si>
  <si>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</si>
  <si>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</si>
  <si>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</si>
  <si>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</si>
  <si>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</si>
  <si>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</si>
  <si>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</si>
  <si>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</si>
  <si>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</si>
  <si>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</si>
  <si>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</si>
  <si>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</si>
  <si>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</si>
  <si>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</si>
  <si>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</si>
  <si>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</si>
  <si>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</si>
  <si>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</si>
  <si>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</si>
  <si>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</si>
  <si>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</si>
  <si>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</si>
  <si>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</si>
  <si>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</si>
  <si>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</si>
  <si>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</si>
  <si>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</si>
  <si>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</si>
  <si>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</si>
  <si>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</si>
  <si>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CPS</t>
  </si>
  <si>
    <t>Cps</t>
  </si>
  <si>
    <t>InvCps</t>
  </si>
  <si>
    <t>IHP</t>
  </si>
  <si>
    <t>Ihp</t>
  </si>
  <si>
    <t>InvIhp</t>
  </si>
  <si>
    <t>Inhouse Part</t>
  </si>
  <si>
    <t>nvarchar(1000)</t>
  </si>
  <si>
    <t>SUBJECT</t>
  </si>
  <si>
    <t>TO</t>
  </si>
  <si>
    <t>CC</t>
  </si>
  <si>
    <t>BODY_MESS</t>
  </si>
  <si>
    <t>SUPPLIER_CD</t>
  </si>
  <si>
    <t>IS_ACTIVE</t>
  </si>
  <si>
    <t>nvarchar(200)</t>
  </si>
  <si>
    <t>nvarchar(5000)</t>
  </si>
  <si>
    <t>nvarchar(1)</t>
  </si>
  <si>
    <t>PIO Email</t>
  </si>
  <si>
    <t>PIOEmail</t>
  </si>
  <si>
    <t>Master.Inventory</t>
  </si>
  <si>
    <t>MstInvPIOEmail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</si>
</sst>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abSelected="1" topLeftCell="A58" zoomScaleNormal="100" workbookViewId="0">
      <selection activeCell="C69" sqref="C6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354</v>
      </c>
      <c r="F46" s="1" t="s">
        <v>355</v>
      </c>
      <c r="G46" t="s">
        <v>356</v>
      </c>
      <c r="H46" t="s">
        <v>357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351</v>
      </c>
      <c r="F51" s="1" t="s">
        <v>352</v>
      </c>
      <c r="G51" t="s">
        <v>353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[Table("MstInvPIOEmail")]
	public class MstInvPIOEmail: FullAuditedEntity&lt;long&gt;, IEntity&lt;long&gt;	
	{
		public const int MaxSubjectLength = 200;
		public const int MaxToLength = 1000;
		public const int MaxCcLength = 1000;
		public const int MaxBodyMessLength = 5000;
		public const int MaxSupplierCdLength = 200;
		public const int MaxIsActiveLength = 1;
		[StringLength(MaxSubjectLength)]
		public virtual string Subject { get; set; }
		[StringLength(MaxToLength)]
		public virtual string To { get; set; }
		[StringLength(MaxCcLength)]
		public virtual string Cc { get; set; }
		[StringLength(MaxBodyMessLength)]
		public virtual string BodyMess { get; set; }
		[StringLength(MaxSupplierCdLength)]
		public virtual string SupplierCd { get; set; }
		[StringLength(MaxIsActiveLength)]
		public virtual string IsActive { get; set; }
	}
}
</v>
      </c>
      <c r="D69" s="48" t="str">
        <f>A.Backend!O7</f>
        <v xml:space="preserve">		public const string Pages_Master_Inventory_PIOEmail = "Pages.Master.Inventory.PIOEmail";
		public const string Pages_Master_Inventory_PIOEmail_CreateEdit = "Pages.Master.Inventory.PIOEmail.CreateEdit";
		public const string Pages_Master_Inventory_PIOEmail_Delete = "Pages.Master.Inventory.PIOEmail.Delete";
</v>
      </c>
      <c r="E69" s="48" t="str">
        <f>A.Backend!N7</f>
        <v xml:space="preserve">		var perMstInvPIOEmail = PARENTS.CreateChildPermission(AppPermissions.Pages_Master_Inventory_PIOEmail, L( "MasterInventoryPIOEmail"), multiTenancySides: MultiTenancySides.Tenant);
		perMstInvPIOEmail.CreateChildPermission(AppPermissions.Pages_Master_Inventory_PIOEmail_CreateEdit, L( "MasterInventoryPIOEmailCreateEdit"), multiTenancySides: MultiTenancySides.Tenant);
		perMstInvPIOEmail.CreateChildPermission(AppPermissions.Pages_Master_Inventory_PIOEmail_Delete, L( "MasterInventoryPIOEmailDelete"), multiTenancySides: MultiTenancySides.Tenant);</v>
      </c>
      <c r="F69" s="48" t="str">
        <f>A.Backend!K7</f>
        <v>public virtual DbSet&lt;MstInvPIOEmail&gt; MstInvPIOEmails { get; set; }</v>
      </c>
      <c r="G69" s="48" t="str">
        <f ca="1">A.Backend!L7</f>
        <v xml:space="preserve">namespace prod.Master.Inventory
{
	public class MstInvPIOEmailConsts	
	{
		public const int MaxSubjectLength = 200;
		public const int MaxToLength = 1000;
		public const int MaxCcLength = 1000;
		public const int MaxBodyMessLength = 5000;
		public const int MaxSupplierCdLength = 200;
		public const int MaxIsActiveLength = 1;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prod.Master.Inventory.Dto
{
	public class MstInvPIOEmailDto : EntityDto&lt;long?&gt;	
	{
		public virtual string Subject { get; set; }
		public virtual string To { get; set; }
		public virtual string Cc { get; set; }
		public virtual string BodyMess { get; set; }
		public virtual string SupplierCd { get; set; }
		public virtual string IsActive { get; set; }
	}
	public class CreateOrEditMstInvPIOEmailDto : EntityDto&lt;long?&gt;	
	{
		[StringLength(MstInvPIOEmailConsts.MaxSubjectLength)]
		public virtual string Subject { get; set; }
		[StringLength(MstInvPIOEmailConsts.MaxToLength)]
		public virtual string To { get; set; }
		[StringLength(MstInvPIOEmailConsts.MaxCcLength)]
		public virtual string Cc { get; set; }
		[StringLength(MstInvPIOEmailConsts.MaxBodyMessLength)]
		public virtual string BodyMess { get; set; }
		[StringLength(MstInvPIOEmailConsts.MaxSupplierCdLength)]
		public virtual string SupplierCd { get; set; }
		[StringLength(MstInvPIOEmailConsts.MaxIsActiveLength)]
		public virtual string IsActive { get; set; }
	}
	public class GetMstInvPIOEmailInput : PagedAndSortedResultRequestDto	
	{
		public virtual string Subject { get; set; }
		public virtual string To { get; set; }
		public virtual string Cc { get; set; }
		public virtual string BodyMess { get; set; }
		public virtual string SupplierCd { get; set; }
		public virtual string IsActive { get; set; }
	}
}
</v>
      </c>
      <c r="I69" s="48" t="str">
        <f ca="1">A.Backend!R7</f>
        <v xml:space="preserve">using Abp.Application.Services.Dto;
using System;
using System.ComponentModel.DataAnnotations;
namespace prod.Master.Inventory.Dto
{
	public class MstInvPIOEmailExportInput{
		public virtual string Subject { get; set; }
		public virtual string To { get; set; }
		public virtual string Cc { get; set; }
		public virtual string BodyMess { get; set; }
		public virtual string SupplierCd { get; set; }
		public virtual string IsActive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IMstInvPIOEmailAppService : IApplicationService
	{
		Task&lt;PagedResultDto&lt;MstInvPIOEmailDto&gt;&gt; GetAll(GetMstInvPIOEmailInput input);
		Task CreateOrEdit(CreateOrEditMstInvPIOEmailDto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IMstInvPIOEmailExcelExporter : IApplicationService
	{
		FileDto ExportToFile(List&lt;MstInvPIOEmailDto&gt; mstinvpioemail);
	}
}
</v>
      </c>
      <c r="L69" s="48" t="str">
        <f ca="1">A.Backend!T7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MstInvPIOEmailExcelExporter : NpoiExcelExporterBase, IMstInvPIOEmailExcelExporter
    {
        public MstInvPIOEmailExcelExporter(ITempFileCacheManager tempFileCacheManager) : base(tempFileCacheManager) { }
        public FileDto ExportToFile(List&lt;MstInvPIOEmailDto&gt; pioemail)
        {
            return CreateExcelPackage(
				"MasterInventoryPIOEmail.xlsx",
				excelPackage =&gt;
				 {
					var sheet = excelPackage.CreateSheet("PIOEmail");
					AddHeader(
								sheet,
								("Subject"),
								("To"),
								("Cc"),
								("BodyMess"),
								("SupplierCd"),
								("IsActive"),
							   );
					AddObjects(
						 sheet, 1, pioemail,                                       
								_ =&gt; _.Subject,
								_ =&gt; _.To,
								_ =&gt; _.Cc,
								_ =&gt; _.BodyMess,
								_ =&gt; _.SupplierCd,
								_ =&gt; _.IsActive,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[AbpAuthorize(AppPermissions.Pages_Master_Inventory_PIOEmail)]
    public class MstInvPIOEmailAppService : vovinaAppServiceBase, IMstInvPIOEmailAppService
    {
        private readonly IDapperRepository&lt;MstInvPIOEmail, long&gt; _dapperRepo;
        private readonly IRepository&lt;MstInvPIOEmail, long&gt; _repo;
        private readonly IMstInvPIOEmailExcelExporter _calendarListExcelExporter;
        public MstInvPIOEmailAppService(IRepository&lt;MstInvPIOEmail,long&gt; repo, 
                                         IDapperRepository&lt;MstInvPIOEmail,long&gt; dapperRepo,
                                        IMstInvPIOEmailExcelExporter calendarListExcelExporter
            )
        {
            _repo = repo;
            _dapperRepo = dapperRepo;
            _calendarListExcelExporter = calendarListExcelExporter;
        }
        [AbpAuthorize(AppPermissions.Pages_Master_Inventory_PIOEmail_CreateEdit)]
        public async Task CreateOrEdit(CreateOrEditMstInvPIOEmailDto input)
        {
            if (input.Id == null) await Create(input);
            else await Update(input);
        }
        //CREATE
        private async Task Create(CreateOrEditMstInvPIOEmailDto input)
        {          
            var mainObj = ObjectMapper.Map&lt;MstInvPIOEmail&gt;(input);
            await CurrentUnitOfWork.GetDbContext&lt;vovinaDbContext&gt;().AddAsync(mainObj);
        }
        // EDIT
        private async Task Update(CreateOrEditMstInvPIOEmailDto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[AbpAuthorize(AppPermissions.Pages_Master_Inventory_PIOEmail_Delete)]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Task&lt;PagedResultDto&lt;MstInvPIOEmailDto&gt;&gt; GetAll(GetMstInvPIOEmailInput input)
        {
            var filtered = _repo.GetAll()
				.WhereIf(!string.IsNullOrWhiteSpace(input.Subject), e =&gt; e.Subject.Contains(input.Subject))
				.WhereIf(!string.IsNullOrWhiteSpace(input.To), e =&gt; e.To.Contains(input.To))
				.WhereIf(!string.IsNullOrWhiteSpace(input.Cc), e =&gt; e.Cc.Contains(input.Cc))
				.WhereIf(!string.IsNullOrWhiteSpace(input.BodyMess), e =&gt; e.BodyMess.Contains(input.BodyMess))
				.WhereIf(!string.IsNullOrWhiteSpace(input.SupplierCd), e =&gt; e.SupplierCd.Contains(input.SupplierCd))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MstInvPIOEmailDto
                        {
							Id = o.Id,
							Subject = o.Subject,
							To = o.To,
							Cc = o.Cc,
							BodyMess = o.BodyMess,
							SupplierCd = o.SupplierCd,
							IsActive = o.IsActive,
                        };
            var totalCount = await filtered.CountAsync();
			var paged = system.PageBy(input);
            return new PagedResultDto&lt;MstInvPIOEmailDto&gt;(
                totalCount,
                 await paged.ToListAsync()
            );
        }
        public async Task&lt;FileDto&gt; GetPIOEmailToExcel(MstInvPIOEmailExportInput input)
        {
            var query = from o in _repo.GetAll()
                        select new MstInvPIOEmailDto
                        {
							Id = o.Id,
							Subject = o.Subject,
							To = o.To,
							Cc = o.Cc,
							BodyMess = o.BodyMess,
							SupplierCd = o.SupplierCd,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_dapperRepo.ExecuteAsync(MstInvPIOEmailConsts.SP_MST_WPT_CALENDAR_GENERATE);
       // }
    }
}</v>
      </c>
      <c r="N69" s="58" t="str">
        <f>A.Backend!U7</f>
        <v xml:space="preserve">  configuration.CreateMap&lt;MstInvPIOEmailDto, MstInvPIOEmail&gt;();
  configuration.CreateMap&lt;MstInvPIOEmail, MstInvPIOEmailDto&gt;();
  configuration.CreateMap&lt;CreateOrEditMstInvPIOEmailDto, MstInvPIOEmail&gt;();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pioemail</v>
      </c>
      <c r="C74" s="66" t="str">
        <f>"create folder " &amp;B74</f>
        <v>create folder pioemail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pioemail.component.ts</v>
      </c>
      <c r="D75" s="28" t="str">
        <f>B.Frontend!I14</f>
        <v>pioemail.component.html</v>
      </c>
      <c r="E75" s="28" t="str">
        <f>B.Frontend!J14</f>
        <v>pioemail.component.less</v>
      </c>
      <c r="F75" s="28" t="str">
        <f>B.Frontend!K14</f>
        <v>create-or-edit-pioemail-modal.component.html</v>
      </c>
      <c r="G75" s="28" t="str">
        <f>B.Frontend!L14</f>
        <v>create-or-edit-pioemail-modal.component.ts</v>
      </c>
      <c r="H75" s="28" t="str">
        <f>B.Frontend!M14</f>
        <v>create-or-edit-pioemail-modal.component.less</v>
      </c>
      <c r="I75" s="28" t="str">
        <f>B.Frontend!N14</f>
        <v>pioemail.module.ts</v>
      </c>
      <c r="J75" s="28" t="str">
        <f>B.Frontend!O14</f>
        <v>pioemail-routing.module.ts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MstInvPIOEmailDto, MstInvPIOEmailServiceProxy } from '@shared/service-proxies/service-proxies';
import { finalize } from 'rxjs/internal/operators/finalize';
import { CreateOrEditPIOEmailModalComponent } from './create-or-edit-pioemail-modal.component';
import { DatePipe } from '@angular/common';
import { FileDownloadService } from '@shared/utils/file-download.service';
import ceil from 'lodash-es/ceil';
import { Paginator } from 'primeng/paginator';
@Component({
    templateUrl: './pioemail.component.html',
    styleUrls: ['./pioemail.component.less'],
})
export class PIOEmailComponent extends AppComponentBase implements OnInit {
    @ViewChild('createOrEditModalPIOEmail', { static: true }) createOrEditModalPIOEmail:| CreateOrEditPIOEmailModalComponent|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MstInvPIOEmailDto = new MstInvPIOEmailDto();
    saveSelectedRow: MstInvPIOEmailDto = new MstInvPIOEmailDto();
    datas: MstInvPIOEmailDto = new MstInvPIOEmailDto();
    isLoading: boolean = false;
    dataParams: GridParams | undefined;
    rowData: any[] = [];
    gridApi!: GridApi;
    rowSelection = 'multiple';
    filter: string = '';
	pipe = new DatePipe('en-US');
	frameworkComponents: FrameworkComponent;
    	subject : string = '' ; 
	to : string = '' ; 
	cc : string = '' ; 
	bodyMess : string = '' ; 
	supplierCd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MstInvPIOEmailServiceProxy,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this.l('Subject'),headerTooltip: this.l('Subject'),field: 'subject',flex: 1},
			{headerName: this.l('To'),headerTooltip: this.l('To'),field: 'to',flex: 1},
			{headerName: this.l('Cc'),headerTooltip: this.l('Cc'),field: 'cc',flex: 1},
			{headerName: this.l('Body Mess'),headerTooltip: this.l('Body Mess'),field: 'bodyMess',flex: 1},
			{headerName: this.l('Supplier Cd'),headerTooltip: this.l('Supplier Cd'),field: 'supplierCd',flex: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this.subject,
			this.to,
			this.cc,
			this.bodyMess,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subject : string = '' ; 
	to : string = '' ; 
	cc : string = '' ; 
	bodyMess : string = '' ; 
	supplierCd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this.subject,
			this.to,
			this.cc,
			this.bodyMess,
			'',
            this.paginationParams.skipCount,
            this.paginationParams.pageSize
        );
    }
    onChangeRowSelection(params: { api: { getSelectedRows: () =&gt; MstInvPIOEmailDto[] } }) {
        this.saveSelectedRow = params.api.getSelectedRows()[0] ?? new MstInvPIOEmailDto();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MstInvPIOEmailDto):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this._service.getPIOEmailToExcel(
			this.,
			this.subject,
			this.to,
			this.cc,
			this.bodyMess,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PIO Email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[(ngModel)]='subject' name='subject'
									class='form-control' [placeholder]="l('Subject')"
									type='text' (keyup.enter)='searchDatas()'&gt;
								&lt;/div&gt;
								&lt;div class='input-search'&gt;
									&lt;input [(ngModel)]='to' name='to'
									class='form-control' [placeholder]="l('To')"
									type='text' (keyup.enter)='searchDatas()'&gt;
								&lt;/div&gt;
								&lt;div class='input-search'&gt;
									&lt;input [(ngModel)]='cc' name='cc'
									class='form-control' [placeholder]="l('Cc')"
									type='text' (keyup.enter)='searchDatas()'&gt;
								&lt;/div&gt;
								&lt;div class='input-search'&gt;
									&lt;input [(ngModel)]='bodyMess' name='bodyMess'
									class='form-control' [placeholder]="l('Body Mess')"
									type='text' (keyup.enter)='searchDatas()'&gt;
								&lt;/div&gt;
								&lt;div class='input-search'&gt;
									&lt;input [(ngModel)]='supplierCd' name='supplierCd'
									class='form-control' [placeholder]="l('Supplier Cd')"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(click)="createOrEditModalPIOEmail.show()"&gt;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(click)="createOrEditModalPIOEmail.show(selectedRow)"&gt;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&lt;create-or-edit-pioemail-modal
    #createOrEditModalPIOEmail
    (modalSave)="callBackDataGrid(dataParams)"
    (modalClose)="onChangeRowSelection(dataParams)"
&gt;
&lt;/create-or-edit-pioemail-modal&gt;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#createOrEditModalPIOEmail="bs-modal"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PIOEmail')}}&lt;/h3&gt;
                    &lt;h3 *ngIf="!rowdata.id"&gt;{{('Create New PIOEmail')}}&lt;/h3&gt;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title'&gt;Subject&lt;/label&gt;
						&lt;input type='text' class='col-md-10 form-control input-text' name='Subject' [(ngModel)]='rowdata.subject'&gt;
					&lt;/div&gt;
					&lt;div class='col-md-12 form-group row'&gt;
						&lt;label class='col-md-2 form-control title'&gt;To&lt;/label&gt;
						&lt;input type='text' class='col-md-10 form-control input-text' name='To' [(ngModel)]='rowdata.to'&gt;
					&lt;/div&gt;
					&lt;div class='col-md-12 form-group row'&gt;
						&lt;label class='col-md-2 form-control title'&gt;Cc&lt;/label&gt;
						&lt;input type='text' class='col-md-10 form-control input-text' name='Cc' [(ngModel)]='rowdata.cc'&gt;
					&lt;/div&gt;
					&lt;div class='col-md-12 form-group row'&gt;
						&lt;label class='col-md-2 form-control title'&gt;Body Mess&lt;/label&gt;
						&lt;input type='text' class='col-md-10 form-control input-text' name='BodyMess' [(ngModel)]='rowdata.bodyMess'&gt;
					&lt;/div&gt;
					&lt;div class='col-md-12 form-group row'&gt;
						&lt;label class='col-md-2 form-control title'&gt;Supplier Cd&lt;/label&gt;
						&lt;input type='text' class='col-md-10 form-control input-text' name='SupplierCd' [(ngModel)]='rowdata.supplierCd'&gt;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CreateOrEditMstInvPIOEmailDto, MstInvPIOEmailServiceProxy } from '@shared/service-proxies/service-proxies';
import { BsDatepickerDirective } from 'ngx-bootstrap/datepicker';
@Component({
    selector: 'create-or-edit-pioemail-modal',
    templateUrl: './create-or-edit-pioemail-modal.component.html',
    styleUrls: ['./create-or-edit-pioemail-modal.component.less']
    })
export class CreateOrEditPIOEmailModalComponent extends AppComponentBase {
    @ViewChild('createOrEditModalPIOEmail',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CreateOrEditMstInvPIOEmailDto = new CreateOrEditMstInvPIOEmailDto();
    active: boolean = false;
    saving: boolean = false;
    _isActive: boolean;
    constructor(
        injector: Injector,
        private _mstwptPIOEmailService: MstInvPIOEmailServiceProxy,
    ) 
    {
        super(injector);
    }
    show(rowdata?: CreateOrEditMstInvPIOEmailDto): void {
        if (!rowdata) this.rowdata = new CreateOrEditMstInvPIOEmailDto();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this._mstwptPIOEmailService.createOrEdit(this.rowdata)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PIOEmailRoutingModule } from './pioemail-routing.module';
import { PIOEmailComponent } from './pioemail.component';
import { CreateOrEditPIOEmailModalComponent } from './create-or-edit-pioemail-modal.component';
@NgModule({
    declarations: [
       PIOEmailComponent, 
        CreateOrEditPIOEmailModalComponent
    ],
    imports: [
        AppSharedModule, PIOEmailRoutingModule]
})
export class PIOEmailModule {}</v>
      </c>
      <c r="J76" s="46" t="str">
        <f>B.Frontend!O10</f>
        <v>import {NgModule} from '@angular/core';
import {RouterModule, Routes} from '@angular/router';
import { PIOEmailComponent } from './pioemail.component';
const routes: Routes = [{
    path: '',
    component: PIOEmailComponent,
    pathMatch: 'full'
}];
@NgModule({
    imports: [RouterModule.forChild(routes)],
    exports: [RouterModule],
})
export class PIOEmailRoutingModule {}</v>
      </c>
      <c r="K76" s="46" t="str">
        <f>B.Frontend!P10</f>
        <v xml:space="preserve"> new AppMenuItem("PIOEmail", "Pages.Master.Inventory.PIOEmail", "flaticon-book",   "/app/main/master/inventory/pioemail"),</v>
      </c>
      <c r="L76" s="47" t="str">
        <f>B.Frontend!Q10</f>
        <v>{
    path: 'master/inventory/pioemail',
    loadChildren: () =&gt; import('./master/inventory/pioemail/pioemail.module').then(m =&gt; m.PIOEmailModule),
    data: { permission: 'Pages.Master.Inventory.PIOEmail' }
},</v>
      </c>
      <c r="M76" s="45" t="str">
        <f>B.Frontend!R10</f>
        <v>ApiServiceProxies.MstInvPIOEmailServiceProxy,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"/>
  <sheetViews>
    <sheetView workbookViewId="0">
      <pane xSplit="1" topLeftCell="B1" activePane="topRight" state="frozen"/>
      <selection pane="topRight" activeCell="C21" sqref="C21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370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371</v>
      </c>
      <c r="C3" s="9" t="s">
        <v>40</v>
      </c>
      <c r="D3" s="9" t="s">
        <v>41</v>
      </c>
      <c r="E3" s="9" t="s">
        <v>36</v>
      </c>
      <c r="F3" s="10" t="str">
        <f>"J"&amp;COUNTA($A:$A)</f>
        <v>J14</v>
      </c>
      <c r="G3" s="4" t="s">
        <v>53</v>
      </c>
      <c r="H3" s="9" t="str">
        <f>"I"&amp;COUNTA($A:$A)</f>
        <v>I14</v>
      </c>
      <c r="I3" s="9" t="str">
        <f>REPT(CHAR(9),2)&amp;"[Required]"&amp;"
"</f>
        <v xml:space="preserve">		[Required]
</v>
      </c>
      <c r="J3" s="10" t="str">
        <f>"L"&amp;COUNTA($A:$A)</f>
        <v>L14</v>
      </c>
      <c r="K3" s="5" t="s">
        <v>52</v>
      </c>
      <c r="L3" s="10" t="str">
        <f>"M"&amp;COUNTA($A:$A)</f>
        <v>M14</v>
      </c>
      <c r="M3" s="10" t="str">
        <f>"N"&amp;COUNTA($A:$A)</f>
        <v>N14</v>
      </c>
      <c r="N3" s="10" t="str">
        <f>"O"&amp;COUNTA($A:$A)</f>
        <v>O14</v>
      </c>
      <c r="O3" s="10" t="str">
        <f>"P"&amp;COUNTA($A:$A)</f>
        <v>P14</v>
      </c>
      <c r="Q3" s="10" t="str">
        <f>RIGHT(B2,(LEN(B2)-FIND(".",B2,1)))</f>
        <v>Inventory</v>
      </c>
      <c r="R3" s="29" t="str">
        <f>REPT(CHAR(9),1)&amp;"public class "&amp;B3&amp;"ExportInput"&amp;C3</f>
        <v xml:space="preserve">	public class MstInvPIOEmailExportInput{
</v>
      </c>
      <c r="S3" s="10" t="str">
        <f>"namespace "&amp;$B$6&amp;".Exporting
"&amp;$C$3</f>
        <v xml:space="preserve">namespace prod.Master.Inventory.Exporting
{
</v>
      </c>
      <c r="T3" s="10" t="str">
        <f>"T"&amp;COUNTA($A:$A)</f>
        <v>T14</v>
      </c>
      <c r="V3" s="10" t="str">
        <f>"V"&amp;COUNTA($A:$A)</f>
        <v>V14</v>
      </c>
      <c r="W3" s="9" t="str">
        <f>"W"&amp;COUNTA($A:$A)</f>
        <v>W14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369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prod.Master.Inventory</v>
      </c>
      <c r="C6" s="10" t="str">
        <f>"namespace "&amp;$B$6&amp;"
"&amp;$C$3</f>
        <v xml:space="preserve">namespace prod.Master.Inventory
{
</v>
      </c>
      <c r="D6" s="10" t="str">
        <f>REPT(CHAR(9),1)&amp;"public class "&amp;B3&amp;G3&amp;REPT(CHAR(9),1)&amp;"
"&amp;REPT(CHAR(9),1)&amp;C3</f>
        <v xml:space="preserve">	public class MstInvPIOEmail: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MstInvPIOEmailConsts	
	{
</v>
      </c>
      <c r="F6" s="10" t="str">
        <f>REPT(CHAR(9),1)&amp;"public class "&amp;B3&amp;"Dto"&amp;K3&amp;REPT(CHAR(9),1)&amp;"
"&amp;REPT(CHAR(9),1)&amp;C3</f>
        <v xml:space="preserve">	public class MstInvPIOEmailDto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CreateOrEditMstInvPIOEmailDto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GetMstInvPIOEmailInput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MstInvPIOEmail</v>
      </c>
      <c r="C7" s="10" t="str">
        <f>REPT(CHAR(9),1)&amp;"[Table("""&amp;B7&amp;""")]"&amp;"
"</f>
        <v xml:space="preserve">	[Table("MstInvPIOEmail")]
</v>
      </c>
      <c r="D7" s="10"/>
      <c r="E7" s="10"/>
      <c r="F7" s="10"/>
      <c r="G7" s="10"/>
      <c r="H7" s="10"/>
      <c r="I7" s="10"/>
      <c r="J7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[Table("MstInvPIOEmail")]
	public class MstInvPIOEmail: FullAuditedEntity&lt;long&gt;, IEntity&lt;long&gt;	
	{
		public const int MaxSubjectLength = 200;
		public const int MaxToLength = 1000;
		public const int MaxCcLength = 1000;
		public const int MaxBodyMessLength = 5000;
		public const int MaxSupplierCdLength = 200;
		public const int MaxIsActiveLength = 1;
		[StringLength(MaxSubjectLength)]
		public virtual string Subject { get; set; }
		[StringLength(MaxToLength)]
		public virtual string To { get; set; }
		[StringLength(MaxCcLength)]
		public virtual string Cc { get; set; }
		[StringLength(MaxBodyMessLength)]
		public virtual string BodyMess { get; set; }
		[StringLength(MaxSupplierCdLength)]
		public virtual string SupplierCd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DbSet&lt;MstInvPIOEmail&gt; MstInvPIOEmails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prod.Master.Inventory
{
	public class MstInvPIOEmailConsts	
	{
		public const int MaxSubjectLength = 200;
		public const int MaxToLength = 1000;
		public const int MaxCcLength = 1000;
		public const int MaxBodyMessLength = 5000;
		public const int MaxSupplierCdLength = 200;
		public const int MaxIsActiveLength = 1;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prod.Master.Inventory.Dto
{
	public class MstInvPIOEmailDto : EntityDto&lt;long?&gt;	
	{
		public virtual string Subject { get; set; }
		public virtual string To { get; set; }
		public virtual string Cc { get; set; }
		public virtual string BodyMess { get; set; }
		public virtual string SupplierCd { get; set; }
		public virtual string IsActive { get; set; }
	}
	public class CreateOrEditMstInvPIOEmailDto : EntityDto&lt;long?&gt;	
	{
		[StringLength(MstInvPIOEmailConsts.MaxSubjectLength)]
		public virtual string Subject { get; set; }
		[StringLength(MstInvPIOEmailConsts.MaxToLength)]
		public virtual string To { get; set; }
		[StringLength(MstInvPIOEmailConsts.MaxCcLength)]
		public virtual string Cc { get; set; }
		[StringLength(MstInvPIOEmailConsts.MaxBodyMessLength)]
		public virtual string BodyMess { get; set; }
		[StringLength(MstInvPIOEmailConsts.MaxSupplierCdLength)]
		public virtual string SupplierCd { get; set; }
		[StringLength(MstInvPIOEmailConsts.MaxIsActiveLength)]
		public virtual string IsActive { get; set; }
	}
	public class GetMstInvPIOEmailInput : PagedAndSortedResultRequestDto	
	{
		public virtual string Subject { get; set; }
		public virtual string To { get; set; }
		public virtual string Cc { get; set; }
		public virtual string BodyMess { get; set; }
		public virtual string SupplierCd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perMstInvPIOEmail = PARENTS.CreateChildPermission(AppPermissions.Pages_Master_Inventory_PIOEmail, L( "MasterInventoryPIOEmail"), multiTenancySides: MultiTenancySides.Tenant);
		perMstInvPIOEmail.CreateChildPermission(AppPermissions.Pages_Master_Inventory_PIOEmail_CreateEdit, L( "MasterInventoryPIOEmailCreateEdit"), multiTenancySides: MultiTenancySides.Tenant);
		perMstInvPIOEmail.CreateChildPermission(AppPermissions.Pages_Master_Inventory_PIOEmail_Delete, L( "MasterInventoryPIOEmailDelete"),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Pages_Master_Inventory_PIOEmail = "Pages.Master.Inventory.PIOEmail";
		public const string Pages_Master_Inventory_PIOEmail_CreateEdit = "Pages.Master.Inventory.PIOEmail.CreateEdit";
		public const string Pages_Master_Inventory_PIOEmail_Delete = "Pages.Master.Inventory.PIOEmail.Delete";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IMstInvPIOEmailAppService : IApplicationService
	{
		Task&lt;PagedResultDto&lt;MstInvPIOEmailDto&gt;&gt; GetAll(GetMstInvPIOEmailInput input);
		Task CreateOrEdit(CreateOrEditMstInvPIOEmailDto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[AbpAuthorize(AppPermissions.Pages_Master_Inventory_PIOEmail)]
    public class MstInvPIOEmailAppService : vovinaAppServiceBase, IMstInvPIOEmailAppService
    {
        private readonly IDapperRepository&lt;MstInvPIOEmail, long&gt; _dapperRepo;
        private readonly IRepository&lt;MstInvPIOEmail, long&gt; _repo;
        private readonly IMstInvPIOEmailExcelExporter _calendarListExcelExporter;
        public MstInvPIOEmailAppService(IRepository&lt;MstInvPIOEmail,long&gt; repo, 
                                         IDapperRepository&lt;MstInvPIOEmail,long&gt; dapperRepo,
                                        IMstInvPIOEmailExcelExporter calendarListExcelExporter
            )
        {
            _repo = repo;
            _dapperRepo = dapperRepo;
            _calendarListExcelExporter = calendarListExcelExporter;
        }
        [AbpAuthorize(AppPermissions.Pages_Master_Inventory_PIOEmail_CreateEdit)]
        public async Task CreateOrEdit(CreateOrEditMstInvPIOEmailDto input)
        {
            if (input.Id == null) await Create(input);
            else await Update(input);
        }
        //CREATE
        private async Task Create(CreateOrEditMstInvPIOEmailDto input)
        {          
            var mainObj = ObjectMapper.Map&lt;MstInvPIOEmail&gt;(input);
            await CurrentUnitOfWork.GetDbContext&lt;vovinaDbContext&gt;().AddAsync(mainObj);
        }
        // EDIT
        private async Task Update(CreateOrEditMstInvPIOEmailDto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[AbpAuthorize(AppPermissions.Pages_Master_Inventory_PIOEmail_Delete)]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Task&lt;PagedResultDto&lt;MstInvPIOEmailDto&gt;&gt; GetAll(GetMstInvPIOEmailInput input)
        {
            var filtered = _repo.GetAll()
				.WhereIf(!string.IsNullOrWhiteSpace(input.Subject), e =&gt; e.Subject.Contains(input.Subject))
				.WhereIf(!string.IsNullOrWhiteSpace(input.To), e =&gt; e.To.Contains(input.To))
				.WhereIf(!string.IsNullOrWhiteSpace(input.Cc), e =&gt; e.Cc.Contains(input.Cc))
				.WhereIf(!string.IsNullOrWhiteSpace(input.BodyMess), e =&gt; e.BodyMess.Contains(input.BodyMess))
				.WhereIf(!string.IsNullOrWhiteSpace(input.SupplierCd), e =&gt; e.SupplierCd.Contains(input.SupplierCd))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MstInvPIOEmailDto
                        {
							Id = o.Id,
							Subject = o.Subject,
							To = o.To,
							Cc = o.Cc,
							BodyMess = o.BodyMess,
							SupplierCd = o.SupplierCd,
							IsActive = o.IsActive,
                        };
            var totalCount = await filtered.CountAsync();
			var paged = system.PageBy(input);
            return new PagedResultDto&lt;MstInvPIOEmailDto&gt;(
                totalCount,
                 await paged.ToListAsync()
            );
        }
        public async Task&lt;FileDto&gt; GetPIOEmailToExcel(MstInvPIOEmailExportInput input)
        {
            var query = from o in _repo.GetAll()
                        select new MstInvPIOEmailDto
                        {
							Id = o.Id,
							Subject = o.Subject,
							To = o.To,
							Cc = o.Cc,
							BodyMess = o.BodyMess,
							SupplierCd = o.SupplierCd,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_dapperRepo.ExecuteAsync(MstInvPIOEmailConsts.SP_MST_WPT_CALENDAR_GENERATE);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prod.Master.Inventory.Dto
{
	public class MstInvPIOEmailExportInput{
		public virtual string Subject { get; set; }
		public virtual string To { get; set; }
		public virtual string Cc { get; set; }
		public virtual string BodyMess { get; set; }
		public virtual string SupplierCd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IMstInvPIOEmailExcelExporter : IApplicationService
	{
		FileDto ExportToFile(List&lt;MstInvPIOEmailDto&gt; mstinvpioemail);
	}
}
</v>
      </c>
      <c r="T7" s="26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MstInvPIOEmailExcelExporter : NpoiExcelExporterBase, IMstInvPIOEmailExcelExporter
    {
        public MstInvPIOEmailExcelExporter(ITempFileCacheManager tempFileCacheManager) : base(tempFileCacheManager) { }
        public FileDto ExportToFile(List&lt;MstInvPIOEmailDto&gt; pioemail)
        {
            return CreateExcelPackage(
				"MasterInventoryPIOEmail.xlsx",
				excelPackage =&gt;
				 {
					var sheet = excelPackage.CreateSheet("PIOEmail");
					AddHeader(
								sheet,
								("Subject"),
								("To"),
								("Cc"),
								("BodyMess"),
								("SupplierCd"),
								("IsActive"),
							   );
					AddObjects(
						 sheet, 1, pioemail,                                       
								_ =&gt; _.Subject,
								_ =&gt; _.To,
								_ =&gt; _.Cc,
								_ =&gt; _.BodyMess,
								_ =&gt; _.SupplierCd,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configuration.CreateMap&lt;MstInvPIOEmailDto, MstInvPIOEmail&gt;();
  configuration.CreateMap&lt;MstInvPIOEmail, MstInvPIOEmailDto&gt;();
  configuration.CreateMap&lt;CreateOrEditMstInvPIOEmailDto, MstInvPIOEmail&gt;();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359</v>
      </c>
      <c r="B9" s="28" t="s">
        <v>365</v>
      </c>
      <c r="C9" t="s">
        <v>1</v>
      </c>
      <c r="D9" t="str">
        <f t="shared" ref="D9" si="0">SUBSTITUTE(PROPER(A9),"_","")</f>
        <v>Subject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200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MaxSubjectLength = 200;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[StringLength(MaxSubjectLength)]
		public virtual string Subject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Subject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[StringLength(MstInvPIOEmailConsts.MaxSubjectLength)]
		public virtual string Subject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Subject { get; set; }
</v>
      </c>
      <c r="P9" t="str">
        <f t="shared" ref="P9" si="9">REPT(CHAR(9),7)&amp;D9&amp;" = o." &amp;D9 &amp;","</f>
        <v xml:space="preserve">							Subject = o.Subject,</v>
      </c>
      <c r="T9" s="63" t="str">
        <f t="shared" ref="T9" si="10">REPT(CHAR(9),8)&amp;"("""&amp;D9&amp;"""),"</f>
        <v xml:space="preserve">								("Subject"),</v>
      </c>
      <c r="V9" s="64" t="str">
        <f t="shared" ref="V9" si="11">REPT(CHAR(9),8)&amp;"_ =&gt; _."&amp;D9&amp;","</f>
        <v xml:space="preserve">								_ =&gt; _.Subject,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.WhereIf(!string.IsNullOrWhiteSpace(input.Subject), e =&gt; e.Subject.Contains(input.Subject))</v>
      </c>
    </row>
    <row r="10" spans="1:23" customFormat="1" ht="18.75" customHeight="1" x14ac:dyDescent="0.25">
      <c r="A10" s="28" t="s">
        <v>360</v>
      </c>
      <c r="B10" s="28" t="s">
        <v>358</v>
      </c>
      <c r="C10" t="s">
        <v>1</v>
      </c>
      <c r="D10" t="str">
        <f t="shared" ref="D10" si="13">SUBSTITUTE(PROPER(A10),"_","")</f>
        <v>To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1000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MaxToLength = 1000;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[StringLength(MaxToLength)]
		public virtual string To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To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[StringLength(MstInvPIOEmailConsts.MaxToLength)]
		public virtual string To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To { get; set; }
</v>
      </c>
      <c r="P10" t="str">
        <f t="shared" ref="P10" si="22">REPT(CHAR(9),7)&amp;D10&amp;" = o." &amp;D10 &amp;","</f>
        <v xml:space="preserve">							To = o.To,</v>
      </c>
      <c r="T10" s="63" t="str">
        <f t="shared" ref="T10" si="23">REPT(CHAR(9),8)&amp;"("""&amp;D10&amp;"""),"</f>
        <v xml:space="preserve">								("To"),</v>
      </c>
      <c r="V10" s="64" t="str">
        <f t="shared" ref="V10" si="24">REPT(CHAR(9),8)&amp;"_ =&gt; _."&amp;D10&amp;","</f>
        <v xml:space="preserve">								_ =&gt; _.To,</v>
      </c>
      <c r="W10" s="63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.WhereIf(!string.IsNullOrWhiteSpace(input.To), e =&gt; e.To.Contains(input.To))</v>
      </c>
    </row>
    <row r="11" spans="1:23" customFormat="1" ht="18.75" customHeight="1" x14ac:dyDescent="0.25">
      <c r="A11" s="28" t="s">
        <v>361</v>
      </c>
      <c r="B11" s="28" t="s">
        <v>358</v>
      </c>
      <c r="C11" t="s">
        <v>1</v>
      </c>
      <c r="D11" t="str">
        <f t="shared" ref="D11:D13" si="26">SUBSTITUTE(PROPER(A11),"_","")</f>
        <v>Cc</v>
      </c>
      <c r="E11" t="str">
        <f t="shared" ref="E11:E13" si="27">IFERROR(LEFT(B11, FIND("(",B11)-1),B11)</f>
        <v>nvarchar</v>
      </c>
      <c r="F11" s="6"/>
      <c r="G11" t="str">
        <f t="shared" ref="G11:G13" si="28">IFERROR(MID(B11,FIND("(",B11) +1, FIND(")",B11) - FIND("(",B11) - 1),"")</f>
        <v>1000</v>
      </c>
      <c r="H11" t="str">
        <f>+VLOOKUP(E11,'Data Type Mapping'!A:B,2,)</f>
        <v>string</v>
      </c>
      <c r="I11" t="str">
        <f t="shared" ref="I11:I13" si="29">IF(H11="string",REPT(CHAR(9),2)&amp;"public const int Max"&amp;D11&amp;"Length = "&amp;G11&amp;";"&amp;$E$3,"" )</f>
        <v xml:space="preserve">		public const int MaxCcLength = 1000;
</v>
      </c>
      <c r="J11" t="str">
        <f t="shared" ref="J11:J13" si="3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[StringLength(MaxCcLength)]
		public virtual string Cc { get; set; }
</v>
      </c>
      <c r="K11" s="6"/>
      <c r="L11" t="str">
        <f t="shared" ref="L11:L13" si="31">IF(K11="","",REPT(CHAR(9),1)&amp;"[Index(nameof("&amp;IF(D11="","",""&amp;D11)&amp;")"&amp;", Name="&amp;"""IX_"&amp;$B$7&amp;"_"&amp;D11&amp;""")]")</f>
        <v/>
      </c>
      <c r="M11" t="str">
        <f t="shared" ref="M11:M13" si="32">REPT(CHAR(9),2)&amp;"public virtual "&amp;IF(OR(H11="DateTime",H11="TimeSpan"),H11&amp;"?",H11)&amp;IF(C11="?","? "," ")&amp;D11&amp;" { get; set; }" &amp; "
"</f>
        <v xml:space="preserve">		public virtual string Cc { get; set; }
</v>
      </c>
      <c r="N11" t="str">
        <f t="shared" ref="N11:N13" si="3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[StringLength(MstInvPIOEmailConsts.MaxCcLength)]
		public virtual string Cc { get; set; }
</v>
      </c>
      <c r="O11" t="str">
        <f t="shared" ref="O11:O13" si="34">IF(OR(H11="string",H11="DateTime",H11="int"),REPT(CHAR(9),2)&amp;"public virtual "&amp;IF(OR(H11="DateTime",H11="TimeSpan"),H11&amp;"?",H11)&amp;IF(C11="?","? "," ")&amp;D11&amp;" { get; set; }"&amp;$E$3,"")</f>
        <v xml:space="preserve">		public virtual string Cc { get; set; }
</v>
      </c>
      <c r="P11" t="str">
        <f t="shared" ref="P11:P13" si="35">REPT(CHAR(9),7)&amp;D11&amp;" = o." &amp;D11 &amp;","</f>
        <v xml:space="preserve">							Cc = o.Cc,</v>
      </c>
      <c r="T11" s="63" t="str">
        <f t="shared" ref="T11:T13" si="36">REPT(CHAR(9),8)&amp;"("""&amp;D11&amp;"""),"</f>
        <v xml:space="preserve">								("Cc"),</v>
      </c>
      <c r="V11" s="64" t="str">
        <f t="shared" ref="V11:V13" si="37">REPT(CHAR(9),8)&amp;"_ =&gt; _."&amp;D11&amp;","</f>
        <v xml:space="preserve">								_ =&gt; _.Cc,</v>
      </c>
      <c r="W11" s="63" t="str">
        <f t="shared" ref="W11:W13" si="3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.WhereIf(!string.IsNullOrWhiteSpace(input.Cc), e =&gt; e.Cc.Contains(input.Cc))</v>
      </c>
    </row>
    <row r="12" spans="1:23" customFormat="1" ht="18.75" customHeight="1" x14ac:dyDescent="0.25">
      <c r="A12" s="28" t="s">
        <v>362</v>
      </c>
      <c r="B12" s="28" t="s">
        <v>366</v>
      </c>
      <c r="C12" t="s">
        <v>1</v>
      </c>
      <c r="D12" t="str">
        <f t="shared" si="26"/>
        <v>BodyMess</v>
      </c>
      <c r="E12" t="str">
        <f t="shared" si="27"/>
        <v>nvarchar</v>
      </c>
      <c r="F12" s="6"/>
      <c r="G12" t="str">
        <f t="shared" si="28"/>
        <v>5000</v>
      </c>
      <c r="H12" t="str">
        <f>+VLOOKUP(E12,'Data Type Mapping'!A:B,2,)</f>
        <v>string</v>
      </c>
      <c r="I12" t="str">
        <f t="shared" si="29"/>
        <v xml:space="preserve">		public const int MaxBodyMessLength = 5000;
</v>
      </c>
      <c r="J12" t="str">
        <f t="shared" si="30"/>
        <v xml:space="preserve">		[StringLength(MaxBodyMessLength)]
		public virtual string BodyMess { get; set; }
</v>
      </c>
      <c r="K12" s="6"/>
      <c r="L12" t="str">
        <f t="shared" si="31"/>
        <v/>
      </c>
      <c r="M12" t="str">
        <f t="shared" si="32"/>
        <v xml:space="preserve">		public virtual string BodyMess { get; set; }
</v>
      </c>
      <c r="N12" t="str">
        <f t="shared" si="33"/>
        <v xml:space="preserve">		[StringLength(MstInvPIOEmailConsts.MaxBodyMessLength)]
		public virtual string BodyMess { get; set; }
</v>
      </c>
      <c r="O12" t="str">
        <f t="shared" si="34"/>
        <v xml:space="preserve">		public virtual string BodyMess { get; set; }
</v>
      </c>
      <c r="P12" t="str">
        <f t="shared" si="35"/>
        <v xml:space="preserve">							BodyMess = o.BodyMess,</v>
      </c>
      <c r="T12" s="63" t="str">
        <f t="shared" si="36"/>
        <v xml:space="preserve">								("BodyMess"),</v>
      </c>
      <c r="V12" s="64" t="str">
        <f t="shared" si="37"/>
        <v xml:space="preserve">								_ =&gt; _.BodyMess,</v>
      </c>
      <c r="W12" s="63" t="str">
        <f t="shared" si="38"/>
        <v xml:space="preserve">				.WhereIf(!string.IsNullOrWhiteSpace(input.BodyMess), e =&gt; e.BodyMess.Contains(input.BodyMess))</v>
      </c>
    </row>
    <row r="13" spans="1:23" customFormat="1" ht="18.75" customHeight="1" x14ac:dyDescent="0.25">
      <c r="A13" s="28" t="s">
        <v>363</v>
      </c>
      <c r="B13" s="28" t="s">
        <v>365</v>
      </c>
      <c r="C13" t="s">
        <v>1</v>
      </c>
      <c r="D13" t="str">
        <f t="shared" si="26"/>
        <v>SupplierCd</v>
      </c>
      <c r="E13" t="str">
        <f t="shared" si="27"/>
        <v>nvarchar</v>
      </c>
      <c r="F13" s="6"/>
      <c r="G13" t="str">
        <f t="shared" si="28"/>
        <v>200</v>
      </c>
      <c r="H13" t="str">
        <f>+VLOOKUP(E13,'Data Type Mapping'!A:B,2,)</f>
        <v>string</v>
      </c>
      <c r="I13" t="str">
        <f t="shared" si="29"/>
        <v xml:space="preserve">		public const int MaxSupplierCdLength = 200;
</v>
      </c>
      <c r="J13" t="str">
        <f t="shared" si="30"/>
        <v xml:space="preserve">		[StringLength(MaxSupplierCdLength)]
		public virtual string SupplierCd { get; set; }
</v>
      </c>
      <c r="K13" s="6"/>
      <c r="L13" t="str">
        <f t="shared" si="31"/>
        <v/>
      </c>
      <c r="M13" t="str">
        <f t="shared" si="32"/>
        <v xml:space="preserve">		public virtual string SupplierCd { get; set; }
</v>
      </c>
      <c r="N13" t="str">
        <f t="shared" si="33"/>
        <v xml:space="preserve">		[StringLength(MstInvPIOEmailConsts.MaxSupplierCdLength)]
		public virtual string SupplierCd { get; set; }
</v>
      </c>
      <c r="O13" t="str">
        <f t="shared" si="34"/>
        <v xml:space="preserve">		public virtual string SupplierCd { get; set; }
</v>
      </c>
      <c r="P13" t="str">
        <f t="shared" si="35"/>
        <v xml:space="preserve">							SupplierCd = o.SupplierCd,</v>
      </c>
      <c r="T13" s="63" t="str">
        <f t="shared" si="36"/>
        <v xml:space="preserve">								("SupplierCd"),</v>
      </c>
      <c r="V13" s="64" t="str">
        <f t="shared" si="37"/>
        <v xml:space="preserve">								_ =&gt; _.SupplierCd,</v>
      </c>
      <c r="W13" s="63" t="str">
        <f t="shared" si="38"/>
        <v xml:space="preserve">				.WhereIf(!string.IsNullOrWhiteSpace(input.SupplierCd), e =&gt; e.SupplierCd.Contains(input.SupplierCd))</v>
      </c>
    </row>
    <row r="14" spans="1:23" customFormat="1" ht="18.75" customHeight="1" x14ac:dyDescent="0.25">
      <c r="A14" s="28" t="s">
        <v>364</v>
      </c>
      <c r="B14" s="28" t="s">
        <v>367</v>
      </c>
      <c r="C14" t="s">
        <v>1</v>
      </c>
      <c r="D14" t="str">
        <f t="shared" ref="D14" si="39">SUBSTITUTE(PROPER(A14),"_","")</f>
        <v>IsActive</v>
      </c>
      <c r="E14" t="str">
        <f t="shared" ref="E14" si="40">IFERROR(LEFT(B14, FIND("(",B14)-1),B14)</f>
        <v>nvarchar</v>
      </c>
      <c r="F14" s="6"/>
      <c r="G14" t="str">
        <f t="shared" ref="G14" si="41">IFERROR(MID(B14,FIND("(",B14) +1, FIND(")",B14) - FIND("(",B14) - 1),"")</f>
        <v>1</v>
      </c>
      <c r="H14" t="str">
        <f>+VLOOKUP(E14,'Data Type Mapping'!A:B,2,)</f>
        <v>string</v>
      </c>
      <c r="I14" t="str">
        <f t="shared" ref="I14" si="42">IF(H14="string",REPT(CHAR(9),2)&amp;"public const int Max"&amp;D14&amp;"Length = "&amp;G14&amp;";"&amp;$E$3,"" )</f>
        <v xml:space="preserve">		public const int MaxIsActiveLength = 1;
</v>
      </c>
      <c r="J14" t="str">
        <f t="shared" ref="J14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[StringLength(MaxIsActiveLength)]
		public virtual string IsActive { get; set; }
</v>
      </c>
      <c r="K14" s="6"/>
      <c r="L14" t="str">
        <f t="shared" ref="L14" si="44">IF(K14="","",REPT(CHAR(9),1)&amp;"[Index(nameof("&amp;IF(D14="","",""&amp;D14)&amp;")"&amp;", Name="&amp;"""IX_"&amp;$B$7&amp;"_"&amp;D14&amp;""")]")</f>
        <v/>
      </c>
      <c r="M14" t="str">
        <f t="shared" ref="M14" si="45">REPT(CHAR(9),2)&amp;"public virtual "&amp;IF(OR(H14="DateTime",H14="TimeSpan"),H14&amp;"?",H14)&amp;IF(C14="?","? "," ")&amp;D14&amp;" { get; set; }" &amp; "
"</f>
        <v xml:space="preserve">		public virtual string IsActive { get; set; }
</v>
      </c>
      <c r="N14" t="str">
        <f t="shared" ref="N14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[StringLength(MstInvPIOEmailConsts.MaxIsActiveLength)]
		public virtual string IsActive { get; set; }
</v>
      </c>
      <c r="O14" t="str">
        <f t="shared" ref="O14" si="47">IF(OR(H14="string",H14="DateTime",H14="int"),REPT(CHAR(9),2)&amp;"public virtual "&amp;IF(OR(H14="DateTime",H14="TimeSpan"),H14&amp;"?",H14)&amp;IF(C14="?","? "," ")&amp;D14&amp;" { get; set; }"&amp;$E$3,"")</f>
        <v xml:space="preserve">		public virtual string IsActive { get; set; }
</v>
      </c>
      <c r="P14" t="str">
        <f t="shared" ref="P14" si="48">REPT(CHAR(9),7)&amp;D14&amp;" = o." &amp;D14 &amp;","</f>
        <v xml:space="preserve">							IsActive = o.IsActive,</v>
      </c>
      <c r="T14" s="63" t="str">
        <f t="shared" ref="T14" si="49">REPT(CHAR(9),8)&amp;"("""&amp;D14&amp;"""),"</f>
        <v xml:space="preserve">								("IsActive"),</v>
      </c>
      <c r="V14" s="64" t="str">
        <f t="shared" ref="V14" si="50">REPT(CHAR(9),8)&amp;"_ =&gt; _."&amp;D14&amp;","</f>
        <v xml:space="preserve">								_ =&gt; _.IsActive,</v>
      </c>
      <c r="W14" s="63" t="str">
        <f t="shared" ref="W14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.WhereIf(!string.IsNullOrWhiteSpace(input.IsActive), e =&gt; e.IsActive.Contains(input.IsActive))</v>
      </c>
    </row>
    <row r="16" spans="1:23" ht="45.75" customHeight="1" x14ac:dyDescent="0.25">
      <c r="H16" s="11"/>
      <c r="I16" s="31" t="str">
        <f ca="1">TEXTJOIN2("
", TRUE,INDIRECT( $H$1):INDIRECT( $H$3))</f>
        <v xml:space="preserve">		public const int MaxSubjectLength = 200;
		public const int MaxToLength = 1000;
		public const int MaxCcLength = 1000;
		public const int MaxBodyMessLength = 5000;
		public const int MaxSupplierCdLength = 200;
		public const int MaxIsActiveLength = 1;
</v>
      </c>
      <c r="J16" s="30" t="str">
        <f ca="1">TEXTJOIN2("
", TRUE,INDIRECT( $F$1):INDIRECT( $F$3))</f>
        <v xml:space="preserve">		[StringLength(MaxSubjectLength)]
		public virtual string Subject { get; set; }
		[StringLength(MaxToLength)]
		public virtual string To { get; set; }
		[StringLength(MaxCcLength)]
		public virtual string Cc { get; set; }
		[StringLength(MaxBodyMessLength)]
		public virtual string BodyMess { get; set; }
		[StringLength(MaxSupplierCdLength)]
		public virtual string SupplierCd { get; set; }
		[StringLength(MaxIsActiveLength)]
		public virtual string IsActive { get; set; }
</v>
      </c>
      <c r="K16" s="32" t="str">
        <f ca="1">TEXTJOIN2("
", TRUE,INDIRECT( $J$1):INDIRECT( $J$3))</f>
        <v/>
      </c>
      <c r="L16" s="12" t="s">
        <v>56</v>
      </c>
      <c r="M16" s="33" t="str">
        <f ca="1">TEXTJOIN2("
",TRUE,INDIRECT( $L$1):INDIRECT($L$3))</f>
        <v xml:space="preserve">		public virtual string Subject { get; set; }
		public virtual string To { get; set; }
		public virtual string Cc { get; set; }
		public virtual string BodyMess { get; set; }
		public virtual string SupplierCd { get; set; }
		public virtual string IsActive { get; set; }
</v>
      </c>
      <c r="N16" s="30" t="str">
        <f ca="1">TEXTJOIN2("
",TRUE,INDIRECT( $M$1):INDIRECT($M$3))</f>
        <v xml:space="preserve">		[StringLength(MstInvPIOEmailConsts.MaxSubjectLength)]
		public virtual string Subject { get; set; }
		[StringLength(MstInvPIOEmailConsts.MaxToLength)]
		public virtual string To { get; set; }
		[StringLength(MstInvPIOEmailConsts.MaxCcLength)]
		public virtual string Cc { get; set; }
		[StringLength(MstInvPIOEmailConsts.MaxBodyMessLength)]
		public virtual string BodyMess { get; set; }
		[StringLength(MstInvPIOEmailConsts.MaxSupplierCdLength)]
		public virtual string SupplierCd { get; set; }
		[StringLength(MstInvPIOEmailConsts.MaxIsActiveLength)]
		public virtual string IsActive { get; set; }
</v>
      </c>
      <c r="O16" s="30" t="str">
        <f ca="1">TEXTJOIN2("
",TRUE,INDIRECT( $N$1):INDIRECT($N$3))</f>
        <v xml:space="preserve">		public virtual string Subject { get; set; }
		public virtual string To { get; set; }
		public virtual string Cc { get; set; }
		public virtual string BodyMess { get; set; }
		public virtual string SupplierCd { get; set; }
		public virtual string IsActive { get; set; }
</v>
      </c>
      <c r="P16" s="8" t="str">
        <f ca="1">TEXTJOIN2("
",TRUE,INDIRECT( $O$1):INDIRECT($O$3))</f>
        <v xml:space="preserve">							Subject = o.Subject,
							To = o.To,
							Cc = o.Cc,
							BodyMess = o.BodyMess,
							SupplierCd = o.SupplierCd,
							IsActive = o.IsActive,</v>
      </c>
      <c r="T16" s="8" t="str">
        <f ca="1">TEXTJOIN2("
",TRUE,INDIRECT( $T$2):INDIRECT($T$3))</f>
        <v xml:space="preserve">								("Subject"),
								("To"),
								("Cc"),
								("BodyMess"),
								("SupplierCd"),
								("IsActive"),</v>
      </c>
      <c r="V16" s="8" t="str">
        <f ca="1">TEXTJOIN2("
",TRUE,INDIRECT( $V$2):INDIRECT($V$3))</f>
        <v xml:space="preserve">								_ =&gt; _.Subject,
								_ =&gt; _.To,
								_ =&gt; _.Cc,
								_ =&gt; _.BodyMess,
								_ =&gt; _.SupplierCd,
								_ =&gt; _.IsActive,</v>
      </c>
      <c r="W16" s="8" t="str">
        <f ca="1">TEXTJOIN2("
",TRUE,INDIRECT( $W$2):INDIRECT($W$3))</f>
        <v xml:space="preserve">				.WhereIf(!string.IsNullOrWhiteSpace(input.Subject), e =&gt; e.Subject.Contains(input.Subject))
				.WhereIf(!string.IsNullOrWhiteSpace(input.To), e =&gt; e.To.Contains(input.To))
				.WhereIf(!string.IsNullOrWhiteSpace(input.Cc), e =&gt; e.Cc.Contains(input.Cc))
				.WhereIf(!string.IsNullOrWhiteSpace(input.BodyMess), e =&gt; e.BodyMess.Contains(input.BodyMess))
				.WhereIf(!string.IsNullOrWhiteSpace(input.SupplierCd), e =&gt; e.SupplierCd.Contains(input.SupplierCd))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2"/>
  <sheetViews>
    <sheetView workbookViewId="0">
      <selection activeCell="C15" sqref="C15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368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Inventory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inventory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MstInvPIOEmail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PIOEmail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pioemail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MstInvPIOEmailDto, MstInvPIOEmailServiceProxy } from '@shared/service-proxies/service-proxies';
import { finalize } from 'rxjs/internal/operators/finalize';
import { CreateOrEditPIOEmailModalComponent } from './create-or-edit-pioemail-modal.component';
import { DatePipe } from '@angular/common';
import { FileDownloadService } from '@shared/utils/file-download.service';
import ceil from 'lodash-es/ceil';
import { Paginator } from 'primeng/paginator';
@Component({
    templateUrl: './pioemail.component.html',
    styleUrls: ['./pioemail.component.less'],
})
export class PIOEmailComponent extends AppComponentBase implements OnInit {
    @ViewChild('createOrEditModalPIOEmail', { static: true }) createOrEditModalPIOEmail:| CreateOrEditPIOEmailModalComponent|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MstInvPIOEmailDto = new MstInvPIOEmailDto();
    saveSelectedRow: MstInvPIOEmailDto = new MstInvPIOEmailDto();
    datas: MstInvPIOEmailDto = new MstInvPIOEmailDto();
    isLoading: boolean = false;
    dataParams: GridParams | undefined;
    rowData: any[] = [];
    gridApi!: GridApi;
    rowSelection = 'multiple';
    filter: string = '';
	pipe = new DatePipe('en-US');
	frameworkComponents: FrameworkComponent;
    	subject : string = '' ; 
	to : string = '' ; 
	cc : string = '' ; 
	bodyMess : string = '' ; 
	supplierCd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MstInvPIOEmailServiceProxy,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this.l('Subject'),headerTooltip: this.l('Subject'),field: 'subject',flex: 1},
			{headerName: this.l('To'),headerTooltip: this.l('To'),field: 'to',flex: 1},
			{headerName: this.l('Cc'),headerTooltip: this.l('Cc'),field: 'cc',flex: 1},
			{headerName: this.l('Body Mess'),headerTooltip: this.l('Body Mess'),field: 'bodyMess',flex: 1},
			{headerName: this.l('Supplier Cd'),headerTooltip: this.l('Supplier Cd'),field: 'supplierCd',flex: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this.subject,
			this.to,
			this.cc,
			this.bodyMess,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subject : string = '' ; 
	to : string = '' ; 
	cc : string = '' ; 
	bodyMess : string = '' ; 
	supplierCd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this.subject,
			this.to,
			this.cc,
			this.bodyMess,
			'',
            this.paginationParams.skipCount,
            this.paginationParams.pageSize
        );
    }
    onChangeRowSelection(params: { api: { getSelectedRows: () =&gt; MstInvPIOEmailDto[] } }) {
        this.saveSelectedRow = params.api.getSelectedRows()[0] ?? new MstInvPIOEmailDto();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MstInvPIOEmailDto):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this._service.getPIOEmailToExcel(
			this.,
			this.subject,
			this.to,
			this.cc,
			this.bodyMess,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PIO Email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[(ngModel)]='subject' name='subject'
									class='form-control' [placeholder]="l('Subject')"
									type='text' (keyup.enter)='searchDatas()'&gt;
								&lt;/div&gt;
								&lt;div class='input-search'&gt;
									&lt;input [(ngModel)]='to' name='to'
									class='form-control' [placeholder]="l('To')"
									type='text' (keyup.enter)='searchDatas()'&gt;
								&lt;/div&gt;
								&lt;div class='input-search'&gt;
									&lt;input [(ngModel)]='cc' name='cc'
									class='form-control' [placeholder]="l('Cc')"
									type='text' (keyup.enter)='searchDatas()'&gt;
								&lt;/div&gt;
								&lt;div class='input-search'&gt;
									&lt;input [(ngModel)]='bodyMess' name='bodyMess'
									class='form-control' [placeholder]="l('Body Mess')"
									type='text' (keyup.enter)='searchDatas()'&gt;
								&lt;/div&gt;
								&lt;div class='input-search'&gt;
									&lt;input [(ngModel)]='supplierCd' name='supplierCd'
									class='form-control' [placeholder]="l('Supplier Cd')"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(click)="createOrEditModalPIOEmail.show()"&gt;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(click)="createOrEditModalPIOEmail.show(selectedRow)"&gt;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&lt;create-or-edit-pioemail-modal
    #createOrEditModalPIOEmail
    (modalSave)="callBackDataGrid(dataParams)"
    (modalClose)="onChangeRowSelection(dataParams)"
&gt;
&lt;/create-or-edit-pioemail-modal&gt;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#createOrEditModalPIOEmail="bs-modal"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PIOEmail')}}&lt;/h3&gt;
                    &lt;h3 *ngIf="!rowdata.id"&gt;{{('Create New PIOEmail')}}&lt;/h3&gt;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title'&gt;Subject&lt;/label&gt;
						&lt;input type='text' class='col-md-10 form-control input-text' name='Subject' [(ngModel)]='rowdata.subject'&gt;
					&lt;/div&gt;
					&lt;div class='col-md-12 form-group row'&gt;
						&lt;label class='col-md-2 form-control title'&gt;To&lt;/label&gt;
						&lt;input type='text' class='col-md-10 form-control input-text' name='To' [(ngModel)]='rowdata.to'&gt;
					&lt;/div&gt;
					&lt;div class='col-md-12 form-group row'&gt;
						&lt;label class='col-md-2 form-control title'&gt;Cc&lt;/label&gt;
						&lt;input type='text' class='col-md-10 form-control input-text' name='Cc' [(ngModel)]='rowdata.cc'&gt;
					&lt;/div&gt;
					&lt;div class='col-md-12 form-group row'&gt;
						&lt;label class='col-md-2 form-control title'&gt;Body Mess&lt;/label&gt;
						&lt;input type='text' class='col-md-10 form-control input-text' name='BodyMess' [(ngModel)]='rowdata.bodyMess'&gt;
					&lt;/div&gt;
					&lt;div class='col-md-12 form-group row'&gt;
						&lt;label class='col-md-2 form-control title'&gt;Supplier Cd&lt;/label&gt;
						&lt;input type='text' class='col-md-10 form-control input-text' name='SupplierCd' [(ngModel)]='rowdata.supplierCd'&gt;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CreateOrEditMstInvPIOEmailDto, MstInvPIOEmailServiceProxy } from '@shared/service-proxies/service-proxies';
import { BsDatepickerDirective } from 'ngx-bootstrap/datepicker';
@Component({
    selector: 'create-or-edit-pioemail-modal',
    templateUrl: './create-or-edit-pioemail-modal.component.html',
    styleUrls: ['./create-or-edit-pioemail-modal.component.less']
    })
export class CreateOrEditPIOEmailModalComponent extends AppComponentBase {
    @ViewChild('createOrEditModalPIOEmail',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CreateOrEditMstInvPIOEmailDto = new CreateOrEditMstInvPIOEmailDto();
    active: boolean = false;
    saving: boolean = false;
    _isActive: boolean;
    constructor(
        injector: Injector,
        private _mstwptPIOEmailService: MstInvPIOEmailServiceProxy,
    ) 
    {
        super(injector);
    }
    show(rowdata?: CreateOrEditMstInvPIOEmailDto): void {
        if (!rowdata) this.rowdata = new CreateOrEditMstInvPIOEmailDto();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this._mstwptPIOEmailService.createOrEdit(this.rowdata)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PIOEmailRoutingModule } from './pioemail-routing.module';
import { PIOEmailComponent } from './pioemail.component';
import { CreateOrEditPIOEmailModalComponent } from './create-or-edit-pioemail-modal.component';
@NgModule({
    declarations: [
       PIOEmailComponent, 
        CreateOrEditPIOEmailModalComponent
    ],
    imports: [
        AppSharedModule, PIOEmailRoutingModule]
})
export class PIOEmailModule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PIOEmailComponent } from './pioemail.component';
const routes: Routes = [{
    path: '',
    component: PIOEmailComponent,
    pathMatch: 'full'
}];
@NgModule({
    imports: [RouterModule.forChild(routes)],
    exports: [RouterModule],
})
export class PIOEmailRoutingModule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AppMenuItem("PIOEmail", "Pages.Master.Inventory.PIOEmail", "flaticon-book",   "/app/main/master/inventory/pioemail"),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'master/inventory/pioemail',
    loadChildren: () =&gt; import('./master/inventory/pioemail/pioemail.module').then(m =&gt; m.PIOEmailModule),
    data: { permission: 'Pages.Master.Inventory.PIOEmail' }
},</v>
      </c>
      <c r="R10" s="47" t="str">
        <f>SUBSTITUTE(R9,"MstWptCalendar",$B$6)</f>
        <v>ApiServiceProxies.MstInvPIOEmailServiceProxy,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H20</v>
      </c>
      <c r="I12" s="28" t="str">
        <f>"I"&amp;COUNTA($A:$A)</f>
        <v>I20</v>
      </c>
      <c r="J12" s="28"/>
      <c r="K12" s="28" t="str">
        <f>"K"&amp;COUNTA($A:$A)</f>
        <v>K20</v>
      </c>
      <c r="L12" s="28" t="str">
        <f>"L"&amp;COUNTA($A:$A)</f>
        <v>L20</v>
      </c>
      <c r="M12" s="28"/>
      <c r="N12" s="28"/>
      <c r="O12" s="28"/>
      <c r="P12" s="28"/>
      <c r="Q12" s="28"/>
      <c r="R12" s="28"/>
      <c r="S12" s="28" t="str">
        <f>"S"&amp;COUNTA($A:$A)</f>
        <v>S20</v>
      </c>
      <c r="T12" s="28" t="str">
        <f>"T"&amp;COUNTA($A:$A)</f>
        <v>T20</v>
      </c>
      <c r="U12" s="28" t="str">
        <f>"U"&amp;COUNTA($A:$A)</f>
        <v>U20</v>
      </c>
      <c r="V12" s="28" t="str">
        <f>"V"&amp;COUNTA($A:$A)</f>
        <v>V20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this.l('Subject'),headerTooltip: this.l('Subject'),field: 'subject',flex: 1},
			{headerName: this.l('To'),headerTooltip: this.l('To'),field: 'to',flex: 1},
			{headerName: this.l('Cc'),headerTooltip: this.l('Cc'),field: 'cc',flex: 1},
			{headerName: this.l('Body Mess'),headerTooltip: this.l('Body Mess'),field: 'bodyMess',flex: 1},
			{headerName: this.l('Supplier Cd'),headerTooltip: this.l('Supplier Cd'),field: 'supplierCd',flex: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[(ngModel)]='subject' name='subject'
									class='form-control' [placeholder]="l('Subject')"
									type='text' (keyup.enter)='searchDatas()'&gt;
								&lt;/div&gt;
								&lt;div class='input-search'&gt;
									&lt;input [(ngModel)]='to' name='to'
									class='form-control' [placeholder]="l('To')"
									type='text' (keyup.enter)='searchDatas()'&gt;
								&lt;/div&gt;
								&lt;div class='input-search'&gt;
									&lt;input [(ngModel)]='cc' name='cc'
									class='form-control' [placeholder]="l('Cc')"
									type='text' (keyup.enter)='searchDatas()'&gt;
								&lt;/div&gt;
								&lt;div class='input-search'&gt;
									&lt;input [(ngModel)]='bodyMess' name='bodyMess'
									class='form-control' [placeholder]="l('Body Mess')"
									type='text' (keyup.enter)='searchDatas()'&gt;
								&lt;/div&gt;
								&lt;div class='input-search'&gt;
									&lt;input [(ngModel)]='supplierCd' name='supplierCd'
									class='form-control' [placeholder]="l('Supplier Cd')"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title'&gt;Subject&lt;/label&gt;
						&lt;input type='text' class='col-md-10 form-control input-text' name='Subject' [(ngModel)]='rowdata.subject'&gt;
					&lt;/div&gt;
					&lt;div class='col-md-12 form-group row'&gt;
						&lt;label class='col-md-2 form-control title'&gt;To&lt;/label&gt;
						&lt;input type='text' class='col-md-10 form-control input-text' name='To' [(ngModel)]='rowdata.to'&gt;
					&lt;/div&gt;
					&lt;div class='col-md-12 form-group row'&gt;
						&lt;label class='col-md-2 form-control title'&gt;Cc&lt;/label&gt;
						&lt;input type='text' class='col-md-10 form-control input-text' name='Cc' [(ngModel)]='rowdata.cc'&gt;
					&lt;/div&gt;
					&lt;div class='col-md-12 form-group row'&gt;
						&lt;label class='col-md-2 form-control title'&gt;Body Mess&lt;/label&gt;
						&lt;input type='text' class='col-md-10 form-control input-text' name='BodyMess' [(ngModel)]='rowdata.bodyMess'&gt;
					&lt;/div&gt;
					&lt;div class='col-md-12 form-group row'&gt;
						&lt;label class='col-md-2 form-control title'&gt;Supplier Cd&lt;/label&gt;
						&lt;input type='text' class='col-md-10 form-control input-text' name='SupplierCd' [(ngModel)]='rowdata.supplierCd'&gt;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subject : string = '' ; 
	to : string = '' ; 
	cc : string = '' ; 
	bodyMess : string = '' ; 
	supplierCd : string = '' ; 
</v>
      </c>
      <c r="T13" s="62" t="str">
        <f ca="1">TEXTJOIN2("
",TRUE,INDIRECT(T11):INDIRECT(T12))</f>
        <v xml:space="preserve">			this.,
			this.subject,
			this.to,
			this.cc,
			this.bodyMess,
</v>
      </c>
      <c r="U13" s="62" t="str">
        <f ca="1">TEXTJOIN2("
",TRUE,INDIRECT(U11):INDIRECT(U12))</f>
        <v xml:space="preserve">	subject : string = '' ; 
	to : string = '' ; 
	cc : string = '' ; 
	bodyMess : string = '' ; 
	supplierCd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pioemail.component.ts</v>
      </c>
      <c r="I14" s="37" t="str">
        <f>B8&amp;".component.html"</f>
        <v>pioemail.component.html</v>
      </c>
      <c r="J14" s="36" t="str">
        <f>B8&amp;".component.less"</f>
        <v>pioemail.component.less</v>
      </c>
      <c r="K14" s="37" t="str">
        <f>"create-or-edit-"&amp;B8&amp;"-modal.component.html"</f>
        <v>create-or-edit-pioemail-modal.component.html</v>
      </c>
      <c r="L14" s="37" t="str">
        <f>"create-or-edit-"&amp;B8&amp;"-modal.component.ts"</f>
        <v>create-or-edit-pioemail-modal.component.ts</v>
      </c>
      <c r="M14" s="37" t="str">
        <f>"create-or-edit-"&amp;B8&amp;"-modal.component.less"</f>
        <v>create-or-edit-pioemail-modal.component.less</v>
      </c>
      <c r="N14" s="37" t="str">
        <f>B8&amp;".module.ts"</f>
        <v>pioemail.module.ts</v>
      </c>
      <c r="O14" s="37" t="str">
        <f>B8&amp;"-routing.module.ts"</f>
        <v>pioemail-routing.module.ts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359</v>
      </c>
      <c r="B15" s="28" t="str">
        <f t="shared" ref="B15" si="0">SUBSTITUTE(PROPER(A15),"_","")</f>
        <v>Subject</v>
      </c>
      <c r="C15" s="28" t="str">
        <f t="shared" ref="C15" si="1">SUBSTITUTE(PROPER(A15),"_"," ")</f>
        <v>Subject</v>
      </c>
      <c r="D15" s="28" t="str">
        <f t="shared" ref="D15" si="2">LOWER(LEFT(B15,1))&amp;RIGHT(B15,LEN(B15) - 1)</f>
        <v>subject</v>
      </c>
      <c r="E15" s="28" t="str">
        <f>A.Backend!H9</f>
        <v>string</v>
      </c>
      <c r="F15" s="28" t="str">
        <f>A.Backend!G9</f>
        <v>200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this.l('Subject'),headerTooltip: this.l('Subject'),field: 'subject',flex: 1},</v>
      </c>
      <c r="I15" s="35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[(ngModel)]='subject' name='subject'
									class='form-control' [placeholder]="l('Subject')"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title'&gt;Subject&lt;/label&gt;
						&lt;input type='text' class='col-md-10 form-control input-text' name='Subject' [(ngModel)]='rowdata.subject'&gt;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subject : string = '' ; </v>
      </c>
      <c r="T15" s="28" t="str">
        <f t="shared" ref="T15:T20" si="7"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subject : string = '' ; </v>
      </c>
      <c r="V15" s="28" t="str">
        <f t="shared" ref="V15" si="8">IF(AND(E15="string",F15="1"),D15,"")</f>
        <v/>
      </c>
    </row>
    <row r="16" spans="1:22" ht="18" customHeight="1" x14ac:dyDescent="0.25">
      <c r="A16" s="28" t="s">
        <v>360</v>
      </c>
      <c r="B16" s="28" t="str">
        <f t="shared" ref="B16:B17" si="9">SUBSTITUTE(PROPER(A16),"_","")</f>
        <v>To</v>
      </c>
      <c r="C16" s="28" t="str">
        <f t="shared" ref="C16:C17" si="10">SUBSTITUTE(PROPER(A16),"_"," ")</f>
        <v>To</v>
      </c>
      <c r="D16" s="28" t="str">
        <f t="shared" ref="D16:D17" si="11">LOWER(LEFT(B16,1))&amp;RIGHT(B16,LEN(B16) - 1)</f>
        <v>to</v>
      </c>
      <c r="E16" s="28" t="str">
        <f>A.Backend!H10</f>
        <v>string</v>
      </c>
      <c r="F16" s="28" t="str">
        <f>A.Backend!G10</f>
        <v>1000</v>
      </c>
      <c r="G16" s="28" t="str">
        <f t="shared" ref="G16:G17" si="12">IF(E16="string"," : string = '' ; ",IF(OR(E16="DateTime",E16="TimeSpan")," : any ;",IF(E16="int"," : number = 0 ;","")))</f>
        <v xml:space="preserve"> : string = '' ; </v>
      </c>
      <c r="H16" s="35" t="str">
        <f t="shared" ref="H16:H17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this.l('To'),headerTooltip: this.l('To'),field: 'to',flex: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[(ngModel)]='to' name='to'
									class='form-control' [placeholder]="l('To')"
									type='text' (keyup.enter)='searchDatas()'&gt;
								&lt;/div&gt;</v>
      </c>
      <c r="J16" s="28"/>
      <c r="K16" s="35" t="str">
        <f t="shared" ref="K16" si="14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title'&gt;To&lt;/label&gt;
						&lt;input type='text' class='col-md-10 form-control input-text' name='To' [(ngModel)]='rowdata.to'&gt;
					&lt;/div&gt;</v>
      </c>
      <c r="L16" s="56" t="str">
        <f t="shared" ref="L16:L17" si="15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6">IF(AND(E16="string",F16 &lt;&gt;"1"),(REPT(CHAR(9),1)&amp;D16&amp;G16),"")</f>
        <v xml:space="preserve">	to : string = '' ; </v>
      </c>
      <c r="T16" s="28" t="str">
        <f t="shared" si="7"/>
        <v xml:space="preserve">			this.subject,</v>
      </c>
      <c r="U16" s="28" t="str">
        <f t="shared" ref="U16" si="17">IF(AND(E16="string",F16 &lt;&gt;"1"),(REPT(CHAR(9),1)&amp;D16&amp;G16),"")</f>
        <v xml:space="preserve">	to : string = '' ; </v>
      </c>
      <c r="V16" s="28" t="str">
        <f t="shared" ref="V16:V17" si="18">IF(AND(E16="string",F16="1"),D16,"")</f>
        <v/>
      </c>
    </row>
    <row r="17" spans="1:22" ht="15" customHeight="1" x14ac:dyDescent="0.25">
      <c r="A17" s="28" t="s">
        <v>361</v>
      </c>
      <c r="B17" s="28" t="str">
        <f t="shared" si="9"/>
        <v>Cc</v>
      </c>
      <c r="C17" s="28" t="str">
        <f t="shared" si="10"/>
        <v>Cc</v>
      </c>
      <c r="D17" s="28" t="str">
        <f t="shared" si="11"/>
        <v>cc</v>
      </c>
      <c r="E17" s="28" t="str">
        <f>A.Backend!H11</f>
        <v>string</v>
      </c>
      <c r="F17" s="28" t="str">
        <f>A.Backend!G11</f>
        <v>1000</v>
      </c>
      <c r="G17" s="28" t="str">
        <f t="shared" si="12"/>
        <v xml:space="preserve"> : string = '' ; </v>
      </c>
      <c r="H17" s="35" t="str">
        <f t="shared" si="13"/>
        <v xml:space="preserve">			{headerName: this.l('Cc'),headerTooltip: this.l('Cc'),field: 'cc',flex: 1},</v>
      </c>
      <c r="I17" s="35" t="str">
        <f t="shared" ref="I17" si="19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IF(AND(E17="string",F17 &lt;&gt;"1"),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[(ngModel)]='cc' name='cc'
									class='form-control' [placeholder]="l('Cc')"
									type='text' (keyup.enter)='searchDatas()'&gt;
								&lt;/div&gt;</v>
      </c>
      <c r="J17" s="28"/>
      <c r="K17" s="35" t="str">
        <f>IF(OR(E17="DateTime?",E17="TimeSpan?"),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IF(OR(E17="int?",E17="long?"),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title'&gt;Cc&lt;/label&gt;
						&lt;input type='text' class='col-md-10 form-control input-text' name='Cc' [(ngModel)]='rowdata.cc'&gt;
					&lt;/div&gt;</v>
      </c>
      <c r="L17" s="56" t="str">
        <f t="shared" si="15"/>
        <v/>
      </c>
      <c r="M17" s="28"/>
      <c r="N17" s="28"/>
      <c r="O17" s="28"/>
      <c r="P17" s="28"/>
      <c r="Q17" s="28"/>
      <c r="R17" s="28"/>
      <c r="S17" s="28" t="str">
        <f>IF(AND(E17="string",F17 &lt;&gt;"1"),(REPT(CHAR(9),1)&amp;D17&amp;G17),"")</f>
        <v xml:space="preserve">	cc : string = '' ; </v>
      </c>
      <c r="T17" s="28" t="str">
        <f t="shared" si="7"/>
        <v xml:space="preserve">			this.to,</v>
      </c>
      <c r="U17" s="28" t="str">
        <f>IF(AND(E17="string",F17 &lt;&gt;"1"),(REPT(CHAR(9),1)&amp;D17&amp;G17),"")</f>
        <v xml:space="preserve">	cc : string = '' ; </v>
      </c>
      <c r="V17" s="28" t="str">
        <f t="shared" si="18"/>
        <v/>
      </c>
    </row>
    <row r="18" spans="1:22" ht="18" customHeight="1" x14ac:dyDescent="0.25">
      <c r="A18" s="28" t="s">
        <v>362</v>
      </c>
      <c r="B18" s="28" t="str">
        <f t="shared" ref="B18:B19" si="20">SUBSTITUTE(PROPER(A18),"_","")</f>
        <v>BodyMess</v>
      </c>
      <c r="C18" s="28" t="str">
        <f t="shared" ref="C18:C19" si="21">SUBSTITUTE(PROPER(A18),"_"," ")</f>
        <v>Body Mess</v>
      </c>
      <c r="D18" s="28" t="str">
        <f t="shared" ref="D18:D19" si="22">LOWER(LEFT(B18,1))&amp;RIGHT(B18,LEN(B18) - 1)</f>
        <v>bodyMess</v>
      </c>
      <c r="E18" s="28" t="str">
        <f>A.Backend!H12</f>
        <v>string</v>
      </c>
      <c r="F18" s="28" t="str">
        <f>A.Backend!G12</f>
        <v>5000</v>
      </c>
      <c r="G18" s="28" t="str">
        <f t="shared" ref="G18:G19" si="23">IF(E18="string"," : string = '' ; ",IF(OR(E18="DateTime",E18="TimeSpan")," : any ;",IF(E18="int"," : number = 0 ;","")))</f>
        <v xml:space="preserve"> : string = '' ; </v>
      </c>
      <c r="H18" s="35" t="str">
        <f t="shared" ref="H18:H19" si="24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this.l('Body Mess'),headerTooltip: this.l('Body Mess'),field: 'bodyMess',flex: 1},</v>
      </c>
      <c r="I18" s="35" t="str">
        <f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IF(AND(E18="string",F18 &lt;&gt;"1"),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[(ngModel)]='bodyMess' name='bodyMess'
									class='form-control' [placeholder]="l('Body Mess')"
									type='text' (keyup.enter)='searchDatas()'&gt;
								&lt;/div&gt;</v>
      </c>
      <c r="J18" s="28"/>
      <c r="K18" s="35" t="str">
        <f t="shared" ref="K18" si="25">IF(OR(E18="DateTime?",E18="TimeSpan?"),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IF(OR(E18="int?",E18="long?"),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title'&gt;Body Mess&lt;/label&gt;
						&lt;input type='text' class='col-md-10 form-control input-text' name='BodyMess' [(ngModel)]='rowdata.bodyMess'&gt;
					&lt;/div&gt;</v>
      </c>
      <c r="L18" s="56" t="str">
        <f t="shared" ref="L18:L19" si="26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ref="S18" si="27">IF(AND(E18="string",F18 &lt;&gt;"1"),(REPT(CHAR(9),1)&amp;D18&amp;G18),"")</f>
        <v xml:space="preserve">	bodyMess : string = '' ; </v>
      </c>
      <c r="T18" s="28" t="str">
        <f t="shared" si="7"/>
        <v xml:space="preserve">			this.cc,</v>
      </c>
      <c r="U18" s="28" t="str">
        <f t="shared" ref="U18" si="28">IF(AND(E18="string",F18 &lt;&gt;"1"),(REPT(CHAR(9),1)&amp;D18&amp;G18),"")</f>
        <v xml:space="preserve">	bodyMess : string = '' ; </v>
      </c>
      <c r="V18" s="28" t="str">
        <f t="shared" ref="V18:V19" si="29">IF(AND(E18="string",F18="1"),D18,"")</f>
        <v/>
      </c>
    </row>
    <row r="19" spans="1:22" ht="15" customHeight="1" x14ac:dyDescent="0.25">
      <c r="A19" s="28" t="s">
        <v>363</v>
      </c>
      <c r="B19" s="28" t="str">
        <f t="shared" si="20"/>
        <v>SupplierCd</v>
      </c>
      <c r="C19" s="28" t="str">
        <f t="shared" si="21"/>
        <v>Supplier Cd</v>
      </c>
      <c r="D19" s="28" t="str">
        <f t="shared" si="22"/>
        <v>supplierCd</v>
      </c>
      <c r="E19" s="28" t="str">
        <f>A.Backend!H13</f>
        <v>string</v>
      </c>
      <c r="F19" s="28" t="str">
        <f>A.Backend!G13</f>
        <v>200</v>
      </c>
      <c r="G19" s="28" t="str">
        <f t="shared" si="23"/>
        <v xml:space="preserve"> : string = '' ; </v>
      </c>
      <c r="H19" s="35" t="str">
        <f t="shared" si="24"/>
        <v xml:space="preserve">			{headerName: this.l('Supplier Cd'),headerTooltip: this.l('Supplier Cd'),field: 'supplierCd',flex: 1},</v>
      </c>
      <c r="I19" s="35" t="str">
        <f t="shared" ref="I19" si="30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[(ngModel)]='supplierCd' name='supplierCd'
									class='form-control' [placeholder]="l('Supplier Cd')"
									type='text' (keyup.enter)='searchDatas()'&gt;
								&lt;/div&gt;</v>
      </c>
      <c r="J19" s="28"/>
      <c r="K19" s="35" t="str">
        <f>IF(OR(E19="DateTime?",E19="TimeSpan?"),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IF(OR(E19="int?",E19="long?"),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title'&gt;Supplier Cd&lt;/label&gt;
						&lt;input type='text' class='col-md-10 form-control input-text' name='SupplierCd' [(ngModel)]='rowdata.supplierCd'&gt;
					&lt;/div&gt;</v>
      </c>
      <c r="L19" s="56" t="str">
        <f t="shared" si="26"/>
        <v/>
      </c>
      <c r="M19" s="28"/>
      <c r="N19" s="28"/>
      <c r="O19" s="28"/>
      <c r="P19" s="28"/>
      <c r="Q19" s="28"/>
      <c r="R19" s="28"/>
      <c r="S19" s="28" t="str">
        <f>IF(AND(E19="string",F19 &lt;&gt;"1"),(REPT(CHAR(9),1)&amp;D19&amp;G19),"")</f>
        <v xml:space="preserve">	supplierCd : string = '' ; </v>
      </c>
      <c r="T19" s="28" t="str">
        <f t="shared" si="7"/>
        <v xml:space="preserve">			this.bodyMess,</v>
      </c>
      <c r="U19" s="28" t="str">
        <f>IF(AND(E19="string",F19 &lt;&gt;"1"),(REPT(CHAR(9),1)&amp;D19&amp;G19),"")</f>
        <v xml:space="preserve">	supplierCd : string = '' ; </v>
      </c>
      <c r="V19" s="28" t="str">
        <f t="shared" si="29"/>
        <v/>
      </c>
    </row>
    <row r="20" spans="1:22" ht="18" customHeight="1" x14ac:dyDescent="0.25">
      <c r="A20" s="28" t="s">
        <v>364</v>
      </c>
      <c r="B20" s="28" t="str">
        <f t="shared" ref="B20" si="31">SUBSTITUTE(PROPER(A20),"_","")</f>
        <v>IsActive</v>
      </c>
      <c r="C20" s="28" t="str">
        <f t="shared" ref="C20" si="32">SUBSTITUTE(PROPER(A20),"_"," ")</f>
        <v>Is Active</v>
      </c>
      <c r="D20" s="28" t="str">
        <f t="shared" ref="D20" si="33">LOWER(LEFT(B20,1))&amp;RIGHT(B20,LEN(B20) - 1)</f>
        <v>isActive</v>
      </c>
      <c r="E20" s="28" t="str">
        <f>A.Backend!H14</f>
        <v>string</v>
      </c>
      <c r="F20" s="28" t="str">
        <f>A.Backend!G14</f>
        <v>1</v>
      </c>
      <c r="G20" s="28" t="str">
        <f t="shared" ref="G20" si="34">IF(E20="string"," : string = '' ; ",IF(OR(E20="DateTime",E20="TimeSpan")," : any ;",IF(E20="int"," : number = 0 ;","")))</f>
        <v xml:space="preserve"> : string = '' ; </v>
      </c>
      <c r="H20" s="35" t="str">
        <f t="shared" ref="H20" si="35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0" s="35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IF(AND(E20="string",F20 &lt;&gt;"1"),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/>
      </c>
      <c r="J20" s="28"/>
      <c r="K20" s="35" t="str">
        <f t="shared" ref="K20" si="36">IF(OR(E20="DateTime?",E20="TimeSpan?"),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IF(OR(E20="int?",E20="long?"),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0" s="56" t="str">
        <f t="shared" ref="L20" si="37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ref="S20" si="38">IF(AND(E20="string",F20 &lt;&gt;"1"),(REPT(CHAR(9),1)&amp;D20&amp;G20),"")</f>
        <v/>
      </c>
      <c r="T20" s="28" t="str">
        <f t="shared" si="7"/>
        <v/>
      </c>
      <c r="U20" s="28" t="str">
        <f t="shared" ref="U20" si="39">IF(AND(E20="string",F20 &lt;&gt;"1"),(REPT(CHAR(9),1)&amp;D20&amp;G20),"")</f>
        <v/>
      </c>
      <c r="V20" s="28" t="str">
        <f t="shared" ref="V20" si="40">IF(AND(E20="string",F20="1"),D20,"")</f>
        <v>isActive</v>
      </c>
    </row>
    <row r="2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2023-08-14T08:11:50Z</dcterms:modified>
</cp:coreProperties>
</file>
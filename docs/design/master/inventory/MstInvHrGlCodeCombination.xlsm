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4" windowWidth="28800" windowHeight="16428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5" l="1"/>
  <c r="G20" i="5"/>
  <c r="F20" i="5"/>
  <c r="E20" i="5"/>
  <c r="C20" i="5"/>
  <c r="B20" i="5"/>
  <c r="D20" i="5" s="1"/>
  <c r="F19" i="5"/>
  <c r="E19" i="5"/>
  <c r="L19" i="5" s="1"/>
  <c r="D19" i="5"/>
  <c r="I19" i="5" s="1"/>
  <c r="C19" i="5"/>
  <c r="B19" i="5"/>
  <c r="L18" i="5"/>
  <c r="K18" i="5"/>
  <c r="I18" i="5"/>
  <c r="G18" i="5"/>
  <c r="F18" i="5"/>
  <c r="V18" i="5" s="1"/>
  <c r="E18" i="5"/>
  <c r="C18" i="5"/>
  <c r="B18" i="5"/>
  <c r="D18" i="5" s="1"/>
  <c r="L16" i="1"/>
  <c r="G16" i="1"/>
  <c r="E16" i="1"/>
  <c r="H16" i="1" s="1"/>
  <c r="D16" i="1"/>
  <c r="V16" i="1" s="1"/>
  <c r="L15" i="1"/>
  <c r="G15" i="1"/>
  <c r="E15" i="1"/>
  <c r="H15" i="1" s="1"/>
  <c r="O15" i="1" s="1"/>
  <c r="D15" i="1"/>
  <c r="P15" i="1" s="1"/>
  <c r="L14" i="1"/>
  <c r="G14" i="1"/>
  <c r="E14" i="1"/>
  <c r="H14" i="1" s="1"/>
  <c r="D14" i="1"/>
  <c r="V14" i="1" s="1"/>
  <c r="H19" i="5" l="1"/>
  <c r="T20" i="5"/>
  <c r="S20" i="5"/>
  <c r="U20" i="5"/>
  <c r="I20" i="5"/>
  <c r="K20" i="5"/>
  <c r="U18" i="5"/>
  <c r="T18" i="5"/>
  <c r="S18" i="5"/>
  <c r="T19" i="5"/>
  <c r="V20" i="5"/>
  <c r="U19" i="5"/>
  <c r="H20" i="5"/>
  <c r="G19" i="5"/>
  <c r="S19" i="5" s="1"/>
  <c r="V19" i="5"/>
  <c r="H18" i="5"/>
  <c r="K19" i="5"/>
  <c r="P16" i="1"/>
  <c r="N14" i="1"/>
  <c r="M14" i="1"/>
  <c r="W14" i="1"/>
  <c r="J14" i="1"/>
  <c r="I14" i="1"/>
  <c r="O14" i="1"/>
  <c r="I16" i="1"/>
  <c r="O16" i="1"/>
  <c r="W16" i="1"/>
  <c r="N16" i="1"/>
  <c r="J16" i="1"/>
  <c r="M16" i="1"/>
  <c r="P14" i="1"/>
  <c r="I15" i="1"/>
  <c r="V15" i="1"/>
  <c r="T14" i="1"/>
  <c r="J15" i="1"/>
  <c r="W15" i="1"/>
  <c r="N15" i="1"/>
  <c r="T15" i="1"/>
  <c r="M15" i="1"/>
  <c r="T16" i="1"/>
  <c r="C22" i="5"/>
  <c r="B22" i="5"/>
  <c r="D22" i="5" s="1"/>
  <c r="C21" i="5"/>
  <c r="B21" i="5"/>
  <c r="D21" i="5" s="1"/>
  <c r="C17" i="5"/>
  <c r="B17" i="5"/>
  <c r="D17" i="5" s="1"/>
  <c r="C16" i="5"/>
  <c r="B16" i="5"/>
  <c r="D16" i="5" s="1"/>
  <c r="C24" i="5"/>
  <c r="B24" i="5"/>
  <c r="D24" i="5" s="1"/>
  <c r="T24" i="5" s="1"/>
  <c r="C23" i="5"/>
  <c r="B23" i="5"/>
  <c r="D23" i="5" s="1"/>
  <c r="L13" i="1"/>
  <c r="G13" i="1"/>
  <c r="F22" i="5" s="1"/>
  <c r="E13" i="1"/>
  <c r="H13" i="1" s="1"/>
  <c r="E22" i="5" s="1"/>
  <c r="D13" i="1"/>
  <c r="T13" i="1" s="1"/>
  <c r="L12" i="1"/>
  <c r="G12" i="1"/>
  <c r="F21" i="5" s="1"/>
  <c r="E12" i="1"/>
  <c r="H12" i="1" s="1"/>
  <c r="E21" i="5" s="1"/>
  <c r="I21" i="5" s="1"/>
  <c r="D12" i="1"/>
  <c r="L11" i="1"/>
  <c r="G11" i="1"/>
  <c r="F17" i="5" s="1"/>
  <c r="E11" i="1"/>
  <c r="H11" i="1" s="1"/>
  <c r="E17" i="5" s="1"/>
  <c r="D11" i="1"/>
  <c r="V11" i="1" s="1"/>
  <c r="L10" i="1"/>
  <c r="G10" i="1"/>
  <c r="F16" i="5" s="1"/>
  <c r="E10" i="1"/>
  <c r="H10" i="1" s="1"/>
  <c r="E16" i="5" s="1"/>
  <c r="D10" i="1"/>
  <c r="P10" i="1" s="1"/>
  <c r="L18" i="1"/>
  <c r="G18" i="1"/>
  <c r="F24" i="5" s="1"/>
  <c r="E18" i="1"/>
  <c r="H18" i="1" s="1"/>
  <c r="E24" i="5" s="1"/>
  <c r="D18" i="1"/>
  <c r="V18" i="1" s="1"/>
  <c r="L17" i="1"/>
  <c r="G17" i="1"/>
  <c r="F23" i="5" s="1"/>
  <c r="E17" i="1"/>
  <c r="H17" i="1" s="1"/>
  <c r="E23" i="5" s="1"/>
  <c r="D17" i="1"/>
  <c r="T17" i="1" s="1"/>
  <c r="L21" i="5" l="1"/>
  <c r="K22" i="5"/>
  <c r="I22" i="5"/>
  <c r="H22" i="5"/>
  <c r="G22" i="5"/>
  <c r="S22" i="5" s="1"/>
  <c r="V24" i="5"/>
  <c r="L24" i="5"/>
  <c r="K24" i="5"/>
  <c r="I24" i="5"/>
  <c r="H24" i="5"/>
  <c r="G24" i="5"/>
  <c r="U24" i="5"/>
  <c r="V17" i="5"/>
  <c r="K17" i="5"/>
  <c r="I17" i="5"/>
  <c r="H17" i="5"/>
  <c r="G17" i="5"/>
  <c r="S17" i="5" s="1"/>
  <c r="L23" i="5"/>
  <c r="K23" i="5"/>
  <c r="I23" i="5"/>
  <c r="H23" i="5"/>
  <c r="G23" i="5"/>
  <c r="S23" i="5" s="1"/>
  <c r="K16" i="5"/>
  <c r="I16" i="5"/>
  <c r="H16" i="5"/>
  <c r="G16" i="5"/>
  <c r="S16" i="5" s="1"/>
  <c r="V16" i="5"/>
  <c r="G21" i="5"/>
  <c r="H21" i="5"/>
  <c r="K21" i="5"/>
  <c r="T10" i="1"/>
  <c r="V10" i="1"/>
  <c r="W10" i="1"/>
  <c r="L17" i="5"/>
  <c r="V22" i="5"/>
  <c r="T21" i="5"/>
  <c r="U21" i="5"/>
  <c r="T17" i="5"/>
  <c r="T22" i="5"/>
  <c r="T16" i="5"/>
  <c r="L16" i="5"/>
  <c r="V21" i="5"/>
  <c r="U17" i="5"/>
  <c r="L22" i="5"/>
  <c r="U16" i="5"/>
  <c r="S21" i="5"/>
  <c r="U22" i="5"/>
  <c r="T23" i="5"/>
  <c r="U23" i="5"/>
  <c r="V23" i="5"/>
  <c r="S24" i="5"/>
  <c r="O12" i="1"/>
  <c r="M12" i="1"/>
  <c r="N12" i="1"/>
  <c r="P13" i="1"/>
  <c r="V13" i="1"/>
  <c r="N13" i="1"/>
  <c r="I13" i="1"/>
  <c r="M13" i="1"/>
  <c r="W13" i="1"/>
  <c r="J13" i="1"/>
  <c r="O13" i="1"/>
  <c r="M11" i="1"/>
  <c r="I11" i="1"/>
  <c r="O11" i="1"/>
  <c r="N11" i="1"/>
  <c r="W11" i="1"/>
  <c r="J11" i="1"/>
  <c r="T12" i="1"/>
  <c r="I12" i="1"/>
  <c r="V12" i="1"/>
  <c r="O10" i="1"/>
  <c r="T11" i="1"/>
  <c r="J12" i="1"/>
  <c r="W12" i="1"/>
  <c r="P12" i="1"/>
  <c r="M10" i="1"/>
  <c r="N10" i="1"/>
  <c r="P11" i="1"/>
  <c r="I10" i="1"/>
  <c r="J10" i="1"/>
  <c r="W18" i="1"/>
  <c r="J18" i="1"/>
  <c r="I18" i="1"/>
  <c r="M18" i="1"/>
  <c r="O18" i="1"/>
  <c r="N18" i="1"/>
  <c r="J17" i="1"/>
  <c r="I17" i="1"/>
  <c r="O17" i="1"/>
  <c r="N17" i="1"/>
  <c r="M17" i="1"/>
  <c r="W17" i="1"/>
  <c r="P18" i="1"/>
  <c r="T18" i="1"/>
  <c r="V17" i="1"/>
  <c r="P17" i="1"/>
  <c r="G9" i="1"/>
  <c r="C25" i="5" l="1"/>
  <c r="B25" i="5"/>
  <c r="D25" i="5" s="1"/>
  <c r="G19" i="1"/>
  <c r="F25" i="5" s="1"/>
  <c r="E19" i="1"/>
  <c r="H19" i="1" s="1"/>
  <c r="E25" i="5" s="1"/>
  <c r="D19" i="1"/>
  <c r="T19" i="1" s="1"/>
  <c r="K25" i="5" l="1"/>
  <c r="I25" i="5"/>
  <c r="H25" i="5"/>
  <c r="G25" i="5"/>
  <c r="L25" i="5"/>
  <c r="S25" i="5"/>
  <c r="T25" i="5"/>
  <c r="U25" i="5"/>
  <c r="V25" i="5"/>
  <c r="O19" i="1"/>
  <c r="N19" i="1"/>
  <c r="M19" i="1"/>
  <c r="W19" i="1"/>
  <c r="J19" i="1"/>
  <c r="I19" i="1"/>
  <c r="V19" i="1"/>
  <c r="P19" i="1"/>
  <c r="B2" i="5"/>
  <c r="B6" i="1" l="1"/>
  <c r="C15" i="5" l="1"/>
  <c r="B15" i="5"/>
  <c r="D15" i="5" s="1"/>
  <c r="T15" i="5" s="1"/>
  <c r="F15" i="5" l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0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0" i="1"/>
  <c r="T7" i="1" l="1"/>
  <c r="W20" i="1"/>
  <c r="G6" i="1" l="1"/>
  <c r="V13" i="5"/>
  <c r="S13" i="5"/>
  <c r="I13" i="5"/>
  <c r="U13" i="5"/>
  <c r="K13" i="5"/>
  <c r="L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9" i="1" s="1"/>
  <c r="L9" i="1" l="1"/>
  <c r="C7" i="1"/>
  <c r="P20" i="1"/>
  <c r="I20" i="1"/>
  <c r="N20" i="1"/>
  <c r="O20" i="1"/>
  <c r="J20" i="1"/>
  <c r="Q7" i="1" l="1"/>
  <c r="M68" i="3" s="1"/>
  <c r="L7" i="1"/>
  <c r="G68" i="3" s="1"/>
  <c r="K68" i="3"/>
  <c r="J68" i="3"/>
  <c r="M20" i="1"/>
  <c r="K2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<sst xmlns="http://schemas.openxmlformats.org/spreadsheetml/2006/main" count="477" uniqueCount="371">
  <si>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</si>
  <si>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</si>
  <si>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</si>
  <si>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</si>
  <si>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</si>
  <si>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</si>
  <si>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</si>
  <si>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</si>
  <si>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</si>
  <si>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</si>
  <si>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</si>
  <si>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</si>
  <si>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</si>
  <si>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</si>
  <si>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</si>
  <si>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</si>
  <si>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</si>
  <si>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</si>
  <si>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</si>
  <si>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</si>
  <si>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</si>
  <si>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</si>
  <si>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</si>
  <si>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</si>
  <si>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</si>
  <si>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</si>
  <si>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</si>
  <si>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</si>
  <si>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</si>
  <si>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</si>
  <si>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</si>
  <si>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</si>
  <si>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</si>
  <si>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</si>
  <si>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</si>
  <si>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</si>
  <si>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</si>
  <si>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</si>
  <si>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</si>
  <si>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</si>
  <si>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</si>
  <si>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</si>
  <si>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</si>
  <si>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</si>
  <si>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</si>
  <si>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</si>
  <si>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</si>
  <si>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</si>
  <si>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</si>
  <si>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</si>
  <si>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</si>
  <si>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</si>
  <si>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</si>
  <si>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</si>
  <si>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</si>
  <si>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</si>
  <si>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</si>
  <si>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</si>
  <si>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</si>
  <si>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</si>
  <si>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</si>
  <si>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</si>
  <si>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</si>
  <si>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</si>
  <si>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</si>
  <si>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</si>
  <si>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</si>
  <si>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</si>
  <si>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</si>
  <si>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</si>
  <si>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</si>
  <si>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</si>
  <si>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</si>
  <si>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</si>
  <si>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</si>
  <si>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</si>
  <si>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</si>
  <si>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</si>
  <si>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</si>
  <si>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</si>
  <si>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</si>
  <si>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</si>
  <si>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</si>
  <si>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</si>
  <si>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</si>
  <si>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</si>
  <si>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</si>
  <si>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</si>
  <si>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</si>
  <si>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</si>
  <si>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</si>
  <si>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</si>
  <si>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</si>
  <si>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</si>
  <si>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</si>
  <si>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</si>
  <si>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</si>
  <si>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</si>
  <si>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</si>
  <si>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</si>
  <si>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</si>
  <si>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</si>
  <si>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</si>
  <si>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</si>
  <si>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</si>
  <si>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</si>
  <si>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</si>
  <si>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</si>
  <si>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</si>
  <si>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</si>
  <si>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</si>
  <si>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</si>
  <si>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</si>
  <si>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</si>
  <si>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</si>
  <si>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</si>
  <si>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</si>
  <si>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</si>
  <si>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</si>
  <si>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</si>
  <si>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</si>
  <si>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</si>
  <si>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</si>
  <si>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</si>
  <si>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</si>
  <si>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</si>
  <si>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</si>
  <si>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</si>
  <si>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</si>
  <si>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</si>
  <si>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</si>
  <si>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</si>
  <si>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</si>
  <si>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</si>
  <si>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</si>
  <si>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</si>
  <si>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</si>
  <si>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</si>
  <si>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</si>
  <si>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</si>
  <si>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</si>
  <si>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</si>
  <si>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</si>
  <si>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</si>
  <si>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</si>
  <si>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</si>
  <si>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</si>
  <si>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</si>
  <si>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</si>
  <si>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</si>
  <si>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</si>
  <si>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</si>
  <si>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</si>
  <si>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</si>
  <si>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</si>
  <si>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</si>
  <si>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</si>
  <si>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</si>
  <si>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</si>
  <si>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</si>
  <si>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</si>
  <si>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</si>
  <si>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</si>
  <si>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</si>
  <si>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</si>
  <si>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</si>
  <si>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</si>
  <si>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</si>
  <si>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</si>
  <si>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</si>
  <si>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</si>
  <si>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</si>
  <si>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</si>
  <si>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</si>
  <si>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</si>
  <si>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</si>
  <si>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</si>
  <si>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</si>
  <si>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</si>
  <si>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</si>
  <si>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</si>
  <si>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</si>
  <si>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</si>
  <si>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</si>
  <si>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</si>
  <si>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</si>
  <si>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</si>
  <si>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</si>
  <si>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</si>
  <si>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</si>
  <si>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</si>
  <si>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</si>
  <si>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</si>
  <si>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</si>
  <si>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</si>
  <si>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</si>
  <si>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</si>
  <si>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</si>
  <si>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</si>
  <si>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</si>
  <si>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</si>
  <si>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</si>
  <si>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</si>
  <si>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</si>
  <si>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</si>
  <si>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</si>
  <si>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</si>
  <si>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</si>
  <si>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</si>
  <si>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</si>
  <si>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</si>
  <si>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</si>
  <si>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</si>
  <si>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</si>
  <si>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</si>
  <si>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</si>
  <si>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</si>
  <si>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</si>
  <si>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</si>
  <si>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</si>
  <si>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</si>
  <si>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</si>
  <si>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</si>
  <si>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</si>
  <si>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</si>
  <si>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</si>
  <si>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</si>
  <si>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</si>
  <si>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</si>
  <si>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</si>
  <si>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</si>
  <si>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</si>
  <si>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</si>
  <si>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</si>
  <si>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</si>
  <si>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</si>
  <si>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</si>
  <si>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</si>
  <si>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</si>
  <si>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</si>
  <si>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</si>
  <si>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</si>
  <si>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</si>
  <si>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</si>
  <si>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</si>
  <si>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</si>
  <si>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</si>
  <si>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</si>
  <si>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</si>
  <si>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</si>
  <si>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</si>
  <si>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</si>
  <si>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</si>
  <si>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</si>
  <si>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</si>
  <si>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</si>
  <si>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</si>
  <si>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</si>
  <si>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</si>
  <si>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</si>
  <si>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</si>
  <si>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</si>
  <si>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</si>
  <si>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</si>
  <si>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</si>
  <si>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</si>
  <si>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</si>
  <si>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</si>
  <si>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</si>
  <si>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</si>
  <si>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</si>
  <si>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</si>
  <si>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</si>
  <si>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</si>
  <si>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</si>
  <si>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</si>
  <si>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</si>
  <si>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</si>
  <si>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</si>
  <si>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</si>
  <si>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</si>
  <si>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</si>
  <si>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</si>
  <si>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</si>
  <si>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</si>
  <si>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</si>
  <si>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</si>
  <si>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</si>
  <si>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</si>
  <si>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</si>
  <si>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</si>
  <si>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</si>
  <si>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</si>
  <si>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</si>
  <si>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</si>
  <si>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</si>
  <si>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</si>
  <si>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</si>
  <si>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</si>
  <si>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</si>
  <si>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</si>
  <si>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</si>
  <si>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</si>
  <si>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</si>
  <si>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</si>
  <si>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</si>
  <si>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</si>
  <si>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</si>
  <si>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</si>
  <si>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</si>
  <si>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</si>
  <si>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</si>
  <si>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</si>
  <si>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</si>
  <si>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</si>
  <si>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</si>
  <si>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</si>
  <si>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</si>
  <si>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</si>
  <si>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</si>
  <si>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</si>
  <si>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</si>
  <si>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</si>
  <si>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</si>
  <si>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</si>
  <si>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</si>
  <si>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</si>
  <si>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</si>
  <si>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</si>
  <si>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</si>
  <si>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</si>
  <si>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</si>
  <si>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</si>
  <si>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</si>
  <si>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</si>
  <si>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</si>
  <si>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</si>
  <si>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</si>
  <si>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</si>
  <si>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</si>
  <si>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</si>
  <si>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</si>
  <si>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</si>
  <si>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</si>
  <si>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</si>
  <si>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</si>
  <si>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</si>
  <si>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</si>
  <si>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</si>
  <si>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</si>
  <si>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</si>
  <si>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</si>
  <si>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</si>
  <si>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Master.Inventory</t>
  </si>
  <si>
    <t>varchar(50)</t>
  </si>
  <si>
    <t>IS_ACTIVE</t>
  </si>
  <si>
    <t>varchar(1)</t>
  </si>
  <si>
    <t>Hr Gl Code Combination</t>
  </si>
  <si>
    <t>Chart_Of_Accounts_Id</t>
  </si>
  <si>
    <t>Account_Type</t>
  </si>
  <si>
    <t>Enabled_Flag</t>
  </si>
  <si>
    <t>Segment1</t>
  </si>
  <si>
    <t>Segment2</t>
  </si>
  <si>
    <t>Segment3</t>
  </si>
  <si>
    <t>Segment4</t>
  </si>
  <si>
    <t>Segment5</t>
  </si>
  <si>
    <t>Segment6</t>
  </si>
  <si>
    <t>ConcatenatedSegments</t>
  </si>
  <si>
    <t>varchar(255)</t>
  </si>
  <si>
    <t>MstInvHrGlCodeCombination</t>
  </si>
  <si>
    <t>HrGlCodeCombination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</si>
</sst>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zoomScaleNormal="100" workbookViewId="0">
      <selection activeCell="C68" sqref="C68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5" t="s">
        <v>74</v>
      </c>
    </row>
    <row r="2" spans="1:7" ht="15.6" x14ac:dyDescent="0.3">
      <c r="A2" s="1"/>
      <c r="B2" s="27" t="s">
        <v>196</v>
      </c>
    </row>
    <row r="3" spans="1:7" x14ac:dyDescent="0.3">
      <c r="A3" s="1"/>
      <c r="B3" s="1" t="s">
        <v>77</v>
      </c>
    </row>
    <row r="4" spans="1:7" x14ac:dyDescent="0.3">
      <c r="A4" s="1"/>
      <c r="B4" s="17" t="s">
        <v>76</v>
      </c>
    </row>
    <row r="5" spans="1:7" x14ac:dyDescent="0.3">
      <c r="A5" s="1"/>
      <c r="B5" s="17" t="s">
        <v>79</v>
      </c>
    </row>
    <row r="6" spans="1:7" x14ac:dyDescent="0.3">
      <c r="A6" s="1"/>
      <c r="B6" s="17" t="s">
        <v>87</v>
      </c>
    </row>
    <row r="7" spans="1:7" x14ac:dyDescent="0.3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">
      <c r="A51" s="1"/>
      <c r="B51" s="17"/>
    </row>
    <row r="52" spans="1:7" x14ac:dyDescent="0.3">
      <c r="A52" s="1"/>
      <c r="B52" s="17" t="s">
        <v>86</v>
      </c>
    </row>
    <row r="53" spans="1:7" x14ac:dyDescent="0.3">
      <c r="A53" s="1"/>
      <c r="B53" s="17" t="s">
        <v>83</v>
      </c>
    </row>
    <row r="54" spans="1:7" x14ac:dyDescent="0.3">
      <c r="A54" s="1"/>
      <c r="B54" s="17"/>
      <c r="C54" s="19" t="s">
        <v>80</v>
      </c>
    </row>
    <row r="55" spans="1:7" x14ac:dyDescent="0.3">
      <c r="A55" s="1"/>
      <c r="B55" s="17"/>
      <c r="C55" s="18" t="s">
        <v>81</v>
      </c>
    </row>
    <row r="56" spans="1:7" x14ac:dyDescent="0.3">
      <c r="A56" s="1"/>
      <c r="B56" s="17"/>
      <c r="C56" s="18" t="s">
        <v>82</v>
      </c>
    </row>
    <row r="57" spans="1:7" x14ac:dyDescent="0.3">
      <c r="A57" s="1"/>
      <c r="B57" s="17" t="s">
        <v>106</v>
      </c>
      <c r="C57" s="18"/>
    </row>
    <row r="58" spans="1:7" x14ac:dyDescent="0.3">
      <c r="A58" s="1"/>
      <c r="B58" s="17"/>
      <c r="C58" s="18" t="s">
        <v>107</v>
      </c>
    </row>
    <row r="59" spans="1:7" x14ac:dyDescent="0.3">
      <c r="A59" s="1"/>
      <c r="B59" s="17"/>
      <c r="C59" s="18" t="s">
        <v>108</v>
      </c>
    </row>
    <row r="60" spans="1:7" x14ac:dyDescent="0.3">
      <c r="A60" s="1"/>
      <c r="B60" s="17"/>
      <c r="C60" s="18" t="s">
        <v>109</v>
      </c>
    </row>
    <row r="61" spans="1:7" x14ac:dyDescent="0.3">
      <c r="A61" s="1"/>
      <c r="B61" s="17"/>
      <c r="C61" s="18" t="s">
        <v>111</v>
      </c>
    </row>
    <row r="62" spans="1:7" x14ac:dyDescent="0.3">
      <c r="A62" s="1"/>
      <c r="B62" s="17"/>
      <c r="C62" s="18" t="s">
        <v>113</v>
      </c>
    </row>
    <row r="63" spans="1:7" x14ac:dyDescent="0.3">
      <c r="A63" s="1"/>
      <c r="B63" s="17"/>
      <c r="C63" s="18" t="s">
        <v>112</v>
      </c>
    </row>
    <row r="64" spans="1:7" x14ac:dyDescent="0.3">
      <c r="A64" s="1"/>
      <c r="B64" s="17"/>
      <c r="C64" s="18" t="s">
        <v>110</v>
      </c>
    </row>
    <row r="65" spans="2:14" ht="21" customHeight="1" x14ac:dyDescent="0.3">
      <c r="B65" s="21" t="s">
        <v>78</v>
      </c>
    </row>
    <row r="66" spans="2:14" ht="21" customHeight="1" x14ac:dyDescent="0.3">
      <c r="B66" s="63" t="s">
        <v>231</v>
      </c>
    </row>
    <row r="67" spans="2:14" ht="15" thickBot="1" x14ac:dyDescent="0.35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35">
      <c r="B68" s="52" t="s">
        <v>226</v>
      </c>
      <c r="C68" s="51" t="e">
        <f ca="1">A.Backend!J7</f>
        <v>#NAME?</v>
      </c>
      <c r="D68" s="51" t="str">
        <f>A.Backend!O7</f>
        <v xml:space="preserve">		public const string Pages_Master_Inventory_HrGlCodeCombination = "Pages.Master.Inventory.HrGlCodeCombination";
		public const string Pages_Master_Inventory_HrGlCodeCombination_CreateEdit = "Pages.Master.Inventory.HrGlCodeCombination.CreateEdit";
		public const string Pages_Master_Inventory_HrGlCodeCombination_Delete = "Pages.Master.Inventory.HrGlCodeCombination.Delete";
</v>
      </c>
      <c r="E68" s="51" t="str">
        <f>A.Backend!N7</f>
        <v xml:space="preserve">		var perMstInvHrGlCodeCombination = PARENTS.CreateChildPermission(AppPermissions.Pages_Master_Inventory_HrGlCodeCombination, L( "MasterInventoryHrGlCodeCombination"), multiTenancySides: MultiTenancySides.Tenant);
		perMstInvHrGlCodeCombination.CreateChildPermission(AppPermissions.Pages_Master_Inventory_HrGlCodeCombination_CreateEdit, L( "MasterInventoryHrGlCodeCombinationCreateEdit"), multiTenancySides: MultiTenancySides.Tenant);
		perMstInvHrGlCodeCombination.CreateChildPermission(AppPermissions.Pages_Master_Inventory_HrGlCodeCombination_Delete, L( "MasterInventoryHrGlCodeCombinationDelete"), multiTenancySides: MultiTenancySides.Tenant);</v>
      </c>
      <c r="F68" s="51" t="str">
        <f>A.Backend!K7</f>
        <v>public virtual DbSet&lt;MstInvHrGlCodeCombination&gt; MstInvHrGlCodeCombinations { get; set; }</v>
      </c>
      <c r="G68" s="51" t="e">
        <f ca="1">A.Backend!L7</f>
        <v>#NAME?</v>
      </c>
      <c r="H68" s="51" t="e">
        <f ca="1">A.Backend!M7</f>
        <v>#NAME?</v>
      </c>
      <c r="I68" s="51" t="e">
        <f ca="1">A.Backend!R7</f>
        <v>#NAME?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IMstInvHrGlCodeCombinationAppService : IApplicationService
	{
		Task&lt;PagedResultDto&lt;MstInvHrGlCodeCombinationDto&gt;&gt; GetAll(GetMstInvHrGlCodeCombinationInput input);
		Task CreateOrEdit(CreateOrEditMstInvHrGlCodeCombinationDto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IMstInvHrGlCodeCombinationExcelExporter : IApplicationService
	{
		FileDto ExportToFile(List&lt;MstInvHrGlCodeCombinationDto&gt; mstinvhrglcodecombination);
	}
}
</v>
      </c>
      <c r="L68" s="51" t="e">
        <f ca="1">A.Backend!T7</f>
        <v>#NAME?</v>
      </c>
      <c r="M68" s="59" t="e">
        <f ca="1">A.Backend!Q7</f>
        <v>#NAME?</v>
      </c>
      <c r="N68" s="62" t="str">
        <f>A.Backend!U7</f>
        <v xml:space="preserve">  configuration.CreateMap&lt;MstInvHrGlCodeCombinationDto, MstInvHrGlCodeCombination&gt;();
  configuration.CreateMap&lt;MstInvHrGlCodeCombination, MstInvHrGlCodeCombinationDto&gt;();
  configuration.CreateMap&lt;CreateOrEditMstInvHrGlCodeCombinationDto, MstInvHrGlCodeCombination&gt;();</v>
      </c>
    </row>
    <row r="69" spans="2:14" s="16" customFormat="1" ht="21.75" customHeight="1" x14ac:dyDescent="0.3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">
      <c r="C71" s="29"/>
      <c r="D71" s="29"/>
      <c r="E71" s="29"/>
      <c r="G71" s="29"/>
      <c r="H71" s="29"/>
    </row>
    <row r="72" spans="2:14" x14ac:dyDescent="0.3">
      <c r="B72" s="1" t="s">
        <v>73</v>
      </c>
    </row>
    <row r="73" spans="2:14" ht="21" x14ac:dyDescent="0.4">
      <c r="B73" t="str">
        <f>B.Frontend!B8</f>
        <v>hrglcodecombination</v>
      </c>
      <c r="C73" s="73" t="str">
        <f>"create folder " &amp;B73</f>
        <v>create folder hrglcodecombination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3">
      <c r="B74" s="60" t="s">
        <v>229</v>
      </c>
      <c r="C74" s="31" t="str">
        <f>B.Frontend!H14</f>
        <v>hrglcodecombination.component.ts</v>
      </c>
      <c r="D74" s="31" t="str">
        <f>B.Frontend!I14</f>
        <v>hrglcodecombination.component.html</v>
      </c>
      <c r="E74" s="31" t="str">
        <f>B.Frontend!J14</f>
        <v>hrglcodecombination.component.less</v>
      </c>
      <c r="F74" s="31" t="str">
        <f>B.Frontend!K14</f>
        <v>create-or-edit-hrglcodecombination-modal.component.html</v>
      </c>
      <c r="G74" s="31" t="str">
        <f>B.Frontend!L14</f>
        <v>create-or-edit-hrglcodecombination-modal.component.ts</v>
      </c>
      <c r="H74" s="31" t="str">
        <f>B.Frontend!M14</f>
        <v>create-or-edit-hrglcodecombination-modal.component.less</v>
      </c>
      <c r="I74" s="31" t="str">
        <f>B.Frontend!N14</f>
        <v>hrglcodecombination.module.ts</v>
      </c>
      <c r="J74" s="31" t="str">
        <f>B.Frontend!O14</f>
        <v>hrglcodecombination-routing.module.ts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">
      <c r="B75" s="61" t="s">
        <v>226</v>
      </c>
      <c r="C75" s="49" t="e">
        <f ca="1">B.Frontend!H10</f>
        <v>#NAME?</v>
      </c>
      <c r="D75" s="49" t="e">
        <f ca="1">B.Frontend!I10</f>
        <v>#NAME?</v>
      </c>
      <c r="E75" s="49" t="str">
        <f>B.Frontend!J10</f>
        <v>.input-search{
    width: 250px;
    border-radius: 10px;
    margin-left: 10px;
}
.btn-search{
    width: 50px;
    margin-left: 10px;
}</v>
      </c>
      <c r="F75" s="49" t="e">
        <f ca="1">B.Frontend!K10</f>
        <v>#NAME?</v>
      </c>
      <c r="G75" s="49" t="e">
        <f ca="1">B.Frontend!L10</f>
        <v>#NAME?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HrGlCodeCombinationRoutingModule } from './hrglcodecombination-routing.module';
import { HrGlCodeCombinationComponent } from './hrglcodecombination.component';
import { CreateOrEditHrGlCodeCombinationModalComponent } from './create-or-edit-hrglcodecombination-modal.component';
@NgModule({
    declarations: [
       HrGlCodeCombinationComponent, 
        CreateOrEditHrGlCodeCombinationModalComponent
    ],
    imports: [
        AppSharedModule, HrGlCodeCombinationRoutingModule]
})
export class HrGlCodeCombinationModule {}</v>
      </c>
      <c r="J75" s="49" t="str">
        <f>B.Frontend!O10</f>
        <v>import {NgModule} from '@angular/core';
import {RouterModule, Routes} from '@angular/router';
import { HrGlCodeCombinationComponent } from './hrglcodecombination.component';
const routes: Routes = [{
    path: '',
    component: HrGlCodeCombinationComponent,
    pathMatch: 'full'
}];
@NgModule({
    imports: [RouterModule.forChild(routes)],
    exports: [RouterModule],
})
export class HrGlCodeCombinationRoutingModule {}</v>
      </c>
      <c r="K75" s="49" t="str">
        <f>B.Frontend!P10</f>
        <v xml:space="preserve"> new AppMenuItem("HrGlCodeCombination", "Pages.Master.Inventory.HrGlCodeCombination", "flaticon-book",   "/app/main/master/inventory/hrglcodecombination"),</v>
      </c>
      <c r="L75" s="50" t="str">
        <f>B.Frontend!Q10</f>
        <v>{
    path: 'master/inventory/hrglcodecombination',
    loadChildren: () =&gt; import('./master/inventory/hrglcodecombination/hrglcodecombination.module').then(m =&gt; m.HrGlCodeCombinationModule),
    data: { permission: 'Pages.Master.Inventory.HrGlCodeCombination' }
},</v>
      </c>
      <c r="M75" s="48" t="str">
        <f>B.Frontend!R10</f>
        <v>ApiServiceProxies.MstInvHrGlCodeCombinationServiceProxy,</v>
      </c>
    </row>
    <row r="77" spans="2:14" x14ac:dyDescent="0.3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"/>
  <sheetViews>
    <sheetView tabSelected="1" workbookViewId="0">
      <pane xSplit="1" topLeftCell="B1" activePane="topRight" state="frozen"/>
      <selection pane="topRight" activeCell="B5" sqref="B5"/>
    </sheetView>
  </sheetViews>
  <sheetFormatPr defaultColWidth="9.21875" defaultRowHeight="14.4" x14ac:dyDescent="0.3"/>
  <cols>
    <col min="1" max="1" width="20.77734375" style="8" customWidth="1"/>
    <col min="2" max="2" width="20.44140625" style="9" customWidth="1"/>
    <col min="3" max="3" width="19.44140625" style="8" customWidth="1"/>
    <col min="4" max="4" width="23.44140625" style="8" customWidth="1"/>
    <col min="5" max="5" width="14.44140625" style="8" customWidth="1"/>
    <col min="6" max="6" width="14.77734375" style="8" customWidth="1"/>
    <col min="7" max="7" width="17.21875" style="8" bestFit="1" customWidth="1"/>
    <col min="8" max="8" width="15" style="8" customWidth="1"/>
    <col min="9" max="9" width="16" style="8" customWidth="1"/>
    <col min="10" max="10" width="15.77734375" style="8" customWidth="1"/>
    <col min="11" max="11" width="16" style="8" customWidth="1"/>
    <col min="12" max="12" width="16.77734375" style="8" customWidth="1"/>
    <col min="13" max="13" width="17.44140625" style="8" customWidth="1"/>
    <col min="14" max="14" width="16.21875" style="8" customWidth="1"/>
    <col min="15" max="15" width="14.77734375" style="8" customWidth="1"/>
    <col min="16" max="16" width="16" style="8" customWidth="1"/>
    <col min="17" max="17" width="15.77734375" style="8" customWidth="1"/>
    <col min="18" max="18" width="19.44140625" style="8" customWidth="1"/>
    <col min="19" max="19" width="20.44140625" style="8" customWidth="1"/>
    <col min="20" max="20" width="17" style="8" customWidth="1"/>
    <col min="21" max="21" width="14" style="8" customWidth="1"/>
    <col min="22" max="22" width="15.21875" style="8" customWidth="1"/>
    <col min="23" max="23" width="27.77734375" style="9" customWidth="1"/>
    <col min="24" max="16384" width="9.21875" style="8"/>
  </cols>
  <sheetData>
    <row r="1" spans="1:23" s="11" customFormat="1" ht="14.25" customHeight="1" x14ac:dyDescent="0.3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">
      <c r="A2" s="1" t="s">
        <v>12</v>
      </c>
      <c r="B2" s="30" t="s">
        <v>353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">
      <c r="A3" s="1" t="s">
        <v>5</v>
      </c>
      <c r="B3" s="30" t="s">
        <v>369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MstInvHrGlCodeCombinationExportInput{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3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">
      <c r="A5" s="1" t="s">
        <v>238</v>
      </c>
      <c r="B5" s="64" t="s">
        <v>370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.05" customHeight="1" x14ac:dyDescent="0.3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MstInvHrGlCodeCombination: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MstInvHrGlCodeCombinationConsts	
	{
</v>
      </c>
      <c r="F6" s="11" t="str">
        <f>REPT(CHAR(9),1)&amp;"public class "&amp;B3&amp;"Dto"&amp;K3&amp;REPT(CHAR(9),1)&amp;"
"&amp;REPT(CHAR(9),1)&amp;C3</f>
        <v xml:space="preserve">	public class MstInvHrGlCodeCombinationDto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CreateOrEditMstInvHrGlCodeCombinationDto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GetMstInvHrGlCodeCombinationInput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.05" customHeight="1" x14ac:dyDescent="0.3">
      <c r="A7" s="1" t="s">
        <v>13</v>
      </c>
      <c r="B7" s="10" t="str">
        <f>B3</f>
        <v>MstInvHrGlCodeCombination</v>
      </c>
      <c r="C7" s="11" t="str">
        <f>REPT(CHAR(9),1)&amp;"[Table("""&amp;B7&amp;""")]"&amp;"
"</f>
        <v xml:space="preserve">	[Table("MstInvHrGlCodeCombination")]
</v>
      </c>
      <c r="D7" s="11"/>
      <c r="E7" s="11"/>
      <c r="F7" s="11"/>
      <c r="G7" s="11"/>
      <c r="H7" s="11"/>
      <c r="I7" s="11"/>
      <c r="J7" s="6" t="e">
        <f ca="1">SUBSTITUTE(SUBSTITUTE((B1&amp;C6&amp;C7&amp;K20&amp;D6&amp;I20&amp;E3&amp;J20&amp;""&amp;REPT(CHAR(9),1)&amp;D3&amp;D3),"WorkingPattern",$Q$3),"Master",$B$4)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DbSet&lt;MstInvHrGlCodeCombination&gt; MstInvHrGlCodeCombinations { get; set; }</v>
      </c>
      <c r="L7" t="e">
        <f ca="1">SUBSTITUTE(SUBSTITUTE((C6&amp;E6&amp;I20&amp;"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"&amp;B6&amp;".Dto"&amp;E3&amp;C3&amp;F6&amp;M20&amp;E3&amp;REPT(CHAR(9),1)&amp;D3&amp;G6&amp;N20&amp;REPT(CHAR(9),1)&amp;D3&amp;H6&amp;O20&amp;"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perMstInvHrGlCodeCombination = PARENTS.CreateChildPermission(AppPermissions.Pages_Master_Inventory_HrGlCodeCombination, L( "MasterInventoryHrGlCodeCombination"), multiTenancySides: MultiTenancySides.Tenant);
		perMstInvHrGlCodeCombination.CreateChildPermission(AppPermissions.Pages_Master_Inventory_HrGlCodeCombination_CreateEdit, L( "MasterInventoryHrGlCodeCombinationCreateEdit"), multiTenancySides: MultiTenancySides.Tenant);
		perMstInvHrGlCodeCombination.CreateChildPermission(AppPermissions.Pages_Master_Inventory_HrGlCodeCombination_Delete, L( "MasterInventoryHrGlCodeCombinationDelete"),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Pages_Master_Inventory_HrGlCodeCombination = "Pages.Master.Inventory.HrGlCodeCombination";
		public const string Pages_Master_Inventory_HrGlCodeCombination_CreateEdit = "Pages.Master.Inventory.HrGlCodeCombination.CreateEdit";
		public const string Pages_Master_Inventory_HrGlCodeCombination_Delete = "Pages.Master.Inventory.HrGlCodeCombination.Delete";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IMstInvHrGlCodeCombinationAppService : IApplicationService
	{
		Task&lt;PagedResultDto&lt;MstInvHrGlCodeCombinationDto&gt;&gt; GetAll(GetMstInvHrGlCodeCombinationInput input);
		Task CreateOrEdit(CreateOrEditMstInvHrGlCodeCombinationDto input);
		Task Delete(EntityDto input);
	}
}
</v>
      </c>
      <c r="Q7" t="e">
        <f ca="1">SUBSTITUTE(SUBSTITUTE(SUBSTITUTE(SUBSTITUTE(SUBSTITUTE(SUBSTITUTE(E1,"MstWptCalendar",$B$3),"&lt;PROPERTIES&gt;",P20),"Calendar",$B$5),"WorkingPattern",$Q$3),"Master",$B$4),"&lt;PARAMS_SEARCH&gt;",$W$20)</f>
        <v>#NAME?</v>
      </c>
      <c r="R7" t="e">
        <f ca="1">SUBSTITUTE(SUBSTITUTE((C1&amp;"namespace "&amp;B6&amp;".Dto"&amp;E3&amp;C3&amp;R3&amp;M20&amp;E3&amp;REPT(CHAR(9),1)&amp;D3&amp;D3),"WorkingPattern",$Q$3),"Master",$B$4)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IMstInvHrGlCodeCombinationExcelExporter : IApplicationService
	{
		FileDto ExportToFile(List&lt;MstInvHrGlCodeCombinationDto&gt; mstinvhrglcodecombination);
	}
}
</v>
      </c>
      <c r="T7" s="28" t="e">
        <f ca="1">SUBSTITUTE(SUBSTITUTE(SUBSTITUTE(SUBSTITUTE(SUBSTITUTE(SUBSTITUTE(SUBSTITUTE(T1,"MstWptCalendar",$B$3),"&lt;PROPERTIES1&gt;",V20),"&lt;PROPERTIES&gt;",T20),"Calendar",$B$5),"calendar",LOWER(B5)),"WorkingPattern",$Q$3),"Master",$B$4)</f>
        <v>#NAME?</v>
      </c>
      <c r="U7" s="28" t="str">
        <f>SUBSTITUTE(SUBSTITUTE(U1,"MstWptCalendar",$B$3),"Master",$B$4)</f>
        <v xml:space="preserve">  configuration.CreateMap&lt;MstInvHrGlCodeCombinationDto, MstInvHrGlCodeCombination&gt;();
  configuration.CreateMap&lt;MstInvHrGlCodeCombination, MstInvHrGlCodeCombinationDto&gt;();
  configuration.CreateMap&lt;CreateOrEditMstInvHrGlCodeCombinationDto, MstInvHrGlCodeCombination&gt;();</v>
      </c>
      <c r="V7" s="28"/>
      <c r="W7" s="28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">
      <c r="A9" s="72" t="s">
        <v>358</v>
      </c>
      <c r="B9" t="s">
        <v>0</v>
      </c>
      <c r="C9" t="s">
        <v>1</v>
      </c>
      <c r="D9" t="str">
        <f t="shared" ref="D9:D18" si="0">SUBSTITUTE(PROPER(A9),"_","")</f>
        <v>ChartOfAccountsId</v>
      </c>
      <c r="E9" t="str">
        <f t="shared" ref="E9:E18" si="1">IFERROR(LEFT(B9, FIND("(",B9)-1),B9)</f>
        <v>bigint</v>
      </c>
      <c r="F9" s="7"/>
      <c r="G9" t="str">
        <f t="shared" ref="G9:G18" si="2">IFERROR(MID(B9,FIND("(",B9) +1, FIND(")",B9) - FIND("(",B9) - 1),"")</f>
        <v/>
      </c>
      <c r="H9" t="str">
        <f>+VLOOKUP(E9,'Data Type Mapping'!A:B,2,)</f>
        <v>long</v>
      </c>
      <c r="I9" t="str">
        <f t="shared" ref="I9:I18" si="3">IF(H9="string",REPT(CHAR(9),2)&amp;"public const int Max"&amp;D9&amp;"Length = "&amp;G9&amp;";"&amp;$E$3,"" )</f>
        <v/>
      </c>
      <c r="J9" t="str">
        <f t="shared" ref="J9:J18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ChartOfAccountsId { get; set; }
</v>
      </c>
      <c r="K9" s="7" t="s">
        <v>206</v>
      </c>
      <c r="L9" t="str">
        <f t="shared" ref="L9:L18" si="5">IF(K9="","",REPT(CHAR(9),1)&amp;"[Index(nameof("&amp;IF(D9="","",""&amp;D9)&amp;")"&amp;", Name="&amp;"""IX_"&amp;$B$7&amp;"_"&amp;D9&amp;""")]")</f>
        <v xml:space="preserve">	[Index(nameof(ChartOfAccountsId), Name="IX_MstInvHrGlCodeCombination_ChartOfAccountsId")]</v>
      </c>
      <c r="M9" t="str">
        <f t="shared" ref="M9:M18" si="6">REPT(CHAR(9),2)&amp;"public virtual "&amp;IF(OR(H9="DateTime",H9="TimeSpan"),H9&amp;"?",H9)&amp;IF(C9="?","? "," ")&amp;D9&amp;" { get; set; }" &amp; "
"</f>
        <v xml:space="preserve">		public virtual long ChartOfAccountsId { get; set; }
</v>
      </c>
      <c r="N9" t="str">
        <f t="shared" ref="N9:N18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ChartOfAccountsId { get; set; }
</v>
      </c>
      <c r="O9" t="str">
        <f t="shared" ref="O9:O18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8" si="9">REPT(CHAR(9),7)&amp;D9&amp;" = o." &amp;D9 &amp;","</f>
        <v xml:space="preserve">							ChartOfAccountsId = o.ChartOfAccountsId,</v>
      </c>
      <c r="T9" s="69" t="str">
        <f t="shared" ref="T9:T18" si="10">REPT(CHAR(9),8)&amp;"("""&amp;D9&amp;"""),"</f>
        <v xml:space="preserve">								("ChartOfAccountsId"),</v>
      </c>
      <c r="V9" s="70" t="str">
        <f t="shared" ref="V9:V18" si="11">REPT(CHAR(9),8)&amp;"_ =&gt; _."&amp;D9&amp;","</f>
        <v xml:space="preserve">								_ =&gt; _.ChartOfAccountsId,</v>
      </c>
      <c r="W9" s="69" t="str">
        <f t="shared" ref="W9:W18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s="72" customFormat="1" ht="18.75" customHeight="1" x14ac:dyDescent="0.3">
      <c r="A10" s="72" t="s">
        <v>359</v>
      </c>
      <c r="B10" s="72" t="s">
        <v>368</v>
      </c>
      <c r="C10" s="72" t="s">
        <v>1</v>
      </c>
      <c r="D10" s="72" t="str">
        <f t="shared" ref="D10:D16" si="13">SUBSTITUTE(PROPER(A10),"_","")</f>
        <v>AccountType</v>
      </c>
      <c r="E10" s="72" t="str">
        <f t="shared" ref="E10:E16" si="14">IFERROR(LEFT(B10, FIND("(",B10)-1),B10)</f>
        <v>varchar</v>
      </c>
      <c r="F10" s="7"/>
      <c r="G10" s="72" t="str">
        <f t="shared" ref="G10:G16" si="15">IFERROR(MID(B10,FIND("(",B10) +1, FIND(")",B10) - FIND("(",B10) - 1),"")</f>
        <v>255</v>
      </c>
      <c r="H10" s="72" t="str">
        <f>+VLOOKUP(E10,'Data Type Mapping'!A:B,2,)</f>
        <v>string</v>
      </c>
      <c r="I10" s="72" t="str">
        <f t="shared" ref="I10:I16" si="16">IF(H10="string",REPT(CHAR(9),2)&amp;"public const int Max"&amp;D10&amp;"Length = "&amp;G10&amp;";"&amp;$E$3,"" )</f>
        <v xml:space="preserve">		public const int MaxAccountTypeLength = 255;
</v>
      </c>
      <c r="J10" s="72" t="str">
        <f t="shared" ref="J10:J16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[StringLength(MaxAccountTypeLength)]
		public virtual string AccountType { get; set; }
</v>
      </c>
      <c r="K10" s="7"/>
      <c r="L10" s="72" t="str">
        <f t="shared" ref="L10:L16" si="18">IF(K10="","",REPT(CHAR(9),1)&amp;"[Index(nameof("&amp;IF(D10="","",""&amp;D10)&amp;")"&amp;", Name="&amp;"""IX_"&amp;$B$7&amp;"_"&amp;D10&amp;""")]")</f>
        <v/>
      </c>
      <c r="M10" s="72" t="str">
        <f t="shared" ref="M10:M16" si="19">REPT(CHAR(9),2)&amp;"public virtual "&amp;IF(OR(H10="DateTime",H10="TimeSpan"),H10&amp;"?",H10)&amp;IF(C10="?","? "," ")&amp;D10&amp;" { get; set; }" &amp; "
"</f>
        <v xml:space="preserve">		public virtual string AccountType { get; set; }
</v>
      </c>
      <c r="N10" s="72" t="str">
        <f t="shared" ref="N10:N16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[StringLength(MstInvHrGlCodeCombinationConsts.MaxAccountTypeLength)]
		public virtual string AccountType { get; set; }
</v>
      </c>
      <c r="O10" s="72" t="str">
        <f t="shared" ref="O10:O16" si="21">IF(OR(H10="string",H10="DateTime",H10="int"),REPT(CHAR(9),2)&amp;"public virtual "&amp;IF(OR(H10="DateTime",H10="TimeSpan"),H10&amp;"?",H10)&amp;IF(C10="?","? "," ")&amp;D10&amp;" { get; set; }"&amp;$E$3,"")</f>
        <v xml:space="preserve">		public virtual string AccountType { get; set; }
</v>
      </c>
      <c r="P10" s="72" t="str">
        <f t="shared" ref="P10:P16" si="22">REPT(CHAR(9),7)&amp;D10&amp;" = o." &amp;D10 &amp;","</f>
        <v xml:space="preserve">							AccountType = o.AccountType,</v>
      </c>
      <c r="T10" s="69" t="str">
        <f t="shared" ref="T10:T16" si="23">REPT(CHAR(9),8)&amp;"("""&amp;D10&amp;"""),"</f>
        <v xml:space="preserve">								("AccountType"),</v>
      </c>
      <c r="V10" s="70" t="str">
        <f t="shared" ref="V10:V16" si="24">REPT(CHAR(9),8)&amp;"_ =&gt; _."&amp;D10&amp;","</f>
        <v xml:space="preserve">								_ =&gt; _.AccountType,</v>
      </c>
      <c r="W10" s="69" t="str">
        <f t="shared" ref="W10:W16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.WhereIf(!string.IsNullOrWhiteSpace(input.AccountType), e =&gt; e.AccountType.Contains(input.AccountType))</v>
      </c>
    </row>
    <row r="11" spans="1:23" s="72" customFormat="1" ht="18.75" customHeight="1" x14ac:dyDescent="0.3">
      <c r="A11" s="72" t="s">
        <v>360</v>
      </c>
      <c r="B11" s="72" t="s">
        <v>354</v>
      </c>
      <c r="C11" s="72" t="s">
        <v>1</v>
      </c>
      <c r="D11" s="72" t="str">
        <f t="shared" si="13"/>
        <v>EnabledFlag</v>
      </c>
      <c r="E11" s="72" t="str">
        <f t="shared" si="14"/>
        <v>varchar</v>
      </c>
      <c r="F11" s="7"/>
      <c r="G11" s="72" t="str">
        <f t="shared" si="15"/>
        <v>50</v>
      </c>
      <c r="H11" s="72" t="str">
        <f>+VLOOKUP(E11,'Data Type Mapping'!A:B,2,)</f>
        <v>string</v>
      </c>
      <c r="I11" s="72" t="str">
        <f t="shared" si="16"/>
        <v xml:space="preserve">		public const int MaxEnabledFlagLength = 50;
</v>
      </c>
      <c r="J11" s="72" t="str">
        <f t="shared" si="17"/>
        <v xml:space="preserve">		[StringLength(MaxEnabledFlagLength)]
		public virtual string EnabledFlag { get; set; }
</v>
      </c>
      <c r="K11" s="7"/>
      <c r="L11" s="72" t="str">
        <f t="shared" si="18"/>
        <v/>
      </c>
      <c r="M11" s="72" t="str">
        <f t="shared" si="19"/>
        <v xml:space="preserve">		public virtual string EnabledFlag { get; set; }
</v>
      </c>
      <c r="N11" s="72" t="str">
        <f t="shared" si="20"/>
        <v xml:space="preserve">		[StringLength(MstInvHrGlCodeCombinationConsts.MaxEnabledFlagLength)]
		public virtual string EnabledFlag { get; set; }
</v>
      </c>
      <c r="O11" s="72" t="str">
        <f t="shared" si="21"/>
        <v xml:space="preserve">		public virtual string EnabledFlag { get; set; }
</v>
      </c>
      <c r="P11" s="72" t="str">
        <f t="shared" si="22"/>
        <v xml:space="preserve">							EnabledFlag = o.EnabledFlag,</v>
      </c>
      <c r="T11" s="69" t="str">
        <f t="shared" si="23"/>
        <v xml:space="preserve">								("EnabledFlag"),</v>
      </c>
      <c r="V11" s="70" t="str">
        <f t="shared" si="24"/>
        <v xml:space="preserve">								_ =&gt; _.EnabledFlag,</v>
      </c>
      <c r="W11" s="69" t="str">
        <f t="shared" si="25"/>
        <v xml:space="preserve">				.WhereIf(!string.IsNullOrWhiteSpace(input.EnabledFlag), e =&gt; e.EnabledFlag.Contains(input.EnabledFlag))</v>
      </c>
    </row>
    <row r="12" spans="1:23" s="72" customFormat="1" ht="18.75" customHeight="1" x14ac:dyDescent="0.3">
      <c r="A12" s="72" t="s">
        <v>361</v>
      </c>
      <c r="B12" s="72" t="s">
        <v>354</v>
      </c>
      <c r="C12" s="72" t="s">
        <v>1</v>
      </c>
      <c r="D12" s="72" t="str">
        <f t="shared" si="13"/>
        <v>Segment1</v>
      </c>
      <c r="E12" s="72" t="str">
        <f t="shared" si="14"/>
        <v>varchar</v>
      </c>
      <c r="F12" s="7"/>
      <c r="G12" s="72" t="str">
        <f t="shared" si="15"/>
        <v>50</v>
      </c>
      <c r="H12" s="72" t="str">
        <f>+VLOOKUP(E12,'Data Type Mapping'!A:B,2,)</f>
        <v>string</v>
      </c>
      <c r="I12" s="72" t="str">
        <f t="shared" si="16"/>
        <v xml:space="preserve">		public const int MaxSegment1Length = 50;
</v>
      </c>
      <c r="J12" s="72" t="str">
        <f t="shared" si="17"/>
        <v xml:space="preserve">		[StringLength(MaxSegment1Length)]
		public virtual string Segment1 { get; set; }
</v>
      </c>
      <c r="K12" s="7"/>
      <c r="L12" s="72" t="str">
        <f t="shared" si="18"/>
        <v/>
      </c>
      <c r="M12" s="72" t="str">
        <f t="shared" si="19"/>
        <v xml:space="preserve">		public virtual string Segment1 { get; set; }
</v>
      </c>
      <c r="N12" s="72" t="str">
        <f t="shared" si="20"/>
        <v xml:space="preserve">		[StringLength(MstInvHrGlCodeCombinationConsts.MaxSegment1Length)]
		public virtual string Segment1 { get; set; }
</v>
      </c>
      <c r="O12" s="72" t="str">
        <f t="shared" si="21"/>
        <v xml:space="preserve">		public virtual string Segment1 { get; set; }
</v>
      </c>
      <c r="P12" s="72" t="str">
        <f t="shared" si="22"/>
        <v xml:space="preserve">							Segment1 = o.Segment1,</v>
      </c>
      <c r="T12" s="69" t="str">
        <f t="shared" si="23"/>
        <v xml:space="preserve">								("Segment1"),</v>
      </c>
      <c r="V12" s="70" t="str">
        <f t="shared" si="24"/>
        <v xml:space="preserve">								_ =&gt; _.Segment1,</v>
      </c>
      <c r="W12" s="69" t="str">
        <f t="shared" si="25"/>
        <v xml:space="preserve">				.WhereIf(!string.IsNullOrWhiteSpace(input.Segment1), e =&gt; e.Segment1.Contains(input.Segment1))</v>
      </c>
    </row>
    <row r="13" spans="1:23" s="72" customFormat="1" ht="18.75" customHeight="1" x14ac:dyDescent="0.3">
      <c r="A13" s="72" t="s">
        <v>362</v>
      </c>
      <c r="B13" s="72" t="s">
        <v>354</v>
      </c>
      <c r="C13" s="72" t="s">
        <v>1</v>
      </c>
      <c r="D13" s="72" t="str">
        <f t="shared" si="13"/>
        <v>Segment2</v>
      </c>
      <c r="E13" s="72" t="str">
        <f t="shared" si="14"/>
        <v>varchar</v>
      </c>
      <c r="F13" s="7"/>
      <c r="G13" s="72" t="str">
        <f t="shared" si="15"/>
        <v>50</v>
      </c>
      <c r="H13" s="72" t="str">
        <f>+VLOOKUP(E13,'Data Type Mapping'!A:B,2,)</f>
        <v>string</v>
      </c>
      <c r="I13" s="72" t="str">
        <f t="shared" si="16"/>
        <v xml:space="preserve">		public const int MaxSegment2Length = 50;
</v>
      </c>
      <c r="J13" s="72" t="str">
        <f t="shared" si="17"/>
        <v xml:space="preserve">		[StringLength(MaxSegment2Length)]
		public virtual string Segment2 { get; set; }
</v>
      </c>
      <c r="K13" s="7"/>
      <c r="L13" s="72" t="str">
        <f t="shared" si="18"/>
        <v/>
      </c>
      <c r="M13" s="72" t="str">
        <f t="shared" si="19"/>
        <v xml:space="preserve">		public virtual string Segment2 { get; set; }
</v>
      </c>
      <c r="N13" s="72" t="str">
        <f t="shared" si="20"/>
        <v xml:space="preserve">		[StringLength(MstInvHrGlCodeCombinationConsts.MaxSegment2Length)]
		public virtual string Segment2 { get; set; }
</v>
      </c>
      <c r="O13" s="72" t="str">
        <f t="shared" si="21"/>
        <v xml:space="preserve">		public virtual string Segment2 { get; set; }
</v>
      </c>
      <c r="P13" s="72" t="str">
        <f t="shared" si="22"/>
        <v xml:space="preserve">							Segment2 = o.Segment2,</v>
      </c>
      <c r="T13" s="69" t="str">
        <f t="shared" si="23"/>
        <v xml:space="preserve">								("Segment2"),</v>
      </c>
      <c r="V13" s="70" t="str">
        <f t="shared" si="24"/>
        <v xml:space="preserve">								_ =&gt; _.Segment2,</v>
      </c>
      <c r="W13" s="69" t="str">
        <f t="shared" si="25"/>
        <v xml:space="preserve">				.WhereIf(!string.IsNullOrWhiteSpace(input.Segment2), e =&gt; e.Segment2.Contains(input.Segment2))</v>
      </c>
    </row>
    <row r="14" spans="1:23" s="72" customFormat="1" ht="18.75" customHeight="1" x14ac:dyDescent="0.3">
      <c r="A14" s="72" t="s">
        <v>363</v>
      </c>
      <c r="B14" s="72" t="s">
        <v>354</v>
      </c>
      <c r="C14" s="72" t="s">
        <v>1</v>
      </c>
      <c r="D14" s="72" t="str">
        <f t="shared" si="13"/>
        <v>Segment3</v>
      </c>
      <c r="E14" s="72" t="str">
        <f t="shared" si="14"/>
        <v>varchar</v>
      </c>
      <c r="F14" s="7"/>
      <c r="G14" s="72" t="str">
        <f t="shared" si="15"/>
        <v>50</v>
      </c>
      <c r="H14" s="72" t="str">
        <f>+VLOOKUP(E14,'Data Type Mapping'!A:B,2,)</f>
        <v>string</v>
      </c>
      <c r="I14" s="72" t="str">
        <f t="shared" si="16"/>
        <v xml:space="preserve">		public const int MaxSegment3Length = 50;
</v>
      </c>
      <c r="J14" s="72" t="str">
        <f t="shared" si="17"/>
        <v xml:space="preserve">		[StringLength(MaxSegment3Length)]
		public virtual string Segment3 { get; set; }
</v>
      </c>
      <c r="K14" s="7"/>
      <c r="L14" s="72" t="str">
        <f t="shared" si="18"/>
        <v/>
      </c>
      <c r="M14" s="72" t="str">
        <f t="shared" si="19"/>
        <v xml:space="preserve">		public virtual string Segment3 { get; set; }
</v>
      </c>
      <c r="N14" s="72" t="str">
        <f t="shared" si="20"/>
        <v xml:space="preserve">		[StringLength(MstInvHrGlCodeCombinationConsts.MaxSegment3Length)]
		public virtual string Segment3 { get; set; }
</v>
      </c>
      <c r="O14" s="72" t="str">
        <f t="shared" si="21"/>
        <v xml:space="preserve">		public virtual string Segment3 { get; set; }
</v>
      </c>
      <c r="P14" s="72" t="str">
        <f t="shared" si="22"/>
        <v xml:space="preserve">							Segment3 = o.Segment3,</v>
      </c>
      <c r="T14" s="69" t="str">
        <f t="shared" si="23"/>
        <v xml:space="preserve">								("Segment3"),</v>
      </c>
      <c r="V14" s="70" t="str">
        <f t="shared" si="24"/>
        <v xml:space="preserve">								_ =&gt; _.Segment3,</v>
      </c>
      <c r="W14" s="69" t="str">
        <f t="shared" si="25"/>
        <v xml:space="preserve">				.WhereIf(!string.IsNullOrWhiteSpace(input.Segment3), e =&gt; e.Segment3.Contains(input.Segment3))</v>
      </c>
    </row>
    <row r="15" spans="1:23" s="72" customFormat="1" ht="18.75" customHeight="1" x14ac:dyDescent="0.3">
      <c r="A15" s="72" t="s">
        <v>364</v>
      </c>
      <c r="B15" s="72" t="s">
        <v>354</v>
      </c>
      <c r="C15" s="72" t="s">
        <v>1</v>
      </c>
      <c r="D15" s="72" t="str">
        <f t="shared" si="13"/>
        <v>Segment4</v>
      </c>
      <c r="E15" s="72" t="str">
        <f t="shared" si="14"/>
        <v>varchar</v>
      </c>
      <c r="F15" s="7"/>
      <c r="G15" s="72" t="str">
        <f t="shared" si="15"/>
        <v>50</v>
      </c>
      <c r="H15" s="72" t="str">
        <f>+VLOOKUP(E15,'Data Type Mapping'!A:B,2,)</f>
        <v>string</v>
      </c>
      <c r="I15" s="72" t="str">
        <f t="shared" si="16"/>
        <v xml:space="preserve">		public const int MaxSegment4Length = 50;
</v>
      </c>
      <c r="J15" s="72" t="str">
        <f t="shared" si="17"/>
        <v xml:space="preserve">		[StringLength(MaxSegment4Length)]
		public virtual string Segment4 { get; set; }
</v>
      </c>
      <c r="K15" s="7"/>
      <c r="L15" s="72" t="str">
        <f t="shared" si="18"/>
        <v/>
      </c>
      <c r="M15" s="72" t="str">
        <f t="shared" si="19"/>
        <v xml:space="preserve">		public virtual string Segment4 { get; set; }
</v>
      </c>
      <c r="N15" s="72" t="str">
        <f t="shared" si="20"/>
        <v xml:space="preserve">		[StringLength(MstInvHrGlCodeCombinationConsts.MaxSegment4Length)]
		public virtual string Segment4 { get; set; }
</v>
      </c>
      <c r="O15" s="72" t="str">
        <f t="shared" si="21"/>
        <v xml:space="preserve">		public virtual string Segment4 { get; set; }
</v>
      </c>
      <c r="P15" s="72" t="str">
        <f t="shared" si="22"/>
        <v xml:space="preserve">							Segment4 = o.Segment4,</v>
      </c>
      <c r="T15" s="69" t="str">
        <f t="shared" si="23"/>
        <v xml:space="preserve">								("Segment4"),</v>
      </c>
      <c r="V15" s="70" t="str">
        <f t="shared" si="24"/>
        <v xml:space="preserve">								_ =&gt; _.Segment4,</v>
      </c>
      <c r="W15" s="69" t="str">
        <f t="shared" si="25"/>
        <v xml:space="preserve">				.WhereIf(!string.IsNullOrWhiteSpace(input.Segment4), e =&gt; e.Segment4.Contains(input.Segment4))</v>
      </c>
    </row>
    <row r="16" spans="1:23" s="72" customFormat="1" ht="18.75" customHeight="1" x14ac:dyDescent="0.3">
      <c r="A16" s="72" t="s">
        <v>365</v>
      </c>
      <c r="B16" s="72" t="s">
        <v>354</v>
      </c>
      <c r="C16" s="72" t="s">
        <v>1</v>
      </c>
      <c r="D16" s="72" t="str">
        <f t="shared" si="13"/>
        <v>Segment5</v>
      </c>
      <c r="E16" s="72" t="str">
        <f t="shared" si="14"/>
        <v>varchar</v>
      </c>
      <c r="F16" s="7"/>
      <c r="G16" s="72" t="str">
        <f t="shared" si="15"/>
        <v>50</v>
      </c>
      <c r="H16" s="72" t="str">
        <f>+VLOOKUP(E16,'Data Type Mapping'!A:B,2,)</f>
        <v>string</v>
      </c>
      <c r="I16" s="72" t="str">
        <f t="shared" si="16"/>
        <v xml:space="preserve">		public const int MaxSegment5Length = 50;
</v>
      </c>
      <c r="J16" s="72" t="str">
        <f t="shared" si="17"/>
        <v xml:space="preserve">		[StringLength(MaxSegment5Length)]
		public virtual string Segment5 { get; set; }
</v>
      </c>
      <c r="K16" s="7"/>
      <c r="L16" s="72" t="str">
        <f t="shared" si="18"/>
        <v/>
      </c>
      <c r="M16" s="72" t="str">
        <f t="shared" si="19"/>
        <v xml:space="preserve">		public virtual string Segment5 { get; set; }
</v>
      </c>
      <c r="N16" s="72" t="str">
        <f t="shared" si="20"/>
        <v xml:space="preserve">		[StringLength(MstInvHrGlCodeCombinationConsts.MaxSegment5Length)]
		public virtual string Segment5 { get; set; }
</v>
      </c>
      <c r="O16" s="72" t="str">
        <f t="shared" si="21"/>
        <v xml:space="preserve">		public virtual string Segment5 { get; set; }
</v>
      </c>
      <c r="P16" s="72" t="str">
        <f t="shared" si="22"/>
        <v xml:space="preserve">							Segment5 = o.Segment5,</v>
      </c>
      <c r="T16" s="69" t="str">
        <f t="shared" si="23"/>
        <v xml:space="preserve">								("Segment5"),</v>
      </c>
      <c r="V16" s="70" t="str">
        <f t="shared" si="24"/>
        <v xml:space="preserve">								_ =&gt; _.Segment5,</v>
      </c>
      <c r="W16" s="69" t="str">
        <f t="shared" si="25"/>
        <v xml:space="preserve">				.WhereIf(!string.IsNullOrWhiteSpace(input.Segment5), e =&gt; e.Segment5.Contains(input.Segment5))</v>
      </c>
    </row>
    <row r="17" spans="1:23" s="72" customFormat="1" ht="18.75" customHeight="1" x14ac:dyDescent="0.3">
      <c r="A17" s="72" t="s">
        <v>366</v>
      </c>
      <c r="B17" s="72" t="s">
        <v>354</v>
      </c>
      <c r="C17" s="72" t="s">
        <v>1</v>
      </c>
      <c r="D17" s="72" t="str">
        <f t="shared" si="0"/>
        <v>Segment6</v>
      </c>
      <c r="E17" s="72" t="str">
        <f t="shared" si="1"/>
        <v>varchar</v>
      </c>
      <c r="F17" s="7"/>
      <c r="G17" s="72" t="str">
        <f t="shared" si="2"/>
        <v>50</v>
      </c>
      <c r="H17" s="72" t="str">
        <f>+VLOOKUP(E17,'Data Type Mapping'!A:B,2,)</f>
        <v>string</v>
      </c>
      <c r="I17" s="72" t="str">
        <f t="shared" si="3"/>
        <v xml:space="preserve">		public const int MaxSegment6Length = 50;
</v>
      </c>
      <c r="J17" s="72" t="str">
        <f t="shared" si="4"/>
        <v xml:space="preserve">		[StringLength(MaxSegment6Length)]
		public virtual string Segment6 { get; set; }
</v>
      </c>
      <c r="K17" s="7"/>
      <c r="L17" s="72" t="str">
        <f t="shared" si="5"/>
        <v/>
      </c>
      <c r="M17" s="72" t="str">
        <f t="shared" si="6"/>
        <v xml:space="preserve">		public virtual string Segment6 { get; set; }
</v>
      </c>
      <c r="N17" s="72" t="str">
        <f t="shared" si="7"/>
        <v xml:space="preserve">		[StringLength(MstInvHrGlCodeCombinationConsts.MaxSegment6Length)]
		public virtual string Segment6 { get; set; }
</v>
      </c>
      <c r="O17" s="72" t="str">
        <f t="shared" si="8"/>
        <v xml:space="preserve">		public virtual string Segment6 { get; set; }
</v>
      </c>
      <c r="P17" s="72" t="str">
        <f t="shared" si="9"/>
        <v xml:space="preserve">							Segment6 = o.Segment6,</v>
      </c>
      <c r="T17" s="69" t="str">
        <f t="shared" si="10"/>
        <v xml:space="preserve">								("Segment6"),</v>
      </c>
      <c r="V17" s="70" t="str">
        <f t="shared" si="11"/>
        <v xml:space="preserve">								_ =&gt; _.Segment6,</v>
      </c>
      <c r="W17" s="69" t="str">
        <f t="shared" si="12"/>
        <v xml:space="preserve">				.WhereIf(!string.IsNullOrWhiteSpace(input.Segment6), e =&gt; e.Segment6.Contains(input.Segment6))</v>
      </c>
    </row>
    <row r="18" spans="1:23" s="72" customFormat="1" ht="18.75" customHeight="1" x14ac:dyDescent="0.3">
      <c r="A18" s="72" t="s">
        <v>367</v>
      </c>
      <c r="B18" s="72" t="s">
        <v>368</v>
      </c>
      <c r="C18" s="72" t="s">
        <v>1</v>
      </c>
      <c r="D18" s="72" t="str">
        <f t="shared" si="0"/>
        <v>Concatenatedsegments</v>
      </c>
      <c r="E18" s="72" t="str">
        <f t="shared" si="1"/>
        <v>varchar</v>
      </c>
      <c r="F18" s="7"/>
      <c r="G18" s="72" t="str">
        <f t="shared" si="2"/>
        <v>255</v>
      </c>
      <c r="H18" s="72" t="str">
        <f>+VLOOKUP(E18,'Data Type Mapping'!A:B,2,)</f>
        <v>string</v>
      </c>
      <c r="I18" s="72" t="str">
        <f t="shared" si="3"/>
        <v xml:space="preserve">		public const int MaxConcatenatedsegmentsLength = 255;
</v>
      </c>
      <c r="J18" s="72" t="str">
        <f t="shared" si="4"/>
        <v xml:space="preserve">		[StringLength(MaxConcatenatedsegmentsLength)]
		public virtual string Concatenatedsegments { get; set; }
</v>
      </c>
      <c r="K18" s="7"/>
      <c r="L18" s="72" t="str">
        <f t="shared" si="5"/>
        <v/>
      </c>
      <c r="M18" s="72" t="str">
        <f t="shared" si="6"/>
        <v xml:space="preserve">		public virtual string Concatenatedsegments { get; set; }
</v>
      </c>
      <c r="N18" s="72" t="str">
        <f t="shared" si="7"/>
        <v xml:space="preserve">		[StringLength(MstInvHrGlCodeCombinationConsts.MaxConcatenatedsegmentsLength)]
		public virtual string Concatenatedsegments { get; set; }
</v>
      </c>
      <c r="O18" s="72" t="str">
        <f t="shared" si="8"/>
        <v xml:space="preserve">		public virtual string Concatenatedsegments { get; set; }
</v>
      </c>
      <c r="P18" s="72" t="str">
        <f t="shared" si="9"/>
        <v xml:space="preserve">							Concatenatedsegments = o.Concatenatedsegments,</v>
      </c>
      <c r="T18" s="69" t="str">
        <f t="shared" si="10"/>
        <v xml:space="preserve">								("Concatenatedsegments"),</v>
      </c>
      <c r="V18" s="70" t="str">
        <f t="shared" si="11"/>
        <v xml:space="preserve">								_ =&gt; _.Concatenatedsegments,</v>
      </c>
      <c r="W18" s="69" t="str">
        <f t="shared" si="12"/>
        <v xml:space="preserve">				.WhereIf(!string.IsNullOrWhiteSpace(input.Concatenatedsegments), e =&gt; e.Concatenatedsegments.Contains(input.Concatenatedsegments))</v>
      </c>
    </row>
    <row r="19" spans="1:23" s="72" customFormat="1" ht="22.5" customHeight="1" x14ac:dyDescent="0.3">
      <c r="A19" s="72" t="s">
        <v>355</v>
      </c>
      <c r="B19" s="72" t="s">
        <v>356</v>
      </c>
      <c r="C19" s="72" t="s">
        <v>1</v>
      </c>
      <c r="D19" s="72" t="str">
        <f>SUBSTITUTE(PROPER(A19),"_","")</f>
        <v>IsActive</v>
      </c>
      <c r="E19" s="72" t="str">
        <f t="shared" ref="E19" si="26">IFERROR(LEFT(B19, FIND("(",B19)-1),B19)</f>
        <v>varchar</v>
      </c>
      <c r="F19" s="7"/>
      <c r="G19" s="72" t="str">
        <f t="shared" ref="G19" si="27">IFERROR(MID(B19,FIND("(",B19) +1, FIND(")",B19) - FIND("(",B19) - 1),"")</f>
        <v>1</v>
      </c>
      <c r="H19" s="72" t="str">
        <f>+VLOOKUP(E19,'Data Type Mapping'!A:B,2,)</f>
        <v>string</v>
      </c>
      <c r="I19" s="72" t="str">
        <f t="shared" ref="I19" si="28">IF(H19="string",REPT(CHAR(9),2)&amp;"public const int Max"&amp;D19&amp;"Length = "&amp;G19&amp;";"&amp;$E$3,"" )</f>
        <v xml:space="preserve">		public const int MaxIsActiveLength = 1;
</v>
      </c>
      <c r="J19" s="72" t="str">
        <f t="shared" ref="J19" si="29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[StringLength(MaxIsActiveLength)]
		public virtual string IsActive { get; set; }
</v>
      </c>
      <c r="K19" s="7" t="s">
        <v>206</v>
      </c>
      <c r="L19" s="72" t="str">
        <f>IF(K19="","",REPT(CHAR(9),1)&amp;"[Index(nameof("&amp;IF(D19="","",""&amp;D19)&amp;")"&amp;", Name="&amp;"""IX_"&amp;$B$7&amp;"_"&amp;D19&amp;""")]")</f>
        <v xml:space="preserve">	[Index(nameof(IsActive), Name="IX_MstInvHrGlCodeCombination_IsActive")]</v>
      </c>
      <c r="M19" s="72" t="str">
        <f t="shared" ref="M19" si="30">REPT(CHAR(9),2)&amp;"public virtual "&amp;IF(OR(H19="DateTime",H19="TimeSpan"),H19&amp;"?",H19)&amp;IF(C19="?","? "," ")&amp;D19&amp;" { get; set; }" &amp; "
"</f>
        <v xml:space="preserve">		public virtual string IsActive { get; set; }
</v>
      </c>
      <c r="N19" s="72" t="str">
        <f t="shared" ref="N19" si="31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[StringLength(MstInvHrGlCodeCombinationConsts.MaxIsActiveLength)]
		public virtual string IsActive { get; set; }
</v>
      </c>
      <c r="O19" s="72" t="str">
        <f t="shared" ref="O19" si="32">IF(OR(H19="string",H19="DateTime",H19="int"),REPT(CHAR(9),2)&amp;"public virtual "&amp;IF(OR(H19="DateTime",H19="TimeSpan"),H19&amp;"?",H19)&amp;IF(C19="?","? "," ")&amp;D19&amp;" { get; set; }"&amp;$E$3,"")</f>
        <v xml:space="preserve">		public virtual string IsActive { get; set; }
</v>
      </c>
      <c r="P19" s="72" t="str">
        <f t="shared" ref="P19" si="33">REPT(CHAR(9),7)&amp;D19&amp;" = o." &amp;D19 &amp;","</f>
        <v xml:space="preserve">							IsActive = o.IsActive,</v>
      </c>
      <c r="T19" s="69" t="str">
        <f t="shared" ref="T19" si="34">REPT(CHAR(9),8)&amp;"("""&amp;D19&amp;"""),"</f>
        <v xml:space="preserve">								("IsActive"),</v>
      </c>
      <c r="V19" s="70" t="str">
        <f t="shared" ref="V19" si="35">REPT(CHAR(9),8)&amp;"_ =&gt; _."&amp;D19&amp;","</f>
        <v xml:space="preserve">								_ =&gt; _.IsActive,</v>
      </c>
      <c r="W19" s="69" t="str">
        <f t="shared" ref="W19" si="36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.WhereIf(!string.IsNullOrWhiteSpace(input.IsActive), e =&gt; e.IsActive.Contains(input.IsActive))</v>
      </c>
    </row>
    <row r="20" spans="1:23" ht="45.75" customHeight="1" x14ac:dyDescent="0.3">
      <c r="H20" s="12"/>
      <c r="I20" s="34" t="e">
        <f ca="1">TEXTJOIN2("
", TRUE,INDIRECT( $H$1):INDIRECT( $H$3))</f>
        <v>#NAME?</v>
      </c>
      <c r="J20" s="33" t="e">
        <f ca="1">TEXTJOIN2("
", TRUE,INDIRECT( $F$1):INDIRECT( $F$3))</f>
        <v>#NAME?</v>
      </c>
      <c r="K20" s="35" t="e">
        <f ca="1">TEXTJOIN2("
", TRUE,INDIRECT( $J$1):INDIRECT( $J$3))</f>
        <v>#NAME?</v>
      </c>
      <c r="L20" s="13" t="s">
        <v>60</v>
      </c>
      <c r="M20" s="36" t="e">
        <f ca="1">TEXTJOIN2("
",TRUE,INDIRECT( $L$1):INDIRECT($L$3))</f>
        <v>#NAME?</v>
      </c>
      <c r="N20" s="33" t="e">
        <f ca="1">TEXTJOIN2("
",TRUE,INDIRECT( $M$1):INDIRECT($M$3))</f>
        <v>#NAME?</v>
      </c>
      <c r="O20" s="33" t="e">
        <f ca="1">TEXTJOIN2("
",TRUE,INDIRECT( $N$1):INDIRECT($N$3))</f>
        <v>#NAME?</v>
      </c>
      <c r="P20" s="9" t="e">
        <f ca="1">TEXTJOIN2("
",TRUE,INDIRECT( $O$1):INDIRECT($O$3))</f>
        <v>#NAME?</v>
      </c>
      <c r="T20" s="9" t="e">
        <f ca="1">TEXTJOIN2("
",TRUE,INDIRECT( $T$2):INDIRECT($T$3))</f>
        <v>#NAME?</v>
      </c>
      <c r="V20" s="9" t="e">
        <f ca="1">TEXTJOIN2("
",TRUE,INDIRECT( $V$2):INDIRECT($V$3))</f>
        <v>#NAME?</v>
      </c>
      <c r="W20" s="9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6"/>
  <sheetViews>
    <sheetView workbookViewId="0">
      <selection activeCell="B28" sqref="B28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ht="28.8" x14ac:dyDescent="0.3">
      <c r="A1" s="41" t="s">
        <v>212</v>
      </c>
      <c r="B1" s="42" t="s">
        <v>357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">
      <c r="A6" s="41" t="s">
        <v>224</v>
      </c>
      <c r="B6" s="44" t="str">
        <f>A.Backend!B3</f>
        <v>MstInvHrGlCodeCombination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">
      <c r="A7" s="41" t="s">
        <v>215</v>
      </c>
      <c r="B7" s="43" t="str">
        <f>A.Backend!B5</f>
        <v>HrGlCodeCombination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">
      <c r="A8" s="41" t="s">
        <v>213</v>
      </c>
      <c r="B8" s="43" t="str">
        <f>LOWER(B7)</f>
        <v>hrglcodecombination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">
      <c r="A10" s="55" t="s">
        <v>217</v>
      </c>
      <c r="B10" s="56"/>
      <c r="C10" s="57"/>
      <c r="D10" s="57"/>
      <c r="E10" s="57"/>
      <c r="F10" s="57"/>
      <c r="G10" s="57"/>
      <c r="H10" s="48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8" t="e">
        <f ca="1">SUBSTITUTE(SUBSTITUTE(SUBSTITUTE(SUBSTITUTE(SUBSTITUTE(I9,"MstWptCalendar",$B$6),"Calendar",$B$7),"calendar",$B$8),"&lt;PROPERTIES&gt;",I13),"&lt;FULL_TITLE&gt;",B1)</f>
        <v>#NAME?</v>
      </c>
      <c r="J10" s="48" t="str">
        <f>J9</f>
        <v>.input-search{
    width: 250px;
    border-radius: 10px;
    margin-left: 10px;
}
.btn-search{
    width: 50px;
    margin-left: 10px;
}</v>
      </c>
      <c r="K10" s="48" t="e">
        <f ca="1">SUBSTITUTE(SUBSTITUTE(SUBSTITUTE(SUBSTITUTE(K9,"MstWptCalendar",$B$6),"Calendar",$B$7),"calendar",$B$8),"&lt;PROPERTIES&gt;",K13)</f>
        <v>#NAME?</v>
      </c>
      <c r="L10" s="48" t="e">
        <f ca="1">SUBSTITUTE(SUBSTITUTE(SUBSTITUTE(SUBSTITUTE(SUBSTITUTE(L9,"MstWptCalendar",$B$6),"Calendar",$B$7),"calendar",$B$8),"&lt;VIEWDATETIME&gt;",$L$13),"isActive",$V$13)</f>
        <v>#NAME?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HrGlCodeCombinationRoutingModule } from './hrglcodecombination-routing.module';
import { HrGlCodeCombinationComponent } from './hrglcodecombination.component';
import { CreateOrEditHrGlCodeCombinationModalComponent } from './create-or-edit-hrglcodecombination-modal.component';
@NgModule({
    declarations: [
       HrGlCodeCombinationComponent, 
        CreateOrEditHrGlCodeCombinationModalComponent
    ],
    imports: [
        AppSharedModule, HrGlCodeCombinationRoutingModule]
})
export class HrGlCodeCombinationModule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HrGlCodeCombinationComponent } from './hrglcodecombination.component';
const routes: Routes = [{
    path: '',
    component: HrGlCodeCombinationComponent,
    pathMatch: 'full'
}];
@NgModule({
    imports: [RouterModule.forChild(routes)],
    exports: [RouterModule],
})
export class HrGlCodeCombinationRoutingModule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AppMenuItem("HrGlCodeCombination", "Pages.Master.Inventory.HrGlCodeCombination", "flaticon-book",   "/app/main/master/inventory/hrglcodecombination"),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'master/inventory/hrglcodecombination',
    loadChildren: () =&gt; import('./master/inventory/hrglcodecombination/hrglcodecombination.module').then(m =&gt; m.HrGlCodeCombinationModule),
    data: { permission: 'Pages.Master.Inventory.HrGlCodeCombination' }
},</v>
      </c>
      <c r="R10" s="50" t="str">
        <f>SUBSTITUTE(R9,"MstWptCalendar",$B$6)</f>
        <v>ApiServiceProxies.MstInvHrGlCodeCombinationServiceProxy,</v>
      </c>
      <c r="S10" s="31"/>
      <c r="T10" s="31"/>
      <c r="U10" s="31"/>
      <c r="V10" s="31"/>
    </row>
    <row r="11" spans="1:22" x14ac:dyDescent="0.3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3">
      <c r="A13" s="58">
        <v>3</v>
      </c>
      <c r="B13" s="31"/>
      <c r="C13" s="31"/>
      <c r="D13" s="31"/>
      <c r="E13" s="31"/>
      <c r="F13" s="31"/>
      <c r="G13" s="31"/>
      <c r="H13" s="38" t="e">
        <f ca="1">TEXTJOIN2("
",TRUE,INDIRECT(H11):INDIRECT(H12))</f>
        <v>#NAME?</v>
      </c>
      <c r="I13" s="38" t="e">
        <f ca="1">TEXTJOIN2("
",TRUE,INDIRECT(I11):INDIRECT(I12))</f>
        <v>#NAME?</v>
      </c>
      <c r="J13" s="31"/>
      <c r="K13" s="38" t="e">
        <f ca="1">TEXTJOIN2("
",TRUE,INDIRECT(K11):INDIRECT(K12))</f>
        <v>#NAME?</v>
      </c>
      <c r="L13" s="60" t="e">
        <f ca="1">TEXTJOIN2("
",TRUE,INDIRECT(L11):INDIRECT(L12))</f>
        <v>#NAME?</v>
      </c>
      <c r="M13" s="31"/>
      <c r="N13" s="31"/>
      <c r="O13" s="31"/>
      <c r="P13" s="31"/>
      <c r="Q13" s="31"/>
      <c r="R13" s="31"/>
      <c r="S13" s="68" t="e">
        <f ca="1">TEXTJOIN2("
",TRUE,INDIRECT(S11):INDIRECT(S12))</f>
        <v>#NAME?</v>
      </c>
      <c r="T13" s="68" t="e">
        <f ca="1">TEXTJOIN2("
",TRUE,INDIRECT(T11):INDIRECT(T12))</f>
        <v>#NAME?</v>
      </c>
      <c r="U13" s="68" t="e">
        <f ca="1">TEXTJOIN2("
",TRUE,INDIRECT(U11):INDIRECT(U12))</f>
        <v>#NAME?</v>
      </c>
      <c r="V13" s="31" t="e">
        <f ca="1">TEXTJOIN2("
",TRUE,INDIRECT(V11):INDIRECT(V12))</f>
        <v>#NAME?</v>
      </c>
    </row>
    <row r="14" spans="1:22" x14ac:dyDescent="0.3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hrglcodecombination.component.ts</v>
      </c>
      <c r="I14" s="40" t="str">
        <f>B8&amp;".component.html"</f>
        <v>hrglcodecombination.component.html</v>
      </c>
      <c r="J14" s="39" t="str">
        <f>B8&amp;".component.less"</f>
        <v>hrglcodecombination.component.less</v>
      </c>
      <c r="K14" s="40" t="str">
        <f>"create-or-edit-"&amp;B8&amp;"-modal.component.html"</f>
        <v>create-or-edit-hrglcodecombination-modal.component.html</v>
      </c>
      <c r="L14" s="40" t="str">
        <f>"create-or-edit-"&amp;B8&amp;"-modal.component.ts"</f>
        <v>create-or-edit-hrglcodecombination-modal.component.ts</v>
      </c>
      <c r="M14" s="40" t="str">
        <f>"create-or-edit-"&amp;B8&amp;"-modal.component.less"</f>
        <v>create-or-edit-hrglcodecombination-modal.component.less</v>
      </c>
      <c r="N14" s="40" t="str">
        <f>B8&amp;".module.ts"</f>
        <v>hrglcodecombination.module.ts</v>
      </c>
      <c r="O14" s="40" t="str">
        <f>B8&amp;"-routing.module.ts"</f>
        <v>hrglcodecombination-routing.module.ts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">
      <c r="A15" s="72" t="s">
        <v>358</v>
      </c>
      <c r="B15" s="31" t="str">
        <f t="shared" ref="B15:B23" si="0">SUBSTITUTE(PROPER(A15),"_","")</f>
        <v>ChartOfAccountsId</v>
      </c>
      <c r="C15" s="31" t="str">
        <f t="shared" ref="C15:C23" si="1">SUBSTITUTE(PROPER(A15),"_"," ")</f>
        <v>Chart Of Accounts Id</v>
      </c>
      <c r="D15" s="31" t="str">
        <f t="shared" ref="D15:D23" si="2">LOWER(LEFT(B15,1))&amp;RIGHT(B15,LEN(B15) - 1)</f>
        <v>chartOfAccountsId</v>
      </c>
      <c r="E15" s="31" t="str">
        <f>A.Backend!H9</f>
        <v>long</v>
      </c>
      <c r="F15" s="31" t="str">
        <f>A.Backend!G9</f>
        <v/>
      </c>
      <c r="G15" s="31" t="str">
        <f t="shared" ref="G15:G25" si="3">IF(E15="string"," : string = '' ; ",IF(OR(E15="DateTime",E15="TimeSpan")," : any ;",IF(E15="int"," : number = 0 ;","")))</f>
        <v/>
      </c>
      <c r="H15" s="38" t="str">
        <f t="shared" ref="H15:H2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this.l('Chart Of Accounts Id'),headerTooltip: this.l('Chart Of Accounts Id'),field: 'chartOfAccountsId',flex: 1},</v>
      </c>
      <c r="I15" s="38" t="str">
        <f t="shared" ref="I15:I2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 t="shared" ref="K15:K2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 t="shared" ref="L15:L23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chartOfAccountsId</v>
      </c>
      <c r="T15" s="31" t="str">
        <f>REPT(CHAR(9),3)&amp;"this."&amp;D15&amp;","</f>
        <v xml:space="preserve">			this.chartOfAccountsId,</v>
      </c>
      <c r="U15" s="31" t="str">
        <f>IF(E15="int",REPT(CHAR(9),2)&amp;"this."&amp;D15&amp;" = 0,",REPT(CHAR(9),2)&amp;"this."&amp;D15&amp;" = '',")</f>
        <v xml:space="preserve">		this.chartOfAccountsId = '',</v>
      </c>
      <c r="V15" s="31" t="str">
        <f t="shared" ref="V15:V23" si="8">IF(AND(E15="string",F15="1"),D15,"")</f>
        <v/>
      </c>
    </row>
    <row r="16" spans="1:22" s="72" customFormat="1" ht="18" customHeight="1" x14ac:dyDescent="0.3">
      <c r="A16" s="72" t="s">
        <v>359</v>
      </c>
      <c r="B16" s="31" t="str">
        <f t="shared" ref="B16" si="9">SUBSTITUTE(PROPER(A16),"_","")</f>
        <v>AccountType</v>
      </c>
      <c r="C16" s="31" t="str">
        <f t="shared" ref="C16" si="10">SUBSTITUTE(PROPER(A16),"_"," ")</f>
        <v>Account Type</v>
      </c>
      <c r="D16" s="31" t="str">
        <f t="shared" ref="D16" si="11">LOWER(LEFT(B16,1))&amp;RIGHT(B16,LEN(B16) - 1)</f>
        <v>accountType</v>
      </c>
      <c r="E16" s="31" t="str">
        <f>A.Backend!H10</f>
        <v>string</v>
      </c>
      <c r="F16" s="31" t="str">
        <f>A.Backend!G10</f>
        <v>255</v>
      </c>
      <c r="G16" s="31" t="str">
        <f t="shared" si="3"/>
        <v xml:space="preserve"> : string = '' ; </v>
      </c>
      <c r="H16" s="38" t="str">
        <f t="shared" si="4"/>
        <v xml:space="preserve">			{headerName: this.l('Account Type'),headerTooltip: this.l('Account Type'),field: 'accountType',flex: 1},</v>
      </c>
      <c r="I16" s="38" t="str">
        <f t="shared" si="5"/>
        <v xml:space="preserve">								&lt;div class='input-search'&gt;
									&lt;input [(ngModel)]='accountType' name='accountType'
									class='form-control' [placeholder]="l('Account Type')"
									type='text' (keyup.enter)='searchDatas()'&gt;
								&lt;/div&gt;</v>
      </c>
      <c r="J16" s="31"/>
      <c r="K16" s="38" t="str">
        <f t="shared" si="6"/>
        <v xml:space="preserve">					&lt;div class='col-md-12 form-group row'&gt;
						&lt;label class='col-md-2 form-control title'&gt;Account Type&lt;/label&gt;
						&lt;input type='text' class='col-md-10 form-control input-text' name='AccountType' [(ngModel)]='rowdata.accountType'&gt;
					&lt;/div&gt;</v>
      </c>
      <c r="L16" s="60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3">REPT(CHAR(9),1)&amp;D16&amp;G16</f>
        <v xml:space="preserve">	accountType : string = '' ; </v>
      </c>
      <c r="T16" s="31" t="str">
        <f t="shared" ref="T16" si="14">REPT(CHAR(9),3)&amp;"this."&amp;D16&amp;","</f>
        <v xml:space="preserve">			this.accountType,</v>
      </c>
      <c r="U16" s="31" t="str">
        <f t="shared" ref="U16" si="15">IF(E16="int",REPT(CHAR(9),2)&amp;"this."&amp;D16&amp;" = 0,",REPT(CHAR(9),2)&amp;"this."&amp;D16&amp;" = '',")</f>
        <v xml:space="preserve">		this.accountType = '',</v>
      </c>
      <c r="V16" s="31" t="str">
        <f t="shared" ref="V16" si="16">IF(AND(E16="string",F16="1"),D16,"")</f>
        <v/>
      </c>
    </row>
    <row r="17" spans="1:22" s="72" customFormat="1" ht="18" customHeight="1" x14ac:dyDescent="0.3">
      <c r="A17" s="72" t="s">
        <v>360</v>
      </c>
      <c r="B17" s="31" t="str">
        <f>SUBSTITUTE(PROPER(A17),"_","")</f>
        <v>EnabledFlag</v>
      </c>
      <c r="C17" s="31" t="str">
        <f>SUBSTITUTE(PROPER(A17),"_"," ")</f>
        <v>Enabled Flag</v>
      </c>
      <c r="D17" s="31" t="str">
        <f>LOWER(LEFT(B17,1))&amp;RIGHT(B17,LEN(B17) - 1)</f>
        <v>enabledFlag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this.l('Enabled Flag'),headerTooltip: this.l('Enabled Flag'),field: 'enabledFlag',flex: 1},</v>
      </c>
      <c r="I17" s="38" t="str">
        <f t="shared" si="5"/>
        <v xml:space="preserve">								&lt;div class='input-search'&gt;
									&lt;input [(ngModel)]='enabledFlag' name='enabledFlag'
									class='form-control' [placeholder]="l('Enabled Flag')"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title'&gt;Enabled Flag&lt;/label&gt;
						&lt;input type='text' class='col-md-10 form-control input-text' name='EnabledFlag' [(ngModel)]='rowdata.enabledFlag'&gt;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enabledFlag : string = '' ; </v>
      </c>
      <c r="T17" s="31" t="str">
        <f>REPT(CHAR(9),3)&amp;"this."&amp;D17&amp;","</f>
        <v xml:space="preserve">			this.enabledFlag,</v>
      </c>
      <c r="U17" s="31" t="str">
        <f>IF(E17="int","this."&amp;D17&amp;" = 0,","this."&amp;D17&amp;" = '',")</f>
        <v>this.enabledFlag = '',</v>
      </c>
      <c r="V17" s="31" t="str">
        <f>IF(AND(E17="string",F17="1"),D17,"")</f>
        <v/>
      </c>
    </row>
    <row r="18" spans="1:22" s="72" customFormat="1" ht="18" customHeight="1" x14ac:dyDescent="0.3">
      <c r="A18" s="72" t="s">
        <v>361</v>
      </c>
      <c r="B18" s="31" t="str">
        <f t="shared" ref="B18" si="17">SUBSTITUTE(PROPER(A18),"_","")</f>
        <v>Segment1</v>
      </c>
      <c r="C18" s="31" t="str">
        <f t="shared" ref="C18" si="18">SUBSTITUTE(PROPER(A18),"_"," ")</f>
        <v>Segment1</v>
      </c>
      <c r="D18" s="31" t="str">
        <f t="shared" ref="D18" si="19">LOWER(LEFT(B18,1))&amp;RIGHT(B18,LEN(B18) - 1)</f>
        <v>segment1</v>
      </c>
      <c r="E18" s="31" t="str">
        <f>A.Backend!H9</f>
        <v>long</v>
      </c>
      <c r="F18" s="31" t="str">
        <f>A.Backend!G9</f>
        <v/>
      </c>
      <c r="G18" s="31" t="str">
        <f t="shared" ref="G18:G20" si="20">IF(E18="string"," : string = '' ; ",IF(OR(E18="DateTime",E18="TimeSpan")," : any ;",IF(E18="int"," : number = 0 ;","")))</f>
        <v/>
      </c>
      <c r="H18" s="38" t="str">
        <f t="shared" ref="H18:H20" si="21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this.l('Segment1'),headerTooltip: this.l('Segment1'),field: 'segment1',flex: 1},</v>
      </c>
      <c r="I18" s="38" t="str">
        <f t="shared" ref="I18:I20" si="22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31"/>
      <c r="K18" s="38" t="str">
        <f t="shared" ref="K18:K20" si="23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/>
      </c>
      <c r="L18" s="60" t="str">
        <f t="shared" ref="L18" si="24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" si="25">REPT(CHAR(9),1)&amp;D18&amp;G18</f>
        <v xml:space="preserve">	segment1</v>
      </c>
      <c r="T18" s="31" t="str">
        <f t="shared" ref="T18" si="26">REPT(CHAR(9),3)&amp;"this."&amp;D18&amp;","</f>
        <v xml:space="preserve">			this.segment1,</v>
      </c>
      <c r="U18" s="31" t="str">
        <f t="shared" ref="U18" si="27">IF(E18="int",REPT(CHAR(9),2)&amp;"this."&amp;D18&amp;" = 0,",REPT(CHAR(9),2)&amp;"this."&amp;D18&amp;" = '',")</f>
        <v xml:space="preserve">		this.segment1 = '',</v>
      </c>
      <c r="V18" s="31" t="str">
        <f t="shared" ref="V18" si="28">IF(AND(E18="string",F18="1"),D18,"")</f>
        <v/>
      </c>
    </row>
    <row r="19" spans="1:22" s="72" customFormat="1" ht="18" customHeight="1" x14ac:dyDescent="0.3">
      <c r="A19" s="72" t="s">
        <v>362</v>
      </c>
      <c r="B19" s="31" t="str">
        <f>SUBSTITUTE(PROPER(A19),"_","")</f>
        <v>Segment2</v>
      </c>
      <c r="C19" s="31" t="str">
        <f>SUBSTITUTE(PROPER(A19),"_"," ")</f>
        <v>Segment2</v>
      </c>
      <c r="D19" s="31" t="str">
        <f>LOWER(LEFT(B19,1))&amp;RIGHT(B19,LEN(B19) - 1)</f>
        <v>segment2</v>
      </c>
      <c r="E19" s="31" t="str">
        <f>A.Backend!H10</f>
        <v>string</v>
      </c>
      <c r="F19" s="31" t="str">
        <f>A.Backend!G10</f>
        <v>255</v>
      </c>
      <c r="G19" s="31" t="str">
        <f t="shared" si="20"/>
        <v xml:space="preserve"> : string = '' ; </v>
      </c>
      <c r="H19" s="38" t="str">
        <f t="shared" si="21"/>
        <v xml:space="preserve">			{headerName: this.l('Segment2'),headerTooltip: this.l('Segment2'),field: 'segment2',flex: 1},</v>
      </c>
      <c r="I19" s="38" t="str">
        <f t="shared" si="22"/>
        <v xml:space="preserve">								&lt;div class='input-search'&gt;
									&lt;input [(ngModel)]='segment2' name='segment2'
									class='form-control' [placeholder]="l('Segment2')"
									type='text' (keyup.enter)='searchDatas()'&gt;
								&lt;/div&gt;</v>
      </c>
      <c r="J19" s="31"/>
      <c r="K19" s="38" t="str">
        <f t="shared" si="23"/>
        <v xml:space="preserve">					&lt;div class='col-md-12 form-group row'&gt;
						&lt;label class='col-md-2 form-control title'&gt;Segment2&lt;/label&gt;
						&lt;input type='text' class='col-md-10 form-control input-text' name='Segment2' [(ngModel)]='rowdata.segment2'&gt;
					&lt;/div&gt;</v>
      </c>
      <c r="L19" s="60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D19&amp;G19</f>
        <v xml:space="preserve">segment2 : string = '' ; </v>
      </c>
      <c r="T19" s="31" t="str">
        <f>REPT(CHAR(9),3)&amp;"this."&amp;D19&amp;","</f>
        <v xml:space="preserve">			this.segment2,</v>
      </c>
      <c r="U19" s="31" t="str">
        <f>IF(E19="int","this."&amp;D19&amp;" = 0,","this."&amp;D19&amp;" = '',")</f>
        <v>this.segment2 = '',</v>
      </c>
      <c r="V19" s="31" t="str">
        <f>IF(AND(E19="string",F19="1"),D19,"")</f>
        <v/>
      </c>
    </row>
    <row r="20" spans="1:22" s="72" customFormat="1" ht="18" customHeight="1" x14ac:dyDescent="0.3">
      <c r="A20" s="72" t="s">
        <v>363</v>
      </c>
      <c r="B20" s="31" t="str">
        <f t="shared" ref="B20" si="29">SUBSTITUTE(PROPER(A20),"_","")</f>
        <v>Segment3</v>
      </c>
      <c r="C20" s="31" t="str">
        <f t="shared" ref="C20" si="30">SUBSTITUTE(PROPER(A20),"_"," ")</f>
        <v>Segment3</v>
      </c>
      <c r="D20" s="31" t="str">
        <f t="shared" ref="D20" si="31">LOWER(LEFT(B20,1))&amp;RIGHT(B20,LEN(B20) - 1)</f>
        <v>segment3</v>
      </c>
      <c r="E20" s="31" t="str">
        <f>A.Backend!H14</f>
        <v>string</v>
      </c>
      <c r="F20" s="31" t="str">
        <f>A.Backend!G14</f>
        <v>50</v>
      </c>
      <c r="G20" s="31" t="str">
        <f t="shared" si="20"/>
        <v xml:space="preserve"> : string = '' ; </v>
      </c>
      <c r="H20" s="38" t="str">
        <f t="shared" si="21"/>
        <v xml:space="preserve">			{headerName: this.l('Segment3'),headerTooltip: this.l('Segment3'),field: 'segment3',flex: 1},</v>
      </c>
      <c r="I20" s="38" t="str">
        <f t="shared" si="22"/>
        <v xml:space="preserve">								&lt;div class='input-search'&gt;
									&lt;input [(ngModel)]='segment3' name='segment3'
									class='form-control' [placeholder]="l('Segment3')"
									type='text' (keyup.enter)='searchDatas()'&gt;
								&lt;/div&gt;</v>
      </c>
      <c r="J20" s="31"/>
      <c r="K20" s="38" t="str">
        <f t="shared" si="23"/>
        <v xml:space="preserve">					&lt;div class='col-md-12 form-group row'&gt;
						&lt;label class='col-md-2 form-control title'&gt;Segment3&lt;/label&gt;
						&lt;input type='text' class='col-md-10 form-control input-text' name='Segment3' [(ngModel)]='rowdata.segment3'&gt;
					&lt;/div&gt;</v>
      </c>
      <c r="L20" s="60" t="str">
        <f t="shared" ref="L20" si="32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33">REPT(CHAR(9),1)&amp;D20&amp;G20</f>
        <v xml:space="preserve">	segment3 : string = '' ; </v>
      </c>
      <c r="T20" s="31" t="str">
        <f t="shared" ref="T20" si="34">REPT(CHAR(9),3)&amp;"this."&amp;D20&amp;","</f>
        <v xml:space="preserve">			this.segment3,</v>
      </c>
      <c r="U20" s="31" t="str">
        <f t="shared" ref="U20" si="35">IF(E20="int",REPT(CHAR(9),2)&amp;"this."&amp;D20&amp;" = 0,",REPT(CHAR(9),2)&amp;"this."&amp;D20&amp;" = '',")</f>
        <v xml:space="preserve">		this.segment3 = '',</v>
      </c>
      <c r="V20" s="31" t="str">
        <f t="shared" ref="V20" si="36">IF(AND(E20="string",F20="1"),D20,"")</f>
        <v/>
      </c>
    </row>
    <row r="21" spans="1:22" s="72" customFormat="1" ht="18" customHeight="1" x14ac:dyDescent="0.3">
      <c r="A21" s="72" t="s">
        <v>364</v>
      </c>
      <c r="B21" s="31" t="str">
        <f t="shared" ref="B21" si="37">SUBSTITUTE(PROPER(A21),"_","")</f>
        <v>Segment4</v>
      </c>
      <c r="C21" s="31" t="str">
        <f t="shared" ref="C21" si="38">SUBSTITUTE(PROPER(A21),"_"," ")</f>
        <v>Segment4</v>
      </c>
      <c r="D21" s="31" t="str">
        <f t="shared" ref="D21" si="39">LOWER(LEFT(B21,1))&amp;RIGHT(B21,LEN(B21) - 1)</f>
        <v>segment4</v>
      </c>
      <c r="E21" s="31" t="str">
        <f>A.Backend!H12</f>
        <v>string</v>
      </c>
      <c r="F21" s="31" t="str">
        <f>A.Backend!G12</f>
        <v>50</v>
      </c>
      <c r="G21" s="31" t="str">
        <f t="shared" si="3"/>
        <v xml:space="preserve"> : string = '' ; </v>
      </c>
      <c r="H21" s="38" t="str">
        <f t="shared" si="4"/>
        <v xml:space="preserve">			{headerName: this.l('Segment4'),headerTooltip: this.l('Segment4'),field: 'segment4',flex: 1},</v>
      </c>
      <c r="I21" s="38" t="str">
        <f t="shared" si="5"/>
        <v xml:space="preserve">								&lt;div class='input-search'&gt;
									&lt;input [(ngModel)]='segment4' name='segment4'
									class='form-control' [placeholder]="l('Segment4')"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title'&gt;Segment4&lt;/label&gt;
						&lt;input type='text' class='col-md-10 form-control input-text' name='Segment4' [(ngModel)]='rowdata.segment4'&gt;
					&lt;/div&gt;</v>
      </c>
      <c r="L21" s="60" t="str">
        <f t="shared" ref="L21" si="40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" si="41">REPT(CHAR(9),1)&amp;D21&amp;G21</f>
        <v xml:space="preserve">	segment4 : string = '' ; </v>
      </c>
      <c r="T21" s="31" t="str">
        <f t="shared" ref="T21" si="42">REPT(CHAR(9),3)&amp;"this."&amp;D21&amp;","</f>
        <v xml:space="preserve">			this.segment4,</v>
      </c>
      <c r="U21" s="31" t="str">
        <f t="shared" ref="U21" si="43">IF(E21="int",REPT(CHAR(9),2)&amp;"this."&amp;D21&amp;" = 0,",REPT(CHAR(9),2)&amp;"this."&amp;D21&amp;" = '',")</f>
        <v xml:space="preserve">		this.segment4 = '',</v>
      </c>
      <c r="V21" s="31" t="str">
        <f t="shared" ref="V21" si="44">IF(AND(E21="string",F21="1"),D21,"")</f>
        <v/>
      </c>
    </row>
    <row r="22" spans="1:22" s="72" customFormat="1" ht="18" customHeight="1" x14ac:dyDescent="0.3">
      <c r="A22" s="72" t="s">
        <v>365</v>
      </c>
      <c r="B22" s="31" t="str">
        <f>SUBSTITUTE(PROPER(A22),"_","")</f>
        <v>Segment5</v>
      </c>
      <c r="C22" s="31" t="str">
        <f>SUBSTITUTE(PROPER(A22),"_"," ")</f>
        <v>Segment5</v>
      </c>
      <c r="D22" s="31" t="str">
        <f>LOWER(LEFT(B22,1))&amp;RIGHT(B22,LEN(B22) - 1)</f>
        <v>segment5</v>
      </c>
      <c r="E22" s="31" t="str">
        <f>A.Backend!H13</f>
        <v>string</v>
      </c>
      <c r="F22" s="31" t="str">
        <f>A.Backend!G13</f>
        <v>50</v>
      </c>
      <c r="G22" s="31" t="str">
        <f t="shared" si="3"/>
        <v xml:space="preserve"> : string = '' ; </v>
      </c>
      <c r="H22" s="38" t="str">
        <f t="shared" si="4"/>
        <v xml:space="preserve">			{headerName: this.l('Segment5'),headerTooltip: this.l('Segment5'),field: 'segment5',flex: 1},</v>
      </c>
      <c r="I22" s="38" t="str">
        <f t="shared" si="5"/>
        <v xml:space="preserve">								&lt;div class='input-search'&gt;
									&lt;input [(ngModel)]='segment5' name='segment5'
									class='form-control' [placeholder]="l('Segment5')"
									type='text' (keyup.enter)='searchDatas()'&gt;
								&lt;/div&gt;</v>
      </c>
      <c r="J22" s="31"/>
      <c r="K22" s="38" t="str">
        <f t="shared" si="6"/>
        <v xml:space="preserve">					&lt;div class='col-md-12 form-group row'&gt;
						&lt;label class='col-md-2 form-control title'&gt;Segment5&lt;/label&gt;
						&lt;input type='text' class='col-md-10 form-control input-text' name='Segment5' [(ngModel)]='rowdata.segment5'&gt;
					&lt;/div&gt;</v>
      </c>
      <c r="L22" s="60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D22&amp;G22</f>
        <v xml:space="preserve">segment5 : string = '' ; </v>
      </c>
      <c r="T22" s="31" t="str">
        <f>REPT(CHAR(9),3)&amp;"this."&amp;D22&amp;","</f>
        <v xml:space="preserve">			this.segment5,</v>
      </c>
      <c r="U22" s="31" t="str">
        <f>IF(E22="int","this."&amp;D22&amp;" = 0,","this."&amp;D22&amp;" = '',")</f>
        <v>this.segment5 = '',</v>
      </c>
      <c r="V22" s="31" t="str">
        <f>IF(AND(E22="string",F22="1"),D22,"")</f>
        <v/>
      </c>
    </row>
    <row r="23" spans="1:22" s="72" customFormat="1" ht="18" customHeight="1" x14ac:dyDescent="0.3">
      <c r="A23" s="72" t="s">
        <v>366</v>
      </c>
      <c r="B23" s="31" t="str">
        <f t="shared" si="0"/>
        <v>Segment6</v>
      </c>
      <c r="C23" s="31" t="str">
        <f t="shared" si="1"/>
        <v>Segment6</v>
      </c>
      <c r="D23" s="31" t="str">
        <f t="shared" si="2"/>
        <v>segment6</v>
      </c>
      <c r="E23" s="31" t="str">
        <f>A.Backend!H17</f>
        <v>string</v>
      </c>
      <c r="F23" s="31" t="str">
        <f>A.Backend!G17</f>
        <v>50</v>
      </c>
      <c r="G23" s="31" t="str">
        <f t="shared" si="3"/>
        <v xml:space="preserve"> : string = '' ; </v>
      </c>
      <c r="H23" s="38" t="str">
        <f t="shared" si="4"/>
        <v xml:space="preserve">			{headerName: this.l('Segment6'),headerTooltip: this.l('Segment6'),field: 'segment6',flex: 1},</v>
      </c>
      <c r="I23" s="38" t="str">
        <f t="shared" si="5"/>
        <v xml:space="preserve">								&lt;div class='input-search'&gt;
									&lt;input [(ngModel)]='segment6' name='segment6'
									class='form-control' [placeholder]="l('Segment6')"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title'&gt;Segment6&lt;/label&gt;
						&lt;input type='text' class='col-md-10 form-control input-text' name='Segment6' [(ngModel)]='rowdata.segment6'&gt;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 t="shared" ref="S23" si="45">REPT(CHAR(9),1)&amp;D23&amp;G23</f>
        <v xml:space="preserve">	segment6 : string = '' ; </v>
      </c>
      <c r="T23" s="31" t="str">
        <f t="shared" ref="T23" si="46">REPT(CHAR(9),3)&amp;"this."&amp;D23&amp;","</f>
        <v xml:space="preserve">			this.segment6,</v>
      </c>
      <c r="U23" s="31" t="str">
        <f t="shared" ref="U23" si="47">IF(E23="int",REPT(CHAR(9),2)&amp;"this."&amp;D23&amp;" = 0,",REPT(CHAR(9),2)&amp;"this."&amp;D23&amp;" = '',")</f>
        <v xml:space="preserve">		this.segment6 = '',</v>
      </c>
      <c r="V23" s="31" t="str">
        <f t="shared" si="8"/>
        <v/>
      </c>
    </row>
    <row r="24" spans="1:22" s="72" customFormat="1" ht="18" customHeight="1" x14ac:dyDescent="0.3">
      <c r="A24" s="72" t="s">
        <v>367</v>
      </c>
      <c r="B24" s="31" t="str">
        <f>SUBSTITUTE(PROPER(A24),"_","")</f>
        <v>Concatenatedsegments</v>
      </c>
      <c r="C24" s="31" t="str">
        <f>SUBSTITUTE(PROPER(A24),"_"," ")</f>
        <v>Concatenatedsegments</v>
      </c>
      <c r="D24" s="31" t="str">
        <f>LOWER(LEFT(B24,1))&amp;RIGHT(B24,LEN(B24) - 1)</f>
        <v>concatenatedsegments</v>
      </c>
      <c r="E24" s="31" t="str">
        <f>A.Backend!H18</f>
        <v>string</v>
      </c>
      <c r="F24" s="31" t="str">
        <f>A.Backend!G18</f>
        <v>255</v>
      </c>
      <c r="G24" s="31" t="str">
        <f t="shared" si="3"/>
        <v xml:space="preserve"> : string = '' ; </v>
      </c>
      <c r="H24" s="38" t="str">
        <f t="shared" si="4"/>
        <v xml:space="preserve">			{headerName: this.l('Concatenatedsegments'),headerTooltip: this.l('Concatenatedsegments'),field: 'concatenatedsegments',flex: 1},</v>
      </c>
      <c r="I24" s="38" t="str">
        <f t="shared" si="5"/>
        <v xml:space="preserve">								&lt;div class='input-search'&gt;
									&lt;input [(ngModel)]='concatenatedsegments' name='concatenatedsegments'
									class='form-control' [placeholder]="l('Concatenatedsegments')"
									type='text' (keyup.enter)='searchDatas()'&gt;
								&lt;/div&gt;</v>
      </c>
      <c r="J24" s="31"/>
      <c r="K24" s="38" t="str">
        <f t="shared" si="6"/>
        <v xml:space="preserve">					&lt;div class='col-md-12 form-group row'&gt;
						&lt;label class='col-md-2 form-control title'&gt;Concatenatedsegments&lt;/label&gt;
						&lt;input type='text' class='col-md-10 form-control input-text' name='Concatenatedsegments' [(ngModel)]='rowdata.concatenatedsegments'&gt;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D24&amp;G24</f>
        <v xml:space="preserve">concatenatedsegments : string = '' ; </v>
      </c>
      <c r="T24" s="31" t="str">
        <f>REPT(CHAR(9),3)&amp;"this."&amp;D24&amp;","</f>
        <v xml:space="preserve">			this.concatenatedsegments,</v>
      </c>
      <c r="U24" s="31" t="str">
        <f>IF(E24="int","this."&amp;D24&amp;" = 0,","this."&amp;D24&amp;" = '',")</f>
        <v>this.concatenatedsegments = '',</v>
      </c>
      <c r="V24" s="31" t="str">
        <f>IF(AND(E24="string",F24="1"),D24,"")</f>
        <v/>
      </c>
    </row>
    <row r="25" spans="1:22" s="72" customFormat="1" ht="18" customHeight="1" x14ac:dyDescent="0.3">
      <c r="A25" s="72" t="s">
        <v>355</v>
      </c>
      <c r="B25" s="31" t="str">
        <f t="shared" ref="B25" si="48">SUBSTITUTE(PROPER(A25),"_","")</f>
        <v>IsActive</v>
      </c>
      <c r="C25" s="31" t="str">
        <f t="shared" ref="C25" si="49">SUBSTITUTE(PROPER(A25),"_"," ")</f>
        <v>Is Active</v>
      </c>
      <c r="D25" s="31" t="str">
        <f t="shared" ref="D25" si="50">LOWER(LEFT(B25,1))&amp;RIGHT(B25,LEN(B25) - 1)</f>
        <v>isActive</v>
      </c>
      <c r="E25" s="31" t="str">
        <f>A.Backend!H19</f>
        <v>string</v>
      </c>
      <c r="F25" s="31" t="str">
        <f>A.Backend!G19</f>
        <v>1</v>
      </c>
      <c r="G25" s="31" t="str">
        <f t="shared" si="3"/>
        <v xml:space="preserve"> : string = '' ; </v>
      </c>
      <c r="H25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5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5" s="31"/>
      <c r="K25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5" s="60" t="str">
        <f t="shared" ref="L25" si="51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 t="shared" ref="S25" si="52">REPT(CHAR(9),1)&amp;D25&amp;G25</f>
        <v xml:space="preserve">	isActive : string = '' ; </v>
      </c>
      <c r="T25" s="31" t="str">
        <f t="shared" ref="T25" si="53">REPT(CHAR(9),3)&amp;"this."&amp;D25&amp;","</f>
        <v xml:space="preserve">			this.isActive,</v>
      </c>
      <c r="U25" s="31" t="str">
        <f t="shared" ref="U25" si="54">IF(E25="int",REPT(CHAR(9),2)&amp;"this."&amp;D25&amp;" = 0,",REPT(CHAR(9),2)&amp;"this."&amp;D25&amp;" = '',")</f>
        <v xml:space="preserve">		this.isActive = '',</v>
      </c>
      <c r="V25" s="31" t="str">
        <f t="shared" ref="V25" si="55">IF(AND(E25="string",F25="1"),D25,"")</f>
        <v>isActive</v>
      </c>
    </row>
    <row r="26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33</v>
      </c>
    </row>
    <row r="3" spans="1:2" x14ac:dyDescent="0.3">
      <c r="A3" t="s">
        <v>18</v>
      </c>
      <c r="B3" t="s">
        <v>33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36</v>
      </c>
    </row>
    <row r="6" spans="1:2" x14ac:dyDescent="0.3">
      <c r="A6" t="s">
        <v>23</v>
      </c>
      <c r="B6" t="s">
        <v>34</v>
      </c>
    </row>
    <row r="7" spans="1:2" x14ac:dyDescent="0.3">
      <c r="A7" t="s">
        <v>24</v>
      </c>
      <c r="B7" t="s">
        <v>4</v>
      </c>
    </row>
    <row r="8" spans="1:2" x14ac:dyDescent="0.3">
      <c r="A8" t="s">
        <v>4</v>
      </c>
      <c r="B8" t="s">
        <v>4</v>
      </c>
    </row>
    <row r="9" spans="1:2" x14ac:dyDescent="0.3">
      <c r="A9" t="s">
        <v>0</v>
      </c>
      <c r="B9" t="s">
        <v>48</v>
      </c>
    </row>
    <row r="10" spans="1:2" x14ac:dyDescent="0.3">
      <c r="A10" t="s">
        <v>25</v>
      </c>
      <c r="B10" t="s">
        <v>28</v>
      </c>
    </row>
    <row r="11" spans="1:2" x14ac:dyDescent="0.3">
      <c r="A11" t="s">
        <v>26</v>
      </c>
      <c r="B11" t="s">
        <v>28</v>
      </c>
    </row>
    <row r="12" spans="1:2" x14ac:dyDescent="0.3">
      <c r="A12" t="s">
        <v>27</v>
      </c>
      <c r="B12" t="s">
        <v>28</v>
      </c>
    </row>
    <row r="13" spans="1:2" x14ac:dyDescent="0.3">
      <c r="A13" t="s">
        <v>28</v>
      </c>
      <c r="B13" t="s">
        <v>28</v>
      </c>
    </row>
    <row r="14" spans="1:2" x14ac:dyDescent="0.3">
      <c r="A14" t="s">
        <v>29</v>
      </c>
      <c r="B14" t="s">
        <v>28</v>
      </c>
    </row>
    <row r="15" spans="1:2" x14ac:dyDescent="0.3">
      <c r="A15" t="s">
        <v>30</v>
      </c>
      <c r="B15" t="s">
        <v>28</v>
      </c>
    </row>
    <row r="16" spans="1:2" x14ac:dyDescent="0.3">
      <c r="A16" t="s">
        <v>31</v>
      </c>
      <c r="B16" t="s">
        <v>32</v>
      </c>
    </row>
    <row r="17" spans="1:2" x14ac:dyDescent="0.3">
      <c r="A17" t="s">
        <v>3</v>
      </c>
      <c r="B17" t="s">
        <v>32</v>
      </c>
    </row>
    <row r="18" spans="1:2" x14ac:dyDescent="0.3">
      <c r="A18" t="s">
        <v>35</v>
      </c>
      <c r="B18" t="s">
        <v>32</v>
      </c>
    </row>
    <row r="19" spans="1:2" x14ac:dyDescent="0.3">
      <c r="A19" t="s">
        <v>2</v>
      </c>
      <c r="B19" t="s">
        <v>32</v>
      </c>
    </row>
    <row r="20" spans="1:2" x14ac:dyDescent="0.3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2" customWidth="1"/>
  </cols>
  <sheetData>
    <row r="2" spans="1:2" x14ac:dyDescent="0.3">
      <c r="A2" s="24" t="s">
        <v>193</v>
      </c>
      <c r="B2" s="25" t="s">
        <v>190</v>
      </c>
    </row>
    <row r="3" spans="1:2" x14ac:dyDescent="0.3">
      <c r="B3" s="22" t="s">
        <v>115</v>
      </c>
    </row>
    <row r="4" spans="1:2" x14ac:dyDescent="0.3">
      <c r="B4" s="22" t="s">
        <v>116</v>
      </c>
    </row>
    <row r="5" spans="1:2" x14ac:dyDescent="0.3">
      <c r="B5" s="22" t="s">
        <v>117</v>
      </c>
    </row>
    <row r="6" spans="1:2" x14ac:dyDescent="0.3">
      <c r="B6" s="22" t="s">
        <v>118</v>
      </c>
    </row>
    <row r="7" spans="1:2" x14ac:dyDescent="0.3">
      <c r="B7" s="22" t="s">
        <v>119</v>
      </c>
    </row>
    <row r="8" spans="1:2" x14ac:dyDescent="0.3">
      <c r="B8" s="22" t="s">
        <v>120</v>
      </c>
    </row>
    <row r="9" spans="1:2" x14ac:dyDescent="0.3">
      <c r="B9" s="22" t="s">
        <v>121</v>
      </c>
    </row>
    <row r="10" spans="1:2" x14ac:dyDescent="0.3">
      <c r="B10" s="22" t="s">
        <v>122</v>
      </c>
    </row>
    <row r="11" spans="1:2" x14ac:dyDescent="0.3">
      <c r="B11" s="22" t="s">
        <v>123</v>
      </c>
    </row>
    <row r="12" spans="1:2" x14ac:dyDescent="0.3">
      <c r="B12" s="22" t="s">
        <v>124</v>
      </c>
    </row>
    <row r="13" spans="1:2" x14ac:dyDescent="0.3">
      <c r="B13" s="22" t="s">
        <v>125</v>
      </c>
    </row>
    <row r="14" spans="1:2" x14ac:dyDescent="0.3">
      <c r="B14" s="22" t="s">
        <v>126</v>
      </c>
    </row>
    <row r="15" spans="1:2" x14ac:dyDescent="0.3">
      <c r="B15" s="22" t="s">
        <v>127</v>
      </c>
    </row>
    <row r="16" spans="1:2" x14ac:dyDescent="0.3">
      <c r="B16" s="22" t="s">
        <v>128</v>
      </c>
    </row>
    <row r="17" spans="1:3" x14ac:dyDescent="0.3">
      <c r="B17" s="22" t="s">
        <v>129</v>
      </c>
    </row>
    <row r="18" spans="1:3" x14ac:dyDescent="0.3">
      <c r="B18" s="22" t="s">
        <v>130</v>
      </c>
      <c r="C18" t="s">
        <v>192</v>
      </c>
    </row>
    <row r="19" spans="1:3" x14ac:dyDescent="0.3">
      <c r="B19" s="22" t="s">
        <v>131</v>
      </c>
    </row>
    <row r="20" spans="1:3" x14ac:dyDescent="0.3">
      <c r="B20" s="22" t="s">
        <v>132</v>
      </c>
    </row>
    <row r="21" spans="1:3" x14ac:dyDescent="0.3">
      <c r="B21" s="22" t="s">
        <v>133</v>
      </c>
    </row>
    <row r="22" spans="1:3" x14ac:dyDescent="0.3">
      <c r="B22" s="22" t="s">
        <v>134</v>
      </c>
      <c r="C22" t="s">
        <v>197</v>
      </c>
    </row>
    <row r="23" spans="1:3" x14ac:dyDescent="0.3">
      <c r="B23" s="22" t="s">
        <v>135</v>
      </c>
    </row>
    <row r="24" spans="1:3" x14ac:dyDescent="0.3">
      <c r="B24" s="22" t="s">
        <v>136</v>
      </c>
    </row>
    <row r="25" spans="1:3" x14ac:dyDescent="0.3">
      <c r="B25" s="22" t="s">
        <v>137</v>
      </c>
    </row>
    <row r="26" spans="1:3" x14ac:dyDescent="0.3">
      <c r="A26" s="24" t="s">
        <v>194</v>
      </c>
      <c r="B26" s="25" t="s">
        <v>191</v>
      </c>
    </row>
    <row r="27" spans="1:3" x14ac:dyDescent="0.3">
      <c r="B27" s="22" t="s">
        <v>138</v>
      </c>
    </row>
    <row r="28" spans="1:3" x14ac:dyDescent="0.3">
      <c r="B28" s="23" t="s">
        <v>139</v>
      </c>
    </row>
    <row r="29" spans="1:3" x14ac:dyDescent="0.3">
      <c r="B29" s="22" t="s">
        <v>140</v>
      </c>
    </row>
    <row r="30" spans="1:3" x14ac:dyDescent="0.3">
      <c r="B30" s="22" t="s">
        <v>141</v>
      </c>
    </row>
    <row r="31" spans="1:3" x14ac:dyDescent="0.3">
      <c r="B31" s="22" t="s">
        <v>142</v>
      </c>
    </row>
    <row r="32" spans="1:3" x14ac:dyDescent="0.3">
      <c r="B32" s="22" t="s">
        <v>143</v>
      </c>
    </row>
    <row r="33" spans="2:2" x14ac:dyDescent="0.3">
      <c r="B33" s="22" t="s">
        <v>144</v>
      </c>
    </row>
    <row r="34" spans="2:2" x14ac:dyDescent="0.3">
      <c r="B34" s="22" t="s">
        <v>145</v>
      </c>
    </row>
    <row r="35" spans="2:2" x14ac:dyDescent="0.3">
      <c r="B35" s="22" t="s">
        <v>146</v>
      </c>
    </row>
    <row r="36" spans="2:2" x14ac:dyDescent="0.3">
      <c r="B36" s="22" t="s">
        <v>147</v>
      </c>
    </row>
    <row r="37" spans="2:2" x14ac:dyDescent="0.3">
      <c r="B37" s="22" t="s">
        <v>148</v>
      </c>
    </row>
    <row r="38" spans="2:2" x14ac:dyDescent="0.3">
      <c r="B38" s="22" t="s">
        <v>149</v>
      </c>
    </row>
    <row r="39" spans="2:2" x14ac:dyDescent="0.3">
      <c r="B39" s="22" t="s">
        <v>150</v>
      </c>
    </row>
    <row r="40" spans="2:2" x14ac:dyDescent="0.3">
      <c r="B40" s="22" t="s">
        <v>151</v>
      </c>
    </row>
    <row r="41" spans="2:2" x14ac:dyDescent="0.3">
      <c r="B41" s="22" t="s">
        <v>152</v>
      </c>
    </row>
    <row r="42" spans="2:2" x14ac:dyDescent="0.3">
      <c r="B42" s="22" t="s">
        <v>153</v>
      </c>
    </row>
    <row r="43" spans="2:2" x14ac:dyDescent="0.3">
      <c r="B43" s="23" t="s">
        <v>154</v>
      </c>
    </row>
    <row r="44" spans="2:2" x14ac:dyDescent="0.3">
      <c r="B44" s="22" t="s">
        <v>140</v>
      </c>
    </row>
    <row r="45" spans="2:2" x14ac:dyDescent="0.3">
      <c r="B45" s="22" t="s">
        <v>155</v>
      </c>
    </row>
    <row r="46" spans="2:2" x14ac:dyDescent="0.3">
      <c r="B46" s="22" t="s">
        <v>156</v>
      </c>
    </row>
    <row r="47" spans="2:2" x14ac:dyDescent="0.3">
      <c r="B47" s="22" t="s">
        <v>157</v>
      </c>
    </row>
    <row r="48" spans="2:2" x14ac:dyDescent="0.3">
      <c r="B48" s="22" t="s">
        <v>158</v>
      </c>
    </row>
    <row r="49" spans="2:2" x14ac:dyDescent="0.3">
      <c r="B49" s="22" t="s">
        <v>141</v>
      </c>
    </row>
    <row r="50" spans="2:2" x14ac:dyDescent="0.3">
      <c r="B50" s="22" t="s">
        <v>142</v>
      </c>
    </row>
    <row r="51" spans="2:2" x14ac:dyDescent="0.3">
      <c r="B51" s="22" t="s">
        <v>143</v>
      </c>
    </row>
    <row r="52" spans="2:2" x14ac:dyDescent="0.3">
      <c r="B52" s="22" t="s">
        <v>144</v>
      </c>
    </row>
    <row r="53" spans="2:2" x14ac:dyDescent="0.3">
      <c r="B53" s="22" t="s">
        <v>145</v>
      </c>
    </row>
    <row r="54" spans="2:2" x14ac:dyDescent="0.3">
      <c r="B54" s="22" t="s">
        <v>146</v>
      </c>
    </row>
    <row r="55" spans="2:2" x14ac:dyDescent="0.3">
      <c r="B55" s="22" t="s">
        <v>147</v>
      </c>
    </row>
    <row r="56" spans="2:2" x14ac:dyDescent="0.3">
      <c r="B56" s="22" t="s">
        <v>159</v>
      </c>
    </row>
    <row r="57" spans="2:2" x14ac:dyDescent="0.3">
      <c r="B57" s="22" t="s">
        <v>160</v>
      </c>
    </row>
    <row r="58" spans="2:2" x14ac:dyDescent="0.3">
      <c r="B58" s="22" t="s">
        <v>148</v>
      </c>
    </row>
    <row r="59" spans="2:2" x14ac:dyDescent="0.3">
      <c r="B59" s="22" t="s">
        <v>149</v>
      </c>
    </row>
    <row r="60" spans="2:2" x14ac:dyDescent="0.3">
      <c r="B60" s="22" t="s">
        <v>161</v>
      </c>
    </row>
    <row r="61" spans="2:2" x14ac:dyDescent="0.3">
      <c r="B61" s="22" t="s">
        <v>162</v>
      </c>
    </row>
    <row r="62" spans="2:2" x14ac:dyDescent="0.3">
      <c r="B62" s="22" t="s">
        <v>163</v>
      </c>
    </row>
    <row r="63" spans="2:2" x14ac:dyDescent="0.3">
      <c r="B63" s="22" t="s">
        <v>158</v>
      </c>
    </row>
    <row r="64" spans="2:2" x14ac:dyDescent="0.3">
      <c r="B64" s="22" t="s">
        <v>150</v>
      </c>
    </row>
    <row r="65" spans="2:2" x14ac:dyDescent="0.3">
      <c r="B65" s="22" t="s">
        <v>151</v>
      </c>
    </row>
    <row r="66" spans="2:2" x14ac:dyDescent="0.3">
      <c r="B66" s="22" t="s">
        <v>164</v>
      </c>
    </row>
    <row r="67" spans="2:2" x14ac:dyDescent="0.3">
      <c r="B67" s="22" t="s">
        <v>158</v>
      </c>
    </row>
    <row r="68" spans="2:2" x14ac:dyDescent="0.3">
      <c r="B68" s="22" t="s">
        <v>152</v>
      </c>
    </row>
    <row r="69" spans="2:2" x14ac:dyDescent="0.3">
      <c r="B69" s="22" t="s">
        <v>165</v>
      </c>
    </row>
    <row r="70" spans="2:2" x14ac:dyDescent="0.3">
      <c r="B70" s="23" t="s">
        <v>166</v>
      </c>
    </row>
    <row r="71" spans="2:2" x14ac:dyDescent="0.3">
      <c r="B71" s="22" t="s">
        <v>140</v>
      </c>
    </row>
    <row r="72" spans="2:2" x14ac:dyDescent="0.3">
      <c r="B72" s="22" t="s">
        <v>141</v>
      </c>
    </row>
    <row r="73" spans="2:2" x14ac:dyDescent="0.3">
      <c r="B73" s="22" t="s">
        <v>142</v>
      </c>
    </row>
    <row r="74" spans="2:2" x14ac:dyDescent="0.3">
      <c r="B74" s="22" t="s">
        <v>143</v>
      </c>
    </row>
    <row r="75" spans="2:2" x14ac:dyDescent="0.3">
      <c r="B75" s="22" t="s">
        <v>147</v>
      </c>
    </row>
    <row r="76" spans="2:2" x14ac:dyDescent="0.3">
      <c r="B76" s="22" t="s">
        <v>149</v>
      </c>
    </row>
    <row r="77" spans="2:2" x14ac:dyDescent="0.3">
      <c r="B77" s="22" t="s">
        <v>150</v>
      </c>
    </row>
    <row r="78" spans="2:2" x14ac:dyDescent="0.3">
      <c r="B78" s="22" t="s">
        <v>151</v>
      </c>
    </row>
    <row r="79" spans="2:2" x14ac:dyDescent="0.3">
      <c r="B79" s="22" t="s">
        <v>152</v>
      </c>
    </row>
    <row r="80" spans="2:2" x14ac:dyDescent="0.3">
      <c r="B80" s="22" t="s">
        <v>165</v>
      </c>
    </row>
    <row r="81" spans="1:2" x14ac:dyDescent="0.3">
      <c r="B81" s="23" t="s">
        <v>167</v>
      </c>
    </row>
    <row r="82" spans="1:2" x14ac:dyDescent="0.3">
      <c r="B82" s="23" t="s">
        <v>168</v>
      </c>
    </row>
    <row r="83" spans="1:2" x14ac:dyDescent="0.3">
      <c r="B83" s="23" t="s">
        <v>169</v>
      </c>
    </row>
    <row r="84" spans="1:2" x14ac:dyDescent="0.3">
      <c r="B84" s="23" t="s">
        <v>170</v>
      </c>
    </row>
    <row r="85" spans="1:2" x14ac:dyDescent="0.3">
      <c r="B85" s="23" t="s">
        <v>171</v>
      </c>
    </row>
    <row r="86" spans="1:2" x14ac:dyDescent="0.3">
      <c r="B86" s="23" t="s">
        <v>172</v>
      </c>
    </row>
    <row r="87" spans="1:2" x14ac:dyDescent="0.3">
      <c r="B87" s="23" t="s">
        <v>173</v>
      </c>
    </row>
    <row r="88" spans="1:2" x14ac:dyDescent="0.3">
      <c r="A88" s="24" t="s">
        <v>195</v>
      </c>
      <c r="B88" s="26" t="s">
        <v>174</v>
      </c>
    </row>
    <row r="89" spans="1:2" x14ac:dyDescent="0.3">
      <c r="B89" s="22" t="s">
        <v>175</v>
      </c>
    </row>
    <row r="90" spans="1:2" x14ac:dyDescent="0.3">
      <c r="B90" s="22" t="s">
        <v>176</v>
      </c>
    </row>
    <row r="91" spans="1:2" x14ac:dyDescent="0.3">
      <c r="B91" s="22" t="s">
        <v>177</v>
      </c>
    </row>
    <row r="92" spans="1:2" x14ac:dyDescent="0.3">
      <c r="B92" s="22" t="s">
        <v>178</v>
      </c>
    </row>
    <row r="93" spans="1:2" x14ac:dyDescent="0.3">
      <c r="B93" s="22" t="s">
        <v>179</v>
      </c>
    </row>
    <row r="94" spans="1:2" x14ac:dyDescent="0.3">
      <c r="B94" s="22" t="s">
        <v>180</v>
      </c>
    </row>
    <row r="95" spans="1:2" x14ac:dyDescent="0.3">
      <c r="B95" s="22" t="s">
        <v>181</v>
      </c>
    </row>
    <row r="96" spans="1:2" x14ac:dyDescent="0.3">
      <c r="B96" s="22" t="s">
        <v>182</v>
      </c>
    </row>
    <row r="97" spans="2:2" x14ac:dyDescent="0.3">
      <c r="B97" s="22" t="s">
        <v>183</v>
      </c>
    </row>
    <row r="98" spans="2:2" x14ac:dyDescent="0.3">
      <c r="B98" s="22" t="s">
        <v>184</v>
      </c>
    </row>
    <row r="99" spans="2:2" x14ac:dyDescent="0.3">
      <c r="B99" s="22" t="s">
        <v>185</v>
      </c>
    </row>
    <row r="100" spans="2:2" x14ac:dyDescent="0.3">
      <c r="B100" s="22" t="s">
        <v>186</v>
      </c>
    </row>
    <row r="101" spans="2:2" x14ac:dyDescent="0.3">
      <c r="B101" s="22" t="s">
        <v>187</v>
      </c>
    </row>
    <row r="102" spans="2:2" x14ac:dyDescent="0.3">
      <c r="B102" s="22" t="s">
        <v>188</v>
      </c>
    </row>
    <row r="103" spans="2:2" x14ac:dyDescent="0.3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2023-05-22T03:43:07Z</dcterms:modified>
</cp:coreProperties>
</file>
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8_{9C98FB09-D445-4387-85E7-5E441A622B79}" xr6:coauthVersionLast="47" xr6:coauthVersionMax="47" xr10:uidLastSave="{00000000-0000-0000-0000-000000000000}"/>
  <bookViews>
    <workbookView xWindow="-120" yWindow="-120" windowWidth="19440" windowHeight="1500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G16" i="5"/>
  <c r="E17" i="5"/>
  <c r="G17" i="5" s="1"/>
  <c r="F17" i="5"/>
  <c r="E18" i="5"/>
  <c r="G18" i="5" s="1"/>
  <c r="F18" i="5"/>
  <c r="E19" i="5"/>
  <c r="F19" i="5"/>
  <c r="G19" i="5"/>
  <c r="S19" i="5"/>
  <c r="L19" i="5"/>
  <c r="T19" i="5"/>
  <c r="C19" i="5"/>
  <c r="B19" i="5"/>
  <c r="D19" i="5" s="1"/>
  <c r="H19" i="5" s="1"/>
  <c r="C18" i="5"/>
  <c r="B18" i="5"/>
  <c r="D18" i="5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B16" i="5"/>
  <c r="D16" i="5" s="1"/>
  <c r="C16" i="5"/>
  <c r="B17" i="5"/>
  <c r="D17" i="5" s="1"/>
  <c r="C17" i="5"/>
  <c r="K18" i="5" l="1"/>
  <c r="T18" i="5"/>
  <c r="V19" i="5"/>
  <c r="U18" i="5"/>
  <c r="L18" i="5"/>
  <c r="V18" i="5"/>
  <c r="I19" i="5"/>
  <c r="H18" i="5"/>
  <c r="S18" i="5"/>
  <c r="K19" i="5"/>
  <c r="U19" i="5"/>
  <c r="I18" i="5"/>
  <c r="M13" i="1"/>
  <c r="P13" i="1"/>
  <c r="M12" i="1"/>
  <c r="W12" i="1"/>
  <c r="O12" i="1"/>
  <c r="J12" i="1"/>
  <c r="N12" i="1"/>
  <c r="I12" i="1"/>
  <c r="P12" i="1"/>
  <c r="I13" i="1"/>
  <c r="N13" i="1"/>
  <c r="V13" i="1"/>
  <c r="T12" i="1"/>
  <c r="J13" i="1"/>
  <c r="O13" i="1"/>
  <c r="W13" i="1"/>
  <c r="B7" i="5"/>
  <c r="B8" i="5" s="1"/>
  <c r="B6" i="5"/>
  <c r="B2" i="5"/>
  <c r="B3" i="5" l="1"/>
  <c r="B6" i="1" l="1"/>
  <c r="C15" i="5" l="1"/>
  <c r="B15" i="5"/>
  <c r="D15" i="5" s="1"/>
  <c r="G11" i="1"/>
  <c r="E11" i="1"/>
  <c r="H11" i="1" s="1"/>
  <c r="D11" i="1"/>
  <c r="T11" i="1" s="1"/>
  <c r="S17" i="5" l="1"/>
  <c r="H17" i="5"/>
  <c r="K17" i="5"/>
  <c r="V17" i="5"/>
  <c r="T17" i="5"/>
  <c r="I17" i="5"/>
  <c r="L17" i="5"/>
  <c r="M11" i="1"/>
  <c r="L11" i="1"/>
  <c r="P11" i="1"/>
  <c r="I11" i="1"/>
  <c r="V11" i="1"/>
  <c r="O11" i="1"/>
  <c r="W11" i="1"/>
  <c r="U17" i="5" l="1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E10" i="1"/>
  <c r="H10" i="1" s="1"/>
  <c r="D10" i="1"/>
  <c r="T10" i="1" s="1"/>
  <c r="U16" i="5" l="1"/>
  <c r="H16" i="5"/>
  <c r="V16" i="5"/>
  <c r="T16" i="5"/>
  <c r="K16" i="5"/>
  <c r="I16" i="5"/>
  <c r="L16" i="5"/>
  <c r="P10" i="1"/>
  <c r="V10" i="1"/>
  <c r="W10" i="1"/>
  <c r="I10" i="1"/>
  <c r="O10" i="1"/>
  <c r="M10" i="1"/>
  <c r="S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G6" i="1" l="1"/>
  <c r="H13" i="5"/>
  <c r="L13" i="5"/>
  <c r="K13" i="5"/>
  <c r="I13" i="5"/>
  <c r="S13" i="5"/>
  <c r="U13" i="5"/>
  <c r="K10" i="5" l="1"/>
  <c r="F75" i="3" s="1"/>
  <c r="I10" i="5"/>
  <c r="D75" i="3" s="1"/>
  <c r="H10" i="5"/>
  <c r="C75" i="3" s="1"/>
  <c r="L10" i="5"/>
  <c r="G75" i="3" s="1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N11" i="1" l="1"/>
  <c r="J11" i="1"/>
  <c r="N10" i="1"/>
  <c r="J10" i="1"/>
  <c r="J9" i="1"/>
  <c r="N9" i="1"/>
  <c r="L9" i="1"/>
  <c r="L10" i="1"/>
  <c r="C7" i="1"/>
  <c r="K68" i="3" l="1"/>
  <c r="J68" i="3"/>
  <c r="K15" i="1"/>
  <c r="M15" i="1"/>
  <c r="R7" i="1" l="1"/>
  <c r="I68" i="3" s="1"/>
  <c r="J15" i="1"/>
  <c r="O15" i="1"/>
  <c r="I15" i="1"/>
  <c r="P15" i="1"/>
  <c r="J7" i="1" l="1"/>
  <c r="C68" i="3" s="1"/>
  <c r="L7" i="1"/>
  <c r="G68" i="3" s="1"/>
  <c r="N15" i="1"/>
  <c r="M7" i="1" l="1"/>
  <c r="H68" i="3" s="1"/>
  <c r="V15" i="1"/>
  <c r="T15" i="1"/>
  <c r="W15" i="1"/>
  <c r="Q7" i="1" l="1"/>
  <c r="M68" i="3" s="1"/>
  <c r="T7" i="1"/>
  <c r="L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<sst xmlns="http://schemas.openxmlformats.org/spreadsheetml/2006/main" count="451" uniqueCount="366">
  <si>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</si>
  <si>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</si>
  <si>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</si>
  <si>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</si>
  <si>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</si>
  <si>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</si>
  <si>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</si>
  <si>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</si>
  <si>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</si>
  <si>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</si>
  <si>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</si>
  <si>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</si>
  <si>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</si>
  <si>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</si>
  <si>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</si>
  <si>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</si>
  <si>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</si>
  <si>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</si>
  <si>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</si>
  <si>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</si>
  <si>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</si>
  <si>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</si>
  <si>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</si>
  <si>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</si>
  <si>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</si>
  <si>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</si>
  <si>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</si>
  <si>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</si>
  <si>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</si>
  <si>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</si>
  <si>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</si>
  <si>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</si>
  <si>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</si>
  <si>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</si>
  <si>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</si>
  <si>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</si>
  <si>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</si>
  <si>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</si>
  <si>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</si>
  <si>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</si>
  <si>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</si>
  <si>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</si>
  <si>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</si>
  <si>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</si>
  <si>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</si>
  <si>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</si>
  <si>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</si>
  <si>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</si>
  <si>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</si>
  <si>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</si>
  <si>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</si>
  <si>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</si>
  <si>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</si>
  <si>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</si>
  <si>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</si>
  <si>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</si>
  <si>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</si>
  <si>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</si>
  <si>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</si>
  <si>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</si>
  <si>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</si>
  <si>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</si>
  <si>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</si>
  <si>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</si>
  <si>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</si>
  <si>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</si>
  <si>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</si>
  <si>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</si>
  <si>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</si>
  <si>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</si>
  <si>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</si>
  <si>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</si>
  <si>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</si>
  <si>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</si>
  <si>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</si>
  <si>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</si>
  <si>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</si>
  <si>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</si>
  <si>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</si>
  <si>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</si>
  <si>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</si>
  <si>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</si>
  <si>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</si>
  <si>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</si>
  <si>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</si>
  <si>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</si>
  <si>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</si>
  <si>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</si>
  <si>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</si>
  <si>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</si>
  <si>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</si>
  <si>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</si>
  <si>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</si>
  <si>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</si>
  <si>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</si>
  <si>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</si>
  <si>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</si>
  <si>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</si>
  <si>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</si>
  <si>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</si>
  <si>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</si>
  <si>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</si>
  <si>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</si>
  <si>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</si>
  <si>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</si>
  <si>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</si>
  <si>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</si>
  <si>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</si>
  <si>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</si>
  <si>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</si>
  <si>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</si>
  <si>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</si>
  <si>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</si>
  <si>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</si>
  <si>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</si>
  <si>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</si>
  <si>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</si>
  <si>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</si>
  <si>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</si>
  <si>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</si>
  <si>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</si>
  <si>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</si>
  <si>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</si>
  <si>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</si>
  <si>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</si>
  <si>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</si>
  <si>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</si>
  <si>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</si>
  <si>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</si>
  <si>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</si>
  <si>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</si>
  <si>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</si>
  <si>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</si>
  <si>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</si>
  <si>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</si>
  <si>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</si>
  <si>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</si>
  <si>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</si>
  <si>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</si>
  <si>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</si>
  <si>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</si>
  <si>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</si>
  <si>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</si>
  <si>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</si>
  <si>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</si>
  <si>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</si>
  <si>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</si>
  <si>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</si>
  <si>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</si>
  <si>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</si>
  <si>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</si>
  <si>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</si>
  <si>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</si>
  <si>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</si>
  <si>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</si>
  <si>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</si>
  <si>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</si>
  <si>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</si>
  <si>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</si>
  <si>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</si>
  <si>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</si>
  <si>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</si>
  <si>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</si>
  <si>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</si>
  <si>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</si>
  <si>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</si>
  <si>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</si>
  <si>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</si>
  <si>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</si>
  <si>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</si>
  <si>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</si>
  <si>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</si>
  <si>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</si>
  <si>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</si>
  <si>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</si>
  <si>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</si>
  <si>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</si>
  <si>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</si>
  <si>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</si>
  <si>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</si>
  <si>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</si>
  <si>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</si>
  <si>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</si>
  <si>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</si>
  <si>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</si>
  <si>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</si>
  <si>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</si>
  <si>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</si>
  <si>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</si>
  <si>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</si>
  <si>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</si>
  <si>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</si>
  <si>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</si>
  <si>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</si>
  <si>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</si>
  <si>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</si>
  <si>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</si>
  <si>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</si>
  <si>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</si>
  <si>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</si>
  <si>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</si>
  <si>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</si>
  <si>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</si>
  <si>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</si>
  <si>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</si>
  <si>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</si>
  <si>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</si>
  <si>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</si>
  <si>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</si>
  <si>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</si>
  <si>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</si>
  <si>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</si>
  <si>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</si>
  <si>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</si>
  <si>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</si>
  <si>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</si>
  <si>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</si>
  <si>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</si>
  <si>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</si>
  <si>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</si>
  <si>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</si>
  <si>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</si>
  <si>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</si>
  <si>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</si>
  <si>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</si>
  <si>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</si>
  <si>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</si>
  <si>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</si>
  <si>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</si>
  <si>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</si>
  <si>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</si>
  <si>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</si>
  <si>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</si>
  <si>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</si>
  <si>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</si>
  <si>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</si>
  <si>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</si>
  <si>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</si>
  <si>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</si>
  <si>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</si>
  <si>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</si>
  <si>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</si>
  <si>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</si>
  <si>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</si>
  <si>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</si>
  <si>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</si>
  <si>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</si>
  <si>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</si>
  <si>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</si>
  <si>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</si>
  <si>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</si>
  <si>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</si>
  <si>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</si>
  <si>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</si>
  <si>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</si>
  <si>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</si>
  <si>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</si>
  <si>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</si>
  <si>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</si>
  <si>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</si>
  <si>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</si>
  <si>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</si>
  <si>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</si>
  <si>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</si>
  <si>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</si>
  <si>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</si>
  <si>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</si>
  <si>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</si>
  <si>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</si>
  <si>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</si>
  <si>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</si>
  <si>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</si>
  <si>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</si>
  <si>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</si>
  <si>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</si>
  <si>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</si>
  <si>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</si>
  <si>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</si>
  <si>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</si>
  <si>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</si>
  <si>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</si>
  <si>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</si>
  <si>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</si>
  <si>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</si>
  <si>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</si>
  <si>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</si>
  <si>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</si>
  <si>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</si>
  <si>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</si>
  <si>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</si>
  <si>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</si>
  <si>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</si>
  <si>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</si>
  <si>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</si>
  <si>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</si>
  <si>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</si>
  <si>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</si>
  <si>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</si>
  <si>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</si>
  <si>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</si>
  <si>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</si>
  <si>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</si>
  <si>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</si>
  <si>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</si>
  <si>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</si>
  <si>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</si>
  <si>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</si>
  <si>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</si>
  <si>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</si>
  <si>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</si>
  <si>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</si>
  <si>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</si>
  <si>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</si>
  <si>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</si>
  <si>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</si>
  <si>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</si>
  <si>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</si>
  <si>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</si>
  <si>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</si>
  <si>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</si>
  <si>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</si>
  <si>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</si>
  <si>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</si>
  <si>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</si>
  <si>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</si>
  <si>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</si>
  <si>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</si>
  <si>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</si>
  <si>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</si>
  <si>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</si>
  <si>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</si>
  <si>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</si>
  <si>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</si>
  <si>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</si>
  <si>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</si>
  <si>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</si>
  <si>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</si>
  <si>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</si>
  <si>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</si>
  <si>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</si>
  <si>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</si>
  <si>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</si>
  <si>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</si>
  <si>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</si>
  <si>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</si>
  <si>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</si>
  <si>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</si>
  <si>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</si>
  <si>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</si>
  <si>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</si>
  <si>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</si>
  <si>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</si>
  <si>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</si>
  <si>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</si>
  <si>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</si>
  <si>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Master.Inv</t>
  </si>
  <si>
    <t>MstInvGpsCalendar</t>
  </si>
  <si>
    <t>GpsCalendar</t>
  </si>
  <si>
    <t>SUPPLIER_CODE</t>
  </si>
  <si>
    <t>varchar(10)</t>
  </si>
  <si>
    <t>WORKING_DATE</t>
  </si>
  <si>
    <t>WORKING_TYPE</t>
  </si>
  <si>
    <t>varchar(2)</t>
  </si>
  <si>
    <t>WORKING_STATUS</t>
  </si>
  <si>
    <t>varchar(1)</t>
  </si>
  <si>
    <t>Master Inventory Gps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</si>
</sst>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0" fillId="0" borderId="0" xfId="0" applyAlignment="1">
      <alignment vertical="top"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0" xfId="0" applyBorder="1"/>
    <xf numFmtId="0" fontId="0" fillId="9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D64" zoomScaleNormal="100" workbookViewId="0">
      <selection activeCell="F78" sqref="F7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[Table("MstInvGpsCalendar")]
	public class MstInvGpsCalendar: FullAuditedEntity&lt;long&gt;, IEntity&lt;long&gt;	
	{
		public const int MaxSupplierCodeLength = 10;
		public const int MaxWorkingTypeLength = 2;
		public const int MaxWorkingStatusLength = 2;
		public const int MaxIsActiveLength = 1;
		[StringLength(MaxSupplierCodeLength)]
		public virtual string SupplierCode { get; set; }
		public virtual DateTime? WorkingDate { get; set; }
		[StringLength(MaxWorkingTypeLength)]
		public virtual string WorkingType { get; set; }
		[StringLength(MaxWorkingStatusLength)]
		public virtual string WorkingStatus { get; set; }
		[StringLength(MaxIsActiveLength)]
		public virtual string IsActive { get; set; }
	}
}
</v>
      </c>
      <c r="D68" s="48" t="str">
        <f>A.Backend!O7</f>
        <v xml:space="preserve">		public const string Pages_Master_Inv_GpsCalendar = "Pages.Master.Inv.GpsCalendar";
		public const string Pages_Master_Inv_GpsCalendar_CreateEdit = "Pages.Master.Inv.GpsCalendar.CreateEdit";
		public const string Pages_Master_Inv_GpsCalendar_Delete = "Pages.Master.Inv.GpsCalendar.Delete";
</v>
      </c>
      <c r="E68" s="48" t="str">
        <f>A.Backend!N7</f>
        <v xml:space="preserve">		var perMstInvGpsCalendar = PARENTS.CreateChildPermission(AppPermissions.Pages_Master_Inv_GpsCalendar, L( "MasterInvGpsCalendar"), multiTenancySides: MultiTenancySides.Tenant);
		perMstInvGpsCalendar.CreateChildPermission(AppPermissions.Pages_Master_Inv_GpsCalendar_CreateEdit, L( "MasterInvGpsCalendarCreateEdit"), multiTenancySides: MultiTenancySides.Tenant);
		perMstInvGpsCalendar.CreateChildPermission(AppPermissions.Pages_Master_Inv_GpsCalendar_Delete, L( "MasterInvGpsCalendarDelete"), multiTenancySides: MultiTenancySides.Tenant);</v>
      </c>
      <c r="F68" s="48" t="str">
        <f>A.Backend!K7</f>
        <v>public virtual DbSet&lt;MstInvGpsCalendar&gt; MstInvGpsCalendars { get; set; }</v>
      </c>
      <c r="G68" s="48" t="str">
        <f ca="1">A.Backend!L7</f>
        <v xml:space="preserve">namespace prod.Master.Inv
{
	public class MstInvGpsCalendarConsts	
	{
		public const int MaxSupplierCodeLength = 10;
		public const int MaxWorkingTypeLength = 2;
		public const int MaxWorkingStatusLength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MstInvGpsCalendarDto : EntityDto&lt;long?&gt;	
	{
		public virtual string SupplierCode { get; set; }
		public virtual DateTime? WorkingDate { get; set; }
		public virtual string WorkingType { get; set; }
		public virtual string WorkingStatus { get; set; }
		public virtual string IsActive { get; set; }
	}
	public class CreateOrEditMstInvGpsCalendarDto : EntityDto&lt;long?&gt;	
	{
		[StringLength(MstInvGpsCalendarConsts.MaxSupplierCodeLength)]
		public virtual string SupplierCode { get; set; }
		public virtual DateTime? WorkingDate { get; set; }
		[StringLength(MstInvGpsCalendarConsts.MaxWorkingTypeLength)]
		public virtual string WorkingType { get; set; }
		[StringLength(MstInvGpsCalendarConsts.MaxWorkingStatusLength)]
		public virtual string WorkingStatus { get; set; }
		[StringLength(MstInvGpsCalendarConsts.MaxIsActiveLength)]
		public virtual string IsActive { get; set; }
	}
	public class GetMstInvGpsCalendarInput : PagedAndSortedResultRequestDto	
	{
		public virtual string SupplierCode { get; set; }
		public virtual string WorkingType { get; set; }
		public virtual string WorkingStatus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MstInvGpsCalendarExportInput{
		public virtual string SupplierCode { get; set; }
		public virtual DateTime? WorkingDate { get; set; }
		public virtual string WorkingType { get; set; }
		public virtual string WorkingStatus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IMstInvGpsCalendarAppService : IApplicationService
	{
		Task&lt;PagedResultDto&lt;MstInvGpsCalendarDto&gt;&gt; GetAll(GetMstInvGpsCalendarInput input);
		Task CreateOrEdit(CreateOrEditMstInvGpsCalendarDto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IMstInvGpsCalendarExcelExporter : IApplicationService
	{
		FileDto ExportToFile(List&lt;MstInvGpsCalendarDto&gt; mstinvgpscalendar);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MstInvGpsGpsCalendarExcelExporter : NpoiExcelExporterBase, IMstInvGpsGpsCalendarExcelExporter
    {
        public MstInvGpsGpsCalendarExcelExporter(ITempFileCacheManager tempFileCacheManager) : base(tempFileCacheManager) { }
        public FileDto ExportToFile(List&lt;MstInvGpsGpsCalendarDto&gt; gpscalendar)
        {
            return CreateExcelPackage(
				"MasterInvGpsCalendar.xlsx",
				excelPackage =&gt;
				 {
					var sheet = excelPackage.CreateSheet("GpsCalendar");
					AddHeader(
								sheet,
								("SupplierCode"),
								("WorkingDate"),
								("WorkingType"),
								("WorkingStatus"),
								("IsActive"),
							   );
					AddObjects(
						 sheet, 1, gpscalendar,                                       
								_ =&gt; _.SupplierCode,
								_ =&gt; _.WorkingDate,
								_ =&gt; _.WorkingType,
								_ =&gt; _.WorkingStatus,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[AbpAuthorize(AppPermissions.Pages_Master_Inv_GpsCalendar)]
    public class MstInvGpsGpsCalendarAppService : vovinaAppServiceBase, IMstInvGpsGpsCalendarAppService
    {
        private readonly IDapperRepository&lt;MstInvGpsGpsCalendar, long&gt; _dapperRepo;
        private readonly IRepository&lt;MstInvGpsGpsCalendar, long&gt; _repo;
        private readonly IMstInvGpsGpsCalendarExcelExporter _calendarListExcelExporter;
        public MstInvGpsGpsCalendarAppService(IRepository&lt;MstInvGpsGpsCalendar,long&gt; repo, 
                                         IDapperRepository&lt;MstInvGpsGpsCalendar,long&gt; dapperRepo,
                                        IMstInvGpsGpsCalendarExcelExporter calendarListExcelExporter
            )
        {
            _repo = repo;
            _dapperRepo = dapperRepo;
            _calendarListExcelExporter = calendarListExcelExporter;
        }
        [AbpAuthorize(AppPermissions.Pages_Master_Inv_GpsCalendar_CreateEdit)]
        public async Task CreateOrEdit(CreateOrEditMstInvGpsGpsCalendarDto input)
        {
            if (input.Id == null) await Create(input);
            else await Update(input);
        }
        //CREATE
        private async Task Create(CreateOrEditMstInvGpsGpsCalendarDto input)
        {          
            var mainObj = ObjectMapper.Map&lt;MstInvGpsGpsCalendar&gt;(input);
            await CurrentUnitOfWork.GetDbContext&lt;vovinaDbContext&gt;().AddAsync(mainObj);
        }
        // EDIT
        private async Task Update(CreateOrEditMstInvGpsGpsCalendarDto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Task&lt;PagedResultDto&lt;MstInvGpsGpsCalendarDto&gt;&gt; GetAll(GetMstInvGpsGpsCalendarInput input)
        {
            var filtered = _repo.GetAll()
				.WhereIf(!string.IsNullOrWhiteSpace(input.SupplierCode), e =&gt; e.SupplierCode.Contains(input.SupplierCode))
				.WhereIf(!string.IsNullOrWhiteSpace(input.WorkingType), e =&gt; e.WorkingType.Contains(input.WorkingType))
				.WhereIf(!string.IsNullOrWhiteSpace(input.WorkingStatus), e =&gt; e.WorkingStatus.Contains(input.WorkingStatus))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MstInvGpsGpsCalendarDto
                        {
							Id = o.Id,
							SupplierCode = o.SupplierCode,
							WorkingDate = o.WorkingDate,
							WorkingType = o.WorkingType,
							WorkingStatus = o.WorkingStatus,
							IsActive = o.IsActive,
                        };
            var totalCount = await filtered.CountAsync();
			var paged = system.PageBy(input);
            return new PagedResultDto&lt;MstInvGpsGpsCalendarDto&gt;(
                totalCount,
                 await paged.ToListAsync()
            );
        }
        public async Task&lt;FileDto&gt; GetGpsCalendarToExcel(MstInvGpsGpsCalendarExportInput input)
        {
            var query = from o in _repo.GetAll()
                        select new MstInvGpsGpsCalendarDto
                        {
							Id = o.Id,
							SupplierCode = o.SupplierCode,
							WorkingDate = o.WorkingDate,
							WorkingType = o.WorkingType,
							WorkingStatus = o.WorkingStatus,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_dapperRepo.ExecuteAsync(MstInvGpsGpsCalendarConsts.SP_MST_WPT_CALENDAR_GENERATE);
       // }
    }
}</v>
      </c>
      <c r="N68" s="58" t="str">
        <f>A.Backend!U7</f>
        <v xml:space="preserve">  configuration.CreateMap&lt;MstInvGpsCalendarDto, MstInvGpsCalendar&gt;();
  configuration.CreateMap&lt;MstInvGpsCalendar, MstInvGpsCalendarDto&gt;();
  configuration.CreateMap&lt;CreateOrEditMstInvGpsCalendarDto, MstInvGpsCalendar&gt;();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gpscalendar</v>
      </c>
      <c r="C73" s="67" t="str">
        <f>"create folder " &amp;B73</f>
        <v>create folder gpscalendar</v>
      </c>
      <c r="D73" s="67"/>
      <c r="E73" s="67"/>
      <c r="F73" s="67"/>
      <c r="G73" s="67"/>
      <c r="H73" s="67"/>
      <c r="I73" s="67"/>
      <c r="J73" s="67"/>
      <c r="K73" s="68" t="s">
        <v>223</v>
      </c>
      <c r="L73" s="68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gpscalendar.component.ts</v>
      </c>
      <c r="D74" s="28" t="str">
        <f>B.Frontend!I14</f>
        <v>gpscalendar.component.html</v>
      </c>
      <c r="E74" s="28" t="str">
        <f>B.Frontend!J14</f>
        <v>gpscalendar.component.less</v>
      </c>
      <c r="F74" s="28" t="str">
        <f>B.Frontend!K14</f>
        <v>create-or-edit-gpscalendar-modal.component.html</v>
      </c>
      <c r="G74" s="28" t="str">
        <f>B.Frontend!L14</f>
        <v>create-or-edit-gpscalendar-modal.component.ts</v>
      </c>
      <c r="H74" s="28" t="str">
        <f>B.Frontend!M14</f>
        <v>create-or-edit-gpscalendar-modal.component.less</v>
      </c>
      <c r="I74" s="28" t="str">
        <f>B.Frontend!N14</f>
        <v>gpscalendar.module.ts</v>
      </c>
      <c r="J74" s="28" t="str">
        <f>B.Frontend!O14</f>
        <v>gpscalendar-routing.module.ts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MstInvGpsGpsCalendarDto, MstInvGpsGpsCalendarServiceProxy } from '@shared/service-proxies/service-proxies';
import { finalize } from 'rxjs/internal/operators/finalize';
import { CreateOrEditGpsCalendarModalComponent } from './create-or-edit-gpscalendar-modal.component';
import { DatePipe } from '@angular/common';
import { FileDownloadService } from '@shared/utils/file-download.service';
import ceil from 'lodash-es/ceil';
import { Paginator } from 'primeng/paginator';
@Component({
    templateUrl: './gpscalendar.component.html',
    styleUrls: ['./gpscalendar.component.less'],
})
export class GpsCalendarComponent extends AppComponentBase implements OnInit {
    @ViewChild('createOrEditModalGpsCalendar', { static: true }) createOrEditModalGpsCalendar:| CreateOrEditGpsCalendarModalComponent|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MstInvGpsGpsCalendarDto = new MstInvGpsGpsCalendarDto();
    saveSelectedRow: MstInvGpsGpsCalendarDto = new MstInvGpsGpsCalendarDto();
    datas: MstInvGpsGpsCalendarDto = new MstInvGpsGpsCalendarDto();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workingType : string = '' ; 
	workingStatus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MstInvGpsGpsCalendarServiceProxy,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this.l('Working Date'),headerTooltip: this.l('Working Date'),field: 'workingDate',flex: 1},
			{headerName: this.l('Working Type'),headerTooltip: this.l('Working Type'),field: 'workingType',flex: 1},
			{headerName: this.l('Working Status'),headerTooltip: this.l('Working Status'),field: 'workingStatus',flex: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this.workingDate,
			this.workingType,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workingType : string = '' ; 
	workingStatus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this.workingDate,
			this.workingType,
			'',
            this.paginationParams.skipCount,
            this.paginationParams.pageSize
        );
    }
    onChangeRowSelection(params: { api: { getSelectedRows: () =&gt; MstInvGpsGpsCalendarDto[] } }) {
        this.saveSelectedRow = params.api.getSelectedRows()[0] ?? new MstInvGpsGpsCalendarDto();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MstInvGpsGpsCalendarDto):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this._service.getGpsCalendarToExcel(
			this.,
			this.workingDate,
			this.workingType,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Calendar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[(ngModel)]='workingType' name='workingType'
									class='form-control' [placeholder]="l('Working Type')"
									type='text' (keyup.enter)='searchDatas()'&gt;
								&lt;/div&gt;
								&lt;div class='input-search'&gt;
									&lt;input [(ngModel)]='workingStatus' name='workingStatus'
									class='form-control' [placeholder]="l('Working 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&lt;create-or-edit-gpscalendar-modal
    #createOrEditModalGpsCalendar
    (modalSave)="callBackDataGrid(dataParams)"
    (modalClose)="onChangeRowSelection(dataParams)"
&gt;
&lt;/create-or-edit-gpscalendar-modal&gt;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GpsCalendar')}}&lt;/h3&gt;
                    &lt;h3 *ngIf="!rowdata.id"&gt;{{('Create New GpsCalendar')}}&lt;/h3&gt;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title'&gt;Working Type&lt;/label&gt;
						&lt;input type='text' class='col-md-10 form-control input-text' name='WorkingType' [(ngModel)]='rowdata.workingType'&gt;
					&lt;/div&gt;
					&lt;div class='col-md-12 form-group row'&gt;
						&lt;label class='col-md-2 form-control title'&gt;Working Status&lt;/label&gt;
						&lt;input type='text' class='col-md-10 form-control input-text' name='WorkingStatus' [(ngModel)]='rowdata.workingStatus'&gt;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CreateOrEditMstInvGpsGpsCalendarDto, MstInvGpsGpsCalendarServiceProxy } from '@shared/service-proxies/service-proxies';
import { BsDatepickerDirective } from 'ngx-bootstrap/datepicker';
@Component({
    selector: 'create-or-edit-gpscalendar-modal',
    templateUrl: './create-or-edit-gpscalendar-modal.component.html',
    styleUrls: ['./create-or-edit-gpscalendar-modal.component.less']
    })
export class CreateOrEditGpsCalendarModalComponent extends AppComponentBase {
    @ViewChild('createOrEditModalGpsCalendar',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CreateOrEditMstInvGpsGpsCalendarDto = new CreateOrEditMstInvGpsGpsCalendarDto();
    active: boolean = false;
    saving: boolean = false;
    _isActive: boolean;
    constructor(
        injector: Injector,
        private _mstwptGpsCalendarService: MstInvGpsGpsCalendarServiceProxy,
    ) 
    {
        super(injector);
    }
    show(rowdata?: CreateOrEditMstInvGpsGpsCalendarDto): void {
        if (!rowdata) this.rowdata = new CreateOrEditMstInvGpsGpsCalendarDto();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GpsCalendarRoutingModule } from './gpscalendar-routing.module';
import { GpsCalendarComponent } from './gpscalendar.component';
import { CreateOrEditGpsCalendarModalComponent } from './create-or-edit-gpscalendar-modal.component';
@NgModule({
    declarations: [
       GpsCalendarComponent, 
        CreateOrEditGpsCalendarModalComponent
    ],
    imports: [
        AppSharedModule, GpsCalendarRoutingModule]
})
export class GpsCalendarModule {}</v>
      </c>
      <c r="J75" s="46" t="str">
        <f>B.Frontend!O10</f>
        <v>import {NgModule} from '@angular/core';
import {RouterModule, Routes} from '@angular/router';
import { GpsCalendarComponent } from './gpscalendar.component';
const routes: Routes = [{
    path: '',
    component: GpsCalendarComponent,
    pathMatch: 'full'
}];
@NgModule({
    imports: [RouterModule.forChild(routes)],
    exports: [RouterModule],
})
export class GpsCalendarRoutingModule {}</v>
      </c>
      <c r="K75" s="46" t="str">
        <f>B.Frontend!P10</f>
        <v xml:space="preserve"> new AppMenuItem("GpsCalendar", "Pages.Master.Inv.GpsCalendar", "flaticon-book",   "/app/main/master/inv/gpscalendar"),</v>
      </c>
      <c r="L75" s="47" t="str">
        <f>B.Frontend!Q10</f>
        <v>{
    path: 'master/inv/gpscalendar',
    loadChildren: () =&gt; import('./master/inv/gpscalendar/gpscalendar.module').then(m =&gt; m.GpsCalendarModule),
    data: { permission: 'Pages.Master.Inv.GpsCalendar' }
},</v>
      </c>
      <c r="M75" s="45" t="str">
        <f>B.Frontend!R10</f>
        <v>ApiServiceProxies.MstInvGpsCalendarServiceProxy,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5"/>
  <sheetViews>
    <sheetView workbookViewId="0">
      <pane xSplit="1" topLeftCell="B1" activePane="topRight" state="frozen"/>
      <selection pane="topRight" activeCell="A9" sqref="A9:A1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40</v>
      </c>
      <c r="D3" s="9" t="s">
        <v>41</v>
      </c>
      <c r="E3" s="9" t="s">
        <v>36</v>
      </c>
      <c r="F3" s="10" t="str">
        <f>"J"&amp;COUNTA($A:$A)</f>
        <v>J13</v>
      </c>
      <c r="G3" s="4" t="s">
        <v>53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52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MstInvGpsCalendarExportInput{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MstInvGpsCalendar: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MstInvGpsCalendarConsts	
	{
</v>
      </c>
      <c r="F6" s="10" t="str">
        <f>REPT(CHAR(9),1)&amp;"public class "&amp;B3&amp;"Dto"&amp;K3&amp;REPT(CHAR(9),1)&amp;"
"&amp;REPT(CHAR(9),1)&amp;C3</f>
        <v xml:space="preserve">	public class MstInvGpsCalendarDto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CreateOrEditMstInvGpsCalendarDto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GetMstInvGpsCalendarInput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MstInvGpsCalendar</v>
      </c>
      <c r="C7" s="10" t="str">
        <f>REPT(CHAR(9),1)&amp;"[Table("""&amp;B7&amp;""")]"&amp;"
"</f>
        <v xml:space="preserve">	[Table("MstInvGpsCalendar")]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[Table("MstInvGpsCalendar")]
	public class MstInvGpsCalendar: FullAuditedEntity&lt;long&gt;, IEntity&lt;long&gt;	
	{
		public const int MaxSupplierCodeLength = 10;
		public const int MaxWorkingTypeLength = 2;
		public const int MaxWorkingStatusLength = 2;
		public const int MaxIsActiveLength = 1;
		[StringLength(MaxSupplierCodeLength)]
		public virtual string SupplierCode { get; set; }
		public virtual DateTime? WorkingDate { get; set; }
		[StringLength(MaxWorkingTypeLength)]
		public virtual string WorkingType { get; set; }
		[StringLength(MaxWorkingStatusLength)]
		public virtual string WorkingStatus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DbSet&lt;MstInvGpsCalendar&gt; MstInvGpsCalendars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prod.Master.Inv
{
	public class MstInvGpsCalendarConsts	
	{
		public const int MaxSupplierCodeLength = 10;
		public const int MaxWorkingTypeLength = 2;
		public const int MaxWorkingStatusLength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prod.Master.Inv.Dto
{
	public class MstInvGpsCalendarDto : EntityDto&lt;long?&gt;	
	{
		public virtual string SupplierCode { get; set; }
		public virtual DateTime? WorkingDate { get; set; }
		public virtual string WorkingType { get; set; }
		public virtual string WorkingStatus { get; set; }
		public virtual string IsActive { get; set; }
	}
	public class CreateOrEditMstInvGpsCalendarDto : EntityDto&lt;long?&gt;	
	{
		[StringLength(MstInvGpsCalendarConsts.MaxSupplierCodeLength)]
		public virtual string SupplierCode { get; set; }
		public virtual DateTime? WorkingDate { get; set; }
		[StringLength(MstInvGpsCalendarConsts.MaxWorkingTypeLength)]
		public virtual string WorkingType { get; set; }
		[StringLength(MstInvGpsCalendarConsts.MaxWorkingStatusLength)]
		public virtual string WorkingStatus { get; set; }
		[StringLength(MstInvGpsCalendarConsts.MaxIsActiveLength)]
		public virtual string IsActive { get; set; }
	}
	public class GetMstInvGpsCalendarInput : PagedAndSortedResultRequestDto	
	{
		public virtual string SupplierCode { get; set; }
		public virtual string WorkingType { get; set; }
		public virtual string WorkingStatus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perMstInvGpsCalendar = PARENTS.CreateChildPermission(AppPermissions.Pages_Master_Inv_GpsCalendar, L( "MasterInvGpsCalendar"), multiTenancySides: MultiTenancySides.Tenant);
		perMstInvGpsCalendar.CreateChildPermission(AppPermissions.Pages_Master_Inv_GpsCalendar_CreateEdit, L( "MasterInvGpsCalendarCreateEdit"), multiTenancySides: MultiTenancySides.Tenant);
		perMstInvGpsCalendar.CreateChildPermission(AppPermissions.Pages_Master_Inv_GpsCalendar_Delete, L( "MasterInvGpsCalendarDelete"),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Pages_Master_Inv_GpsCalendar = "Pages.Master.Inv.GpsCalendar";
		public const string Pages_Master_Inv_GpsCalendar_CreateEdit = "Pages.Master.Inv.GpsCalendar.CreateEdit";
		public const string Pages_Master_Inv_GpsCalendar_Delete = "Pages.Master.Inv.GpsCalendar.Delete";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IMstInvGpsCalendarAppService : IApplicationService
	{
		Task&lt;PagedResultDto&lt;MstInvGpsCalendarDto&gt;&gt; GetAll(GetMstInvGpsCalendarInput input);
		Task CreateOrEdit(CreateOrEditMstInvGpsCalendarDto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[AbpAuthorize(AppPermissions.Pages_Master_Inv_GpsCalendar)]
    public class MstInvGpsGpsCalendarAppService : vovinaAppServiceBase, IMstInvGpsGpsCalendarAppService
    {
        private readonly IDapperRepository&lt;MstInvGpsGpsCalendar, long&gt; _dapperRepo;
        private readonly IRepository&lt;MstInvGpsGpsCalendar, long&gt; _repo;
        private readonly IMstInvGpsGpsCalendarExcelExporter _calendarListExcelExporter;
        public MstInvGpsGpsCalendarAppService(IRepository&lt;MstInvGpsGpsCalendar,long&gt; repo, 
                                         IDapperRepository&lt;MstInvGpsGpsCalendar,long&gt; dapperRepo,
                                        IMstInvGpsGpsCalendarExcelExporter calendarListExcelExporter
            )
        {
            _repo = repo;
            _dapperRepo = dapperRepo;
            _calendarListExcelExporter = calendarListExcelExporter;
        }
        [AbpAuthorize(AppPermissions.Pages_Master_Inv_GpsCalendar_CreateEdit)]
        public async Task CreateOrEdit(CreateOrEditMstInvGpsGpsCalendarDto input)
        {
            if (input.Id == null) await Create(input);
            else await Update(input);
        }
        //CREATE
        private async Task Create(CreateOrEditMstInvGpsGpsCalendarDto input)
        {          
            var mainObj = ObjectMapper.Map&lt;MstInvGpsGpsCalendar&gt;(input);
            await CurrentUnitOfWork.GetDbContext&lt;vovinaDbContext&gt;().AddAsync(mainObj);
        }
        // EDIT
        private async Task Update(CreateOrEditMstInvGpsGpsCalendarDto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Task&lt;PagedResultDto&lt;MstInvGpsGpsCalendarDto&gt;&gt; GetAll(GetMstInvGpsGpsCalendarInput input)
        {
            var filtered = _repo.GetAll()
				.WhereIf(!string.IsNullOrWhiteSpace(input.SupplierCode), e =&gt; e.SupplierCode.Contains(input.SupplierCode))
				.WhereIf(!string.IsNullOrWhiteSpace(input.WorkingType), e =&gt; e.WorkingType.Contains(input.WorkingType))
				.WhereIf(!string.IsNullOrWhiteSpace(input.WorkingStatus), e =&gt; e.WorkingStatus.Contains(input.WorkingStatus))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MstInvGpsGpsCalendarDto
                        {
							Id = o.Id,
							SupplierCode = o.SupplierCode,
							WorkingDate = o.WorkingDate,
							WorkingType = o.WorkingType,
							WorkingStatus = o.WorkingStatus,
							IsActive = o.IsActive,
                        };
            var totalCount = await filtered.CountAsync();
			var paged = system.PageBy(input);
            return new PagedResultDto&lt;MstInvGpsGpsCalendarDto&gt;(
                totalCount,
                 await paged.ToListAsync()
            );
        }
        public async Task&lt;FileDto&gt; GetGpsCalendarToExcel(MstInvGpsGpsCalendarExportInput input)
        {
            var query = from o in _repo.GetAll()
                        select new MstInvGpsGpsCalendarDto
                        {
							Id = o.Id,
							SupplierCode = o.SupplierCode,
							WorkingDate = o.WorkingDate,
							WorkingType = o.WorkingType,
							WorkingStatus = o.WorkingStatus,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_dapperRepo.ExecuteAsync(MstInvGpsGpsCalendarConsts.SP_MST_WPT_CALENDAR_GENERATE);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prod.Master.Inv.Dto
{
	public class MstInvGpsCalendarExportInput{
		public virtual string SupplierCode { get; set; }
		public virtual DateTime? WorkingDate { get; set; }
		public virtual string WorkingType { get; set; }
		public virtual string WorkingStatus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IMstInvGpsCalendarExcelExporter : IApplicationService
	{
		FileDto ExportToFile(List&lt;MstInvGpsCalendarDto&gt; mstinvgpscalendar);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MstInvGpsGpsCalendarExcelExporter : NpoiExcelExporterBase, IMstInvGpsGpsCalendarExcelExporter
    {
        public MstInvGpsGpsCalendarExcelExporter(ITempFileCacheManager tempFileCacheManager) : base(tempFileCacheManager) { }
        public FileDto ExportToFile(List&lt;MstInvGpsGpsCalendarDto&gt; gpscalendar)
        {
            return CreateExcelPackage(
				"MasterInvGpsCalendar.xlsx",
				excelPackage =&gt;
				 {
					var sheet = excelPackage.CreateSheet("GpsCalendar");
					AddHeader(
								sheet,
								("SupplierCode"),
								("WorkingDate"),
								("WorkingType"),
								("WorkingStatus"),
								("IsActive"),
							   );
					AddObjects(
						 sheet, 1, gpscalendar,                                       
								_ =&gt; _.SupplierCode,
								_ =&gt; _.WorkingDate,
								_ =&gt; _.WorkingType,
								_ =&gt; _.WorkingStatus,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configuration.CreateMap&lt;MstInvGpsCalendarDto, MstInvGpsCalendar&gt;();
  configuration.CreateMap&lt;MstInvGpsCalendar, MstInvGpsCalendarDto&gt;();
  configuration.CreateMap&lt;CreateOrEditMstInvGpsCalendarDto, MstInvGpsCalendar&gt;();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69" t="s">
        <v>358</v>
      </c>
      <c r="B9" s="69" t="s">
        <v>359</v>
      </c>
      <c r="C9" s="69" t="s">
        <v>1</v>
      </c>
      <c r="D9" t="str">
        <f t="shared" ref="D9" si="0">SUBSTITUTE(PROPER(A9),"_","")</f>
        <v>SupplierCode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[StringLength(MaxSupplierCodeLength)]
		public virtual string SupplierCode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[StringLength(MstInvGpsCalendarConsts.MaxSupplierCodeLength)]
		public virtual string SupplierCode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SupplierCode { get; set; }
</v>
      </c>
      <c r="P9" t="str">
        <f t="shared" ref="P9" si="9">REPT(CHAR(9),7)&amp;D9&amp;" = o." &amp;D9 &amp;","</f>
        <v xml:space="preserve">							SupplierCode = o.SupplierCode,</v>
      </c>
      <c r="T9" s="63" t="str">
        <f t="shared" ref="T9" si="10">REPT(CHAR(9),8)&amp;"("""&amp;D9&amp;"""),"</f>
        <v xml:space="preserve">								("SupplierCode"),</v>
      </c>
      <c r="V9" s="64" t="str">
        <f t="shared" ref="V9" si="11">REPT(CHAR(9),8)&amp;"_ =&gt; _."&amp;D9&amp;","</f>
        <v xml:space="preserve">								_ =&gt; _.SupplierCode,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.WhereIf(!string.IsNullOrWhiteSpace(input.SupplierCode), e =&gt; e.SupplierCode.Contains(input.SupplierCode))</v>
      </c>
    </row>
    <row r="10" spans="1:23" customFormat="1" ht="18.75" customHeight="1" x14ac:dyDescent="0.25">
      <c r="A10" s="69" t="s">
        <v>360</v>
      </c>
      <c r="B10" s="69" t="s">
        <v>2</v>
      </c>
      <c r="C10" s="69" t="s">
        <v>1</v>
      </c>
      <c r="D10" t="str">
        <f t="shared" ref="D10:D12" si="13">SUBSTITUTE(PROPER(A10),"_","")</f>
        <v>WorkingDate</v>
      </c>
      <c r="E10" t="str">
        <f t="shared" ref="E10:E12" si="14">IFERROR(LEFT(B10, FIND("(",B10)-1),B10)</f>
        <v>date</v>
      </c>
      <c r="F10" s="6"/>
      <c r="G10" t="str">
        <f t="shared" ref="G10:G12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:I12" si="16">IF(H10="string",REPT(CHAR(9),2)&amp;"public const int Max"&amp;D10&amp;"Length = "&amp;G10&amp;";"&amp;$E$3,"" )</f>
        <v/>
      </c>
      <c r="J10" t="str">
        <f t="shared" ref="J10:J12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WorkingDate { get; set; }
</v>
      </c>
      <c r="K10" s="6"/>
      <c r="L10" t="str">
        <f t="shared" ref="L10:L12" si="18">IF(K10="","",REPT(CHAR(9),1)&amp;"[Index(nameof("&amp;IF(D10="","",""&amp;D10)&amp;")"&amp;", Name="&amp;"""IX_"&amp;$B$7&amp;"_"&amp;D10&amp;""")]")</f>
        <v/>
      </c>
      <c r="M10" t="str">
        <f t="shared" ref="M10:M12" si="19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12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12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2" si="22">REPT(CHAR(9),7)&amp;D10&amp;" = o." &amp;D10 &amp;","</f>
        <v xml:space="preserve">							WorkingDate = o.WorkingDate,</v>
      </c>
      <c r="T10" s="63" t="str">
        <f t="shared" ref="T10:T12" si="23">REPT(CHAR(9),8)&amp;"("""&amp;D10&amp;"""),"</f>
        <v xml:space="preserve">								("WorkingDate"),</v>
      </c>
      <c r="V10" s="64" t="str">
        <f t="shared" ref="V10:V12" si="24">REPT(CHAR(9),8)&amp;"_ =&gt; _."&amp;D10&amp;","</f>
        <v xml:space="preserve">								_ =&gt; _.WorkingDate,</v>
      </c>
      <c r="W10" s="63" t="str">
        <f t="shared" ref="W10:W12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s="70" t="s">
        <v>361</v>
      </c>
      <c r="B11" s="70" t="s">
        <v>362</v>
      </c>
      <c r="C11" s="70" t="s">
        <v>1</v>
      </c>
      <c r="D11" t="str">
        <f t="shared" si="13"/>
        <v>WorkingType</v>
      </c>
      <c r="E11" t="str">
        <f t="shared" si="14"/>
        <v>varchar</v>
      </c>
      <c r="F11" s="6"/>
      <c r="G11" t="str">
        <f t="shared" si="15"/>
        <v>2</v>
      </c>
      <c r="H11" t="str">
        <f>+VLOOKUP(E11,'Data Type Mapping'!A:B,2,)</f>
        <v>string</v>
      </c>
      <c r="I11" t="str">
        <f t="shared" si="16"/>
        <v xml:space="preserve">		public const int MaxWorkingTypeLength = 2;
</v>
      </c>
      <c r="J11" t="str">
        <f t="shared" si="17"/>
        <v xml:space="preserve">		[StringLength(MaxWorkingTypeLength)]
		public virtual string WorkingType { get; set; }
</v>
      </c>
      <c r="K11" s="6"/>
      <c r="L11" t="str">
        <f t="shared" si="18"/>
        <v/>
      </c>
      <c r="M11" t="str">
        <f t="shared" si="19"/>
        <v xml:space="preserve">		public virtual string WorkingType { get; set; }
</v>
      </c>
      <c r="N11" t="str">
        <f t="shared" si="20"/>
        <v xml:space="preserve">		[StringLength(MstInvGpsCalendarConsts.MaxWorkingTypeLength)]
		public virtual string WorkingType { get; set; }
</v>
      </c>
      <c r="O11" t="str">
        <f t="shared" si="21"/>
        <v xml:space="preserve">		public virtual string WorkingType { get; set; }
</v>
      </c>
      <c r="P11" t="str">
        <f t="shared" si="22"/>
        <v xml:space="preserve">							WorkingType = o.WorkingType,</v>
      </c>
      <c r="T11" s="63" t="str">
        <f t="shared" si="23"/>
        <v xml:space="preserve">								("WorkingType"),</v>
      </c>
      <c r="V11" s="64" t="str">
        <f t="shared" si="24"/>
        <v xml:space="preserve">								_ =&gt; _.WorkingType,</v>
      </c>
      <c r="W11" s="63" t="str">
        <f t="shared" si="25"/>
        <v xml:space="preserve">				.WhereIf(!string.IsNullOrWhiteSpace(input.WorkingType), e =&gt; e.WorkingType.Contains(input.WorkingType))</v>
      </c>
    </row>
    <row r="12" spans="1:23" customFormat="1" ht="18.75" customHeight="1" x14ac:dyDescent="0.25">
      <c r="A12" s="70" t="s">
        <v>363</v>
      </c>
      <c r="B12" s="70" t="s">
        <v>362</v>
      </c>
      <c r="C12" s="70" t="s">
        <v>1</v>
      </c>
      <c r="D12" t="str">
        <f t="shared" si="13"/>
        <v>WorkingStatus</v>
      </c>
      <c r="E12" t="str">
        <f t="shared" si="14"/>
        <v>varchar</v>
      </c>
      <c r="F12" s="6"/>
      <c r="G12" t="str">
        <f t="shared" si="15"/>
        <v>2</v>
      </c>
      <c r="H12" t="str">
        <f>+VLOOKUP(E12,'Data Type Mapping'!A:B,2,)</f>
        <v>string</v>
      </c>
      <c r="I12" t="str">
        <f t="shared" si="16"/>
        <v xml:space="preserve">		public const int MaxWorkingStatusLength = 2;
</v>
      </c>
      <c r="J12" t="str">
        <f t="shared" si="17"/>
        <v xml:space="preserve">		[StringLength(MaxWorkingStatusLength)]
		public virtual string WorkingStatus { get; set; }
</v>
      </c>
      <c r="K12" s="6"/>
      <c r="L12" t="str">
        <f t="shared" si="18"/>
        <v/>
      </c>
      <c r="M12" t="str">
        <f t="shared" si="19"/>
        <v xml:space="preserve">		public virtual string WorkingStatus { get; set; }
</v>
      </c>
      <c r="N12" t="str">
        <f t="shared" si="20"/>
        <v xml:space="preserve">		[StringLength(MstInvGpsCalendarConsts.MaxWorkingStatusLength)]
		public virtual string WorkingStatus { get; set; }
</v>
      </c>
      <c r="O12" t="str">
        <f t="shared" si="21"/>
        <v xml:space="preserve">		public virtual string WorkingStatus { get; set; }
</v>
      </c>
      <c r="P12" t="str">
        <f t="shared" si="22"/>
        <v xml:space="preserve">							WorkingStatus = o.WorkingStatus,</v>
      </c>
      <c r="T12" s="63" t="str">
        <f t="shared" si="23"/>
        <v xml:space="preserve">								("WorkingStatus"),</v>
      </c>
      <c r="V12" s="64" t="str">
        <f t="shared" si="24"/>
        <v xml:space="preserve">								_ =&gt; _.WorkingStatus,</v>
      </c>
      <c r="W12" s="63" t="str">
        <f t="shared" si="25"/>
        <v xml:space="preserve">				.WhereIf(!string.IsNullOrWhiteSpace(input.WorkingStatus), e =&gt; e.WorkingStatus.Contains(input.WorkingStatus))</v>
      </c>
    </row>
    <row r="13" spans="1:23" customFormat="1" ht="18.75" customHeight="1" x14ac:dyDescent="0.25">
      <c r="A13" s="69" t="s">
        <v>318</v>
      </c>
      <c r="B13" s="69" t="s">
        <v>364</v>
      </c>
      <c r="C13" s="69" t="s">
        <v>1</v>
      </c>
      <c r="D13" t="str">
        <f t="shared" ref="D13" si="26">SUBSTITUTE(PROPER(A13),"_","")</f>
        <v>IsActive</v>
      </c>
      <c r="E13" t="str">
        <f t="shared" ref="E13" si="27">IFERROR(LEFT(B13, FIND("(",B13)-1),B13)</f>
        <v>varchar</v>
      </c>
      <c r="F13" s="6"/>
      <c r="G13" t="str">
        <f t="shared" ref="G13" si="28">IFERROR(MID(B13,FIND("(",B13) +1, FIND(")",B13) - FIND("(",B13) - 1),"")</f>
        <v>1</v>
      </c>
      <c r="H13" t="str">
        <f>+VLOOKUP(E13,'Data Type Mapping'!A:B,2,)</f>
        <v>string</v>
      </c>
      <c r="I13" t="str">
        <f t="shared" ref="I13" si="29">IF(H13="string",REPT(CHAR(9),2)&amp;"public const int Max"&amp;D13&amp;"Length = "&amp;G13&amp;";"&amp;$E$3,"" )</f>
        <v xml:space="preserve">		public const int MaxIsActiveLength = 1;
</v>
      </c>
      <c r="J13" t="str">
        <f t="shared" ref="J13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6"/>
      <c r="L13" t="str">
        <f t="shared" ref="L13" si="31">IF(K13="","",REPT(CHAR(9),1)&amp;"[Index(nameof("&amp;IF(D13="","",""&amp;D13)&amp;")"&amp;", Name="&amp;"""IX_"&amp;$B$7&amp;"_"&amp;D13&amp;""")]")</f>
        <v/>
      </c>
      <c r="M13" t="str">
        <f t="shared" ref="M13" si="32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[StringLength(MstInvGpsCalendarConsts.MaxIsActiveLength)]
		public virtual string IsActive { get; set; }
</v>
      </c>
      <c r="O13" t="str">
        <f t="shared" ref="O13" si="34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35">REPT(CHAR(9),7)&amp;D13&amp;" = o." &amp;D13 &amp;","</f>
        <v xml:space="preserve">							IsActive = o.IsActive,</v>
      </c>
      <c r="T13" s="63" t="str">
        <f t="shared" ref="T13" si="36">REPT(CHAR(9),8)&amp;"("""&amp;D13&amp;"""),"</f>
        <v xml:space="preserve">								("IsActive"),</v>
      </c>
      <c r="V13" s="64" t="str">
        <f t="shared" ref="V13" si="37">REPT(CHAR(9),8)&amp;"_ =&gt; _."&amp;D13&amp;","</f>
        <v xml:space="preserve">								_ =&gt; _.IsActive,</v>
      </c>
      <c r="W13" s="63" t="str">
        <f t="shared" ref="W13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</row>
    <row r="15" spans="1:23" ht="45.75" customHeight="1" x14ac:dyDescent="0.25">
      <c r="H15" s="11"/>
      <c r="I15" s="31" t="str">
        <f ca="1">TEXTJOIN2("
", TRUE,INDIRECT( $H$1):INDIRECT( $H$3))</f>
        <v xml:space="preserve">		public const int MaxSupplierCodeLength = 10;
		public const int MaxWorkingTypeLength = 2;
		public const int MaxWorkingStatusLength = 2;
		public const int MaxIsActiveLength = 1;
</v>
      </c>
      <c r="J15" s="30" t="str">
        <f ca="1">TEXTJOIN2("
", TRUE,INDIRECT( $F$1):INDIRECT( $F$3))</f>
        <v xml:space="preserve">		[StringLength(MaxSupplierCodeLength)]
		public virtual string SupplierCode { get; set; }
		public virtual DateTime? WorkingDate { get; set; }
		[StringLength(MaxWorkingTypeLength)]
		public virtual string WorkingType { get; set; }
		[StringLength(MaxWorkingStatusLength)]
		public virtual string WorkingStatus { get; set; }
		[StringLength(MaxIsActiveLength)]
		public virtual string IsActive { get; set; }
</v>
      </c>
      <c r="K15" s="32" t="str">
        <f ca="1">TEXTJOIN2("
", TRUE,INDIRECT( $J$1):INDIRECT( $J$3))</f>
        <v/>
      </c>
      <c r="L15" s="12" t="s">
        <v>56</v>
      </c>
      <c r="M15" s="33" t="str">
        <f ca="1">TEXTJOIN2("
",TRUE,INDIRECT( $L$1):INDIRECT($L$3))</f>
        <v xml:space="preserve">		public virtual string SupplierCode { get; set; }
		public virtual DateTime? WorkingDate { get; set; }
		public virtual string WorkingType { get; set; }
		public virtual string WorkingStatus { get; set; }
		public virtual string IsActive { get; set; }
</v>
      </c>
      <c r="N15" s="30" t="str">
        <f ca="1">TEXTJOIN2("
",TRUE,INDIRECT( $M$1):INDIRECT($M$3))</f>
        <v xml:space="preserve">		[StringLength(MstInvGpsCalendarConsts.MaxSupplierCodeLength)]
		public virtual string SupplierCode { get; set; }
		public virtual DateTime? WorkingDate { get; set; }
		[StringLength(MstInvGpsCalendarConsts.MaxWorkingTypeLength)]
		public virtual string WorkingType { get; set; }
		[StringLength(MstInvGpsCalendarConsts.MaxWorkingStatusLength)]
		public virtual string WorkingStatus { get; set; }
		[StringLength(MstInvGpsCalendarConsts.MaxIsActiveLength)]
		public virtual string IsActive { get; set; }
</v>
      </c>
      <c r="O15" s="30" t="str">
        <f ca="1">TEXTJOIN2("
",TRUE,INDIRECT( $N$1):INDIRECT($N$3))</f>
        <v xml:space="preserve">		public virtual string SupplierCode { get; set; }
		public virtual string WorkingType { get; set; }
		public virtual string WorkingStatus { get; set; }
		public virtual string IsActive { get; set; }
</v>
      </c>
      <c r="P15" s="8" t="str">
        <f ca="1">TEXTJOIN2("
",TRUE,INDIRECT( $O$1):INDIRECT($O$3))</f>
        <v xml:space="preserve">							SupplierCode = o.SupplierCode,
							WorkingDate = o.WorkingDate,
							WorkingType = o.WorkingType,
							WorkingStatus = o.WorkingStatus,
							IsActive = o.IsActive,</v>
      </c>
      <c r="T15" s="8" t="str">
        <f ca="1">TEXTJOIN2("
",TRUE,INDIRECT( $T$2):INDIRECT($T$3))</f>
        <v xml:space="preserve">								("SupplierCode"),
								("WorkingDate"),
								("WorkingType"),
								("WorkingStatus"),
								("IsActive"),</v>
      </c>
      <c r="V15" s="8" t="str">
        <f ca="1">TEXTJOIN2("
",TRUE,INDIRECT( $V$2):INDIRECT($V$3))</f>
        <v xml:space="preserve">								_ =&gt; _.SupplierCode,
								_ =&gt; _.WorkingDate,
								_ =&gt; _.WorkingType,
								_ =&gt; _.WorkingStatus,
								_ =&gt; _.IsActive,</v>
      </c>
      <c r="W15" s="8" t="str">
        <f ca="1">TEXTJOIN2("
",TRUE,INDIRECT( $W$2):INDIRECT($W$3))</f>
        <v xml:space="preserve">				.WhereIf(!string.IsNullOrWhiteSpace(input.SupplierCode), e =&gt; e.SupplierCode.Contains(input.SupplierCode))
				.WhereIf(!string.IsNullOrWhiteSpace(input.WorkingType), e =&gt; e.WorkingType.Contains(input.WorkingType))
				.WhereIf(!string.IsNullOrWhiteSpace(input.WorkingStatus), e =&gt; e.WorkingStatus.Contains(input.WorkingStatus))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2"/>
  <sheetViews>
    <sheetView tabSelected="1" topLeftCell="A13" workbookViewId="0">
      <selection activeCell="F26" sqref="F2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MstInvGpsCalendar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GpsCalendar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gpscalendar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MstInvGpsGpsCalendarDto, MstInvGpsGpsCalendarServiceProxy } from '@shared/service-proxies/service-proxies';
import { finalize } from 'rxjs/internal/operators/finalize';
import { CreateOrEditGpsCalendarModalComponent } from './create-or-edit-gpscalendar-modal.component';
import { DatePipe } from '@angular/common';
import { FileDownloadService } from '@shared/utils/file-download.service';
import ceil from 'lodash-es/ceil';
import { Paginator } from 'primeng/paginator';
@Component({
    templateUrl: './gpscalendar.component.html',
    styleUrls: ['./gpscalendar.component.less'],
})
export class GpsCalendarComponent extends AppComponentBase implements OnInit {
    @ViewChild('createOrEditModalGpsCalendar', { static: true }) createOrEditModalGpsCalendar:| CreateOrEditGpsCalendarModalComponent|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MstInvGpsGpsCalendarDto = new MstInvGpsGpsCalendarDto();
    saveSelectedRow: MstInvGpsGpsCalendarDto = new MstInvGpsGpsCalendarDto();
    datas: MstInvGpsGpsCalendarDto = new MstInvGpsGpsCalendarDto();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workingType : string = '' ; 
	workingStatus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MstInvGpsGpsCalendarServiceProxy,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this.l('Working Date'),headerTooltip: this.l('Working Date'),field: 'workingDate',flex: 1},
			{headerName: this.l('Working Type'),headerTooltip: this.l('Working Type'),field: 'workingType',flex: 1},
			{headerName: this.l('Working Status'),headerTooltip: this.l('Working Status'),field: 'workingStatus',flex: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this.workingDate,
			this.workingType,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workingType : string = '' ; 
	workingStatus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this.workingDate,
			this.workingType,
			'',
            this.paginationParams.skipCount,
            this.paginationParams.pageSize
        );
    }
    onChangeRowSelection(params: { api: { getSelectedRows: () =&gt; MstInvGpsGpsCalendarDto[] } }) {
        this.saveSelectedRow = params.api.getSelectedRows()[0] ?? new MstInvGpsGpsCalendarDto();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MstInvGpsGpsCalendarDto):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this._service.getGpsCalendarToExcel(
			this.,
			this.workingDate,
			this.workingType,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Calendar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[(ngModel)]='workingType' name='workingType'
									class='form-control' [placeholder]="l('Working Type')"
									type='text' (keyup.enter)='searchDatas()'&gt;
								&lt;/div&gt;
								&lt;div class='input-search'&gt;
									&lt;input [(ngModel)]='workingStatus' name='workingStatus'
									class='form-control' [placeholder]="l('Working 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&lt;create-or-edit-gpscalendar-modal
    #createOrEditModalGpsCalendar
    (modalSave)="callBackDataGrid(dataParams)"
    (modalClose)="onChangeRowSelection(dataParams)"
&gt;
&lt;/create-or-edit-gpscalendar-modal&gt;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GpsCalendar')}}&lt;/h3&gt;
                    &lt;h3 *ngIf="!rowdata.id"&gt;{{('Create New GpsCalendar')}}&lt;/h3&gt;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title'&gt;Working Type&lt;/label&gt;
						&lt;input type='text' class='col-md-10 form-control input-text' name='WorkingType' [(ngModel)]='rowdata.workingType'&gt;
					&lt;/div&gt;
					&lt;div class='col-md-12 form-group row'&gt;
						&lt;label class='col-md-2 form-control title'&gt;Working Status&lt;/label&gt;
						&lt;input type='text' class='col-md-10 form-control input-text' name='WorkingStatus' [(ngModel)]='rowdata.workingStatus'&gt;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CreateOrEditMstInvGpsGpsCalendarDto, MstInvGpsGpsCalendarServiceProxy } from '@shared/service-proxies/service-proxies';
import { BsDatepickerDirective } from 'ngx-bootstrap/datepicker';
@Component({
    selector: 'create-or-edit-gpscalendar-modal',
    templateUrl: './create-or-edit-gpscalendar-modal.component.html',
    styleUrls: ['./create-or-edit-gpscalendar-modal.component.less']
    })
export class CreateOrEditGpsCalendarModalComponent extends AppComponentBase {
    @ViewChild('createOrEditModalGpsCalendar',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CreateOrEditMstInvGpsGpsCalendarDto = new CreateOrEditMstInvGpsGpsCalendarDto();
    active: boolean = false;
    saving: boolean = false;
    _isActive: boolean;
    constructor(
        injector: Injector,
        private _mstwptGpsCalendarService: MstInvGpsGpsCalendarServiceProxy,
    ) 
    {
        super(injector);
    }
    show(rowdata?: CreateOrEditMstInvGpsGpsCalendarDto): void {
        if (!rowdata) this.rowdata = new CreateOrEditMstInvGpsGpsCalendarDto();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GpsCalendarRoutingModule } from './gpscalendar-routing.module';
import { GpsCalendarComponent } from './gpscalendar.component';
import { CreateOrEditGpsCalendarModalComponent } from './create-or-edit-gpscalendar-modal.component';
@NgModule({
    declarations: [
       GpsCalendarComponent, 
        CreateOrEditGpsCalendarModalComponent
    ],
    imports: [
        AppSharedModule, GpsCalendarRoutingModule]
})
export class GpsCalendarModule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GpsCalendarComponent } from './gpscalendar.component';
const routes: Routes = [{
    path: '',
    component: GpsCalendarComponent,
    pathMatch: 'full'
}];
@NgModule({
    imports: [RouterModule.forChild(routes)],
    exports: [RouterModule],
})
export class GpsCalendarRoutingModule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AppMenuItem("GpsCalendar", "Pages.Master.Inv.GpsCalendar", "flaticon-book",   "/app/main/master/inv/gpscalendar"),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'master/inv/gpscalendar',
    loadChildren: () =&gt; import('./master/inv/gpscalendar/gpscalendar.module').then(m =&gt; m.GpsCalendarModule),
    data: { permission: 'Pages.Master.Inv.GpsCalendar' }
},</v>
      </c>
      <c r="R10" s="47" t="str">
        <f>SUBSTITUTE(R9,"MstWptCalendar",$B$6)</f>
        <v>ApiServiceProxies.MstInvGpsCalendarServiceProxy,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Code'),headerTooltip: this.l('Supplier Code'),field: 'supplierCode',flex: 1},
			{headerName: this.l('Working Date'),headerTooltip: this.l('Working Date'),field: 'workingDate',flex: 1},
			{headerName: this.l('Working Type'),headerTooltip: this.l('Working Type'),field: 'workingType',flex: 1},
			{headerName: this.l('Working Status'),headerTooltip: this.l('Working Status'),field: 'workingStatus',flex: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[(ngModel)]='workingType' name='workingType'
									class='form-control' [placeholder]="l('Working Type')"
									type='text' (keyup.enter)='searchDatas()'&gt;
								&lt;/div&gt;
								&lt;div class='input-search'&gt;
									&lt;input [(ngModel)]='workingStatus' name='workingStatus'
									class='form-control' [placeholder]="l('Working Status')"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title'&gt;Working Type&lt;/label&gt;
						&lt;input type='text' class='col-md-10 form-control input-text' name='WorkingType' [(ngModel)]='rowdata.workingType'&gt;
					&lt;/div&gt;
					&lt;div class='col-md-12 form-group row'&gt;
						&lt;label class='col-md-2 form-control title'&gt;Working Status&lt;/label&gt;
						&lt;input type='text' class='col-md-10 form-control input-text' name='WorkingStatus' [(ngModel)]='rowdata.workingStatus'&gt;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supplierCode : string = '' ; 
	workingType : string = '' ; 
	workingStatus : string = '' ; 
</v>
      </c>
      <c r="T13" s="62" t="str">
        <f ca="1">TEXTJOIN2("
",TRUE,INDIRECT(T11):INDIRECT(T12))</f>
        <v xml:space="preserve">			this.,
			this.workingDate,
			this.workingType,
</v>
      </c>
      <c r="U13" s="62" t="str">
        <f ca="1">TEXTJOIN2("
",TRUE,INDIRECT(U11):INDIRECT(U12))</f>
        <v xml:space="preserve">	supplierCode : string = '' ; 
	workingType : string = '' ; 
	workingStatus : string = '' ; 
</v>
      </c>
      <c r="V13" s="28" t="str">
        <f ca="1">TEXTJOIN2("
",TRUE,INDIRECT(V11):INDIRECT(V12))</f>
        <v>isActive</v>
      </c>
    </row>
    <row r="14" spans="1:22" ht="14.25" customHeight="1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gpscalendar.component.ts</v>
      </c>
      <c r="I14" s="37" t="str">
        <f>B8&amp;".component.html"</f>
        <v>gpscalendar.component.html</v>
      </c>
      <c r="J14" s="36" t="str">
        <f>B8&amp;".component.less"</f>
        <v>gpscalendar.component.less</v>
      </c>
      <c r="K14" s="37" t="str">
        <f>"create-or-edit-"&amp;B8&amp;"-modal.component.html"</f>
        <v>create-or-edit-gpscalendar-modal.component.html</v>
      </c>
      <c r="L14" s="37" t="str">
        <f>"create-or-edit-"&amp;B8&amp;"-modal.component.ts"</f>
        <v>create-or-edit-gpscalendar-modal.component.ts</v>
      </c>
      <c r="M14" s="37" t="str">
        <f>"create-or-edit-"&amp;B8&amp;"-modal.component.less"</f>
        <v>create-or-edit-gpscalendar-modal.component.less</v>
      </c>
      <c r="N14" s="37" t="str">
        <f>B8&amp;".module.ts"</f>
        <v>gpscalendar.module.ts</v>
      </c>
      <c r="O14" s="37" t="str">
        <f>B8&amp;"-routing.module.ts"</f>
        <v>gpscalendar-routing.module.ts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69" t="s">
        <v>358</v>
      </c>
      <c r="B15" s="28" t="str">
        <f t="shared" ref="B15" si="0">SUBSTITUTE(PROPER(A15),"_","")</f>
        <v>SupplierCode</v>
      </c>
      <c r="C15" s="28" t="str">
        <f t="shared" ref="C15" si="1">SUBSTITUTE(PROPER(A15),"_"," ")</f>
        <v>Supplier Code</v>
      </c>
      <c r="D15" s="28" t="str">
        <f t="shared" ref="D15" si="2">LOWER(LEFT(B15,1))&amp;RIGHT(B15,LEN(B15) - 1)</f>
        <v>supplierCode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Code'),headerTooltip: this.l('Supplier Code'),field: 'supplierCode',flex: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supplierCode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supplierCode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69" t="s">
        <v>360</v>
      </c>
      <c r="B16" s="28" t="str">
        <f t="shared" ref="B16:B18" si="8">SUBSTITUTE(PROPER(A16),"_","")</f>
        <v>WorkingDate</v>
      </c>
      <c r="C16" s="28" t="str">
        <f t="shared" ref="C16:C18" si="9">SUBSTITUTE(PROPER(A16),"_"," ")</f>
        <v>Working Date</v>
      </c>
      <c r="D16" s="28" t="str">
        <f t="shared" ref="D16:D18" si="10">LOWER(LEFT(B16,1))&amp;RIGHT(B16,LEN(B16) - 1)</f>
        <v>workingDate</v>
      </c>
      <c r="E16" s="28" t="str">
        <f>A.Backend!H10</f>
        <v>DateTime?</v>
      </c>
      <c r="F16" s="28" t="str">
        <f>A.Backend!G10</f>
        <v/>
      </c>
      <c r="G16" s="28" t="str">
        <f t="shared" ref="G16:G19" si="11">IF(E16="string"," : string = '' ; ",IF(OR(E16="DateTime",E16="TimeSpan")," : any ;",IF(E16="int"," : number = 0 ;","")))</f>
        <v/>
      </c>
      <c r="H16" s="35" t="str">
        <f t="shared" si="4"/>
        <v xml:space="preserve">			{headerName: this.l('Working Date'),headerTooltip: this.l('Working Date'),field: 'workingDate',flex: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17" si="12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4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17" si="15">IF(AND(E16="string",F16 &lt;&gt;"1"),(REPT(CHAR(9),1)&amp;D16&amp;G16),"")</f>
        <v/>
      </c>
      <c r="V16" s="28" t="str">
        <f t="shared" ref="V16:V18" si="16">IF(AND(E16="string",F16="1"),D16,"")</f>
        <v/>
      </c>
    </row>
    <row r="17" spans="1:22" ht="18.75" customHeight="1" x14ac:dyDescent="0.25">
      <c r="A17" s="70" t="s">
        <v>361</v>
      </c>
      <c r="B17" s="28" t="str">
        <f t="shared" si="8"/>
        <v>WorkingType</v>
      </c>
      <c r="C17" s="28" t="str">
        <f t="shared" si="9"/>
        <v>Working Type</v>
      </c>
      <c r="D17" s="28" t="str">
        <f t="shared" si="10"/>
        <v>workingType</v>
      </c>
      <c r="E17" s="28" t="str">
        <f>A.Backend!H11</f>
        <v>string</v>
      </c>
      <c r="F17" s="28" t="str">
        <f>A.Backend!G11</f>
        <v>2</v>
      </c>
      <c r="G17" s="28" t="str">
        <f t="shared" si="11"/>
        <v xml:space="preserve"> : string = '' ; </v>
      </c>
      <c r="H17" s="35" t="str">
        <f t="shared" si="4"/>
        <v xml:space="preserve">			{headerName: this.l('Working Type'),headerTooltip: this.l('Working Type'),field: 'workingType',flex: 1},</v>
      </c>
      <c r="I17" s="35" t="str">
        <f t="shared" si="5"/>
        <v xml:space="preserve">								&lt;div class='input-search'&gt;
									&lt;input [(ngModel)]='workingType' name='workingType'
									class='form-control' [placeholder]="l('Working Type')"
									type='text' (keyup.enter)='searchDatas()'&gt;
								&lt;/div&gt;</v>
      </c>
      <c r="J17" s="28"/>
      <c r="K17" s="35" t="str">
        <f t="shared" si="12"/>
        <v xml:space="preserve">					&lt;div class='col-md-12 form-group row'&gt;
						&lt;label class='col-md-2 form-control title'&gt;Working Type&lt;/label&gt;
						&lt;input type='text' class='col-md-10 form-control input-text' name='WorkingType' [(ngModel)]='rowdata.workingType'&gt;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workingType : string = '' ; </v>
      </c>
      <c r="T17" s="28" t="str">
        <f t="shared" ref="T17" si="17">IF(AND(E17="string",F17 &lt;&gt;"1"),(REPT(CHAR(9),3)&amp;"this."&amp;D16&amp;","),"")</f>
        <v xml:space="preserve">			this.workingDate,</v>
      </c>
      <c r="U17" s="28" t="str">
        <f t="shared" si="15"/>
        <v xml:space="preserve">	workingType : string = '' ; </v>
      </c>
      <c r="V17" s="28" t="str">
        <f t="shared" si="16"/>
        <v/>
      </c>
    </row>
    <row r="18" spans="1:22" ht="15" customHeight="1" x14ac:dyDescent="0.25">
      <c r="A18" s="70" t="s">
        <v>363</v>
      </c>
      <c r="B18" s="28" t="str">
        <f t="shared" si="8"/>
        <v>WorkingStatus</v>
      </c>
      <c r="C18" s="28" t="str">
        <f t="shared" si="9"/>
        <v>Working Status</v>
      </c>
      <c r="D18" s="28" t="str">
        <f t="shared" si="10"/>
        <v>workingStatus</v>
      </c>
      <c r="E18" s="28" t="str">
        <f>A.Backend!H12</f>
        <v>string</v>
      </c>
      <c r="F18" s="28" t="str">
        <f>A.Backend!G12</f>
        <v>2</v>
      </c>
      <c r="G18" s="28" t="str">
        <f t="shared" si="11"/>
        <v xml:space="preserve"> : string = '' ; </v>
      </c>
      <c r="H18" s="35" t="str">
        <f t="shared" ref="H18:H19" si="18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this.l('Working Status'),headerTooltip: this.l('Working Status'),field: 'workingStatus',flex: 1},</v>
      </c>
      <c r="I18" s="35" t="str">
        <f t="shared" ref="I18:I19" si="19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IF(AND(E18="string",F18 &lt;&gt;"1"),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[(ngModel)]='workingStatus' name='workingStatus'
									class='form-control' [placeholder]="l('Working Status')"
									type='text' (keyup.enter)='searchDatas()'&gt;
								&lt;/div&gt;</v>
      </c>
      <c r="J18" s="28"/>
      <c r="K18" s="35" t="str">
        <f>IF(OR(E18="DateTime?",E18="TimeSpan?"),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IF(OR(E18="int?",E18="long?"),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title'&gt;Working Status&lt;/label&gt;
						&lt;input type='text' class='col-md-10 form-control input-text' name='WorkingStatus' [(ngModel)]='rowdata.workingStatus'&gt;
					&lt;/div&gt;</v>
      </c>
      <c r="L18" s="56" t="str">
        <f t="shared" ref="L18:L19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IF(AND(E18="string",F18 &lt;&gt;"1"),(REPT(CHAR(9),1)&amp;D18&amp;G18),"")</f>
        <v xml:space="preserve">	workingStatus : string = '' ; </v>
      </c>
      <c r="T18" s="28" t="str">
        <f>IF(AND(E18="string",F18 &lt;&gt;"1"),(REPT(CHAR(9),3)&amp;"this."&amp;D17&amp;","),"")</f>
        <v xml:space="preserve">			this.workingType,</v>
      </c>
      <c r="U18" s="28" t="str">
        <f>IF(AND(E18="string",F18 &lt;&gt;"1"),(REPT(CHAR(9),1)&amp;D18&amp;G18),"")</f>
        <v xml:space="preserve">	workingStatus : string = '' ; </v>
      </c>
      <c r="V18" s="28" t="str">
        <f t="shared" si="16"/>
        <v/>
      </c>
    </row>
    <row r="19" spans="1:22" ht="18" customHeight="1" x14ac:dyDescent="0.25">
      <c r="A19" s="69" t="s">
        <v>318</v>
      </c>
      <c r="B19" s="28" t="str">
        <f t="shared" ref="B19" si="21">SUBSTITUTE(PROPER(A19),"_","")</f>
        <v>IsActive</v>
      </c>
      <c r="C19" s="28" t="str">
        <f t="shared" ref="C19" si="22">SUBSTITUTE(PROPER(A19),"_"," ")</f>
        <v>Is Active</v>
      </c>
      <c r="D19" s="28" t="str">
        <f t="shared" ref="D19" si="23">LOWER(LEFT(B19,1))&amp;RIGHT(B19,LEN(B19) - 1)</f>
        <v>isActive</v>
      </c>
      <c r="E19" s="28" t="str">
        <f>A.Backend!H13</f>
        <v>string</v>
      </c>
      <c r="F19" s="28" t="str">
        <f>A.Backend!G13</f>
        <v>1</v>
      </c>
      <c r="G19" s="28" t="str">
        <f t="shared" si="11"/>
        <v xml:space="preserve"> : string = '' ; </v>
      </c>
      <c r="H19" s="35" t="str">
        <f t="shared" si="18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ref="K19" si="24"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 t="shared" ref="S19" si="25">IF(AND(E19="string",F19 &lt;&gt;"1"),(REPT(CHAR(9),1)&amp;D19&amp;G19),"")</f>
        <v/>
      </c>
      <c r="T19" s="28" t="str">
        <f>IF(AND(E19="string",F19 &lt;&gt;"1"),(REPT(CHAR(9),3)&amp;"this."&amp;D18&amp;","),"")</f>
        <v/>
      </c>
      <c r="U19" s="28" t="str">
        <f t="shared" ref="U19" si="26">IF(AND(E19="string",F19 &lt;&gt;"1"),(REPT(CHAR(9),1)&amp;D19&amp;G19),"")</f>
        <v/>
      </c>
      <c r="V19" s="28" t="str">
        <f t="shared" ref="V19" si="27">IF(AND(E19="string",F19="1"),D19,"")</f>
        <v>isActive</v>
      </c>
    </row>
    <row r="20" spans="1:22" ht="18" customHeight="1" x14ac:dyDescent="0.25">
      <c r="H20" s="66"/>
      <c r="I20" s="66"/>
      <c r="K20" s="66"/>
      <c r="L20" s="26"/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2023-04-25T03:08:30Z</dcterms:modified>
</cp:coreProperties>
</file>
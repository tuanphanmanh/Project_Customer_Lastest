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inventory\"/>
    </mc:Choice>
  </mc:AlternateContent>
  <xr:revisionPtr revIDLastSave="0" documentId="13_ncr:1_{55CD45FA-3AF3-47DC-B252-60A270C9D88A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17" i="5"/>
  <c r="D17" i="5" s="1"/>
  <c r="C17" i="5"/>
  <c r="B7" i="5" l="1"/>
  <c r="B8" i="5" s="1"/>
  <c r="B6" i="5"/>
  <c r="B2" i="5"/>
  <c r="B3" i="5" l="1"/>
  <c r="B6" i="1" l="1"/>
  <c r="C15" i="5" l="1"/>
  <c r="B15" i="5"/>
  <c r="D15" i="5" s="1"/>
  <c r="G11" i="1"/>
  <c r="F17" i="5" s="1"/>
  <c r="E11" i="1"/>
  <c r="H11" i="1" s="1"/>
  <c r="E17" i="5" s="1"/>
  <c r="G17" i="5" s="1"/>
  <c r="D11" i="1"/>
  <c r="T11" i="1" s="1"/>
  <c r="S17" i="5" l="1"/>
  <c r="H17" i="5"/>
  <c r="K17" i="5"/>
  <c r="V17" i="5"/>
  <c r="T17" i="5"/>
  <c r="I17" i="5"/>
  <c r="L17" i="5"/>
  <c r="M11" i="1"/>
  <c r="L11" i="1"/>
  <c r="P11" i="1"/>
  <c r="I11" i="1"/>
  <c r="V11" i="1"/>
  <c r="O11" i="1"/>
  <c r="W11" i="1"/>
  <c r="U17" i="5" l="1"/>
  <c r="G9" i="1"/>
  <c r="F15" i="5" s="1"/>
  <c r="E9" i="1"/>
  <c r="H9" i="1" s="1"/>
  <c r="E15" i="5" s="1"/>
  <c r="D9" i="1"/>
  <c r="V9" i="1" s="1"/>
  <c r="T15" i="5" l="1"/>
  <c r="I15" i="5"/>
  <c r="K15" i="5"/>
  <c r="H15" i="5"/>
  <c r="G15" i="5"/>
  <c r="U15" i="5" s="1"/>
  <c r="V15" i="5"/>
  <c r="L15" i="5"/>
  <c r="W9" i="1"/>
  <c r="P9" i="1"/>
  <c r="T9" i="1"/>
  <c r="I9" i="1"/>
  <c r="M9" i="1"/>
  <c r="O9" i="1"/>
  <c r="S15" i="5" l="1"/>
  <c r="Q3" i="1"/>
  <c r="B4" i="5" s="1"/>
  <c r="B5" i="5" s="1"/>
  <c r="G10" i="1" l="1"/>
  <c r="F16" i="5" s="1"/>
  <c r="E10" i="1"/>
  <c r="H10" i="1" s="1"/>
  <c r="E16" i="5" s="1"/>
  <c r="G16" i="5" s="1"/>
  <c r="D10" i="1"/>
  <c r="T10" i="1" s="1"/>
  <c r="U16" i="5" l="1"/>
  <c r="H16" i="5"/>
  <c r="V16" i="5"/>
  <c r="T16" i="5"/>
  <c r="K16" i="5"/>
  <c r="I16" i="5"/>
  <c r="L16" i="5"/>
  <c r="P10" i="1"/>
  <c r="V10" i="1"/>
  <c r="W10" i="1"/>
  <c r="I10" i="1"/>
  <c r="O10" i="1"/>
  <c r="M10" i="1"/>
  <c r="S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G6" i="1" l="1"/>
  <c r="L13" i="5"/>
  <c r="K13" i="5"/>
  <c r="U13" i="5"/>
  <c r="I13" i="5"/>
  <c r="S13" i="5"/>
  <c r="H13" i="5"/>
  <c r="K10" i="5" l="1"/>
  <c r="F75" i="3" s="1"/>
  <c r="I10" i="5"/>
  <c r="D75" i="3" s="1"/>
  <c r="H10" i="5"/>
  <c r="C75" i="3" s="1"/>
  <c r="L10" i="5"/>
  <c r="G75" i="3" s="1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N11" i="1" l="1"/>
  <c r="J11" i="1"/>
  <c r="N10" i="1"/>
  <c r="J10" i="1"/>
  <c r="J9" i="1"/>
  <c r="N9" i="1"/>
  <c r="L9" i="1"/>
  <c r="L10" i="1"/>
  <c r="C7" i="1"/>
  <c r="K68" i="3" l="1"/>
  <c r="J68" i="3"/>
  <c r="K13" i="1"/>
  <c r="M13" i="1"/>
  <c r="R7" i="1" l="1"/>
  <c r="I68" i="3" s="1"/>
  <c r="J13" i="1"/>
  <c r="I13" i="1"/>
  <c r="P13" i="1"/>
  <c r="O13" i="1"/>
  <c r="J7" i="1" l="1"/>
  <c r="C68" i="3" s="1"/>
  <c r="L7" i="1"/>
  <c r="G68" i="3" s="1"/>
  <c r="N13" i="1"/>
  <c r="M7" i="1" l="1"/>
  <c r="H68" i="3" s="1"/>
  <c r="V13" i="1"/>
  <c r="W13" i="1"/>
  <c r="T13" i="1"/>
  <c r="Q7" i="1" l="1"/>
  <c r="M68" i="3" s="1"/>
  <c r="T7" i="1"/>
  <c r="L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<sst xmlns="http://schemas.openxmlformats.org/spreadsheetml/2006/main" count="443" uniqueCount="363">
  <si>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</si>
  <si>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</si>
  <si>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</si>
  <si>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</si>
  <si>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</si>
  <si>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</si>
  <si>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</si>
  <si>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</si>
  <si>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</si>
  <si>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</si>
  <si>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</si>
  <si>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</si>
  <si>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</si>
  <si>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</si>
  <si>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</si>
  <si>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</si>
  <si>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</si>
  <si>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</si>
  <si>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</si>
  <si>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</si>
  <si>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</si>
  <si>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</si>
  <si>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</si>
  <si>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</si>
  <si>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</si>
  <si>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</si>
  <si>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</si>
  <si>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</si>
  <si>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</si>
  <si>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</si>
  <si>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</si>
  <si>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</si>
  <si>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</si>
  <si>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</si>
  <si>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</si>
  <si>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</si>
  <si>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</si>
  <si>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</si>
  <si>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</si>
  <si>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</si>
  <si>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</si>
  <si>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</si>
  <si>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</si>
  <si>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</si>
  <si>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</si>
  <si>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</si>
  <si>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</si>
  <si>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</si>
  <si>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</si>
  <si>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</si>
  <si>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</si>
  <si>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</si>
  <si>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</si>
  <si>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</si>
  <si>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</si>
  <si>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</si>
  <si>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</si>
  <si>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</si>
  <si>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</si>
  <si>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</si>
  <si>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</si>
  <si>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</si>
  <si>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</si>
  <si>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</si>
  <si>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</si>
  <si>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</si>
  <si>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</si>
  <si>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</si>
  <si>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</si>
  <si>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</si>
  <si>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</si>
  <si>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</si>
  <si>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</si>
  <si>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</si>
  <si>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</si>
  <si>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</si>
  <si>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</si>
  <si>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</si>
  <si>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</si>
  <si>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</si>
  <si>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</si>
  <si>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</si>
  <si>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</si>
  <si>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</si>
  <si>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</si>
  <si>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</si>
  <si>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</si>
  <si>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</si>
  <si>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</si>
  <si>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</si>
  <si>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</si>
  <si>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</si>
  <si>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</si>
  <si>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</si>
  <si>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</si>
  <si>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</si>
  <si>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</si>
  <si>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</si>
  <si>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</si>
  <si>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</si>
  <si>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</si>
  <si>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</si>
  <si>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</si>
  <si>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</si>
  <si>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</si>
  <si>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</si>
  <si>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</si>
  <si>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</si>
  <si>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</si>
  <si>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</si>
  <si>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</si>
  <si>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</si>
  <si>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</si>
  <si>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</si>
  <si>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</si>
  <si>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</si>
  <si>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</si>
  <si>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</si>
  <si>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</si>
  <si>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</si>
  <si>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</si>
  <si>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</si>
  <si>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</si>
  <si>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</si>
  <si>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</si>
  <si>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</si>
  <si>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</si>
  <si>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</si>
  <si>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</si>
  <si>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</si>
  <si>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</si>
  <si>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</si>
  <si>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</si>
  <si>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</si>
  <si>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</si>
  <si>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</si>
  <si>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</si>
  <si>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</si>
  <si>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</si>
  <si>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</si>
  <si>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</si>
  <si>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</si>
  <si>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</si>
  <si>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</si>
  <si>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</si>
  <si>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</si>
  <si>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</si>
  <si>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</si>
  <si>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</si>
  <si>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</si>
  <si>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</si>
  <si>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</si>
  <si>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</si>
  <si>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</si>
  <si>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</si>
  <si>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</si>
  <si>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</si>
  <si>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</si>
  <si>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</si>
  <si>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</si>
  <si>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</si>
  <si>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</si>
  <si>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</si>
  <si>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</si>
  <si>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</si>
  <si>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</si>
  <si>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</si>
  <si>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</si>
  <si>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</si>
  <si>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</si>
  <si>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</si>
  <si>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</si>
  <si>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</si>
  <si>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</si>
  <si>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</si>
  <si>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</si>
  <si>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</si>
  <si>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</si>
  <si>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</si>
  <si>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</si>
  <si>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</si>
  <si>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</si>
  <si>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</si>
  <si>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</si>
  <si>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</si>
  <si>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</si>
  <si>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</si>
  <si>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</si>
  <si>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</si>
  <si>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</si>
  <si>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</si>
  <si>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</si>
  <si>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</si>
  <si>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</si>
  <si>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</si>
  <si>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</si>
  <si>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</si>
  <si>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</si>
  <si>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</si>
  <si>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</si>
  <si>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</si>
  <si>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</si>
  <si>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</si>
  <si>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</si>
  <si>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</si>
  <si>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</si>
  <si>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</si>
  <si>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</si>
  <si>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</si>
  <si>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</si>
  <si>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</si>
  <si>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</si>
  <si>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</si>
  <si>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</si>
  <si>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</si>
  <si>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</si>
  <si>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</si>
  <si>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</si>
  <si>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</si>
  <si>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</si>
  <si>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</si>
  <si>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</si>
  <si>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</si>
  <si>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</si>
  <si>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</si>
  <si>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</si>
  <si>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</si>
  <si>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</si>
  <si>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</si>
  <si>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</si>
  <si>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</si>
  <si>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</si>
  <si>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</si>
  <si>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</si>
  <si>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</si>
  <si>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</si>
  <si>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</si>
  <si>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</si>
  <si>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</si>
  <si>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</si>
  <si>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</si>
  <si>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</si>
  <si>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</si>
  <si>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</si>
  <si>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</si>
  <si>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</si>
  <si>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</si>
  <si>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</si>
  <si>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</si>
  <si>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</si>
  <si>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</si>
  <si>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</si>
  <si>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</si>
  <si>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</si>
  <si>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</si>
  <si>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</si>
  <si>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</si>
  <si>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</si>
  <si>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</si>
  <si>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</si>
  <si>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</si>
  <si>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</si>
  <si>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</si>
  <si>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</si>
  <si>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</si>
  <si>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</si>
  <si>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</si>
  <si>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</si>
  <si>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</si>
  <si>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</si>
  <si>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</si>
  <si>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</si>
  <si>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</si>
  <si>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</si>
  <si>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</si>
  <si>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</si>
  <si>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</si>
  <si>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</si>
  <si>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</si>
  <si>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</si>
  <si>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</si>
  <si>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</si>
  <si>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</si>
  <si>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</si>
  <si>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</si>
  <si>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</si>
  <si>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</si>
  <si>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</si>
  <si>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</si>
  <si>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</si>
  <si>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</si>
  <si>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</si>
  <si>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</si>
  <si>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</si>
  <si>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</si>
  <si>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</si>
  <si>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</si>
  <si>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</si>
  <si>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</si>
  <si>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</si>
  <si>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</si>
  <si>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</si>
  <si>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</si>
  <si>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</si>
  <si>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</si>
  <si>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</si>
  <si>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</si>
  <si>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</si>
  <si>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</si>
  <si>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</si>
  <si>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</si>
  <si>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</si>
  <si>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</si>
  <si>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</si>
  <si>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</si>
  <si>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</si>
  <si>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</si>
  <si>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</si>
  <si>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</si>
  <si>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</si>
  <si>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</si>
  <si>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</si>
  <si>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</si>
  <si>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</si>
  <si>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</si>
  <si>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</si>
  <si>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</si>
  <si>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</si>
  <si>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</si>
  <si>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</si>
  <si>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</si>
  <si>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</si>
  <si>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</si>
  <si>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</si>
  <si>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</si>
  <si>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</si>
  <si>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</si>
  <si>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</si>
  <si>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</si>
  <si>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</si>
  <si>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</si>
  <si>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</si>
  <si>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</si>
  <si>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</si>
  <si>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</si>
  <si>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</si>
  <si>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</si>
  <si>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</si>
  <si>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</si>
  <si>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</si>
  <si>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</si>
  <si>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</si>
  <si>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</si>
  <si>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</si>
  <si>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</si>
  <si>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Master.Inv</t>
  </si>
  <si>
    <t>SUPPLIER_ID</t>
  </si>
  <si>
    <t>TRUCK_NAME</t>
  </si>
  <si>
    <t>varchar(20)</t>
  </si>
  <si>
    <t>nvarchar(1)</t>
  </si>
  <si>
    <t>GpsTruckSupplier</t>
  </si>
  <si>
    <t>MstInvGpsTruckSupplier</t>
  </si>
  <si>
    <t>Master Inventory Gps Truck 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</si>
</sst>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0" fillId="0" borderId="0" xfId="0" applyAlignment="1">
      <alignment vertical="top"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D64" zoomScaleNormal="100" workbookViewId="0">
      <selection activeCell="F78" sqref="F7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[Table("MstInvGpsTruckSupplier")]
	public class MstInvGpsTruckSupplier: FullAuditedEntity&lt;long&gt;, IEntity&lt;long&gt;	
	{
		public const int MaxTruckNameLength = 20;
		public const int MaxIsActiveLength = 1;
		public virtual int? SupplierId { get; set; }
		[StringLength(MaxTruckNameLength)]
		public virtual string TruckName { get; set; }
		[StringLength(MaxIsActiveLength)]
		public virtual string IsActive { get; set; }
	}
}
</v>
      </c>
      <c r="D68" s="48" t="str">
        <f>A.Backend!O7</f>
        <v xml:space="preserve">		public const string Pages_Master_Inv_GpsTruckSupplier = "Pages.Master.Inv.GpsTruckSupplier";
		public const string Pages_Master_Inv_GpsTruckSupplier_CreateEdit = "Pages.Master.Inv.GpsTruckSupplier.CreateEdit";
		public const string Pages_Master_Inv_GpsTruckSupplier_Delete = "Pages.Master.Inv.GpsTruckSupplier.Delete";
</v>
      </c>
      <c r="E68" s="48" t="str">
        <f>A.Backend!N7</f>
        <v xml:space="preserve">		var perMstInvGpsTruckSupplier = PARENTS.CreateChildPermission(AppPermissions.Pages_Master_Inv_GpsTruckSupplier, L( "MasterInvGpsTruckSupplier"), multiTenancySides: MultiTenancySides.Tenant);
		perMstInvGpsTruckSupplier.CreateChildPermission(AppPermissions.Pages_Master_Inv_GpsTruckSupplier_CreateEdit, L( "MasterInvGpsTruckSupplierCreateEdit"), multiTenancySides: MultiTenancySides.Tenant);
		perMstInvGpsTruckSupplier.CreateChildPermission(AppPermissions.Pages_Master_Inv_GpsTruckSupplier_Delete, L( "MasterInvGpsTruckSupplierDelete"), multiTenancySides: MultiTenancySides.Tenant);</v>
      </c>
      <c r="F68" s="48" t="str">
        <f>A.Backend!K7</f>
        <v>public virtual DbSet&lt;MstInvGpsTruckSupplier&gt; MstInvGpsTruckSuppliers { get; set; }</v>
      </c>
      <c r="G68" s="48" t="str">
        <f ca="1">A.Backend!L7</f>
        <v xml:space="preserve">namespace prod.Master.Inv
{
	public class MstInvGpsTruckSupplierConsts	
	{
		public const int MaxTruckNameLength = 20;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MstInvGpsTruckSupplierDto : EntityDto&lt;long?&gt;	
	{
		public virtual int? SupplierId { get; set; }
		public virtual string TruckName { get; set; }
		public virtual string IsActive { get; set; }
	}
	public class CreateOrEditMstInvGpsTruckSupplierDto : EntityDto&lt;long?&gt;	
	{
		public virtual int? SupplierId { get; set; }
		[StringLength(MstInvGpsTruckSupplierConsts.MaxTruckNameLength)]
		public virtual string TruckName { get; set; }
		[StringLength(MstInvGpsTruckSupplierConsts.MaxIsActiveLength)]
		public virtual string IsActive { get; set; }
	}
	public class GetMstInvGpsTruckSupplierInput : PagedAndSortedResultRequestDto	
	{
		public virtual string TruckName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MstInvGpsTruckSupplierExportInput{
		public virtual int? SupplierId { get; set; }
		public virtual string TruckName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IMstInvGpsTruckSupplierAppService : IApplicationService
	{
		Task&lt;PagedResultDto&lt;MstInvGpsTruckSupplierDto&gt;&gt; GetAll(GetMstInvGpsTruckSupplierInput input);
		Task CreateOrEdit(CreateOrEditMstInvGpsTruckSupplierDto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IMstInvGpsTruckSupplierExcelExporter : IApplicationService
	{
		FileDto ExportToFile(List&lt;MstInvGpsTruckSupplierDto&gt; mstinvgpstrucksupplier);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MstInvGpsTruckSupplierExcelExporter : NpoiExcelExporterBase, IMstInvGpsTruckSupplierExcelExporter
    {
        public MstInvGpsTruckSupplierExcelExporter(ITempFileCacheManager tempFileCacheManager) : base(tempFileCacheManager) { }
        public FileDto ExportToFile(List&lt;MstInvGpsTruckSupplierDto&gt; gpstrucksupplier)
        {
            return CreateExcelPackage(
				"MasterInvGpsTruckSupplier.xlsx",
				excelPackage =&gt;
				 {
					var sheet = excelPackage.CreateSheet("GpsTruckSupplier");
					AddHeader(
								sheet,
								("SupplierId"),
								("TruckName"),
								("IsActive"),
							   );
					AddObjects(
						 sheet, 1, gpstrucksupplier,                                       
								_ =&gt; _.SupplierId,
								_ =&gt; _.TruckName,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[AbpAuthorize(AppPermissions.Pages_Master_Inv_GpsTruckSupplier)]
    public class MstInvGpsTruckSupplierAppService : vovinaAppServiceBase, IMstInvGpsTruckSupplierAppService
    {
        private readonly IDapperRepository&lt;MstInvGpsTruckSupplier, long&gt; _dapperRepo;
        private readonly IRepository&lt;MstInvGpsTruckSupplier, long&gt; _repo;
        private readonly IMstInvGpsTruckSupplierExcelExporter _calendarListExcelExporter;
        public MstInvGpsTruckSupplierAppService(IRepository&lt;MstInvGpsTruckSupplier,long&gt; repo, 
                                         IDapperRepository&lt;MstInvGpsTruckSupplier,long&gt; dapperRepo,
                                        IMstInvGpsTruckSupplierExcelExporter calendarListExcelExporter
            )
        {
            _repo = repo;
            _dapperRepo = dapperRepo;
            _calendarListExcelExporter = calendarListExcelExporter;
        }
        [AbpAuthorize(AppPermissions.Pages_Master_Inv_GpsTruckSupplier_CreateEdit)]
        public async Task CreateOrEdit(CreateOrEditMstInvGpsTruckSupplierDto input)
        {
            if (input.Id == null) await Create(input);
            else await Update(input);
        }
        //CREATE
        private async Task Create(CreateOrEditMstInvGpsTruckSupplierDto input)
        {          
            var mainObj = ObjectMapper.Map&lt;MstInvGpsTruckSupplier&gt;(input);
            await CurrentUnitOfWork.GetDbContext&lt;vovinaDbContext&gt;().AddAsync(mainObj);
        }
        // EDIT
        private async Task Update(CreateOrEditMstInvGpsTruckSupplierDto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[AbpAuthorize(AppPermissions.Pages_Master_Inv_GpsTruckSupplier_Delete)]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Task&lt;PagedResultDto&lt;MstInvGpsTruckSupplierDto&gt;&gt; GetAll(GetMstInvGpsTruckSupplierInput input)
        {
            var filtered = _repo.GetAll()
				.WhereIf(!string.IsNullOrWhiteSpace(input.TruckName), e =&gt; e.TruckName.Contains(input.TruckName))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MstInvGpsTruckSupplierDto
                        {
							Id = o.Id,
							SupplierId = o.SupplierId,
							TruckName = o.TruckName,
							IsActive = o.IsActive,
                        };
            var totalCount = await filtered.CountAsync();
			var paged = system.PageBy(input);
            return new PagedResultDto&lt;MstInvGpsTruckSupplierDto&gt;(
                totalCount,
                 await paged.ToListAsync()
            );
        }
        public async Task&lt;FileDto&gt; GetGpsTruckSupplierToExcel(MstInvGpsTruckSupplierExportInput input)
        {
            var query = from o in _repo.GetAll()
                        select new MstInvGpsTruckSupplierDto
                        {
							Id = o.Id,
							SupplierId = o.SupplierId,
							TruckName = o.TruckName,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_dapperRepo.ExecuteAsync(MstInvGpsTruckSupplierConsts.SP_MST_WPT_CALENDAR_GENERATE);
       // }
    }
}</v>
      </c>
      <c r="N68" s="58" t="str">
        <f>A.Backend!U7</f>
        <v xml:space="preserve">  configuration.CreateMap&lt;MstInvGpsTruckSupplierDto, MstInvGpsTruckSupplier&gt;();
  configuration.CreateMap&lt;MstInvGpsTruckSupplier, MstInvGpsTruckSupplierDto&gt;();
  configuration.CreateMap&lt;CreateOrEditMstInvGpsTruckSupplierDto, MstInvGpsTruckSupplier&gt;();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gpstrucksupplier</v>
      </c>
      <c r="C73" s="67" t="str">
        <f>"create folder " &amp;B73</f>
        <v>create folder gpstrucksupplier</v>
      </c>
      <c r="D73" s="67"/>
      <c r="E73" s="67"/>
      <c r="F73" s="67"/>
      <c r="G73" s="67"/>
      <c r="H73" s="67"/>
      <c r="I73" s="67"/>
      <c r="J73" s="67"/>
      <c r="K73" s="68" t="s">
        <v>223</v>
      </c>
      <c r="L73" s="68"/>
      <c r="M73" s="28"/>
    </row>
    <row r="74" spans="2:14" s="26" customFormat="1" ht="18" customHeight="1" x14ac:dyDescent="0.25">
      <c r="B74" s="56" t="s">
        <v>224</v>
      </c>
      <c r="C74" s="28" t="str">
        <f>B.Frontend!H14</f>
        <v>gpstrucksupplier.component.ts</v>
      </c>
      <c r="D74" s="28" t="str">
        <f>B.Frontend!I14</f>
        <v>gpstrucksupplier.component.html</v>
      </c>
      <c r="E74" s="28" t="str">
        <f>B.Frontend!J14</f>
        <v>gpstrucksupplier.component.less</v>
      </c>
      <c r="F74" s="28" t="str">
        <f>B.Frontend!K14</f>
        <v>create-or-edit-gpstrucksupplier-modal.component.html</v>
      </c>
      <c r="G74" s="28" t="str">
        <f>B.Frontend!L14</f>
        <v>create-or-edit-gpstrucksupplier-modal.component.ts</v>
      </c>
      <c r="H74" s="28" t="str">
        <f>B.Frontend!M14</f>
        <v>create-or-edit-gpstrucksupplier-modal.component.less</v>
      </c>
      <c r="I74" s="28" t="str">
        <f>B.Frontend!N14</f>
        <v>gpstrucksupplier.module.ts</v>
      </c>
      <c r="J74" s="28" t="str">
        <f>B.Frontend!O14</f>
        <v>gpstrucksupplier-routing.module.ts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MstInvGpsTruckSupplierDto, MstInvGpsTruckSupplierServiceProxy } from '@shared/service-proxies/service-proxies';
import { finalize } from 'rxjs/internal/operators/finalize';
import { CreateOrEditGpsTruckSupplierModalComponent } from './create-or-edit-gpstrucksupplier-modal.component';
import { DatePipe } from '@angular/common';
import { FileDownloadService } from '@shared/utils/file-download.service';
import ceil from 'lodash-es/ceil';
import { Paginator } from 'primeng/paginator';
@Component({
    templateUrl: './gpstrucksupplier.component.html',
    styleUrls: ['./gpstrucksupplier.component.less'],
})
export class GpsTruckSupplierComponent extends AppComponentBase implements OnInit {
    @ViewChild('createOrEditModalGpsTruckSupplier', { static: true }) createOrEditModalGpsTruckSupplier:| CreateOrEditGpsTruckSupplierModalComponent|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MstInvGpsTruckSupplierDto = new MstInvGpsTruckSupplierDto();
    saveSelectedRow: MstInvGpsTruckSupplierDto = new MstInvGpsTruckSupplierDto();
    datas: MstInvGpsTruckSupplierDto = new MstInvGpsTruckSupplierDto();
    isLoading: boolean = false;
    dataParams: GridParams | undefined;
    rowData: any[] = [];
    gridApi!: GridApi;
    rowSelection = 'multiple';
    filter: string = '';
	pipe = new DatePipe('en-US');
	frameworkComponents: FrameworkComponent;
    	truckName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MstInvGpsTruckSupplierServiceProxy,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this.l('Truck Name'),headerTooltip: this.l('Truck Name'),field: 'truckName',flex: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truckName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this.supplierId,
			'',
            this.paginationParams.skipCount,
            this.paginationParams.pageSize
        );
    }
    onChangeRowSelection(params: { api: { getSelectedRows: () =&gt; MstInvGpsTruckSupplierDto[] } }) {
        this.saveSelectedRow = params.api.getSelectedRows()[0] ?? new MstInvGpsTruckSupplierDto();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MstInvGpsTruckSupplierDto):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this._service.getGpsTruckSupplierToExcel(
			this.supplierId,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Truck Supplier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[(ngModel)]='truckName' name='truckName'
									class='form-control' [placeholder]="l('Truck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(click)="createOrEditModalGpsTruckSupplier.show()"&gt;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(click)="createOrEditModalGpsTruckSupplier.show(selectedRow)"&gt;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&lt;create-or-edit-gpstrucksupplier-modal
    #createOrEditModalGpsTruckSupplier
    (modalSave)="callBackDataGrid(dataParams)"
    (modalClose)="onChangeRowSelection(dataParams)"
&gt;
&lt;/create-or-edit-gpstrucksupplier-modal&gt;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#createOrEditModalGpsTruckSupplier="bs-modal"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GpsTruckSupplier')}}&lt;/h3&gt;
                    &lt;h3 *ngIf="!rowdata.id"&gt;{{('Create New GpsTruckSupplier')}}&lt;/h3&gt;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title'&gt;Truck Name&lt;/label&gt;
						&lt;input type='text' class='col-md-10 form-control input-text' name='TruckName' [(ngModel)]='rowdata.truckName'&gt;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CreateOrEditMstInvGpsTruckSupplierDto, MstInvGpsTruckSupplierServiceProxy } from '@shared/service-proxies/service-proxies';
import { BsDatepickerDirective } from 'ngx-bootstrap/datepicker';
@Component({
    selector: 'create-or-edit-gpstrucksupplier-modal',
    templateUrl: './create-or-edit-gpstrucksupplier-modal.component.html',
    styleUrls: ['./create-or-edit-gpstrucksupplier-modal.component.less']
    })
export class CreateOrEditGpsTruckSupplierModalComponent extends AppComponentBase {
    @ViewChild('createOrEditModalGpsTruckSupplier',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CreateOrEditMstInvGpsTruckSupplierDto = new CreateOrEditMstInvGpsTruckSupplierDto();
    active: boolean = false;
    saving: boolean = false;
    _isActive: boolean;
    constructor(
        injector: Injector,
        private _mstwptGpsTruckSupplierService: MstInvGpsTruckSupplierServiceProxy,
    ) 
    {
        super(injector);
    }
    show(rowdata?: CreateOrEditMstInvGpsTruckSupplierDto): void {
        if (!rowdata) this.rowdata = new CreateOrEditMstInvGpsTruckSupplierDto();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this._mstwptGpsTruckSupplierService.createOrEdit(this.rowdata)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GpsTruckSupplierRoutingModule } from './gpstrucksupplier-routing.module';
import { GpsTruckSupplierComponent } from './gpstrucksupplier.component';
import { CreateOrEditGpsTruckSupplierModalComponent } from './create-or-edit-gpstrucksupplier-modal.component';
@NgModule({
    declarations: [
       GpsTruckSupplierComponent, 
        CreateOrEditGpsTruckSupplierModalComponent
    ],
    imports: [
        AppSharedModule, GpsTruckSupplierRoutingModule]
})
export class GpsTruckSupplierModule {}</v>
      </c>
      <c r="J75" s="46" t="str">
        <f>B.Frontend!O10</f>
        <v>import {NgModule} from '@angular/core';
import {RouterModule, Routes} from '@angular/router';
import { GpsTruckSupplierComponent } from './gpstrucksupplier.component';
const routes: Routes = [{
    path: '',
    component: GpsTruckSupplierComponent,
    pathMatch: 'full'
}];
@NgModule({
    imports: [RouterModule.forChild(routes)],
    exports: [RouterModule],
})
export class GpsTruckSupplierRoutingModule {}</v>
      </c>
      <c r="K75" s="46" t="str">
        <f>B.Frontend!P10</f>
        <v xml:space="preserve"> new AppMenuItem("GpsTruckSupplier", "Pages.Master.Inv.GpsTruckSupplier", "flaticon-book",   "/app/main/master/inv/gpstrucksupplier"),</v>
      </c>
      <c r="L75" s="47" t="str">
        <f>B.Frontend!Q10</f>
        <v>{
    path: 'master/inv/gpstrucksupplier',
    loadChildren: () =&gt; import('./master/inv/gpstrucksupplier/gpstrucksupplier.module').then(m =&gt; m.GpsTruckSupplierModule),
    data: { permission: 'Pages.Master.Inv.GpsTruckSupplier' }
},</v>
      </c>
      <c r="M75" s="45" t="str">
        <f>B.Frontend!R10</f>
        <v>ApiServiceProxies.MstInvGpsTruckSupplierServiceProxy,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3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40</v>
      </c>
      <c r="D3" s="9" t="s">
        <v>41</v>
      </c>
      <c r="E3" s="9" t="s">
        <v>36</v>
      </c>
      <c r="F3" s="10" t="str">
        <f>"J"&amp;COUNTA($A:$A)</f>
        <v>J11</v>
      </c>
      <c r="G3" s="4" t="s">
        <v>53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52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MstInvGpsTruckSupplierExportInput{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MstInvGpsTruckSupplier: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MstInvGpsTruckSupplierConsts	
	{
</v>
      </c>
      <c r="F6" s="10" t="str">
        <f>REPT(CHAR(9),1)&amp;"public class "&amp;B3&amp;"Dto"&amp;K3&amp;REPT(CHAR(9),1)&amp;"
"&amp;REPT(CHAR(9),1)&amp;C3</f>
        <v xml:space="preserve">	public class MstInvGpsTruckSupplierDto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CreateOrEditMstInvGpsTruckSupplierDto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GetMstInvGpsTruckSupplierInput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MstInvGpsTruckSupplier</v>
      </c>
      <c r="C7" s="10" t="str">
        <f>REPT(CHAR(9),1)&amp;"[Table("""&amp;B7&amp;""")]"&amp;"
"</f>
        <v xml:space="preserve">	[Table("MstInvGpsTruckSupplier")]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[Table("MstInvGpsTruckSupplier")]
	public class MstInvGpsTruckSupplier: FullAuditedEntity&lt;long&gt;, IEntity&lt;long&gt;	
	{
		public const int MaxTruckNameLength = 20;
		public const int MaxIsActiveLength = 1;
		public virtual int? SupplierId { get; set; }
		[StringLength(MaxTruckNameLength)]
		public virtual string TruckName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DbSet&lt;MstInvGpsTruckSupplier&gt; MstInvGpsTruckSuppliers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prod.Master.Inv
{
	public class MstInvGpsTruckSupplierConsts	
	{
		public const int MaxTruckNameLength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prod.Master.Inv.Dto
{
	public class MstInvGpsTruckSupplierDto : EntityDto&lt;long?&gt;	
	{
		public virtual int? SupplierId { get; set; }
		public virtual string TruckName { get; set; }
		public virtual string IsActive { get; set; }
	}
	public class CreateOrEditMstInvGpsTruckSupplierDto : EntityDto&lt;long?&gt;	
	{
		public virtual int? SupplierId { get; set; }
		[StringLength(MstInvGpsTruckSupplierConsts.MaxTruckNameLength)]
		public virtual string TruckName { get; set; }
		[StringLength(MstInvGpsTruckSupplierConsts.MaxIsActiveLength)]
		public virtual string IsActive { get; set; }
	}
	public class GetMstInvGpsTruckSupplierInput : PagedAndSortedResultRequestDto	
	{
		public virtual string TruckName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perMstInvGpsTruckSupplier = PARENTS.CreateChildPermission(AppPermissions.Pages_Master_Inv_GpsTruckSupplier, L( "MasterInvGpsTruckSupplier"), multiTenancySides: MultiTenancySides.Tenant);
		perMstInvGpsTruckSupplier.CreateChildPermission(AppPermissions.Pages_Master_Inv_GpsTruckSupplier_CreateEdit, L( "MasterInvGpsTruckSupplierCreateEdit"), multiTenancySides: MultiTenancySides.Tenant);
		perMstInvGpsTruckSupplier.CreateChildPermission(AppPermissions.Pages_Master_Inv_GpsTruckSupplier_Delete, L( "MasterInvGpsTruckSupplierDelete"),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Pages_Master_Inv_GpsTruckSupplier = "Pages.Master.Inv.GpsTruckSupplier";
		public const string Pages_Master_Inv_GpsTruckSupplier_CreateEdit = "Pages.Master.Inv.GpsTruckSupplier.CreateEdit";
		public const string Pages_Master_Inv_GpsTruckSupplier_Delete = "Pages.Master.Inv.GpsTruckSupplier.Delete";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IMstInvGpsTruckSupplierAppService : IApplicationService
	{
		Task&lt;PagedResultDto&lt;MstInvGpsTruckSupplierDto&gt;&gt; GetAll(GetMstInvGpsTruckSupplierInput input);
		Task CreateOrEdit(CreateOrEditMstInvGpsTruckSupplierDto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[AbpAuthorize(AppPermissions.Pages_Master_Inv_GpsTruckSupplier)]
    public class MstInvGpsTruckSupplierAppService : vovinaAppServiceBase, IMstInvGpsTruckSupplierAppService
    {
        private readonly IDapperRepository&lt;MstInvGpsTruckSupplier, long&gt; _dapperRepo;
        private readonly IRepository&lt;MstInvGpsTruckSupplier, long&gt; _repo;
        private readonly IMstInvGpsTruckSupplierExcelExporter _calendarListExcelExporter;
        public MstInvGpsTruckSupplierAppService(IRepository&lt;MstInvGpsTruckSupplier,long&gt; repo, 
                                         IDapperRepository&lt;MstInvGpsTruckSupplier,long&gt; dapperRepo,
                                        IMstInvGpsTruckSupplierExcelExporter calendarListExcelExporter
            )
        {
            _repo = repo;
            _dapperRepo = dapperRepo;
            _calendarListExcelExporter = calendarListExcelExporter;
        }
        [AbpAuthorize(AppPermissions.Pages_Master_Inv_GpsTruckSupplier_CreateEdit)]
        public async Task CreateOrEdit(CreateOrEditMstInvGpsTruckSupplierDto input)
        {
            if (input.Id == null) await Create(input);
            else await Update(input);
        }
        //CREATE
        private async Task Create(CreateOrEditMstInvGpsTruckSupplierDto input)
        {          
            var mainObj = ObjectMapper.Map&lt;MstInvGpsTruckSupplier&gt;(input);
            await CurrentUnitOfWork.GetDbContext&lt;vovinaDbContext&gt;().AddAsync(mainObj);
        }
        // EDIT
        private async Task Update(CreateOrEditMstInvGpsTruckSupplierDto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[AbpAuthorize(AppPermissions.Pages_Master_Inv_GpsTruckSupplier_Delete)]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Task&lt;PagedResultDto&lt;MstInvGpsTruckSupplierDto&gt;&gt; GetAll(GetMstInvGpsTruckSupplierInput input)
        {
            var filtered = _repo.GetAll()
				.WhereIf(!string.IsNullOrWhiteSpace(input.TruckName), e =&gt; e.TruckName.Contains(input.TruckName))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MstInvGpsTruckSupplierDto
                        {
							Id = o.Id,
							SupplierId = o.SupplierId,
							TruckName = o.TruckName,
							IsActive = o.IsActive,
                        };
            var totalCount = await filtered.CountAsync();
			var paged = system.PageBy(input);
            return new PagedResultDto&lt;MstInvGpsTruckSupplierDto&gt;(
                totalCount,
                 await paged.ToListAsync()
            );
        }
        public async Task&lt;FileDto&gt; GetGpsTruckSupplierToExcel(MstInvGpsTruckSupplierExportInput input)
        {
            var query = from o in _repo.GetAll()
                        select new MstInvGpsTruckSupplierDto
                        {
							Id = o.Id,
							SupplierId = o.SupplierId,
							TruckName = o.TruckName,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_dapperRepo.ExecuteAsync(MstInvGpsTruckSupplierConsts.SP_MST_WPT_CALENDAR_GENERATE);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prod.Master.Inv.Dto
{
	public class MstInvGpsTruckSupplierExportInput{
		public virtual int? SupplierId { get; set; }
		public virtual string TruckName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IMstInvGpsTruckSupplierExcelExporter : IApplicationService
	{
		FileDto ExportToFile(List&lt;MstInvGpsTruckSupplierDto&gt; mstinvgpstrucksupplier);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MstInvGpsTruckSupplierExcelExporter : NpoiExcelExporterBase, IMstInvGpsTruckSupplierExcelExporter
    {
        public MstInvGpsTruckSupplierExcelExporter(ITempFileCacheManager tempFileCacheManager) : base(tempFileCacheManager) { }
        public FileDto ExportToFile(List&lt;MstInvGpsTruckSupplierDto&gt; gpstrucksupplier)
        {
            return CreateExcelPackage(
				"MasterInvGpsTruckSupplier.xlsx",
				excelPackage =&gt;
				 {
					var sheet = excelPackage.CreateSheet("GpsTruckSupplier");
					AddHeader(
								sheet,
								("SupplierId"),
								("TruckName"),
								("IsActive"),
							   );
					AddObjects(
						 sheet, 1, gpstrucksupplier,                                       
								_ =&gt; _.SupplierId,
								_ =&gt; _.TruckName,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configuration.CreateMap&lt;MstInvGpsTruckSupplierDto, MstInvGpsTruckSupplier&gt;();
  configuration.CreateMap&lt;MstInvGpsTruckSupplier, MstInvGpsTruckSupplierDto&gt;();
  configuration.CreateMap&lt;CreateOrEditMstInvGpsTruckSupplierDto, MstInvGpsTruckSupplier&gt;();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356</v>
      </c>
      <c r="B9" s="28" t="s">
        <v>4</v>
      </c>
      <c r="C9" s="28" t="s">
        <v>1</v>
      </c>
      <c r="D9" t="str">
        <f t="shared" ref="D9" si="0">SUBSTITUTE(PROPER(A9),"_","")</f>
        <v>SupplierId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SupplierId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SupplierId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SupplierId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SupplierId = o.SupplierId,</v>
      </c>
      <c r="T9" s="63" t="str">
        <f t="shared" ref="T9" si="10">REPT(CHAR(9),8)&amp;"("""&amp;D9&amp;"""),"</f>
        <v xml:space="preserve">								("SupplierId"),</v>
      </c>
      <c r="V9" s="64" t="str">
        <f t="shared" ref="V9" si="11">REPT(CHAR(9),8)&amp;"_ =&gt; _."&amp;D9&amp;","</f>
        <v xml:space="preserve">								_ =&gt; _.SupplierId,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357</v>
      </c>
      <c r="B10" s="28" t="s">
        <v>358</v>
      </c>
      <c r="C10" s="28" t="s">
        <v>1</v>
      </c>
      <c r="D10" t="str">
        <f t="shared" ref="D10:D11" si="13">SUBSTITUTE(PROPER(A10),"_","")</f>
        <v>TruckName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MaxTruckNameLength = 20;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[StringLength(MaxTruckNameLength)]
		public virtual string TruckName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TruckName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[StringLength(MstInvGpsTruckSupplierConsts.MaxTruckNameLength)]
		public virtual string TruckName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TruckName { get; set; }
</v>
      </c>
      <c r="P10" t="str">
        <f t="shared" ref="P10:P11" si="22">REPT(CHAR(9),7)&amp;D10&amp;" = o." &amp;D10 &amp;","</f>
        <v xml:space="preserve">							TruckName = o.TruckName,</v>
      </c>
      <c r="T10" s="63" t="str">
        <f t="shared" ref="T10:T11" si="23">REPT(CHAR(9),8)&amp;"("""&amp;D10&amp;"""),"</f>
        <v xml:space="preserve">								("TruckName"),</v>
      </c>
      <c r="V10" s="64" t="str">
        <f t="shared" ref="V10:V11" si="24">REPT(CHAR(9),8)&amp;"_ =&gt; _."&amp;D10&amp;","</f>
        <v xml:space="preserve">								_ =&gt; _.TruckName,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.WhereIf(!string.IsNullOrWhiteSpace(input.TruckName), e =&gt; e.TruckName.Contains(input.TruckName))</v>
      </c>
    </row>
    <row r="11" spans="1:23" customFormat="1" ht="18.75" customHeight="1" x14ac:dyDescent="0.25">
      <c r="A11" s="28" t="s">
        <v>318</v>
      </c>
      <c r="B11" s="28" t="s">
        <v>359</v>
      </c>
      <c r="C11" s="28" t="s">
        <v>1</v>
      </c>
      <c r="D11" t="str">
        <f t="shared" si="13"/>
        <v>IsActive</v>
      </c>
      <c r="E11" t="str">
        <f t="shared" si="14"/>
        <v>nvarchar</v>
      </c>
      <c r="F11" s="6"/>
      <c r="G11" t="str">
        <f t="shared" si="15"/>
        <v>1</v>
      </c>
      <c r="H11" t="str">
        <f>+VLOOKUP(E11,'Data Type Mapping'!A:B,2,)</f>
        <v>string</v>
      </c>
      <c r="I11" t="str">
        <f t="shared" si="16"/>
        <v xml:space="preserve">		public const int MaxIsActiveLength = 1;
</v>
      </c>
      <c r="J11" t="str">
        <f t="shared" si="17"/>
        <v xml:space="preserve">		[StringLength(MaxIsActiveLength)]
		public virtual string IsActive { get; set; }
</v>
      </c>
      <c r="K11" s="6"/>
      <c r="L11" t="str">
        <f t="shared" si="18"/>
        <v/>
      </c>
      <c r="M11" t="str">
        <f t="shared" si="19"/>
        <v xml:space="preserve">		public virtual string IsActive { get; set; }
</v>
      </c>
      <c r="N11" t="str">
        <f t="shared" si="20"/>
        <v xml:space="preserve">		[StringLength(MstInvGpsTruckSupplierConsts.MaxIsActiveLength)]
		public virtual string IsActive { get; set; }
</v>
      </c>
      <c r="O11" t="str">
        <f t="shared" si="21"/>
        <v xml:space="preserve">		public virtual string IsActive { get; set; }
</v>
      </c>
      <c r="P11" t="str">
        <f t="shared" si="22"/>
        <v xml:space="preserve">							IsActive = o.IsActive,</v>
      </c>
      <c r="T11" s="63" t="str">
        <f t="shared" si="23"/>
        <v xml:space="preserve">								("IsActive"),</v>
      </c>
      <c r="V11" s="64" t="str">
        <f t="shared" si="24"/>
        <v xml:space="preserve">								_ =&gt; _.IsActive,</v>
      </c>
      <c r="W11" s="63" t="str">
        <f t="shared" si="25"/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MaxTruckNameLength = 20;
		public const int MaxIsActiveLength = 1;
</v>
      </c>
      <c r="J13" s="30" t="str">
        <f ca="1">TEXTJOIN2("
", TRUE,INDIRECT( $F$1):INDIRECT( $F$3))</f>
        <v xml:space="preserve">		public virtual int? SupplierId { get; set; }
		[StringLength(MaxTruckNameLength)]
		public virtual string TruckName { get; set; }
		[StringLength(MaxIsActiveLength)]
		public virtual string IsActive { get; set; }
</v>
      </c>
      <c r="K13" s="32" t="str">
        <f ca="1">TEXTJOIN2("
", TRUE,INDIRECT( $J$1):INDIRECT( $J$3))</f>
        <v/>
      </c>
      <c r="L13" s="12" t="s">
        <v>56</v>
      </c>
      <c r="M13" s="33" t="str">
        <f ca="1">TEXTJOIN2("
",TRUE,INDIRECT( $L$1):INDIRECT($L$3))</f>
        <v xml:space="preserve">		public virtual int? SupplierId { get; set; }
		public virtual string TruckName { get; set; }
		public virtual string IsActive { get; set; }
</v>
      </c>
      <c r="N13" s="30" t="str">
        <f ca="1">TEXTJOIN2("
",TRUE,INDIRECT( $M$1):INDIRECT($M$3))</f>
        <v xml:space="preserve">		public virtual int? SupplierId { get; set; }
		[StringLength(MstInvGpsTruckSupplierConsts.MaxTruckNameLength)]
		public virtual string TruckName { get; set; }
		[StringLength(MstInvGpsTruckSupplierConsts.MaxIsActiveLength)]
		public virtual string IsActive { get; set; }
</v>
      </c>
      <c r="O13" s="30" t="str">
        <f ca="1">TEXTJOIN2("
",TRUE,INDIRECT( $N$1):INDIRECT($N$3))</f>
        <v xml:space="preserve">		public virtual string TruckName { get; set; }
		public virtual string IsActive { get; set; }
</v>
      </c>
      <c r="P13" s="8" t="str">
        <f ca="1">TEXTJOIN2("
",TRUE,INDIRECT( $O$1):INDIRECT($O$3))</f>
        <v xml:space="preserve">							SupplierId = o.SupplierId,
							TruckName = o.TruckName,
							IsActive = o.IsActive,</v>
      </c>
      <c r="T13" s="8" t="str">
        <f ca="1">TEXTJOIN2("
",TRUE,INDIRECT( $T$2):INDIRECT($T$3))</f>
        <v xml:space="preserve">								("SupplierId"),
								("TruckName"),
								("IsActive"),</v>
      </c>
      <c r="V13" s="8" t="str">
        <f ca="1">TEXTJOIN2("
",TRUE,INDIRECT( $V$2):INDIRECT($V$3))</f>
        <v xml:space="preserve">								_ =&gt; _.SupplierId,
								_ =&gt; _.TruckName,
								_ =&gt; _.IsActive,</v>
      </c>
      <c r="W13" s="8" t="str">
        <f ca="1">TEXTJOIN2("
",TRUE,INDIRECT( $W$2):INDIRECT($W$3))</f>
        <v xml:space="preserve">				.WhereIf(!string.IsNullOrWhiteSpace(input.TruckName), e =&gt; e.TruckName.Contains(input.TruckName))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topLeftCell="A7" workbookViewId="0">
      <selection activeCell="D20" sqref="D2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MstInvGpsTruckSupplier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GpsTruckSupplier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gpstrucksupplier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MstInvGpsTruckSupplierDto, MstInvGpsTruckSupplierServiceProxy } from '@shared/service-proxies/service-proxies';
import { finalize } from 'rxjs/internal/operators/finalize';
import { CreateOrEditGpsTruckSupplierModalComponent } from './create-or-edit-gpstrucksupplier-modal.component';
import { DatePipe } from '@angular/common';
import { FileDownloadService } from '@shared/utils/file-download.service';
import ceil from 'lodash-es/ceil';
import { Paginator } from 'primeng/paginator';
@Component({
    templateUrl: './gpstrucksupplier.component.html',
    styleUrls: ['./gpstrucksupplier.component.less'],
})
export class GpsTruckSupplierComponent extends AppComponentBase implements OnInit {
    @ViewChild('createOrEditModalGpsTruckSupplier', { static: true }) createOrEditModalGpsTruckSupplier:| CreateOrEditGpsTruckSupplierModalComponent|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MstInvGpsTruckSupplierDto = new MstInvGpsTruckSupplierDto();
    saveSelectedRow: MstInvGpsTruckSupplierDto = new MstInvGpsTruckSupplierDto();
    datas: MstInvGpsTruckSupplierDto = new MstInvGpsTruckSupplierDto();
    isLoading: boolean = false;
    dataParams: GridParams | undefined;
    rowData: any[] = [];
    gridApi!: GridApi;
    rowSelection = 'multiple';
    filter: string = '';
	pipe = new DatePipe('en-US');
	frameworkComponents: FrameworkComponent;
    	truckName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MstInvGpsTruckSupplierServiceProxy,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this.l('Truck Name'),headerTooltip: this.l('Truck Name'),field: 'truckName',flex: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truckName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this.supplierId,
			'',
            this.paginationParams.skipCount,
            this.paginationParams.pageSize
        );
    }
    onChangeRowSelection(params: { api: { getSelectedRows: () =&gt; MstInvGpsTruckSupplierDto[] } }) {
        this.saveSelectedRow = params.api.getSelectedRows()[0] ?? new MstInvGpsTruckSupplierDto();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MstInvGpsTruckSupplierDto):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this._service.getGpsTruckSupplierToExcel(
			this.supplierId,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Truck Supplier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[(ngModel)]='truckName' name='truckName'
									class='form-control' [placeholder]="l('Truck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(click)="createOrEditModalGpsTruckSupplier.show()"&gt;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(click)="createOrEditModalGpsTruckSupplier.show(selectedRow)"&gt;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&lt;create-or-edit-gpstrucksupplier-modal
    #createOrEditModalGpsTruckSupplier
    (modalSave)="callBackDataGrid(dataParams)"
    (modalClose)="onChangeRowSelection(dataParams)"
&gt;
&lt;/create-or-edit-gpstrucksupplier-modal&gt;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#createOrEditModalGpsTruckSupplier="bs-modal"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GpsTruckSupplier')}}&lt;/h3&gt;
                    &lt;h3 *ngIf="!rowdata.id"&gt;{{('Create New GpsTruckSupplier')}}&lt;/h3&gt;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title'&gt;Truck Name&lt;/label&gt;
						&lt;input type='text' class='col-md-10 form-control input-text' name='TruckName' [(ngModel)]='rowdata.truckName'&gt;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CreateOrEditMstInvGpsTruckSupplierDto, MstInvGpsTruckSupplierServiceProxy } from '@shared/service-proxies/service-proxies';
import { BsDatepickerDirective } from 'ngx-bootstrap/datepicker';
@Component({
    selector: 'create-or-edit-gpstrucksupplier-modal',
    templateUrl: './create-or-edit-gpstrucksupplier-modal.component.html',
    styleUrls: ['./create-or-edit-gpstrucksupplier-modal.component.less']
    })
export class CreateOrEditGpsTruckSupplierModalComponent extends AppComponentBase {
    @ViewChild('createOrEditModalGpsTruckSupplier',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CreateOrEditMstInvGpsTruckSupplierDto = new CreateOrEditMstInvGpsTruckSupplierDto();
    active: boolean = false;
    saving: boolean = false;
    _isActive: boolean;
    constructor(
        injector: Injector,
        private _mstwptGpsTruckSupplierService: MstInvGpsTruckSupplierServiceProxy,
    ) 
    {
        super(injector);
    }
    show(rowdata?: CreateOrEditMstInvGpsTruckSupplierDto): void {
        if (!rowdata) this.rowdata = new CreateOrEditMstInvGpsTruckSupplierDto();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this._mstwptGpsTruckSupplierService.createOrEdit(this.rowdata)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GpsTruckSupplierRoutingModule } from './gpstrucksupplier-routing.module';
import { GpsTruckSupplierComponent } from './gpstrucksupplier.component';
import { CreateOrEditGpsTruckSupplierModalComponent } from './create-or-edit-gpstrucksupplier-modal.component';
@NgModule({
    declarations: [
       GpsTruckSupplierComponent, 
        CreateOrEditGpsTruckSupplierModalComponent
    ],
    imports: [
        AppSharedModule, GpsTruckSupplierRoutingModule]
})
export class GpsTruckSupplierModule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GpsTruckSupplierComponent } from './gpstrucksupplier.component';
const routes: Routes = [{
    path: '',
    component: GpsTruckSupplierComponent,
    pathMatch: 'full'
}];
@NgModule({
    imports: [RouterModule.forChild(routes)],
    exports: [RouterModule],
})
export class GpsTruckSupplierRoutingModule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AppMenuItem("GpsTruckSupplier", "Pages.Master.Inv.GpsTruckSupplier", "flaticon-book",   "/app/main/master/inv/gpstrucksupplier"),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'master/inv/gpstrucksupplier',
    loadChildren: () =&gt; import('./master/inv/gpstrucksupplier/gpstrucksupplier.module').then(m =&gt; m.GpsTruckSupplierModule),
    data: { permission: 'Pages.Master.Inv.GpsTruckSupplier' }
},</v>
      </c>
      <c r="R10" s="47" t="str">
        <f>SUBSTITUTE(R9,"MstWptCalendar",$B$6)</f>
        <v>ApiServiceProxies.MstInvGpsTruckSupplierServiceProxy,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Id'),headerTooltip: this.l('Supplier Id'),field: 'supplierId',flex: 1},
			{headerName: this.l('Truck Name'),headerTooltip: this.l('Truck Name'),field: 'truckName',flex: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[(ngModel)]='truckName' name='truckName'
									class='form-control' [placeholder]="l('Truck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title'&gt;Truck Name&lt;/label&gt;
						&lt;input type='text' class='col-md-10 form-control input-text' name='TruckName' [(ngModel)]='rowdata.truckName'&gt;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truckName : string = '' ; 
</v>
      </c>
      <c r="T13" s="62" t="str">
        <f ca="1">TEXTJOIN2("
",TRUE,INDIRECT(T11):INDIRECT(T12))</f>
        <v xml:space="preserve">			this.supplierId,
</v>
      </c>
      <c r="U13" s="62" t="str">
        <f ca="1">TEXTJOIN2("
",TRUE,INDIRECT(U11):INDIRECT(U12))</f>
        <v xml:space="preserve">	truckName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gpstrucksupplier.component.ts</v>
      </c>
      <c r="I14" s="37" t="str">
        <f>B8&amp;".component.html"</f>
        <v>gpstrucksupplier.component.html</v>
      </c>
      <c r="J14" s="36" t="str">
        <f>B8&amp;".component.less"</f>
        <v>gpstrucksupplier.component.less</v>
      </c>
      <c r="K14" s="37" t="str">
        <f>"create-or-edit-"&amp;B8&amp;"-modal.component.html"</f>
        <v>create-or-edit-gpstrucksupplier-modal.component.html</v>
      </c>
      <c r="L14" s="37" t="str">
        <f>"create-or-edit-"&amp;B8&amp;"-modal.component.ts"</f>
        <v>create-or-edit-gpstrucksupplier-modal.component.ts</v>
      </c>
      <c r="M14" s="37" t="str">
        <f>"create-or-edit-"&amp;B8&amp;"-modal.component.less"</f>
        <v>create-or-edit-gpstrucksupplier-modal.component.less</v>
      </c>
      <c r="N14" s="37" t="str">
        <f>B8&amp;".module.ts"</f>
        <v>gpstrucksupplier.module.ts</v>
      </c>
      <c r="O14" s="37" t="str">
        <f>B8&amp;"-routing.module.ts"</f>
        <v>gpstrucksupplier-routing.module.ts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356</v>
      </c>
      <c r="B15" s="28" t="str">
        <f t="shared" ref="B15" si="0">SUBSTITUTE(PROPER(A15),"_","")</f>
        <v>SupplierId</v>
      </c>
      <c r="C15" s="28" t="str">
        <f t="shared" ref="C15" si="1">SUBSTITUTE(PROPER(A15),"_"," ")</f>
        <v>Supplier Id</v>
      </c>
      <c r="D15" s="28" t="str">
        <f t="shared" ref="D15" si="2">LOWER(LEFT(B15,1))&amp;RIGHT(B15,LEN(B15) - 1)</f>
        <v>supplierId</v>
      </c>
      <c r="E15" s="28" t="str">
        <f>A.Backend!H9</f>
        <v>int?</v>
      </c>
      <c r="F15" s="28" t="str">
        <f>A.Backend!G9</f>
        <v/>
      </c>
      <c r="G15" s="28" t="str">
        <f t="shared" ref="G15" si="3">IF(E15="string"," : string = '' ; ",IF(OR(E15="DateTime",E15="TimeSpan")," : any ;",IF(E15="int"," : number = 0 ;","")))</f>
        <v/>
      </c>
      <c r="H15" s="35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Id'),headerTooltip: this.l('Supplier Id'),field: 'supplierId',flex: 1},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357</v>
      </c>
      <c r="B16" s="28" t="str">
        <f t="shared" ref="B16:B17" si="8">SUBSTITUTE(PROPER(A16),"_","")</f>
        <v>TruckName</v>
      </c>
      <c r="C16" s="28" t="str">
        <f t="shared" ref="C16:C17" si="9">SUBSTITUTE(PROPER(A16),"_"," ")</f>
        <v>Truck Name</v>
      </c>
      <c r="D16" s="28" t="str">
        <f t="shared" ref="D16:D17" si="10">LOWER(LEFT(B16,1))&amp;RIGHT(B16,LEN(B16) - 1)</f>
        <v>truckName</v>
      </c>
      <c r="E16" s="28" t="str">
        <f>A.Backend!H10</f>
        <v>string</v>
      </c>
      <c r="F16" s="28" t="str">
        <f>A.Backend!G10</f>
        <v>20</v>
      </c>
      <c r="G16" s="28" t="str">
        <f t="shared" ref="G16:G17" si="11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this.l('Truck Name'),headerTooltip: this.l('Truck Name'),field: 'truckName',flex: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[(ngModel)]='truckName' name='truckName'
									class='form-control' [placeholder]="l('Truck Name')"
									type='text' (keyup.enter)='searchDatas()'&gt;
								&lt;/div&gt;</v>
      </c>
      <c r="J16" s="28"/>
      <c r="K16" s="35" t="str">
        <f t="shared" ref="K16:K17" si="12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title'&gt;Truck Name&lt;/label&gt;
						&lt;input type='text' class='col-md-10 form-control input-text' name='TruckName' [(ngModel)]='rowdata.truckName'&gt;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4">IF(AND(E16="string",F16 &lt;&gt;"1"),(REPT(CHAR(9),1)&amp;D16&amp;G16),"")</f>
        <v xml:space="preserve">	truckName : string = '' ; </v>
      </c>
      <c r="T16" s="28" t="str">
        <f>IF(AND(E16="string",F16 &lt;&gt;"1"),(REPT(CHAR(9),3)&amp;"this."&amp;D15&amp;","),"")</f>
        <v xml:space="preserve">			this.supplierId,</v>
      </c>
      <c r="U16" s="28" t="str">
        <f t="shared" ref="U16:U17" si="15">IF(AND(E16="string",F16 &lt;&gt;"1"),(REPT(CHAR(9),1)&amp;D16&amp;G16),"")</f>
        <v xml:space="preserve">	truckName : string = '' ; </v>
      </c>
      <c r="V16" s="28" t="str">
        <f t="shared" ref="V16:V17" si="16">IF(AND(E16="string",F16="1"),D16,"")</f>
        <v/>
      </c>
    </row>
    <row r="17" spans="1:22" ht="18" customHeight="1" x14ac:dyDescent="0.25">
      <c r="A17" s="28" t="s">
        <v>318</v>
      </c>
      <c r="B17" s="28" t="str">
        <f t="shared" si="8"/>
        <v>IsActive</v>
      </c>
      <c r="C17" s="28" t="str">
        <f t="shared" si="9"/>
        <v>Is Active</v>
      </c>
      <c r="D17" s="28" t="str">
        <f t="shared" si="10"/>
        <v>isActive</v>
      </c>
      <c r="E17" s="28" t="str">
        <f>A.Backend!H11</f>
        <v>string</v>
      </c>
      <c r="F17" s="28" t="str">
        <f>A.Backend!G11</f>
        <v>1</v>
      </c>
      <c r="G17" s="28" t="str">
        <f t="shared" si="11"/>
        <v xml:space="preserve"> : string = '' ; </v>
      </c>
      <c r="H17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si="5"/>
        <v/>
      </c>
      <c r="J17" s="28"/>
      <c r="K17" s="35" t="str">
        <f t="shared" si="12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/>
      </c>
      <c r="T17" s="28" t="str">
        <f t="shared" ref="T17" si="17">IF(AND(E17="string",F17 &lt;&gt;"1"),(REPT(CHAR(9),3)&amp;"this."&amp;D16&amp;","),"")</f>
        <v/>
      </c>
      <c r="U17" s="28" t="str">
        <f t="shared" si="15"/>
        <v/>
      </c>
      <c r="V17" s="28" t="str">
        <f t="shared" si="16"/>
        <v>isActive</v>
      </c>
    </row>
    <row r="18" spans="1:22" ht="18" customHeight="1" x14ac:dyDescent="0.25">
      <c r="H18" s="66"/>
      <c r="I18" s="66"/>
      <c r="K18" s="66"/>
      <c r="L18" s="26"/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2023-04-25T03:45:21Z</dcterms:modified>
</cp:coreProperties>
</file>
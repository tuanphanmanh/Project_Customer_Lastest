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sourccode3T\docs\design\master\welding\"/>
    </mc:Choice>
  </mc:AlternateContent>
  <xr:revisionPtr revIDLastSave="0" documentId="13_ncr:1_{F1632FCA-B88B-4061-9B9B-672ED0B0F826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5" l="1"/>
  <c r="D17" i="5"/>
  <c r="D18" i="5"/>
  <c r="D19" i="5"/>
  <c r="D20" i="5"/>
  <c r="D21" i="5"/>
  <c r="D22" i="5"/>
  <c r="D23" i="5"/>
  <c r="G16" i="5"/>
  <c r="G17" i="5"/>
  <c r="G18" i="5"/>
  <c r="G19" i="5"/>
  <c r="G20" i="5"/>
  <c r="G21" i="5"/>
  <c r="G22" i="5"/>
  <c r="G23" i="5"/>
  <c r="F16" i="5"/>
  <c r="F17" i="5"/>
  <c r="F18" i="5"/>
  <c r="F19" i="5"/>
  <c r="F20" i="5"/>
  <c r="F21" i="5"/>
  <c r="F22" i="5"/>
  <c r="F23" i="5"/>
  <c r="E16" i="5"/>
  <c r="E17" i="5"/>
  <c r="E18" i="5"/>
  <c r="E19" i="5"/>
  <c r="E20" i="5"/>
  <c r="E21" i="5"/>
  <c r="E22" i="5"/>
  <c r="E23" i="5"/>
  <c r="C22" i="5" l="1"/>
  <c r="B22" i="5"/>
  <c r="C21" i="5"/>
  <c r="B21" i="5"/>
  <c r="B20" i="5"/>
  <c r="T22" i="5" l="1"/>
  <c r="T20" i="5"/>
  <c r="T21" i="5"/>
  <c r="C20" i="5"/>
  <c r="G16" i="1"/>
  <c r="E16" i="1"/>
  <c r="H16" i="1" s="1"/>
  <c r="D16" i="1"/>
  <c r="V16" i="1" s="1"/>
  <c r="H15" i="1"/>
  <c r="G15" i="1"/>
  <c r="E15" i="1"/>
  <c r="D15" i="1"/>
  <c r="P15" i="1" s="1"/>
  <c r="L14" i="1"/>
  <c r="G14" i="1"/>
  <c r="E14" i="1"/>
  <c r="H14" i="1" s="1"/>
  <c r="V20" i="5" s="1"/>
  <c r="D14" i="1"/>
  <c r="V14" i="1" s="1"/>
  <c r="V22" i="5" l="1"/>
  <c r="L22" i="5"/>
  <c r="S22" i="5"/>
  <c r="K20" i="5"/>
  <c r="L20" i="5"/>
  <c r="U22" i="5"/>
  <c r="I22" i="5"/>
  <c r="S20" i="5"/>
  <c r="H22" i="5"/>
  <c r="T15" i="1"/>
  <c r="K22" i="5"/>
  <c r="H20" i="5"/>
  <c r="N15" i="1"/>
  <c r="V21" i="5"/>
  <c r="U20" i="5"/>
  <c r="I20" i="5"/>
  <c r="P14" i="1"/>
  <c r="P16" i="1"/>
  <c r="N16" i="1"/>
  <c r="I16" i="1"/>
  <c r="W16" i="1"/>
  <c r="J16" i="1"/>
  <c r="M16" i="1"/>
  <c r="O16" i="1"/>
  <c r="N14" i="1"/>
  <c r="I14" i="1"/>
  <c r="W14" i="1"/>
  <c r="O14" i="1"/>
  <c r="J14" i="1"/>
  <c r="M14" i="1"/>
  <c r="M15" i="1"/>
  <c r="T14" i="1"/>
  <c r="J15" i="1"/>
  <c r="O15" i="1"/>
  <c r="W15" i="1"/>
  <c r="T16" i="1"/>
  <c r="I15" i="1"/>
  <c r="V15" i="1"/>
  <c r="I21" i="5" l="1"/>
  <c r="S21" i="5"/>
  <c r="L21" i="5"/>
  <c r="K21" i="5"/>
  <c r="U21" i="5"/>
  <c r="H21" i="5"/>
  <c r="W3" i="1"/>
  <c r="V3" i="1"/>
  <c r="B2" i="5" l="1"/>
  <c r="B3" i="5" s="1"/>
  <c r="B23" i="5"/>
  <c r="C19" i="5"/>
  <c r="B18" i="5"/>
  <c r="L17" i="1"/>
  <c r="G17" i="1"/>
  <c r="E17" i="1"/>
  <c r="H17" i="1" s="1"/>
  <c r="D17" i="1"/>
  <c r="L13" i="1"/>
  <c r="G13" i="1"/>
  <c r="E13" i="1"/>
  <c r="H13" i="1" s="1"/>
  <c r="D13" i="1"/>
  <c r="G12" i="1"/>
  <c r="E12" i="1"/>
  <c r="H12" i="1" s="1"/>
  <c r="D12" i="1"/>
  <c r="T12" i="1" l="1"/>
  <c r="V12" i="1"/>
  <c r="O13" i="1"/>
  <c r="M13" i="1"/>
  <c r="N12" i="1"/>
  <c r="O12" i="1"/>
  <c r="M12" i="1"/>
  <c r="O17" i="1"/>
  <c r="M17" i="1"/>
  <c r="N17" i="1"/>
  <c r="T13" i="1"/>
  <c r="V13" i="1"/>
  <c r="T17" i="1"/>
  <c r="V17" i="1"/>
  <c r="W17" i="1"/>
  <c r="W12" i="1"/>
  <c r="W13" i="1"/>
  <c r="T18" i="5"/>
  <c r="T23" i="5"/>
  <c r="P13" i="1"/>
  <c r="C18" i="5"/>
  <c r="C23" i="5"/>
  <c r="B19" i="5"/>
  <c r="J12" i="1"/>
  <c r="I12" i="1"/>
  <c r="I17" i="1"/>
  <c r="J17" i="1"/>
  <c r="I13" i="1"/>
  <c r="P12" i="1"/>
  <c r="P17" i="1"/>
  <c r="B6" i="5"/>
  <c r="K19" i="5" l="1"/>
  <c r="K23" i="5"/>
  <c r="K18" i="5"/>
  <c r="I19" i="5"/>
  <c r="L19" i="5"/>
  <c r="U19" i="5"/>
  <c r="V19" i="5"/>
  <c r="S23" i="5"/>
  <c r="I23" i="5"/>
  <c r="U23" i="5"/>
  <c r="L23" i="5"/>
  <c r="V23" i="5"/>
  <c r="H23" i="5"/>
  <c r="S18" i="5"/>
  <c r="I18" i="5"/>
  <c r="U18" i="5"/>
  <c r="L18" i="5"/>
  <c r="V18" i="5"/>
  <c r="T19" i="5"/>
  <c r="S19" i="5"/>
  <c r="H18" i="5"/>
  <c r="H19" i="5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9" i="1"/>
  <c r="T12" i="5" l="1"/>
  <c r="H12" i="5"/>
  <c r="V12" i="5"/>
  <c r="I12" i="5"/>
  <c r="L12" i="5"/>
  <c r="U12" i="5"/>
  <c r="K12" i="5"/>
  <c r="S12" i="5"/>
  <c r="T15" i="5"/>
  <c r="C17" i="5"/>
  <c r="B17" i="5"/>
  <c r="C16" i="5"/>
  <c r="B16" i="5"/>
  <c r="T16" i="5" s="1"/>
  <c r="T17" i="5" l="1"/>
  <c r="R3" i="1"/>
  <c r="D1" i="1"/>
  <c r="F6" i="1"/>
  <c r="T13" i="5"/>
  <c r="L11" i="1" l="1"/>
  <c r="G9" i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9" i="1"/>
  <c r="O9" i="1" l="1"/>
  <c r="M9" i="1"/>
  <c r="O11" i="1"/>
  <c r="M11" i="1"/>
  <c r="N11" i="1"/>
  <c r="O10" i="1"/>
  <c r="M10" i="1"/>
  <c r="W11" i="1"/>
  <c r="K17" i="5"/>
  <c r="E15" i="5"/>
  <c r="K15" i="5" s="1"/>
  <c r="W9" i="1"/>
  <c r="W10" i="1"/>
  <c r="K16" i="5"/>
  <c r="T7" i="1"/>
  <c r="I11" i="1"/>
  <c r="I10" i="1"/>
  <c r="I9" i="1"/>
  <c r="W19" i="1"/>
  <c r="S16" i="5" l="1"/>
  <c r="I16" i="5"/>
  <c r="H16" i="5"/>
  <c r="L16" i="5"/>
  <c r="U16" i="5"/>
  <c r="V16" i="5"/>
  <c r="G15" i="5"/>
  <c r="S15" i="5" s="1"/>
  <c r="I15" i="5"/>
  <c r="L15" i="5"/>
  <c r="V15" i="5"/>
  <c r="H15" i="5"/>
  <c r="U15" i="5"/>
  <c r="S17" i="5"/>
  <c r="I17" i="5"/>
  <c r="U17" i="5"/>
  <c r="L17" i="5"/>
  <c r="V17" i="5"/>
  <c r="H17" i="5"/>
  <c r="G6" i="1"/>
  <c r="H13" i="5"/>
  <c r="S13" i="5"/>
  <c r="K13" i="5"/>
  <c r="L13" i="5"/>
  <c r="U13" i="5"/>
  <c r="I13" i="5"/>
  <c r="V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5" i="1" s="1"/>
  <c r="J13" i="1" l="1"/>
  <c r="N13" i="1"/>
  <c r="N10" i="1"/>
  <c r="N9" i="1"/>
  <c r="L12" i="1"/>
  <c r="L16" i="1"/>
  <c r="L9" i="1"/>
  <c r="L10" i="1"/>
  <c r="J11" i="1"/>
  <c r="J9" i="1"/>
  <c r="J10" i="1"/>
  <c r="C7" i="1"/>
  <c r="O19" i="1"/>
  <c r="P19" i="1"/>
  <c r="N19" i="1"/>
  <c r="I19" i="1"/>
  <c r="J19" i="1"/>
  <c r="Q7" i="1" l="1"/>
  <c r="M38" i="3" s="1"/>
  <c r="L7" i="1"/>
  <c r="G38" i="3" s="1"/>
  <c r="K38" i="3"/>
  <c r="J38" i="3"/>
  <c r="K19" i="1"/>
  <c r="M19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<sst xmlns="http://schemas.openxmlformats.org/spreadsheetml/2006/main" count="368" uniqueCount="289">
  <si>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</si>
  <si>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</si>
  <si>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</si>
  <si>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</si>
  <si>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</si>
  <si>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</si>
  <si>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</si>
  <si>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</si>
  <si>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</si>
  <si>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</si>
  <si>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</si>
  <si>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</si>
  <si>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</si>
  <si>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</si>
  <si>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</si>
  <si>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</si>
  <si>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</si>
  <si>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</si>
  <si>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</si>
  <si>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</si>
  <si>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</si>
  <si>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</si>
  <si>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</si>
  <si>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</si>
  <si>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</si>
  <si>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</si>
  <si>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</si>
  <si>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</si>
  <si>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</si>
  <si>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</si>
  <si>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</si>
  <si>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</si>
  <si>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</si>
  <si>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</si>
  <si>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</si>
  <si>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</si>
  <si>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</si>
  <si>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</si>
  <si>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</si>
  <si>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</si>
  <si>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</si>
  <si>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</si>
  <si>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</si>
  <si>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</si>
  <si>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</si>
  <si>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</si>
  <si>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</si>
  <si>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</si>
  <si>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</si>
  <si>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</si>
  <si>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</si>
  <si>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</si>
  <si>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</si>
  <si>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</si>
  <si>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</si>
  <si>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</si>
  <si>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</si>
  <si>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</si>
  <si>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</si>
  <si>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</si>
  <si>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</si>
  <si>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</si>
  <si>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</si>
  <si>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</si>
  <si>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</si>
  <si>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</si>
  <si>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</si>
  <si>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</si>
  <si>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</si>
  <si>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</si>
  <si>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</si>
  <si>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</si>
  <si>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</si>
  <si>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</si>
  <si>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</si>
  <si>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</si>
  <si>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</si>
  <si>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</si>
  <si>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</si>
  <si>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</si>
  <si>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</si>
  <si>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</si>
  <si>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</si>
  <si>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</si>
  <si>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</si>
  <si>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</si>
  <si>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</si>
  <si>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</si>
  <si>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</si>
  <si>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</si>
  <si>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</si>
  <si>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</si>
  <si>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</si>
  <si>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</si>
  <si>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</si>
  <si>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</si>
  <si>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</si>
  <si>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</si>
  <si>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</si>
  <si>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</si>
  <si>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</si>
  <si>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</si>
  <si>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</si>
  <si>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</si>
  <si>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</si>
  <si>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</si>
  <si>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</si>
  <si>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</si>
  <si>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</si>
  <si>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</si>
  <si>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</si>
  <si>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</si>
  <si>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</si>
  <si>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</si>
  <si>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</si>
  <si>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</si>
  <si>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</si>
  <si>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</si>
  <si>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</si>
  <si>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</si>
  <si>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</si>
  <si>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</si>
  <si>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</si>
  <si>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</si>
  <si>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</si>
  <si>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</si>
  <si>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</si>
  <si>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</si>
  <si>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</si>
  <si>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</si>
  <si>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</si>
  <si>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</si>
  <si>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</si>
  <si>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</si>
  <si>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</si>
  <si>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</si>
  <si>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</si>
  <si>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</si>
  <si>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</si>
  <si>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</si>
  <si>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</si>
  <si>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</si>
  <si>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</si>
  <si>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</si>
  <si>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</si>
  <si>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</si>
  <si>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</si>
  <si>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</si>
  <si>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</si>
  <si>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</si>
  <si>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</si>
  <si>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</si>
  <si>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</si>
  <si>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</si>
  <si>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</si>
  <si>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</si>
  <si>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</si>
  <si>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</si>
  <si>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</si>
  <si>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</si>
  <si>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</si>
  <si>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</si>
  <si>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</si>
  <si>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</si>
  <si>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</si>
  <si>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</si>
  <si>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</si>
  <si>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</si>
  <si>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</si>
  <si>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</si>
  <si>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</si>
  <si>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</si>
  <si>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</si>
  <si>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</si>
  <si>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</si>
  <si>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</si>
  <si>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</si>
  <si>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</si>
  <si>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</si>
  <si>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</si>
  <si>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</si>
  <si>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</si>
  <si>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</si>
  <si>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</si>
  <si>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</si>
  <si>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</si>
  <si>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</si>
  <si>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</si>
  <si>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</si>
  <si>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</si>
  <si>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</si>
  <si>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</si>
  <si>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</si>
  <si>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</si>
  <si>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</si>
  <si>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</si>
  <si>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</si>
  <si>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</si>
  <si>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</si>
  <si>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</si>
  <si>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</si>
  <si>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</si>
  <si>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</si>
  <si>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</si>
  <si>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</si>
  <si>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</si>
  <si>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</si>
  <si>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</si>
  <si>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</si>
  <si>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</si>
  <si>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</si>
  <si>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</si>
  <si>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</si>
  <si>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</si>
  <si>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</si>
  <si>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</si>
  <si>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</si>
  <si>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</si>
  <si>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</si>
  <si>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</si>
  <si>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</si>
  <si>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</si>
  <si>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</si>
  <si>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</si>
  <si>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</si>
  <si>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</si>
  <si>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</si>
  <si>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</si>
  <si>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</si>
  <si>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</si>
  <si>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</si>
  <si>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</si>
  <si>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</si>
  <si>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</si>
  <si>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</si>
  <si>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</si>
  <si>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</si>
  <si>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</si>
  <si>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</si>
  <si>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</si>
  <si>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</si>
  <si>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</si>
  <si>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</si>
  <si>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</si>
  <si>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</si>
  <si>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</si>
  <si>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</si>
  <si>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</si>
  <si>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</si>
  <si>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</si>
  <si>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</si>
  <si>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</si>
  <si>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</si>
  <si>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</si>
  <si>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</si>
  <si>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</si>
  <si>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</si>
  <si>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</si>
  <si>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</si>
  <si>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</si>
  <si>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</si>
  <si>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</si>
  <si>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</si>
  <si>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</si>
  <si>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</si>
  <si>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</si>
  <si>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</si>
  <si>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</si>
  <si>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</si>
  <si>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</si>
  <si>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</si>
  <si>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</si>
  <si>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PROCESS_SEQ</t>
  </si>
  <si>
    <t>PROCESS_CODE</t>
  </si>
  <si>
    <t>varchar(50)</t>
  </si>
  <si>
    <t>PROCESS_NAME</t>
  </si>
  <si>
    <t>nvarchar(1000)</t>
  </si>
  <si>
    <t>PROCESS_DESC</t>
  </si>
  <si>
    <t>PROCESS_GROUP</t>
  </si>
  <si>
    <t>GROUP_NAME</t>
  </si>
  <si>
    <t>varchar(100)</t>
  </si>
  <si>
    <t>PROCESS_SUBGROUP</t>
  </si>
  <si>
    <t>SUBGROUP_NAME</t>
  </si>
  <si>
    <t>IS_ACTIVE</t>
  </si>
  <si>
    <t>varchar(1)</t>
  </si>
  <si>
    <t>Master.Welding</t>
  </si>
  <si>
    <t>MstWldProcess</t>
  </si>
  <si>
    <t>Process</t>
  </si>
  <si>
    <t>Master Welding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</si>
</sst>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26" workbookViewId="0">
      <selection activeCell="G31" sqref="G31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235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235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232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228</v>
      </c>
    </row>
    <row r="38" spans="1:14" s="16" customFormat="1" ht="21.75" customHeight="1" thickBot="1" x14ac:dyDescent="0.3">
      <c r="B38" s="52" t="s">
        <v>227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vovina.Master.Welding
{
	[Table("MstWldProcess")]
	[Index(nameof(ProcessSeq), Name="IX_MstWldProcess_ProcessSeq")]
	[Index(nameof(ProcessCode), Name="IX_MstWldProcess_ProcessCode")]
	[Index(nameof(ProcessSubgroup), Name="IX_MstWldProcess_ProcessSubgroup")]
	[Index(nameof(SubgroupName), Name="IX_MstWldProcess_SubgroupName")]
	public class MstWldProcess: FullAuditedEntity&lt;long&gt;, IEntity&lt;long&gt;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[Required]
		public virtual int ProcessSeq { get; set; }
		[Required]
		[StringLength(MaxProcessCodeLength)]
		public virtual string ProcessCode { get; set; }
		[Column(TypeName="nvarchar")]
		[StringLength(MaxProcessNameLength)]
		public virtual string ProcessName { get; set; }
		[Column(TypeName="nvarchar")]
		[StringLength(MaxProcessDescLength)]
		public virtual string ProcessDesc { get; set; }
		[Required]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[StringLength(MaxIsActiveLength)]
		public virtual string IsActive { get; set; }
	}
}
</v>
      </c>
      <c r="D38" s="51" t="str">
        <f>A.Backend!O7</f>
        <v xml:space="preserve">		public const string Pages_Master_Welding_Process = "Pages.Master.Welding.Process";
		public const string Pages_Master_Welding_Process_CreateEdit = "Pages.Master.Welding.Process.CreateEdit";
		public const string Pages_Master_Welding_Process_Delete = "Pages.Master.Welding.Process.Delete";
</v>
      </c>
      <c r="E38" s="51" t="str">
        <f>A.Backend!N7</f>
        <v xml:space="preserve">		var perMstWldProcess = PARENTS.CreateChildPermission(AppPermissions.Pages_Master_Welding_Process, L( "MasterWeldingProcess"));
		perMstWldProcess.CreateChildPermission(AppPermissions.Pages_Master_Welding_Process_CreateEdit, L( "MasterWeldingProcessCreateEdit"));
		perMstWldProcess.CreateChildPermission(AppPermissions.Pages_Master_Welding_Process_Delete, L( "MasterWeldingProcessDelete"));</v>
      </c>
      <c r="F38" s="51" t="str">
        <f>A.Backend!K7</f>
        <v>public virtual DbSet&lt;MstWldProcess&gt; MstWldProcesss { get; set; }</v>
      </c>
      <c r="G38" s="51" t="str">
        <f ca="1">A.Backend!L7</f>
        <v xml:space="preserve">namespace vovina.Master.Welding
{
	public class MstWldProcessConsts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vovina.Master.Welding.Dto
{
	public class MstWldProcessDto : EntityDto&lt;long?&gt;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	public class CreateOrEditMstWldProcessDto : EntityDto&lt;long?&gt;	
	{
		[Required]
		public virtual int ProcessSeq { get; set; }
		[Required]
		[StringLength(MstWldProcessConsts.MaxProcessCodeLength)]
		public virtual string ProcessCode { get; set; }
		[StringLength(MstWldProcessConsts.MaxProcessNameLength)]
		public virtual string ProcessName { get; set; }
		[StringLength(MstWldProcessConsts.MaxProcessDescLength)]
		public virtual string ProcessDesc { get; set; }
		[Required]
		public virtual int ProcessGroup { get; set; }
		[StringLength(MstWldProcessConsts.MaxGroupNameLength)]
		public virtual string GroupName { get; set; }
		public virtual int ProcessSubgroup { get; set; }
		[StringLength(MstWldProcessConsts.MaxSubgroupNameLength)]
		public virtual string SubgroupName { get; set; }
		[StringLength(MstWldProcessConsts.MaxIsActiveLength)]
		public virtual string IsActive { get; set; }
	}
	public class GetMstWldProcessInput : PagedAndSortedResultRequestDto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vovina.Master.Welding.Dto
{
	public class MstWldProcessExportInput{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vovina.Master.Welding.Dto;
namespace vovina.Master.Welding
{
	public interface IMstWldProcessAppService : IApplicationService
	{
		Task&lt;PagedResultDto&lt;MstWldProcessDto&gt;&gt; GetAll(GetMstWldProcessInput input);
		Task CreateOrEdit(CreateOrEditMstWldProcessDto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vovina.Master.Welding.Dto;
namespace vovina.Master.Welding.Exporting
{
	public interface IMstWldProcessExcelExporter : IApplicationService
	{
		FileDto ExportToFile(List&lt;MstWldProcessDto&gt; mstwldprocess);
	}
}
</v>
      </c>
      <c r="L38" s="51" t="str">
        <f ca="1">A.Backend!T7</f>
        <v>using System.Collections.Generic;
using vovina.DataExporting.Excel.NPOI;
using vovina.Dto;
using vovina.Master.Welding.Exporting;
using vovina.Master.Welding.Dto;
using vovina.Storage;
using vovina.Master.Welding.Dto;
namespace vovina.Master.Welding.Exporting
{
    public class MstWldProcessExcelExporter : NpoiExcelExporterBase, IMstWldProcessExcelExporter
    {
        public MstWldProcessExcelExporter(ITempFileCacheManager tempFileCacheManager) : base(tempFileCacheManager) { }
        public FileDto ExportToFile(List&lt;MstWldProcessDto&gt; process)
        {
            return CreateExcelPackage(
				"MasterWeldingProcess.xlsx",
				excelPackage =&gt;
				 {
					var sheet = excelPackage.CreateSheet("Process");
					AddHeader(
								sheet,
								("ProcessSeq"),
								("ProcessCode"),
								("ProcessName"),
								("ProcessDesc"),
								("ProcessGroup"),
								("GroupName"),
								("ProcessSubgroup"),
								("SubgroupName"),
								("IsActive"),
							   );
					AddObjects(
						 sheet, 1, process,                                       
								_ =&gt; _.ProcessSeq,
								_ =&gt; _.ProcessCode,
								_ =&gt; _.ProcessName,
								_ =&gt; _.ProcessDesc,
								_ =&gt; _.ProcessGroup,
								_ =&gt; _.GroupName,
								_ =&gt; _.ProcessSubgroup,
								_ =&gt; _.SubgroupName,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vovina.Master.Welding.Dto;
using vovina.Master.Welding.Exporting;
namespace vovina.Master.Welding
{
    [AbpAuthorize(AppPermissions.Pages_Master_Welding_Process)]
    public class MstWldProcessAppService : vovinaAppServiceBase, IMstWldProcessAppService
    {
        private readonly IDapperRepository&lt;MstWldProcess, long&gt; _dapperRepo;
        private readonly IRepository&lt;MstWldProcess, long&gt; _repo;
        private readonly IMstWldProcessExcelExporter _calendarListExcelExporter;
        public MstWldProcessAppService(IRepository&lt;MstWldProcess,long&gt; repo, 
                                         IDapperRepository&lt;MstWldProcess,long&gt; dapperRepo,
                                        IMstWldProcessExcelExporter calendarListExcelExporter
            )
        {
            _repo = repo;
            _dapperRepo = dapperRepo;
            _calendarListExcelExporter = calendarListExcelExporter;
        }
        [AbpAuthorize(AppPermissions.Pages_Master_Welding_Process_CreateEdit)]
        public async Task CreateOrEdit(CreateOrEditMstWldProcessDto input)
        {
            if (input.Id == null) await Create(input);
            else await Update(input);
        }
        //CREATE
        private async Task Create(CreateOrEditMstWldProcessDto input)
        {          
            var mainObj = ObjectMapper.Map&lt;MstWldProcess&gt;(input);
            await CurrentUnitOfWork.GetDbContext&lt;vovinaDbContext&gt;().AddAsync(mainObj);
        }
        // EDIT
        private async Task Update(CreateOrEditMstWldProcessDto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[AbpAuthorize(AppPermissions.Pages_Master_Welding_Process_Delete)]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Task&lt;PagedResultDto&lt;MstWldProcessDto&gt;&gt; GetAll(GetMstWldProcessInput input)
        {
            var filtered = _repo.GetAll()
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MstWldProcessDto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totalCount = await filtered.CountAsync();
			var paged = system.PageBy(input);
            return new PagedResultDto&lt;MstWldProcessDto&gt;(
                totalCount,
                 await paged.ToListAsync()
            );
        }
        public async Task&lt;FileDto&gt; GetProcessToExcel(MstWldProcessExportInput input)
        {
            var query = from o in _repo.GetAll()
                        select new MstWldProcessDto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_dapperRepo.ExecuteAsync(MstWldProcessConsts.SP_MST_WPT_CALENDAR_GENERATE);
       // }
    }
}</v>
      </c>
      <c r="N38" s="62" t="str">
        <f>A.Backend!U7</f>
        <v xml:space="preserve">  configuration.CreateMap&lt;MstWldProcessDto, MstWldProcess&gt;();
  configuration.CreateMap&lt;MstWldProcess, MstWldProcessDto&gt;();
  configuration.CreateMap&lt;CreateOrEditMstWldProcessDto, MstWldProcess&gt;();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process</v>
      </c>
      <c r="C43" s="72" t="str">
        <f>"create folder " &amp;B43</f>
        <v>create folder process</v>
      </c>
      <c r="D43" s="72"/>
      <c r="E43" s="72"/>
      <c r="F43" s="72"/>
      <c r="G43" s="72"/>
      <c r="H43" s="72"/>
      <c r="I43" s="72"/>
      <c r="J43" s="72"/>
      <c r="K43" s="73" t="s">
        <v>229</v>
      </c>
      <c r="L43" s="73"/>
      <c r="M43" s="31"/>
    </row>
    <row r="44" spans="1:14" s="28" customFormat="1" ht="18" customHeight="1" x14ac:dyDescent="0.25">
      <c r="B44" s="60" t="s">
        <v>230</v>
      </c>
      <c r="C44" s="31" t="str">
        <f>B.Frontend!H14</f>
        <v>process.component.ts</v>
      </c>
      <c r="D44" s="31" t="str">
        <f>B.Frontend!I14</f>
        <v>process.component.html</v>
      </c>
      <c r="E44" s="31" t="str">
        <f>B.Frontend!J14</f>
        <v>process.component.less</v>
      </c>
      <c r="F44" s="31" t="str">
        <f>B.Frontend!K14</f>
        <v>create-or-edit-process-modal.component.html</v>
      </c>
      <c r="G44" s="31" t="str">
        <f>B.Frontend!L14</f>
        <v>create-or-edit-process-modal.component.ts</v>
      </c>
      <c r="H44" s="31" t="str">
        <f>B.Frontend!M14</f>
        <v>create-or-edit-process-modal.component.less</v>
      </c>
      <c r="I44" s="31" t="str">
        <f>B.Frontend!N14</f>
        <v>process.module.ts</v>
      </c>
      <c r="J44" s="31" t="str">
        <f>B.Frontend!O14</f>
        <v>process-routing.module.ts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233</v>
      </c>
    </row>
    <row r="45" spans="1:14" ht="21.75" customHeight="1" x14ac:dyDescent="0.25">
      <c r="B45" s="61" t="s">
        <v>227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MstWldProcessDto, MstWldProcessServiceProxy } from '@shared/service-proxies/service-proxies';
import { finalize } from 'rxjs/internal/operators/finalize';
import { CreateOrEditProcessModalComponent } from './create-or-edit-process-modal.component';
import { DatePipe } from '@angular/common';
import { FileDownloadService } from '@shared/utils/file-download.service';
import ceil from 'lodash-es/ceil';
import { Paginator } from 'primeng/paginator';
@Component({
    templateUrl: './process.component.html',
    styleUrls: ['./process.component.less'],
})
export class ProcessComponent extends AppComponentBase implements OnInit {
    @ViewChild('createOrEditModalProcess', { static: true }) createOrEditModalProcess:| CreateOrEditProcessModalComponent|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MstWldProcessDto = new MstWldProcessDto();
    saveSelectedRow: MstWldProcessDto = new MstWldProcessDto();
    datas: MstWldProcessDto = new MstWldProcessDto();
    isLoading: boolean = false;
    dataParams: GridParams | undefined;
    rowData: any[] = [];
    gridApi!: GridApi;
    rowSelection = 'multiple';
    filter: string = '';
	pipe = new DatePipe('en-US');
    processSeq : number = 0 ;
	processCode : string = '' ; 
	processName : string = '' ; 
	processDesc : string = '' ; 
	processGroup : number = 0 ;
	groupName : string = '' ; 
	processSubgroup : number = 0 ;
	subgroupName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MstWldProcessServiceProxy,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this.processSeq = 0,
		this.processCode = '',
		this.processName = '',
		this.processDesc = '',
		this.processGroup = 0,
		this.groupName = '',
		this.processSubgroup = 0,
		this.subgroupName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);
    }
    onChangeRowSelection(params: { api: { getSelectedRows: () =&gt; MstWldProcessDto[] } }) {
        this.saveSelectedRow = params.api.getSelectedRows()[0] ?? new MstWldProcessDto();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MstWldProcessDto):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this._service.getProcessToExcel(
			this.processSeq,
			this.processCode,
			this.processName,
			this.processDesc,
			this.processGroup,
			this.groupName,
			this.processSubgroup,
			this.subgroupName,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Welding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&lt;create-or-edit-process-modal
    #createOrEditModalProcess
    (modalSave)="callBackDataGrid(dataParams)"
    (modalClose)="onChangeRowSelection(dataParams)"
&gt;
&lt;/create-or-edit-process-modal&gt;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Process')}}&lt;/h3&gt;
                    &lt;h3 *ngIf="!rowdata.id"&gt;{{('Create New 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CreateOrEditMstWldProcessDto, MstWldProcessServiceProxy } from '@shared/service-proxies/service-proxies';
import { BsDatepickerDirective } from 'ngx-bootstrap/datepicker';
@Component({
    selector: 'create-or-edit-process-modal',
    templateUrl: './create-or-edit-process-modal.component.html',
    styleUrls: ['./create-or-edit-process-modal.component.less']
    })
export class CreateOrEditProcessModalComponent extends AppComponentBase {
    @ViewChild('createOrEditModalProcess',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CreateOrEditMstWldProcessDto = new CreateOrEditMstWldProcessDto();
    active: boolean = false;
    saving: boolean = false;
    _isActive: boolean;
    constructor(
        injector: Injector,
        private _mstwptProcessService: MstWldProcessServiceProxy,
    ) 
    {
        super(injector);
    }
    show(rowdata?: CreateOrEditMstWldProcessDto): void {
        if (!rowdata) this.rowdata = new CreateOrEditMstWldProcessDto();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ProcessRoutingModule } from './process-routing.module';
import { ProcessComponent } from './process.component';
import { CreateOrEditProcessModalComponent } from './create-or-edit-process-modal.component';
@NgModule({
    declarations: [
       ProcessComponent, 
        CreateOrEditProcessModalComponent
    ],
    imports: [
        AppSharedModule, ProcessRoutingModule]
})
export class ProcessModule {}</v>
      </c>
      <c r="J45" s="49" t="str">
        <f>B.Frontend!O10</f>
        <v>import {NgModule} from '@angular/core';
import {RouterModule, Routes} from '@angular/router';
import { ProcessComponent } from './process.component';
const routes: Routes = [{
    path: '',
    component: ProcessComponent,
    pathMatch: 'full'
}];
@NgModule({
    imports: [RouterModule.forChild(routes)],
    exports: [RouterModule],
})
export class ProcessRoutingModule {}</v>
      </c>
      <c r="K45" s="49" t="str">
        <f>B.Frontend!P10</f>
        <v xml:space="preserve"> new AppMenuItem("Process", "Pages.Master.Welding.Process", "flaticon-book",   "/app/main/master/welding/process"),</v>
      </c>
      <c r="L45" s="50" t="str">
        <f>B.Frontend!Q10</f>
        <v>{
    path: 'master/welding/process',
    loadChildren: () =&gt; import('./master/welding/process/process.module').then(m =&gt; m.ProcessModule),
    data: { permission: 'Pages.Master.Welding.Process' }
},</v>
      </c>
      <c r="M45" s="48" t="str">
        <f>B.Frontend!R10</f>
        <v>ApiServiceProxies.MstWldProcessServiceProxy,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9"/>
  <sheetViews>
    <sheetView workbookViewId="0">
      <pane xSplit="1" topLeftCell="B1" activePane="topRight" state="frozen"/>
      <selection pane="topRight" activeCell="K9" sqref="K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vovina.Master.Welding.Dto;</v>
      </c>
      <c r="E1" s="10" t="s">
        <v>269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260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285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286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Welding</v>
      </c>
      <c r="R3" s="32" t="str">
        <f>REPT(CHAR(9),1)&amp;"public class "&amp;B3&amp;"ExportInput"&amp;C3</f>
        <v xml:space="preserve">	public class MstWldProcessExportInput{
</v>
      </c>
      <c r="S3" s="11" t="str">
        <f>"namespace "&amp;$B$6&amp;".Exporting
"&amp;$C$3</f>
        <v xml:space="preserve">namespace vovina.Master.Welding.Exporting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238</v>
      </c>
      <c r="B4" s="64" t="s">
        <v>89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287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vovina.Master.Welding</v>
      </c>
      <c r="C6" s="11" t="str">
        <f>"namespace "&amp;$B$6&amp;"
"&amp;$C$3</f>
        <v xml:space="preserve">namespace vovina.Master.Welding
{
</v>
      </c>
      <c r="D6" s="11" t="str">
        <f>REPT(CHAR(9),1)&amp;"public class "&amp;B3&amp;G3&amp;REPT(CHAR(9),1)&amp;"
"&amp;REPT(CHAR(9),1)&amp;C3</f>
        <v xml:space="preserve">	public class MstWldProcess: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MstWldProcessConsts	
	{
</v>
      </c>
      <c r="F6" s="11" t="str">
        <f>REPT(CHAR(9),1)&amp;"public class "&amp;B3&amp;"Dto"&amp;K3&amp;REPT(CHAR(9),1)&amp;"
"&amp;REPT(CHAR(9),1)&amp;C3</f>
        <v xml:space="preserve">	public class MstWldProcessDto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CreateOrEditMstWldProcessDto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GetMstWldProcessInput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MstWldProcess</v>
      </c>
      <c r="C7" s="11" t="str">
        <f>REPT(CHAR(9),1)&amp;"[Table("""&amp;B7&amp;""")]"&amp;"
"</f>
        <v xml:space="preserve">	[Table("MstWldProcess")]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vovina.Master.Welding
{
	[Table("MstWldProcess")]
	[Index(nameof(ProcessSeq), Name="IX_MstWldProcess_ProcessSeq")]
	[Index(nameof(ProcessCode), Name="IX_MstWldProcess_ProcessCode")]
	[Index(nameof(ProcessSubgroup), Name="IX_MstWldProcess_ProcessSubgroup")]
	[Index(nameof(SubgroupName), Name="IX_MstWldProcess_SubgroupName")]
	public class MstWldProcess: FullAuditedEntity&lt;long&gt;, IEntity&lt;long&gt;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[Required]
		public virtual int ProcessSeq { get; set; }
		[Required]
		[StringLength(MaxProcessCodeLength)]
		public virtual string ProcessCode { get; set; }
		[Column(TypeName="nvarchar")]
		[StringLength(MaxProcessNameLength)]
		public virtual string ProcessName { get; set; }
		[Column(TypeName="nvarchar")]
		[StringLength(MaxProcessDescLength)]
		public virtual string ProcessDesc { get; set; }
		[Required]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DbSet&lt;MstWldProcess&gt; MstWldProcesss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vovina.Master.Welding
{
	public class MstWldProcessConsts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vovina.Master.Welding.Dto
{
	public class MstWldProcessDto : EntityDto&lt;long?&gt;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	public class CreateOrEditMstWldProcessDto : EntityDto&lt;long?&gt;	
	{
		[Required]
		public virtual int ProcessSeq { get; set; }
		[Required]
		[StringLength(MstWldProcessConsts.MaxProcessCodeLength)]
		public virtual string ProcessCode { get; set; }
		[StringLength(MstWldProcessConsts.MaxProcessNameLength)]
		public virtual string ProcessName { get; set; }
		[StringLength(MstWldProcessConsts.MaxProcessDescLength)]
		public virtual string ProcessDesc { get; set; }
		[Required]
		public virtual int ProcessGroup { get; set; }
		[StringLength(MstWldProcessConsts.MaxGroupNameLength)]
		public virtual string GroupName { get; set; }
		public virtual int ProcessSubgroup { get; set; }
		[StringLength(MstWldProcessConsts.MaxSubgroupNameLength)]
		public virtual string SubgroupName { get; set; }
		[StringLength(MstWldProcessConsts.MaxIsActiveLength)]
		public virtual string IsActive { get; set; }
	}
	public class GetMstWldProcessInput : PagedAndSortedResultRequestDto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perMstWldProcess = PARENTS.CreateChildPermission(AppPermissions.Pages_Master_Welding_Process, L( "MasterWeldingProcess"));
		perMstWldProcess.CreateChildPermission(AppPermissions.Pages_Master_Welding_Process_CreateEdit, L( "MasterWeldingProcessCreateEdit"));
		perMstWldProcess.CreateChildPermission(AppPermissions.Pages_Master_Welding_Process_Delete, L( "MasterWeldingProcessDelete"));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Pages_Master_Welding_Process = "Pages.Master.Welding.Process";
		public const string Pages_Master_Welding_Process_CreateEdit = "Pages.Master.Welding.Process.CreateEdit";
		public const string Pages_Master_Welding_Process_Delete = "Pages.Master.Welding.Process.Delete";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vovina.Master.Welding.Dto;
namespace vovina.Master.Welding
{
	public interface IMstWldProcessAppService : IApplicationService
	{
		Task&lt;PagedResultDto&lt;MstWldProcessDto&gt;&gt; GetAll(GetMstWldProcessInput input);
		Task CreateOrEdit(CreateOrEditMstWldProcessDto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vovina.Master.Welding.Dto;
using vovina.Master.Welding.Exporting;
namespace vovina.Master.Welding
{
    [AbpAuthorize(AppPermissions.Pages_Master_Welding_Process)]
    public class MstWldProcessAppService : vovinaAppServiceBase, IMstWldProcessAppService
    {
        private readonly IDapperRepository&lt;MstWldProcess, long&gt; _dapperRepo;
        private readonly IRepository&lt;MstWldProcess, long&gt; _repo;
        private readonly IMstWldProcessExcelExporter _calendarListExcelExporter;
        public MstWldProcessAppService(IRepository&lt;MstWldProcess,long&gt; repo, 
                                         IDapperRepository&lt;MstWldProcess,long&gt; dapperRepo,
                                        IMstWldProcessExcelExporter calendarListExcelExporter
            )
        {
            _repo = repo;
            _dapperRepo = dapperRepo;
            _calendarListExcelExporter = calendarListExcelExporter;
        }
        [AbpAuthorize(AppPermissions.Pages_Master_Welding_Process_CreateEdit)]
        public async Task CreateOrEdit(CreateOrEditMstWldProcessDto input)
        {
            if (input.Id == null) await Create(input);
            else await Update(input);
        }
        //CREATE
        private async Task Create(CreateOrEditMstWldProcessDto input)
        {          
            var mainObj = ObjectMapper.Map&lt;MstWldProcess&gt;(input);
            await CurrentUnitOfWork.GetDbContext&lt;vovinaDbContext&gt;().AddAsync(mainObj);
        }
        // EDIT
        private async Task Update(CreateOrEditMstWldProcessDto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[AbpAuthorize(AppPermissions.Pages_Master_Welding_Process_Delete)]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Task&lt;PagedResultDto&lt;MstWldProcessDto&gt;&gt; GetAll(GetMstWldProcessInput input)
        {
            var filtered = _repo.GetAll()
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MstWldProcessDto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totalCount = await filtered.CountAsync();
			var paged = system.PageBy(input);
            return new PagedResultDto&lt;MstWldProcessDto&gt;(
                totalCount,
                 await paged.ToListAsync()
            );
        }
        public async Task&lt;FileDto&gt; GetProcessToExcel(MstWldProcessExportInput input)
        {
            var query = from o in _repo.GetAll()
                        select new MstWldProcessDto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_dapperRepo.ExecuteAsync(MstWldProcessConsts.SP_MST_WPT_CALENDAR_GENERATE);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vovina.Master.Welding.Dto
{
	public class MstWldProcessExportInput{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vovina.Master.Welding.Dto;
namespace vovina.Master.Welding.Exporting
{
	public interface IMstWldProcessExcelExporter : IApplicationService
	{
		FileDto ExportToFile(List&lt;MstWldProcessDto&gt; mstwldprocess);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vovina.Master.Welding.Exporting;
using vovina.Master.Welding.Dto;
using vovina.Storage;
using vovina.Master.Welding.Dto;
namespace vovina.Master.Welding.Exporting
{
    public class MstWldProcessExcelExporter : NpoiExcelExporterBase, IMstWldProcessExcelExporter
    {
        public MstWldProcessExcelExporter(ITempFileCacheManager tempFileCacheManager) : base(tempFileCacheManager) { }
        public FileDto ExportToFile(List&lt;MstWldProcessDto&gt; process)
        {
            return CreateExcelPackage(
				"MasterWeldingProcess.xlsx",
				excelPackage =&gt;
				 {
					var sheet = excelPackage.CreateSheet("Process");
					AddHeader(
								sheet,
								("ProcessSeq"),
								("ProcessCode"),
								("ProcessName"),
								("ProcessDesc"),
								("ProcessGroup"),
								("GroupName"),
								("ProcessSubgroup"),
								("SubgroupName"),
								("IsActive"),
							   );
					AddObjects(
						 sheet, 1, process,                                       
								_ =&gt; _.ProcessSeq,
								_ =&gt; _.ProcessCode,
								_ =&gt; _.ProcessName,
								_ =&gt; _.ProcessDesc,
								_ =&gt; _.ProcessGroup,
								_ =&gt; _.GroupName,
								_ =&gt; _.ProcessSubgroup,
								_ =&gt; _.SubgroupName,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configuration.CreateMap&lt;MstWldProcessDto, MstWldProcess&gt;();
  configuration.CreateMap&lt;MstWldProcess, MstWldProcessDto&gt;();
  configuration.CreateMap&lt;CreateOrEditMstWldProcessDto, MstWldProcess&gt;();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272</v>
      </c>
      <c r="B9" t="s">
        <v>4</v>
      </c>
      <c r="C9" t="s">
        <v>80</v>
      </c>
      <c r="D9" t="str">
        <f>SUBSTITUTE(PROPER(A9),"_","")</f>
        <v>ProcessSeq</v>
      </c>
      <c r="E9" t="str">
        <f t="shared" ref="E9:E11" si="0">IFERROR(LEFT(B9, FIND("(",B9)-1),B9)</f>
        <v>int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int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public virtual int ProcessSeq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[Index(nameof(ProcessSeq), Name="IX_MstWldProcess_ProcessSeq")]</v>
      </c>
      <c r="M9" t="str">
        <f>REPT(CHAR(9),2)&amp;"public virtual "&amp;IF(OR(H9="DateTime",H9="TimeSpan"),H9&amp;"?",H9)&amp;IF(C9="?","? "," ")&amp;D9&amp;" { get; set; }" &amp; "
"</f>
        <v xml:space="preserve">		public virtual int ProcessSeq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public virtual int ProcessSeq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ProcessSeq { get; set; }
</v>
      </c>
      <c r="P9" t="str">
        <f t="shared" ref="P9:P11" si="4">REPT(CHAR(9),7)&amp;D9&amp;" = o." &amp;D9 &amp;","</f>
        <v xml:space="preserve">							ProcessSeq = o.ProcessSeq,</v>
      </c>
      <c r="T9" s="69" t="str">
        <f>REPT(CHAR(9),8)&amp;"("""&amp;D9&amp;"""),"</f>
        <v xml:space="preserve">								("ProcessSeq"),</v>
      </c>
      <c r="V9" s="70" t="str">
        <f>REPT(CHAR(9),8)&amp;"_ =&gt; _."&amp;D9&amp;","</f>
        <v xml:space="preserve">								_ =&gt; _.ProcessSeq,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273</v>
      </c>
      <c r="B10" t="s">
        <v>274</v>
      </c>
      <c r="C10" t="s">
        <v>80</v>
      </c>
      <c r="D10" t="str">
        <f t="shared" ref="D10:D11" si="5">SUBSTITUTE(PROPER(A10),"_","")</f>
        <v>ProcessCode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MaxProcessCodeLength = 50;
</v>
      </c>
      <c r="J10" t="str">
        <f t="shared" si="3"/>
        <v xml:space="preserve">		[Required]
		[StringLength(MaxProcessCodeLength)]
		public virtual string ProcessCode { get; set; }
</v>
      </c>
      <c r="K10" s="7" t="s">
        <v>207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[Index(nameof(ProcessCode), Name="IX_MstWldProcess_ProcessCode")]</v>
      </c>
      <c r="M10" t="str">
        <f t="shared" ref="M10:M17" si="7">REPT(CHAR(9),2)&amp;"public virtual "&amp;IF(OR(H10="DateTime",H10="TimeSpan"),H10&amp;"?",H10)&amp;IF(C10="?","? "," ")&amp;D10&amp;" { get; set; }" &amp; "
"</f>
        <v xml:space="preserve">		public virtual string ProcessCode { get; set; }
</v>
      </c>
      <c r="N10" t="str">
        <f t="shared" ref="N10:N17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[StringLength(MstWldProcessConsts.MaxProcessCodeLength)]
		public virtual string ProcessCode { get; set; }
</v>
      </c>
      <c r="O10" t="str">
        <f t="shared" ref="O10:O17" si="9">IF(OR(H10="string",H10="DateTime",H10="int"),REPT(CHAR(9),2)&amp;"public virtual "&amp;IF(OR(H10="DateTime",H10="TimeSpan"),H10&amp;"?",H10)&amp;IF(C10="?","? "," ")&amp;D10&amp;" { get; set; }"&amp;$E$3,"")</f>
        <v xml:space="preserve">		public virtual string ProcessCode { get; set; }
</v>
      </c>
      <c r="P10" t="str">
        <f t="shared" si="4"/>
        <v xml:space="preserve">							ProcessCode = o.ProcessCode,</v>
      </c>
      <c r="T10" s="69" t="str">
        <f t="shared" ref="T10:T17" si="10">REPT(CHAR(9),8)&amp;"("""&amp;D10&amp;"""),"</f>
        <v xml:space="preserve">								("ProcessCode"),</v>
      </c>
      <c r="V10" s="70" t="str">
        <f t="shared" ref="V10:V17" si="11">REPT(CHAR(9),8)&amp;"_ =&gt; _."&amp;D10&amp;","</f>
        <v xml:space="preserve">								_ =&gt; _.ProcessCode,</v>
      </c>
      <c r="W10" s="69" t="str">
        <f t="shared" ref="W10:W17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.WhereIf(!string.IsNullOrWhiteSpace(input.ProcessCode), e =&gt; e.ProcessCode.Contains(input.ProcessCode))</v>
      </c>
    </row>
    <row r="11" spans="1:23" customFormat="1" ht="18.75" customHeight="1" x14ac:dyDescent="0.25">
      <c r="A11" t="s">
        <v>275</v>
      </c>
      <c r="B11" t="s">
        <v>276</v>
      </c>
      <c r="C11" t="s">
        <v>1</v>
      </c>
      <c r="D11" t="str">
        <f t="shared" si="5"/>
        <v>ProcessName</v>
      </c>
      <c r="E11" t="str">
        <f t="shared" si="0"/>
        <v>nvarchar</v>
      </c>
      <c r="F11" s="7" t="s">
        <v>19</v>
      </c>
      <c r="G11" t="str">
        <f t="shared" si="1"/>
        <v>1000</v>
      </c>
      <c r="H11" t="str">
        <f>+VLOOKUP(E11,'Data Type Mapping'!A:B,2,)</f>
        <v>string</v>
      </c>
      <c r="I11" t="str">
        <f t="shared" si="2"/>
        <v xml:space="preserve">		public const int MaxProcessNameLength = 1000;
</v>
      </c>
      <c r="J11" t="str">
        <f t="shared" si="3"/>
        <v xml:space="preserve">		[Column(TypeName="nvarchar")]
		[StringLength(MaxProcessNameLength)]
		public virtual string ProcessName { get; set; }
</v>
      </c>
      <c r="K11" s="7"/>
      <c r="L11" t="str">
        <f t="shared" si="6"/>
        <v/>
      </c>
      <c r="M11" t="str">
        <f t="shared" si="7"/>
        <v xml:space="preserve">		public virtual string ProcessName { get; set; }
</v>
      </c>
      <c r="N11" t="str">
        <f t="shared" si="8"/>
        <v xml:space="preserve">		[StringLength(MstWldProcessConsts.MaxProcessNameLength)]
		public virtual string ProcessName { get; set; }
</v>
      </c>
      <c r="O11" t="str">
        <f t="shared" si="9"/>
        <v xml:space="preserve">		public virtual string ProcessName { get; set; }
</v>
      </c>
      <c r="P11" t="str">
        <f t="shared" si="4"/>
        <v xml:space="preserve">							ProcessName = o.ProcessName,</v>
      </c>
      <c r="T11" s="69" t="str">
        <f t="shared" si="10"/>
        <v xml:space="preserve">								("ProcessName"),</v>
      </c>
      <c r="V11" s="70" t="str">
        <f t="shared" si="11"/>
        <v xml:space="preserve">								_ =&gt; _.ProcessName,</v>
      </c>
      <c r="W11" s="69" t="str">
        <f t="shared" si="12"/>
        <v xml:space="preserve">				.WhereIf(!string.IsNullOrWhiteSpace(input.ProcessName), e =&gt; e.ProcessName.Contains(input.ProcessName))</v>
      </c>
    </row>
    <row r="12" spans="1:23" customFormat="1" ht="22.5" customHeight="1" x14ac:dyDescent="0.25">
      <c r="A12" t="s">
        <v>277</v>
      </c>
      <c r="B12" t="s">
        <v>276</v>
      </c>
      <c r="C12" t="s">
        <v>1</v>
      </c>
      <c r="D12" t="str">
        <f>SUBSTITUTE(PROPER(A12),"_","")</f>
        <v>ProcessDesc</v>
      </c>
      <c r="E12" t="str">
        <f t="shared" ref="E12:E17" si="13">IFERROR(LEFT(B12, FIND("(",B12)-1),B12)</f>
        <v>nvarchar</v>
      </c>
      <c r="F12" s="7" t="s">
        <v>19</v>
      </c>
      <c r="G12" t="str">
        <f t="shared" ref="G12:G17" si="14">IFERROR(MID(B12,FIND("(",B12) +1, FIND(")",B12) - FIND("(",B12) - 1),"")</f>
        <v>1000</v>
      </c>
      <c r="H12" t="str">
        <f>+VLOOKUP(E12,'Data Type Mapping'!A:B,2,)</f>
        <v>string</v>
      </c>
      <c r="I12" t="str">
        <f t="shared" ref="I12:I17" si="15">IF(H12="string",REPT(CHAR(9),2)&amp;"public const int Max"&amp;D12&amp;"Length = "&amp;G12&amp;";"&amp;$E$3,"" )</f>
        <v xml:space="preserve">		public const int MaxProcessDescLength = 1000;
</v>
      </c>
      <c r="J12" t="str">
        <f t="shared" ref="J12:J17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[Column(TypeName="nvarchar")]
		[StringLength(MaxProcessDescLength)]
		public virtual string ProcessDesc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ProcessDesc { get; set; }
</v>
      </c>
      <c r="N12" t="str">
        <f t="shared" si="8"/>
        <v xml:space="preserve">		[StringLength(MstWldProcessConsts.MaxProcessDescLength)]
		public virtual string ProcessDesc { get; set; }
</v>
      </c>
      <c r="O12" t="str">
        <f t="shared" si="9"/>
        <v xml:space="preserve">		public virtual string ProcessDesc { get; set; }
</v>
      </c>
      <c r="P12" t="str">
        <f t="shared" ref="P12:P17" si="17">REPT(CHAR(9),7)&amp;D12&amp;" = o." &amp;D12 &amp;","</f>
        <v xml:space="preserve">							ProcessDesc = o.ProcessDesc,</v>
      </c>
      <c r="T12" s="69" t="str">
        <f t="shared" si="10"/>
        <v xml:space="preserve">								("ProcessDesc"),</v>
      </c>
      <c r="V12" s="70" t="str">
        <f t="shared" si="11"/>
        <v xml:space="preserve">								_ =&gt; _.ProcessDesc,</v>
      </c>
      <c r="W12" s="69" t="str">
        <f t="shared" si="12"/>
        <v xml:space="preserve">				.WhereIf(!string.IsNullOrWhiteSpace(input.ProcessDesc), e =&gt; e.ProcessDesc.Contains(input.ProcessDesc))</v>
      </c>
    </row>
    <row r="13" spans="1:23" customFormat="1" ht="21" customHeight="1" x14ac:dyDescent="0.25">
      <c r="A13" t="s">
        <v>278</v>
      </c>
      <c r="B13" t="s">
        <v>4</v>
      </c>
      <c r="C13" t="s">
        <v>80</v>
      </c>
      <c r="D13" t="str">
        <f t="shared" ref="D13:D17" si="18">SUBSTITUTE(PROPER(A13),"_","")</f>
        <v>ProcessGroup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[Required]
		public virtual int ProcessGroup { get; set; }
</v>
      </c>
      <c r="K13" s="7"/>
      <c r="L13" t="str">
        <f t="shared" ref="L13:L17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int ProcessGroup { get; set; }
</v>
      </c>
      <c r="N13" t="str">
        <f t="shared" si="8"/>
        <v xml:space="preserve">		[Required]
		public virtual int ProcessGroup { get; set; }
</v>
      </c>
      <c r="O13" t="str">
        <f t="shared" si="9"/>
        <v xml:space="preserve">		public virtual int ProcessGroup { get; set; }
</v>
      </c>
      <c r="P13" t="str">
        <f t="shared" si="17"/>
        <v xml:space="preserve">							ProcessGroup = o.ProcessGroup,</v>
      </c>
      <c r="T13" s="69" t="str">
        <f t="shared" si="10"/>
        <v xml:space="preserve">								("ProcessGroup"),</v>
      </c>
      <c r="V13" s="70" t="str">
        <f t="shared" si="11"/>
        <v xml:space="preserve">								_ =&gt; _.ProcessGroup,</v>
      </c>
      <c r="W13" s="69" t="str">
        <f t="shared" si="12"/>
        <v/>
      </c>
    </row>
    <row r="14" spans="1:23" customFormat="1" ht="21" customHeight="1" x14ac:dyDescent="0.25">
      <c r="A14" t="s">
        <v>279</v>
      </c>
      <c r="B14" t="s">
        <v>280</v>
      </c>
      <c r="C14" t="s">
        <v>1</v>
      </c>
      <c r="D14" t="str">
        <f t="shared" si="18"/>
        <v>GroupName</v>
      </c>
      <c r="E14" t="str">
        <f t="shared" si="13"/>
        <v>varchar</v>
      </c>
      <c r="F14" s="7"/>
      <c r="G14" t="str">
        <f t="shared" si="14"/>
        <v>100</v>
      </c>
      <c r="H14" t="str">
        <f>+VLOOKUP(E14,'Data Type Mapping'!A:B,2,)</f>
        <v>string</v>
      </c>
      <c r="I14" t="str">
        <f t="shared" si="15"/>
        <v xml:space="preserve">		public const int MaxGroupNameLength = 100;
</v>
      </c>
      <c r="J14" t="str">
        <f t="shared" si="16"/>
        <v xml:space="preserve">		[StringLength(MaxGroupNameLength)]
		public virtual string GroupName { get; set; }
</v>
      </c>
      <c r="K14" s="7"/>
      <c r="L14" t="str">
        <f t="shared" si="19"/>
        <v/>
      </c>
      <c r="M14" t="str">
        <f t="shared" ref="M14:M16" si="20">REPT(CHAR(9),2)&amp;"public virtual "&amp;IF(OR(H14="DateTime",H14="TimeSpan"),H14&amp;"?",H14)&amp;IF(C14="?","? "," ")&amp;D14&amp;" { get; set; }" &amp; "
"</f>
        <v xml:space="preserve">		public virtual string GroupName { get; set; }
</v>
      </c>
      <c r="N14" t="str">
        <f t="shared" ref="N14:N16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[StringLength(MstWldProcessConsts.MaxGroupNameLength)]
		public virtual string GroupName { get; set; }
</v>
      </c>
      <c r="O14" t="str">
        <f t="shared" ref="O14:O16" si="22">IF(OR(H14="string",H14="DateTime",H14="int"),REPT(CHAR(9),2)&amp;"public virtual "&amp;IF(OR(H14="DateTime",H14="TimeSpan"),H14&amp;"?",H14)&amp;IF(C14="?","? "," ")&amp;D14&amp;" { get; set; }"&amp;$E$3,"")</f>
        <v xml:space="preserve">		public virtual string GroupName { get; set; }
</v>
      </c>
      <c r="P14" t="str">
        <f t="shared" si="17"/>
        <v xml:space="preserve">							GroupName = o.GroupName,</v>
      </c>
      <c r="T14" s="69" t="str">
        <f t="shared" ref="T14:T16" si="23">REPT(CHAR(9),8)&amp;"("""&amp;D14&amp;"""),"</f>
        <v xml:space="preserve">								("GroupName"),</v>
      </c>
      <c r="V14" s="70" t="str">
        <f t="shared" ref="V14:V16" si="24">REPT(CHAR(9),8)&amp;"_ =&gt; _."&amp;D14&amp;","</f>
        <v xml:space="preserve">								_ =&gt; _.GroupName,</v>
      </c>
      <c r="W14" s="69" t="str">
        <f t="shared" ref="W14:W16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.WhereIf(!string.IsNullOrWhiteSpace(input.GroupName), e =&gt; e.GroupName.Contains(input.GroupName))</v>
      </c>
    </row>
    <row r="15" spans="1:23" customFormat="1" ht="18.75" customHeight="1" x14ac:dyDescent="0.25">
      <c r="A15" t="s">
        <v>281</v>
      </c>
      <c r="B15" t="s">
        <v>4</v>
      </c>
      <c r="C15" t="s">
        <v>1</v>
      </c>
      <c r="D15" t="str">
        <f t="shared" si="18"/>
        <v>ProcessSubgroup</v>
      </c>
      <c r="E15" t="str">
        <f t="shared" si="13"/>
        <v>int</v>
      </c>
      <c r="F15" s="7"/>
      <c r="G15" t="str">
        <f t="shared" si="14"/>
        <v/>
      </c>
      <c r="H15" t="str">
        <f>+VLOOKUP(E15,'Data Type Mapping'!A:B,2,)</f>
        <v>int</v>
      </c>
      <c r="I15" t="str">
        <f t="shared" si="15"/>
        <v/>
      </c>
      <c r="J15" t="str">
        <f t="shared" si="16"/>
        <v xml:space="preserve">		public virtual int ProcessSubgroup { get; set; }
</v>
      </c>
      <c r="K15" s="7" t="s">
        <v>207</v>
      </c>
      <c r="L15" t="str">
        <f t="shared" si="19"/>
        <v xml:space="preserve">	[Index(nameof(ProcessSubgroup), Name="IX_MstWldProcess_ProcessSubgroup")]</v>
      </c>
      <c r="M15" t="str">
        <f t="shared" si="20"/>
        <v xml:space="preserve">		public virtual int ProcessSubgroup { get; set; }
</v>
      </c>
      <c r="N15" t="str">
        <f t="shared" si="21"/>
        <v xml:space="preserve">		public virtual int ProcessSubgroup { get; set; }
</v>
      </c>
      <c r="O15" t="str">
        <f t="shared" si="22"/>
        <v xml:space="preserve">		public virtual int ProcessSubgroup { get; set; }
</v>
      </c>
      <c r="P15" t="str">
        <f t="shared" si="17"/>
        <v xml:space="preserve">							ProcessSubgroup = o.ProcessSubgroup,</v>
      </c>
      <c r="T15" s="69" t="str">
        <f t="shared" si="23"/>
        <v xml:space="preserve">								("ProcessSubgroup"),</v>
      </c>
      <c r="V15" s="70" t="str">
        <f t="shared" si="24"/>
        <v xml:space="preserve">								_ =&gt; _.ProcessSubgroup,</v>
      </c>
      <c r="W15" s="69" t="str">
        <f t="shared" si="25"/>
        <v/>
      </c>
    </row>
    <row r="16" spans="1:23" customFormat="1" ht="22.5" customHeight="1" x14ac:dyDescent="0.25">
      <c r="A16" t="s">
        <v>282</v>
      </c>
      <c r="B16" t="s">
        <v>280</v>
      </c>
      <c r="C16" t="s">
        <v>1</v>
      </c>
      <c r="D16" t="str">
        <f>SUBSTITUTE(PROPER(A16),"_","")</f>
        <v>SubgroupName</v>
      </c>
      <c r="E16" t="str">
        <f t="shared" ref="E16" si="26">IFERROR(LEFT(B16, FIND("(",B16)-1),B16)</f>
        <v>varchar</v>
      </c>
      <c r="F16" s="7"/>
      <c r="G16" t="str">
        <f t="shared" ref="G16" si="27">IFERROR(MID(B16,FIND("(",B16) +1, FIND(")",B16) - FIND("(",B16) - 1),"")</f>
        <v>100</v>
      </c>
      <c r="H16" t="str">
        <f>+VLOOKUP(E16,'Data Type Mapping'!A:B,2,)</f>
        <v>string</v>
      </c>
      <c r="I16" t="str">
        <f t="shared" ref="I16" si="28">IF(H16="string",REPT(CHAR(9),2)&amp;"public const int Max"&amp;D16&amp;"Length = "&amp;G16&amp;";"&amp;$E$3,"" )</f>
        <v xml:space="preserve">		public const int MaxSubgroupNameLength = 100;
</v>
      </c>
      <c r="J16" t="str">
        <f t="shared" ref="J16" si="29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[StringLength(MaxSubgroupNameLength)]
		public virtual string SubgroupName { get; set; }
</v>
      </c>
      <c r="K16" s="7" t="s">
        <v>207</v>
      </c>
      <c r="L16" t="str">
        <f>IF(K16="","",REPT(CHAR(9),1)&amp;"[Index(nameof("&amp;IF(D16="","",""&amp;D16)&amp;")"&amp;", Name="&amp;"""IX_"&amp;$B$7&amp;"_"&amp;D16&amp;""")]")</f>
        <v xml:space="preserve">	[Index(nameof(SubgroupName), Name="IX_MstWldProcess_SubgroupName")]</v>
      </c>
      <c r="M16" t="str">
        <f t="shared" si="20"/>
        <v xml:space="preserve">		public virtual string SubgroupName { get; set; }
</v>
      </c>
      <c r="N16" t="str">
        <f t="shared" si="21"/>
        <v xml:space="preserve">		[StringLength(MstWldProcessConsts.MaxSubgroupNameLength)]
		public virtual string SubgroupName { get; set; }
</v>
      </c>
      <c r="O16" t="str">
        <f t="shared" si="22"/>
        <v xml:space="preserve">		public virtual string SubgroupName { get; set; }
</v>
      </c>
      <c r="P16" t="str">
        <f t="shared" ref="P16" si="30">REPT(CHAR(9),7)&amp;D16&amp;" = o." &amp;D16 &amp;","</f>
        <v xml:space="preserve">							SubgroupName = o.SubgroupName,</v>
      </c>
      <c r="T16" s="69" t="str">
        <f t="shared" si="23"/>
        <v xml:space="preserve">								("SubgroupName"),</v>
      </c>
      <c r="V16" s="70" t="str">
        <f t="shared" si="24"/>
        <v xml:space="preserve">								_ =&gt; _.SubgroupName,</v>
      </c>
      <c r="W16" s="69" t="str">
        <f t="shared" si="25"/>
        <v xml:space="preserve">				.WhereIf(!string.IsNullOrWhiteSpace(input.SubgroupName), e =&gt; e.SubgroupName.Contains(input.SubgroupName))</v>
      </c>
    </row>
    <row r="17" spans="1:23" customFormat="1" ht="18.75" customHeight="1" x14ac:dyDescent="0.25">
      <c r="A17" t="s">
        <v>283</v>
      </c>
      <c r="B17" t="s">
        <v>284</v>
      </c>
      <c r="C17" t="s">
        <v>1</v>
      </c>
      <c r="D17" t="str">
        <f t="shared" si="18"/>
        <v>IsActive</v>
      </c>
      <c r="E17" t="str">
        <f t="shared" si="13"/>
        <v>varchar</v>
      </c>
      <c r="F17" s="7"/>
      <c r="G17" t="str">
        <f t="shared" si="14"/>
        <v>1</v>
      </c>
      <c r="H17" t="str">
        <f>+VLOOKUP(E17,'Data Type Mapping'!A:B,2,)</f>
        <v>string</v>
      </c>
      <c r="I17" t="str">
        <f t="shared" si="15"/>
        <v xml:space="preserve">		public const int MaxIsActiveLength = 1;
</v>
      </c>
      <c r="J17" t="str">
        <f t="shared" si="16"/>
        <v xml:space="preserve">		[StringLength(MaxIsActiveLength)]
		public virtual string IsActive { get; set; }
</v>
      </c>
      <c r="K17" s="7"/>
      <c r="L17" t="str">
        <f t="shared" si="19"/>
        <v/>
      </c>
      <c r="M17" t="str">
        <f t="shared" si="7"/>
        <v xml:space="preserve">		public virtual string IsActive { get; set; }
</v>
      </c>
      <c r="N17" t="str">
        <f t="shared" si="8"/>
        <v xml:space="preserve">		[StringLength(MstWldProcessConsts.MaxIsActiveLength)]
		public virtual string IsActive { get; set; }
</v>
      </c>
      <c r="O17" t="str">
        <f t="shared" si="9"/>
        <v xml:space="preserve">		public virtual string IsActive { get; set; }
</v>
      </c>
      <c r="P17" t="str">
        <f t="shared" si="17"/>
        <v xml:space="preserve">							IsActive = o.IsActive,</v>
      </c>
      <c r="T17" s="69" t="str">
        <f t="shared" si="10"/>
        <v xml:space="preserve">								("IsActive"),</v>
      </c>
      <c r="V17" s="70" t="str">
        <f t="shared" si="11"/>
        <v xml:space="preserve">								_ =&gt; _.IsActive,</v>
      </c>
      <c r="W17" s="69" t="str">
        <f t="shared" si="12"/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MaxProcessCodeLength = 50;
		public const int MaxProcessNameLength = 1000;
		public const int MaxProcessDescLength = 1000;
		public const int MaxGroupNameLength = 100;
		public const int MaxSubgroupNameLength = 100;
		public const int MaxIsActiveLength = 1;
</v>
      </c>
      <c r="J19" s="33" t="str">
        <f ca="1">TEXTJOIN2("
", TRUE,INDIRECT( $F$1):INDIRECT( $F$3))</f>
        <v xml:space="preserve">		[Required]
		public virtual int ProcessSeq { get; set; }
		[Required]
		[StringLength(MaxProcessCodeLength)]
		public virtual string ProcessCode { get; set; }
		[Column(TypeName="nvarchar")]
		[StringLength(MaxProcessNameLength)]
		public virtual string ProcessName { get; set; }
		[Column(TypeName="nvarchar")]
		[StringLength(MaxProcessDescLength)]
		public virtual string ProcessDesc { get; set; }
		[Required]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[StringLength(MaxIsActiveLength)]
		public virtual string IsActive { get; set; }
</v>
      </c>
      <c r="K19" s="35" t="str">
        <f ca="1">TEXTJOIN2("
", TRUE,INDIRECT( $J$1):INDIRECT( $J$3))</f>
        <v xml:space="preserve">	[Index(nameof(ProcessSeq), Name="IX_MstWldProcess_ProcessSeq")]
	[Index(nameof(ProcessCode), Name="IX_MstWldProcess_ProcessCode")]
	[Index(nameof(ProcessSubgroup), Name="IX_MstWldProcess_ProcessSubgroup")]
	[Index(nameof(SubgroupName), Name="IX_MstWldProcess_SubgroupName")]
</v>
      </c>
      <c r="L19" s="13" t="s">
        <v>60</v>
      </c>
      <c r="M19" s="36" t="str">
        <f ca="1">TEXTJOIN2("
",TRUE,INDIRECT( $L$1):INDIRECT($L$3))</f>
        <v xml:space="preserve">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</v>
      </c>
      <c r="N19" s="33" t="str">
        <f ca="1">TEXTJOIN2("
",TRUE,INDIRECT( $M$1):INDIRECT($M$3))</f>
        <v xml:space="preserve">		[Required]
		public virtual int ProcessSeq { get; set; }
		[Required]
		[StringLength(MstWldProcessConsts.MaxProcessCodeLength)]
		public virtual string ProcessCode { get; set; }
		[StringLength(MstWldProcessConsts.MaxProcessNameLength)]
		public virtual string ProcessName { get; set; }
		[StringLength(MstWldProcessConsts.MaxProcessDescLength)]
		public virtual string ProcessDesc { get; set; }
		[Required]
		public virtual int ProcessGroup { get; set; }
		[StringLength(MstWldProcessConsts.MaxGroupNameLength)]
		public virtual string GroupName { get; set; }
		public virtual int ProcessSubgroup { get; set; }
		[StringLength(MstWldProcessConsts.MaxSubgroupNameLength)]
		public virtual string SubgroupName { get; set; }
		[StringLength(MstWldProcessConsts.MaxIsActiveLength)]
		public virtual string IsActive { get; set; }
</v>
      </c>
      <c r="O19" s="33" t="str">
        <f ca="1">TEXTJOIN2("
",TRUE,INDIRECT( $N$1):INDIRECT($N$3))</f>
        <v xml:space="preserve">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</v>
      </c>
      <c r="P19" s="9" t="str">
        <f ca="1">TEXTJOIN2("
",TRUE,INDIRECT( $O$1):INDIRECT($O$3))</f>
        <v xml:space="preserve">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</v>
      </c>
      <c r="T19" s="9" t="str">
        <f ca="1">TEXTJOIN2("
",TRUE,INDIRECT( $T$2):INDIRECT($T$3))</f>
        <v xml:space="preserve">								("ProcessSeq"),
								("ProcessCode"),
								("ProcessName"),
								("ProcessDesc"),
								("ProcessGroup"),
								("GroupName"),
								("ProcessSubgroup"),
								("SubgroupName"),
								("IsActive"),</v>
      </c>
      <c r="V19" s="9" t="str">
        <f ca="1">TEXTJOIN2("
",TRUE,INDIRECT( $V$2):INDIRECT($V$3))</f>
        <v xml:space="preserve">								_ =&gt; _.ProcessSeq,
								_ =&gt; _.ProcessCode,
								_ =&gt; _.ProcessName,
								_ =&gt; _.ProcessDesc,
								_ =&gt; _.ProcessGroup,
								_ =&gt; _.GroupName,
								_ =&gt; _.ProcessSubgroup,
								_ =&gt; _.SubgroupName,
								_ =&gt; _.IsActive,</v>
      </c>
      <c r="W19" s="9" t="str">
        <f ca="1">TEXTJOIN2("
",TRUE,INDIRECT( $W$2):INDIRECT($W$3))</f>
        <v xml:space="preserve">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6"/>
  <sheetViews>
    <sheetView tabSelected="1" workbookViewId="0">
      <selection activeCell="E27" sqref="E2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288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Welding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welding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MstWldProcess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220</v>
      </c>
      <c r="K9" s="47" t="s">
        <v>258</v>
      </c>
      <c r="L9" s="46" t="s">
        <v>262</v>
      </c>
      <c r="M9" s="45" t="s">
        <v>250</v>
      </c>
      <c r="N9" s="45" t="s">
        <v>221</v>
      </c>
      <c r="O9" s="45" t="s">
        <v>222</v>
      </c>
      <c r="P9" s="46" t="s">
        <v>224</v>
      </c>
      <c r="Q9" s="45" t="s">
        <v>251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MstWldProcessDto, MstWldProcessServiceProxy } from '@shared/service-proxies/service-proxies';
import { finalize } from 'rxjs/internal/operators/finalize';
import { CreateOrEditProcessModalComponent } from './create-or-edit-process-modal.component';
import { DatePipe } from '@angular/common';
import { FileDownloadService } from '@shared/utils/file-download.service';
import ceil from 'lodash-es/ceil';
import { Paginator } from 'primeng/paginator';
@Component({
    templateUrl: './process.component.html',
    styleUrls: ['./process.component.less'],
})
export class ProcessComponent extends AppComponentBase implements OnInit {
    @ViewChild('createOrEditModalProcess', { static: true }) createOrEditModalProcess:| CreateOrEditProcessModalComponent|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MstWldProcessDto = new MstWldProcessDto();
    saveSelectedRow: MstWldProcessDto = new MstWldProcessDto();
    datas: MstWldProcessDto = new MstWldProcessDto();
    isLoading: boolean = false;
    dataParams: GridParams | undefined;
    rowData: any[] = [];
    gridApi!: GridApi;
    rowSelection = 'multiple';
    filter: string = '';
	pipe = new DatePipe('en-US');
    processSeq : number = 0 ;
	processCode : string = '' ; 
	processName : string = '' ; 
	processDesc : string = '' ; 
	processGroup : number = 0 ;
	groupName : string = '' ; 
	processSubgroup : number = 0 ;
	subgroupName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MstWldProcessServiceProxy,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this.processSeq = 0,
		this.processCode = '',
		this.processName = '',
		this.processDesc = '',
		this.processGroup = 0,
		this.groupName = '',
		this.processSubgroup = 0,
		this.subgroupName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);
    }
    onChangeRowSelection(params: { api: { getSelectedRows: () =&gt; MstWldProcessDto[] } }) {
        this.saveSelectedRow = params.api.getSelectedRows()[0] ?? new MstWldProcessDto();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MstWldProcessDto):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this._service.getProcessToExcel(
			this.processSeq,
			this.processCode,
			this.processName,
			this.processDesc,
			this.processGroup,
			this.groupName,
			this.processSubgroup,
			this.subgroupName,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Welding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&lt;create-or-edit-process-modal
    #createOrEditModalProcess
    (modalSave)="callBackDataGrid(dataParams)"
    (modalClose)="onChangeRowSelection(dataParams)"
&gt;
&lt;/create-or-edit-process-modal&gt;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Process')}}&lt;/h3&gt;
                    &lt;h3 *ngIf="!rowdata.id"&gt;{{('Create New 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CreateOrEditMstWldProcessDto, MstWldProcessServiceProxy } from '@shared/service-proxies/service-proxies';
import { BsDatepickerDirective } from 'ngx-bootstrap/datepicker';
@Component({
    selector: 'create-or-edit-process-modal',
    templateUrl: './create-or-edit-process-modal.component.html',
    styleUrls: ['./create-or-edit-process-modal.component.less']
    })
export class CreateOrEditProcessModalComponent extends AppComponentBase {
    @ViewChild('createOrEditModalProcess',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CreateOrEditMstWldProcessDto = new CreateOrEditMstWldProcessDto();
    active: boolean = false;
    saving: boolean = false;
    _isActive: boolean;
    constructor(
        injector: Injector,
        private _mstwptProcessService: MstWldProcessServiceProxy,
    ) 
    {
        super(injector);
    }
    show(rowdata?: CreateOrEditMstWldProcessDto): void {
        if (!rowdata) this.rowdata = new CreateOrEditMstWldProcessDto();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ProcessRoutingModule } from './process-routing.module';
import { ProcessComponent } from './process.component';
import { CreateOrEditProcessModalComponent } from './create-or-edit-process-modal.component';
@NgModule({
    declarations: [
       ProcessComponent, 
        CreateOrEditProcessModalComponent
    ],
    imports: [
        AppSharedModule, ProcessRoutingModule]
})
export class 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ProcessComponent } from './process.component';
const routes: Routes = [{
    path: '',
    component: ProcessComponent,
    pathMatch: 'full'
}];
@NgModule({
    imports: [RouterModule.forChild(routes)],
    exports: [RouterModule],
})
export class 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AppMenuItem("Process", "Pages.Master.Welding.Process", "flaticon-book",   "/app/main/master/welding/process"),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'master/welding/process',
    loadChildren: () =&gt; import('./master/welding/process/process.module').then(m =&gt; m.ProcessModule),
    data: { permission: 'Pages.Master.Welding.Process' }
},</v>
      </c>
      <c r="R10" s="50" t="str">
        <f>SUBSTITUTE(R9,"MstWptCalendar",$B$6)</f>
        <v>ApiServiceProxies.MstWldProcessServiceProxy,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processSeq : number = 0 ;
	processCode : string = '' ; 
	processName : string = '' ; 
	processDesc : string = '' ; 
	processGroup : number = 0 ;
	groupName : string = '' ; 
	processSubgroup : number = 0 ;
	subgroupName : string = '' ; 
	isActive : string = '' ; </v>
      </c>
      <c r="T13" s="68" t="str">
        <f ca="1">TEXTJOIN2("
",TRUE,INDIRECT(T11):INDIRECT(T12))</f>
        <v xml:space="preserve">			this.processSeq,
			this.processCode,
			this.processName,
			this.processDesc,
			this.processGroup,
			this.groupName,
			this.processSubgroup,
			this.subgroupName,
			this.isActive,</v>
      </c>
      <c r="U13" s="68" t="str">
        <f ca="1">TEXTJOIN2("
",TRUE,INDIRECT(U11):INDIRECT(U12))</f>
        <v>this.processSeq = 0,
		this.processCode = '',
		this.processName = '',
		this.processDesc = '',
		this.processGroup = 0,
		this.groupName = '',
		this.processSubgroup = 0,
		this.subgroupName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process.component.ts</v>
      </c>
      <c r="I14" s="40" t="str">
        <f>B8&amp;".component.html"</f>
        <v>process.component.html</v>
      </c>
      <c r="J14" s="39" t="str">
        <f>B8&amp;".component.less"</f>
        <v>process.component.less</v>
      </c>
      <c r="K14" s="40" t="str">
        <f>"create-or-edit-"&amp;B8&amp;"-modal.component.html"</f>
        <v>create-or-edit-process-modal.component.html</v>
      </c>
      <c r="L14" s="40" t="str">
        <f>"create-or-edit-"&amp;B8&amp;"-modal.component.ts"</f>
        <v>create-or-edit-process-modal.component.ts</v>
      </c>
      <c r="M14" s="40" t="str">
        <f>"create-or-edit-"&amp;B8&amp;"-modal.component.less"</f>
        <v>create-or-edit-process-modal.component.less</v>
      </c>
      <c r="N14" s="40" t="str">
        <f>B8&amp;".module.ts"</f>
        <v>process.module.ts</v>
      </c>
      <c r="O14" s="40" t="str">
        <f>B8&amp;"-routing.module.ts"</f>
        <v>process-routing.module.ts</v>
      </c>
      <c r="P14" s="40" t="s">
        <v>223</v>
      </c>
      <c r="Q14" s="40" t="s">
        <v>226</v>
      </c>
      <c r="R14" s="41" t="s">
        <v>233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272</v>
      </c>
      <c r="B15" s="31" t="str">
        <f>SUBSTITUTE(PROPER(A15),"_","")</f>
        <v>ProcessSeq</v>
      </c>
      <c r="C15" s="31" t="str">
        <f>SUBSTITUTE(PROPER(A15),"_"," ")</f>
        <v>Process Seq</v>
      </c>
      <c r="D15" s="31" t="str">
        <f>LOWER(LEFT(B15,1))&amp;RIGHT(B15,LEN(B15) - 1)</f>
        <v>processSeq</v>
      </c>
      <c r="E15" s="31" t="str">
        <f>A.Backend!H9</f>
        <v>int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this.l('Process Seq'),headerTooltip: this.l('Process Seq'),field: 'processSeq',flex: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processSeq : number = 0 ;</v>
      </c>
      <c r="T15" s="31" t="str">
        <f>REPT(CHAR(9),3)&amp;"this."&amp;D15&amp;","</f>
        <v xml:space="preserve">			this.processSeq,</v>
      </c>
      <c r="U15" s="31" t="str">
        <f>IF(E15="int","this."&amp;D15&amp;" = 0,","this."&amp;D15&amp;" = '',")</f>
        <v>this.processSeq = 0,</v>
      </c>
      <c r="V15" s="31" t="str">
        <f>IF(AND(E15="string",F15="1"),D15,"")</f>
        <v/>
      </c>
    </row>
    <row r="16" spans="1:22" ht="15" customHeight="1" x14ac:dyDescent="0.25">
      <c r="A16" s="44" t="s">
        <v>273</v>
      </c>
      <c r="B16" s="31" t="str">
        <f t="shared" ref="B16:B17" si="0">SUBSTITUTE(PROPER(A16),"_","")</f>
        <v>ProcessCode</v>
      </c>
      <c r="C16" s="31" t="str">
        <f t="shared" ref="C16:C17" si="1">SUBSTITUTE(PROPER(A16),"_"," ")</f>
        <v>Process Code</v>
      </c>
      <c r="D16" s="31" t="str">
        <f t="shared" ref="D16:D23" si="2">LOWER(LEFT(B16,1))&amp;RIGHT(B16,LEN(B16) - 1)</f>
        <v>processCode</v>
      </c>
      <c r="E16" s="31" t="str">
        <f>A.Backend!H10</f>
        <v>string</v>
      </c>
      <c r="F16" s="31" t="str">
        <f>A.Backend!G10</f>
        <v>50</v>
      </c>
      <c r="G16" s="31" t="str">
        <f t="shared" ref="G16:G23" si="3"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this.l('Process Code'),headerTooltip: this.l('Process Code'),field: 'processCode',flex: 1},</v>
      </c>
      <c r="I16" s="38" t="str">
        <f t="shared" ref="I16:I23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16" s="31"/>
      <c r="K16" s="38" t="str">
        <f t="shared" ref="K16:K23" si="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16" s="60" t="str">
        <f t="shared" ref="L16:L23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processCode : string = '' ; </v>
      </c>
      <c r="T16" s="31" t="str">
        <f>REPT(CHAR(9),3)&amp;"this."&amp;D16&amp;","</f>
        <v xml:space="preserve">			this.processCode,</v>
      </c>
      <c r="U16" s="31" t="str">
        <f>IF(E16="int",REPT(CHAR(9),2)&amp;"this."&amp;D16&amp;" = 0,",REPT(CHAR(9),2)&amp;"this."&amp;D16&amp;" = '',")</f>
        <v xml:space="preserve">		this.processCode = '',</v>
      </c>
      <c r="V16" s="31" t="str">
        <f t="shared" ref="V16:V23" si="7">IF(AND(E16="string",F16="1"),D16,"")</f>
        <v/>
      </c>
    </row>
    <row r="17" spans="1:22" ht="18" customHeight="1" x14ac:dyDescent="0.25">
      <c r="A17" s="44" t="s">
        <v>275</v>
      </c>
      <c r="B17" s="31" t="str">
        <f t="shared" si="0"/>
        <v>ProcessName</v>
      </c>
      <c r="C17" s="31" t="str">
        <f t="shared" si="1"/>
        <v>Process Name</v>
      </c>
      <c r="D17" s="31" t="str">
        <f t="shared" si="2"/>
        <v>processName</v>
      </c>
      <c r="E17" s="31" t="str">
        <f>A.Backend!H11</f>
        <v>string</v>
      </c>
      <c r="F17" s="31" t="str">
        <f>A.Backend!G11</f>
        <v>1000</v>
      </c>
      <c r="G17" s="31" t="str">
        <f t="shared" si="3"/>
        <v xml:space="preserve"> : string = '' ; </v>
      </c>
      <c r="H17" s="38" t="str">
        <f t="shared" ref="H17:H19" si="8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this.l('Process Name'),headerTooltip: this.l('Process Name'),field: 'processName',flex: 1},</v>
      </c>
      <c r="I17" s="38" t="str">
        <f t="shared" si="4"/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7" s="31"/>
      <c r="K17" s="38" t="str">
        <f t="shared" si="5"/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7" s="60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:S23" si="9">REPT(CHAR(9),1)&amp;D17&amp;G17</f>
        <v xml:space="preserve">	processName : string = '' ; </v>
      </c>
      <c r="T17" s="31" t="str">
        <f t="shared" ref="T17:T23" si="10">REPT(CHAR(9),3)&amp;"this."&amp;D17&amp;","</f>
        <v xml:space="preserve">			this.processName,</v>
      </c>
      <c r="U17" s="31" t="str">
        <f t="shared" ref="U17:U23" si="11">IF(E17="int",REPT(CHAR(9),2)&amp;"this."&amp;D17&amp;" = 0,",REPT(CHAR(9),2)&amp;"this."&amp;D17&amp;" = '',")</f>
        <v xml:space="preserve">		this.processName = '',</v>
      </c>
      <c r="V17" s="31" t="str">
        <f t="shared" si="7"/>
        <v/>
      </c>
    </row>
    <row r="18" spans="1:22" ht="18" customHeight="1" x14ac:dyDescent="0.25">
      <c r="A18" s="44" t="s">
        <v>277</v>
      </c>
      <c r="B18" s="31" t="str">
        <f>SUBSTITUTE(PROPER(A18),"_","")</f>
        <v>ProcessDesc</v>
      </c>
      <c r="C18" s="31" t="str">
        <f>SUBSTITUTE(PROPER(A18),"_"," ")</f>
        <v>Process Desc</v>
      </c>
      <c r="D18" s="31" t="str">
        <f t="shared" si="2"/>
        <v>processDesc</v>
      </c>
      <c r="E18" s="31" t="str">
        <f>A.Backend!H12</f>
        <v>string</v>
      </c>
      <c r="F18" s="31" t="str">
        <f>A.Backend!G12</f>
        <v>1000</v>
      </c>
      <c r="G18" s="31" t="str">
        <f t="shared" si="3"/>
        <v xml:space="preserve"> : string = '' ; </v>
      </c>
      <c r="H18" s="38" t="str">
        <f t="shared" si="8"/>
        <v xml:space="preserve">			{headerName: this.l('Process Desc'),headerTooltip: this.l('Process Desc'),field: 'processDesc',flex: 1},</v>
      </c>
      <c r="I18" s="38" t="str">
        <f t="shared" si="4"/>
        <v xml:space="preserve">								&lt;div class='input-search'&gt;
									&lt;input [(ngModel)]='processDesc' name='processDesc'
									class='form-control' [placeholder]="l('Process Desc')"
									type='text' (keyup.enter)='searchDatas()'&gt;
								&lt;/div&gt;</v>
      </c>
      <c r="J18" s="31"/>
      <c r="K18" s="38" t="str">
        <f t="shared" si="5"/>
        <v xml:space="preserve">					&lt;div class='col-md-12 form-group row'&gt;
						&lt;label class='col-md-2 form-control title'&gt;Process Desc&lt;/label&gt;
						&lt;input type='text' class='col-md-10 form-control input-text' name='ProcessDesc' [(ngModel)]='rowdata.processDesc'&gt;
					&lt;/div&gt;</v>
      </c>
      <c r="L18" s="60" t="str">
        <f t="shared" si="6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processDesc : string = '' ; </v>
      </c>
      <c r="T18" s="31" t="str">
        <f t="shared" si="10"/>
        <v xml:space="preserve">			this.processDesc,</v>
      </c>
      <c r="U18" s="31" t="str">
        <f t="shared" si="11"/>
        <v xml:space="preserve">		this.processDesc = '',</v>
      </c>
      <c r="V18" s="31" t="str">
        <f t="shared" si="7"/>
        <v/>
      </c>
    </row>
    <row r="19" spans="1:22" ht="15" customHeight="1" x14ac:dyDescent="0.25">
      <c r="A19" s="44" t="s">
        <v>278</v>
      </c>
      <c r="B19" s="31" t="str">
        <f t="shared" ref="B19:B23" si="12">SUBSTITUTE(PROPER(A19),"_","")</f>
        <v>ProcessGroup</v>
      </c>
      <c r="C19" s="31" t="str">
        <f t="shared" ref="C19:C23" si="13">SUBSTITUTE(PROPER(A19),"_"," ")</f>
        <v>Process Group</v>
      </c>
      <c r="D19" s="31" t="str">
        <f t="shared" si="2"/>
        <v>processGroup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8"/>
        <v xml:space="preserve">			{headerName: this.l('Process Group'),headerTooltip: this.l('Process Group'),field: 'processGroup',flex: 1},</v>
      </c>
      <c r="I19" s="38" t="str">
        <f t="shared" si="4"/>
        <v/>
      </c>
      <c r="J19" s="31"/>
      <c r="K19" s="38" t="str">
        <f t="shared" si="5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19" s="60" t="str">
        <f t="shared" si="6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processGroup : number = 0 ;</v>
      </c>
      <c r="T19" s="31" t="str">
        <f t="shared" si="10"/>
        <v xml:space="preserve">			this.processGroup,</v>
      </c>
      <c r="U19" s="31" t="str">
        <f t="shared" si="11"/>
        <v xml:space="preserve">		this.processGroup = 0,</v>
      </c>
      <c r="V19" s="31" t="str">
        <f t="shared" si="7"/>
        <v/>
      </c>
    </row>
    <row r="20" spans="1:22" ht="18" customHeight="1" x14ac:dyDescent="0.25">
      <c r="A20" s="44" t="s">
        <v>279</v>
      </c>
      <c r="B20" s="31" t="str">
        <f t="shared" si="12"/>
        <v>GroupName</v>
      </c>
      <c r="C20" s="31" t="str">
        <f t="shared" si="13"/>
        <v>Group Name</v>
      </c>
      <c r="D20" s="31" t="str">
        <f t="shared" si="2"/>
        <v>groupName</v>
      </c>
      <c r="E20" s="31" t="str">
        <f>A.Backend!H14</f>
        <v>string</v>
      </c>
      <c r="F20" s="31" t="str">
        <f>A.Backend!G14</f>
        <v>100</v>
      </c>
      <c r="G20" s="31" t="str">
        <f t="shared" si="3"/>
        <v xml:space="preserve"> : string = '' ; </v>
      </c>
      <c r="H20" s="38" t="str">
        <f t="shared" ref="H20:H22" si="14"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this.l('Group Name'),headerTooltip: this.l('Group Name'),field: 'groupName',flex: 1},</v>
      </c>
      <c r="I20" s="38" t="str">
        <f t="shared" ref="I20:I22" si="15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[(ngModel)]='groupName' name='groupName'
									class='form-control' [placeholder]="l('Group Name')"
									type='text' (keyup.enter)='searchDatas()'&gt;
								&lt;/div&gt;</v>
      </c>
      <c r="J20" s="31"/>
      <c r="K20" s="38" t="str">
        <f t="shared" ref="K20:K22" si="16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"&amp;REPT(CHAR(9),6)&amp;"&lt;input class='col-md-10 form-control checkboxActive' type='checkbox' name='"&amp;D20&amp;"'
"&amp;REPT(CHAR(9),6)&amp;"[checked]='_"&amp;D20&amp;"' (change)='changeActive($event)'&gt;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title'&gt;Group Name&lt;/label&gt;
						&lt;input type='text' class='col-md-10 form-control input-text' name='GroupName' [(ngModel)]='rowdata.groupName'&gt;
					&lt;/div&gt;</v>
      </c>
      <c r="L20" s="60" t="str">
        <f t="shared" ref="L20:L22" si="17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:S22" si="18">REPT(CHAR(9),1)&amp;D20&amp;G20</f>
        <v xml:space="preserve">	groupName : string = '' ; </v>
      </c>
      <c r="T20" s="31" t="str">
        <f t="shared" ref="T20:T22" si="19">REPT(CHAR(9),3)&amp;"this."&amp;D20&amp;","</f>
        <v xml:space="preserve">			this.groupName,</v>
      </c>
      <c r="U20" s="31" t="str">
        <f t="shared" ref="U20:U22" si="20">IF(E20="int",REPT(CHAR(9),2)&amp;"this."&amp;D20&amp;" = 0,",REPT(CHAR(9),2)&amp;"this."&amp;D20&amp;" = '',")</f>
        <v xml:space="preserve">		this.groupName = '',</v>
      </c>
      <c r="V20" s="31" t="str">
        <f t="shared" ref="V20:V22" si="21">IF(AND(E20="string",F20="1"),D20,"")</f>
        <v/>
      </c>
    </row>
    <row r="21" spans="1:22" ht="18" customHeight="1" x14ac:dyDescent="0.25">
      <c r="A21" s="44" t="s">
        <v>281</v>
      </c>
      <c r="B21" s="31" t="str">
        <f>SUBSTITUTE(PROPER(A21),"_","")</f>
        <v>ProcessSubgroup</v>
      </c>
      <c r="C21" s="31" t="str">
        <f>SUBSTITUTE(PROPER(A21),"_"," ")</f>
        <v>Process Subgroup</v>
      </c>
      <c r="D21" s="31" t="str">
        <f t="shared" si="2"/>
        <v>processSubgroup</v>
      </c>
      <c r="E21" s="31" t="str">
        <f>A.Backend!H15</f>
        <v>int</v>
      </c>
      <c r="F21" s="31" t="str">
        <f>A.Backend!G15</f>
        <v/>
      </c>
      <c r="G21" s="31" t="str">
        <f t="shared" si="3"/>
        <v xml:space="preserve"> : number = 0 ;</v>
      </c>
      <c r="H21" s="38" t="str">
        <f t="shared" si="14"/>
        <v xml:space="preserve">			{headerName: this.l('Process Subgroup'),headerTooltip: this.l('Process Subgroup'),field: 'processSubgroup',flex: 1},</v>
      </c>
      <c r="I21" s="38" t="str">
        <f t="shared" si="15"/>
        <v/>
      </c>
      <c r="J21" s="31"/>
      <c r="K21" s="38" t="str">
        <f t="shared" si="16"/>
        <v xml:space="preserve">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</v>
      </c>
      <c r="L21" s="60" t="str">
        <f t="shared" si="17"/>
        <v/>
      </c>
      <c r="M21" s="31"/>
      <c r="N21" s="31"/>
      <c r="O21" s="31"/>
      <c r="P21" s="31"/>
      <c r="Q21" s="31"/>
      <c r="R21" s="31"/>
      <c r="S21" s="31" t="str">
        <f t="shared" si="18"/>
        <v xml:space="preserve">	processSubgroup : number = 0 ;</v>
      </c>
      <c r="T21" s="31" t="str">
        <f t="shared" si="19"/>
        <v xml:space="preserve">			this.processSubgroup,</v>
      </c>
      <c r="U21" s="31" t="str">
        <f t="shared" si="20"/>
        <v xml:space="preserve">		this.processSubgroup = 0,</v>
      </c>
      <c r="V21" s="31" t="str">
        <f t="shared" si="21"/>
        <v/>
      </c>
    </row>
    <row r="22" spans="1:22" ht="15" customHeight="1" x14ac:dyDescent="0.25">
      <c r="A22" s="44" t="s">
        <v>282</v>
      </c>
      <c r="B22" s="31" t="str">
        <f t="shared" ref="B22" si="22">SUBSTITUTE(PROPER(A22),"_","")</f>
        <v>SubgroupName</v>
      </c>
      <c r="C22" s="31" t="str">
        <f t="shared" ref="C22" si="23">SUBSTITUTE(PROPER(A22),"_"," ")</f>
        <v>Subgroup Name</v>
      </c>
      <c r="D22" s="31" t="str">
        <f t="shared" si="2"/>
        <v>subgroupName</v>
      </c>
      <c r="E22" s="31" t="str">
        <f>A.Backend!H16</f>
        <v>string</v>
      </c>
      <c r="F22" s="31" t="str">
        <f>A.Backend!G16</f>
        <v>100</v>
      </c>
      <c r="G22" s="31" t="str">
        <f t="shared" si="3"/>
        <v xml:space="preserve"> : string = '' ; </v>
      </c>
      <c r="H22" s="38" t="str">
        <f t="shared" si="14"/>
        <v xml:space="preserve">			{headerName: this.l('Subgroup Name'),headerTooltip: this.l('Subgroup Name'),field: 'subgroupName',flex: 1},</v>
      </c>
      <c r="I22" s="38" t="str">
        <f t="shared" si="15"/>
        <v xml:space="preserve">								&lt;div class='input-search'&gt;
									&lt;input [(ngModel)]='subgroupName' name='subgroupName'
									class='form-control' [placeholder]="l('Subgroup Name')"
									type='text' (keyup.enter)='searchDatas()'&gt;
								&lt;/div&gt;</v>
      </c>
      <c r="J22" s="31"/>
      <c r="K22" s="38" t="str">
        <f t="shared" si="16"/>
        <v xml:space="preserve">					&lt;div class='col-md-12 form-group row'&gt;
						&lt;label class='col-md-2 form-control title'&gt;Subgroup Name&lt;/label&gt;
						&lt;input type='text' class='col-md-10 form-control input-text' name='SubgroupName' [(ngModel)]='rowdata.subgroupName'&gt;
					&lt;/div&gt;</v>
      </c>
      <c r="L22" s="60" t="str">
        <f t="shared" si="17"/>
        <v/>
      </c>
      <c r="M22" s="31"/>
      <c r="N22" s="31"/>
      <c r="O22" s="31"/>
      <c r="P22" s="31"/>
      <c r="Q22" s="31"/>
      <c r="R22" s="31"/>
      <c r="S22" s="31" t="str">
        <f t="shared" si="18"/>
        <v xml:space="preserve">	subgroupName : string = '' ; </v>
      </c>
      <c r="T22" s="31" t="str">
        <f t="shared" si="19"/>
        <v xml:space="preserve">			this.subgroupName,</v>
      </c>
      <c r="U22" s="31" t="str">
        <f t="shared" si="20"/>
        <v xml:space="preserve">		this.subgroupName = '',</v>
      </c>
      <c r="V22" s="31" t="str">
        <f t="shared" si="21"/>
        <v/>
      </c>
    </row>
    <row r="23" spans="1:22" ht="18" customHeight="1" x14ac:dyDescent="0.25">
      <c r="A23" s="44" t="s">
        <v>283</v>
      </c>
      <c r="B23" s="31" t="str">
        <f t="shared" si="12"/>
        <v>IsActive</v>
      </c>
      <c r="C23" s="31" t="str">
        <f t="shared" si="13"/>
        <v>Is Active</v>
      </c>
      <c r="D23" s="31" t="str">
        <f t="shared" si="2"/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3"/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REPT(CHAR(9),3)&amp;"{headerName: this.l('"&amp;C23&amp;"'),headerTooltip: this.l('"&amp;C23&amp;"'),field: '"&amp;D23&amp;"',flex: 1},")</f>
        <v xml:space="preserve">			{headerName: this.l('Is Active'),headerTooltip: this.l('Is Active'),field: 'isActive',flex: 1},</v>
      </c>
      <c r="I23" s="38" t="str">
        <f t="shared" si="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5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23" s="60" t="str">
        <f t="shared" si="6"/>
        <v/>
      </c>
      <c r="M23" s="31"/>
      <c r="N23" s="31"/>
      <c r="O23" s="31"/>
      <c r="P23" s="31"/>
      <c r="Q23" s="31"/>
      <c r="R23" s="31"/>
      <c r="S23" s="31" t="str">
        <f t="shared" si="9"/>
        <v xml:space="preserve">	isActive : string = '' ; </v>
      </c>
      <c r="T23" s="31" t="str">
        <f t="shared" si="10"/>
        <v xml:space="preserve">			this.isActive,</v>
      </c>
      <c r="U23" s="31" t="str">
        <f t="shared" si="11"/>
        <v xml:space="preserve">		this.isActive = '',</v>
      </c>
      <c r="V23" s="31" t="str">
        <f t="shared" si="7"/>
        <v>isActive</v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A2" sqref="A2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Hai_Cuba</cp:lastModifiedBy>
  <dcterms:created xsi:type="dcterms:W3CDTF">2022-04-01T07:31:40Z</dcterms:created>
  <dcterms:modified xsi:type="dcterms:W3CDTF">2022-06-01T10:35:17Z</dcterms:modified>
</cp:coreProperties>
</file>
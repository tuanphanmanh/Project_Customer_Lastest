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prod\docs\design\master\assy\"/>
    </mc:Choice>
  </mc:AlternateContent>
  <bookViews>
    <workbookView xWindow="0" yWindow="495" windowWidth="28800" windowHeight="16425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5" l="1"/>
  <c r="F16" i="5"/>
  <c r="E17" i="5"/>
  <c r="F17" i="5"/>
  <c r="E18" i="5"/>
  <c r="F18" i="5"/>
  <c r="E19" i="5"/>
  <c r="F19" i="5"/>
  <c r="E20" i="5"/>
  <c r="F20" i="5"/>
  <c r="E21" i="5"/>
  <c r="F21" i="5"/>
  <c r="E22" i="5"/>
  <c r="F22" i="5"/>
  <c r="E23" i="5"/>
  <c r="F23" i="5"/>
  <c r="E24" i="5"/>
  <c r="F24" i="5"/>
  <c r="E25" i="5"/>
  <c r="F25" i="5"/>
  <c r="E26" i="5"/>
  <c r="F26" i="5"/>
  <c r="E27" i="5"/>
  <c r="F27" i="5"/>
  <c r="E28" i="5"/>
  <c r="F28" i="5"/>
  <c r="E29" i="5"/>
  <c r="F29" i="5"/>
  <c r="E30" i="5"/>
  <c r="F30" i="5"/>
  <c r="E31" i="5"/>
  <c r="F31" i="5"/>
  <c r="E32" i="5"/>
  <c r="F32" i="5"/>
  <c r="E33" i="5"/>
  <c r="F33" i="5"/>
  <c r="E34" i="5"/>
  <c r="F34" i="5"/>
  <c r="C29" i="5"/>
  <c r="B29" i="5"/>
  <c r="D29" i="5" s="1"/>
  <c r="T29" i="5" s="1"/>
  <c r="C28" i="5"/>
  <c r="B28" i="5"/>
  <c r="D28" i="5" s="1"/>
  <c r="L14" i="1"/>
  <c r="G14" i="1"/>
  <c r="E14" i="1"/>
  <c r="H14" i="1" s="1"/>
  <c r="D14" i="1"/>
  <c r="V14" i="1" s="1"/>
  <c r="L20" i="1"/>
  <c r="G20" i="1"/>
  <c r="E20" i="1"/>
  <c r="H20" i="1" s="1"/>
  <c r="D20" i="1"/>
  <c r="V20" i="1" s="1"/>
  <c r="H29" i="5" l="1"/>
  <c r="I28" i="5"/>
  <c r="V29" i="5"/>
  <c r="T28" i="5"/>
  <c r="G28" i="5"/>
  <c r="S28" i="5" s="1"/>
  <c r="L28" i="5"/>
  <c r="V28" i="5"/>
  <c r="I29" i="5"/>
  <c r="K28" i="5"/>
  <c r="U28" i="5"/>
  <c r="H28" i="5"/>
  <c r="K29" i="5"/>
  <c r="U29" i="5"/>
  <c r="G29" i="5"/>
  <c r="S29" i="5" s="1"/>
  <c r="L29" i="5"/>
  <c r="W14" i="1"/>
  <c r="O14" i="1"/>
  <c r="J14" i="1"/>
  <c r="N14" i="1"/>
  <c r="I14" i="1"/>
  <c r="M14" i="1"/>
  <c r="P14" i="1"/>
  <c r="T14" i="1"/>
  <c r="W20" i="1"/>
  <c r="O20" i="1"/>
  <c r="J20" i="1"/>
  <c r="N20" i="1"/>
  <c r="I20" i="1"/>
  <c r="M20" i="1"/>
  <c r="P20" i="1"/>
  <c r="T20" i="1"/>
  <c r="C31" i="5"/>
  <c r="B31" i="5"/>
  <c r="D31" i="5" s="1"/>
  <c r="C25" i="5"/>
  <c r="B25" i="5"/>
  <c r="D25" i="5" s="1"/>
  <c r="C24" i="5"/>
  <c r="B24" i="5"/>
  <c r="D24" i="5" s="1"/>
  <c r="L18" i="1"/>
  <c r="G18" i="1"/>
  <c r="E18" i="1"/>
  <c r="H18" i="1" s="1"/>
  <c r="D18" i="1"/>
  <c r="V18" i="1" s="1"/>
  <c r="L21" i="1"/>
  <c r="G21" i="1"/>
  <c r="E21" i="1"/>
  <c r="H21" i="1" s="1"/>
  <c r="D21" i="1"/>
  <c r="T21" i="1" s="1"/>
  <c r="G25" i="5" l="1"/>
  <c r="S25" i="5" s="1"/>
  <c r="L25" i="5"/>
  <c r="V25" i="5"/>
  <c r="T31" i="5"/>
  <c r="H25" i="5"/>
  <c r="U25" i="5"/>
  <c r="T24" i="5"/>
  <c r="I25" i="5"/>
  <c r="T25" i="5"/>
  <c r="K25" i="5"/>
  <c r="J18" i="1"/>
  <c r="N18" i="1"/>
  <c r="I18" i="1"/>
  <c r="W18" i="1"/>
  <c r="M18" i="1"/>
  <c r="O18" i="1"/>
  <c r="P18" i="1"/>
  <c r="T18" i="1"/>
  <c r="M21" i="1"/>
  <c r="W21" i="1"/>
  <c r="O21" i="1"/>
  <c r="J21" i="1"/>
  <c r="N21" i="1"/>
  <c r="I21" i="1"/>
  <c r="V21" i="1"/>
  <c r="P21" i="1"/>
  <c r="C33" i="5"/>
  <c r="B33" i="5"/>
  <c r="D33" i="5" s="1"/>
  <c r="C32" i="5"/>
  <c r="B32" i="5"/>
  <c r="D32" i="5" s="1"/>
  <c r="C30" i="5"/>
  <c r="B30" i="5"/>
  <c r="D30" i="5" s="1"/>
  <c r="C27" i="5"/>
  <c r="B27" i="5"/>
  <c r="D27" i="5" s="1"/>
  <c r="C26" i="5"/>
  <c r="B26" i="5"/>
  <c r="D26" i="5" s="1"/>
  <c r="L17" i="1"/>
  <c r="G17" i="1"/>
  <c r="E17" i="1"/>
  <c r="H17" i="1" s="1"/>
  <c r="D17" i="1"/>
  <c r="V17" i="1" s="1"/>
  <c r="L16" i="1"/>
  <c r="G16" i="1"/>
  <c r="E16" i="1"/>
  <c r="H16" i="1" s="1"/>
  <c r="D16" i="1"/>
  <c r="V16" i="1" s="1"/>
  <c r="L19" i="1"/>
  <c r="G19" i="1"/>
  <c r="E19" i="1"/>
  <c r="H19" i="1" s="1"/>
  <c r="D19" i="1"/>
  <c r="V19" i="1" s="1"/>
  <c r="L27" i="1"/>
  <c r="G27" i="1"/>
  <c r="E27" i="1"/>
  <c r="H27" i="1" s="1"/>
  <c r="D27" i="1"/>
  <c r="V27" i="1" s="1"/>
  <c r="L26" i="1"/>
  <c r="G26" i="1"/>
  <c r="E26" i="1"/>
  <c r="H26" i="1" s="1"/>
  <c r="D26" i="1"/>
  <c r="V26" i="1" s="1"/>
  <c r="L25" i="1"/>
  <c r="G25" i="1"/>
  <c r="E25" i="1"/>
  <c r="H25" i="1" s="1"/>
  <c r="D25" i="1"/>
  <c r="V25" i="1" s="1"/>
  <c r="L24" i="1"/>
  <c r="G24" i="1"/>
  <c r="E24" i="1"/>
  <c r="H24" i="1" s="1"/>
  <c r="D24" i="1"/>
  <c r="T24" i="1" s="1"/>
  <c r="L23" i="1"/>
  <c r="G23" i="1"/>
  <c r="E23" i="1"/>
  <c r="H23" i="1" s="1"/>
  <c r="D23" i="1"/>
  <c r="T23" i="1" s="1"/>
  <c r="K24" i="5" l="1"/>
  <c r="M24" i="1"/>
  <c r="G24" i="5"/>
  <c r="S24" i="5" s="1"/>
  <c r="G30" i="5"/>
  <c r="S30" i="5" s="1"/>
  <c r="I32" i="5"/>
  <c r="U24" i="5"/>
  <c r="L24" i="5"/>
  <c r="I24" i="5"/>
  <c r="H24" i="5"/>
  <c r="V24" i="5"/>
  <c r="T33" i="5"/>
  <c r="U33" i="5"/>
  <c r="T30" i="5"/>
  <c r="T26" i="5"/>
  <c r="I33" i="5"/>
  <c r="H33" i="5"/>
  <c r="K33" i="5"/>
  <c r="T27" i="5"/>
  <c r="T32" i="5"/>
  <c r="G33" i="5"/>
  <c r="S33" i="5" s="1"/>
  <c r="L33" i="5"/>
  <c r="V33" i="5"/>
  <c r="M26" i="1"/>
  <c r="W17" i="1"/>
  <c r="O17" i="1"/>
  <c r="J17" i="1"/>
  <c r="I17" i="1"/>
  <c r="N17" i="1"/>
  <c r="M17" i="1"/>
  <c r="P17" i="1"/>
  <c r="T17" i="1"/>
  <c r="W16" i="1"/>
  <c r="O16" i="1"/>
  <c r="J16" i="1"/>
  <c r="N16" i="1"/>
  <c r="I16" i="1"/>
  <c r="M16" i="1"/>
  <c r="P16" i="1"/>
  <c r="T16" i="1"/>
  <c r="P19" i="1"/>
  <c r="W19" i="1"/>
  <c r="O19" i="1"/>
  <c r="J19" i="1"/>
  <c r="N19" i="1"/>
  <c r="I19" i="1"/>
  <c r="M19" i="1"/>
  <c r="T19" i="1"/>
  <c r="P26" i="1"/>
  <c r="T26" i="1"/>
  <c r="P25" i="1"/>
  <c r="W27" i="1"/>
  <c r="O27" i="1"/>
  <c r="J27" i="1"/>
  <c r="N27" i="1"/>
  <c r="I27" i="1"/>
  <c r="M27" i="1"/>
  <c r="I26" i="1"/>
  <c r="N26" i="1"/>
  <c r="P27" i="1"/>
  <c r="I24" i="1"/>
  <c r="J26" i="1"/>
  <c r="O26" i="1"/>
  <c r="W26" i="1"/>
  <c r="T27" i="1"/>
  <c r="W25" i="1"/>
  <c r="O25" i="1"/>
  <c r="J25" i="1"/>
  <c r="N25" i="1"/>
  <c r="I25" i="1"/>
  <c r="M25" i="1"/>
  <c r="J24" i="1"/>
  <c r="O24" i="1"/>
  <c r="W24" i="1"/>
  <c r="T25" i="1"/>
  <c r="P24" i="1"/>
  <c r="N24" i="1"/>
  <c r="V24" i="1"/>
  <c r="M23" i="1"/>
  <c r="I23" i="1"/>
  <c r="W23" i="1"/>
  <c r="O23" i="1"/>
  <c r="J23" i="1"/>
  <c r="N23" i="1"/>
  <c r="V23" i="1"/>
  <c r="P23" i="1"/>
  <c r="C19" i="5"/>
  <c r="B19" i="5"/>
  <c r="D19" i="5" s="1"/>
  <c r="T19" i="5" s="1"/>
  <c r="C18" i="5"/>
  <c r="B18" i="5"/>
  <c r="D18" i="5" s="1"/>
  <c r="C17" i="5"/>
  <c r="B17" i="5"/>
  <c r="D17" i="5" s="1"/>
  <c r="T17" i="5" s="1"/>
  <c r="U32" i="5" l="1"/>
  <c r="V32" i="5"/>
  <c r="K32" i="5"/>
  <c r="G32" i="5"/>
  <c r="S32" i="5" s="1"/>
  <c r="L32" i="5"/>
  <c r="H31" i="5"/>
  <c r="U31" i="5"/>
  <c r="I31" i="5"/>
  <c r="L31" i="5"/>
  <c r="K31" i="5"/>
  <c r="V31" i="5"/>
  <c r="G31" i="5"/>
  <c r="S31" i="5" s="1"/>
  <c r="H32" i="5"/>
  <c r="K30" i="5"/>
  <c r="V30" i="5"/>
  <c r="H30" i="5"/>
  <c r="L30" i="5"/>
  <c r="U30" i="5"/>
  <c r="I30" i="5"/>
  <c r="T18" i="5"/>
  <c r="L22" i="1" l="1"/>
  <c r="G22" i="1"/>
  <c r="E22" i="1"/>
  <c r="H22" i="1" s="1"/>
  <c r="D22" i="1"/>
  <c r="T22" i="1" s="1"/>
  <c r="L15" i="1"/>
  <c r="G15" i="1"/>
  <c r="E15" i="1"/>
  <c r="H15" i="1" s="1"/>
  <c r="D15" i="1"/>
  <c r="V15" i="1" s="1"/>
  <c r="L13" i="1"/>
  <c r="G13" i="1"/>
  <c r="E13" i="1"/>
  <c r="H13" i="1" s="1"/>
  <c r="D13" i="1"/>
  <c r="V13" i="1" s="1"/>
  <c r="G12" i="1"/>
  <c r="E12" i="1"/>
  <c r="H12" i="1" s="1"/>
  <c r="D12" i="1"/>
  <c r="T12" i="1" s="1"/>
  <c r="G9" i="1"/>
  <c r="F15" i="5" s="1"/>
  <c r="E9" i="1"/>
  <c r="H9" i="1" s="1"/>
  <c r="E15" i="5" s="1"/>
  <c r="D9" i="1"/>
  <c r="V9" i="1" s="1"/>
  <c r="K27" i="5" l="1"/>
  <c r="V27" i="5"/>
  <c r="U27" i="5"/>
  <c r="G27" i="5"/>
  <c r="S27" i="5" s="1"/>
  <c r="I27" i="5"/>
  <c r="H27" i="5"/>
  <c r="L27" i="5"/>
  <c r="I26" i="5"/>
  <c r="U26" i="5"/>
  <c r="G26" i="5"/>
  <c r="S26" i="5" s="1"/>
  <c r="H26" i="5"/>
  <c r="K26" i="5"/>
  <c r="L26" i="5"/>
  <c r="V26" i="5"/>
  <c r="V19" i="5"/>
  <c r="U19" i="5"/>
  <c r="G19" i="5"/>
  <c r="S19" i="5" s="1"/>
  <c r="L19" i="5"/>
  <c r="H19" i="5"/>
  <c r="K19" i="5"/>
  <c r="I19" i="5"/>
  <c r="K18" i="5"/>
  <c r="U18" i="5"/>
  <c r="I18" i="5"/>
  <c r="L18" i="5"/>
  <c r="V18" i="5"/>
  <c r="G18" i="5"/>
  <c r="S18" i="5" s="1"/>
  <c r="H18" i="5"/>
  <c r="M22" i="1"/>
  <c r="M12" i="1"/>
  <c r="I22" i="1"/>
  <c r="J22" i="1"/>
  <c r="O22" i="1"/>
  <c r="W22" i="1"/>
  <c r="P22" i="1"/>
  <c r="N22" i="1"/>
  <c r="V22" i="1"/>
  <c r="W15" i="1"/>
  <c r="O15" i="1"/>
  <c r="J15" i="1"/>
  <c r="N15" i="1"/>
  <c r="I15" i="1"/>
  <c r="M15" i="1"/>
  <c r="P15" i="1"/>
  <c r="T15" i="1"/>
  <c r="P13" i="1"/>
  <c r="I12" i="1"/>
  <c r="V12" i="1"/>
  <c r="W13" i="1"/>
  <c r="O13" i="1"/>
  <c r="J13" i="1"/>
  <c r="N13" i="1"/>
  <c r="I13" i="1"/>
  <c r="M13" i="1"/>
  <c r="J12" i="1"/>
  <c r="O12" i="1"/>
  <c r="W12" i="1"/>
  <c r="T13" i="1"/>
  <c r="N12" i="1"/>
  <c r="P12" i="1"/>
  <c r="W9" i="1"/>
  <c r="O9" i="1"/>
  <c r="J9" i="1"/>
  <c r="N9" i="1"/>
  <c r="I9" i="1"/>
  <c r="M9" i="1"/>
  <c r="P9" i="1"/>
  <c r="T9" i="1"/>
  <c r="C23" i="5"/>
  <c r="B23" i="5"/>
  <c r="D23" i="5" s="1"/>
  <c r="T23" i="5" l="1"/>
  <c r="C22" i="5"/>
  <c r="B22" i="5"/>
  <c r="D22" i="5" s="1"/>
  <c r="T22" i="5" l="1"/>
  <c r="V22" i="5"/>
  <c r="H22" i="5"/>
  <c r="I22" i="5"/>
  <c r="K22" i="5"/>
  <c r="U22" i="5"/>
  <c r="G22" i="5"/>
  <c r="S22" i="5" s="1"/>
  <c r="L22" i="5"/>
  <c r="G11" i="1"/>
  <c r="E11" i="1"/>
  <c r="H11" i="1" s="1"/>
  <c r="D11" i="1"/>
  <c r="V11" i="1" s="1"/>
  <c r="H17" i="5" l="1"/>
  <c r="V17" i="5"/>
  <c r="K17" i="5"/>
  <c r="U17" i="5"/>
  <c r="I17" i="5"/>
  <c r="G17" i="5"/>
  <c r="S17" i="5" s="1"/>
  <c r="L17" i="5"/>
  <c r="T11" i="1"/>
  <c r="W11" i="1"/>
  <c r="P11" i="1"/>
  <c r="I11" i="1"/>
  <c r="N11" i="1"/>
  <c r="M11" i="1"/>
  <c r="J11" i="1"/>
  <c r="O11" i="1"/>
  <c r="C21" i="5" l="1"/>
  <c r="B21" i="5"/>
  <c r="D21" i="5" s="1"/>
  <c r="T21" i="5" s="1"/>
  <c r="C20" i="5" l="1"/>
  <c r="B20" i="5"/>
  <c r="D20" i="5" s="1"/>
  <c r="C16" i="5"/>
  <c r="B16" i="5"/>
  <c r="D16" i="5" s="1"/>
  <c r="T16" i="5" l="1"/>
  <c r="T20" i="5"/>
  <c r="C34" i="5" l="1"/>
  <c r="B34" i="5"/>
  <c r="D34" i="5" s="1"/>
  <c r="T34" i="5" s="1"/>
  <c r="Q3" i="1" l="1"/>
  <c r="B15" i="5" l="1"/>
  <c r="D15" i="5" s="1"/>
  <c r="C15" i="5"/>
  <c r="G28" i="1"/>
  <c r="E28" i="1"/>
  <c r="H28" i="1" s="1"/>
  <c r="D28" i="1"/>
  <c r="V28" i="1" s="1"/>
  <c r="G10" i="1"/>
  <c r="E10" i="1"/>
  <c r="H10" i="1" s="1"/>
  <c r="D10" i="1"/>
  <c r="T10" i="1" s="1"/>
  <c r="V23" i="5" l="1"/>
  <c r="K23" i="5"/>
  <c r="L23" i="5"/>
  <c r="G23" i="5"/>
  <c r="S23" i="5" s="1"/>
  <c r="I23" i="5"/>
  <c r="H23" i="5"/>
  <c r="U23" i="5"/>
  <c r="V21" i="5"/>
  <c r="I21" i="5"/>
  <c r="G21" i="5"/>
  <c r="S21" i="5" s="1"/>
  <c r="K21" i="5"/>
  <c r="U21" i="5"/>
  <c r="L21" i="5"/>
  <c r="H21" i="5"/>
  <c r="K20" i="5"/>
  <c r="G20" i="5"/>
  <c r="S20" i="5" s="1"/>
  <c r="V20" i="5"/>
  <c r="H20" i="5"/>
  <c r="U20" i="5"/>
  <c r="L20" i="5"/>
  <c r="I20" i="5"/>
  <c r="V16" i="5"/>
  <c r="L16" i="5"/>
  <c r="G16" i="5"/>
  <c r="S16" i="5" s="1"/>
  <c r="H16" i="5"/>
  <c r="I16" i="5"/>
  <c r="K16" i="5"/>
  <c r="U16" i="5"/>
  <c r="G34" i="5"/>
  <c r="S34" i="5" s="1"/>
  <c r="U34" i="5"/>
  <c r="K34" i="5"/>
  <c r="I34" i="5"/>
  <c r="V34" i="5"/>
  <c r="H34" i="5"/>
  <c r="L34" i="5"/>
  <c r="O28" i="1"/>
  <c r="G15" i="5"/>
  <c r="L15" i="5"/>
  <c r="I15" i="5"/>
  <c r="H15" i="5"/>
  <c r="V15" i="5"/>
  <c r="V10" i="1"/>
  <c r="P28" i="1"/>
  <c r="T28" i="1"/>
  <c r="I10" i="1"/>
  <c r="O10" i="1"/>
  <c r="J10" i="1"/>
  <c r="N10" i="1"/>
  <c r="M10" i="1"/>
  <c r="W10" i="1"/>
  <c r="I28" i="1"/>
  <c r="J28" i="1"/>
  <c r="W28" i="1"/>
  <c r="M28" i="1"/>
  <c r="P10" i="1"/>
  <c r="N28" i="1"/>
  <c r="K15" i="5" l="1"/>
  <c r="U15" i="5"/>
  <c r="T15" i="5"/>
  <c r="S15" i="5"/>
  <c r="W3" i="1" l="1"/>
  <c r="V3" i="1"/>
  <c r="B2" i="5" l="1"/>
  <c r="B3" i="5" s="1"/>
  <c r="B6" i="5" l="1"/>
  <c r="U7" i="1" l="1"/>
  <c r="B7" i="5" l="1"/>
  <c r="T3" i="1" l="1"/>
  <c r="F3" i="1"/>
  <c r="O7" i="1" l="1"/>
  <c r="N7" i="1"/>
  <c r="E59" i="3" s="1"/>
  <c r="B4" i="5"/>
  <c r="K7" i="1"/>
  <c r="H6" i="1"/>
  <c r="R10" i="5" l="1"/>
  <c r="M66" i="3" s="1"/>
  <c r="N59" i="3" l="1"/>
  <c r="B8" i="5"/>
  <c r="B5" i="5"/>
  <c r="P10" i="5" l="1"/>
  <c r="K66" i="3" s="1"/>
  <c r="Q10" i="5"/>
  <c r="L66" i="3" s="1"/>
  <c r="B64" i="3"/>
  <c r="C64" i="3" s="1"/>
  <c r="M14" i="5"/>
  <c r="H65" i="3" s="1"/>
  <c r="L14" i="5"/>
  <c r="G65" i="3" s="1"/>
  <c r="K14" i="5"/>
  <c r="F65" i="3" s="1"/>
  <c r="L65" i="3"/>
  <c r="K65" i="3"/>
  <c r="O14" i="5"/>
  <c r="J65" i="3" s="1"/>
  <c r="N14" i="5"/>
  <c r="I65" i="3" s="1"/>
  <c r="J14" i="5"/>
  <c r="E65" i="3" s="1"/>
  <c r="I14" i="5"/>
  <c r="D65" i="3" s="1"/>
  <c r="H14" i="5"/>
  <c r="C65" i="3" s="1"/>
  <c r="O10" i="5"/>
  <c r="J66" i="3" s="1"/>
  <c r="N10" i="5"/>
  <c r="I66" i="3" s="1"/>
  <c r="M10" i="5"/>
  <c r="H66" i="3" s="1"/>
  <c r="J10" i="5"/>
  <c r="E66" i="3" s="1"/>
  <c r="N3" i="1" l="1"/>
  <c r="M3" i="1"/>
  <c r="O3" i="1"/>
  <c r="V30" i="1"/>
  <c r="K12" i="5" l="1"/>
  <c r="H12" i="5"/>
  <c r="V12" i="5"/>
  <c r="T12" i="5"/>
  <c r="U12" i="5"/>
  <c r="I12" i="5"/>
  <c r="L12" i="5"/>
  <c r="S12" i="5"/>
  <c r="R3" i="1" l="1"/>
  <c r="D1" i="1"/>
  <c r="F6" i="1"/>
  <c r="T30" i="1"/>
  <c r="T13" i="5"/>
  <c r="T7" i="1" l="1"/>
  <c r="W30" i="1"/>
  <c r="G6" i="1" l="1"/>
  <c r="V13" i="5"/>
  <c r="H13" i="5"/>
  <c r="I13" i="5"/>
  <c r="U13" i="5"/>
  <c r="L13" i="5"/>
  <c r="K13" i="5"/>
  <c r="S13" i="5"/>
  <c r="K10" i="5" l="1"/>
  <c r="F66" i="3" s="1"/>
  <c r="I10" i="5"/>
  <c r="D66" i="3" s="1"/>
  <c r="H10" i="5"/>
  <c r="C66" i="3" s="1"/>
  <c r="L10" i="5"/>
  <c r="G66" i="3" s="1"/>
  <c r="L59" i="3"/>
  <c r="D59" i="3"/>
  <c r="D6" i="1"/>
  <c r="B6" i="1" l="1"/>
  <c r="L3" i="1"/>
  <c r="J3" i="1"/>
  <c r="H3" i="1"/>
  <c r="C6" i="1" l="1"/>
  <c r="P7" i="1" s="1"/>
  <c r="S3" i="1"/>
  <c r="S7" i="1" s="1"/>
  <c r="E6" i="1"/>
  <c r="F59" i="3"/>
  <c r="I3" i="1" l="1"/>
  <c r="B7" i="1"/>
  <c r="L12" i="1" l="1"/>
  <c r="L9" i="1"/>
  <c r="L11" i="1"/>
  <c r="L10" i="1"/>
  <c r="L28" i="1"/>
  <c r="C7" i="1"/>
  <c r="O30" i="1"/>
  <c r="P30" i="1"/>
  <c r="I30" i="1"/>
  <c r="N30" i="1"/>
  <c r="J30" i="1"/>
  <c r="Q7" i="1" l="1"/>
  <c r="M59" i="3" s="1"/>
  <c r="L7" i="1"/>
  <c r="G59" i="3" s="1"/>
  <c r="K59" i="3"/>
  <c r="J59" i="3"/>
  <c r="K30" i="1"/>
  <c r="M30" i="1"/>
  <c r="R7" i="1" l="1"/>
  <c r="I59" i="3" s="1"/>
  <c r="M7" i="1"/>
  <c r="H59" i="3" s="1"/>
  <c r="J7" i="1"/>
  <c r="C59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5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5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5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5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5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5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5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5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5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5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5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58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<sst xmlns="http://schemas.openxmlformats.org/spreadsheetml/2006/main" count="484" uniqueCount="351">
  <si>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</si>
  <si>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</si>
  <si>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</si>
  <si>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</si>
  <si>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</si>
  <si>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</si>
  <si>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</si>
  <si>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</si>
  <si>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</si>
  <si>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</si>
  <si>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</si>
  <si>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</si>
  <si>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</si>
  <si>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</si>
  <si>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</si>
  <si>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</si>
  <si>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</si>
  <si>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</si>
  <si>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</si>
  <si>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</si>
  <si>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</si>
  <si>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</si>
  <si>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</si>
  <si>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</si>
  <si>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</si>
  <si>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</si>
  <si>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</si>
  <si>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</si>
  <si>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</si>
  <si>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</si>
  <si>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</si>
  <si>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</si>
  <si>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</si>
  <si>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</si>
  <si>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</si>
  <si>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</si>
  <si>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</si>
  <si>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</si>
  <si>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</si>
  <si>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</si>
  <si>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</si>
  <si>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</si>
  <si>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</si>
  <si>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</si>
  <si>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</si>
  <si>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</si>
  <si>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</si>
  <si>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</si>
  <si>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</si>
  <si>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</si>
  <si>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</si>
  <si>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</si>
  <si>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</si>
  <si>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</si>
  <si>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</si>
  <si>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</si>
  <si>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</si>
  <si>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</si>
  <si>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</si>
  <si>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</si>
  <si>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</si>
  <si>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</si>
  <si>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</si>
  <si>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</si>
  <si>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</si>
  <si>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</si>
  <si>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</si>
  <si>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</si>
  <si>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</si>
  <si>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</si>
  <si>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</si>
  <si>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</si>
  <si>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</si>
  <si>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</si>
  <si>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</si>
  <si>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</si>
  <si>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</si>
  <si>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</si>
  <si>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</si>
  <si>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</si>
  <si>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</si>
  <si>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</si>
  <si>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</si>
  <si>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</si>
  <si>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</si>
  <si>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</si>
  <si>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</si>
  <si>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</si>
  <si>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</si>
  <si>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</si>
  <si>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</si>
  <si>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</si>
  <si>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</si>
  <si>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</si>
  <si>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</si>
  <si>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</si>
  <si>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</si>
  <si>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</si>
  <si>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</si>
  <si>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</si>
  <si>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</si>
  <si>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</si>
  <si>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</si>
  <si>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</si>
  <si>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</si>
  <si>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</si>
  <si>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</si>
  <si>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</si>
  <si>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</si>
  <si>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</si>
  <si>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</si>
  <si>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</si>
  <si>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</si>
  <si>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</si>
  <si>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</si>
  <si>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</si>
  <si>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</si>
  <si>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</si>
  <si>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</si>
  <si>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</si>
  <si>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</si>
  <si>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</si>
  <si>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</si>
  <si>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</si>
  <si>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</si>
  <si>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</si>
  <si>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</si>
  <si>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</si>
  <si>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</si>
  <si>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</si>
  <si>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</si>
  <si>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</si>
  <si>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</si>
  <si>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</si>
  <si>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</si>
  <si>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</si>
  <si>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</si>
  <si>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</si>
  <si>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</si>
  <si>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</si>
  <si>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</si>
  <si>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</si>
  <si>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</si>
  <si>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</si>
  <si>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</si>
  <si>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</si>
  <si>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</si>
  <si>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</si>
  <si>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</si>
  <si>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</si>
  <si>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</si>
  <si>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</si>
  <si>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</si>
  <si>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</si>
  <si>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</si>
  <si>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</si>
  <si>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</si>
  <si>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</si>
  <si>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</si>
  <si>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</si>
  <si>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</si>
  <si>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</si>
  <si>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</si>
  <si>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</si>
  <si>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</si>
  <si>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</si>
  <si>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</si>
  <si>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</si>
  <si>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</si>
  <si>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</si>
  <si>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</si>
  <si>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</si>
  <si>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</si>
  <si>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</si>
  <si>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</si>
  <si>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</si>
  <si>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</si>
  <si>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</si>
  <si>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</si>
  <si>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</si>
  <si>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</si>
  <si>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</si>
  <si>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</si>
  <si>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</si>
  <si>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</si>
  <si>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</si>
  <si>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</si>
  <si>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</si>
  <si>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</si>
  <si>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</si>
  <si>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</si>
  <si>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</si>
  <si>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</si>
  <si>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</si>
  <si>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</si>
  <si>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</si>
  <si>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</si>
  <si>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</si>
  <si>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</si>
  <si>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</si>
  <si>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</si>
  <si>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</si>
  <si>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</si>
  <si>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</si>
  <si>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</si>
  <si>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</si>
  <si>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</si>
  <si>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</si>
  <si>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</si>
  <si>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</si>
  <si>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</si>
  <si>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</si>
  <si>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</si>
  <si>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</si>
  <si>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</si>
  <si>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</si>
  <si>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</si>
  <si>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</si>
  <si>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</si>
  <si>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</si>
  <si>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</si>
  <si>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</si>
  <si>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</si>
  <si>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</si>
  <si>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</si>
  <si>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</si>
  <si>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</si>
  <si>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</si>
  <si>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</si>
  <si>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</si>
  <si>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</si>
  <si>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</si>
  <si>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</si>
  <si>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</si>
  <si>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</si>
  <si>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</si>
  <si>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</si>
  <si>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</si>
  <si>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</si>
  <si>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</si>
  <si>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</si>
  <si>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</si>
  <si>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</si>
  <si>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</si>
  <si>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</si>
  <si>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</si>
  <si>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</si>
  <si>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</si>
  <si>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</si>
  <si>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</si>
  <si>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</si>
  <si>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</si>
  <si>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</si>
  <si>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</si>
  <si>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</si>
  <si>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</si>
  <si>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</si>
  <si>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</si>
  <si>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</si>
  <si>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</si>
  <si>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</si>
  <si>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</si>
  <si>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</si>
  <si>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</si>
  <si>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</si>
  <si>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</si>
  <si>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</si>
  <si>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</si>
  <si>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</si>
  <si>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</si>
  <si>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</si>
  <si>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</si>
  <si>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</si>
  <si>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</si>
  <si>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</si>
  <si>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</si>
  <si>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</si>
  <si>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</si>
  <si>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</si>
  <si>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</si>
  <si>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</si>
  <si>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</si>
  <si>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</si>
  <si>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</si>
  <si>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</si>
  <si>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</si>
  <si>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</si>
  <si>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</si>
  <si>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</si>
  <si>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</si>
  <si>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</si>
  <si>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</si>
  <si>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</si>
  <si>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</si>
  <si>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</si>
  <si>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</si>
  <si>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</si>
  <si>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</si>
  <si>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</si>
  <si>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</si>
  <si>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</si>
  <si>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</si>
  <si>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</si>
  <si>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</si>
  <si>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</si>
  <si>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</si>
  <si>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CCR Plan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</si>
  <si>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</si>
  <si>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</si>
  <si>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</si>
  <si>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</si>
  <si>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</si>
  <si>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</si>
  <si>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</si>
  <si>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</si>
  <si>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</si>
  <si>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</si>
  <si>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</si>
  <si>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</si>
  <si>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</si>
  <si>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</si>
  <si>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varchar(50)</t>
  </si>
  <si>
    <t>PROD_LINE</t>
  </si>
  <si>
    <t>IS_ACTIVE</t>
  </si>
  <si>
    <t>varchar(1)</t>
  </si>
  <si>
    <t>Assy</t>
  </si>
  <si>
    <t>Asy</t>
  </si>
  <si>
    <t>MstAsy</t>
  </si>
  <si>
    <t>PROCESS_GROUP</t>
  </si>
  <si>
    <t>SCREEN_CODE</t>
  </si>
  <si>
    <t>SCREEN_NAME</t>
  </si>
  <si>
    <t>PROCESS_LIST</t>
  </si>
  <si>
    <t>HEADER_LIST</t>
  </si>
  <si>
    <t>IS_SHOW_BODY</t>
  </si>
  <si>
    <t>IS_SHOW_MODEL</t>
  </si>
  <si>
    <t>IS_SHOW_GRADE</t>
  </si>
  <si>
    <t>IS_SHOW_SEQUENCE</t>
  </si>
  <si>
    <t>IS_SHOW_LOT_NO</t>
  </si>
  <si>
    <t>IS_SHOW_COLOR</t>
  </si>
  <si>
    <t>LEFT_TITLE</t>
  </si>
  <si>
    <t>varchar(200)</t>
  </si>
  <si>
    <t>HEADER_COLOR_1</t>
  </si>
  <si>
    <t>Master SPS Assembly Screen Config</t>
  </si>
  <si>
    <t>Master.Assy</t>
  </si>
  <si>
    <t>MstAssySpsAssemblyScreenConfig</t>
  </si>
  <si>
    <t>SpsAssemblyScreenConfig</t>
  </si>
  <si>
    <t>HEADER_COLOR_2</t>
  </si>
  <si>
    <t>IS_SHOW_LEFT_TITLE</t>
  </si>
  <si>
    <t>IS_SHOW_HEADER</t>
  </si>
  <si>
    <t>LEFT_TITLE_VN</t>
  </si>
  <si>
    <t>BLINK_PROCESS_LIST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</si>
</sst>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68"/>
  <sheetViews>
    <sheetView topLeftCell="A6" workbookViewId="0">
      <selection activeCell="D22" sqref="D22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5" t="s">
        <v>74</v>
      </c>
    </row>
    <row r="2" spans="1:7" ht="15.75" x14ac:dyDescent="0.25">
      <c r="A2" s="1"/>
      <c r="B2" s="27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s="17" t="s">
        <v>76</v>
      </c>
    </row>
    <row r="5" spans="1:7" x14ac:dyDescent="0.25">
      <c r="A5" s="1"/>
      <c r="B5" s="17" t="s">
        <v>79</v>
      </c>
    </row>
    <row r="6" spans="1:7" x14ac:dyDescent="0.25">
      <c r="A6" s="1"/>
      <c r="B6" s="17" t="s">
        <v>87</v>
      </c>
    </row>
    <row r="7" spans="1:7" x14ac:dyDescent="0.25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2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25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25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25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25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25">
      <c r="A14" s="1"/>
      <c r="B14" s="17"/>
      <c r="D14" t="s">
        <v>325</v>
      </c>
      <c r="F14" s="1" t="s">
        <v>326</v>
      </c>
      <c r="G14" s="17" t="s">
        <v>327</v>
      </c>
    </row>
    <row r="15" spans="1:7" x14ac:dyDescent="0.25">
      <c r="A15" s="1"/>
      <c r="B15" s="17"/>
      <c r="D15" t="s">
        <v>93</v>
      </c>
      <c r="F15" s="1" t="s">
        <v>102</v>
      </c>
      <c r="G15" s="17" t="s">
        <v>290</v>
      </c>
    </row>
    <row r="16" spans="1:7" x14ac:dyDescent="0.25">
      <c r="A16" s="1"/>
      <c r="B16" s="17"/>
      <c r="D16" t="s">
        <v>94</v>
      </c>
      <c r="F16" s="1" t="s">
        <v>103</v>
      </c>
      <c r="G16" s="17" t="s">
        <v>291</v>
      </c>
    </row>
    <row r="17" spans="1:7" ht="12" customHeight="1" x14ac:dyDescent="0.25">
      <c r="A17" s="1"/>
      <c r="B17" s="17"/>
      <c r="D17" t="s">
        <v>271</v>
      </c>
      <c r="F17" s="1" t="s">
        <v>272</v>
      </c>
      <c r="G17" s="17" t="s">
        <v>292</v>
      </c>
    </row>
    <row r="18" spans="1:7" ht="12" customHeight="1" x14ac:dyDescent="0.25">
      <c r="A18" s="1"/>
      <c r="B18" s="17"/>
      <c r="D18" t="s">
        <v>307</v>
      </c>
      <c r="F18" s="1" t="s">
        <v>308</v>
      </c>
      <c r="G18" s="17" t="s">
        <v>309</v>
      </c>
    </row>
    <row r="19" spans="1:7" x14ac:dyDescent="0.25">
      <c r="A19" s="1"/>
      <c r="B19" s="17"/>
      <c r="C19" t="s">
        <v>91</v>
      </c>
      <c r="F19" s="1" t="s">
        <v>100</v>
      </c>
      <c r="G19" s="17" t="s">
        <v>100</v>
      </c>
    </row>
    <row r="20" spans="1:7" x14ac:dyDescent="0.25">
      <c r="A20" s="1"/>
      <c r="B20" s="17"/>
      <c r="D20" t="s">
        <v>95</v>
      </c>
      <c r="F20" s="1" t="s">
        <v>114</v>
      </c>
      <c r="G20" s="17" t="s">
        <v>293</v>
      </c>
    </row>
    <row r="21" spans="1:7" x14ac:dyDescent="0.25">
      <c r="A21" s="1"/>
      <c r="B21" s="17"/>
      <c r="D21" t="s">
        <v>96</v>
      </c>
      <c r="F21" s="1" t="s">
        <v>104</v>
      </c>
      <c r="G21" s="17" t="s">
        <v>294</v>
      </c>
    </row>
    <row r="22" spans="1:7" x14ac:dyDescent="0.25">
      <c r="A22" s="1"/>
      <c r="B22" s="17"/>
      <c r="C22" t="s">
        <v>92</v>
      </c>
      <c r="F22" s="1" t="s">
        <v>101</v>
      </c>
      <c r="G22" s="17" t="s">
        <v>101</v>
      </c>
    </row>
    <row r="23" spans="1:7" x14ac:dyDescent="0.25">
      <c r="A23" s="1"/>
      <c r="B23" s="17"/>
      <c r="D23" t="s">
        <v>95</v>
      </c>
      <c r="F23" s="1" t="s">
        <v>114</v>
      </c>
      <c r="G23" s="17" t="s">
        <v>303</v>
      </c>
    </row>
    <row r="24" spans="1:7" x14ac:dyDescent="0.25">
      <c r="A24" s="1"/>
      <c r="B24" s="17"/>
      <c r="C24" t="s">
        <v>90</v>
      </c>
      <c r="F24" s="1" t="s">
        <v>99</v>
      </c>
      <c r="G24" s="17" t="s">
        <v>99</v>
      </c>
    </row>
    <row r="25" spans="1:7" x14ac:dyDescent="0.25">
      <c r="A25" s="1"/>
      <c r="B25" s="17"/>
      <c r="D25" t="s">
        <v>95</v>
      </c>
      <c r="F25" s="1" t="s">
        <v>114</v>
      </c>
      <c r="G25" s="17" t="s">
        <v>302</v>
      </c>
    </row>
    <row r="26" spans="1:7" x14ac:dyDescent="0.25">
      <c r="A26" s="1"/>
      <c r="B26" s="17"/>
      <c r="C26" t="s">
        <v>93</v>
      </c>
      <c r="F26" s="1" t="s">
        <v>102</v>
      </c>
      <c r="G26" s="17" t="s">
        <v>102</v>
      </c>
    </row>
    <row r="27" spans="1:7" x14ac:dyDescent="0.25">
      <c r="A27" s="1"/>
      <c r="B27" s="17"/>
      <c r="C27" t="s">
        <v>271</v>
      </c>
      <c r="F27" s="1" t="s">
        <v>272</v>
      </c>
      <c r="G27" s="17" t="s">
        <v>272</v>
      </c>
    </row>
    <row r="28" spans="1:7" x14ac:dyDescent="0.25">
      <c r="A28" s="1"/>
      <c r="B28" s="17"/>
      <c r="D28" t="s">
        <v>273</v>
      </c>
      <c r="F28" s="1" t="s">
        <v>275</v>
      </c>
      <c r="G28" s="17" t="s">
        <v>295</v>
      </c>
    </row>
    <row r="29" spans="1:7" x14ac:dyDescent="0.25">
      <c r="A29" s="1"/>
      <c r="B29" s="17"/>
      <c r="D29" t="s">
        <v>276</v>
      </c>
      <c r="F29" s="1" t="s">
        <v>274</v>
      </c>
      <c r="G29" s="17" t="s">
        <v>296</v>
      </c>
    </row>
    <row r="30" spans="1:7" x14ac:dyDescent="0.25">
      <c r="A30" s="1"/>
      <c r="B30" s="17"/>
      <c r="D30" t="s">
        <v>277</v>
      </c>
      <c r="F30" s="1" t="s">
        <v>280</v>
      </c>
      <c r="G30" s="17" t="s">
        <v>297</v>
      </c>
    </row>
    <row r="31" spans="1:7" x14ac:dyDescent="0.25">
      <c r="A31" s="1"/>
      <c r="B31" s="17"/>
      <c r="D31" t="s">
        <v>278</v>
      </c>
      <c r="F31" s="1" t="s">
        <v>281</v>
      </c>
      <c r="G31" s="17" t="s">
        <v>298</v>
      </c>
    </row>
    <row r="32" spans="1:7" x14ac:dyDescent="0.25">
      <c r="A32" s="1"/>
      <c r="B32" s="17"/>
      <c r="D32" t="s">
        <v>279</v>
      </c>
      <c r="F32" s="1" t="s">
        <v>282</v>
      </c>
      <c r="G32" s="17" t="s">
        <v>299</v>
      </c>
    </row>
    <row r="33" spans="1:8" x14ac:dyDescent="0.25">
      <c r="A33" s="1"/>
      <c r="B33" s="17"/>
      <c r="D33" t="s">
        <v>284</v>
      </c>
      <c r="F33" s="1" t="s">
        <v>283</v>
      </c>
      <c r="G33" s="17" t="s">
        <v>300</v>
      </c>
    </row>
    <row r="34" spans="1:8" x14ac:dyDescent="0.25">
      <c r="A34" s="1"/>
      <c r="B34" s="17"/>
      <c r="C34" t="s">
        <v>307</v>
      </c>
      <c r="F34" s="1" t="s">
        <v>308</v>
      </c>
      <c r="G34" s="17" t="s">
        <v>308</v>
      </c>
    </row>
    <row r="35" spans="1:8" x14ac:dyDescent="0.25">
      <c r="A35" s="1"/>
      <c r="B35" s="17"/>
      <c r="D35" t="s">
        <v>310</v>
      </c>
      <c r="F35" s="1" t="s">
        <v>311</v>
      </c>
      <c r="G35" s="17" t="s">
        <v>312</v>
      </c>
    </row>
    <row r="36" spans="1:8" x14ac:dyDescent="0.25">
      <c r="A36" s="1"/>
      <c r="B36" s="17"/>
      <c r="D36" t="s">
        <v>96</v>
      </c>
      <c r="F36" s="1" t="s">
        <v>104</v>
      </c>
      <c r="G36" s="17" t="s">
        <v>313</v>
      </c>
    </row>
    <row r="37" spans="1:8" x14ac:dyDescent="0.25">
      <c r="A37" s="1"/>
      <c r="B37" s="17"/>
      <c r="D37" t="s">
        <v>314</v>
      </c>
      <c r="F37" s="1" t="s">
        <v>315</v>
      </c>
      <c r="G37" s="17" t="s">
        <v>316</v>
      </c>
    </row>
    <row r="38" spans="1:8" x14ac:dyDescent="0.25">
      <c r="A38" s="1"/>
      <c r="B38" s="17"/>
      <c r="D38" t="s">
        <v>317</v>
      </c>
      <c r="F38" s="1" t="s">
        <v>318</v>
      </c>
      <c r="G38" s="17" t="s">
        <v>319</v>
      </c>
    </row>
    <row r="39" spans="1:8" x14ac:dyDescent="0.25">
      <c r="A39" s="1"/>
      <c r="B39" s="17"/>
      <c r="C39" t="s">
        <v>320</v>
      </c>
      <c r="F39" s="1" t="s">
        <v>301</v>
      </c>
      <c r="G39" s="17" t="s">
        <v>301</v>
      </c>
    </row>
    <row r="40" spans="1:8" x14ac:dyDescent="0.25">
      <c r="A40" s="1"/>
      <c r="B40" s="17"/>
      <c r="D40" t="s">
        <v>304</v>
      </c>
      <c r="F40" s="1" t="s">
        <v>304</v>
      </c>
      <c r="G40" s="17" t="s">
        <v>305</v>
      </c>
      <c r="H40" s="17" t="s">
        <v>306</v>
      </c>
    </row>
    <row r="41" spans="1:8" x14ac:dyDescent="0.25">
      <c r="A41" s="1"/>
      <c r="B41" s="17"/>
      <c r="F41" s="1"/>
    </row>
    <row r="42" spans="1:8" x14ac:dyDescent="0.25">
      <c r="A42" s="1"/>
      <c r="B42" s="17"/>
    </row>
    <row r="43" spans="1:8" x14ac:dyDescent="0.25">
      <c r="A43" s="1"/>
      <c r="B43" s="17" t="s">
        <v>86</v>
      </c>
    </row>
    <row r="44" spans="1:8" x14ac:dyDescent="0.25">
      <c r="A44" s="1"/>
      <c r="B44" s="17" t="s">
        <v>83</v>
      </c>
    </row>
    <row r="45" spans="1:8" x14ac:dyDescent="0.25">
      <c r="A45" s="1"/>
      <c r="B45" s="17"/>
      <c r="C45" s="19" t="s">
        <v>80</v>
      </c>
    </row>
    <row r="46" spans="1:8" x14ac:dyDescent="0.25">
      <c r="A46" s="1"/>
      <c r="B46" s="17"/>
      <c r="C46" s="18" t="s">
        <v>81</v>
      </c>
    </row>
    <row r="47" spans="1:8" x14ac:dyDescent="0.25">
      <c r="A47" s="1"/>
      <c r="B47" s="17"/>
      <c r="C47" s="18" t="s">
        <v>82</v>
      </c>
    </row>
    <row r="48" spans="1:8" x14ac:dyDescent="0.25">
      <c r="A48" s="1"/>
      <c r="B48" s="17" t="s">
        <v>106</v>
      </c>
      <c r="C48" s="18"/>
    </row>
    <row r="49" spans="1:14" x14ac:dyDescent="0.25">
      <c r="A49" s="1"/>
      <c r="B49" s="17"/>
      <c r="C49" s="18" t="s">
        <v>107</v>
      </c>
    </row>
    <row r="50" spans="1:14" x14ac:dyDescent="0.25">
      <c r="A50" s="1"/>
      <c r="B50" s="17"/>
      <c r="C50" s="18" t="s">
        <v>108</v>
      </c>
    </row>
    <row r="51" spans="1:14" x14ac:dyDescent="0.25">
      <c r="A51" s="1"/>
      <c r="B51" s="17"/>
      <c r="C51" s="18" t="s">
        <v>109</v>
      </c>
    </row>
    <row r="52" spans="1:14" x14ac:dyDescent="0.25">
      <c r="A52" s="1"/>
      <c r="B52" s="17"/>
      <c r="C52" s="18" t="s">
        <v>111</v>
      </c>
    </row>
    <row r="53" spans="1:14" x14ac:dyDescent="0.25">
      <c r="A53" s="1"/>
      <c r="B53" s="17"/>
      <c r="C53" s="18" t="s">
        <v>113</v>
      </c>
    </row>
    <row r="54" spans="1:14" x14ac:dyDescent="0.25">
      <c r="A54" s="1"/>
      <c r="B54" s="17"/>
      <c r="C54" s="18" t="s">
        <v>112</v>
      </c>
    </row>
    <row r="55" spans="1:14" x14ac:dyDescent="0.25">
      <c r="A55" s="1"/>
      <c r="B55" s="17"/>
      <c r="C55" s="18" t="s">
        <v>110</v>
      </c>
    </row>
    <row r="56" spans="1:14" ht="21" customHeight="1" x14ac:dyDescent="0.25">
      <c r="B56" s="21" t="s">
        <v>78</v>
      </c>
    </row>
    <row r="57" spans="1:14" ht="21" customHeight="1" x14ac:dyDescent="0.25">
      <c r="B57" s="63" t="s">
        <v>231</v>
      </c>
    </row>
    <row r="58" spans="1:14" ht="15.75" thickBot="1" x14ac:dyDescent="0.3">
      <c r="C58" s="1" t="s">
        <v>72</v>
      </c>
      <c r="D58" s="1" t="s">
        <v>207</v>
      </c>
      <c r="E58" s="1" t="s">
        <v>208</v>
      </c>
      <c r="F58" s="1" t="s">
        <v>198</v>
      </c>
      <c r="G58" s="1" t="s">
        <v>199</v>
      </c>
      <c r="H58" s="1" t="s">
        <v>200</v>
      </c>
      <c r="I58" s="1" t="s">
        <v>201</v>
      </c>
      <c r="J58" s="1" t="s">
        <v>205</v>
      </c>
      <c r="K58" s="1" t="s">
        <v>209</v>
      </c>
      <c r="L58" s="1" t="s">
        <v>210</v>
      </c>
      <c r="M58" s="1" t="s">
        <v>211</v>
      </c>
      <c r="N58" s="1" t="s">
        <v>227</v>
      </c>
    </row>
    <row r="59" spans="1:14" s="16" customFormat="1" ht="21.75" customHeight="1" thickBot="1" x14ac:dyDescent="0.3">
      <c r="B59" s="52" t="s">
        <v>226</v>
      </c>
      <c r="C59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vovina.Master.Assy
{
	[Table("MstAssySpsAssemblyScreenConfig")]
	[Index(nameof(ScreenCode), Name="IX_MstAssySpsAssemblyScreenConfig_ScreenCode")]
	[Index(nameof(ScreenName), Name="IX_MstAssySpsAssemblyScreenConfig_ScreenName")]
	[Index(nameof(IsActive), Name="IX_MstAssySpsAssemblyScreenConfig_IsActive")]	public class MstAssySpsAssemblyScreenConfig: FullAuditedEntity&lt;long&gt;, IEntity&lt;long&gt;	
	{
		public const int MaxScreenCodeLength = 50;
		public const int MaxScreenNameLength = 50;
		public const int MaxProdLineLength = 50;
		public const int MaxProcessGroupLength = 50;
		public const int MaxProcessListLength = 200;
		public const int MaxBlinkProcessListLength = 200;
		public const int MaxHeaderListLength = 200;
		public const int MaxHeaderColor1Length = 50;
		public const int MaxHeaderColor2Length = 50;
		public const int MaxIsShowHeaderLength = 1;
		public const int MaxLeftTitleLength = 200;
		public const int MaxLeftTitleVnLength = 200;
		public const int MaxIsShowLeftTitleLength = 1;
		public const int MaxIsShowModelLength = 1;
		public const int MaxIsShowGradeLength = 1;
		public const int MaxIsShowSequenceLength = 1;
		public const int MaxIsShowBodyLength = 1;
		public const int MaxIsShowLotNoLength = 1;
		public const int MaxIsShowColorLength = 1;
		public const int MaxIsActiveLength = 1;
		[StringLength(MaxScreenCodeLength)]
		public virtual string ScreenCode { get; set; }
		[StringLength(MaxScreenNameLength)]
		public virtual string ScreenName { get; set; }
		[StringLength(MaxProdLineLength)]
		public virtual string ProdLine { get; set; }
		[StringLength(MaxProcessGroupLength)]
		public virtual string ProcessGroup { get; set; }
		[StringLength(MaxProcessListLength)]
		public virtual string ProcessList { get; set; }
		[StringLength(MaxBlinkProcessListLength)]
		public virtual string BlinkProcessList { get; set; }
		[StringLength(MaxHeaderListLength)]
		public virtual string HeaderList { get; set; }
		[StringLength(MaxHeaderColor1Length)]
		public virtual string HeaderColor1 { get; set; }
		[StringLength(MaxHeaderColor2Length)]
		public virtual string HeaderColor2 { get; set; }
		[StringLength(MaxIsShowHeaderLength)]
		public virtual string IsShowHeader { get; set; }
		[StringLength(MaxLeftTitleLength)]
		public virtual string LeftTitle { get; set; }
		[StringLength(MaxLeftTitleVnLength)]
		public virtual string LeftTitleVn { get; set; }
		[StringLength(MaxIsShowLeftTitleLength)]
		public virtual string IsShowLeftTitle { get; set; }
		[StringLength(MaxIsShowModelLength)]
		public virtual string IsShowModel { get; set; }
		[StringLength(MaxIsShowGradeLength)]
		public virtual string IsShowGrade { get; set; }
		[StringLength(MaxIsShowSequenceLength)]
		public virtual string IsShowSequence { get; set; }
		[StringLength(MaxIsShowBodyLength)]
		public virtual string IsShowBody { get; set; }
		[StringLength(MaxIsShowLotNoLength)]
		public virtual string IsShowLotNo { get; set; }
		[StringLength(MaxIsShowColorLength)]
		public virtual string IsShowColor { get; set; }
		[StringLength(MaxIsActiveLength)]
		public virtual string IsActive { get; set; }
	}
}
</v>
      </c>
      <c r="D59" s="51" t="str">
        <f>A.Backend!O7</f>
        <v xml:space="preserve">		public const string Pages_Master_Assy_SpsAssemblyScreenConfig = "Pages.Master.Assy.SpsAssemblyScreenConfig";
		public const string Pages_Master_Assy_SpsAssemblyScreenConfig_CreateEdit = "Pages.Master.Assy.SpsAssemblyScreenConfig.CreateEdit";
		public const string Pages_Master_Assy_SpsAssemblyScreenConfig_Delete = "Pages.Master.Assy.SpsAssemblyScreenConfig.Delete";
</v>
      </c>
      <c r="E59" s="51" t="str">
        <f>A.Backend!N7</f>
        <v xml:space="preserve">		var perMstAssySpsAssemblyScreenConfig = PARENTS.CreateChildPermission(AppPermissions.Pages_Master_Assy_SpsAssemblyScreenConfig, L( "MasterAssySpsAssemblyScreenConfig"), multiTenancySides: MultiTenancySides.Tenant);
		perMstAssySpsAssemblyScreenConfig.CreateChildPermission(AppPermissions.Pages_Master_Assy_SpsAssemblyScreenConfig_CreateEdit, L( "MasterAssySpsAssemblyScreenConfigCreateEdit"), multiTenancySides: MultiTenancySides.Tenant);
		perMstAssySpsAssemblyScreenConfig.CreateChildPermission(AppPermissions.Pages_Master_Assy_SpsAssemblyScreenConfig_Delete, L( "MasterAssySpsAssemblyScreenConfigDelete"), multiTenancySides: MultiTenancySides.Tenant);</v>
      </c>
      <c r="F59" s="51" t="str">
        <f>A.Backend!K7</f>
        <v>public virtual DbSet&lt;MstAssySpsAssemblyScreenConfig&gt; MstAssySpsAssemblyScreenConfigs { get; set; }</v>
      </c>
      <c r="G59" s="51" t="str">
        <f ca="1">A.Backend!L7</f>
        <v xml:space="preserve">namespace vovina.Master.Assy
{
	public class MstAssySpsAssemblyScreenConfigConsts	
	{
		public const int MaxScreenCodeLength = 50;
		public const int MaxScreenNameLength = 50;
		public const int MaxProdLineLength = 50;
		public const int MaxProcessGroupLength = 50;
		public const int MaxProcessListLength = 200;
		public const int MaxBlinkProcessListLength = 200;
		public const int MaxHeaderListLength = 200;
		public const int MaxHeaderColor1Length = 50;
		public const int MaxHeaderColor2Length = 50;
		public const int MaxIsShowHeaderLength = 1;
		public const int MaxLeftTitleLength = 200;
		public const int MaxLeftTitleVnLength = 200;
		public const int MaxIsShowLeftTitleLength = 1;
		public const int MaxIsShowModelLength = 1;
		public const int MaxIsShowGradeLength = 1;
		public const int MaxIsShowSequenceLength = 1;
		public const int MaxIsShowBodyLength = 1;
		public const int MaxIsShowLotNoLength = 1;
		public const int MaxIsShowColorLength = 1;
		public const int MaxIsActiveLength = 1;
		// Define Store Name: Format SP_ + &lt;Store Name&gt; = &lt;Store Name&gt;
	}
}
</v>
      </c>
      <c r="H59" s="51" t="str">
        <f ca="1">A.Backend!M7</f>
        <v xml:space="preserve">using Abp.Application.Services.Dto;
using System;
using System.ComponentModel.DataAnnotations;
namespace vovina.Master.Assy.Dto
{
	public class MstAssySpsAssemblyScreenConfigDto : EntityDto&lt;long?&gt;	
	{
		public virtual string ScreenCode { get; set; }
		public virtual string ScreenName { get; set; }
		public virtual string ProdLine { get; set; }
		public virtual string ProcessGroup { get; set; }
		public virtual string ProcessList { get; set; }
		public virtual string BlinkProcessList { get; set; }
		public virtual string HeaderList { get; set; }
		public virtual string HeaderColor1 { get; set; }
		public virtual string HeaderColor2 { get; set; }
		public virtual string IsShowHeader { get; set; }
		public virtual string LeftTitle { get; set; }
		public virtual string LeftTitleVn { get; set; }
		public virtual string IsShowLeftTitle { get; set; }
		public virtual string IsShowModel { get; set; }
		public virtual string IsShowGrade { get; set; }
		public virtual string IsShowSequence { get; set; }
		public virtual string IsShowBody { get; set; }
		public virtual string IsShowLotNo { get; set; }
		public virtual string IsShowColor { get; set; }
		public virtual string IsActive { get; set; }
	}
	public class CreateOrEditMstAssySpsAssemblyScreenConfigDto : EntityDto&lt;long?&gt;	
	{
		[StringLength(MstAssySpsAssemblyScreenConfigConsts.MaxScreenCodeLength)]
		public virtual string ScreenCode { get; set; }
		[StringLength(MstAssySpsAssemblyScreenConfigConsts.MaxScreenNameLength)]
		public virtual string ScreenName { get; set; }
		[StringLength(MstAssySpsAssemblyScreenConfigConsts.MaxProdLineLength)]
		public virtual string ProdLine { get; set; }
		[StringLength(MstAssySpsAssemblyScreenConfigConsts.MaxProcessGroupLength)]
		public virtual string ProcessGroup { get; set; }
		[StringLength(MstAssySpsAssemblyScreenConfigConsts.MaxProcessListLength)]
		public virtual string ProcessList { get; set; }
		[StringLength(MstAssySpsAssemblyScreenConfigConsts.MaxBlinkProcessListLength)]
		public virtual string BlinkProcessList { get; set; }
		[StringLength(MstAssySpsAssemblyScreenConfigConsts.MaxHeaderListLength)]
		public virtual string HeaderList { get; set; }
		[StringLength(MstAssySpsAssemblyScreenConfigConsts.MaxHeaderColor1Length)]
		public virtual string HeaderColor1 { get; set; }
		[StringLength(MstAssySpsAssemblyScreenConfigConsts.MaxHeaderColor2Length)]
		public virtual string HeaderColor2 { get; set; }
		[StringLength(MstAssySpsAssemblyScreenConfigConsts.MaxIsShowHeaderLength)]
		public virtual string IsShowHeader { get; set; }
		[StringLength(MstAssySpsAssemblyScreenConfigConsts.MaxLeftTitleLength)]
		public virtual string LeftTitle { get; set; }
		[StringLength(MstAssySpsAssemblyScreenConfigConsts.MaxLeftTitleVnLength)]
		public virtual string LeftTitleVn { get; set; }
		[StringLength(MstAssySpsAssemblyScreenConfigConsts.MaxIsShowLeftTitleLength)]
		public virtual string IsShowLeftTitle { get; set; }
		[StringLength(MstAssySpsAssemblyScreenConfigConsts.MaxIsShowModelLength)]
		public virtual string IsShowModel { get; set; }
		[StringLength(MstAssySpsAssemblyScreenConfigConsts.MaxIsShowGradeLength)]
		public virtual string IsShowGrade { get; set; }
		[StringLength(MstAssySpsAssemblyScreenConfigConsts.MaxIsShowSequenceLength)]
		public virtual string IsShowSequence { get; set; }
		[StringLength(MstAssySpsAssemblyScreenConfigConsts.MaxIsShowBodyLength)]
		public virtual string IsShowBody { get; set; }
		[StringLength(MstAssySpsAssemblyScreenConfigConsts.MaxIsShowLotNoLength)]
		public virtual string IsShowLotNo { get; set; }
		[StringLength(MstAssySpsAssemblyScreenConfigConsts.MaxIsShowColorLength)]
		public virtual string IsShowColor { get; set; }
		[StringLength(MstAssySpsAssemblyScreenConfigConsts.MaxIsActiveLength)]
		public virtual string IsActive { get; set; }
	}
	public class GetMstAssySpsAssemblyScreenConfigInput : PagedAndSortedResultRequestDto	
	{
		public virtual string ScreenCode { get; set; }
		public virtual string ScreenName { get; set; }
		public virtual string ProdLine { get; set; }
		public virtual string ProcessGroup { get; set; }
		public virtual string ProcessList { get; set; }
		public virtual string BlinkProcessList { get; set; }
		public virtual string HeaderList { get; set; }
		public virtual string HeaderColor1 { get; set; }
		public virtual string HeaderColor2 { get; set; }
		public virtual string IsShowHeader { get; set; }
		public virtual string LeftTitle { get; set; }
		public virtual string LeftTitleVn { get; set; }
		public virtual string IsShowLeftTitle { get; set; }
		public virtual string IsShowModel { get; set; }
		public virtual string IsShowGrade { get; set; }
		public virtual string IsShowSequence { get; set; }
		public virtual string IsShowBody { get; set; }
		public virtual string IsShowLotNo { get; set; }
		public virtual string IsShowColor { get; set; }
		public virtual string IsActive { get; set; }
	}
}
</v>
      </c>
      <c r="I59" s="51" t="str">
        <f ca="1">A.Backend!R7</f>
        <v xml:space="preserve">using Abp.Application.Services.Dto;
using System;
using System.ComponentModel.DataAnnotations;
namespace vovina.Master.Assy.Dto
{
	public class MstAssySpsAssemblyScreenConfigExportInput{
		public virtual string ScreenCode { get; set; }
		public virtual string ScreenName { get; set; }
		public virtual string ProdLine { get; set; }
		public virtual string ProcessGroup { get; set; }
		public virtual string ProcessList { get; set; }
		public virtual string BlinkProcessList { get; set; }
		public virtual string HeaderList { get; set; }
		public virtual string HeaderColor1 { get; set; }
		public virtual string HeaderColor2 { get; set; }
		public virtual string IsShowHeader { get; set; }
		public virtual string LeftTitle { get; set; }
		public virtual string LeftTitleVn { get; set; }
		public virtual string IsShowLeftTitle { get; set; }
		public virtual string IsShowModel { get; set; }
		public virtual string IsShowGrade { get; set; }
		public virtual string IsShowSequence { get; set; }
		public virtual string IsShowBody { get; set; }
		public virtual string IsShowLotNo { get; set; }
		public virtual string IsShowColor { get; set; }
		public virtual string IsActive { get; set; }
	}
}
</v>
      </c>
      <c r="J59" s="51" t="str">
        <f>A.Backend!P7</f>
        <v xml:space="preserve">using Abp.Application.Services;
using Abp.Application.Services.Dto;
using System.Collections.Generic;using vovina.Dto;
using System.Threading.Tasks;
using vovina.Master.Assy.Dto;
namespace vovina.Master.Assy
{
	public interface IMstAssySpsAssemblyScreenConfigAppService : IApplicationService
	{
		Task&lt;PagedResultDto&lt;MstAssySpsAssemblyScreenConfigDto&gt;&gt; GetAll(GetMstAssySpsAssemblyScreenConfigInput input);
		Task CreateOrEdit(CreateOrEditMstAssySpsAssemblyScreenConfigDto input);
		Task Delete(EntityDto input);
	}
}
</v>
      </c>
      <c r="K59" s="51" t="str">
        <f>A.Backend!S7</f>
        <v xml:space="preserve">using Abp.Application.Services;
using Abp.Application.Services.Dto;
using System.Collections.Generic;using vovina.Dto;
using System.Threading.Tasks;
using vovina.Master.Assy.Dto;
namespace vovina.Master.Assy.Exporting
{
	public interface IMstAssySpsAssemblyScreenConfigExcelExporter : IApplicationService
	{
		FileDto ExportToFile(List&lt;MstAssySpsAssemblyScreenConfigDto&gt; mstassyspsassemblyscreenconfig);
	}
}
</v>
      </c>
      <c r="L59" s="51" t="str">
        <f ca="1">A.Backend!T7</f>
        <v>using System.Collections.Generic;
using vovina.DataExporting.Excel.NPOI;
using vovina.Dto;
using vovina.Master.Assy.Exporting;
using vovina.Master.Assy.Dto;
using vovina.Storage;
using vovina.Master.Assy.Dto;
namespace vovina.Master.Assy.Exporting
{
    public class MstAssySpsAssemblyScreenConfigExcelExporter : NpoiExcelExporterBase, IMstAssySpsAssemblyScreenConfigExcelExporter
    {
        public MstAssySpsAssemblyScreenConfigExcelExporter(ITempFileCacheManager tempFileCacheManager) : base(tempFileCacheManager) { }
        public FileDto ExportToFile(List&lt;MstAssySpsAssemblyScreenConfigDto&gt; spsassemblyscreenconfig)
        {
            return CreateExcelPackage(
				"MasterAssySpsAssemblyScreenConfig.xlsx",
				excelPackage =&gt;
				 {
					var sheet = excelPackage.CreateSheet("SpsAssemblyScreenConfig");
					AddHeader(
								sheet,
								("ScreenCode"),
								("ScreenName"),
								("ProdLine"),
								("ProcessGroup"),
								("ProcessList"),
								("BlinkProcessList"),
								("HeaderList"),
								("HeaderColor1"),
								("HeaderColor2"),
								("IsShowHeader"),
								("LeftTitle"),
								("LeftTitleVn"),
								("IsShowLeftTitle"),
								("IsShowModel"),
								("IsShowGrade"),
								("IsShowSequence"),
								("IsShowBody"),
								("IsShowLotNo"),
								("IsShowColor"),
								("IsActive"),
							   );
					AddObjects(
						 sheet, 1, spsassemblyscreenconfig,                                       
								_ =&gt; _.ScreenCode,
								_ =&gt; _.ScreenName,
								_ =&gt; _.ProdLine,
								_ =&gt; _.ProcessGroup,
								_ =&gt; _.ProcessList,
								_ =&gt; _.BlinkProcessList,
								_ =&gt; _.HeaderList,
								_ =&gt; _.HeaderColor1,
								_ =&gt; _.HeaderColor2,
								_ =&gt; _.IsShowHeader,
								_ =&gt; _.LeftTitle,
								_ =&gt; _.LeftTitleVn,
								_ =&gt; _.IsShowLeftTitle,
								_ =&gt; _.IsShowModel,
								_ =&gt; _.IsShowGrade,
								_ =&gt; _.IsShowSequence,
								_ =&gt; _.IsShowBody,
								_ =&gt; _.IsShowLotNo,
								_ =&gt; _.IsShowColor,
								_ =&gt; _.IsActive,
								);
			for (var i = 0; i &lt; 8; i++)
				{
					sheet.AutoSizeColumn(i);
				}
			});
        }
    }
}</v>
      </c>
      <c r="M59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vovina.Master.Assy.Dto;
using vovina.Master.Assy.Exporting;
namespace vovina.Master.Assy
{
    [AbpAuthorize(AppPermissions.Pages_Master_Assy_SpsAssemblyScreenConfig)]
    public class MstAssySpsAssemblyScreenConfigAppService : vovinaAppServiceBase, IMstAssySpsAssemblyScreenConfigAppService
    {
        private readonly IDapperRepository&lt;MstAssySpsAssemblyScreenConfig, long&gt; _dapperRepo;
        private readonly IRepository&lt;MstAssySpsAssemblyScreenConfig, long&gt; _repo;
        private readonly IMstAssySpsAssemblyScreenConfigExcelExporter _calendarListExcelExporter;
        public MstAssySpsAssemblyScreenConfigAppService(IRepository&lt;MstAssySpsAssemblyScreenConfig,long&gt; repo, 
                                         IDapperRepository&lt;MstAssySpsAssemblyScreenConfig,long&gt; dapperRepo,
                                        IMstAssySpsAssemblyScreenConfigExcelExporter calendarListExcelExporter
            )
        {
            _repo = repo;
            _dapperRepo = dapperRepo;
            _calendarListExcelExporter = calendarListExcelExporter;
        }
        [AbpAuthorize(AppPermissions.Pages_Master_Assy_SpsAssemblyScreenConfig_CreateEdit)]
        public async Task CreateOrEdit(CreateOrEditMstAssySpsAssemblyScreenConfigDto input)
        {
            if (input.Id == null) await Create(input);
            else await Update(input);
        }
        //CREATE
        private async Task Create(CreateOrEditMstAssySpsAssemblyScreenConfigDto input)
        {          
            var mainObj = ObjectMapper.Map&lt;MstAssySpsAssemblyScreenConfig&gt;(input);
            await CurrentUnitOfWork.GetDbContext&lt;vovinaDbContext&gt;().AddAsync(mainObj);
        }
        // EDIT
        private async Task Update(CreateOrEditMstAssySpsAssemblyScreenConfigDto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[AbpAuthorize(AppPermissions.Pages_Master_Assy_SpsAssemblyScreenConfig_Delete)]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Task&lt;PagedResultDto&lt;MstAssySpsAssemblyScreenConfigDto&gt;&gt; GetAll(GetMstAssySpsAssemblyScreenConfigInput input)
        {
            var filtered = _repo.GetAll()
				.WhereIf(!string.IsNullOrWhiteSpace(input.ScreenCode), e =&gt; e.ScreenCode.Contains(input.ScreenCode))
				.WhereIf(!string.IsNullOrWhiteSpace(input.ScreenName), e =&gt; e.ScreenName.Contains(input.ScreenName))
				.WhereIf(!string.IsNullOrWhiteSpace(input.ProdLine), e =&gt; e.ProdLine.Contains(input.ProdLine))
				.WhereIf(!string.IsNullOrWhiteSpace(input.ProcessGroup), e =&gt; e.ProcessGroup.Contains(input.ProcessGroup))
				.WhereIf(!string.IsNullOrWhiteSpace(input.ProcessList), e =&gt; e.ProcessList.Contains(input.ProcessList))
				.WhereIf(!string.IsNullOrWhiteSpace(input.BlinkProcessList), e =&gt; e.BlinkProcessList.Contains(input.BlinkProcessList))
				.WhereIf(!string.IsNullOrWhiteSpace(input.HeaderList), e =&gt; e.HeaderList.Contains(input.HeaderList))
				.WhereIf(!string.IsNullOrWhiteSpace(input.HeaderColor1), e =&gt; e.HeaderColor1.Contains(input.HeaderColor1))
				.WhereIf(!string.IsNullOrWhiteSpace(input.HeaderColor2), e =&gt; e.HeaderColor2.Contains(input.HeaderColor2))
				.WhereIf(!string.IsNullOrWhiteSpace(input.IsShowHeader), e =&gt; e.IsShowHeader.Contains(input.IsShowHeader))
				.WhereIf(!string.IsNullOrWhiteSpace(input.LeftTitle), e =&gt; e.LeftTitle.Contains(input.LeftTitle))
				.WhereIf(!string.IsNullOrWhiteSpace(input.LeftTitleVn), e =&gt; e.LeftTitleVn.Contains(input.LeftTitleVn))
				.WhereIf(!string.IsNullOrWhiteSpace(input.IsShowLeftTitle), e =&gt; e.IsShowLeftTitle.Contains(input.IsShowLeftTitle))
				.WhereIf(!string.IsNullOrWhiteSpace(input.IsShowModel), e =&gt; e.IsShowModel.Contains(input.IsShowModel))
				.WhereIf(!string.IsNullOrWhiteSpace(input.IsShowGrade), e =&gt; e.IsShowGrade.Contains(input.IsShowGrade))
				.WhereIf(!string.IsNullOrWhiteSpace(input.IsShowSequence), e =&gt; e.IsShowSequence.Contains(input.IsShowSequence))
				.WhereIf(!string.IsNullOrWhiteSpace(input.IsShowBody), e =&gt; e.IsShowBody.Contains(input.IsShowBody))
				.WhereIf(!string.IsNullOrWhiteSpace(input.IsShowLotNo), e =&gt; e.IsShowLotNo.Contains(input.IsShowLotNo))
				.WhereIf(!string.IsNullOrWhiteSpace(input.IsShowColor), e =&gt; e.IsShowColor.Contains(input.IsShowColor))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MstAssySpsAssemblyScreenConfigDto
                        {
							Id = o.Id,
							ScreenCode = o.ScreenCode,
							ScreenName = o.ScreenName,
							ProdLine = o.ProdLine,
							ProcessGroup = o.ProcessGroup,
							ProcessList = o.ProcessList,
							BlinkProcessList = o.BlinkProcessList,
							HeaderList = o.HeaderList,
							HeaderColor1 = o.HeaderColor1,
							HeaderColor2 = o.HeaderColor2,
							IsShowHeader = o.IsShowHeader,
							LeftTitle = o.LeftTitle,
							LeftTitleVn = o.LeftTitleVn,
							IsShowLeftTitle = o.IsShowLeftTitle,
							IsShowModel = o.IsShowModel,
							IsShowGrade = o.IsShowGrade,
							IsShowSequence = o.IsShowSequence,
							IsShowBody = o.IsShowBody,
							IsShowLotNo = o.IsShowLotNo,
							IsShowColor = o.IsShowColor,
							IsActive = o.IsActive,
                        };
            var totalCount = await filtered.CountAsync();
			var paged = system.PageBy(input);
            return new PagedResultDto&lt;MstAssySpsAssemblyScreenConfigDto&gt;(
                totalCount,
                 await paged.ToListAsync()
            );
        }
        public async Task&lt;FileDto&gt; GetSpsAssemblyScreenConfigToExcel(MstAssySpsAssemblyScreenConfigExportInput input)
        {
            var query = from o in _repo.GetAll()
                        select new MstAssySpsAssemblyScreenConfigDto
                        {
							Id = o.Id,
							ScreenCode = o.ScreenCode,
							ScreenName = o.ScreenName,
							ProdLine = o.ProdLine,
							ProcessGroup = o.ProcessGroup,
							ProcessList = o.ProcessList,
							BlinkProcessList = o.BlinkProcessList,
							HeaderList = o.HeaderList,
							HeaderColor1 = o.HeaderColor1,
							HeaderColor2 = o.HeaderColor2,
							IsShowHeader = o.IsShowHeader,
							LeftTitle = o.LeftTitle,
							LeftTitleVn = o.LeftTitleVn,
							IsShowLeftTitle = o.IsShowLeftTitle,
							IsShowModel = o.IsShowModel,
							IsShowGrade = o.IsShowGrade,
							IsShowSequence = o.IsShowSequence,
							IsShowBody = o.IsShowBody,
							IsShowLotNo = o.IsShowLotNo,
							IsShowColor = o.IsShowColor,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_dapperRepo.ExecuteAsync(MstAssySpsAssemblyScreenConfigConsts.SP_MST_WPT_CALENDAR_GENERATE);
       // }
    }
}</v>
      </c>
      <c r="N59" s="62" t="str">
        <f>A.Backend!U7</f>
        <v xml:space="preserve">  configuration.CreateMap&lt;MstAssySpsAssemblyScreenConfigDto, MstAssySpsAssemblyScreenConfig&gt;();
  configuration.CreateMap&lt;MstAssySpsAssemblyScreenConfig, MstAssySpsAssemblyScreenConfigDto&gt;();
  configuration.CreateMap&lt;CreateOrEditMstAssySpsAssemblyScreenConfigDto, MstAssySpsAssemblyScreenConfig&gt;();</v>
      </c>
    </row>
    <row r="60" spans="1:14" s="16" customFormat="1" ht="21.75" customHeight="1" x14ac:dyDescent="0.25">
      <c r="C60" s="65"/>
      <c r="D60" s="29"/>
      <c r="E60" s="29"/>
      <c r="F60" s="29"/>
      <c r="G60" s="29"/>
      <c r="H60" s="66"/>
      <c r="I60" s="67"/>
      <c r="J60" s="29"/>
      <c r="K60" s="29"/>
      <c r="M60" s="66"/>
    </row>
    <row r="61" spans="1:14" s="16" customFormat="1" ht="21.75" customHeight="1" x14ac:dyDescent="0.25">
      <c r="C61" s="29"/>
      <c r="D61" s="29"/>
      <c r="E61" s="29"/>
      <c r="F61" s="29"/>
      <c r="G61" s="29"/>
      <c r="H61" s="29"/>
      <c r="J61" s="29"/>
      <c r="K61" s="29"/>
      <c r="M61" s="29"/>
    </row>
    <row r="62" spans="1:14" s="16" customFormat="1" ht="21.75" customHeight="1" x14ac:dyDescent="0.25">
      <c r="C62" s="29"/>
      <c r="D62" s="29"/>
      <c r="E62" s="29"/>
      <c r="G62" s="29"/>
      <c r="H62" s="29"/>
    </row>
    <row r="63" spans="1:14" x14ac:dyDescent="0.25">
      <c r="B63" s="1" t="s">
        <v>73</v>
      </c>
    </row>
    <row r="64" spans="1:14" ht="21" x14ac:dyDescent="0.35">
      <c r="B64" t="str">
        <f>B.Frontend!B8</f>
        <v>spsassemblyscreenconfig</v>
      </c>
      <c r="C64" s="72" t="str">
        <f>"create folder " &amp;B64</f>
        <v>create folder spsassemblyscreenconfig</v>
      </c>
      <c r="D64" s="72"/>
      <c r="E64" s="72"/>
      <c r="F64" s="72"/>
      <c r="G64" s="72"/>
      <c r="H64" s="72"/>
      <c r="I64" s="72"/>
      <c r="J64" s="72"/>
      <c r="K64" s="73" t="s">
        <v>228</v>
      </c>
      <c r="L64" s="73"/>
      <c r="M64" s="31"/>
    </row>
    <row r="65" spans="2:13" s="28" customFormat="1" ht="18" customHeight="1" x14ac:dyDescent="0.25">
      <c r="B65" s="60" t="s">
        <v>229</v>
      </c>
      <c r="C65" s="31" t="str">
        <f>B.Frontend!H14</f>
        <v>spsassemblyscreenconfig.component.ts</v>
      </c>
      <c r="D65" s="31" t="str">
        <f>B.Frontend!I14</f>
        <v>spsassemblyscreenconfig.component.html</v>
      </c>
      <c r="E65" s="31" t="str">
        <f>B.Frontend!J14</f>
        <v>spsassemblyscreenconfig.component.less</v>
      </c>
      <c r="F65" s="31" t="str">
        <f>B.Frontend!K14</f>
        <v>create-or-edit-spsassemblyscreenconfig-modal.component.html</v>
      </c>
      <c r="G65" s="31" t="str">
        <f>B.Frontend!L14</f>
        <v>create-or-edit-spsassemblyscreenconfig-modal.component.ts</v>
      </c>
      <c r="H65" s="31" t="str">
        <f>B.Frontend!M14</f>
        <v>create-or-edit-spsassemblyscreenconfig-modal.component.less</v>
      </c>
      <c r="I65" s="31" t="str">
        <f>B.Frontend!N14</f>
        <v>spsassemblyscreenconfig.module.ts</v>
      </c>
      <c r="J65" s="31" t="str">
        <f>B.Frontend!O14</f>
        <v>spsassemblyscreenconfig-routing.module.ts</v>
      </c>
      <c r="K65" s="31" t="str">
        <f>B.Frontend!P14</f>
        <v>app.navigation.service.ts</v>
      </c>
      <c r="L65" s="31" t="str">
        <f>B.Frontend!Q14</f>
        <v>main.routing.module.ts</v>
      </c>
      <c r="M65" s="60" t="s">
        <v>232</v>
      </c>
    </row>
    <row r="66" spans="2:13" ht="21.75" customHeight="1" x14ac:dyDescent="0.25">
      <c r="B66" s="61" t="s">
        <v>226</v>
      </c>
      <c r="C66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MstAssySpsAssemblyScreenConfigDto, MstAssySpsAssemblyScreenConfigServiceProxy } from '@shared/service-proxies/service-proxies';
import { finalize } from 'rxjs/internal/operators/finalize';
import { CreateOrEditSpsAssemblyScreenConfigModalComponent } from './create-or-edit-spsassemblyscreenconfig-modal.component';
import { DatePipe } from '@angular/common';
import { FileDownloadService } from '@shared/utils/file-download.service';
import ceil from 'lodash-es/ceil';
import { Paginator } from 'primeng/paginator';
@Component({
    templateUrl: './spsassemblyscreenconfig.component.html',
    styleUrls: ['./spsassemblyscreenconfig.component.less'],
})
export class SpsAssemblyScreenConfigComponent extends AppComponentBase implements OnInit {
    @ViewChild('createOrEditModalSpsAssemblyScreenConfig', { static: true }) createOrEditModalSpsAssemblyScreenConfig:| CreateOrEditSpsAssemblyScreenConfigModalComponent|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MstAssySpsAssemblyScreenConfigDto = new MstAssySpsAssemblyScreenConfigDto();
    saveSelectedRow: MstAssySpsAssemblyScreenConfigDto = new MstAssySpsAssemblyScreenConfigDto();
    datas: MstAssySpsAssemblyScreenConfigDto = new MstAssySpsAssemblyScreenConfigDto();
    isLoading: boolean = false;
    dataParams: GridParams | undefined;
    rowData: any[] = [];
    gridApi!: GridApi;
    rowSelection = 'multiple';
    filter: string = '';
	pipe = new DatePipe('en-US');
	frameworkComponents: FrameworkComponent;
    	screenCode : string = '' ; 
	screenName : string = '' ; 
	prodLine : string = '' ; 
	processGroup : string = '' ; 
	processList : string = '' ; 
	blinkProcessList : string = '' ; 
	headerList : string = '' ; 
	headerColor1 : string = '' ; 
	headerColor2 : string = '' ; 
	isShowHeader : string = '' ; 
	leftTitle : string = '' ; 
	leftTitleVn : string = '' ; 
	isShowLeftTitle : string = '' ; 
	isShowModel : string = '' ; 
	isShowGrade : string = '' ; 
	isShowSequence : string = '' ; 
	isShowBody : string = '' ; 
	isShowLotNo : string = '' ; 
	isShowColor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MstAssySpsAssemblyScreenConfigServiceProxy,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this.l('Screen Code'),headerTooltip: this.l('Screen Code'),field: 'screenCode',flex: 1},
			{headerName: this.l('Screen Name'),headerTooltip: this.l('Screen Name'),field: 'screenName',flex: 1},
			{headerName: this.l('Prod Line'),headerTooltip: this.l('Prod Line'),field: 'prodLine',flex: 1},
			{headerName: this.l('Process Group'),headerTooltip: this.l('Process Group'),field: 'processGroup',flex: 1},
			{headerName: this.l('Process List'),headerTooltip: this.l('Process List'),field: 'processList',flex: 1},
			{headerName: this.l('Blink Process List'),headerTooltip: this.l('Blink Process List'),field: 'blinkProcessList',flex: 1},
			{headerName: this.l('Header List'),headerTooltip: this.l('Header List'),field: 'headerList',flex: 1},
			{headerName: this.l('Header Color 1'),headerTooltip: this.l('Header Color 1'),field: 'headerColor1',flex: 1},
			{headerName: this.l('Header Color 2'),headerTooltip: this.l('Header Color 2'),field: 'headerColor2',flex: 1},
			{headerName: this.l('Is Show Header'),headerTooltip: this.l('Is Show Header'),field:  'isShowHeader', cellClass: ['text-center'], width: 120, cellRenderer: 'agCellButtonComponent',
buttonDefTwo: { text: params =&gt; (params.data?.'isShowHeader' == 'Y') ? 'Active' : 'Inactive',iconName: 'fa fa-circle',className: params =&gt; (params.data?.'isShowHeader' == 'Y') ? 'btnActive' : 'btnInActive',},}
			{headerName: this.l('Left Title'),headerTooltip: this.l('Left Title'),field: 'leftTitle',flex: 1},
			{headerName: this.l('Left Title Vn'),headerTooltip: this.l('Left Title Vn'),field: 'leftTitleVn',flex: 1},
			{headerName: this.l('Is Show Left Title'),headerTooltip: this.l('Is Show Left Title'),field:  'isShowLeftTitle', cellClass: ['text-center'], width: 120, cellRenderer: 'agCellButtonComponent',
buttonDefTwo: { text: params =&gt; (params.data?.'isShowLeftTitle' == 'Y') ? 'Active' : 'Inactive',iconName: 'fa fa-circle',className: params =&gt; (params.data?.'isShowLeftTitle' == 'Y') ? 'btnActive' : 'btnInActive',},}
			{headerName: this.l('Is Show Model'),headerTooltip: this.l('Is Show Model'),field:  'isShowModel', cellClass: ['text-center'], width: 120, cellRenderer: 'agCellButtonComponent',
buttonDefTwo: { text: params =&gt; (params.data?.'isShowModel' == 'Y') ? 'Active' : 'Inactive',iconName: 'fa fa-circle',className: params =&gt; (params.data?.'isShowModel' == 'Y') ? 'btnActive' : 'btnInActive',},}
			{headerName: this.l('Is Show Grade'),headerTooltip: this.l('Is Show Grade'),field:  'isShowGrade', cellClass: ['text-center'], width: 120, cellRenderer: 'agCellButtonComponent',
buttonDefTwo: { text: params =&gt; (params.data?.'isShowGrade' == 'Y') ? 'Active' : 'Inactive',iconName: 'fa fa-circle',className: params =&gt; (params.data?.'isShowGrade' == 'Y') ? 'btnActive' : 'btnInActive',},}
			{headerName: this.l('Is Show Sequence'),headerTooltip: this.l('Is Show Sequence'),field:  'isShowSequence', cellClass: ['text-center'], width: 120, cellRenderer: 'agCellButtonComponent',
buttonDefTwo: { text: params =&gt; (params.data?.'isShowSequence' == 'Y') ? 'Active' : 'Inactive',iconName: 'fa fa-circle',className: params =&gt; (params.data?.'isShowSequence' == 'Y') ? 'btnActive' : 'btnInActive',},}
			{headerName: this.l('Is Show Body'),headerTooltip: this.l('Is Show Body'),field:  'isShowBody', cellClass: ['text-center'], width: 120, cellRenderer: 'agCellButtonComponent',
buttonDefTwo: { text: params =&gt; (params.data?.'isShowBody' == 'Y') ? 'Active' : 'Inactive',iconName: 'fa fa-circle',className: params =&gt; (params.data?.'isShowBody' == 'Y') ? 'btnActive' : 'btnInActive',},}
			{headerName: this.l('Is Show Lot No'),headerTooltip: this.l('Is Show Lot No'),field:  'isShowLotNo', cellClass: ['text-center'], width: 120, cellRenderer: 'agCellButtonComponent',
buttonDefTwo: { text: params =&gt; (params.data?.'isShowLotNo' == 'Y') ? 'Active' : 'Inactive',iconName: 'fa fa-circle',className: params =&gt; (params.data?.'isShowLotNo' == 'Y') ? 'btnActive' : 'btnInActive',},}
			{headerName: this.l('Is Show Color'),headerTooltip: this.l('Is Show Color'),field:  'isShowColor', cellClass: ['text-center'], width: 120, cellRenderer: 'agCellButtonComponent',
buttonDefTwo: { text: params =&gt; (params.data?.'isShowColor' == 'Y') ? 'Active' : 'Inactive',iconName: 'fa fa-circle',className: params =&gt; (params.data?.'isShowColor' == 'Y') ? 'btnActive' : 'btnInActive',},}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this.screenCode,
			this.screenName,
			this.prodLine,
			this.processGroup,
			this.processList,
			this.blinkProcessList,
			this.headerList,
			this.headerColor1,
			this.headerColor2,
			this.isShowHeader,
			this.leftTitle,
			this.leftTitleVn,
			this.isShowLeftTitle,
			this.isShowModel,
			this.isShowGrade,
			this.isShowSequence,
			this.isShowBody,
			this.isShowLotNo,
			this.isShowColor,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this.screenCode = '',
		this.screenName = '',
		this.prodLine = '',
		this.processGroup = '',
		this.processList = '',
		this.blinkProcessList = '',
		this.headerList = '',
		this.headerColor1 = '',
		this.headerColor2 = '',
		this.isShowHeader = '',
		this.leftTitle = '',
		this.leftTitleVn = '',
		this.isShowLeftTitle = '',
		this.isShowModel = '',
		this.isShowGrade = '',
		this.isShowSequence = '',
		this.isShowBody = '',
		this.isShowLotNo = '',
		this.isShowColor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this.screenCode,
			this.screenName,
			this.prodLine,
			this.processGroup,
			this.processList,
			this.blinkProcessList,
			this.headerList,
			this.headerColor1,
			this.headerColor2,
			this.isShowHeader,
			this.leftTitle,
			this.leftTitleVn,
			this.isShowLeftTitle,
			this.isShowModel,
			this.isShowGrade,
			this.isShowSequence,
			this.isShowBody,
			this.isShowLotNo,
			this.isShowColor,
			this.isActive,
			'',
            this.paginationParams.skipCount,
            this.paginationParams.pageSize
        );
    }
    onChangeRowSelection(params: { api: { getSelectedRows: () =&gt; MstAssySpsAssemblyScreenConfigDto[] } }) {
        this.saveSelectedRow = params.api.getSelectedRows()[0] ?? new MstAssySpsAssemblyScreenConfigDto();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MstAssySpsAssemblyScreenConfigDto):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this._service.getSpsAssemblyScreenConfigToExcel(
			this.screenCode,
			this.screenName,
			this.prodLine,
			this.processGroup,
			this.processList,
			this.blinkProcessList,
			this.headerList,
			this.headerColor1,
			this.headerColor2,
			this.isShowHeader,
			this.leftTitle,
			this.leftTitleVn,
			this.isShowLeftTitle,
			this.isShowModel,
			this.isShowGrade,
			this.isShowSequence,
			this.isShowBody,
			this.isShowLotNo,
			this.isShowColor,
			this.isActive,
            )
            .subscribe((result) =&gt; {
                this._fileDownloadService.downloadTempFile(result);
        });
    }
}</v>
      </c>
      <c r="D66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SPS Assembly Screen Config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[(ngModel)]='screenCode' name='screenCode'
									class='form-control' [placeholder]="l('Screen Code')"
									type='text' (keyup.enter)='searchDatas()'&gt;
								&lt;/div&gt;
								&lt;div class='input-search'&gt;
									&lt;input [(ngModel)]='screenName' name='screenName'
									class='form-control' [placeholder]="l('Screen Name')"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[(ngModel)]='processGroup' name='processGroup'
									class='form-control' [placeholder]="l('Process Group')"
									type='text' (keyup.enter)='searchDatas()'&gt;
								&lt;/div&gt;
								&lt;div class='input-search'&gt;
									&lt;input [(ngModel)]='processList' name='processList'
									class='form-control' [placeholder]="l('Process List')"
									type='text' (keyup.enter)='searchDatas()'&gt;
								&lt;/div&gt;
								&lt;div class='input-search'&gt;
									&lt;input [(ngModel)]='blinkProcessList' name='blinkProcessList'
									class='form-control' [placeholder]="l('Blink Process List')"
									type='text' (keyup.enter)='searchDatas()'&gt;
								&lt;/div&gt;
								&lt;div class='input-search'&gt;
									&lt;input [(ngModel)]='headerList' name='headerList'
									class='form-control' [placeholder]="l('Header List')"
									type='text' (keyup.enter)='searchDatas()'&gt;
								&lt;/div&gt;
								&lt;div class='input-search'&gt;
									&lt;input [(ngModel)]='headerColor1' name='headerColor1'
									class='form-control' [placeholder]="l('Header Color 1')"
									type='text' (keyup.enter)='searchDatas()'&gt;
								&lt;/div&gt;
								&lt;div class='input-search'&gt;
									&lt;input [(ngModel)]='headerColor2' name='headerColor2'
									class='form-control' [placeholder]="l('Header Color 2')"
									type='text' (keyup.enter)='searchDatas()'&gt;
								&lt;/div&gt;
								&lt;div class='input-search'&gt;
									&lt;input [(ngModel)]='isShowHeader' name='isShowHeader'
									class='form-control' [placeholder]="l('Is Show Header')"
									type='text' (keyup.enter)='searchDatas()'&gt;
								&lt;/div&gt;
								&lt;div class='input-search'&gt;
									&lt;input [(ngModel)]='leftTitle' name='leftTitle'
									class='form-control' [placeholder]="l('Left Title')"
									type='text' (keyup.enter)='searchDatas()'&gt;
								&lt;/div&gt;
								&lt;div class='input-search'&gt;
									&lt;input [(ngModel)]='leftTitleVn' name='leftTitleVn'
									class='form-control' [placeholder]="l('Left Title Vn')"
									type='text' (keyup.enter)='searchDatas()'&gt;
								&lt;/div&gt;
								&lt;div class='input-search'&gt;
									&lt;input [(ngModel)]='isShowLeftTitle' name='isShowLeftTitle'
									class='form-control' [placeholder]="l('Is Show Left Title')"
									type='text' (keyup.enter)='searchDatas()'&gt;
								&lt;/div&gt;
								&lt;div class='input-search'&gt;
									&lt;input [(ngModel)]='isShowModel' name='isShowModel'
									class='form-control' [placeholder]="l('Is Show Model')"
									type='text' (keyup.enter)='searchDatas()'&gt;
								&lt;/div&gt;
								&lt;div class='input-search'&gt;
									&lt;input [(ngModel)]='isShowGrade' name='isShowGrade'
									class='form-control' [placeholder]="l('Is Show Grade')"
									type='text' (keyup.enter)='searchDatas()'&gt;
								&lt;/div&gt;
								&lt;div class='input-search'&gt;
									&lt;input [(ngModel)]='isShowSequence' name='isShowSequence'
									class='form-control' [placeholder]="l('Is Show Sequence')"
									type='text' (keyup.enter)='searchDatas()'&gt;
								&lt;/div&gt;
								&lt;div class='input-search'&gt;
									&lt;input [(ngModel)]='isShowBody' name='isShowBody'
									class='form-control' [placeholder]="l('Is Show Body')"
									type='text' (keyup.enter)='searchDatas()'&gt;
								&lt;/div&gt;
								&lt;div class='input-search'&gt;
									&lt;input [(ngModel)]='isShowLotNo' name='isShowLotNo'
									class='form-control' [placeholder]="l('Is Show Lot No')"
									type='text' (keyup.enter)='searchDatas()'&gt;
								&lt;/div&gt;
								&lt;div class='input-search'&gt;
									&lt;input [(ngModel)]='isShowColor' name='isShowColor'
									class='form-control' [placeholder]="l('Is Show Color')"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(click)="createOrEditModalSpsAssemblyScreenConfig.show()"&gt;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(click)="createOrEditModalSpsAssemblyScreenConfig.show(selectedRow)"&gt;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&lt;create-or-edit-spsassemblyscreenconfig-modal
    #createOrEditModalSpsAssemblyScreenConfig
    (modalSave)="callBackDataGrid(dataParams)"
    (modalClose)="onChangeRowSelection(dataParams)"
&gt;
&lt;/create-or-edit-spsassemblyscreenconfig-modal&gt;</v>
      </c>
      <c r="E66" s="49" t="str">
        <f>B.Frontend!J10</f>
        <v>.input-search{
    width: 250px;
    border-radius: 10px;
    margin-left: 10px;
}
.btn-search{
    width: 50px;
    margin-left: 10px;
}</v>
      </c>
      <c r="F66" s="49" t="str">
        <f ca="1">B.Frontend!K10</f>
        <v>&lt;div bsModal #createOrEditModalSpsAssemblyScreenConfig="bs-modal"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SpsAssemblyScreenConfig')}}&lt;/h3&gt;
                    &lt;h3 *ngIf="!rowdata.id"&gt;{{('Create New SpsAssemblyScreenConfig')}}&lt;/h3&gt;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title'&gt;Screen Code&lt;/label&gt;
						&lt;input type='text' class='col-md-10 form-control input-text' name='ScreenCode' [(ngModel)]='rowdata.screenCode'&gt;
					&lt;/div&gt;
					&lt;div class='col-md-12 form-group row'&gt;
						&lt;label class='col-md-2 form-control title'&gt;Screen Name&lt;/label&gt;
						&lt;input type='text' class='col-md-10 form-control input-text' name='ScreenName' [(ngModel)]='rowdata.screenName'&gt;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title'&gt;Process Group&lt;/label&gt;
						&lt;input type='text' class='col-md-10 form-control input-text' name='ProcessGroup' [(ngModel)]='rowdata.processGroup'&gt;
					&lt;/div&gt;
					&lt;div class='col-md-12 form-group row'&gt;
						&lt;label class='col-md-2 form-control title'&gt;Process List&lt;/label&gt;
						&lt;input type='text' class='col-md-10 form-control input-text' name='ProcessList' [(ngModel)]='rowdata.processList'&gt;
					&lt;/div&gt;
					&lt;div class='col-md-12 form-group row'&gt;
						&lt;label class='col-md-2 form-control title'&gt;Blink Process List&lt;/label&gt;
						&lt;input type='text' class='col-md-10 form-control input-text' name='BlinkProcessList' [(ngModel)]='rowdata.blinkProcessList'&gt;
					&lt;/div&gt;
					&lt;div class='col-md-12 form-group row'&gt;
						&lt;label class='col-md-2 form-control title'&gt;Header List&lt;/label&gt;
						&lt;input type='text' class='col-md-10 form-control input-text' name='HeaderList' [(ngModel)]='rowdata.headerList'&gt;
					&lt;/div&gt;
					&lt;div class='col-md-12 form-group row'&gt;
						&lt;label class='col-md-2 form-control title'&gt;Header Color 1&lt;/label&gt;
						&lt;input type='text' class='col-md-10 form-control input-text' name='HeaderColor1' [(ngModel)]='rowdata.headerColor1'&gt;
					&lt;/div&gt;
					&lt;div class='col-md-12 form-group row'&gt;
						&lt;label class='col-md-2 form-control title'&gt;Header Color 2&lt;/label&gt;
						&lt;input type='text' class='col-md-10 form-control input-text' name='HeaderColor2' [(ngModel)]='rowdata.headerColor2'&gt;
					&lt;/div&gt;
					&lt;div class='col-md-12 form-group row'&gt;
						&lt;label class='col-md-2 form-control title'&gt;Is Show Header&lt;/label&gt;
						&lt;new-checkbox [(ngModel)]='_isShowHeader' name='isShowHeader' className='col-md-10' &gt; &lt;/new-checkbox&gt;
					&lt;/div&gt;
					&lt;div class='col-md-12 form-group row'&gt;
						&lt;label class='col-md-2 form-control title'&gt;Left Title&lt;/label&gt;
						&lt;input type='text' class='col-md-10 form-control input-text' name='LeftTitle' [(ngModel)]='rowdata.leftTitle'&gt;
					&lt;/div&gt;
					&lt;div class='col-md-12 form-group row'&gt;
						&lt;label class='col-md-2 form-control title'&gt;Left Title Vn&lt;/label&gt;
						&lt;input type='text' class='col-md-10 form-control input-text' name='LeftTitleVn' [(ngModel)]='rowdata.leftTitleVn'&gt;
					&lt;/div&gt;
					&lt;div class='col-md-12 form-group row'&gt;
						&lt;label class='col-md-2 form-control title'&gt;Is Show Left Title&lt;/label&gt;
						&lt;new-checkbox [(ngModel)]='_isShowLeftTitle' name='isShowLeftTitle' className='col-md-10' &gt; &lt;/new-checkbox&gt;
					&lt;/div&gt;
					&lt;div class='col-md-12 form-group row'&gt;
						&lt;label class='col-md-2 form-control title'&gt;Is Show Model&lt;/label&gt;
						&lt;new-checkbox [(ngModel)]='_isShowModel' name='isShowModel' className='col-md-10' &gt; &lt;/new-checkbox&gt;
					&lt;/div&gt;
					&lt;div class='col-md-12 form-group row'&gt;
						&lt;label class='col-md-2 form-control title'&gt;Is Show Grade&lt;/label&gt;
						&lt;new-checkbox [(ngModel)]='_isShowGrade' name='isShowGrade' className='col-md-10' &gt; &lt;/new-checkbox&gt;
					&lt;/div&gt;
					&lt;div class='col-md-12 form-group row'&gt;
						&lt;label class='col-md-2 form-control title'&gt;Is Show Sequence&lt;/label&gt;
						&lt;new-checkbox [(ngModel)]='_isShowSequence' name='isShowSequence' className='col-md-10' &gt; &lt;/new-checkbox&gt;
					&lt;/div&gt;
					&lt;div class='col-md-12 form-group row'&gt;
						&lt;label class='col-md-2 form-control title'&gt;Is Show Body&lt;/label&gt;
						&lt;new-checkbox [(ngModel)]='_isShowBody' name='isShowBody' className='col-md-10' &gt; &lt;/new-checkbox&gt;
					&lt;/div&gt;
					&lt;div class='col-md-12 form-group row'&gt;
						&lt;label class='col-md-2 form-control title'&gt;Is Show Lot No&lt;/label&gt;
						&lt;new-checkbox [(ngModel)]='_isShowLotNo' name='isShowLotNo' className='col-md-10' &gt; &lt;/new-checkbox&gt;
					&lt;/div&gt;
					&lt;div class='col-md-12 form-group row'&gt;
						&lt;label class='col-md-2 form-control title'&gt;Is Show Color&lt;/label&gt;
						&lt;new-checkbox [(ngModel)]='_isShowColor' name='isShowColor' className='col-md-10' &gt; &lt;/new-checkbox&gt;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66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CreateOrEditMstAssySpsAssemblyScreenConfigDto, MstAssySpsAssemblyScreenConfigServiceProxy } from '@shared/service-proxies/service-proxies';
import { BsDatepickerDirective } from 'ngx-bootstrap/datepicker';
@Component({
    selector: 'create-or-edit-spsassemblyscreenconfig-modal',
    templateUrl: './create-or-edit-spsassemblyscreenconfig-modal.component.html',
    styleUrls: ['./create-or-edit-spsassemblyscreenconfig-modal.component.less']
    })
export class CreateOrEditSpsAssemblyScreenConfigModalComponent extends AppComponentBase {
    @ViewChild('createOrEditModalSpsAssemblyScreenConfig',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CreateOrEditMstAssySpsAssemblyScreenConfigDto = new CreateOrEditMstAssySpsAssemblyScreenConfigDto();
    active: boolean = false;
    saving: boolean = false;
    _isShowHeader
isShowLeftTitle
isShowModel
isShowGrade
isShowSequence
isShowBody
isShowLotNo
isShowColor
isActive: boolean;
    constructor(
        injector: Injector,
        private _mstwptSpsAssemblyScreenConfigService: MstAssySpsAssemblyScreenConfigServiceProxy,
    ) 
    {
        super(injector);
    }
    show(rowdata?: CreateOrEditMstAssySpsAssemblyScreenConfigDto): void {
        if (!rowdata) this.rowdata = new CreateOrEditMstAssySpsAssemblyScreenConfigDto();
        else this.rowdata = rowdata;
        this._isShowHeader
isShowLeftTitle
isShowModel
isShowGrade
isShowSequence
isShowBody
isShowLotNo
isShowColor
isActive = (this.rowdata.isShowHeader
isShowLeftTitle
isShowModel
isShowGrade
isShowSequence
isShowBody
isShowLotNo
isShowColor
isActive == "N")? false: true;
        this.active = true;
        this.modal.show();
    } 
    changeActive(event){
        this._isShowHeader
isShowLeftTitle
isShowModel
isShowGrade
isShowSequence
isShowBody
isShowLotNo
isShowColor
isActive = event.target.checked;
    }
    save(): void {
    this.saving = true; 
    this.rowdata.isShowHeader
isShowLeftTitle
isShowModel
isShowGrade
isShowSequence
isShowBody
isShowLotNo
isShowColor
isActive = (this._isShowHeader
isShowLeftTitle
isShowModel
isShowGrade
isShowSequence
isShowBody
isShowLotNo
isShowColor
isActive == true) ? 'Y' : 'N'
    this._mstwptSpsAssemblyScreenConfigService.createOrEdit(this.rowdata)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66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66" s="49" t="str">
        <f>B.Frontend!N10</f>
        <v>import {NgModule} from '@angular/core';
import {AppSharedModule} from '@app/shared/app-shared.module';
import { SpsAssemblyScreenConfigRoutingModule } from './spsassemblyscreenconfig-routing.module';
import { SpsAssemblyScreenConfigComponent } from './spsassemblyscreenconfig.component';
import { CreateOrEditSpsAssemblyScreenConfigModalComponent } from './create-or-edit-spsassemblyscreenconfig-modal.component';
@NgModule({
    declarations: [
       SpsAssemblyScreenConfigComponent, 
        CreateOrEditSpsAssemblyScreenConfigModalComponent
    ],
    imports: [
        AppSharedModule, SpsAssemblyScreenConfigRoutingModule]
})
export class SpsAssemblyScreenConfigModule {}</v>
      </c>
      <c r="J66" s="49" t="str">
        <f>B.Frontend!O10</f>
        <v>import {NgModule} from '@angular/core';
import {RouterModule, Routes} from '@angular/router';
import { SpsAssemblyScreenConfigComponent } from './spsassemblyscreenconfig.component';
const routes: Routes = [{
    path: '',
    component: SpsAssemblyScreenConfigComponent,
    pathMatch: 'full'
}];
@NgModule({
    imports: [RouterModule.forChild(routes)],
    exports: [RouterModule],
})
export class SpsAssemblyScreenConfigRoutingModule {}</v>
      </c>
      <c r="K66" s="49" t="str">
        <f>B.Frontend!P10</f>
        <v xml:space="preserve"> new AppMenuItem("SpsAssemblyScreenConfig", "Pages.Master.Assy.SpsAssemblyScreenConfig", "flaticon-book",   "/app/main/master/assy/spsassemblyscreenconfig"),</v>
      </c>
      <c r="L66" s="50" t="str">
        <f>B.Frontend!Q10</f>
        <v>{
    path: 'master/assy/spsassemblyscreenconfig',
    loadChildren: () =&gt; import('./master/assy/spsassemblyscreenconfig/spsassemblyscreenconfig.module').then(m =&gt; m.SpsAssemblyScreenConfigModule),
    data: { permission: 'Pages.Master.Assy.SpsAssemblyScreenConfig' }
},</v>
      </c>
      <c r="M66" s="48" t="str">
        <f>B.Frontend!R10</f>
        <v>ApiServiceProxies.MstAssySpsAssemblyScreenConfigServiceProxy,</v>
      </c>
    </row>
    <row r="68" spans="2:13" x14ac:dyDescent="0.25">
      <c r="B68" s="1" t="s">
        <v>75</v>
      </c>
    </row>
  </sheetData>
  <mergeCells count="2">
    <mergeCell ref="C64:J64"/>
    <mergeCell ref="K64:L64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30"/>
  <sheetViews>
    <sheetView tabSelected="1" workbookViewId="0">
      <pane xSplit="1" topLeftCell="B1" activePane="topRight" state="frozen"/>
      <selection pane="topRight" activeCell="B13" sqref="B13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42578125" style="8" customWidth="1"/>
    <col min="19" max="19" width="20.42578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vovina.Master.Assy.Dto;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343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25">
      <c r="A3" s="1" t="s">
        <v>5</v>
      </c>
      <c r="B3" s="30" t="s">
        <v>344</v>
      </c>
      <c r="C3" s="10" t="s">
        <v>43</v>
      </c>
      <c r="D3" s="10" t="s">
        <v>44</v>
      </c>
      <c r="E3" s="10" t="s">
        <v>39</v>
      </c>
      <c r="F3" s="11" t="str">
        <f>"J"&amp;COUNTA($A:$A)</f>
        <v>J28</v>
      </c>
      <c r="G3" s="4" t="s">
        <v>57</v>
      </c>
      <c r="H3" s="10" t="str">
        <f>"I"&amp;COUNTA($A:$A)</f>
        <v>I28</v>
      </c>
      <c r="I3" s="10" t="str">
        <f>REPT(CHAR(9),2)&amp;"[Required]"&amp;"
"</f>
        <v xml:space="preserve">		[Required]
</v>
      </c>
      <c r="J3" s="11" t="str">
        <f>"L"&amp;COUNTA($A:$A)</f>
        <v>L28</v>
      </c>
      <c r="K3" s="5" t="s">
        <v>56</v>
      </c>
      <c r="L3" s="11" t="str">
        <f>"M"&amp;COUNTA($A:$A)</f>
        <v>M28</v>
      </c>
      <c r="M3" s="11" t="str">
        <f>"N"&amp;COUNTA($A:$A)</f>
        <v>N28</v>
      </c>
      <c r="N3" s="11" t="str">
        <f>"O"&amp;COUNTA($A:$A)</f>
        <v>O28</v>
      </c>
      <c r="O3" s="11" t="str">
        <f>"P"&amp;COUNTA($A:$A)</f>
        <v>P28</v>
      </c>
      <c r="Q3" s="11" t="str">
        <f>RIGHT(B2,(LEN(B2)-FIND(".",B2,1)))</f>
        <v>Assy</v>
      </c>
      <c r="R3" s="32" t="str">
        <f>REPT(CHAR(9),1)&amp;"public class "&amp;B3&amp;"ExportInput"&amp;C3</f>
        <v xml:space="preserve">	public class MstAssySpsAssemblyScreenConfigExportInput{
</v>
      </c>
      <c r="S3" s="11" t="str">
        <f>"namespace "&amp;$B$6&amp;".Exporting
"&amp;$C$3</f>
        <v xml:space="preserve">namespace vovina.Master.Assy.Exporting
{
</v>
      </c>
      <c r="T3" s="11" t="str">
        <f>"T"&amp;COUNTA($A:$A)</f>
        <v>T28</v>
      </c>
      <c r="V3" s="11" t="str">
        <f>"V"&amp;COUNTA($A:$A)</f>
        <v>V28</v>
      </c>
      <c r="W3" s="10" t="str">
        <f>"W"&amp;COUNTA($A:$A)</f>
        <v>W28</v>
      </c>
    </row>
    <row r="4" spans="1:23" s="11" customFormat="1" ht="33" customHeight="1" x14ac:dyDescent="0.25">
      <c r="A4" s="1" t="s">
        <v>237</v>
      </c>
      <c r="B4" s="64" t="s">
        <v>88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345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vovina.Master.Assy</v>
      </c>
      <c r="C6" s="11" t="str">
        <f>"namespace "&amp;$B$6&amp;"
"&amp;$C$3</f>
        <v xml:space="preserve">namespace vovina.Master.Assy
{
</v>
      </c>
      <c r="D6" s="11" t="str">
        <f>REPT(CHAR(9),1)&amp;"public class "&amp;B3&amp;G3&amp;REPT(CHAR(9),1)&amp;"
"&amp;REPT(CHAR(9),1)&amp;C3</f>
        <v xml:space="preserve">	public class MstAssySpsAssemblyScreenConfig: FullAuditedEntity&lt;long&gt;, IEntity&lt;long&gt;	
	{
</v>
      </c>
      <c r="E6" s="11" t="str">
        <f>REPT(CHAR(9),1)&amp;"public class "&amp;B3&amp;"Consts"&amp;REPT(CHAR(9),1)&amp;"
"&amp;REPT(CHAR(9),1)&amp;C3</f>
        <v xml:space="preserve">	public class MstAssySpsAssemblyScreenConfigConsts	
	{
</v>
      </c>
      <c r="F6" s="11" t="str">
        <f>REPT(CHAR(9),1)&amp;"public class "&amp;B3&amp;"Dto"&amp;K3&amp;REPT(CHAR(9),1)&amp;"
"&amp;REPT(CHAR(9),1)&amp;C3</f>
        <v xml:space="preserve">	public class MstAssySpsAssemblyScreenConfigDto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CreateOrEditMstAssySpsAssemblyScreenConfigDto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GetMstAssySpsAssemblyScreenConfigInput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MstAssySpsAssemblyScreenConfig</v>
      </c>
      <c r="C7" s="11" t="str">
        <f>REPT(CHAR(9),1)&amp;"[Table("""&amp;B7&amp;""")]"&amp;"
"</f>
        <v xml:space="preserve">	[Table("MstAssySpsAssemblyScreenConfig")]
</v>
      </c>
      <c r="D7" s="11"/>
      <c r="E7" s="11"/>
      <c r="F7" s="11"/>
      <c r="G7" s="11"/>
      <c r="H7" s="11"/>
      <c r="I7" s="11"/>
      <c r="J7" s="6" t="str">
        <f ca="1">SUBSTITUTE(SUBSTITUTE((B1&amp;C6&amp;C7&amp;K30&amp;D6&amp;I30&amp;E3&amp;J30&amp;""&amp;REPT(CHAR(9),1)&amp;D3&amp;D3),"WorkingPattern",$Q$3),"Master",$B$4)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vovina.Master.Assy
{
	[Table("MstAssySpsAssemblyScreenConfig")]
	[Index(nameof(ScreenCode), Name="IX_MstAssySpsAssemblyScreenConfig_ScreenCode")]
	[Index(nameof(ScreenName), Name="IX_MstAssySpsAssemblyScreenConfig_ScreenName")]
	[Index(nameof(IsActive), Name="IX_MstAssySpsAssemblyScreenConfig_IsActive")]	public class MstAssySpsAssemblyScreenConfig: FullAuditedEntity&lt;long&gt;, IEntity&lt;long&gt;	
	{
		public const int MaxScreenCodeLength = 50;
		public const int MaxScreenNameLength = 50;
		public const int MaxProdLineLength = 50;
		public const int MaxProcessGroupLength = 50;
		public const int MaxProcessListLength = 200;
		public const int MaxBlinkProcessListLength = 200;
		public const int MaxHeaderListLength = 200;
		public const int MaxHeaderColor1Length = 50;
		public const int MaxHeaderColor2Length = 50;
		public const int MaxIsShowHeaderLength = 1;
		public const int MaxLeftTitleLength = 200;
		public const int MaxLeftTitleVnLength = 200;
		public const int MaxIsShowLeftTitleLength = 1;
		public const int MaxIsShowModelLength = 1;
		public const int MaxIsShowGradeLength = 1;
		public const int MaxIsShowSequenceLength = 1;
		public const int MaxIsShowBodyLength = 1;
		public const int MaxIsShowLotNoLength = 1;
		public const int MaxIsShowColorLength = 1;
		public const int MaxIsActiveLength = 1;
		[StringLength(MaxScreenCodeLength)]
		public virtual string ScreenCode { get; set; }
		[StringLength(MaxScreenNameLength)]
		public virtual string ScreenName { get; set; }
		[StringLength(MaxProdLineLength)]
		public virtual string ProdLine { get; set; }
		[StringLength(MaxProcessGroupLength)]
		public virtual string ProcessGroup { get; set; }
		[StringLength(MaxProcessListLength)]
		public virtual string ProcessList { get; set; }
		[StringLength(MaxBlinkProcessListLength)]
		public virtual string BlinkProcessList { get; set; }
		[StringLength(MaxHeaderListLength)]
		public virtual string HeaderList { get; set; }
		[StringLength(MaxHeaderColor1Length)]
		public virtual string HeaderColor1 { get; set; }
		[StringLength(MaxHeaderColor2Length)]
		public virtual string HeaderColor2 { get; set; }
		[StringLength(MaxIsShowHeaderLength)]
		public virtual string IsShowHeader { get; set; }
		[StringLength(MaxLeftTitleLength)]
		public virtual string LeftTitle { get; set; }
		[StringLength(MaxLeftTitleVnLength)]
		public virtual string LeftTitleVn { get; set; }
		[StringLength(MaxIsShowLeftTitleLength)]
		public virtual string IsShowLeftTitle { get; set; }
		[StringLength(MaxIsShowModelLength)]
		public virtual string IsShowModel { get; set; }
		[StringLength(MaxIsShowGradeLength)]
		public virtual string IsShowGrade { get; set; }
		[StringLength(MaxIsShowSequenceLength)]
		public virtual string IsShowSequence { get; set; }
		[StringLength(MaxIsShowBodyLength)]
		public virtual string IsShowBody { get; set; }
		[StringLength(MaxIsShowLotNoLength)]
		public virtual string IsShowLotNo { get; set; }
		[StringLength(MaxIsShowColorLength)]
		public virtual string IsShowColor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DbSet&lt;MstAssySpsAssemblyScreenConfig&gt; MstAssySpsAssemblyScreenConfigs { get; set; }</v>
      </c>
      <c r="L7" t="str">
        <f ca="1">SUBSTITUTE(SUBSTITUTE((C6&amp;E6&amp;I30&amp;"
"&amp;REPT(CHAR(9),2)&amp;"// Define Store Name: Format SP_ + &lt;Store Name&gt; = &lt;Store Name&gt;
"&amp;E3&amp;REPT(CHAR(9),1)&amp;D3&amp;D3),"WorkingPattern",$Q$3),"Master",$B$4)</f>
        <v xml:space="preserve">namespace vovina.Master.Assy
{
	public class MstAssySpsAssemblyScreenConfigConsts	
	{
		public const int MaxScreenCodeLength = 50;
		public const int MaxScreenNameLength = 50;
		public const int MaxProdLineLength = 50;
		public const int MaxProcessGroupLength = 50;
		public const int MaxProcessListLength = 200;
		public const int MaxBlinkProcessListLength = 200;
		public const int MaxHeaderListLength = 200;
		public const int MaxHeaderColor1Length = 50;
		public const int MaxHeaderColor2Length = 50;
		public const int MaxIsShowHeaderLength = 1;
		public const int MaxLeftTitleLength = 200;
		public const int MaxLeftTitleVnLength = 200;
		public const int MaxIsShowLeftTitleLength = 1;
		public const int MaxIsShowModelLength = 1;
		public const int MaxIsShowGradeLength = 1;
		public const int MaxIsShowSequenceLength = 1;
		public const int MaxIsShowBodyLength = 1;
		public const int MaxIsShowLotNoLength = 1;
		public const int MaxIsShowColorLength = 1;
		public const int MaxIsActiveLength = 1;
		// Define Store Name: Format SP_ + &lt;Store Name&gt; = &lt;Store Name&gt;
	}
}
</v>
      </c>
      <c r="M7" t="str">
        <f ca="1">SUBSTITUTE(SUBSTITUTE((C1&amp;"namespace "&amp;B6&amp;".Dto"&amp;E3&amp;C3&amp;F6&amp;M30&amp;E3&amp;REPT(CHAR(9),1)&amp;D3&amp;G6&amp;N30&amp;REPT(CHAR(9),1)&amp;D3&amp;H6&amp;O30&amp;"
"&amp;REPT(CHAR(9),1)&amp;D3&amp;D3),"WorkingPattern",$Q$3),"Master",$B$4)</f>
        <v xml:space="preserve">using Abp.Application.Services.Dto;
using System;
using System.ComponentModel.DataAnnotations;
namespace vovina.Master.Assy.Dto
{
	public class MstAssySpsAssemblyScreenConfigDto : EntityDto&lt;long?&gt;	
	{
		public virtual string ScreenCode { get; set; }
		public virtual string ScreenName { get; set; }
		public virtual string ProdLine { get; set; }
		public virtual string ProcessGroup { get; set; }
		public virtual string ProcessList { get; set; }
		public virtual string BlinkProcessList { get; set; }
		public virtual string HeaderList { get; set; }
		public virtual string HeaderColor1 { get; set; }
		public virtual string HeaderColor2 { get; set; }
		public virtual string IsShowHeader { get; set; }
		public virtual string LeftTitle { get; set; }
		public virtual string LeftTitleVn { get; set; }
		public virtual string IsShowLeftTitle { get; set; }
		public virtual string IsShowModel { get; set; }
		public virtual string IsShowGrade { get; set; }
		public virtual string IsShowSequence { get; set; }
		public virtual string IsShowBody { get; set; }
		public virtual string IsShowLotNo { get; set; }
		public virtual string IsShowColor { get; set; }
		public virtual string IsActive { get; set; }
	}
	public class CreateOrEditMstAssySpsAssemblyScreenConfigDto : EntityDto&lt;long?&gt;	
	{
		[StringLength(MstAssySpsAssemblyScreenConfigConsts.MaxScreenCodeLength)]
		public virtual string ScreenCode { get; set; }
		[StringLength(MstAssySpsAssemblyScreenConfigConsts.MaxScreenNameLength)]
		public virtual string ScreenName { get; set; }
		[StringLength(MstAssySpsAssemblyScreenConfigConsts.MaxProdLineLength)]
		public virtual string ProdLine { get; set; }
		[StringLength(MstAssySpsAssemblyScreenConfigConsts.MaxProcessGroupLength)]
		public virtual string ProcessGroup { get; set; }
		[StringLength(MstAssySpsAssemblyScreenConfigConsts.MaxProcessListLength)]
		public virtual string ProcessList { get; set; }
		[StringLength(MstAssySpsAssemblyScreenConfigConsts.MaxBlinkProcessListLength)]
		public virtual string BlinkProcessList { get; set; }
		[StringLength(MstAssySpsAssemblyScreenConfigConsts.MaxHeaderListLength)]
		public virtual string HeaderList { get; set; }
		[StringLength(MstAssySpsAssemblyScreenConfigConsts.MaxHeaderColor1Length)]
		public virtual string HeaderColor1 { get; set; }
		[StringLength(MstAssySpsAssemblyScreenConfigConsts.MaxHeaderColor2Length)]
		public virtual string HeaderColor2 { get; set; }
		[StringLength(MstAssySpsAssemblyScreenConfigConsts.MaxIsShowHeaderLength)]
		public virtual string IsShowHeader { get; set; }
		[StringLength(MstAssySpsAssemblyScreenConfigConsts.MaxLeftTitleLength)]
		public virtual string LeftTitle { get; set; }
		[StringLength(MstAssySpsAssemblyScreenConfigConsts.MaxLeftTitleVnLength)]
		public virtual string LeftTitleVn { get; set; }
		[StringLength(MstAssySpsAssemblyScreenConfigConsts.MaxIsShowLeftTitleLength)]
		public virtual string IsShowLeftTitle { get; set; }
		[StringLength(MstAssySpsAssemblyScreenConfigConsts.MaxIsShowModelLength)]
		public virtual string IsShowModel { get; set; }
		[StringLength(MstAssySpsAssemblyScreenConfigConsts.MaxIsShowGradeLength)]
		public virtual string IsShowGrade { get; set; }
		[StringLength(MstAssySpsAssemblyScreenConfigConsts.MaxIsShowSequenceLength)]
		public virtual string IsShowSequence { get; set; }
		[StringLength(MstAssySpsAssemblyScreenConfigConsts.MaxIsShowBodyLength)]
		public virtual string IsShowBody { get; set; }
		[StringLength(MstAssySpsAssemblyScreenConfigConsts.MaxIsShowLotNoLength)]
		public virtual string IsShowLotNo { get; set; }
		[StringLength(MstAssySpsAssemblyScreenConfigConsts.MaxIsShowColorLength)]
		public virtual string IsShowColor { get; set; }
		[StringLength(MstAssySpsAssemblyScreenConfigConsts.MaxIsActiveLength)]
		public virtual string IsActive { get; set; }
	}
	public class GetMstAssySpsAssemblyScreenConfigInput : PagedAndSortedResultRequestDto	
	{
		public virtual string ScreenCode { get; set; }
		public virtual string ScreenName { get; set; }
		public virtual string ProdLine { get; set; }
		public virtual string ProcessGroup { get; set; }
		public virtual string ProcessList { get; set; }
		public virtual string BlinkProcessList { get; set; }
		public virtual string HeaderList { get; set; }
		public virtual string HeaderColor1 { get; set; }
		public virtual string HeaderColor2 { get; set; }
		public virtual string IsShowHeader { get; set; }
		public virtual string LeftTitle { get; set; }
		public virtual string LeftTitleVn { get; set; }
		public virtual string IsShowLeftTitle { get; set; }
		public virtual string IsShowModel { get; set; }
		public virtual string IsShowGrade { get; set; }
		public virtual string IsShowSequence { get; set; }
		public virtual string IsShowBody { get; set; }
		public virtual string IsShowLotNo { get; set; }
		public virtual string IsShowColor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perMstAssySpsAssemblyScreenConfig = PARENTS.CreateChildPermission(AppPermissions.Pages_Master_Assy_SpsAssemblyScreenConfig, L( "MasterAssySpsAssemblyScreenConfig"), multiTenancySides: MultiTenancySides.Tenant);
		perMstAssySpsAssemblyScreenConfig.CreateChildPermission(AppPermissions.Pages_Master_Assy_SpsAssemblyScreenConfig_CreateEdit, L( "MasterAssySpsAssemblyScreenConfigCreateEdit"), multiTenancySides: MultiTenancySides.Tenant);
		perMstAssySpsAssemblyScreenConfig.CreateChildPermission(AppPermissions.Pages_Master_Assy_SpsAssemblyScreenConfig_Delete, L( "MasterAssySpsAssemblyScreenConfigDelete"), multiTenancySides: MultiTenancySides.Tenant);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Pages_Master_Assy_SpsAssemblyScreenConfig = "Pages.Master.Assy.SpsAssemblyScreenConfig";
		public const string Pages_Master_Assy_SpsAssemblyScreenConfig_CreateEdit = "Pages.Master.Assy.SpsAssemblyScreenConfig.CreateEdit";
		public const string Pages_Master_Assy_SpsAssemblyScreenConfig_Delete = "Pages.Master.Assy.SpsAssemblyScreenConfig.Delete";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vovina.Master.Assy.Dto;
namespace vovina.Master.Assy
{
	public interface IMstAssySpsAssemblyScreenConfigAppService : IApplicationService
	{
		Task&lt;PagedResultDto&lt;MstAssySpsAssemblyScreenConfigDto&gt;&gt; GetAll(GetMstAssySpsAssemblyScreenConfigInput input);
		Task CreateOrEdit(CreateOrEditMstAssySpsAssemblyScreenConfigDto input);
		Task Delete(EntityDto input);
	}
}
</v>
      </c>
      <c r="Q7" t="str">
        <f ca="1">SUBSTITUTE(SUBSTITUTE(SUBSTITUTE(SUBSTITUTE(SUBSTITUTE(SUBSTITUTE(E1,"MstWptCalendar",$B$3),"&lt;PROPERTIES&gt;",P30),"Calendar",$B$5),"WorkingPattern",$Q$3),"Master",$B$4),"&lt;PARAMS_SEARCH&gt;",$W$30)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vovina.Master.Assy.Dto;
using vovina.Master.Assy.Exporting;
namespace vovina.Master.Assy
{
    [AbpAuthorize(AppPermissions.Pages_Master_Assy_SpsAssemblyScreenConfig)]
    public class MstAssySpsAssemblyScreenConfigAppService : vovinaAppServiceBase, IMstAssySpsAssemblyScreenConfigAppService
    {
        private readonly IDapperRepository&lt;MstAssySpsAssemblyScreenConfig, long&gt; _dapperRepo;
        private readonly IRepository&lt;MstAssySpsAssemblyScreenConfig, long&gt; _repo;
        private readonly IMstAssySpsAssemblyScreenConfigExcelExporter _calendarListExcelExporter;
        public MstAssySpsAssemblyScreenConfigAppService(IRepository&lt;MstAssySpsAssemblyScreenConfig,long&gt; repo, 
                                         IDapperRepository&lt;MstAssySpsAssemblyScreenConfig,long&gt; dapperRepo,
                                        IMstAssySpsAssemblyScreenConfigExcelExporter calendarListExcelExporter
            )
        {
            _repo = repo;
            _dapperRepo = dapperRepo;
            _calendarListExcelExporter = calendarListExcelExporter;
        }
        [AbpAuthorize(AppPermissions.Pages_Master_Assy_SpsAssemblyScreenConfig_CreateEdit)]
        public async Task CreateOrEdit(CreateOrEditMstAssySpsAssemblyScreenConfigDto input)
        {
            if (input.Id == null) await Create(input);
            else await Update(input);
        }
        //CREATE
        private async Task Create(CreateOrEditMstAssySpsAssemblyScreenConfigDto input)
        {          
            var mainObj = ObjectMapper.Map&lt;MstAssySpsAssemblyScreenConfig&gt;(input);
            await CurrentUnitOfWork.GetDbContext&lt;vovinaDbContext&gt;().AddAsync(mainObj);
        }
        // EDIT
        private async Task Update(CreateOrEditMstAssySpsAssemblyScreenConfigDto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[AbpAuthorize(AppPermissions.Pages_Master_Assy_SpsAssemblyScreenConfig_Delete)]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Task&lt;PagedResultDto&lt;MstAssySpsAssemblyScreenConfigDto&gt;&gt; GetAll(GetMstAssySpsAssemblyScreenConfigInput input)
        {
            var filtered = _repo.GetAll()
				.WhereIf(!string.IsNullOrWhiteSpace(input.ScreenCode), e =&gt; e.ScreenCode.Contains(input.ScreenCode))
				.WhereIf(!string.IsNullOrWhiteSpace(input.ScreenName), e =&gt; e.ScreenName.Contains(input.ScreenName))
				.WhereIf(!string.IsNullOrWhiteSpace(input.ProdLine), e =&gt; e.ProdLine.Contains(input.ProdLine))
				.WhereIf(!string.IsNullOrWhiteSpace(input.ProcessGroup), e =&gt; e.ProcessGroup.Contains(input.ProcessGroup))
				.WhereIf(!string.IsNullOrWhiteSpace(input.ProcessList), e =&gt; e.ProcessList.Contains(input.ProcessList))
				.WhereIf(!string.IsNullOrWhiteSpace(input.BlinkProcessList), e =&gt; e.BlinkProcessList.Contains(input.BlinkProcessList))
				.WhereIf(!string.IsNullOrWhiteSpace(input.HeaderList), e =&gt; e.HeaderList.Contains(input.HeaderList))
				.WhereIf(!string.IsNullOrWhiteSpace(input.HeaderColor1), e =&gt; e.HeaderColor1.Contains(input.HeaderColor1))
				.WhereIf(!string.IsNullOrWhiteSpace(input.HeaderColor2), e =&gt; e.HeaderColor2.Contains(input.HeaderColor2))
				.WhereIf(!string.IsNullOrWhiteSpace(input.IsShowHeader), e =&gt; e.IsShowHeader.Contains(input.IsShowHeader))
				.WhereIf(!string.IsNullOrWhiteSpace(input.LeftTitle), e =&gt; e.LeftTitle.Contains(input.LeftTitle))
				.WhereIf(!string.IsNullOrWhiteSpace(input.LeftTitleVn), e =&gt; e.LeftTitleVn.Contains(input.LeftTitleVn))
				.WhereIf(!string.IsNullOrWhiteSpace(input.IsShowLeftTitle), e =&gt; e.IsShowLeftTitle.Contains(input.IsShowLeftTitle))
				.WhereIf(!string.IsNullOrWhiteSpace(input.IsShowModel), e =&gt; e.IsShowModel.Contains(input.IsShowModel))
				.WhereIf(!string.IsNullOrWhiteSpace(input.IsShowGrade), e =&gt; e.IsShowGrade.Contains(input.IsShowGrade))
				.WhereIf(!string.IsNullOrWhiteSpace(input.IsShowSequence), e =&gt; e.IsShowSequence.Contains(input.IsShowSequence))
				.WhereIf(!string.IsNullOrWhiteSpace(input.IsShowBody), e =&gt; e.IsShowBody.Contains(input.IsShowBody))
				.WhereIf(!string.IsNullOrWhiteSpace(input.IsShowLotNo), e =&gt; e.IsShowLotNo.Contains(input.IsShowLotNo))
				.WhereIf(!string.IsNullOrWhiteSpace(input.IsShowColor), e =&gt; e.IsShowColor.Contains(input.IsShowColor))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MstAssySpsAssemblyScreenConfigDto
                        {
							Id = o.Id,
							ScreenCode = o.ScreenCode,
							ScreenName = o.ScreenName,
							ProdLine = o.ProdLine,
							ProcessGroup = o.ProcessGroup,
							ProcessList = o.ProcessList,
							BlinkProcessList = o.BlinkProcessList,
							HeaderList = o.HeaderList,
							HeaderColor1 = o.HeaderColor1,
							HeaderColor2 = o.HeaderColor2,
							IsShowHeader = o.IsShowHeader,
							LeftTitle = o.LeftTitle,
							LeftTitleVn = o.LeftTitleVn,
							IsShowLeftTitle = o.IsShowLeftTitle,
							IsShowModel = o.IsShowModel,
							IsShowGrade = o.IsShowGrade,
							IsShowSequence = o.IsShowSequence,
							IsShowBody = o.IsShowBody,
							IsShowLotNo = o.IsShowLotNo,
							IsShowColor = o.IsShowColor,
							IsActive = o.IsActive,
                        };
            var totalCount = await filtered.CountAsync();
			var paged = system.PageBy(input);
            return new PagedResultDto&lt;MstAssySpsAssemblyScreenConfigDto&gt;(
                totalCount,
                 await paged.ToListAsync()
            );
        }
        public async Task&lt;FileDto&gt; GetSpsAssemblyScreenConfigToExcel(MstAssySpsAssemblyScreenConfigExportInput input)
        {
            var query = from o in _repo.GetAll()
                        select new MstAssySpsAssemblyScreenConfigDto
                        {
							Id = o.Id,
							ScreenCode = o.ScreenCode,
							ScreenName = o.ScreenName,
							ProdLine = o.ProdLine,
							ProcessGroup = o.ProcessGroup,
							ProcessList = o.ProcessList,
							BlinkProcessList = o.BlinkProcessList,
							HeaderList = o.HeaderList,
							HeaderColor1 = o.HeaderColor1,
							HeaderColor2 = o.HeaderColor2,
							IsShowHeader = o.IsShowHeader,
							LeftTitle = o.LeftTitle,
							LeftTitleVn = o.LeftTitleVn,
							IsShowLeftTitle = o.IsShowLeftTitle,
							IsShowModel = o.IsShowModel,
							IsShowGrade = o.IsShowGrade,
							IsShowSequence = o.IsShowSequence,
							IsShowBody = o.IsShowBody,
							IsShowLotNo = o.IsShowLotNo,
							IsShowColor = o.IsShowColor,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_dapperRepo.ExecuteAsync(MstAssySpsAssemblyScreenConfigConsts.SP_MST_WPT_CALENDAR_GENERATE);
       // }
    }
}</v>
      </c>
      <c r="R7" t="str">
        <f ca="1">SUBSTITUTE(SUBSTITUTE((C1&amp;"namespace "&amp;B6&amp;".Dto"&amp;E3&amp;C3&amp;R3&amp;M30&amp;E3&amp;REPT(CHAR(9),1)&amp;D3&amp;D3),"WorkingPattern",$Q$3),"Master",$B$4)</f>
        <v xml:space="preserve">using Abp.Application.Services.Dto;
using System;
using System.ComponentModel.DataAnnotations;
namespace vovina.Master.Assy.Dto
{
	public class MstAssySpsAssemblyScreenConfigExportInput{
		public virtual string ScreenCode { get; set; }
		public virtual string ScreenName { get; set; }
		public virtual string ProdLine { get; set; }
		public virtual string ProcessGroup { get; set; }
		public virtual string ProcessList { get; set; }
		public virtual string BlinkProcessList { get; set; }
		public virtual string HeaderList { get; set; }
		public virtual string HeaderColor1 { get; set; }
		public virtual string HeaderColor2 { get; set; }
		public virtual string IsShowHeader { get; set; }
		public virtual string LeftTitle { get; set; }
		public virtual string LeftTitleVn { get; set; }
		public virtual string IsShowLeftTitle { get; set; }
		public virtual string IsShowModel { get; set; }
		public virtual string IsShowGrade { get; set; }
		public virtual string IsShowSequence { get; set; }
		public virtual string IsShowBody { get; set; }
		public virtual string IsShowLotNo { get; set; }
		public virtual string IsShowColor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vovina.Master.Assy.Dto;
namespace vovina.Master.Assy.Exporting
{
	public interface IMstAssySpsAssemblyScreenConfigExcelExporter : IApplicationService
	{
		FileDto ExportToFile(List&lt;MstAssySpsAssemblyScreenConfigDto&gt; mstassyspsassemblyscreenconfig);
	}
}
</v>
      </c>
      <c r="T7" s="28" t="str">
        <f ca="1">SUBSTITUTE(SUBSTITUTE(SUBSTITUTE(SUBSTITUTE(SUBSTITUTE(SUBSTITUTE(SUBSTITUTE(T1,"MstWptCalendar",$B$3),"&lt;PROPERTIES1&gt;",V30),"&lt;PROPERTIES&gt;",T30),"Calendar",$B$5),"calendar",LOWER(B5)),"WorkingPattern",$Q$3),"Master",$B$4)</f>
        <v>using System.Collections.Generic;
using vovina.DataExporting.Excel.NPOI;
using vovina.Dto;
using vovina.Master.Assy.Exporting;
using vovina.Master.Assy.Dto;
using vovina.Storage;
using vovina.Master.Assy.Dto;
namespace vovina.Master.Assy.Exporting
{
    public class MstAssySpsAssemblyScreenConfigExcelExporter : NpoiExcelExporterBase, IMstAssySpsAssemblyScreenConfigExcelExporter
    {
        public MstAssySpsAssemblyScreenConfigExcelExporter(ITempFileCacheManager tempFileCacheManager) : base(tempFileCacheManager) { }
        public FileDto ExportToFile(List&lt;MstAssySpsAssemblyScreenConfigDto&gt; spsassemblyscreenconfig)
        {
            return CreateExcelPackage(
				"MasterAssySpsAssemblyScreenConfig.xlsx",
				excelPackage =&gt;
				 {
					var sheet = excelPackage.CreateSheet("SpsAssemblyScreenConfig");
					AddHeader(
								sheet,
								("ScreenCode"),
								("ScreenName"),
								("ProdLine"),
								("ProcessGroup"),
								("ProcessList"),
								("BlinkProcessList"),
								("HeaderList"),
								("HeaderColor1"),
								("HeaderColor2"),
								("IsShowHeader"),
								("LeftTitle"),
								("LeftTitleVn"),
								("IsShowLeftTitle"),
								("IsShowModel"),
								("IsShowGrade"),
								("IsShowSequence"),
								("IsShowBody"),
								("IsShowLotNo"),
								("IsShowColor"),
								("IsActive"),
							   );
					AddObjects(
						 sheet, 1, spsassemblyscreenconfig,                                       
								_ =&gt; _.ScreenCode,
								_ =&gt; _.ScreenName,
								_ =&gt; _.ProdLine,
								_ =&gt; _.ProcessGroup,
								_ =&gt; _.ProcessList,
								_ =&gt; _.BlinkProcessList,
								_ =&gt; _.HeaderList,
								_ =&gt; _.HeaderColor1,
								_ =&gt; _.HeaderColor2,
								_ =&gt; _.IsShowHeader,
								_ =&gt; _.LeftTitle,
								_ =&gt; _.LeftTitleVn,
								_ =&gt; _.IsShowLeftTitle,
								_ =&gt; _.IsShowModel,
								_ =&gt; _.IsShowGrade,
								_ =&gt; _.IsShowSequence,
								_ =&gt; _.IsShowBody,
								_ =&gt; _.IsShowLotNo,
								_ =&gt; _.IsShowColor,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configuration.CreateMap&lt;MstAssySpsAssemblyScreenConfigDto, MstAssySpsAssemblyScreenConfig&gt;();
  configuration.CreateMap&lt;MstAssySpsAssemblyScreenConfig, MstAssySpsAssemblyScreenConfigDto&gt;();
  configuration.CreateMap&lt;CreateOrEditMstAssySpsAssemblyScreenConfigDto, MstAssySpsAssemblyScreenConfig&gt;();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18.75" customHeight="1" x14ac:dyDescent="0.25">
      <c r="A9" t="s">
        <v>329</v>
      </c>
      <c r="B9" t="s">
        <v>321</v>
      </c>
      <c r="C9" t="s">
        <v>1</v>
      </c>
      <c r="D9" t="str">
        <f t="shared" ref="D9" si="0">SUBSTITUTE(PROPER(A9),"_","")</f>
        <v>ScreenCode</v>
      </c>
      <c r="E9" t="str">
        <f t="shared" ref="E9" si="1">IFERROR(LEFT(B9, FIND("(",B9)-1),B9)</f>
        <v>varchar</v>
      </c>
      <c r="F9" s="7"/>
      <c r="G9" t="str">
        <f t="shared" ref="G9" si="2">IFERROR(MID(B9,FIND("(",B9) +1, FIND(")",B9) - FIND("(",B9) - 1),"")</f>
        <v>50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MaxScreenCodeLength = 50;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[StringLength(MaxScreenCodeLength)]
		public virtual string ScreenCode { get; set; }
</v>
      </c>
      <c r="K9" s="7" t="s">
        <v>206</v>
      </c>
      <c r="L9" t="str">
        <f t="shared" ref="L9" si="5">IF(K9="","",REPT(CHAR(9),1)&amp;"[Index(nameof("&amp;IF(D9="","",""&amp;D9)&amp;")"&amp;", Name="&amp;"""IX_"&amp;$B$7&amp;"_"&amp;D9&amp;""")]")</f>
        <v xml:space="preserve">	[Index(nameof(ScreenCode), Name="IX_MstAssySpsAssemblyScreenConfig_ScreenCode")]</v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ScreenCode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[StringLength(MstAssySpsAssemblyScreenConfigConsts.MaxScreenCodeLength)]
		public virtual string ScreenCode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ScreenCode { get; set; }
</v>
      </c>
      <c r="P9" t="str">
        <f t="shared" ref="P9" si="9">REPT(CHAR(9),7)&amp;D9&amp;" = o." &amp;D9 &amp;","</f>
        <v xml:space="preserve">							ScreenCode = o.ScreenCode,</v>
      </c>
      <c r="T9" s="69" t="str">
        <f t="shared" ref="T9" si="10">REPT(CHAR(9),8)&amp;"("""&amp;D9&amp;"""),"</f>
        <v xml:space="preserve">								("ScreenCode"),</v>
      </c>
      <c r="V9" s="70" t="str">
        <f t="shared" ref="V9" si="11">REPT(CHAR(9),8)&amp;"_ =&gt; _."&amp;D9&amp;","</f>
        <v xml:space="preserve">								_ =&gt; _.ScreenCode,</v>
      </c>
      <c r="W9" s="69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.WhereIf(!string.IsNullOrWhiteSpace(input.ScreenCode), e =&gt; e.ScreenCode.Contains(input.ScreenCode))</v>
      </c>
    </row>
    <row r="10" spans="1:23" customFormat="1" ht="22.5" customHeight="1" x14ac:dyDescent="0.25">
      <c r="A10" t="s">
        <v>330</v>
      </c>
      <c r="B10" t="s">
        <v>321</v>
      </c>
      <c r="C10" t="s">
        <v>1</v>
      </c>
      <c r="D10" t="str">
        <f>SUBSTITUTE(PROPER(A10),"_","")</f>
        <v>ScreenName</v>
      </c>
      <c r="E10" t="str">
        <f t="shared" ref="E10:E28" si="13">IFERROR(LEFT(B10, FIND("(",B10)-1),B10)</f>
        <v>varchar</v>
      </c>
      <c r="F10" s="7"/>
      <c r="G10" t="str">
        <f t="shared" ref="G10:G28" si="14">IFERROR(MID(B10,FIND("(",B10) +1, FIND(")",B10) - FIND("(",B10) - 1),"")</f>
        <v>50</v>
      </c>
      <c r="H10" t="str">
        <f>+VLOOKUP(E10,'Data Type Mapping'!A:B,2,)</f>
        <v>string</v>
      </c>
      <c r="I10" t="str">
        <f t="shared" ref="I10:I28" si="15">IF(H10="string",REPT(CHAR(9),2)&amp;"public const int Max"&amp;D10&amp;"Length = "&amp;G10&amp;";"&amp;$E$3,"" )</f>
        <v xml:space="preserve">		public const int MaxScreenNameLength = 50;
</v>
      </c>
      <c r="J10" t="str">
        <f t="shared" ref="J10:J28" si="16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[StringLength(MaxScreenNameLength)]
		public virtual string ScreenName { get; set; }
</v>
      </c>
      <c r="K10" s="7" t="s">
        <v>206</v>
      </c>
      <c r="L10" t="str">
        <f>IF(K10="","",REPT(CHAR(9),1)&amp;"[Index(nameof("&amp;IF(D10="","",""&amp;D10)&amp;")"&amp;", Name="&amp;"""IX_"&amp;$B$7&amp;"_"&amp;D10&amp;""")]")</f>
        <v xml:space="preserve">	[Index(nameof(ScreenName), Name="IX_MstAssySpsAssemblyScreenConfig_ScreenName")]</v>
      </c>
      <c r="M10" t="str">
        <f t="shared" ref="M10:M28" si="17">REPT(CHAR(9),2)&amp;"public virtual "&amp;IF(OR(H10="DateTime",H10="TimeSpan"),H10&amp;"?",H10)&amp;IF(C10="?","? "," ")&amp;D10&amp;" { get; set; }" &amp; "
"</f>
        <v xml:space="preserve">		public virtual string ScreenName { get; set; }
</v>
      </c>
      <c r="N10" t="str">
        <f t="shared" ref="N10:N28" si="18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[StringLength(MstAssySpsAssemblyScreenConfigConsts.MaxScreenNameLength)]
		public virtual string ScreenName { get; set; }
</v>
      </c>
      <c r="O10" t="str">
        <f t="shared" ref="O10:O28" si="19">IF(OR(H10="string",H10="DateTime",H10="int"),REPT(CHAR(9),2)&amp;"public virtual "&amp;IF(OR(H10="DateTime",H10="TimeSpan"),H10&amp;"?",H10)&amp;IF(C10="?","? "," ")&amp;D10&amp;" { get; set; }"&amp;$E$3,"")</f>
        <v xml:space="preserve">		public virtual string ScreenName { get; set; }
</v>
      </c>
      <c r="P10" t="str">
        <f t="shared" ref="P10:P28" si="20">REPT(CHAR(9),7)&amp;D10&amp;" = o." &amp;D10 &amp;","</f>
        <v xml:space="preserve">							ScreenName = o.ScreenName,</v>
      </c>
      <c r="T10" s="69" t="str">
        <f t="shared" ref="T10:T28" si="21">REPT(CHAR(9),8)&amp;"("""&amp;D10&amp;"""),"</f>
        <v xml:space="preserve">								("ScreenName"),</v>
      </c>
      <c r="V10" s="70" t="str">
        <f t="shared" ref="V10:V28" si="22">REPT(CHAR(9),8)&amp;"_ =&gt; _."&amp;D10&amp;","</f>
        <v xml:space="preserve">								_ =&gt; _.ScreenName,</v>
      </c>
      <c r="W10" s="69" t="str">
        <f t="shared" ref="W10:W28" si="23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.WhereIf(!string.IsNullOrWhiteSpace(input.ScreenName), e =&gt; e.ScreenName.Contains(input.ScreenName))</v>
      </c>
    </row>
    <row r="11" spans="1:23" customFormat="1" ht="18.75" customHeight="1" x14ac:dyDescent="0.25">
      <c r="A11" t="s">
        <v>322</v>
      </c>
      <c r="B11" t="s">
        <v>321</v>
      </c>
      <c r="C11" t="s">
        <v>1</v>
      </c>
      <c r="D11" t="str">
        <f t="shared" ref="D11" si="24">SUBSTITUTE(PROPER(A11),"_","")</f>
        <v>ProdLine</v>
      </c>
      <c r="E11" t="str">
        <f t="shared" ref="E11:E12" si="25">IFERROR(LEFT(B11, FIND("(",B11)-1),B11)</f>
        <v>varchar</v>
      </c>
      <c r="F11" s="7"/>
      <c r="G11" t="str">
        <f t="shared" ref="G11:G12" si="26">IFERROR(MID(B11,FIND("(",B11) +1, FIND(")",B11) - FIND("(",B11) - 1),"")</f>
        <v>50</v>
      </c>
      <c r="H11" t="str">
        <f>+VLOOKUP(E11,'Data Type Mapping'!A:B,2,)</f>
        <v>string</v>
      </c>
      <c r="I11" t="str">
        <f t="shared" ref="I11:I12" si="27">IF(H11="string",REPT(CHAR(9),2)&amp;"public const int Max"&amp;D11&amp;"Length = "&amp;G11&amp;";"&amp;$E$3,"" )</f>
        <v xml:space="preserve">		public const int MaxProdLineLength = 50;
</v>
      </c>
      <c r="J11" t="str">
        <f t="shared" ref="J11:J12" si="28">IF(F11="","",REPT(CHAR(9),2)&amp;"[Column(TypeName="""&amp;F11&amp;""")]"&amp;$E$3)&amp;IF(C11="Checked","",$I$3)&amp;IF(H11="string",REPT(CHAR(9),2)&amp;"[StringLength(Max"&amp;D11&amp;"Length"&amp;")]"&amp;$E$3,"")&amp;REPT(CHAR(9),2)&amp;"public virtual "&amp;H11&amp;IF(C11="?","? "," ")&amp;D11&amp;" { get; set; }" &amp; "
"</f>
        <v xml:space="preserve">		[StringLength(MaxProdLineLength)]
		public virtual string ProdLine { get; set; }
</v>
      </c>
      <c r="K11" s="7"/>
      <c r="L11" t="str">
        <f t="shared" ref="L11" si="29">IF(K11="","",REPT(CHAR(9),1)&amp;"[Index(nameof("&amp;IF(D11="","",""&amp;D11)&amp;")"&amp;", Name="&amp;"""IX_"&amp;$B$7&amp;"_"&amp;D11&amp;""")]")</f>
        <v/>
      </c>
      <c r="M11" t="str">
        <f t="shared" ref="M11:M12" si="30">REPT(CHAR(9),2)&amp;"public virtual "&amp;IF(OR(H11="DateTime",H11="TimeSpan"),H11&amp;"?",H11)&amp;IF(C11="?","? "," ")&amp;D11&amp;" { get; set; }" &amp; "
"</f>
        <v xml:space="preserve">		public virtual string ProdLine { get; set; }
</v>
      </c>
      <c r="N11" t="str">
        <f t="shared" ref="N11:N12" si="31">IF(C11="Checked","",$I$3)&amp;IF(H11="string",REPT(CHAR(9),2)&amp;"[StringLength("&amp;$B$3&amp;"Consts.Max"&amp;D11&amp;"Length"&amp;")]"&amp;$E$3,"")&amp;REPT(CHAR(9),2)&amp;"public virtual "&amp;IF(OR(H11="DateTime",H11="TimeSpan"),H11&amp;"?",H11)&amp;IF(C11="?","? "," ")&amp;D11&amp;" { get; set; }" &amp; "
"</f>
        <v xml:space="preserve">		[StringLength(MstAssySpsAssemblyScreenConfigConsts.MaxProdLineLength)]
		public virtual string ProdLine { get; set; }
</v>
      </c>
      <c r="O11" t="str">
        <f t="shared" ref="O11:O12" si="32">IF(OR(H11="string",H11="DateTime",H11="int"),REPT(CHAR(9),2)&amp;"public virtual "&amp;IF(OR(H11="DateTime",H11="TimeSpan"),H11&amp;"?",H11)&amp;IF(C11="?","? "," ")&amp;D11&amp;" { get; set; }"&amp;$E$3,"")</f>
        <v xml:space="preserve">		public virtual string ProdLine { get; set; }
</v>
      </c>
      <c r="P11" t="str">
        <f t="shared" ref="P11:P12" si="33">REPT(CHAR(9),7)&amp;D11&amp;" = o." &amp;D11 &amp;","</f>
        <v xml:space="preserve">							ProdLine = o.ProdLine,</v>
      </c>
      <c r="T11" s="69" t="str">
        <f t="shared" ref="T11:T12" si="34">REPT(CHAR(9),8)&amp;"("""&amp;D11&amp;"""),"</f>
        <v xml:space="preserve">								("ProdLine"),</v>
      </c>
      <c r="V11" s="70" t="str">
        <f t="shared" ref="V11:V12" si="35">REPT(CHAR(9),8)&amp;"_ =&gt; _."&amp;D11&amp;","</f>
        <v xml:space="preserve">								_ =&gt; _.ProdLine,</v>
      </c>
      <c r="W11" s="69" t="str">
        <f t="shared" ref="W11:W12" si="36">IF(H11="string",REPT(CHAR(9),4)&amp;".WhereIf(!string.IsNullOrWhiteSpace(input."&amp;D11&amp;"), e =&gt; e."&amp;D11&amp;".Contains(input."&amp;D11&amp;"))",IF(H11="DateTime",REPT(CHAR(9),4)&amp;".WhereIf(input."&amp;D11&amp;".HasValue, t =&gt; t."&amp;D11&amp;" == input."&amp;D11&amp;".Value)",""))</f>
        <v xml:space="preserve">				.WhereIf(!string.IsNullOrWhiteSpace(input.ProdLine), e =&gt; e.ProdLine.Contains(input.ProdLine))</v>
      </c>
    </row>
    <row r="12" spans="1:23" customFormat="1" ht="22.5" customHeight="1" x14ac:dyDescent="0.25">
      <c r="A12" t="s">
        <v>328</v>
      </c>
      <c r="B12" t="s">
        <v>321</v>
      </c>
      <c r="C12" t="s">
        <v>1</v>
      </c>
      <c r="D12" t="str">
        <f>SUBSTITUTE(PROPER(A12),"_","")</f>
        <v>ProcessGroup</v>
      </c>
      <c r="E12" t="str">
        <f t="shared" si="25"/>
        <v>varchar</v>
      </c>
      <c r="F12" s="7"/>
      <c r="G12" t="str">
        <f t="shared" si="26"/>
        <v>50</v>
      </c>
      <c r="H12" t="str">
        <f>+VLOOKUP(E12,'Data Type Mapping'!A:B,2,)</f>
        <v>string</v>
      </c>
      <c r="I12" t="str">
        <f t="shared" si="27"/>
        <v xml:space="preserve">		public const int MaxProcessGroupLength = 50;
</v>
      </c>
      <c r="J12" t="str">
        <f t="shared" si="28"/>
        <v xml:space="preserve">		[StringLength(MaxProcessGroupLength)]
		public virtual string ProcessGroup { get; set; }
</v>
      </c>
      <c r="K12" s="7"/>
      <c r="L12" t="str">
        <f>IF(K12="","",REPT(CHAR(9),1)&amp;"[Index(nameof("&amp;IF(D12="","",""&amp;D12)&amp;")"&amp;", Name="&amp;"""IX_"&amp;$B$7&amp;"_"&amp;D12&amp;""")]")</f>
        <v/>
      </c>
      <c r="M12" t="str">
        <f t="shared" si="30"/>
        <v xml:space="preserve">		public virtual string ProcessGroup { get; set; }
</v>
      </c>
      <c r="N12" t="str">
        <f t="shared" si="31"/>
        <v xml:space="preserve">		[StringLength(MstAssySpsAssemblyScreenConfigConsts.MaxProcessGroupLength)]
		public virtual string ProcessGroup { get; set; }
</v>
      </c>
      <c r="O12" t="str">
        <f t="shared" si="32"/>
        <v xml:space="preserve">		public virtual string ProcessGroup { get; set; }
</v>
      </c>
      <c r="P12" t="str">
        <f t="shared" si="33"/>
        <v xml:space="preserve">							ProcessGroup = o.ProcessGroup,</v>
      </c>
      <c r="T12" s="69" t="str">
        <f t="shared" si="34"/>
        <v xml:space="preserve">								("ProcessGroup"),</v>
      </c>
      <c r="V12" s="70" t="str">
        <f t="shared" si="35"/>
        <v xml:space="preserve">								_ =&gt; _.ProcessGroup,</v>
      </c>
      <c r="W12" s="69" t="str">
        <f t="shared" si="36"/>
        <v xml:space="preserve">				.WhereIf(!string.IsNullOrWhiteSpace(input.ProcessGroup), e =&gt; e.ProcessGroup.Contains(input.ProcessGroup))</v>
      </c>
    </row>
    <row r="13" spans="1:23" customFormat="1" ht="18.75" customHeight="1" x14ac:dyDescent="0.25">
      <c r="A13" t="s">
        <v>331</v>
      </c>
      <c r="B13" t="s">
        <v>340</v>
      </c>
      <c r="C13" t="s">
        <v>1</v>
      </c>
      <c r="D13" t="str">
        <f t="shared" ref="D13" si="37">SUBSTITUTE(PROPER(A13),"_","")</f>
        <v>ProcessList</v>
      </c>
      <c r="E13" t="str">
        <f t="shared" ref="E13" si="38">IFERROR(LEFT(B13, FIND("(",B13)-1),B13)</f>
        <v>varchar</v>
      </c>
      <c r="F13" s="7"/>
      <c r="G13" t="str">
        <f t="shared" ref="G13" si="39">IFERROR(MID(B13,FIND("(",B13) +1, FIND(")",B13) - FIND("(",B13) - 1),"")</f>
        <v>200</v>
      </c>
      <c r="H13" t="str">
        <f>+VLOOKUP(E13,'Data Type Mapping'!A:B,2,)</f>
        <v>string</v>
      </c>
      <c r="I13" t="str">
        <f t="shared" ref="I13" si="40">IF(H13="string",REPT(CHAR(9),2)&amp;"public const int Max"&amp;D13&amp;"Length = "&amp;G13&amp;";"&amp;$E$3,"" )</f>
        <v xml:space="preserve">		public const int MaxProcessListLength = 200;
</v>
      </c>
      <c r="J13" t="str">
        <f t="shared" ref="J13" si="41">IF(F13="","",REPT(CHAR(9),2)&amp;"[Column(TypeName="""&amp;F13&amp;""")]"&amp;$E$3)&amp;IF(C13="Checked","",$I$3)&amp;IF(H13="string",REPT(CHAR(9),2)&amp;"[StringLength(Max"&amp;D13&amp;"Length"&amp;")]"&amp;$E$3,"")&amp;REPT(CHAR(9),2)&amp;"public virtual "&amp;H13&amp;IF(C13="?","? "," ")&amp;D13&amp;" { get; set; }" &amp; "
"</f>
        <v xml:space="preserve">		[StringLength(MaxProcessListLength)]
		public virtual string ProcessList { get; set; }
</v>
      </c>
      <c r="K13" s="7"/>
      <c r="L13" t="str">
        <f t="shared" ref="L13" si="42">IF(K13="","",REPT(CHAR(9),1)&amp;"[Index(nameof("&amp;IF(D13="","",""&amp;D13)&amp;")"&amp;", Name="&amp;"""IX_"&amp;$B$7&amp;"_"&amp;D13&amp;""")]")</f>
        <v/>
      </c>
      <c r="M13" t="str">
        <f t="shared" ref="M13" si="43">REPT(CHAR(9),2)&amp;"public virtual "&amp;IF(OR(H13="DateTime",H13="TimeSpan"),H13&amp;"?",H13)&amp;IF(C13="?","? "," ")&amp;D13&amp;" { get; set; }" &amp; "
"</f>
        <v xml:space="preserve">		public virtual string ProcessList { get; set; }
</v>
      </c>
      <c r="N13" t="str">
        <f t="shared" ref="N13" si="44">IF(C13="Checked","",$I$3)&amp;IF(H13="string",REPT(CHAR(9),2)&amp;"[StringLength("&amp;$B$3&amp;"Consts.Max"&amp;D13&amp;"Length"&amp;")]"&amp;$E$3,"")&amp;REPT(CHAR(9),2)&amp;"public virtual "&amp;IF(OR(H13="DateTime",H13="TimeSpan"),H13&amp;"?",H13)&amp;IF(C13="?","? "," ")&amp;D13&amp;" { get; set; }" &amp; "
"</f>
        <v xml:space="preserve">		[StringLength(MstAssySpsAssemblyScreenConfigConsts.MaxProcessListLength)]
		public virtual string ProcessList { get; set; }
</v>
      </c>
      <c r="O13" t="str">
        <f t="shared" ref="O13" si="45">IF(OR(H13="string",H13="DateTime",H13="int"),REPT(CHAR(9),2)&amp;"public virtual "&amp;IF(OR(H13="DateTime",H13="TimeSpan"),H13&amp;"?",H13)&amp;IF(C13="?","? "," ")&amp;D13&amp;" { get; set; }"&amp;$E$3,"")</f>
        <v xml:space="preserve">		public virtual string ProcessList { get; set; }
</v>
      </c>
      <c r="P13" t="str">
        <f t="shared" ref="P13" si="46">REPT(CHAR(9),7)&amp;D13&amp;" = o." &amp;D13 &amp;","</f>
        <v xml:space="preserve">							ProcessList = o.ProcessList,</v>
      </c>
      <c r="T13" s="69" t="str">
        <f t="shared" ref="T13" si="47">REPT(CHAR(9),8)&amp;"("""&amp;D13&amp;"""),"</f>
        <v xml:space="preserve">								("ProcessList"),</v>
      </c>
      <c r="V13" s="70" t="str">
        <f t="shared" ref="V13" si="48">REPT(CHAR(9),8)&amp;"_ =&gt; _."&amp;D13&amp;","</f>
        <v xml:space="preserve">								_ =&gt; _.ProcessList,</v>
      </c>
      <c r="W13" s="69" t="str">
        <f t="shared" ref="W13" si="49">IF(H13="string",REPT(CHAR(9),4)&amp;".WhereIf(!string.IsNullOrWhiteSpace(input."&amp;D13&amp;"), e =&gt; e."&amp;D13&amp;".Contains(input."&amp;D13&amp;"))",IF(H13="DateTime",REPT(CHAR(9),4)&amp;".WhereIf(input."&amp;D13&amp;".HasValue, t =&gt; t."&amp;D13&amp;" == input."&amp;D13&amp;".Value)",""))</f>
        <v xml:space="preserve">				.WhereIf(!string.IsNullOrWhiteSpace(input.ProcessList), e =&gt; e.ProcessList.Contains(input.ProcessList))</v>
      </c>
    </row>
    <row r="14" spans="1:23" customFormat="1" ht="18.75" customHeight="1" x14ac:dyDescent="0.25">
      <c r="A14" t="s">
        <v>350</v>
      </c>
      <c r="B14" t="s">
        <v>340</v>
      </c>
      <c r="C14" t="s">
        <v>1</v>
      </c>
      <c r="D14" t="str">
        <f t="shared" ref="D14" si="50">SUBSTITUTE(PROPER(A14),"_","")</f>
        <v>BlinkProcessList</v>
      </c>
      <c r="E14" t="str">
        <f t="shared" ref="E14" si="51">IFERROR(LEFT(B14, FIND("(",B14)-1),B14)</f>
        <v>varchar</v>
      </c>
      <c r="F14" s="7"/>
      <c r="G14" t="str">
        <f t="shared" ref="G14" si="52">IFERROR(MID(B14,FIND("(",B14) +1, FIND(")",B14) - FIND("(",B14) - 1),"")</f>
        <v>200</v>
      </c>
      <c r="H14" t="str">
        <f>+VLOOKUP(E14,'Data Type Mapping'!A:B,2,)</f>
        <v>string</v>
      </c>
      <c r="I14" t="str">
        <f t="shared" ref="I14" si="53">IF(H14="string",REPT(CHAR(9),2)&amp;"public const int Max"&amp;D14&amp;"Length = "&amp;G14&amp;";"&amp;$E$3,"" )</f>
        <v xml:space="preserve">		public const int MaxBlinkProcessListLength = 200;
</v>
      </c>
      <c r="J14" t="str">
        <f t="shared" ref="J14" si="54">IF(F14="","",REPT(CHAR(9),2)&amp;"[Column(TypeName="""&amp;F14&amp;""")]"&amp;$E$3)&amp;IF(C14="Checked","",$I$3)&amp;IF(H14="string",REPT(CHAR(9),2)&amp;"[StringLength(Max"&amp;D14&amp;"Length"&amp;")]"&amp;$E$3,"")&amp;REPT(CHAR(9),2)&amp;"public virtual "&amp;H14&amp;IF(C14="?","? "," ")&amp;D14&amp;" { get; set; }" &amp; "
"</f>
        <v xml:space="preserve">		[StringLength(MaxBlinkProcessListLength)]
		public virtual string BlinkProcessList { get; set; }
</v>
      </c>
      <c r="K14" s="7"/>
      <c r="L14" t="str">
        <f t="shared" ref="L14" si="55">IF(K14="","",REPT(CHAR(9),1)&amp;"[Index(nameof("&amp;IF(D14="","",""&amp;D14)&amp;")"&amp;", Name="&amp;"""IX_"&amp;$B$7&amp;"_"&amp;D14&amp;""")]")</f>
        <v/>
      </c>
      <c r="M14" t="str">
        <f t="shared" ref="M14" si="56">REPT(CHAR(9),2)&amp;"public virtual "&amp;IF(OR(H14="DateTime",H14="TimeSpan"),H14&amp;"?",H14)&amp;IF(C14="?","? "," ")&amp;D14&amp;" { get; set; }" &amp; "
"</f>
        <v xml:space="preserve">		public virtual string BlinkProcessList { get; set; }
</v>
      </c>
      <c r="N14" t="str">
        <f t="shared" ref="N14" si="57"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[StringLength(MstAssySpsAssemblyScreenConfigConsts.MaxBlinkProcessListLength)]
		public virtual string BlinkProcessList { get; set; }
</v>
      </c>
      <c r="O14" t="str">
        <f t="shared" ref="O14" si="58">IF(OR(H14="string",H14="DateTime",H14="int"),REPT(CHAR(9),2)&amp;"public virtual "&amp;IF(OR(H14="DateTime",H14="TimeSpan"),H14&amp;"?",H14)&amp;IF(C14="?","? "," ")&amp;D14&amp;" { get; set; }"&amp;$E$3,"")</f>
        <v xml:space="preserve">		public virtual string BlinkProcessList { get; set; }
</v>
      </c>
      <c r="P14" t="str">
        <f t="shared" ref="P14" si="59">REPT(CHAR(9),7)&amp;D14&amp;" = o." &amp;D14 &amp;","</f>
        <v xml:space="preserve">							BlinkProcessList = o.BlinkProcessList,</v>
      </c>
      <c r="T14" s="69" t="str">
        <f t="shared" ref="T14" si="60">REPT(CHAR(9),8)&amp;"("""&amp;D14&amp;"""),"</f>
        <v xml:space="preserve">								("BlinkProcessList"),</v>
      </c>
      <c r="V14" s="70" t="str">
        <f t="shared" ref="V14" si="61">REPT(CHAR(9),8)&amp;"_ =&gt; _."&amp;D14&amp;","</f>
        <v xml:space="preserve">								_ =&gt; _.BlinkProcessList,</v>
      </c>
      <c r="W14" s="69" t="str">
        <f t="shared" ref="W14" si="62"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 xml:space="preserve">				.WhereIf(!string.IsNullOrWhiteSpace(input.BlinkProcessList), e =&gt; e.BlinkProcessList.Contains(input.BlinkProcessList))</v>
      </c>
    </row>
    <row r="15" spans="1:23" customFormat="1" ht="18.75" customHeight="1" x14ac:dyDescent="0.25">
      <c r="A15" t="s">
        <v>332</v>
      </c>
      <c r="B15" t="s">
        <v>340</v>
      </c>
      <c r="C15" t="s">
        <v>1</v>
      </c>
      <c r="D15" t="str">
        <f t="shared" ref="D15:D22" si="63">SUBSTITUTE(PROPER(A15),"_","")</f>
        <v>HeaderList</v>
      </c>
      <c r="E15" t="str">
        <f t="shared" ref="E15:E22" si="64">IFERROR(LEFT(B15, FIND("(",B15)-1),B15)</f>
        <v>varchar</v>
      </c>
      <c r="F15" s="7"/>
      <c r="G15" t="str">
        <f t="shared" ref="G15:G22" si="65">IFERROR(MID(B15,FIND("(",B15) +1, FIND(")",B15) - FIND("(",B15) - 1),"")</f>
        <v>200</v>
      </c>
      <c r="H15" t="str">
        <f>+VLOOKUP(E15,'Data Type Mapping'!A:B,2,)</f>
        <v>string</v>
      </c>
      <c r="I15" t="str">
        <f t="shared" ref="I15:I22" si="66">IF(H15="string",REPT(CHAR(9),2)&amp;"public const int Max"&amp;D15&amp;"Length = "&amp;G15&amp;";"&amp;$E$3,"" )</f>
        <v xml:space="preserve">		public const int MaxHeaderListLength = 200;
</v>
      </c>
      <c r="J15" t="str">
        <f t="shared" ref="J15:J22" si="67">IF(F15="","",REPT(CHAR(9),2)&amp;"[Column(TypeName="""&amp;F15&amp;""")]"&amp;$E$3)&amp;IF(C15="Checked","",$I$3)&amp;IF(H15="string",REPT(CHAR(9),2)&amp;"[StringLength(Max"&amp;D15&amp;"Length"&amp;")]"&amp;$E$3,"")&amp;REPT(CHAR(9),2)&amp;"public virtual "&amp;H15&amp;IF(C15="?","? "," ")&amp;D15&amp;" { get; set; }" &amp; "
"</f>
        <v xml:space="preserve">		[StringLength(MaxHeaderListLength)]
		public virtual string HeaderList { get; set; }
</v>
      </c>
      <c r="K15" s="7"/>
      <c r="L15" t="str">
        <f t="shared" ref="L15:L22" si="68">IF(K15="","",REPT(CHAR(9),1)&amp;"[Index(nameof("&amp;IF(D15="","",""&amp;D15)&amp;")"&amp;", Name="&amp;"""IX_"&amp;$B$7&amp;"_"&amp;D15&amp;""")]")</f>
        <v/>
      </c>
      <c r="M15" t="str">
        <f t="shared" ref="M15:M22" si="69">REPT(CHAR(9),2)&amp;"public virtual "&amp;IF(OR(H15="DateTime",H15="TimeSpan"),H15&amp;"?",H15)&amp;IF(C15="?","? "," ")&amp;D15&amp;" { get; set; }" &amp; "
"</f>
        <v xml:space="preserve">		public virtual string HeaderList { get; set; }
</v>
      </c>
      <c r="N15" t="str">
        <f t="shared" ref="N15:N22" si="70">IF(C15="Checked","",$I$3)&amp;IF(H15="string",REPT(CHAR(9),2)&amp;"[StringLength("&amp;$B$3&amp;"Consts.Max"&amp;D15&amp;"Length"&amp;")]"&amp;$E$3,"")&amp;REPT(CHAR(9),2)&amp;"public virtual "&amp;IF(OR(H15="DateTime",H15="TimeSpan"),H15&amp;"?",H15)&amp;IF(C15="?","? "," ")&amp;D15&amp;" { get; set; }" &amp; "
"</f>
        <v xml:space="preserve">		[StringLength(MstAssySpsAssemblyScreenConfigConsts.MaxHeaderListLength)]
		public virtual string HeaderList { get; set; }
</v>
      </c>
      <c r="O15" t="str">
        <f t="shared" ref="O15:O22" si="71">IF(OR(H15="string",H15="DateTime",H15="int"),REPT(CHAR(9),2)&amp;"public virtual "&amp;IF(OR(H15="DateTime",H15="TimeSpan"),H15&amp;"?",H15)&amp;IF(C15="?","? "," ")&amp;D15&amp;" { get; set; }"&amp;$E$3,"")</f>
        <v xml:space="preserve">		public virtual string HeaderList { get; set; }
</v>
      </c>
      <c r="P15" t="str">
        <f t="shared" ref="P15:P22" si="72">REPT(CHAR(9),7)&amp;D15&amp;" = o." &amp;D15 &amp;","</f>
        <v xml:space="preserve">							HeaderList = o.HeaderList,</v>
      </c>
      <c r="T15" s="69" t="str">
        <f t="shared" ref="T15:T22" si="73">REPT(CHAR(9),8)&amp;"("""&amp;D15&amp;"""),"</f>
        <v xml:space="preserve">								("HeaderList"),</v>
      </c>
      <c r="V15" s="70" t="str">
        <f t="shared" ref="V15:V22" si="74">REPT(CHAR(9),8)&amp;"_ =&gt; _."&amp;D15&amp;","</f>
        <v xml:space="preserve">								_ =&gt; _.HeaderList,</v>
      </c>
      <c r="W15" s="69" t="str">
        <f t="shared" ref="W15:W22" si="75">IF(H15="string",REPT(CHAR(9),4)&amp;".WhereIf(!string.IsNullOrWhiteSpace(input."&amp;D15&amp;"), e =&gt; e."&amp;D15&amp;".Contains(input."&amp;D15&amp;"))",IF(H15="DateTime",REPT(CHAR(9),4)&amp;".WhereIf(input."&amp;D15&amp;".HasValue, t =&gt; t."&amp;D15&amp;" == input."&amp;D15&amp;".Value)",""))</f>
        <v xml:space="preserve">				.WhereIf(!string.IsNullOrWhiteSpace(input.HeaderList), e =&gt; e.HeaderList.Contains(input.HeaderList))</v>
      </c>
    </row>
    <row r="16" spans="1:23" customFormat="1" ht="18.75" customHeight="1" x14ac:dyDescent="0.25">
      <c r="A16" t="s">
        <v>341</v>
      </c>
      <c r="B16" t="s">
        <v>321</v>
      </c>
      <c r="C16" t="s">
        <v>1</v>
      </c>
      <c r="D16" t="str">
        <f t="shared" ref="D16" si="76">SUBSTITUTE(PROPER(A16),"_","")</f>
        <v>HeaderColor1</v>
      </c>
      <c r="E16" t="str">
        <f t="shared" ref="E16" si="77">IFERROR(LEFT(B16, FIND("(",B16)-1),B16)</f>
        <v>varchar</v>
      </c>
      <c r="F16" s="7"/>
      <c r="G16" t="str">
        <f t="shared" ref="G16" si="78">IFERROR(MID(B16,FIND("(",B16) +1, FIND(")",B16) - FIND("(",B16) - 1),"")</f>
        <v>50</v>
      </c>
      <c r="H16" t="str">
        <f>+VLOOKUP(E16,'Data Type Mapping'!A:B,2,)</f>
        <v>string</v>
      </c>
      <c r="I16" t="str">
        <f t="shared" ref="I16" si="79">IF(H16="string",REPT(CHAR(9),2)&amp;"public const int Max"&amp;D16&amp;"Length = "&amp;G16&amp;";"&amp;$E$3,"" )</f>
        <v xml:space="preserve">		public const int MaxHeaderColor1Length = 50;
</v>
      </c>
      <c r="J16" t="str">
        <f t="shared" ref="J16" si="80">IF(F16="","",REPT(CHAR(9),2)&amp;"[Column(TypeName="""&amp;F16&amp;""")]"&amp;$E$3)&amp;IF(C16="Checked","",$I$3)&amp;IF(H16="string",REPT(CHAR(9),2)&amp;"[StringLength(Max"&amp;D16&amp;"Length"&amp;")]"&amp;$E$3,"")&amp;REPT(CHAR(9),2)&amp;"public virtual "&amp;H16&amp;IF(C16="?","? "," ")&amp;D16&amp;" { get; set; }" &amp; "
"</f>
        <v xml:space="preserve">		[StringLength(MaxHeaderColor1Length)]
		public virtual string HeaderColor1 { get; set; }
</v>
      </c>
      <c r="K16" s="7"/>
      <c r="L16" t="str">
        <f t="shared" ref="L16" si="81">IF(K16="","",REPT(CHAR(9),1)&amp;"[Index(nameof("&amp;IF(D16="","",""&amp;D16)&amp;")"&amp;", Name="&amp;"""IX_"&amp;$B$7&amp;"_"&amp;D16&amp;""")]")</f>
        <v/>
      </c>
      <c r="M16" t="str">
        <f t="shared" ref="M16" si="82">REPT(CHAR(9),2)&amp;"public virtual "&amp;IF(OR(H16="DateTime",H16="TimeSpan"),H16&amp;"?",H16)&amp;IF(C16="?","? "," ")&amp;D16&amp;" { get; set; }" &amp; "
"</f>
        <v xml:space="preserve">		public virtual string HeaderColor1 { get; set; }
</v>
      </c>
      <c r="N16" t="str">
        <f t="shared" ref="N16" si="83">IF(C16="Checked","",$I$3)&amp;IF(H16="string",REPT(CHAR(9),2)&amp;"[StringLength("&amp;$B$3&amp;"Consts.Max"&amp;D16&amp;"Length"&amp;")]"&amp;$E$3,"")&amp;REPT(CHAR(9),2)&amp;"public virtual "&amp;IF(OR(H16="DateTime",H16="TimeSpan"),H16&amp;"?",H16)&amp;IF(C16="?","? "," ")&amp;D16&amp;" { get; set; }" &amp; "
"</f>
        <v xml:space="preserve">		[StringLength(MstAssySpsAssemblyScreenConfigConsts.MaxHeaderColor1Length)]
		public virtual string HeaderColor1 { get; set; }
</v>
      </c>
      <c r="O16" t="str">
        <f t="shared" ref="O16" si="84">IF(OR(H16="string",H16="DateTime",H16="int"),REPT(CHAR(9),2)&amp;"public virtual "&amp;IF(OR(H16="DateTime",H16="TimeSpan"),H16&amp;"?",H16)&amp;IF(C16="?","? "," ")&amp;D16&amp;" { get; set; }"&amp;$E$3,"")</f>
        <v xml:space="preserve">		public virtual string HeaderColor1 { get; set; }
</v>
      </c>
      <c r="P16" t="str">
        <f t="shared" ref="P16" si="85">REPT(CHAR(9),7)&amp;D16&amp;" = o." &amp;D16 &amp;","</f>
        <v xml:space="preserve">							HeaderColor1 = o.HeaderColor1,</v>
      </c>
      <c r="T16" s="69" t="str">
        <f t="shared" ref="T16" si="86">REPT(CHAR(9),8)&amp;"("""&amp;D16&amp;"""),"</f>
        <v xml:space="preserve">								("HeaderColor1"),</v>
      </c>
      <c r="V16" s="70" t="str">
        <f t="shared" ref="V16" si="87">REPT(CHAR(9),8)&amp;"_ =&gt; _."&amp;D16&amp;","</f>
        <v xml:space="preserve">								_ =&gt; _.HeaderColor1,</v>
      </c>
      <c r="W16" s="69" t="str">
        <f t="shared" ref="W16" si="88">IF(H16="string",REPT(CHAR(9),4)&amp;".WhereIf(!string.IsNullOrWhiteSpace(input."&amp;D16&amp;"), e =&gt; e."&amp;D16&amp;".Contains(input."&amp;D16&amp;"))",IF(H16="DateTime",REPT(CHAR(9),4)&amp;".WhereIf(input."&amp;D16&amp;".HasValue, t =&gt; t."&amp;D16&amp;" == input."&amp;D16&amp;".Value)",""))</f>
        <v xml:space="preserve">				.WhereIf(!string.IsNullOrWhiteSpace(input.HeaderColor1), e =&gt; e.HeaderColor1.Contains(input.HeaderColor1))</v>
      </c>
    </row>
    <row r="17" spans="1:23" customFormat="1" ht="18.75" customHeight="1" x14ac:dyDescent="0.25">
      <c r="A17" t="s">
        <v>346</v>
      </c>
      <c r="B17" t="s">
        <v>321</v>
      </c>
      <c r="C17" t="s">
        <v>1</v>
      </c>
      <c r="D17" t="str">
        <f t="shared" ref="D17:D18" si="89">SUBSTITUTE(PROPER(A17),"_","")</f>
        <v>HeaderColor2</v>
      </c>
      <c r="E17" t="str">
        <f t="shared" ref="E17:E18" si="90">IFERROR(LEFT(B17, FIND("(",B17)-1),B17)</f>
        <v>varchar</v>
      </c>
      <c r="F17" s="7"/>
      <c r="G17" t="str">
        <f t="shared" ref="G17:G18" si="91">IFERROR(MID(B17,FIND("(",B17) +1, FIND(")",B17) - FIND("(",B17) - 1),"")</f>
        <v>50</v>
      </c>
      <c r="H17" t="str">
        <f>+VLOOKUP(E17,'Data Type Mapping'!A:B,2,)</f>
        <v>string</v>
      </c>
      <c r="I17" t="str">
        <f t="shared" ref="I17:I18" si="92">IF(H17="string",REPT(CHAR(9),2)&amp;"public const int Max"&amp;D17&amp;"Length = "&amp;G17&amp;";"&amp;$E$3,"" )</f>
        <v xml:space="preserve">		public const int MaxHeaderColor2Length = 50;
</v>
      </c>
      <c r="J17" t="str">
        <f t="shared" ref="J17:J18" si="93">IF(F17="","",REPT(CHAR(9),2)&amp;"[Column(TypeName="""&amp;F17&amp;""")]"&amp;$E$3)&amp;IF(C17="Checked","",$I$3)&amp;IF(H17="string",REPT(CHAR(9),2)&amp;"[StringLength(Max"&amp;D17&amp;"Length"&amp;")]"&amp;$E$3,"")&amp;REPT(CHAR(9),2)&amp;"public virtual "&amp;H17&amp;IF(C17="?","? "," ")&amp;D17&amp;" { get; set; }" &amp; "
"</f>
        <v xml:space="preserve">		[StringLength(MaxHeaderColor2Length)]
		public virtual string HeaderColor2 { get; set; }
</v>
      </c>
      <c r="K17" s="7"/>
      <c r="L17" t="str">
        <f t="shared" ref="L17:L18" si="94">IF(K17="","",REPT(CHAR(9),1)&amp;"[Index(nameof("&amp;IF(D17="","",""&amp;D17)&amp;")"&amp;", Name="&amp;"""IX_"&amp;$B$7&amp;"_"&amp;D17&amp;""")]")</f>
        <v/>
      </c>
      <c r="M17" t="str">
        <f t="shared" ref="M17:M18" si="95">REPT(CHAR(9),2)&amp;"public virtual "&amp;IF(OR(H17="DateTime",H17="TimeSpan"),H17&amp;"?",H17)&amp;IF(C17="?","? "," ")&amp;D17&amp;" { get; set; }" &amp; "
"</f>
        <v xml:space="preserve">		public virtual string HeaderColor2 { get; set; }
</v>
      </c>
      <c r="N17" t="str">
        <f t="shared" ref="N17:N18" si="96">IF(C17="Checked","",$I$3)&amp;IF(H17="string",REPT(CHAR(9),2)&amp;"[StringLength("&amp;$B$3&amp;"Consts.Max"&amp;D17&amp;"Length"&amp;")]"&amp;$E$3,"")&amp;REPT(CHAR(9),2)&amp;"public virtual "&amp;IF(OR(H17="DateTime",H17="TimeSpan"),H17&amp;"?",H17)&amp;IF(C17="?","? "," ")&amp;D17&amp;" { get; set; }" &amp; "
"</f>
        <v xml:space="preserve">		[StringLength(MstAssySpsAssemblyScreenConfigConsts.MaxHeaderColor2Length)]
		public virtual string HeaderColor2 { get; set; }
</v>
      </c>
      <c r="O17" t="str">
        <f t="shared" ref="O17:O18" si="97">IF(OR(H17="string",H17="DateTime",H17="int"),REPT(CHAR(9),2)&amp;"public virtual "&amp;IF(OR(H17="DateTime",H17="TimeSpan"),H17&amp;"?",H17)&amp;IF(C17="?","? "," ")&amp;D17&amp;" { get; set; }"&amp;$E$3,"")</f>
        <v xml:space="preserve">		public virtual string HeaderColor2 { get; set; }
</v>
      </c>
      <c r="P17" t="str">
        <f t="shared" ref="P17:P18" si="98">REPT(CHAR(9),7)&amp;D17&amp;" = o." &amp;D17 &amp;","</f>
        <v xml:space="preserve">							HeaderColor2 = o.HeaderColor2,</v>
      </c>
      <c r="T17" s="69" t="str">
        <f t="shared" ref="T17:T18" si="99">REPT(CHAR(9),8)&amp;"("""&amp;D17&amp;"""),"</f>
        <v xml:space="preserve">								("HeaderColor2"),</v>
      </c>
      <c r="V17" s="70" t="str">
        <f t="shared" ref="V17:V18" si="100">REPT(CHAR(9),8)&amp;"_ =&gt; _."&amp;D17&amp;","</f>
        <v xml:space="preserve">								_ =&gt; _.HeaderColor2,</v>
      </c>
      <c r="W17" s="69" t="str">
        <f t="shared" ref="W17:W18" si="101">IF(H17="string",REPT(CHAR(9),4)&amp;".WhereIf(!string.IsNullOrWhiteSpace(input."&amp;D17&amp;"), e =&gt; e."&amp;D17&amp;".Contains(input."&amp;D17&amp;"))",IF(H17="DateTime",REPT(CHAR(9),4)&amp;".WhereIf(input."&amp;D17&amp;".HasValue, t =&gt; t."&amp;D17&amp;" == input."&amp;D17&amp;".Value)",""))</f>
        <v xml:space="preserve">				.WhereIf(!string.IsNullOrWhiteSpace(input.HeaderColor2), e =&gt; e.HeaderColor2.Contains(input.HeaderColor2))</v>
      </c>
    </row>
    <row r="18" spans="1:23" customFormat="1" ht="18.75" customHeight="1" x14ac:dyDescent="0.25">
      <c r="A18" t="s">
        <v>348</v>
      </c>
      <c r="B18" t="s">
        <v>324</v>
      </c>
      <c r="C18" t="s">
        <v>1</v>
      </c>
      <c r="D18" t="str">
        <f t="shared" si="89"/>
        <v>IsShowHeader</v>
      </c>
      <c r="E18" t="str">
        <f t="shared" si="90"/>
        <v>varchar</v>
      </c>
      <c r="F18" s="7"/>
      <c r="G18" t="str">
        <f t="shared" si="91"/>
        <v>1</v>
      </c>
      <c r="H18" t="str">
        <f>+VLOOKUP(E18,'Data Type Mapping'!A:B,2,)</f>
        <v>string</v>
      </c>
      <c r="I18" t="str">
        <f t="shared" si="92"/>
        <v xml:space="preserve">		public const int MaxIsShowHeaderLength = 1;
</v>
      </c>
      <c r="J18" t="str">
        <f t="shared" si="93"/>
        <v xml:space="preserve">		[StringLength(MaxIsShowHeaderLength)]
		public virtual string IsShowHeader { get; set; }
</v>
      </c>
      <c r="K18" s="7"/>
      <c r="L18" t="str">
        <f t="shared" si="94"/>
        <v/>
      </c>
      <c r="M18" t="str">
        <f t="shared" si="95"/>
        <v xml:space="preserve">		public virtual string IsShowHeader { get; set; }
</v>
      </c>
      <c r="N18" t="str">
        <f t="shared" si="96"/>
        <v xml:space="preserve">		[StringLength(MstAssySpsAssemblyScreenConfigConsts.MaxIsShowHeaderLength)]
		public virtual string IsShowHeader { get; set; }
</v>
      </c>
      <c r="O18" t="str">
        <f t="shared" si="97"/>
        <v xml:space="preserve">		public virtual string IsShowHeader { get; set; }
</v>
      </c>
      <c r="P18" t="str">
        <f t="shared" si="98"/>
        <v xml:space="preserve">							IsShowHeader = o.IsShowHeader,</v>
      </c>
      <c r="T18" s="69" t="str">
        <f t="shared" si="99"/>
        <v xml:space="preserve">								("IsShowHeader"),</v>
      </c>
      <c r="V18" s="70" t="str">
        <f t="shared" si="100"/>
        <v xml:space="preserve">								_ =&gt; _.IsShowHeader,</v>
      </c>
      <c r="W18" s="69" t="str">
        <f t="shared" si="101"/>
        <v xml:space="preserve">				.WhereIf(!string.IsNullOrWhiteSpace(input.IsShowHeader), e =&gt; e.IsShowHeader.Contains(input.IsShowHeader))</v>
      </c>
    </row>
    <row r="19" spans="1:23" customFormat="1" ht="18.75" customHeight="1" x14ac:dyDescent="0.25">
      <c r="A19" t="s">
        <v>339</v>
      </c>
      <c r="B19" t="s">
        <v>340</v>
      </c>
      <c r="C19" t="s">
        <v>1</v>
      </c>
      <c r="D19" t="str">
        <f t="shared" ref="D19:D21" si="102">SUBSTITUTE(PROPER(A19),"_","")</f>
        <v>LeftTitle</v>
      </c>
      <c r="E19" t="str">
        <f t="shared" ref="E19:E21" si="103">IFERROR(LEFT(B19, FIND("(",B19)-1),B19)</f>
        <v>varchar</v>
      </c>
      <c r="F19" s="7"/>
      <c r="G19" t="str">
        <f t="shared" ref="G19:G21" si="104">IFERROR(MID(B19,FIND("(",B19) +1, FIND(")",B19) - FIND("(",B19) - 1),"")</f>
        <v>200</v>
      </c>
      <c r="H19" t="str">
        <f>+VLOOKUP(E19,'Data Type Mapping'!A:B,2,)</f>
        <v>string</v>
      </c>
      <c r="I19" t="str">
        <f t="shared" ref="I19:I21" si="105">IF(H19="string",REPT(CHAR(9),2)&amp;"public const int Max"&amp;D19&amp;"Length = "&amp;G19&amp;";"&amp;$E$3,"" )</f>
        <v xml:space="preserve">		public const int MaxLeftTitleLength = 200;
</v>
      </c>
      <c r="J19" t="str">
        <f t="shared" ref="J19:J21" si="106">IF(F19="","",REPT(CHAR(9),2)&amp;"[Column(TypeName="""&amp;F19&amp;""")]"&amp;$E$3)&amp;IF(C19="Checked","",$I$3)&amp;IF(H19="string",REPT(CHAR(9),2)&amp;"[StringLength(Max"&amp;D19&amp;"Length"&amp;")]"&amp;$E$3,"")&amp;REPT(CHAR(9),2)&amp;"public virtual "&amp;H19&amp;IF(C19="?","? "," ")&amp;D19&amp;" { get; set; }" &amp; "
"</f>
        <v xml:space="preserve">		[StringLength(MaxLeftTitleLength)]
		public virtual string LeftTitle { get; set; }
</v>
      </c>
      <c r="K19" s="7"/>
      <c r="L19" t="str">
        <f t="shared" ref="L19:L21" si="107">IF(K19="","",REPT(CHAR(9),1)&amp;"[Index(nameof("&amp;IF(D19="","",""&amp;D19)&amp;")"&amp;", Name="&amp;"""IX_"&amp;$B$7&amp;"_"&amp;D19&amp;""")]")</f>
        <v/>
      </c>
      <c r="M19" t="str">
        <f t="shared" ref="M19:M21" si="108">REPT(CHAR(9),2)&amp;"public virtual "&amp;IF(OR(H19="DateTime",H19="TimeSpan"),H19&amp;"?",H19)&amp;IF(C19="?","? "," ")&amp;D19&amp;" { get; set; }" &amp; "
"</f>
        <v xml:space="preserve">		public virtual string LeftTitle { get; set; }
</v>
      </c>
      <c r="N19" t="str">
        <f t="shared" ref="N19:N21" si="109">IF(C19="Checked","",$I$3)&amp;IF(H19="string",REPT(CHAR(9),2)&amp;"[StringLength("&amp;$B$3&amp;"Consts.Max"&amp;D19&amp;"Length"&amp;")]"&amp;$E$3,"")&amp;REPT(CHAR(9),2)&amp;"public virtual "&amp;IF(OR(H19="DateTime",H19="TimeSpan"),H19&amp;"?",H19)&amp;IF(C19="?","? "," ")&amp;D19&amp;" { get; set; }" &amp; "
"</f>
        <v xml:space="preserve">		[StringLength(MstAssySpsAssemblyScreenConfigConsts.MaxLeftTitleLength)]
		public virtual string LeftTitle { get; set; }
</v>
      </c>
      <c r="O19" t="str">
        <f t="shared" ref="O19:O21" si="110">IF(OR(H19="string",H19="DateTime",H19="int"),REPT(CHAR(9),2)&amp;"public virtual "&amp;IF(OR(H19="DateTime",H19="TimeSpan"),H19&amp;"?",H19)&amp;IF(C19="?","? "," ")&amp;D19&amp;" { get; set; }"&amp;$E$3,"")</f>
        <v xml:space="preserve">		public virtual string LeftTitle { get; set; }
</v>
      </c>
      <c r="P19" t="str">
        <f t="shared" ref="P19:P21" si="111">REPT(CHAR(9),7)&amp;D19&amp;" = o." &amp;D19 &amp;","</f>
        <v xml:space="preserve">							LeftTitle = o.LeftTitle,</v>
      </c>
      <c r="T19" s="69" t="str">
        <f t="shared" ref="T19:T21" si="112">REPT(CHAR(9),8)&amp;"("""&amp;D19&amp;"""),"</f>
        <v xml:space="preserve">								("LeftTitle"),</v>
      </c>
      <c r="V19" s="70" t="str">
        <f t="shared" ref="V19:V21" si="113">REPT(CHAR(9),8)&amp;"_ =&gt; _."&amp;D19&amp;","</f>
        <v xml:space="preserve">								_ =&gt; _.LeftTitle,</v>
      </c>
      <c r="W19" s="69" t="str">
        <f t="shared" ref="W19:W21" si="114">IF(H19="string",REPT(CHAR(9),4)&amp;".WhereIf(!string.IsNullOrWhiteSpace(input."&amp;D19&amp;"), e =&gt; e."&amp;D19&amp;".Contains(input."&amp;D19&amp;"))",IF(H19="DateTime",REPT(CHAR(9),4)&amp;".WhereIf(input."&amp;D19&amp;".HasValue, t =&gt; t."&amp;D19&amp;" == input."&amp;D19&amp;".Value)",""))</f>
        <v xml:space="preserve">				.WhereIf(!string.IsNullOrWhiteSpace(input.LeftTitle), e =&gt; e.LeftTitle.Contains(input.LeftTitle))</v>
      </c>
    </row>
    <row r="20" spans="1:23" customFormat="1" ht="18.75" customHeight="1" x14ac:dyDescent="0.25">
      <c r="A20" t="s">
        <v>349</v>
      </c>
      <c r="B20" t="s">
        <v>340</v>
      </c>
      <c r="C20" t="s">
        <v>1</v>
      </c>
      <c r="D20" t="str">
        <f t="shared" ref="D20" si="115">SUBSTITUTE(PROPER(A20),"_","")</f>
        <v>LeftTitleVn</v>
      </c>
      <c r="E20" t="str">
        <f t="shared" ref="E20" si="116">IFERROR(LEFT(B20, FIND("(",B20)-1),B20)</f>
        <v>varchar</v>
      </c>
      <c r="F20" s="7"/>
      <c r="G20" t="str">
        <f t="shared" ref="G20" si="117">IFERROR(MID(B20,FIND("(",B20) +1, FIND(")",B20) - FIND("(",B20) - 1),"")</f>
        <v>200</v>
      </c>
      <c r="H20" t="str">
        <f>+VLOOKUP(E20,'Data Type Mapping'!A:B,2,)</f>
        <v>string</v>
      </c>
      <c r="I20" t="str">
        <f t="shared" ref="I20" si="118">IF(H20="string",REPT(CHAR(9),2)&amp;"public const int Max"&amp;D20&amp;"Length = "&amp;G20&amp;";"&amp;$E$3,"" )</f>
        <v xml:space="preserve">		public const int MaxLeftTitleVnLength = 200;
</v>
      </c>
      <c r="J20" t="str">
        <f t="shared" ref="J20" si="119">IF(F20="","",REPT(CHAR(9),2)&amp;"[Column(TypeName="""&amp;F20&amp;""")]"&amp;$E$3)&amp;IF(C20="Checked","",$I$3)&amp;IF(H20="string",REPT(CHAR(9),2)&amp;"[StringLength(Max"&amp;D20&amp;"Length"&amp;")]"&amp;$E$3,"")&amp;REPT(CHAR(9),2)&amp;"public virtual "&amp;H20&amp;IF(C20="?","? "," ")&amp;D20&amp;" { get; set; }" &amp; "
"</f>
        <v xml:space="preserve">		[StringLength(MaxLeftTitleVnLength)]
		public virtual string LeftTitleVn { get; set; }
</v>
      </c>
      <c r="K20" s="7"/>
      <c r="L20" t="str">
        <f t="shared" ref="L20" si="120">IF(K20="","",REPT(CHAR(9),1)&amp;"[Index(nameof("&amp;IF(D20="","",""&amp;D20)&amp;")"&amp;", Name="&amp;"""IX_"&amp;$B$7&amp;"_"&amp;D20&amp;""")]")</f>
        <v/>
      </c>
      <c r="M20" t="str">
        <f t="shared" ref="M20" si="121">REPT(CHAR(9),2)&amp;"public virtual "&amp;IF(OR(H20="DateTime",H20="TimeSpan"),H20&amp;"?",H20)&amp;IF(C20="?","? "," ")&amp;D20&amp;" { get; set; }" &amp; "
"</f>
        <v xml:space="preserve">		public virtual string LeftTitleVn { get; set; }
</v>
      </c>
      <c r="N20" t="str">
        <f t="shared" ref="N20" si="122">IF(C20="Checked","",$I$3)&amp;IF(H20="string",REPT(CHAR(9),2)&amp;"[StringLength("&amp;$B$3&amp;"Consts.Max"&amp;D20&amp;"Length"&amp;")]"&amp;$E$3,"")&amp;REPT(CHAR(9),2)&amp;"public virtual "&amp;IF(OR(H20="DateTime",H20="TimeSpan"),H20&amp;"?",H20)&amp;IF(C20="?","? "," ")&amp;D20&amp;" { get; set; }" &amp; "
"</f>
        <v xml:space="preserve">		[StringLength(MstAssySpsAssemblyScreenConfigConsts.MaxLeftTitleVnLength)]
		public virtual string LeftTitleVn { get; set; }
</v>
      </c>
      <c r="O20" t="str">
        <f t="shared" ref="O20" si="123">IF(OR(H20="string",H20="DateTime",H20="int"),REPT(CHAR(9),2)&amp;"public virtual "&amp;IF(OR(H20="DateTime",H20="TimeSpan"),H20&amp;"?",H20)&amp;IF(C20="?","? "," ")&amp;D20&amp;" { get; set; }"&amp;$E$3,"")</f>
        <v xml:space="preserve">		public virtual string LeftTitleVn { get; set; }
</v>
      </c>
      <c r="P20" t="str">
        <f t="shared" ref="P20" si="124">REPT(CHAR(9),7)&amp;D20&amp;" = o." &amp;D20 &amp;","</f>
        <v xml:space="preserve">							LeftTitleVn = o.LeftTitleVn,</v>
      </c>
      <c r="T20" s="69" t="str">
        <f t="shared" ref="T20" si="125">REPT(CHAR(9),8)&amp;"("""&amp;D20&amp;"""),"</f>
        <v xml:space="preserve">								("LeftTitleVn"),</v>
      </c>
      <c r="V20" s="70" t="str">
        <f t="shared" ref="V20" si="126">REPT(CHAR(9),8)&amp;"_ =&gt; _."&amp;D20&amp;","</f>
        <v xml:space="preserve">								_ =&gt; _.LeftTitleVn,</v>
      </c>
      <c r="W20" s="69" t="str">
        <f t="shared" ref="W20" si="127">IF(H20="string",REPT(CHAR(9),4)&amp;".WhereIf(!string.IsNullOrWhiteSpace(input."&amp;D20&amp;"), e =&gt; e."&amp;D20&amp;".Contains(input."&amp;D20&amp;"))",IF(H20="DateTime",REPT(CHAR(9),4)&amp;".WhereIf(input."&amp;D20&amp;".HasValue, t =&gt; t."&amp;D20&amp;" == input."&amp;D20&amp;".Value)",""))</f>
        <v xml:space="preserve">				.WhereIf(!string.IsNullOrWhiteSpace(input.LeftTitleVn), e =&gt; e.LeftTitleVn.Contains(input.LeftTitleVn))</v>
      </c>
    </row>
    <row r="21" spans="1:23" customFormat="1" ht="18.75" customHeight="1" x14ac:dyDescent="0.25">
      <c r="A21" t="s">
        <v>347</v>
      </c>
      <c r="B21" t="s">
        <v>324</v>
      </c>
      <c r="C21" t="s">
        <v>1</v>
      </c>
      <c r="D21" t="str">
        <f t="shared" si="102"/>
        <v>IsShowLeftTitle</v>
      </c>
      <c r="E21" t="str">
        <f t="shared" si="103"/>
        <v>varchar</v>
      </c>
      <c r="F21" s="7"/>
      <c r="G21" t="str">
        <f t="shared" si="104"/>
        <v>1</v>
      </c>
      <c r="H21" t="str">
        <f>+VLOOKUP(E21,'Data Type Mapping'!A:B,2,)</f>
        <v>string</v>
      </c>
      <c r="I21" t="str">
        <f t="shared" si="105"/>
        <v xml:space="preserve">		public const int MaxIsShowLeftTitleLength = 1;
</v>
      </c>
      <c r="J21" t="str">
        <f t="shared" si="106"/>
        <v xml:space="preserve">		[StringLength(MaxIsShowLeftTitleLength)]
		public virtual string IsShowLeftTitle { get; set; }
</v>
      </c>
      <c r="K21" s="7"/>
      <c r="L21" t="str">
        <f t="shared" si="107"/>
        <v/>
      </c>
      <c r="M21" t="str">
        <f t="shared" si="108"/>
        <v xml:space="preserve">		public virtual string IsShowLeftTitle { get; set; }
</v>
      </c>
      <c r="N21" t="str">
        <f t="shared" si="109"/>
        <v xml:space="preserve">		[StringLength(MstAssySpsAssemblyScreenConfigConsts.MaxIsShowLeftTitleLength)]
		public virtual string IsShowLeftTitle { get; set; }
</v>
      </c>
      <c r="O21" t="str">
        <f t="shared" si="110"/>
        <v xml:space="preserve">		public virtual string IsShowLeftTitle { get; set; }
</v>
      </c>
      <c r="P21" t="str">
        <f t="shared" si="111"/>
        <v xml:space="preserve">							IsShowLeftTitle = o.IsShowLeftTitle,</v>
      </c>
      <c r="T21" s="69" t="str">
        <f t="shared" si="112"/>
        <v xml:space="preserve">								("IsShowLeftTitle"),</v>
      </c>
      <c r="V21" s="70" t="str">
        <f t="shared" si="113"/>
        <v xml:space="preserve">								_ =&gt; _.IsShowLeftTitle,</v>
      </c>
      <c r="W21" s="69" t="str">
        <f t="shared" si="114"/>
        <v xml:space="preserve">				.WhereIf(!string.IsNullOrWhiteSpace(input.IsShowLeftTitle), e =&gt; e.IsShowLeftTitle.Contains(input.IsShowLeftTitle))</v>
      </c>
    </row>
    <row r="22" spans="1:23" customFormat="1" ht="18.75" customHeight="1" x14ac:dyDescent="0.25">
      <c r="A22" t="s">
        <v>334</v>
      </c>
      <c r="B22" t="s">
        <v>324</v>
      </c>
      <c r="C22" t="s">
        <v>1</v>
      </c>
      <c r="D22" t="str">
        <f t="shared" si="63"/>
        <v>IsShowModel</v>
      </c>
      <c r="E22" t="str">
        <f t="shared" si="64"/>
        <v>varchar</v>
      </c>
      <c r="F22" s="7"/>
      <c r="G22" t="str">
        <f t="shared" si="65"/>
        <v>1</v>
      </c>
      <c r="H22" t="str">
        <f>+VLOOKUP(E22,'Data Type Mapping'!A:B,2,)</f>
        <v>string</v>
      </c>
      <c r="I22" t="str">
        <f t="shared" si="66"/>
        <v xml:space="preserve">		public const int MaxIsShowModelLength = 1;
</v>
      </c>
      <c r="J22" t="str">
        <f t="shared" si="67"/>
        <v xml:space="preserve">		[StringLength(MaxIsShowModelLength)]
		public virtual string IsShowModel { get; set; }
</v>
      </c>
      <c r="K22" s="7"/>
      <c r="L22" t="str">
        <f t="shared" si="68"/>
        <v/>
      </c>
      <c r="M22" t="str">
        <f t="shared" si="69"/>
        <v xml:space="preserve">		public virtual string IsShowModel { get; set; }
</v>
      </c>
      <c r="N22" t="str">
        <f t="shared" si="70"/>
        <v xml:space="preserve">		[StringLength(MstAssySpsAssemblyScreenConfigConsts.MaxIsShowModelLength)]
		public virtual string IsShowModel { get; set; }
</v>
      </c>
      <c r="O22" t="str">
        <f t="shared" si="71"/>
        <v xml:space="preserve">		public virtual string IsShowModel { get; set; }
</v>
      </c>
      <c r="P22" t="str">
        <f t="shared" si="72"/>
        <v xml:space="preserve">							IsShowModel = o.IsShowModel,</v>
      </c>
      <c r="T22" s="69" t="str">
        <f t="shared" si="73"/>
        <v xml:space="preserve">								("IsShowModel"),</v>
      </c>
      <c r="V22" s="70" t="str">
        <f t="shared" si="74"/>
        <v xml:space="preserve">								_ =&gt; _.IsShowModel,</v>
      </c>
      <c r="W22" s="69" t="str">
        <f t="shared" si="75"/>
        <v xml:space="preserve">				.WhereIf(!string.IsNullOrWhiteSpace(input.IsShowModel), e =&gt; e.IsShowModel.Contains(input.IsShowModel))</v>
      </c>
    </row>
    <row r="23" spans="1:23" customFormat="1" ht="18.75" customHeight="1" x14ac:dyDescent="0.25">
      <c r="A23" t="s">
        <v>335</v>
      </c>
      <c r="B23" t="s">
        <v>324</v>
      </c>
      <c r="C23" t="s">
        <v>1</v>
      </c>
      <c r="D23" t="str">
        <f t="shared" ref="D23:D24" si="128">SUBSTITUTE(PROPER(A23),"_","")</f>
        <v>IsShowGrade</v>
      </c>
      <c r="E23" t="str">
        <f t="shared" ref="E23:E24" si="129">IFERROR(LEFT(B23, FIND("(",B23)-1),B23)</f>
        <v>varchar</v>
      </c>
      <c r="F23" s="7"/>
      <c r="G23" t="str">
        <f t="shared" ref="G23:G24" si="130">IFERROR(MID(B23,FIND("(",B23) +1, FIND(")",B23) - FIND("(",B23) - 1),"")</f>
        <v>1</v>
      </c>
      <c r="H23" t="str">
        <f>+VLOOKUP(E23,'Data Type Mapping'!A:B,2,)</f>
        <v>string</v>
      </c>
      <c r="I23" t="str">
        <f t="shared" ref="I23:I24" si="131">IF(H23="string",REPT(CHAR(9),2)&amp;"public const int Max"&amp;D23&amp;"Length = "&amp;G23&amp;";"&amp;$E$3,"" )</f>
        <v xml:space="preserve">		public const int MaxIsShowGradeLength = 1;
</v>
      </c>
      <c r="J23" t="str">
        <f t="shared" ref="J23:J24" si="132">IF(F23="","",REPT(CHAR(9),2)&amp;"[Column(TypeName="""&amp;F23&amp;""")]"&amp;$E$3)&amp;IF(C23="Checked","",$I$3)&amp;IF(H23="string",REPT(CHAR(9),2)&amp;"[StringLength(Max"&amp;D23&amp;"Length"&amp;")]"&amp;$E$3,"")&amp;REPT(CHAR(9),2)&amp;"public virtual "&amp;H23&amp;IF(C23="?","? "," ")&amp;D23&amp;" { get; set; }" &amp; "
"</f>
        <v xml:space="preserve">		[StringLength(MaxIsShowGradeLength)]
		public virtual string IsShowGrade { get; set; }
</v>
      </c>
      <c r="K23" s="7"/>
      <c r="L23" t="str">
        <f t="shared" ref="L23:L24" si="133">IF(K23="","",REPT(CHAR(9),1)&amp;"[Index(nameof("&amp;IF(D23="","",""&amp;D23)&amp;")"&amp;", Name="&amp;"""IX_"&amp;$B$7&amp;"_"&amp;D23&amp;""")]")</f>
        <v/>
      </c>
      <c r="M23" t="str">
        <f t="shared" ref="M23:M24" si="134">REPT(CHAR(9),2)&amp;"public virtual "&amp;IF(OR(H23="DateTime",H23="TimeSpan"),H23&amp;"?",H23)&amp;IF(C23="?","? "," ")&amp;D23&amp;" { get; set; }" &amp; "
"</f>
        <v xml:space="preserve">		public virtual string IsShowGrade { get; set; }
</v>
      </c>
      <c r="N23" t="str">
        <f t="shared" ref="N23:N24" si="135">IF(C23="Checked","",$I$3)&amp;IF(H23="string",REPT(CHAR(9),2)&amp;"[StringLength("&amp;$B$3&amp;"Consts.Max"&amp;D23&amp;"Length"&amp;")]"&amp;$E$3,"")&amp;REPT(CHAR(9),2)&amp;"public virtual "&amp;IF(OR(H23="DateTime",H23="TimeSpan"),H23&amp;"?",H23)&amp;IF(C23="?","? "," ")&amp;D23&amp;" { get; set; }" &amp; "
"</f>
        <v xml:space="preserve">		[StringLength(MstAssySpsAssemblyScreenConfigConsts.MaxIsShowGradeLength)]
		public virtual string IsShowGrade { get; set; }
</v>
      </c>
      <c r="O23" t="str">
        <f t="shared" ref="O23:O24" si="136">IF(OR(H23="string",H23="DateTime",H23="int"),REPT(CHAR(9),2)&amp;"public virtual "&amp;IF(OR(H23="DateTime",H23="TimeSpan"),H23&amp;"?",H23)&amp;IF(C23="?","? "," ")&amp;D23&amp;" { get; set; }"&amp;$E$3,"")</f>
        <v xml:space="preserve">		public virtual string IsShowGrade { get; set; }
</v>
      </c>
      <c r="P23" t="str">
        <f t="shared" ref="P23:P24" si="137">REPT(CHAR(9),7)&amp;D23&amp;" = o." &amp;D23 &amp;","</f>
        <v xml:space="preserve">							IsShowGrade = o.IsShowGrade,</v>
      </c>
      <c r="T23" s="69" t="str">
        <f t="shared" ref="T23:T24" si="138">REPT(CHAR(9),8)&amp;"("""&amp;D23&amp;"""),"</f>
        <v xml:space="preserve">								("IsShowGrade"),</v>
      </c>
      <c r="V23" s="70" t="str">
        <f t="shared" ref="V23:V24" si="139">REPT(CHAR(9),8)&amp;"_ =&gt; _."&amp;D23&amp;","</f>
        <v xml:space="preserve">								_ =&gt; _.IsShowGrade,</v>
      </c>
      <c r="W23" s="69" t="str">
        <f t="shared" ref="W23:W24" si="140">IF(H23="string",REPT(CHAR(9),4)&amp;".WhereIf(!string.IsNullOrWhiteSpace(input."&amp;D23&amp;"), e =&gt; e."&amp;D23&amp;".Contains(input."&amp;D23&amp;"))",IF(H23="DateTime",REPT(CHAR(9),4)&amp;".WhereIf(input."&amp;D23&amp;".HasValue, t =&gt; t."&amp;D23&amp;" == input."&amp;D23&amp;".Value)",""))</f>
        <v xml:space="preserve">				.WhereIf(!string.IsNullOrWhiteSpace(input.IsShowGrade), e =&gt; e.IsShowGrade.Contains(input.IsShowGrade))</v>
      </c>
    </row>
    <row r="24" spans="1:23" customFormat="1" ht="18.75" customHeight="1" x14ac:dyDescent="0.25">
      <c r="A24" t="s">
        <v>336</v>
      </c>
      <c r="B24" t="s">
        <v>324</v>
      </c>
      <c r="C24" t="s">
        <v>1</v>
      </c>
      <c r="D24" t="str">
        <f t="shared" si="128"/>
        <v>IsShowSequence</v>
      </c>
      <c r="E24" t="str">
        <f t="shared" si="129"/>
        <v>varchar</v>
      </c>
      <c r="F24" s="7"/>
      <c r="G24" t="str">
        <f t="shared" si="130"/>
        <v>1</v>
      </c>
      <c r="H24" t="str">
        <f>+VLOOKUP(E24,'Data Type Mapping'!A:B,2,)</f>
        <v>string</v>
      </c>
      <c r="I24" t="str">
        <f t="shared" si="131"/>
        <v xml:space="preserve">		public const int MaxIsShowSequenceLength = 1;
</v>
      </c>
      <c r="J24" t="str">
        <f t="shared" si="132"/>
        <v xml:space="preserve">		[StringLength(MaxIsShowSequenceLength)]
		public virtual string IsShowSequence { get; set; }
</v>
      </c>
      <c r="K24" s="7"/>
      <c r="L24" t="str">
        <f t="shared" si="133"/>
        <v/>
      </c>
      <c r="M24" t="str">
        <f t="shared" si="134"/>
        <v xml:space="preserve">		public virtual string IsShowSequence { get; set; }
</v>
      </c>
      <c r="N24" t="str">
        <f t="shared" si="135"/>
        <v xml:space="preserve">		[StringLength(MstAssySpsAssemblyScreenConfigConsts.MaxIsShowSequenceLength)]
		public virtual string IsShowSequence { get; set; }
</v>
      </c>
      <c r="O24" t="str">
        <f t="shared" si="136"/>
        <v xml:space="preserve">		public virtual string IsShowSequence { get; set; }
</v>
      </c>
      <c r="P24" t="str">
        <f t="shared" si="137"/>
        <v xml:space="preserve">							IsShowSequence = o.IsShowSequence,</v>
      </c>
      <c r="T24" s="69" t="str">
        <f t="shared" si="138"/>
        <v xml:space="preserve">								("IsShowSequence"),</v>
      </c>
      <c r="V24" s="70" t="str">
        <f t="shared" si="139"/>
        <v xml:space="preserve">								_ =&gt; _.IsShowSequence,</v>
      </c>
      <c r="W24" s="69" t="str">
        <f t="shared" si="140"/>
        <v xml:space="preserve">				.WhereIf(!string.IsNullOrWhiteSpace(input.IsShowSequence), e =&gt; e.IsShowSequence.Contains(input.IsShowSequence))</v>
      </c>
    </row>
    <row r="25" spans="1:23" customFormat="1" ht="18.75" customHeight="1" x14ac:dyDescent="0.25">
      <c r="A25" t="s">
        <v>333</v>
      </c>
      <c r="B25" t="s">
        <v>324</v>
      </c>
      <c r="C25" t="s">
        <v>1</v>
      </c>
      <c r="D25" t="str">
        <f t="shared" ref="D25:D26" si="141">SUBSTITUTE(PROPER(A25),"_","")</f>
        <v>IsShowBody</v>
      </c>
      <c r="E25" t="str">
        <f t="shared" ref="E25:E26" si="142">IFERROR(LEFT(B25, FIND("(",B25)-1),B25)</f>
        <v>varchar</v>
      </c>
      <c r="F25" s="7"/>
      <c r="G25" t="str">
        <f t="shared" ref="G25:G26" si="143">IFERROR(MID(B25,FIND("(",B25) +1, FIND(")",B25) - FIND("(",B25) - 1),"")</f>
        <v>1</v>
      </c>
      <c r="H25" t="str">
        <f>+VLOOKUP(E25,'Data Type Mapping'!A:B,2,)</f>
        <v>string</v>
      </c>
      <c r="I25" t="str">
        <f t="shared" ref="I25:I26" si="144">IF(H25="string",REPT(CHAR(9),2)&amp;"public const int Max"&amp;D25&amp;"Length = "&amp;G25&amp;";"&amp;$E$3,"" )</f>
        <v xml:space="preserve">		public const int MaxIsShowBodyLength = 1;
</v>
      </c>
      <c r="J25" t="str">
        <f t="shared" ref="J25:J26" si="145">IF(F25="","",REPT(CHAR(9),2)&amp;"[Column(TypeName="""&amp;F25&amp;""")]"&amp;$E$3)&amp;IF(C25="Checked","",$I$3)&amp;IF(H25="string",REPT(CHAR(9),2)&amp;"[StringLength(Max"&amp;D25&amp;"Length"&amp;")]"&amp;$E$3,"")&amp;REPT(CHAR(9),2)&amp;"public virtual "&amp;H25&amp;IF(C25="?","? "," ")&amp;D25&amp;" { get; set; }" &amp; "
"</f>
        <v xml:space="preserve">		[StringLength(MaxIsShowBodyLength)]
		public virtual string IsShowBody { get; set; }
</v>
      </c>
      <c r="K25" s="7"/>
      <c r="L25" t="str">
        <f t="shared" ref="L25:L26" si="146">IF(K25="","",REPT(CHAR(9),1)&amp;"[Index(nameof("&amp;IF(D25="","",""&amp;D25)&amp;")"&amp;", Name="&amp;"""IX_"&amp;$B$7&amp;"_"&amp;D25&amp;""")]")</f>
        <v/>
      </c>
      <c r="M25" t="str">
        <f t="shared" ref="M25:M26" si="147">REPT(CHAR(9),2)&amp;"public virtual "&amp;IF(OR(H25="DateTime",H25="TimeSpan"),H25&amp;"?",H25)&amp;IF(C25="?","? "," ")&amp;D25&amp;" { get; set; }" &amp; "
"</f>
        <v xml:space="preserve">		public virtual string IsShowBody { get; set; }
</v>
      </c>
      <c r="N25" t="str">
        <f t="shared" ref="N25:N26" si="148">IF(C25="Checked","",$I$3)&amp;IF(H25="string",REPT(CHAR(9),2)&amp;"[StringLength("&amp;$B$3&amp;"Consts.Max"&amp;D25&amp;"Length"&amp;")]"&amp;$E$3,"")&amp;REPT(CHAR(9),2)&amp;"public virtual "&amp;IF(OR(H25="DateTime",H25="TimeSpan"),H25&amp;"?",H25)&amp;IF(C25="?","? "," ")&amp;D25&amp;" { get; set; }" &amp; "
"</f>
        <v xml:space="preserve">		[StringLength(MstAssySpsAssemblyScreenConfigConsts.MaxIsShowBodyLength)]
		public virtual string IsShowBody { get; set; }
</v>
      </c>
      <c r="O25" t="str">
        <f t="shared" ref="O25:O26" si="149">IF(OR(H25="string",H25="DateTime",H25="int"),REPT(CHAR(9),2)&amp;"public virtual "&amp;IF(OR(H25="DateTime",H25="TimeSpan"),H25&amp;"?",H25)&amp;IF(C25="?","? "," ")&amp;D25&amp;" { get; set; }"&amp;$E$3,"")</f>
        <v xml:space="preserve">		public virtual string IsShowBody { get; set; }
</v>
      </c>
      <c r="P25" t="str">
        <f t="shared" ref="P25:P26" si="150">REPT(CHAR(9),7)&amp;D25&amp;" = o." &amp;D25 &amp;","</f>
        <v xml:space="preserve">							IsShowBody = o.IsShowBody,</v>
      </c>
      <c r="T25" s="69" t="str">
        <f t="shared" ref="T25:T26" si="151">REPT(CHAR(9),8)&amp;"("""&amp;D25&amp;"""),"</f>
        <v xml:space="preserve">								("IsShowBody"),</v>
      </c>
      <c r="V25" s="70" t="str">
        <f t="shared" ref="V25:V26" si="152">REPT(CHAR(9),8)&amp;"_ =&gt; _."&amp;D25&amp;","</f>
        <v xml:space="preserve">								_ =&gt; _.IsShowBody,</v>
      </c>
      <c r="W25" s="69" t="str">
        <f t="shared" ref="W25:W26" si="153">IF(H25="string",REPT(CHAR(9),4)&amp;".WhereIf(!string.IsNullOrWhiteSpace(input."&amp;D25&amp;"), e =&gt; e."&amp;D25&amp;".Contains(input."&amp;D25&amp;"))",IF(H25="DateTime",REPT(CHAR(9),4)&amp;".WhereIf(input."&amp;D25&amp;".HasValue, t =&gt; t."&amp;D25&amp;" == input."&amp;D25&amp;".Value)",""))</f>
        <v xml:space="preserve">				.WhereIf(!string.IsNullOrWhiteSpace(input.IsShowBody), e =&gt; e.IsShowBody.Contains(input.IsShowBody))</v>
      </c>
    </row>
    <row r="26" spans="1:23" customFormat="1" ht="18.75" customHeight="1" x14ac:dyDescent="0.25">
      <c r="A26" t="s">
        <v>337</v>
      </c>
      <c r="B26" t="s">
        <v>324</v>
      </c>
      <c r="C26" t="s">
        <v>1</v>
      </c>
      <c r="D26" t="str">
        <f t="shared" si="141"/>
        <v>IsShowLotNo</v>
      </c>
      <c r="E26" t="str">
        <f t="shared" si="142"/>
        <v>varchar</v>
      </c>
      <c r="F26" s="7"/>
      <c r="G26" t="str">
        <f t="shared" si="143"/>
        <v>1</v>
      </c>
      <c r="H26" t="str">
        <f>+VLOOKUP(E26,'Data Type Mapping'!A:B,2,)</f>
        <v>string</v>
      </c>
      <c r="I26" t="str">
        <f t="shared" si="144"/>
        <v xml:space="preserve">		public const int MaxIsShowLotNoLength = 1;
</v>
      </c>
      <c r="J26" t="str">
        <f t="shared" si="145"/>
        <v xml:space="preserve">		[StringLength(MaxIsShowLotNoLength)]
		public virtual string IsShowLotNo { get; set; }
</v>
      </c>
      <c r="K26" s="7"/>
      <c r="L26" t="str">
        <f t="shared" si="146"/>
        <v/>
      </c>
      <c r="M26" t="str">
        <f t="shared" si="147"/>
        <v xml:space="preserve">		public virtual string IsShowLotNo { get; set; }
</v>
      </c>
      <c r="N26" t="str">
        <f t="shared" si="148"/>
        <v xml:space="preserve">		[StringLength(MstAssySpsAssemblyScreenConfigConsts.MaxIsShowLotNoLength)]
		public virtual string IsShowLotNo { get; set; }
</v>
      </c>
      <c r="O26" t="str">
        <f t="shared" si="149"/>
        <v xml:space="preserve">		public virtual string IsShowLotNo { get; set; }
</v>
      </c>
      <c r="P26" t="str">
        <f t="shared" si="150"/>
        <v xml:space="preserve">							IsShowLotNo = o.IsShowLotNo,</v>
      </c>
      <c r="T26" s="69" t="str">
        <f t="shared" si="151"/>
        <v xml:space="preserve">								("IsShowLotNo"),</v>
      </c>
      <c r="V26" s="70" t="str">
        <f t="shared" si="152"/>
        <v xml:space="preserve">								_ =&gt; _.IsShowLotNo,</v>
      </c>
      <c r="W26" s="69" t="str">
        <f t="shared" si="153"/>
        <v xml:space="preserve">				.WhereIf(!string.IsNullOrWhiteSpace(input.IsShowLotNo), e =&gt; e.IsShowLotNo.Contains(input.IsShowLotNo))</v>
      </c>
    </row>
    <row r="27" spans="1:23" customFormat="1" ht="18.75" customHeight="1" x14ac:dyDescent="0.25">
      <c r="A27" t="s">
        <v>338</v>
      </c>
      <c r="B27" t="s">
        <v>324</v>
      </c>
      <c r="C27" t="s">
        <v>1</v>
      </c>
      <c r="D27" t="str">
        <f t="shared" ref="D27" si="154">SUBSTITUTE(PROPER(A27),"_","")</f>
        <v>IsShowColor</v>
      </c>
      <c r="E27" t="str">
        <f t="shared" ref="E27" si="155">IFERROR(LEFT(B27, FIND("(",B27)-1),B27)</f>
        <v>varchar</v>
      </c>
      <c r="F27" s="7"/>
      <c r="G27" t="str">
        <f t="shared" ref="G27" si="156">IFERROR(MID(B27,FIND("(",B27) +1, FIND(")",B27) - FIND("(",B27) - 1),"")</f>
        <v>1</v>
      </c>
      <c r="H27" t="str">
        <f>+VLOOKUP(E27,'Data Type Mapping'!A:B,2,)</f>
        <v>string</v>
      </c>
      <c r="I27" t="str">
        <f t="shared" ref="I27" si="157">IF(H27="string",REPT(CHAR(9),2)&amp;"public const int Max"&amp;D27&amp;"Length = "&amp;G27&amp;";"&amp;$E$3,"" )</f>
        <v xml:space="preserve">		public const int MaxIsShowColorLength = 1;
</v>
      </c>
      <c r="J27" t="str">
        <f t="shared" ref="J27" si="158">IF(F27="","",REPT(CHAR(9),2)&amp;"[Column(TypeName="""&amp;F27&amp;""")]"&amp;$E$3)&amp;IF(C27="Checked","",$I$3)&amp;IF(H27="string",REPT(CHAR(9),2)&amp;"[StringLength(Max"&amp;D27&amp;"Length"&amp;")]"&amp;$E$3,"")&amp;REPT(CHAR(9),2)&amp;"public virtual "&amp;H27&amp;IF(C27="?","? "," ")&amp;D27&amp;" { get; set; }" &amp; "
"</f>
        <v xml:space="preserve">		[StringLength(MaxIsShowColorLength)]
		public virtual string IsShowColor { get; set; }
</v>
      </c>
      <c r="K27" s="7"/>
      <c r="L27" t="str">
        <f t="shared" ref="L27" si="159">IF(K27="","",REPT(CHAR(9),1)&amp;"[Index(nameof("&amp;IF(D27="","",""&amp;D27)&amp;")"&amp;", Name="&amp;"""IX_"&amp;$B$7&amp;"_"&amp;D27&amp;""")]")</f>
        <v/>
      </c>
      <c r="M27" t="str">
        <f t="shared" ref="M27" si="160">REPT(CHAR(9),2)&amp;"public virtual "&amp;IF(OR(H27="DateTime",H27="TimeSpan"),H27&amp;"?",H27)&amp;IF(C27="?","? "," ")&amp;D27&amp;" { get; set; }" &amp; "
"</f>
        <v xml:space="preserve">		public virtual string IsShowColor { get; set; }
</v>
      </c>
      <c r="N27" t="str">
        <f t="shared" ref="N27" si="161">IF(C27="Checked","",$I$3)&amp;IF(H27="string",REPT(CHAR(9),2)&amp;"[StringLength("&amp;$B$3&amp;"Consts.Max"&amp;D27&amp;"Length"&amp;")]"&amp;$E$3,"")&amp;REPT(CHAR(9),2)&amp;"public virtual "&amp;IF(OR(H27="DateTime",H27="TimeSpan"),H27&amp;"?",H27)&amp;IF(C27="?","? "," ")&amp;D27&amp;" { get; set; }" &amp; "
"</f>
        <v xml:space="preserve">		[StringLength(MstAssySpsAssemblyScreenConfigConsts.MaxIsShowColorLength)]
		public virtual string IsShowColor { get; set; }
</v>
      </c>
      <c r="O27" t="str">
        <f t="shared" ref="O27" si="162">IF(OR(H27="string",H27="DateTime",H27="int"),REPT(CHAR(9),2)&amp;"public virtual "&amp;IF(OR(H27="DateTime",H27="TimeSpan"),H27&amp;"?",H27)&amp;IF(C27="?","? "," ")&amp;D27&amp;" { get; set; }"&amp;$E$3,"")</f>
        <v xml:space="preserve">		public virtual string IsShowColor { get; set; }
</v>
      </c>
      <c r="P27" t="str">
        <f t="shared" ref="P27" si="163">REPT(CHAR(9),7)&amp;D27&amp;" = o." &amp;D27 &amp;","</f>
        <v xml:space="preserve">							IsShowColor = o.IsShowColor,</v>
      </c>
      <c r="T27" s="69" t="str">
        <f t="shared" ref="T27" si="164">REPT(CHAR(9),8)&amp;"("""&amp;D27&amp;"""),"</f>
        <v xml:space="preserve">								("IsShowColor"),</v>
      </c>
      <c r="V27" s="70" t="str">
        <f t="shared" ref="V27" si="165">REPT(CHAR(9),8)&amp;"_ =&gt; _."&amp;D27&amp;","</f>
        <v xml:space="preserve">								_ =&gt; _.IsShowColor,</v>
      </c>
      <c r="W27" s="69" t="str">
        <f t="shared" ref="W27" si="166">IF(H27="string",REPT(CHAR(9),4)&amp;".WhereIf(!string.IsNullOrWhiteSpace(input."&amp;D27&amp;"), e =&gt; e."&amp;D27&amp;".Contains(input."&amp;D27&amp;"))",IF(H27="DateTime",REPT(CHAR(9),4)&amp;".WhereIf(input."&amp;D27&amp;".HasValue, t =&gt; t."&amp;D27&amp;" == input."&amp;D27&amp;".Value)",""))</f>
        <v xml:space="preserve">				.WhereIf(!string.IsNullOrWhiteSpace(input.IsShowColor), e =&gt; e.IsShowColor.Contains(input.IsShowColor))</v>
      </c>
    </row>
    <row r="28" spans="1:23" customFormat="1" ht="22.5" customHeight="1" x14ac:dyDescent="0.25">
      <c r="A28" t="s">
        <v>323</v>
      </c>
      <c r="B28" t="s">
        <v>324</v>
      </c>
      <c r="C28" t="s">
        <v>1</v>
      </c>
      <c r="D28" t="str">
        <f>SUBSTITUTE(PROPER(A28),"_","")</f>
        <v>IsActive</v>
      </c>
      <c r="E28" t="str">
        <f t="shared" si="13"/>
        <v>varchar</v>
      </c>
      <c r="F28" s="7"/>
      <c r="G28" t="str">
        <f t="shared" si="14"/>
        <v>1</v>
      </c>
      <c r="H28" t="str">
        <f>+VLOOKUP(E28,'Data Type Mapping'!A:B,2,)</f>
        <v>string</v>
      </c>
      <c r="I28" t="str">
        <f t="shared" si="15"/>
        <v xml:space="preserve">		public const int MaxIsActiveLength = 1;
</v>
      </c>
      <c r="J28" t="str">
        <f t="shared" si="16"/>
        <v xml:space="preserve">		[StringLength(MaxIsActiveLength)]
		public virtual string IsActive { get; set; }
</v>
      </c>
      <c r="K28" s="7" t="s">
        <v>206</v>
      </c>
      <c r="L28" t="str">
        <f>IF(K28="","",REPT(CHAR(9),1)&amp;"[Index(nameof("&amp;IF(D28="","",""&amp;D28)&amp;")"&amp;", Name="&amp;"""IX_"&amp;$B$7&amp;"_"&amp;D28&amp;""")]")</f>
        <v xml:space="preserve">	[Index(nameof(IsActive), Name="IX_MstAssySpsAssemblyScreenConfig_IsActive")]</v>
      </c>
      <c r="M28" t="str">
        <f t="shared" si="17"/>
        <v xml:space="preserve">		public virtual string IsActive { get; set; }
</v>
      </c>
      <c r="N28" t="str">
        <f t="shared" si="18"/>
        <v xml:space="preserve">		[StringLength(MstAssySpsAssemblyScreenConfigConsts.MaxIsActiveLength)]
		public virtual string IsActive { get; set; }
</v>
      </c>
      <c r="O28" t="str">
        <f t="shared" si="19"/>
        <v xml:space="preserve">		public virtual string IsActive { get; set; }
</v>
      </c>
      <c r="P28" t="str">
        <f t="shared" si="20"/>
        <v xml:space="preserve">							IsActive = o.IsActive,</v>
      </c>
      <c r="T28" s="69" t="str">
        <f t="shared" si="21"/>
        <v xml:space="preserve">								("IsActive"),</v>
      </c>
      <c r="V28" s="70" t="str">
        <f t="shared" si="22"/>
        <v xml:space="preserve">								_ =&gt; _.IsActive,</v>
      </c>
      <c r="W28" s="69" t="str">
        <f t="shared" si="23"/>
        <v xml:space="preserve">				.WhereIf(!string.IsNullOrWhiteSpace(input.IsActive), e =&gt; e.IsActive.Contains(input.IsActive))</v>
      </c>
    </row>
    <row r="30" spans="1:23" ht="45.75" customHeight="1" x14ac:dyDescent="0.25">
      <c r="H30" s="12"/>
      <c r="I30" s="34" t="str">
        <f ca="1">TEXTJOIN2("
", TRUE,INDIRECT( $H$1):INDIRECT( $H$3))</f>
        <v xml:space="preserve">		public const int MaxScreenCodeLength = 50;
		public const int MaxScreenNameLength = 50;
		public const int MaxProdLineLength = 50;
		public const int MaxProcessGroupLength = 50;
		public const int MaxProcessListLength = 200;
		public const int MaxBlinkProcessListLength = 200;
		public const int MaxHeaderListLength = 200;
		public const int MaxHeaderColor1Length = 50;
		public const int MaxHeaderColor2Length = 50;
		public const int MaxIsShowHeaderLength = 1;
		public const int MaxLeftTitleLength = 200;
		public const int MaxLeftTitleVnLength = 200;
		public const int MaxIsShowLeftTitleLength = 1;
		public const int MaxIsShowModelLength = 1;
		public const int MaxIsShowGradeLength = 1;
		public const int MaxIsShowSequenceLength = 1;
		public const int MaxIsShowBodyLength = 1;
		public const int MaxIsShowLotNoLength = 1;
		public const int MaxIsShowColorLength = 1;
		public const int MaxIsActiveLength = 1;
</v>
      </c>
      <c r="J30" s="33" t="str">
        <f ca="1">TEXTJOIN2("
", TRUE,INDIRECT( $F$1):INDIRECT( $F$3))</f>
        <v xml:space="preserve">		[StringLength(MaxScreenCodeLength)]
		public virtual string ScreenCode { get; set; }
		[StringLength(MaxScreenNameLength)]
		public virtual string ScreenName { get; set; }
		[StringLength(MaxProdLineLength)]
		public virtual string ProdLine { get; set; }
		[StringLength(MaxProcessGroupLength)]
		public virtual string ProcessGroup { get; set; }
		[StringLength(MaxProcessListLength)]
		public virtual string ProcessList { get; set; }
		[StringLength(MaxBlinkProcessListLength)]
		public virtual string BlinkProcessList { get; set; }
		[StringLength(MaxHeaderListLength)]
		public virtual string HeaderList { get; set; }
		[StringLength(MaxHeaderColor1Length)]
		public virtual string HeaderColor1 { get; set; }
		[StringLength(MaxHeaderColor2Length)]
		public virtual string HeaderColor2 { get; set; }
		[StringLength(MaxIsShowHeaderLength)]
		public virtual string IsShowHeader { get; set; }
		[StringLength(MaxLeftTitleLength)]
		public virtual string LeftTitle { get; set; }
		[StringLength(MaxLeftTitleVnLength)]
		public virtual string LeftTitleVn { get; set; }
		[StringLength(MaxIsShowLeftTitleLength)]
		public virtual string IsShowLeftTitle { get; set; }
		[StringLength(MaxIsShowModelLength)]
		public virtual string IsShowModel { get; set; }
		[StringLength(MaxIsShowGradeLength)]
		public virtual string IsShowGrade { get; set; }
		[StringLength(MaxIsShowSequenceLength)]
		public virtual string IsShowSequence { get; set; }
		[StringLength(MaxIsShowBodyLength)]
		public virtual string IsShowBody { get; set; }
		[StringLength(MaxIsShowLotNoLength)]
		public virtual string IsShowLotNo { get; set; }
		[StringLength(MaxIsShowColorLength)]
		public virtual string IsShowColor { get; set; }
		[StringLength(MaxIsActiveLength)]
		public virtual string IsActive { get; set; }
</v>
      </c>
      <c r="K30" s="35" t="str">
        <f ca="1">TEXTJOIN2("
", TRUE,INDIRECT( $J$1):INDIRECT( $J$3))</f>
        <v xml:space="preserve">	[Index(nameof(ScreenCode), Name="IX_MstAssySpsAssemblyScreenConfig_ScreenCode")]
	[Index(nameof(ScreenName), Name="IX_MstAssySpsAssemblyScreenConfig_ScreenName")]
	[Index(nameof(IsActive), Name="IX_MstAssySpsAssemblyScreenConfig_IsActive")]</v>
      </c>
      <c r="L30" s="13" t="s">
        <v>60</v>
      </c>
      <c r="M30" s="36" t="str">
        <f ca="1">TEXTJOIN2("
",TRUE,INDIRECT( $L$1):INDIRECT($L$3))</f>
        <v xml:space="preserve">		public virtual string ScreenCode { get; set; }
		public virtual string ScreenName { get; set; }
		public virtual string ProdLine { get; set; }
		public virtual string ProcessGroup { get; set; }
		public virtual string ProcessList { get; set; }
		public virtual string BlinkProcessList { get; set; }
		public virtual string HeaderList { get; set; }
		public virtual string HeaderColor1 { get; set; }
		public virtual string HeaderColor2 { get; set; }
		public virtual string IsShowHeader { get; set; }
		public virtual string LeftTitle { get; set; }
		public virtual string LeftTitleVn { get; set; }
		public virtual string IsShowLeftTitle { get; set; }
		public virtual string IsShowModel { get; set; }
		public virtual string IsShowGrade { get; set; }
		public virtual string IsShowSequence { get; set; }
		public virtual string IsShowBody { get; set; }
		public virtual string IsShowLotNo { get; set; }
		public virtual string IsShowColor { get; set; }
		public virtual string IsActive { get; set; }
</v>
      </c>
      <c r="N30" s="33" t="str">
        <f ca="1">TEXTJOIN2("
",TRUE,INDIRECT( $M$1):INDIRECT($M$3))</f>
        <v xml:space="preserve">		[StringLength(MstAssySpsAssemblyScreenConfigConsts.MaxScreenCodeLength)]
		public virtual string ScreenCode { get; set; }
		[StringLength(MstAssySpsAssemblyScreenConfigConsts.MaxScreenNameLength)]
		public virtual string ScreenName { get; set; }
		[StringLength(MstAssySpsAssemblyScreenConfigConsts.MaxProdLineLength)]
		public virtual string ProdLine { get; set; }
		[StringLength(MstAssySpsAssemblyScreenConfigConsts.MaxProcessGroupLength)]
		public virtual string ProcessGroup { get; set; }
		[StringLength(MstAssySpsAssemblyScreenConfigConsts.MaxProcessListLength)]
		public virtual string ProcessList { get; set; }
		[StringLength(MstAssySpsAssemblyScreenConfigConsts.MaxBlinkProcessListLength)]
		public virtual string BlinkProcessList { get; set; }
		[StringLength(MstAssySpsAssemblyScreenConfigConsts.MaxHeaderListLength)]
		public virtual string HeaderList { get; set; }
		[StringLength(MstAssySpsAssemblyScreenConfigConsts.MaxHeaderColor1Length)]
		public virtual string HeaderColor1 { get; set; }
		[StringLength(MstAssySpsAssemblyScreenConfigConsts.MaxHeaderColor2Length)]
		public virtual string HeaderColor2 { get; set; }
		[StringLength(MstAssySpsAssemblyScreenConfigConsts.MaxIsShowHeaderLength)]
		public virtual string IsShowHeader { get; set; }
		[StringLength(MstAssySpsAssemblyScreenConfigConsts.MaxLeftTitleLength)]
		public virtual string LeftTitle { get; set; }
		[StringLength(MstAssySpsAssemblyScreenConfigConsts.MaxLeftTitleVnLength)]
		public virtual string LeftTitleVn { get; set; }
		[StringLength(MstAssySpsAssemblyScreenConfigConsts.MaxIsShowLeftTitleLength)]
		public virtual string IsShowLeftTitle { get; set; }
		[StringLength(MstAssySpsAssemblyScreenConfigConsts.MaxIsShowModelLength)]
		public virtual string IsShowModel { get; set; }
		[StringLength(MstAssySpsAssemblyScreenConfigConsts.MaxIsShowGradeLength)]
		public virtual string IsShowGrade { get; set; }
		[StringLength(MstAssySpsAssemblyScreenConfigConsts.MaxIsShowSequenceLength)]
		public virtual string IsShowSequence { get; set; }
		[StringLength(MstAssySpsAssemblyScreenConfigConsts.MaxIsShowBodyLength)]
		public virtual string IsShowBody { get; set; }
		[StringLength(MstAssySpsAssemblyScreenConfigConsts.MaxIsShowLotNoLength)]
		public virtual string IsShowLotNo { get; set; }
		[StringLength(MstAssySpsAssemblyScreenConfigConsts.MaxIsShowColorLength)]
		public virtual string IsShowColor { get; set; }
		[StringLength(MstAssySpsAssemblyScreenConfigConsts.MaxIsActiveLength)]
		public virtual string IsActive { get; set; }
</v>
      </c>
      <c r="O30" s="33" t="str">
        <f ca="1">TEXTJOIN2("
",TRUE,INDIRECT( $N$1):INDIRECT($N$3))</f>
        <v xml:space="preserve">		public virtual string ScreenCode { get; set; }
		public virtual string ScreenName { get; set; }
		public virtual string ProdLine { get; set; }
		public virtual string ProcessGroup { get; set; }
		public virtual string ProcessList { get; set; }
		public virtual string BlinkProcessList { get; set; }
		public virtual string HeaderList { get; set; }
		public virtual string HeaderColor1 { get; set; }
		public virtual string HeaderColor2 { get; set; }
		public virtual string IsShowHeader { get; set; }
		public virtual string LeftTitle { get; set; }
		public virtual string LeftTitleVn { get; set; }
		public virtual string IsShowLeftTitle { get; set; }
		public virtual string IsShowModel { get; set; }
		public virtual string IsShowGrade { get; set; }
		public virtual string IsShowSequence { get; set; }
		public virtual string IsShowBody { get; set; }
		public virtual string IsShowLotNo { get; set; }
		public virtual string IsShowColor { get; set; }
		public virtual string IsActive { get; set; }
</v>
      </c>
      <c r="P30" s="9" t="str">
        <f ca="1">TEXTJOIN2("
",TRUE,INDIRECT( $O$1):INDIRECT($O$3))</f>
        <v xml:space="preserve">							ScreenCode = o.ScreenCode,
							ScreenName = o.ScreenName,
							ProdLine = o.ProdLine,
							ProcessGroup = o.ProcessGroup,
							ProcessList = o.ProcessList,
							BlinkProcessList = o.BlinkProcessList,
							HeaderList = o.HeaderList,
							HeaderColor1 = o.HeaderColor1,
							HeaderColor2 = o.HeaderColor2,
							IsShowHeader = o.IsShowHeader,
							LeftTitle = o.LeftTitle,
							LeftTitleVn = o.LeftTitleVn,
							IsShowLeftTitle = o.IsShowLeftTitle,
							IsShowModel = o.IsShowModel,
							IsShowGrade = o.IsShowGrade,
							IsShowSequence = o.IsShowSequence,
							IsShowBody = o.IsShowBody,
							IsShowLotNo = o.IsShowLotNo,
							IsShowColor = o.IsShowColor,
							IsActive = o.IsActive,</v>
      </c>
      <c r="T30" s="9" t="str">
        <f ca="1">TEXTJOIN2("
",TRUE,INDIRECT( $T$2):INDIRECT($T$3))</f>
        <v xml:space="preserve">								("ScreenCode"),
								("ScreenName"),
								("ProdLine"),
								("ProcessGroup"),
								("ProcessList"),
								("BlinkProcessList"),
								("HeaderList"),
								("HeaderColor1"),
								("HeaderColor2"),
								("IsShowHeader"),
								("LeftTitle"),
								("LeftTitleVn"),
								("IsShowLeftTitle"),
								("IsShowModel"),
								("IsShowGrade"),
								("IsShowSequence"),
								("IsShowBody"),
								("IsShowLotNo"),
								("IsShowColor"),
								("IsActive"),</v>
      </c>
      <c r="V30" s="9" t="str">
        <f ca="1">TEXTJOIN2("
",TRUE,INDIRECT( $V$2):INDIRECT($V$3))</f>
        <v xml:space="preserve">								_ =&gt; _.ScreenCode,
								_ =&gt; _.ScreenName,
								_ =&gt; _.ProdLine,
								_ =&gt; _.ProcessGroup,
								_ =&gt; _.ProcessList,
								_ =&gt; _.BlinkProcessList,
								_ =&gt; _.HeaderList,
								_ =&gt; _.HeaderColor1,
								_ =&gt; _.HeaderColor2,
								_ =&gt; _.IsShowHeader,
								_ =&gt; _.LeftTitle,
								_ =&gt; _.LeftTitleVn,
								_ =&gt; _.IsShowLeftTitle,
								_ =&gt; _.IsShowModel,
								_ =&gt; _.IsShowGrade,
								_ =&gt; _.IsShowSequence,
								_ =&gt; _.IsShowBody,
								_ =&gt; _.IsShowLotNo,
								_ =&gt; _.IsShowColor,
								_ =&gt; _.IsActive,</v>
      </c>
      <c r="W30" s="9" t="str">
        <f ca="1">TEXTJOIN2("
",TRUE,INDIRECT( $W$2):INDIRECT($W$3))</f>
        <v xml:space="preserve">				.WhereIf(!string.IsNullOrWhiteSpace(input.ScreenCode), e =&gt; e.ScreenCode.Contains(input.ScreenCode))
				.WhereIf(!string.IsNullOrWhiteSpace(input.ScreenName), e =&gt; e.ScreenName.Contains(input.ScreenName))
				.WhereIf(!string.IsNullOrWhiteSpace(input.ProdLine), e =&gt; e.ProdLine.Contains(input.ProdLine))
				.WhereIf(!string.IsNullOrWhiteSpace(input.ProcessGroup), e =&gt; e.ProcessGroup.Contains(input.ProcessGroup))
				.WhereIf(!string.IsNullOrWhiteSpace(input.ProcessList), e =&gt; e.ProcessList.Contains(input.ProcessList))
				.WhereIf(!string.IsNullOrWhiteSpace(input.BlinkProcessList), e =&gt; e.BlinkProcessList.Contains(input.BlinkProcessList))
				.WhereIf(!string.IsNullOrWhiteSpace(input.HeaderList), e =&gt; e.HeaderList.Contains(input.HeaderList))
				.WhereIf(!string.IsNullOrWhiteSpace(input.HeaderColor1), e =&gt; e.HeaderColor1.Contains(input.HeaderColor1))
				.WhereIf(!string.IsNullOrWhiteSpace(input.HeaderColor2), e =&gt; e.HeaderColor2.Contains(input.HeaderColor2))
				.WhereIf(!string.IsNullOrWhiteSpace(input.IsShowHeader), e =&gt; e.IsShowHeader.Contains(input.IsShowHeader))
				.WhereIf(!string.IsNullOrWhiteSpace(input.LeftTitle), e =&gt; e.LeftTitle.Contains(input.LeftTitle))
				.WhereIf(!string.IsNullOrWhiteSpace(input.LeftTitleVn), e =&gt; e.LeftTitleVn.Contains(input.LeftTitleVn))
				.WhereIf(!string.IsNullOrWhiteSpace(input.IsShowLeftTitle), e =&gt; e.IsShowLeftTitle.Contains(input.IsShowLeftTitle))
				.WhereIf(!string.IsNullOrWhiteSpace(input.IsShowModel), e =&gt; e.IsShowModel.Contains(input.IsShowModel))
				.WhereIf(!string.IsNullOrWhiteSpace(input.IsShowGrade), e =&gt; e.IsShowGrade.Contains(input.IsShowGrade))
				.WhereIf(!string.IsNullOrWhiteSpace(input.IsShowSequence), e =&gt; e.IsShowSequence.Contains(input.IsShowSequence))
				.WhereIf(!string.IsNullOrWhiteSpace(input.IsShowBody), e =&gt; e.IsShowBody.Contains(input.IsShowBody))
				.WhereIf(!string.IsNullOrWhiteSpace(input.IsShowLotNo), e =&gt; e.IsShowLotNo.Contains(input.IsShowLotNo))
				.WhereIf(!string.IsNullOrWhiteSpace(input.IsShowColor), e =&gt; e.IsShowColor.Contains(input.IsShowColor))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37"/>
  <sheetViews>
    <sheetView zoomScaleNormal="100" workbookViewId="0">
      <selection activeCell="A24" sqref="A24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45" x14ac:dyDescent="0.25">
      <c r="A1" s="41" t="s">
        <v>212</v>
      </c>
      <c r="B1" s="42" t="s">
        <v>342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Master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master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Assy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assy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MstAssySpsAssemblyScreenConfig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SpsAssemblyScreenConfig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spsassemblyscreenconfig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MstAssySpsAssemblyScreenConfigDto, MstAssySpsAssemblyScreenConfigServiceProxy } from '@shared/service-proxies/service-proxies';
import { finalize } from 'rxjs/internal/operators/finalize';
import { CreateOrEditSpsAssemblyScreenConfigModalComponent } from './create-or-edit-spsassemblyscreenconfig-modal.component';
import { DatePipe } from '@angular/common';
import { FileDownloadService } from '@shared/utils/file-download.service';
import ceil from 'lodash-es/ceil';
import { Paginator } from 'primeng/paginator';
@Component({
    templateUrl: './spsassemblyscreenconfig.component.html',
    styleUrls: ['./spsassemblyscreenconfig.component.less'],
})
export class SpsAssemblyScreenConfigComponent extends AppComponentBase implements OnInit {
    @ViewChild('createOrEditModalSpsAssemblyScreenConfig', { static: true }) createOrEditModalSpsAssemblyScreenConfig:| CreateOrEditSpsAssemblyScreenConfigModalComponent|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MstAssySpsAssemblyScreenConfigDto = new MstAssySpsAssemblyScreenConfigDto();
    saveSelectedRow: MstAssySpsAssemblyScreenConfigDto = new MstAssySpsAssemblyScreenConfigDto();
    datas: MstAssySpsAssemblyScreenConfigDto = new MstAssySpsAssemblyScreenConfigDto();
    isLoading: boolean = false;
    dataParams: GridParams | undefined;
    rowData: any[] = [];
    gridApi!: GridApi;
    rowSelection = 'multiple';
    filter: string = '';
	pipe = new DatePipe('en-US');
	frameworkComponents: FrameworkComponent;
    	screenCode : string = '' ; 
	screenName : string = '' ; 
	prodLine : string = '' ; 
	processGroup : string = '' ; 
	processList : string = '' ; 
	blinkProcessList : string = '' ; 
	headerList : string = '' ; 
	headerColor1 : string = '' ; 
	headerColor2 : string = '' ; 
	isShowHeader : string = '' ; 
	leftTitle : string = '' ; 
	leftTitleVn : string = '' ; 
	isShowLeftTitle : string = '' ; 
	isShowModel : string = '' ; 
	isShowGrade : string = '' ; 
	isShowSequence : string = '' ; 
	isShowBody : string = '' ; 
	isShowLotNo : string = '' ; 
	isShowColor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MstAssySpsAssemblyScreenConfigServiceProxy,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this.l('Screen Code'),headerTooltip: this.l('Screen Code'),field: 'screenCode',flex: 1},
			{headerName: this.l('Screen Name'),headerTooltip: this.l('Screen Name'),field: 'screenName',flex: 1},
			{headerName: this.l('Prod Line'),headerTooltip: this.l('Prod Line'),field: 'prodLine',flex: 1},
			{headerName: this.l('Process Group'),headerTooltip: this.l('Process Group'),field: 'processGroup',flex: 1},
			{headerName: this.l('Process List'),headerTooltip: this.l('Process List'),field: 'processList',flex: 1},
			{headerName: this.l('Blink Process List'),headerTooltip: this.l('Blink Process List'),field: 'blinkProcessList',flex: 1},
			{headerName: this.l('Header List'),headerTooltip: this.l('Header List'),field: 'headerList',flex: 1},
			{headerName: this.l('Header Color 1'),headerTooltip: this.l('Header Color 1'),field: 'headerColor1',flex: 1},
			{headerName: this.l('Header Color 2'),headerTooltip: this.l('Header Color 2'),field: 'headerColor2',flex: 1},
			{headerName: this.l('Is Show Header'),headerTooltip: this.l('Is Show Header'),field:  'isShowHeader', cellClass: ['text-center'], width: 120, cellRenderer: 'agCellButtonComponent',
buttonDefTwo: { text: params =&gt; (params.data?.'isShowHeader' == 'Y') ? 'Active' : 'Inactive',iconName: 'fa fa-circle',className: params =&gt; (params.data?.'isShowHeader' == 'Y') ? 'btnActive' : 'btnInActive',},}
			{headerName: this.l('Left Title'),headerTooltip: this.l('Left Title'),field: 'leftTitle',flex: 1},
			{headerName: this.l('Left Title Vn'),headerTooltip: this.l('Left Title Vn'),field: 'leftTitleVn',flex: 1},
			{headerName: this.l('Is Show Left Title'),headerTooltip: this.l('Is Show Left Title'),field:  'isShowLeftTitle', cellClass: ['text-center'], width: 120, cellRenderer: 'agCellButtonComponent',
buttonDefTwo: { text: params =&gt; (params.data?.'isShowLeftTitle' == 'Y') ? 'Active' : 'Inactive',iconName: 'fa fa-circle',className: params =&gt; (params.data?.'isShowLeftTitle' == 'Y') ? 'btnActive' : 'btnInActive',},}
			{headerName: this.l('Is Show Model'),headerTooltip: this.l('Is Show Model'),field:  'isShowModel', cellClass: ['text-center'], width: 120, cellRenderer: 'agCellButtonComponent',
buttonDefTwo: { text: params =&gt; (params.data?.'isShowModel' == 'Y') ? 'Active' : 'Inactive',iconName: 'fa fa-circle',className: params =&gt; (params.data?.'isShowModel' == 'Y') ? 'btnActive' : 'btnInActive',},}
			{headerName: this.l('Is Show Grade'),headerTooltip: this.l('Is Show Grade'),field:  'isShowGrade', cellClass: ['text-center'], width: 120, cellRenderer: 'agCellButtonComponent',
buttonDefTwo: { text: params =&gt; (params.data?.'isShowGrade' == 'Y') ? 'Active' : 'Inactive',iconName: 'fa fa-circle',className: params =&gt; (params.data?.'isShowGrade' == 'Y') ? 'btnActive' : 'btnInActive',},}
			{headerName: this.l('Is Show Sequence'),headerTooltip: this.l('Is Show Sequence'),field:  'isShowSequence', cellClass: ['text-center'], width: 120, cellRenderer: 'agCellButtonComponent',
buttonDefTwo: { text: params =&gt; (params.data?.'isShowSequence' == 'Y') ? 'Active' : 'Inactive',iconName: 'fa fa-circle',className: params =&gt; (params.data?.'isShowSequence' == 'Y') ? 'btnActive' : 'btnInActive',},}
			{headerName: this.l('Is Show Body'),headerTooltip: this.l('Is Show Body'),field:  'isShowBody', cellClass: ['text-center'], width: 120, cellRenderer: 'agCellButtonComponent',
buttonDefTwo: { text: params =&gt; (params.data?.'isShowBody' == 'Y') ? 'Active' : 'Inactive',iconName: 'fa fa-circle',className: params =&gt; (params.data?.'isShowBody' == 'Y') ? 'btnActive' : 'btnInActive',},}
			{headerName: this.l('Is Show Lot No'),headerTooltip: this.l('Is Show Lot No'),field:  'isShowLotNo', cellClass: ['text-center'], width: 120, cellRenderer: 'agCellButtonComponent',
buttonDefTwo: { text: params =&gt; (params.data?.'isShowLotNo' == 'Y') ? 'Active' : 'Inactive',iconName: 'fa fa-circle',className: params =&gt; (params.data?.'isShowLotNo' == 'Y') ? 'btnActive' : 'btnInActive',},}
			{headerName: this.l('Is Show Color'),headerTooltip: this.l('Is Show Color'),field:  'isShowColor', cellClass: ['text-center'], width: 120, cellRenderer: 'agCellButtonComponent',
buttonDefTwo: { text: params =&gt; (params.data?.'isShowColor' == 'Y') ? 'Active' : 'Inactive',iconName: 'fa fa-circle',className: params =&gt; (params.data?.'isShowColor' == 'Y') ? 'btnActive' : 'btnInActive',},}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this.screenCode,
			this.screenName,
			this.prodLine,
			this.processGroup,
			this.processList,
			this.blinkProcessList,
			this.headerList,
			this.headerColor1,
			this.headerColor2,
			this.isShowHeader,
			this.leftTitle,
			this.leftTitleVn,
			this.isShowLeftTitle,
			this.isShowModel,
			this.isShowGrade,
			this.isShowSequence,
			this.isShowBody,
			this.isShowLotNo,
			this.isShowColor,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this.screenCode = '',
		this.screenName = '',
		this.prodLine = '',
		this.processGroup = '',
		this.processList = '',
		this.blinkProcessList = '',
		this.headerList = '',
		this.headerColor1 = '',
		this.headerColor2 = '',
		this.isShowHeader = '',
		this.leftTitle = '',
		this.leftTitleVn = '',
		this.isShowLeftTitle = '',
		this.isShowModel = '',
		this.isShowGrade = '',
		this.isShowSequence = '',
		this.isShowBody = '',
		this.isShowLotNo = '',
		this.isShowColor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this.screenCode,
			this.screenName,
			this.prodLine,
			this.processGroup,
			this.processList,
			this.blinkProcessList,
			this.headerList,
			this.headerColor1,
			this.headerColor2,
			this.isShowHeader,
			this.leftTitle,
			this.leftTitleVn,
			this.isShowLeftTitle,
			this.isShowModel,
			this.isShowGrade,
			this.isShowSequence,
			this.isShowBody,
			this.isShowLotNo,
			this.isShowColor,
			this.isActive,
			'',
            this.paginationParams.skipCount,
            this.paginationParams.pageSize
        );
    }
    onChangeRowSelection(params: { api: { getSelectedRows: () =&gt; MstAssySpsAssemblyScreenConfigDto[] } }) {
        this.saveSelectedRow = params.api.getSelectedRows()[0] ?? new MstAssySpsAssemblyScreenConfigDto();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MstAssySpsAssemblyScreenConfigDto):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this._service.getSpsAssemblyScreenConfigToExcel(
			this.screenCode,
			this.screenName,
			this.prodLine,
			this.processGroup,
			this.processList,
			this.blinkProcessList,
			this.headerList,
			this.headerColor1,
			this.headerColor2,
			this.isShowHeader,
			this.leftTitle,
			this.leftTitleVn,
			this.isShowLeftTitle,
			this.isShowModel,
			this.isShowGrade,
			this.isShowSequence,
			this.isShowBody,
			this.isShowLotNo,
			this.isShowColor,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SPS Assembly Screen Config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[(ngModel)]='screenCode' name='screenCode'
									class='form-control' [placeholder]="l('Screen Code')"
									type='text' (keyup.enter)='searchDatas()'&gt;
								&lt;/div&gt;
								&lt;div class='input-search'&gt;
									&lt;input [(ngModel)]='screenName' name='screenName'
									class='form-control' [placeholder]="l('Screen Name')"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[(ngModel)]='processGroup' name='processGroup'
									class='form-control' [placeholder]="l('Process Group')"
									type='text' (keyup.enter)='searchDatas()'&gt;
								&lt;/div&gt;
								&lt;div class='input-search'&gt;
									&lt;input [(ngModel)]='processList' name='processList'
									class='form-control' [placeholder]="l('Process List')"
									type='text' (keyup.enter)='searchDatas()'&gt;
								&lt;/div&gt;
								&lt;div class='input-search'&gt;
									&lt;input [(ngModel)]='blinkProcessList' name='blinkProcessList'
									class='form-control' [placeholder]="l('Blink Process List')"
									type='text' (keyup.enter)='searchDatas()'&gt;
								&lt;/div&gt;
								&lt;div class='input-search'&gt;
									&lt;input [(ngModel)]='headerList' name='headerList'
									class='form-control' [placeholder]="l('Header List')"
									type='text' (keyup.enter)='searchDatas()'&gt;
								&lt;/div&gt;
								&lt;div class='input-search'&gt;
									&lt;input [(ngModel)]='headerColor1' name='headerColor1'
									class='form-control' [placeholder]="l('Header Color 1')"
									type='text' (keyup.enter)='searchDatas()'&gt;
								&lt;/div&gt;
								&lt;div class='input-search'&gt;
									&lt;input [(ngModel)]='headerColor2' name='headerColor2'
									class='form-control' [placeholder]="l('Header Color 2')"
									type='text' (keyup.enter)='searchDatas()'&gt;
								&lt;/div&gt;
								&lt;div class='input-search'&gt;
									&lt;input [(ngModel)]='isShowHeader' name='isShowHeader'
									class='form-control' [placeholder]="l('Is Show Header')"
									type='text' (keyup.enter)='searchDatas()'&gt;
								&lt;/div&gt;
								&lt;div class='input-search'&gt;
									&lt;input [(ngModel)]='leftTitle' name='leftTitle'
									class='form-control' [placeholder]="l('Left Title')"
									type='text' (keyup.enter)='searchDatas()'&gt;
								&lt;/div&gt;
								&lt;div class='input-search'&gt;
									&lt;input [(ngModel)]='leftTitleVn' name='leftTitleVn'
									class='form-control' [placeholder]="l('Left Title Vn')"
									type='text' (keyup.enter)='searchDatas()'&gt;
								&lt;/div&gt;
								&lt;div class='input-search'&gt;
									&lt;input [(ngModel)]='isShowLeftTitle' name='isShowLeftTitle'
									class='form-control' [placeholder]="l('Is Show Left Title')"
									type='text' (keyup.enter)='searchDatas()'&gt;
								&lt;/div&gt;
								&lt;div class='input-search'&gt;
									&lt;input [(ngModel)]='isShowModel' name='isShowModel'
									class='form-control' [placeholder]="l('Is Show Model')"
									type='text' (keyup.enter)='searchDatas()'&gt;
								&lt;/div&gt;
								&lt;div class='input-search'&gt;
									&lt;input [(ngModel)]='isShowGrade' name='isShowGrade'
									class='form-control' [placeholder]="l('Is Show Grade')"
									type='text' (keyup.enter)='searchDatas()'&gt;
								&lt;/div&gt;
								&lt;div class='input-search'&gt;
									&lt;input [(ngModel)]='isShowSequence' name='isShowSequence'
									class='form-control' [placeholder]="l('Is Show Sequence')"
									type='text' (keyup.enter)='searchDatas()'&gt;
								&lt;/div&gt;
								&lt;div class='input-search'&gt;
									&lt;input [(ngModel)]='isShowBody' name='isShowBody'
									class='form-control' [placeholder]="l('Is Show Body')"
									type='text' (keyup.enter)='searchDatas()'&gt;
								&lt;/div&gt;
								&lt;div class='input-search'&gt;
									&lt;input [(ngModel)]='isShowLotNo' name='isShowLotNo'
									class='form-control' [placeholder]="l('Is Show Lot No')"
									type='text' (keyup.enter)='searchDatas()'&gt;
								&lt;/div&gt;
								&lt;div class='input-search'&gt;
									&lt;input [(ngModel)]='isShowColor' name='isShowColor'
									class='form-control' [placeholder]="l('Is Show Color')"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(click)="createOrEditModalSpsAssemblyScreenConfig.show()"&gt;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(click)="createOrEditModalSpsAssemblyScreenConfig.show(selectedRow)"&gt;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&lt;create-or-edit-spsassemblyscreenconfig-modal
    #createOrEditModalSpsAssemblyScreenConfig
    (modalSave)="callBackDataGrid(dataParams)"
    (modalClose)="onChangeRowSelection(dataParams)"
&gt;
&lt;/create-or-edit-spsassemblyscreenconfig-modal&gt;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#createOrEditModalSpsAssemblyScreenConfig="bs-modal"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SpsAssemblyScreenConfig')}}&lt;/h3&gt;
                    &lt;h3 *ngIf="!rowdata.id"&gt;{{('Create New SpsAssemblyScreenConfig')}}&lt;/h3&gt;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title'&gt;Screen Code&lt;/label&gt;
						&lt;input type='text' class='col-md-10 form-control input-text' name='ScreenCode' [(ngModel)]='rowdata.screenCode'&gt;
					&lt;/div&gt;
					&lt;div class='col-md-12 form-group row'&gt;
						&lt;label class='col-md-2 form-control title'&gt;Screen Name&lt;/label&gt;
						&lt;input type='text' class='col-md-10 form-control input-text' name='ScreenName' [(ngModel)]='rowdata.screenName'&gt;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title'&gt;Process Group&lt;/label&gt;
						&lt;input type='text' class='col-md-10 form-control input-text' name='ProcessGroup' [(ngModel)]='rowdata.processGroup'&gt;
					&lt;/div&gt;
					&lt;div class='col-md-12 form-group row'&gt;
						&lt;label class='col-md-2 form-control title'&gt;Process List&lt;/label&gt;
						&lt;input type='text' class='col-md-10 form-control input-text' name='ProcessList' [(ngModel)]='rowdata.processList'&gt;
					&lt;/div&gt;
					&lt;div class='col-md-12 form-group row'&gt;
						&lt;label class='col-md-2 form-control title'&gt;Blink Process List&lt;/label&gt;
						&lt;input type='text' class='col-md-10 form-control input-text' name='BlinkProcessList' [(ngModel)]='rowdata.blinkProcessList'&gt;
					&lt;/div&gt;
					&lt;div class='col-md-12 form-group row'&gt;
						&lt;label class='col-md-2 form-control title'&gt;Header List&lt;/label&gt;
						&lt;input type='text' class='col-md-10 form-control input-text' name='HeaderList' [(ngModel)]='rowdata.headerList'&gt;
					&lt;/div&gt;
					&lt;div class='col-md-12 form-group row'&gt;
						&lt;label class='col-md-2 form-control title'&gt;Header Color 1&lt;/label&gt;
						&lt;input type='text' class='col-md-10 form-control input-text' name='HeaderColor1' [(ngModel)]='rowdata.headerColor1'&gt;
					&lt;/div&gt;
					&lt;div class='col-md-12 form-group row'&gt;
						&lt;label class='col-md-2 form-control title'&gt;Header Color 2&lt;/label&gt;
						&lt;input type='text' class='col-md-10 form-control input-text' name='HeaderColor2' [(ngModel)]='rowdata.headerColor2'&gt;
					&lt;/div&gt;
					&lt;div class='col-md-12 form-group row'&gt;
						&lt;label class='col-md-2 form-control title'&gt;Is Show Header&lt;/label&gt;
						&lt;new-checkbox [(ngModel)]='_isShowHeader' name='isShowHeader' className='col-md-10' &gt; &lt;/new-checkbox&gt;
					&lt;/div&gt;
					&lt;div class='col-md-12 form-group row'&gt;
						&lt;label class='col-md-2 form-control title'&gt;Left Title&lt;/label&gt;
						&lt;input type='text' class='col-md-10 form-control input-text' name='LeftTitle' [(ngModel)]='rowdata.leftTitle'&gt;
					&lt;/div&gt;
					&lt;div class='col-md-12 form-group row'&gt;
						&lt;label class='col-md-2 form-control title'&gt;Left Title Vn&lt;/label&gt;
						&lt;input type='text' class='col-md-10 form-control input-text' name='LeftTitleVn' [(ngModel)]='rowdata.leftTitleVn'&gt;
					&lt;/div&gt;
					&lt;div class='col-md-12 form-group row'&gt;
						&lt;label class='col-md-2 form-control title'&gt;Is Show Left Title&lt;/label&gt;
						&lt;new-checkbox [(ngModel)]='_isShowLeftTitle' name='isShowLeftTitle' className='col-md-10' &gt; &lt;/new-checkbox&gt;
					&lt;/div&gt;
					&lt;div class='col-md-12 form-group row'&gt;
						&lt;label class='col-md-2 form-control title'&gt;Is Show Model&lt;/label&gt;
						&lt;new-checkbox [(ngModel)]='_isShowModel' name='isShowModel' className='col-md-10' &gt; &lt;/new-checkbox&gt;
					&lt;/div&gt;
					&lt;div class='col-md-12 form-group row'&gt;
						&lt;label class='col-md-2 form-control title'&gt;Is Show Grade&lt;/label&gt;
						&lt;new-checkbox [(ngModel)]='_isShowGrade' name='isShowGrade' className='col-md-10' &gt; &lt;/new-checkbox&gt;
					&lt;/div&gt;
					&lt;div class='col-md-12 form-group row'&gt;
						&lt;label class='col-md-2 form-control title'&gt;Is Show Sequence&lt;/label&gt;
						&lt;new-checkbox [(ngModel)]='_isShowSequence' name='isShowSequence' className='col-md-10' &gt; &lt;/new-checkbox&gt;
					&lt;/div&gt;
					&lt;div class='col-md-12 form-group row'&gt;
						&lt;label class='col-md-2 form-control title'&gt;Is Show Body&lt;/label&gt;
						&lt;new-checkbox [(ngModel)]='_isShowBody' name='isShowBody' className='col-md-10' &gt; &lt;/new-checkbox&gt;
					&lt;/div&gt;
					&lt;div class='col-md-12 form-group row'&gt;
						&lt;label class='col-md-2 form-control title'&gt;Is Show Lot No&lt;/label&gt;
						&lt;new-checkbox [(ngModel)]='_isShowLotNo' name='isShowLotNo' className='col-md-10' &gt; &lt;/new-checkbox&gt;
					&lt;/div&gt;
					&lt;div class='col-md-12 form-group row'&gt;
						&lt;label class='col-md-2 form-control title'&gt;Is Show Color&lt;/label&gt;
						&lt;new-checkbox [(ngModel)]='_isShowColor' name='isShowColor' className='col-md-10' &gt; &lt;/new-checkbox&gt;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CreateOrEditMstAssySpsAssemblyScreenConfigDto, MstAssySpsAssemblyScreenConfigServiceProxy } from '@shared/service-proxies/service-proxies';
import { BsDatepickerDirective } from 'ngx-bootstrap/datepicker';
@Component({
    selector: 'create-or-edit-spsassemblyscreenconfig-modal',
    templateUrl: './create-or-edit-spsassemblyscreenconfig-modal.component.html',
    styleUrls: ['./create-or-edit-spsassemblyscreenconfig-modal.component.less']
    })
export class CreateOrEditSpsAssemblyScreenConfigModalComponent extends AppComponentBase {
    @ViewChild('createOrEditModalSpsAssemblyScreenConfig',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CreateOrEditMstAssySpsAssemblyScreenConfigDto = new CreateOrEditMstAssySpsAssemblyScreenConfigDto();
    active: boolean = false;
    saving: boolean = false;
    _isShowHeader
isShowLeftTitle
isShowModel
isShowGrade
isShowSequence
isShowBody
isShowLotNo
isShowColor
isActive: boolean;
    constructor(
        injector: Injector,
        private _mstwptSpsAssemblyScreenConfigService: MstAssySpsAssemblyScreenConfigServiceProxy,
    ) 
    {
        super(injector);
    }
    show(rowdata?: CreateOrEditMstAssySpsAssemblyScreenConfigDto): void {
        if (!rowdata) this.rowdata = new CreateOrEditMstAssySpsAssemblyScreenConfigDto();
        else this.rowdata = rowdata;
        this._isShowHeader
isShowLeftTitle
isShowModel
isShowGrade
isShowSequence
isShowBody
isShowLotNo
isShowColor
isActive = (this.rowdata.isShowHeader
isShowLeftTitle
isShowModel
isShowGrade
isShowSequence
isShowBody
isShowLotNo
isShowColor
isActive == "N")? false: true;
        this.active = true;
        this.modal.show();
    } 
    changeActive(event){
        this._isShowHeader
isShowLeftTitle
isShowModel
isShowGrade
isShowSequence
isShowBody
isShowLotNo
isShowColor
isActive = event.target.checked;
    }
    save(): void {
    this.saving = true; 
    this.rowdata.isShowHeader
isShowLeftTitle
isShowModel
isShowGrade
isShowSequence
isShowBody
isShowLotNo
isShowColor
isActive = (this._isShowHeader
isShowLeftTitle
isShowModel
isShowGrade
isShowSequence
isShowBody
isShowLotNo
isShowColor
isActive == true) ? 'Y' : 'N'
    this._mstwptSpsAssemblyScreenConfigService.createOrEdit(this.rowdata)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SpsAssemblyScreenConfigRoutingModule } from './spsassemblyscreenconfig-routing.module';
import { SpsAssemblyScreenConfigComponent } from './spsassemblyscreenconfig.component';
import { CreateOrEditSpsAssemblyScreenConfigModalComponent } from './create-or-edit-spsassemblyscreenconfig-modal.component';
@NgModule({
    declarations: [
       SpsAssemblyScreenConfigComponent, 
        CreateOrEditSpsAssemblyScreenConfigModalComponent
    ],
    imports: [
        AppSharedModule, SpsAssemblyScreenConfigRoutingModule]
})
export class SpsAssemblyScreenConfigModule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SpsAssemblyScreenConfigComponent } from './spsassemblyscreenconfig.component';
const routes: Routes = [{
    path: '',
    component: SpsAssemblyScreenConfigComponent,
    pathMatch: 'full'
}];
@NgModule({
    imports: [RouterModule.forChild(routes)],
    exports: [RouterModule],
})
export class SpsAssemblyScreenConfigRoutingModule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AppMenuItem("SpsAssemblyScreenConfig", "Pages.Master.Assy.SpsAssemblyScreenConfig", "flaticon-book",   "/app/main/master/assy/spsassemblyscreenconfig"),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'master/assy/spsassemblyscreenconfig',
    loadChildren: () =&gt; import('./master/assy/spsassemblyscreenconfig/spsassemblyscreenconfig.module').then(m =&gt; m.SpsAssemblyScreenConfigModule),
    data: { permission: 'Pages.Master.Assy.SpsAssemblyScreenConfig' }
},</v>
      </c>
      <c r="R10" s="50" t="str">
        <f>SUBSTITUTE(R9,"MstWptCalendar",$B$6)</f>
        <v>ApiServiceProxies.MstAssySpsAssemblyScreenConfigServiceProxy,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H34</v>
      </c>
      <c r="I12" s="31" t="str">
        <f>"I"&amp;COUNTA($A:$A)</f>
        <v>I34</v>
      </c>
      <c r="J12" s="31"/>
      <c r="K12" s="31" t="str">
        <f>"K"&amp;COUNTA($A:$A)</f>
        <v>K34</v>
      </c>
      <c r="L12" s="31" t="str">
        <f>"L"&amp;COUNTA($A:$A)</f>
        <v>L34</v>
      </c>
      <c r="M12" s="31"/>
      <c r="N12" s="31"/>
      <c r="O12" s="31"/>
      <c r="P12" s="31"/>
      <c r="Q12" s="31"/>
      <c r="R12" s="31"/>
      <c r="S12" s="31" t="str">
        <f>"S"&amp;COUNTA($A:$A)</f>
        <v>S34</v>
      </c>
      <c r="T12" s="31" t="str">
        <f>"T"&amp;COUNTA($A:$A)</f>
        <v>T34</v>
      </c>
      <c r="U12" s="31" t="str">
        <f>"U"&amp;COUNTA($A:$A)</f>
        <v>U34</v>
      </c>
      <c r="V12" s="31" t="str">
        <f>"V"&amp;COUNTA($A:$A)</f>
        <v>V34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this.l('Screen Code'),headerTooltip: this.l('Screen Code'),field: 'screenCode',flex: 1},
			{headerName: this.l('Screen Name'),headerTooltip: this.l('Screen Name'),field: 'screenName',flex: 1},
			{headerName: this.l('Prod Line'),headerTooltip: this.l('Prod Line'),field: 'prodLine',flex: 1},
			{headerName: this.l('Process Group'),headerTooltip: this.l('Process Group'),field: 'processGroup',flex: 1},
			{headerName: this.l('Process List'),headerTooltip: this.l('Process List'),field: 'processList',flex: 1},
			{headerName: this.l('Blink Process List'),headerTooltip: this.l('Blink Process List'),field: 'blinkProcessList',flex: 1},
			{headerName: this.l('Header List'),headerTooltip: this.l('Header List'),field: 'headerList',flex: 1},
			{headerName: this.l('Header Color 1'),headerTooltip: this.l('Header Color 1'),field: 'headerColor1',flex: 1},
			{headerName: this.l('Header Color 2'),headerTooltip: this.l('Header Color 2'),field: 'headerColor2',flex: 1},
			{headerName: this.l('Is Show Header'),headerTooltip: this.l('Is Show Header'),field:  'isShowHeader', cellClass: ['text-center'], width: 120, cellRenderer: 'agCellButtonComponent',
buttonDefTwo: { text: params =&gt; (params.data?.'isShowHeader' == 'Y') ? 'Active' : 'Inactive',iconName: 'fa fa-circle',className: params =&gt; (params.data?.'isShowHeader' == 'Y') ? 'btnActive' : 'btnInActive',},}
			{headerName: this.l('Left Title'),headerTooltip: this.l('Left Title'),field: 'leftTitle',flex: 1},
			{headerName: this.l('Left Title Vn'),headerTooltip: this.l('Left Title Vn'),field: 'leftTitleVn',flex: 1},
			{headerName: this.l('Is Show Left Title'),headerTooltip: this.l('Is Show Left Title'),field:  'isShowLeftTitle', cellClass: ['text-center'], width: 120, cellRenderer: 'agCellButtonComponent',
buttonDefTwo: { text: params =&gt; (params.data?.'isShowLeftTitle' == 'Y') ? 'Active' : 'Inactive',iconName: 'fa fa-circle',className: params =&gt; (params.data?.'isShowLeftTitle' == 'Y') ? 'btnActive' : 'btnInActive',},}
			{headerName: this.l('Is Show Model'),headerTooltip: this.l('Is Show Model'),field:  'isShowModel', cellClass: ['text-center'], width: 120, cellRenderer: 'agCellButtonComponent',
buttonDefTwo: { text: params =&gt; (params.data?.'isShowModel' == 'Y') ? 'Active' : 'Inactive',iconName: 'fa fa-circle',className: params =&gt; (params.data?.'isShowModel' == 'Y') ? 'btnActive' : 'btnInActive',},}
			{headerName: this.l('Is Show Grade'),headerTooltip: this.l('Is Show Grade'),field:  'isShowGrade', cellClass: ['text-center'], width: 120, cellRenderer: 'agCellButtonComponent',
buttonDefTwo: { text: params =&gt; (params.data?.'isShowGrade' == 'Y') ? 'Active' : 'Inactive',iconName: 'fa fa-circle',className: params =&gt; (params.data?.'isShowGrade' == 'Y') ? 'btnActive' : 'btnInActive',},}
			{headerName: this.l('Is Show Sequence'),headerTooltip: this.l('Is Show Sequence'),field:  'isShowSequence', cellClass: ['text-center'], width: 120, cellRenderer: 'agCellButtonComponent',
buttonDefTwo: { text: params =&gt; (params.data?.'isShowSequence' == 'Y') ? 'Active' : 'Inactive',iconName: 'fa fa-circle',className: params =&gt; (params.data?.'isShowSequence' == 'Y') ? 'btnActive' : 'btnInActive',},}
			{headerName: this.l('Is Show Body'),headerTooltip: this.l('Is Show Body'),field:  'isShowBody', cellClass: ['text-center'], width: 120, cellRenderer: 'agCellButtonComponent',
buttonDefTwo: { text: params =&gt; (params.data?.'isShowBody' == 'Y') ? 'Active' : 'Inactive',iconName: 'fa fa-circle',className: params =&gt; (params.data?.'isShowBody' == 'Y') ? 'btnActive' : 'btnInActive',},}
			{headerName: this.l('Is Show Lot No'),headerTooltip: this.l('Is Show Lot No'),field:  'isShowLotNo', cellClass: ['text-center'], width: 120, cellRenderer: 'agCellButtonComponent',
buttonDefTwo: { text: params =&gt; (params.data?.'isShowLotNo' == 'Y') ? 'Active' : 'Inactive',iconName: 'fa fa-circle',className: params =&gt; (params.data?.'isShowLotNo' == 'Y') ? 'btnActive' : 'btnInActive',},}
			{headerName: this.l('Is Show Color'),headerTooltip: this.l('Is Show Color'),field:  'isShowColor', cellClass: ['text-center'], width: 120, cellRenderer: 'agCellButtonComponent',
buttonDefTwo: { text: params =&gt; (params.data?.'isShowColor' == 'Y') ? 'Active' : 'Inactive',iconName: 'fa fa-circle',className: params =&gt; (params.data?.'isShowColor' == 'Y') ? 'btnActive' : 'btnInActive',},}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8" t="str">
        <f ca="1">TEXTJOIN2("
",TRUE,INDIRECT(I11):INDIRECT(I12))</f>
        <v xml:space="preserve">								&lt;div class='input-search'&gt;
									&lt;input [(ngModel)]='screenCode' name='screenCode'
									class='form-control' [placeholder]="l('Screen Code')"
									type='text' (keyup.enter)='searchDatas()'&gt;
								&lt;/div&gt;
								&lt;div class='input-search'&gt;
									&lt;input [(ngModel)]='screenName' name='screenName'
									class='form-control' [placeholder]="l('Screen Name')"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[(ngModel)]='processGroup' name='processGroup'
									class='form-control' [placeholder]="l('Process Group')"
									type='text' (keyup.enter)='searchDatas()'&gt;
								&lt;/div&gt;
								&lt;div class='input-search'&gt;
									&lt;input [(ngModel)]='processList' name='processList'
									class='form-control' [placeholder]="l('Process List')"
									type='text' (keyup.enter)='searchDatas()'&gt;
								&lt;/div&gt;
								&lt;div class='input-search'&gt;
									&lt;input [(ngModel)]='blinkProcessList' name='blinkProcessList'
									class='form-control' [placeholder]="l('Blink Process List')"
									type='text' (keyup.enter)='searchDatas()'&gt;
								&lt;/div&gt;
								&lt;div class='input-search'&gt;
									&lt;input [(ngModel)]='headerList' name='headerList'
									class='form-control' [placeholder]="l('Header List')"
									type='text' (keyup.enter)='searchDatas()'&gt;
								&lt;/div&gt;
								&lt;div class='input-search'&gt;
									&lt;input [(ngModel)]='headerColor1' name='headerColor1'
									class='form-control' [placeholder]="l('Header Color 1')"
									type='text' (keyup.enter)='searchDatas()'&gt;
								&lt;/div&gt;
								&lt;div class='input-search'&gt;
									&lt;input [(ngModel)]='headerColor2' name='headerColor2'
									class='form-control' [placeholder]="l('Header Color 2')"
									type='text' (keyup.enter)='searchDatas()'&gt;
								&lt;/div&gt;
								&lt;div class='input-search'&gt;
									&lt;input [(ngModel)]='isShowHeader' name='isShowHeader'
									class='form-control' [placeholder]="l('Is Show Header')"
									type='text' (keyup.enter)='searchDatas()'&gt;
								&lt;/div&gt;
								&lt;div class='input-search'&gt;
									&lt;input [(ngModel)]='leftTitle' name='leftTitle'
									class='form-control' [placeholder]="l('Left Title')"
									type='text' (keyup.enter)='searchDatas()'&gt;
								&lt;/div&gt;
								&lt;div class='input-search'&gt;
									&lt;input [(ngModel)]='leftTitleVn' name='leftTitleVn'
									class='form-control' [placeholder]="l('Left Title Vn')"
									type='text' (keyup.enter)='searchDatas()'&gt;
								&lt;/div&gt;
								&lt;div class='input-search'&gt;
									&lt;input [(ngModel)]='isShowLeftTitle' name='isShowLeftTitle'
									class='form-control' [placeholder]="l('Is Show Left Title')"
									type='text' (keyup.enter)='searchDatas()'&gt;
								&lt;/div&gt;
								&lt;div class='input-search'&gt;
									&lt;input [(ngModel)]='isShowModel' name='isShowModel'
									class='form-control' [placeholder]="l('Is Show Model')"
									type='text' (keyup.enter)='searchDatas()'&gt;
								&lt;/div&gt;
								&lt;div class='input-search'&gt;
									&lt;input [(ngModel)]='isShowGrade' name='isShowGrade'
									class='form-control' [placeholder]="l('Is Show Grade')"
									type='text' (keyup.enter)='searchDatas()'&gt;
								&lt;/div&gt;
								&lt;div class='input-search'&gt;
									&lt;input [(ngModel)]='isShowSequence' name='isShowSequence'
									class='form-control' [placeholder]="l('Is Show Sequence')"
									type='text' (keyup.enter)='searchDatas()'&gt;
								&lt;/div&gt;
								&lt;div class='input-search'&gt;
									&lt;input [(ngModel)]='isShowBody' name='isShowBody'
									class='form-control' [placeholder]="l('Is Show Body')"
									type='text' (keyup.enter)='searchDatas()'&gt;
								&lt;/div&gt;
								&lt;div class='input-search'&gt;
									&lt;input [(ngModel)]='isShowLotNo' name='isShowLotNo'
									class='form-control' [placeholder]="l('Is Show Lot No')"
									type='text' (keyup.enter)='searchDatas()'&gt;
								&lt;/div&gt;
								&lt;div class='input-search'&gt;
									&lt;input [(ngModel)]='isShowColor' name='isShowColor'
									class='form-control' [placeholder]="l('Is Show Color')"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title'&gt;Screen Code&lt;/label&gt;
						&lt;input type='text' class='col-md-10 form-control input-text' name='ScreenCode' [(ngModel)]='rowdata.screenCode'&gt;
					&lt;/div&gt;
					&lt;div class='col-md-12 form-group row'&gt;
						&lt;label class='col-md-2 form-control title'&gt;Screen Name&lt;/label&gt;
						&lt;input type='text' class='col-md-10 form-control input-text' name='ScreenName' [(ngModel)]='rowdata.screenName'&gt;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title'&gt;Process Group&lt;/label&gt;
						&lt;input type='text' class='col-md-10 form-control input-text' name='ProcessGroup' [(ngModel)]='rowdata.processGroup'&gt;
					&lt;/div&gt;
					&lt;div class='col-md-12 form-group row'&gt;
						&lt;label class='col-md-2 form-control title'&gt;Process List&lt;/label&gt;
						&lt;input type='text' class='col-md-10 form-control input-text' name='ProcessList' [(ngModel)]='rowdata.processList'&gt;
					&lt;/div&gt;
					&lt;div class='col-md-12 form-group row'&gt;
						&lt;label class='col-md-2 form-control title'&gt;Blink Process List&lt;/label&gt;
						&lt;input type='text' class='col-md-10 form-control input-text' name='BlinkProcessList' [(ngModel)]='rowdata.blinkProcessList'&gt;
					&lt;/div&gt;
					&lt;div class='col-md-12 form-group row'&gt;
						&lt;label class='col-md-2 form-control title'&gt;Header List&lt;/label&gt;
						&lt;input type='text' class='col-md-10 form-control input-text' name='HeaderList' [(ngModel)]='rowdata.headerList'&gt;
					&lt;/div&gt;
					&lt;div class='col-md-12 form-group row'&gt;
						&lt;label class='col-md-2 form-control title'&gt;Header Color 1&lt;/label&gt;
						&lt;input type='text' class='col-md-10 form-control input-text' name='HeaderColor1' [(ngModel)]='rowdata.headerColor1'&gt;
					&lt;/div&gt;
					&lt;div class='col-md-12 form-group row'&gt;
						&lt;label class='col-md-2 form-control title'&gt;Header Color 2&lt;/label&gt;
						&lt;input type='text' class='col-md-10 form-control input-text' name='HeaderColor2' [(ngModel)]='rowdata.headerColor2'&gt;
					&lt;/div&gt;
					&lt;div class='col-md-12 form-group row'&gt;
						&lt;label class='col-md-2 form-control title'&gt;Is Show Header&lt;/label&gt;
						&lt;new-checkbox [(ngModel)]='_isShowHeader' name='isShowHeader' className='col-md-10' &gt; &lt;/new-checkbox&gt;
					&lt;/div&gt;
					&lt;div class='col-md-12 form-group row'&gt;
						&lt;label class='col-md-2 form-control title'&gt;Left Title&lt;/label&gt;
						&lt;input type='text' class='col-md-10 form-control input-text' name='LeftTitle' [(ngModel)]='rowdata.leftTitle'&gt;
					&lt;/div&gt;
					&lt;div class='col-md-12 form-group row'&gt;
						&lt;label class='col-md-2 form-control title'&gt;Left Title Vn&lt;/label&gt;
						&lt;input type='text' class='col-md-10 form-control input-text' name='LeftTitleVn' [(ngModel)]='rowdata.leftTitleVn'&gt;
					&lt;/div&gt;
					&lt;div class='col-md-12 form-group row'&gt;
						&lt;label class='col-md-2 form-control title'&gt;Is Show Left Title&lt;/label&gt;
						&lt;new-checkbox [(ngModel)]='_isShowLeftTitle' name='isShowLeftTitle' className='col-md-10' &gt; &lt;/new-checkbox&gt;
					&lt;/div&gt;
					&lt;div class='col-md-12 form-group row'&gt;
						&lt;label class='col-md-2 form-control title'&gt;Is Show Model&lt;/label&gt;
						&lt;new-checkbox [(ngModel)]='_isShowModel' name='isShowModel' className='col-md-10' &gt; &lt;/new-checkbox&gt;
					&lt;/div&gt;
					&lt;div class='col-md-12 form-group row'&gt;
						&lt;label class='col-md-2 form-control title'&gt;Is Show Grade&lt;/label&gt;
						&lt;new-checkbox [(ngModel)]='_isShowGrade' name='isShowGrade' className='col-md-10' &gt; &lt;/new-checkbox&gt;
					&lt;/div&gt;
					&lt;div class='col-md-12 form-group row'&gt;
						&lt;label class='col-md-2 form-control title'&gt;Is Show Sequence&lt;/label&gt;
						&lt;new-checkbox [(ngModel)]='_isShowSequence' name='isShowSequence' className='col-md-10' &gt; &lt;/new-checkbox&gt;
					&lt;/div&gt;
					&lt;div class='col-md-12 form-group row'&gt;
						&lt;label class='col-md-2 form-control title'&gt;Is Show Body&lt;/label&gt;
						&lt;new-checkbox [(ngModel)]='_isShowBody' name='isShowBody' className='col-md-10' &gt; &lt;/new-checkbox&gt;
					&lt;/div&gt;
					&lt;div class='col-md-12 form-group row'&gt;
						&lt;label class='col-md-2 form-control title'&gt;Is Show Lot No&lt;/label&gt;
						&lt;new-checkbox [(ngModel)]='_isShowLotNo' name='isShowLotNo' className='col-md-10' &gt; &lt;/new-checkbox&gt;
					&lt;/div&gt;
					&lt;div class='col-md-12 form-group row'&gt;
						&lt;label class='col-md-2 form-control title'&gt;Is Show Color&lt;/label&gt;
						&lt;new-checkbox [(ngModel)]='_isShowColor' name='isShowColor' className='col-md-10' &gt; &lt;/new-checkbox&gt;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60" t="str">
        <f ca="1">TEXTJOIN2("
",TRUE,INDIRECT(L11):INDIRECT(L12))</f>
        <v/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	screenCode : string = '' ; 
	screenName : string = '' ; 
	prodLine : string = '' ; 
	processGroup : string = '' ; 
	processList : string = '' ; 
	blinkProcessList : string = '' ; 
	headerList : string = '' ; 
	headerColor1 : string = '' ; 
	headerColor2 : string = '' ; 
	isShowHeader : string = '' ; 
	leftTitle : string = '' ; 
	leftTitleVn : string = '' ; 
	isShowLeftTitle : string = '' ; 
	isShowModel : string = '' ; 
	isShowGrade : string = '' ; 
	isShowSequence : string = '' ; 
	isShowBody : string = '' ; 
	isShowLotNo : string = '' ; 
	isShowColor : string = '' ; 
	isActive : string = '' ; </v>
      </c>
      <c r="T13" s="68" t="str">
        <f ca="1">TEXTJOIN2("
",TRUE,INDIRECT(T11):INDIRECT(T12))</f>
        <v xml:space="preserve">			this.screenCode,
			this.screenName,
			this.prodLine,
			this.processGroup,
			this.processList,
			this.blinkProcessList,
			this.headerList,
			this.headerColor1,
			this.headerColor2,
			this.isShowHeader,
			this.leftTitle,
			this.leftTitleVn,
			this.isShowLeftTitle,
			this.isShowModel,
			this.isShowGrade,
			this.isShowSequence,
			this.isShowBody,
			this.isShowLotNo,
			this.isShowColor,
			this.isActive,</v>
      </c>
      <c r="U13" s="68" t="str">
        <f ca="1">TEXTJOIN2("
",TRUE,INDIRECT(U11):INDIRECT(U12))</f>
        <v xml:space="preserve">		this.screenCode = '',
		this.screenName = '',
		this.prodLine = '',
		this.processGroup = '',
		this.processList = '',
		this.blinkProcessList = '',
		this.headerList = '',
		this.headerColor1 = '',
		this.headerColor2 = '',
		this.isShowHeader = '',
		this.leftTitle = '',
		this.leftTitleVn = '',
		this.isShowLeftTitle = '',
		this.isShowModel = '',
		this.isShowGrade = '',
		this.isShowSequence = '',
		this.isShowBody = '',
		this.isShowLotNo = '',
		this.isShowColor = '',
		this.isActive = '',</v>
      </c>
      <c r="V13" s="31" t="str">
        <f ca="1">TEXTJOIN2("
",TRUE,INDIRECT(V11):INDIRECT(V12))</f>
        <v>isShowHeader
isShowLeftTitle
isShowModel
isShowGrade
isShowSequence
isShowBody
isShowLotNo
isShowColor
isActive</v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spsassemblyscreenconfig.component.ts</v>
      </c>
      <c r="I14" s="40" t="str">
        <f>B8&amp;".component.html"</f>
        <v>spsassemblyscreenconfig.component.html</v>
      </c>
      <c r="J14" s="39" t="str">
        <f>B8&amp;".component.less"</f>
        <v>spsassemblyscreenconfig.component.less</v>
      </c>
      <c r="K14" s="40" t="str">
        <f>"create-or-edit-"&amp;B8&amp;"-modal.component.html"</f>
        <v>create-or-edit-spsassemblyscreenconfig-modal.component.html</v>
      </c>
      <c r="L14" s="40" t="str">
        <f>"create-or-edit-"&amp;B8&amp;"-modal.component.ts"</f>
        <v>create-or-edit-spsassemblyscreenconfig-modal.component.ts</v>
      </c>
      <c r="M14" s="40" t="str">
        <f>"create-or-edit-"&amp;B8&amp;"-modal.component.less"</f>
        <v>create-or-edit-spsassemblyscreenconfig-modal.component.less</v>
      </c>
      <c r="N14" s="40" t="str">
        <f>B8&amp;".module.ts"</f>
        <v>spsassemblyscreenconfig.module.ts</v>
      </c>
      <c r="O14" s="40" t="str">
        <f>B8&amp;"-routing.module.ts"</f>
        <v>spsassemblyscreenconfig-routing.module.ts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8" customHeight="1" x14ac:dyDescent="0.25">
      <c r="A15" s="31" t="s">
        <v>329</v>
      </c>
      <c r="B15" s="31" t="str">
        <f t="shared" ref="B15" si="0">SUBSTITUTE(PROPER(A15),"_","")</f>
        <v>ScreenCode</v>
      </c>
      <c r="C15" s="31" t="str">
        <f t="shared" ref="C15" si="1">SUBSTITUTE(PROPER(A15),"_"," ")</f>
        <v>Screen Code</v>
      </c>
      <c r="D15" s="31" t="str">
        <f t="shared" ref="D15" si="2">LOWER(LEFT(B15,1))&amp;RIGHT(B15,LEN(B15) - 1)</f>
        <v>screenCode</v>
      </c>
      <c r="E15" s="31" t="str">
        <f>A.Backend!H9</f>
        <v>string</v>
      </c>
      <c r="F15" s="31" t="str">
        <f>A.Backend!G9</f>
        <v>50</v>
      </c>
      <c r="G15" s="31" t="str">
        <f t="shared" ref="G15" si="3">IF(E15="string"," : string = '' ; ",IF(OR(E15="DateTime",E15="TimeSpan")," : any ;",IF(E15="int"," : number = 0 ;","")))</f>
        <v xml:space="preserve"> : string = '' ; </v>
      </c>
      <c r="H15" s="38" t="str">
        <f t="shared" ref="H15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this.l('Screen Code'),headerTooltip: this.l('Screen Code'),field: 'screenCode',flex: 1},</v>
      </c>
      <c r="I15" s="38" t="str">
        <f t="shared" ref="I15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[(ngModel)]='screenCode' name='screenCode'
									class='form-control' [placeholder]="l('Screen Code')"
									type='text' (keyup.enter)='searchDatas()'&gt;
								&lt;/div&gt;</v>
      </c>
      <c r="J15" s="31"/>
      <c r="K15" s="38" t="str">
        <f t="shared" ref="K15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title'&gt;Screen Code&lt;/label&gt;
						&lt;input type='text' class='col-md-10 form-control input-text' name='ScreenCode' [(ngModel)]='rowdata.screenCode'&gt;
					&lt;/div&gt;</v>
      </c>
      <c r="L15" s="60" t="str">
        <f t="shared" ref="L15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 t="shared" ref="S15" si="8">REPT(CHAR(9),1)&amp;D15&amp;G15</f>
        <v xml:space="preserve">	screenCode : string = '' ; </v>
      </c>
      <c r="T15" s="31" t="str">
        <f t="shared" ref="T15" si="9">REPT(CHAR(9),3)&amp;"this."&amp;D15&amp;","</f>
        <v xml:space="preserve">			this.screenCode,</v>
      </c>
      <c r="U15" s="31" t="str">
        <f t="shared" ref="U15" si="10">IF(E15="int",REPT(CHAR(9),2)&amp;"this."&amp;D15&amp;" = 0,",REPT(CHAR(9),2)&amp;"this."&amp;D15&amp;" = '',")</f>
        <v xml:space="preserve">		this.screenCode = '',</v>
      </c>
      <c r="V15" s="31" t="str">
        <f t="shared" ref="V15" si="11">IF(AND(E15="string",F15="1"),D15,"")</f>
        <v/>
      </c>
    </row>
    <row r="16" spans="1:22" ht="18" customHeight="1" x14ac:dyDescent="0.25">
      <c r="A16" s="31" t="s">
        <v>330</v>
      </c>
      <c r="B16" s="31" t="str">
        <f t="shared" ref="B16:B18" si="12">SUBSTITUTE(PROPER(A16),"_","")</f>
        <v>ScreenName</v>
      </c>
      <c r="C16" s="31" t="str">
        <f t="shared" ref="C16:C18" si="13">SUBSTITUTE(PROPER(A16),"_"," ")</f>
        <v>Screen Name</v>
      </c>
      <c r="D16" s="31" t="str">
        <f t="shared" ref="D16:D18" si="14">LOWER(LEFT(B16,1))&amp;RIGHT(B16,LEN(B16) - 1)</f>
        <v>screenName</v>
      </c>
      <c r="E16" s="31" t="str">
        <f>A.Backend!H10</f>
        <v>string</v>
      </c>
      <c r="F16" s="31" t="str">
        <f>A.Backend!G10</f>
        <v>50</v>
      </c>
      <c r="G16" s="31" t="str">
        <f t="shared" ref="G16:G18" si="15">IF(E16="string"," : string = '' ; ",IF(OR(E16="DateTime",E16="TimeSpan")," : any ;",IF(E16="int"," : number = 0 ;","")))</f>
        <v xml:space="preserve"> : string = '' ; </v>
      </c>
      <c r="H16" s="38" t="str">
        <f t="shared" ref="H16:H18" si="16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this.l('Screen Name'),headerTooltip: this.l('Screen Name'),field: 'screenName',flex: 1},</v>
      </c>
      <c r="I16" s="38" t="str">
        <f t="shared" ref="I16:I18" si="17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[(ngModel)]='screenName' name='screenName'
									class='form-control' [placeholder]="l('Screen Name')"
									type='text' (keyup.enter)='searchDatas()'&gt;
								&lt;/div&gt;</v>
      </c>
      <c r="J16" s="31"/>
      <c r="K16" s="38" t="str">
        <f t="shared" ref="K16:K18" si="18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title'&gt;Screen Name&lt;/label&gt;
						&lt;input type='text' class='col-md-10 form-control input-text' name='ScreenName' [(ngModel)]='rowdata.screenName'&gt;
					&lt;/div&gt;</v>
      </c>
      <c r="L16" s="60" t="str">
        <f t="shared" ref="L16:L18" si="19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 t="shared" ref="S16:S18" si="20">REPT(CHAR(9),1)&amp;D16&amp;G16</f>
        <v xml:space="preserve">	screenName : string = '' ; </v>
      </c>
      <c r="T16" s="31" t="str">
        <f t="shared" ref="T16:T18" si="21">REPT(CHAR(9),3)&amp;"this."&amp;D16&amp;","</f>
        <v xml:space="preserve">			this.screenName,</v>
      </c>
      <c r="U16" s="31" t="str">
        <f t="shared" ref="U16:U18" si="22">IF(E16="int",REPT(CHAR(9),2)&amp;"this."&amp;D16&amp;" = 0,",REPT(CHAR(9),2)&amp;"this."&amp;D16&amp;" = '',")</f>
        <v xml:space="preserve">		this.screenName = '',</v>
      </c>
      <c r="V16" s="31" t="str">
        <f t="shared" ref="V16:V18" si="23">IF(AND(E16="string",F16="1"),D16,"")</f>
        <v/>
      </c>
    </row>
    <row r="17" spans="1:22" ht="15" customHeight="1" x14ac:dyDescent="0.25">
      <c r="A17" s="31" t="s">
        <v>322</v>
      </c>
      <c r="B17" s="31" t="str">
        <f t="shared" si="12"/>
        <v>ProdLine</v>
      </c>
      <c r="C17" s="31" t="str">
        <f t="shared" si="13"/>
        <v>Prod Line</v>
      </c>
      <c r="D17" s="31" t="str">
        <f t="shared" si="14"/>
        <v>prodLine</v>
      </c>
      <c r="E17" s="31" t="str">
        <f>A.Backend!H11</f>
        <v>string</v>
      </c>
      <c r="F17" s="31" t="str">
        <f>A.Backend!G11</f>
        <v>50</v>
      </c>
      <c r="G17" s="31" t="str">
        <f t="shared" si="15"/>
        <v xml:space="preserve"> : string = '' ; </v>
      </c>
      <c r="H17" s="38" t="str">
        <f t="shared" si="16"/>
        <v xml:space="preserve">			{headerName: this.l('Prod Line'),headerTooltip: this.l('Prod Line'),field: 'prodLine',flex: 1},</v>
      </c>
      <c r="I17" s="38" t="str">
        <f t="shared" si="17"/>
        <v xml:space="preserve">								&lt;div class='input-search'&gt;
									&lt;input [(ngModel)]='prodLine' name='prodLine'
									class='form-control' [placeholder]="l('Prod Line')"
									type='text' (keyup.enter)='searchDatas()'&gt;
								&lt;/div&gt;</v>
      </c>
      <c r="J17" s="31"/>
      <c r="K17" s="38" t="str">
        <f t="shared" si="18"/>
        <v xml:space="preserve">					&lt;div class='col-md-12 form-group row'&gt;
						&lt;label class='col-md-2 form-control title'&gt;Prod Line&lt;/label&gt;
						&lt;input type='text' class='col-md-10 form-control input-text' name='ProdLine' [(ngModel)]='rowdata.prodLine'&gt;
					&lt;/div&gt;</v>
      </c>
      <c r="L17" s="60" t="str">
        <f t="shared" si="19"/>
        <v/>
      </c>
      <c r="M17" s="31"/>
      <c r="N17" s="31"/>
      <c r="O17" s="31"/>
      <c r="P17" s="31"/>
      <c r="Q17" s="31"/>
      <c r="R17" s="31"/>
      <c r="S17" s="31" t="str">
        <f t="shared" si="20"/>
        <v xml:space="preserve">	prodLine : string = '' ; </v>
      </c>
      <c r="T17" s="31" t="str">
        <f t="shared" si="21"/>
        <v xml:space="preserve">			this.prodLine,</v>
      </c>
      <c r="U17" s="31" t="str">
        <f t="shared" si="22"/>
        <v xml:space="preserve">		this.prodLine = '',</v>
      </c>
      <c r="V17" s="31" t="str">
        <f t="shared" si="23"/>
        <v/>
      </c>
    </row>
    <row r="18" spans="1:22" ht="15" customHeight="1" x14ac:dyDescent="0.25">
      <c r="A18" s="31" t="s">
        <v>328</v>
      </c>
      <c r="B18" s="31" t="str">
        <f t="shared" si="12"/>
        <v>ProcessGroup</v>
      </c>
      <c r="C18" s="31" t="str">
        <f t="shared" si="13"/>
        <v>Process Group</v>
      </c>
      <c r="D18" s="31" t="str">
        <f t="shared" si="14"/>
        <v>processGroup</v>
      </c>
      <c r="E18" s="31" t="str">
        <f>A.Backend!H12</f>
        <v>string</v>
      </c>
      <c r="F18" s="31" t="str">
        <f>A.Backend!G12</f>
        <v>50</v>
      </c>
      <c r="G18" s="31" t="str">
        <f t="shared" si="15"/>
        <v xml:space="preserve"> : string = '' ; </v>
      </c>
      <c r="H18" s="38" t="str">
        <f t="shared" si="16"/>
        <v xml:space="preserve">			{headerName: this.l('Process Group'),headerTooltip: this.l('Process Group'),field: 'processGroup',flex: 1},</v>
      </c>
      <c r="I18" s="38" t="str">
        <f t="shared" si="17"/>
        <v xml:space="preserve">								&lt;div class='input-search'&gt;
									&lt;input [(ngModel)]='processGroup' name='processGroup'
									class='form-control' [placeholder]="l('Process Group')"
									type='text' (keyup.enter)='searchDatas()'&gt;
								&lt;/div&gt;</v>
      </c>
      <c r="J18" s="31"/>
      <c r="K18" s="38" t="str">
        <f t="shared" si="18"/>
        <v xml:space="preserve">					&lt;div class='col-md-12 form-group row'&gt;
						&lt;label class='col-md-2 form-control title'&gt;Process Group&lt;/label&gt;
						&lt;input type='text' class='col-md-10 form-control input-text' name='ProcessGroup' [(ngModel)]='rowdata.processGroup'&gt;
					&lt;/div&gt;</v>
      </c>
      <c r="L18" s="60" t="str">
        <f t="shared" si="19"/>
        <v/>
      </c>
      <c r="M18" s="31"/>
      <c r="N18" s="31"/>
      <c r="O18" s="31"/>
      <c r="P18" s="31"/>
      <c r="Q18" s="31"/>
      <c r="R18" s="31"/>
      <c r="S18" s="31" t="str">
        <f t="shared" si="20"/>
        <v xml:space="preserve">	processGroup : string = '' ; </v>
      </c>
      <c r="T18" s="31" t="str">
        <f t="shared" si="21"/>
        <v xml:space="preserve">			this.processGroup,</v>
      </c>
      <c r="U18" s="31" t="str">
        <f t="shared" si="22"/>
        <v xml:space="preserve">		this.processGroup = '',</v>
      </c>
      <c r="V18" s="31" t="str">
        <f t="shared" si="23"/>
        <v/>
      </c>
    </row>
    <row r="19" spans="1:22" ht="15" customHeight="1" x14ac:dyDescent="0.25">
      <c r="A19" s="31" t="s">
        <v>331</v>
      </c>
      <c r="B19" s="31" t="str">
        <f>SUBSTITUTE(PROPER(A19),"_","")</f>
        <v>ProcessList</v>
      </c>
      <c r="C19" s="31" t="str">
        <f>SUBSTITUTE(PROPER(A19),"_"," ")</f>
        <v>Process List</v>
      </c>
      <c r="D19" s="31" t="str">
        <f>LOWER(LEFT(B19,1))&amp;RIGHT(B19,LEN(B19) - 1)</f>
        <v>processList</v>
      </c>
      <c r="E19" s="31" t="str">
        <f>A.Backend!H13</f>
        <v>string</v>
      </c>
      <c r="F19" s="31" t="str">
        <f>A.Backend!G13</f>
        <v>200</v>
      </c>
      <c r="G19" s="31" t="str">
        <f>IF(E19="string"," : string = '' ; ",IF(OR(E19="DateTime",E19="TimeSpan")," : any ;",IF(E19="int"," : number = 0 ;","")))</f>
        <v xml:space="preserve"> : string = '' ; </v>
      </c>
      <c r="H19" s="38" t="str">
        <f>IF(E19="DateTime",
REPT(CHAR(9),3)&amp;"{headerName: this.l('"&amp;C19&amp;"'),headerTooltip: this.l('"&amp;C19&amp;"'),field: '"&amp;D19&amp;"',valueGetter: (params) =&gt; this.pipe.transform(params.data?."&amp;D19&amp;", 'dd/MM/yyyy'),flex: 1},",
IF(AND(E19="string",F19="1"),
REPT(CHAR(9),3)&amp;"{headerName: this.l('"&amp;C19&amp;"'),headerTooltip: this.l('"&amp;C19&amp;"'),field:  '"&amp;D19&amp;"', cellClass: ['text-center'], width: 120, cellRenderer: 'agCellButtonComponent',
buttonDefTwo: { text: params =&gt; (params.data?.'"&amp;D19&amp;"' == 'Y') ? 'Active' : 'Inactive',iconName: 'fa fa-circle',className: params =&gt; (params.data?.'"&amp;D19&amp;"' == 'Y') ? 'btnActive' : 'btnInActive',},}",
REPT(CHAR(9),3)&amp;"{headerName: this.l('"&amp;C19&amp;"'),headerTooltip: this.l('"&amp;C19&amp;"'),field: '"&amp;D19&amp;"',flex: 1},"))</f>
        <v xml:space="preserve">			{headerName: this.l('Process List'),headerTooltip: this.l('Process List'),field: 'processList',flex: 1},</v>
      </c>
      <c r="I19" s="38" t="str">
        <f>IF(E19="DateTime",
REPT(CHAR(9),8)&amp;"&lt;div class='input-search'&gt;
"&amp;REPT(CHAR(9),9)&amp;"&lt;input type='text' [placeholder]=""l('"&amp;C19&amp;"')"" [(ngModel)]='"&amp;D19&amp;"' 
"&amp;REPT(CHAR(9),9)&amp;"name='"&amp;D19&amp;"'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IF(E19="string",
REPT(CHAR(9),8)&amp;"&lt;div class='input-search'&gt;
"&amp;REPT(CHAR(9),9)&amp;"&lt;input [(ngModel)]='"&amp;D19&amp;"' name='"&amp;D19&amp;"'
"&amp;REPT(CHAR(9),9)&amp;"class='form-control' [placeholder]=""l('"&amp;C19&amp;"')""
"&amp;REPT(CHAR(9),9)&amp;"type='text' (keyup.enter)='searchDatas()'&gt;
"&amp;REPT(CHAR(9),8)&amp;"&lt;/div&gt;",""))</f>
        <v xml:space="preserve">								&lt;div class='input-search'&gt;
									&lt;input [(ngModel)]='processList' name='processList'
									class='form-control' [placeholder]="l('Process List')"
									type='text' (keyup.enter)='searchDatas()'&gt;
								&lt;/div&gt;</v>
      </c>
      <c r="J19" s="31"/>
      <c r="K19" s="38" t="str">
        <f>IF(OR(E19="DateTime",E19="TimeSpan"),
REPT(CHAR(9),5)&amp;"&lt;div class='col-md-12 form-group row'&gt;
"&amp;REPT(CHAR(9),6)&amp;"&lt;label class='col-md-2 form-control title'&gt;"&amp;C19&amp;"&lt;/label&gt;
"&amp;REPT(CHAR(9),6)&amp;"&lt;input type='text' class='col-md-10 form-control input-text' name='"&amp;D19&amp;"' 
"&amp;REPT(CHAR(9),6)&amp;"#datepicker='bsDatepicker' [(ngModel)]='rowdata."&amp;D19&amp;"'  bsDatepicker &gt;
"&amp;REPT(CHAR(9),5)&amp;"&lt;/div&gt;",
IF(AND(E19="string",F19="1"),
REPT(CHAR(9),5)&amp;"&lt;div class='col-md-12 form-group row'&gt;
"&amp;REPT(CHAR(9),6)&amp;"&lt;label class='col-md-2 form-control title'&gt;"&amp;C19&amp;"&lt;/label&gt;
"&amp;REPT(CHAR(9),6)&amp;"&lt;new-checkbox [(ngModel)]='_"&amp;D19&amp;"' name='"&amp;D19&amp;"' className='col-md-10' &gt; &lt;/new-checkbox&gt;
"&amp;REPT(CHAR(9),5)&amp;"&lt;/div&gt;",
IF(E19="string",
REPT(CHAR(9),5)&amp;"&lt;div class='col-md-12 form-group row'&gt;
"&amp;REPT(CHAR(9),6)&amp;"&lt;label class='col-md-2 form-control title'&gt;"&amp;C19&amp;"&lt;/label&gt;
"&amp;REPT(CHAR(9),6)&amp;"&lt;input type='text' class='col-md-10 form-control input-text' name='"&amp;B19&amp;"' [(ngModel)]='rowdata."&amp;D19&amp;"'&gt;
"&amp;REPT(CHAR(9),5)&amp;"&lt;/div&gt;",
IF(E19="int",
REPT(CHAR(9),5)&amp;"&lt;div class='col-md-12 form-group row'&gt;
"&amp;REPT(CHAR(9),6)&amp;"&lt;label class='col-md-2 form-control title'&gt;"&amp;C19&amp;"&lt;/label&gt;
"&amp;REPT(CHAR(9),6)&amp;"&lt;input type='number' class='col-md-10 form-control input-text' name='"&amp;B19&amp;"' [(ngModel)]='rowdata."&amp;D19&amp;"'&gt;
"&amp;REPT(CHAR(9),5)&amp;"&lt;/div&gt;",""))))</f>
        <v xml:space="preserve">					&lt;div class='col-md-12 form-group row'&gt;
						&lt;label class='col-md-2 form-control title'&gt;Process List&lt;/label&gt;
						&lt;input type='text' class='col-md-10 form-control input-text' name='ProcessList' [(ngModel)]='rowdata.processList'&gt;
					&lt;/div&gt;</v>
      </c>
      <c r="L19" s="60" t="str">
        <f>IF(E19="DateTime",
REPT(CHAR(9),2)&amp;"const dateValue =  this.rowdata."&amp;D19&amp;" ? new Date(this.rowdata."&amp;D19&amp;"?.toString()) : new Date();
"&amp;REPT(CHAR(9),2)&amp;"this.datepicker?.bsValueChange.emit(dateValue);","")</f>
        <v/>
      </c>
      <c r="M19" s="31"/>
      <c r="N19" s="31"/>
      <c r="O19" s="31"/>
      <c r="P19" s="31"/>
      <c r="Q19" s="31"/>
      <c r="R19" s="31"/>
      <c r="S19" s="31" t="str">
        <f>REPT(CHAR(9),1)&amp;D19&amp;G19</f>
        <v xml:space="preserve">	processList : string = '' ; </v>
      </c>
      <c r="T19" s="31" t="str">
        <f>REPT(CHAR(9),3)&amp;"this."&amp;D19&amp;","</f>
        <v xml:space="preserve">			this.processList,</v>
      </c>
      <c r="U19" s="31" t="str">
        <f>IF(E19="int",REPT(CHAR(9),2)&amp;"this."&amp;D19&amp;" = 0,",REPT(CHAR(9),2)&amp;"this."&amp;D19&amp;" = '',")</f>
        <v xml:space="preserve">		this.processList = '',</v>
      </c>
      <c r="V19" s="31" t="str">
        <f>IF(AND(E19="string",F19="1"),D19,"")</f>
        <v/>
      </c>
    </row>
    <row r="20" spans="1:22" ht="15" customHeight="1" x14ac:dyDescent="0.25">
      <c r="A20" s="31" t="s">
        <v>350</v>
      </c>
      <c r="B20" s="31" t="str">
        <f>SUBSTITUTE(PROPER(A20),"_","")</f>
        <v>BlinkProcessList</v>
      </c>
      <c r="C20" s="31" t="str">
        <f>SUBSTITUTE(PROPER(A20),"_"," ")</f>
        <v>Blink Process List</v>
      </c>
      <c r="D20" s="31" t="str">
        <f>LOWER(LEFT(B20,1))&amp;RIGHT(B20,LEN(B20) - 1)</f>
        <v>blinkProcessList</v>
      </c>
      <c r="E20" s="31" t="str">
        <f>A.Backend!H14</f>
        <v>string</v>
      </c>
      <c r="F20" s="31" t="str">
        <f>A.Backend!G14</f>
        <v>200</v>
      </c>
      <c r="G20" s="31" t="str">
        <f>IF(E20="string"," : string = '' ; ",IF(OR(E20="DateTime",E20="TimeSpan")," : any ;",IF(E20="int"," : number = 0 ;","")))</f>
        <v xml:space="preserve"> : string = '' ; </v>
      </c>
      <c r="H20" s="38" t="str">
        <f>IF(E20="DateTime",
REPT(CHAR(9),3)&amp;"{headerName: this.l('"&amp;C20&amp;"'),headerTooltip: this.l('"&amp;C20&amp;"'),field: '"&amp;D20&amp;"',valueGetter: (params) =&gt; this.pipe.transform(params.data?."&amp;D20&amp;", 'dd/MM/yyyy'),flex: 1},",
IF(AND(E20="string",F20="1"),
REPT(CHAR(9),3)&amp;"{headerName: this.l('"&amp;C20&amp;"'),headerTooltip: this.l('"&amp;C20&amp;"'),field:  '"&amp;D20&amp;"', cellClass: ['text-center'], width: 120, cellRenderer: 'agCellButtonComponent',
buttonDefTwo: { text: params =&gt; (params.data?.'"&amp;D20&amp;"' == 'Y') ? 'Active' : 'Inactive',iconName: 'fa fa-circle',className: params =&gt; (params.data?.'"&amp;D20&amp;"' == 'Y') ? 'btnActive' : 'btnInActive',},}",
REPT(CHAR(9),3)&amp;"{headerName: this.l('"&amp;C20&amp;"'),headerTooltip: this.l('"&amp;C20&amp;"'),field: '"&amp;D20&amp;"',flex: 1},"))</f>
        <v xml:space="preserve">			{headerName: this.l('Blink Process List'),headerTooltip: this.l('Blink Process List'),field: 'blinkProcessList',flex: 1},</v>
      </c>
      <c r="I20" s="38" t="str">
        <f>IF(E20="DateTime",
REPT(CHAR(9),8)&amp;"&lt;div class='input-search'&gt;
"&amp;REPT(CHAR(9),9)&amp;"&lt;input type='text' [placeholder]=""l('"&amp;C20&amp;"')"" [(ngModel)]='"&amp;D20&amp;"' 
"&amp;REPT(CHAR(9),9)&amp;"name='"&amp;D20&amp;"'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IF(E20="string",
REPT(CHAR(9),8)&amp;"&lt;div class='input-search'&gt;
"&amp;REPT(CHAR(9),9)&amp;"&lt;input [(ngModel)]='"&amp;D20&amp;"' name='"&amp;D20&amp;"'
"&amp;REPT(CHAR(9),9)&amp;"class='form-control' [placeholder]=""l('"&amp;C20&amp;"')""
"&amp;REPT(CHAR(9),9)&amp;"type='text' (keyup.enter)='searchDatas()'&gt;
"&amp;REPT(CHAR(9),8)&amp;"&lt;/div&gt;",""))</f>
        <v xml:space="preserve">								&lt;div class='input-search'&gt;
									&lt;input [(ngModel)]='blinkProcessList' name='blinkProcessList'
									class='form-control' [placeholder]="l('Blink Process List')"
									type='text' (keyup.enter)='searchDatas()'&gt;
								&lt;/div&gt;</v>
      </c>
      <c r="J20" s="31"/>
      <c r="K20" s="38" t="str">
        <f>IF(OR(E20="DateTime",E20="TimeSpan"),
REPT(CHAR(9),5)&amp;"&lt;div class='col-md-12 form-group row'&gt;
"&amp;REPT(CHAR(9),6)&amp;"&lt;label class='col-md-2 form-control title'&gt;"&amp;C20&amp;"&lt;/label&gt;
"&amp;REPT(CHAR(9),6)&amp;"&lt;input type='text' class='col-md-10 form-control input-text' name='"&amp;D20&amp;"' 
"&amp;REPT(CHAR(9),6)&amp;"#datepicker='bsDatepicker' [(ngModel)]='rowdata."&amp;D20&amp;"'  bsDatepicker &gt;
"&amp;REPT(CHAR(9),5)&amp;"&lt;/div&gt;",
IF(AND(E20="string",F20="1"),
REPT(CHAR(9),5)&amp;"&lt;div class='col-md-12 form-group row'&gt;
"&amp;REPT(CHAR(9),6)&amp;"&lt;label class='col-md-2 form-control title'&gt;"&amp;C20&amp;"&lt;/label&gt;
"&amp;REPT(CHAR(9),6)&amp;"&lt;new-checkbox [(ngModel)]='_"&amp;D20&amp;"' name='"&amp;D20&amp;"' className='col-md-10' &gt; &lt;/new-checkbox&gt;
"&amp;REPT(CHAR(9),5)&amp;"&lt;/div&gt;",
IF(E20="string",
REPT(CHAR(9),5)&amp;"&lt;div class='col-md-12 form-group row'&gt;
"&amp;REPT(CHAR(9),6)&amp;"&lt;label class='col-md-2 form-control title'&gt;"&amp;C20&amp;"&lt;/label&gt;
"&amp;REPT(CHAR(9),6)&amp;"&lt;input type='text' class='col-md-10 form-control input-text' name='"&amp;B20&amp;"' [(ngModel)]='rowdata."&amp;D20&amp;"'&gt;
"&amp;REPT(CHAR(9),5)&amp;"&lt;/div&gt;",
IF(E20="int",
REPT(CHAR(9),5)&amp;"&lt;div class='col-md-12 form-group row'&gt;
"&amp;REPT(CHAR(9),6)&amp;"&lt;label class='col-md-2 form-control title'&gt;"&amp;C20&amp;"&lt;/label&gt;
"&amp;REPT(CHAR(9),6)&amp;"&lt;input type='number' class='col-md-10 form-control input-text' name='"&amp;B20&amp;"' [(ngModel)]='rowdata."&amp;D20&amp;"'&gt;
"&amp;REPT(CHAR(9),5)&amp;"&lt;/div&gt;",""))))</f>
        <v xml:space="preserve">					&lt;div class='col-md-12 form-group row'&gt;
						&lt;label class='col-md-2 form-control title'&gt;Blink Process List&lt;/label&gt;
						&lt;input type='text' class='col-md-10 form-control input-text' name='BlinkProcessList' [(ngModel)]='rowdata.blinkProcessList'&gt;
					&lt;/div&gt;</v>
      </c>
      <c r="L20" s="60" t="str">
        <f>IF(E20="DateTime",
REPT(CHAR(9),2)&amp;"const dateValue =  this.rowdata."&amp;D20&amp;" ? new Date(this.rowdata."&amp;D20&amp;"?.toString()) : new Date();
"&amp;REPT(CHAR(9),2)&amp;"this.datepicker?.bsValueChange.emit(dateValue);","")</f>
        <v/>
      </c>
      <c r="M20" s="31"/>
      <c r="N20" s="31"/>
      <c r="O20" s="31"/>
      <c r="P20" s="31"/>
      <c r="Q20" s="31"/>
      <c r="R20" s="31"/>
      <c r="S20" s="31" t="str">
        <f>REPT(CHAR(9),1)&amp;D20&amp;G20</f>
        <v xml:space="preserve">	blinkProcessList : string = '' ; </v>
      </c>
      <c r="T20" s="31" t="str">
        <f>REPT(CHAR(9),3)&amp;"this."&amp;D20&amp;","</f>
        <v xml:space="preserve">			this.blinkProcessList,</v>
      </c>
      <c r="U20" s="31" t="str">
        <f>IF(E20="int",REPT(CHAR(9),2)&amp;"this."&amp;D20&amp;" = 0,",REPT(CHAR(9),2)&amp;"this."&amp;D20&amp;" = '',")</f>
        <v xml:space="preserve">		this.blinkProcessList = '',</v>
      </c>
      <c r="V20" s="31" t="str">
        <f>IF(AND(E20="string",F20="1"),D20,"")</f>
        <v/>
      </c>
    </row>
    <row r="21" spans="1:22" ht="15" customHeight="1" x14ac:dyDescent="0.25">
      <c r="A21" s="31" t="s">
        <v>332</v>
      </c>
      <c r="B21" s="31" t="str">
        <f t="shared" ref="B21" si="24">SUBSTITUTE(PROPER(A21),"_","")</f>
        <v>HeaderList</v>
      </c>
      <c r="C21" s="31" t="str">
        <f t="shared" ref="C21" si="25">SUBSTITUTE(PROPER(A21),"_"," ")</f>
        <v>Header List</v>
      </c>
      <c r="D21" s="31" t="str">
        <f t="shared" ref="D21" si="26">LOWER(LEFT(B21,1))&amp;RIGHT(B21,LEN(B21) - 1)</f>
        <v>headerList</v>
      </c>
      <c r="E21" s="31" t="str">
        <f>A.Backend!H15</f>
        <v>string</v>
      </c>
      <c r="F21" s="31" t="str">
        <f>A.Backend!G15</f>
        <v>200</v>
      </c>
      <c r="G21" s="31" t="str">
        <f t="shared" ref="G21" si="27">IF(E21="string"," : string = '' ; ",IF(OR(E21="DateTime",E21="TimeSpan")," : any ;",IF(E21="int"," : number = 0 ;","")))</f>
        <v xml:space="preserve"> : string = '' ; </v>
      </c>
      <c r="H21" s="38" t="str">
        <f t="shared" ref="H21" si="28">IF(E21="DateTime",
REPT(CHAR(9),3)&amp;"{headerName: this.l('"&amp;C21&amp;"'),headerTooltip: this.l('"&amp;C21&amp;"'),field: '"&amp;D21&amp;"',valueGetter: (params) =&gt; this.pipe.transform(params.data?."&amp;D21&amp;", 'dd/MM/yyyy'),flex: 1},",
IF(AND(E21="string",F21="1"),
REPT(CHAR(9),3)&amp;"{headerName: this.l('"&amp;C21&amp;"'),headerTooltip: this.l('"&amp;C21&amp;"'),field:  '"&amp;D21&amp;"', cellClass: ['text-center'], width: 120, cellRenderer: 'agCellButtonComponent',
buttonDefTwo: { text: params =&gt; (params.data?.'"&amp;D21&amp;"' == 'Y') ? 'Active' : 'Inactive',iconName: 'fa fa-circle',className: params =&gt; (params.data?.'"&amp;D21&amp;"' == 'Y') ? 'btnActive' : 'btnInActive',},}",
REPT(CHAR(9),3)&amp;"{headerName: this.l('"&amp;C21&amp;"'),headerTooltip: this.l('"&amp;C21&amp;"'),field: '"&amp;D21&amp;"',flex: 1},"))</f>
        <v xml:space="preserve">			{headerName: this.l('Header List'),headerTooltip: this.l('Header List'),field: 'headerList',flex: 1},</v>
      </c>
      <c r="I21" s="38" t="str">
        <f t="shared" ref="I21" si="29">IF(E21="DateTime",
REPT(CHAR(9),8)&amp;"&lt;div class='input-search'&gt;
"&amp;REPT(CHAR(9),9)&amp;"&lt;input type='text' [placeholder]=""l('"&amp;C21&amp;"')"" [(ngModel)]='"&amp;D21&amp;"' 
"&amp;REPT(CHAR(9),9)&amp;"name='"&amp;D21&amp;"'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IF(E21="string",
REPT(CHAR(9),8)&amp;"&lt;div class='input-search'&gt;
"&amp;REPT(CHAR(9),9)&amp;"&lt;input [(ngModel)]='"&amp;D21&amp;"' name='"&amp;D21&amp;"'
"&amp;REPT(CHAR(9),9)&amp;"class='form-control' [placeholder]=""l('"&amp;C21&amp;"')""
"&amp;REPT(CHAR(9),9)&amp;"type='text' (keyup.enter)='searchDatas()'&gt;
"&amp;REPT(CHAR(9),8)&amp;"&lt;/div&gt;",""))</f>
        <v xml:space="preserve">								&lt;div class='input-search'&gt;
									&lt;input [(ngModel)]='headerList' name='headerList'
									class='form-control' [placeholder]="l('Header List')"
									type='text' (keyup.enter)='searchDatas()'&gt;
								&lt;/div&gt;</v>
      </c>
      <c r="J21" s="31"/>
      <c r="K21" s="38" t="str">
        <f t="shared" ref="K21" si="30">IF(OR(E21="DateTime",E21="TimeSpan"),
REPT(CHAR(9),5)&amp;"&lt;div class='col-md-12 form-group row'&gt;
"&amp;REPT(CHAR(9),6)&amp;"&lt;label class='col-md-2 form-control title'&gt;"&amp;C21&amp;"&lt;/label&gt;
"&amp;REPT(CHAR(9),6)&amp;"&lt;input type='text' class='col-md-10 form-control input-text' name='"&amp;D21&amp;"' 
"&amp;REPT(CHAR(9),6)&amp;"#datepicker='bsDatepicker' [(ngModel)]='rowdata."&amp;D21&amp;"'  bsDatepicker &gt;
"&amp;REPT(CHAR(9),5)&amp;"&lt;/div&gt;",
IF(AND(E21="string",F21="1"),
REPT(CHAR(9),5)&amp;"&lt;div class='col-md-12 form-group row'&gt;
"&amp;REPT(CHAR(9),6)&amp;"&lt;label class='col-md-2 form-control title'&gt;"&amp;C21&amp;"&lt;/label&gt;
"&amp;REPT(CHAR(9),6)&amp;"&lt;new-checkbox [(ngModel)]='_"&amp;D21&amp;"' name='"&amp;D21&amp;"' className='col-md-10' &gt; &lt;/new-checkbox&gt;
"&amp;REPT(CHAR(9),5)&amp;"&lt;/div&gt;",
IF(E21="string",
REPT(CHAR(9),5)&amp;"&lt;div class='col-md-12 form-group row'&gt;
"&amp;REPT(CHAR(9),6)&amp;"&lt;label class='col-md-2 form-control title'&gt;"&amp;C21&amp;"&lt;/label&gt;
"&amp;REPT(CHAR(9),6)&amp;"&lt;input type='text' class='col-md-10 form-control input-text' name='"&amp;B21&amp;"' [(ngModel)]='rowdata."&amp;D21&amp;"'&gt;
"&amp;REPT(CHAR(9),5)&amp;"&lt;/div&gt;",
IF(E21="int",
REPT(CHAR(9),5)&amp;"&lt;div class='col-md-12 form-group row'&gt;
"&amp;REPT(CHAR(9),6)&amp;"&lt;label class='col-md-2 form-control title'&gt;"&amp;C21&amp;"&lt;/label&gt;
"&amp;REPT(CHAR(9),6)&amp;"&lt;input type='number' class='col-md-10 form-control input-text' name='"&amp;B21&amp;"' [(ngModel)]='rowdata."&amp;D21&amp;"'&gt;
"&amp;REPT(CHAR(9),5)&amp;"&lt;/div&gt;",""))))</f>
        <v xml:space="preserve">					&lt;div class='col-md-12 form-group row'&gt;
						&lt;label class='col-md-2 form-control title'&gt;Header List&lt;/label&gt;
						&lt;input type='text' class='col-md-10 form-control input-text' name='HeaderList' [(ngModel)]='rowdata.headerList'&gt;
					&lt;/div&gt;</v>
      </c>
      <c r="L21" s="60" t="str">
        <f t="shared" ref="L21" si="31">IF(E21="DateTime",
REPT(CHAR(9),2)&amp;"const dateValue =  this.rowdata."&amp;D21&amp;" ? new Date(this.rowdata."&amp;D21&amp;"?.toString()) : new Date();
"&amp;REPT(CHAR(9),2)&amp;"this.datepicker?.bsValueChange.emit(dateValue);","")</f>
        <v/>
      </c>
      <c r="M21" s="31"/>
      <c r="N21" s="31"/>
      <c r="O21" s="31"/>
      <c r="P21" s="31"/>
      <c r="Q21" s="31"/>
      <c r="R21" s="31"/>
      <c r="S21" s="31" t="str">
        <f t="shared" ref="S21" si="32">REPT(CHAR(9),1)&amp;D21&amp;G21</f>
        <v xml:space="preserve">	headerList : string = '' ; </v>
      </c>
      <c r="T21" s="31" t="str">
        <f t="shared" ref="T21" si="33">REPT(CHAR(9),3)&amp;"this."&amp;D21&amp;","</f>
        <v xml:space="preserve">			this.headerList,</v>
      </c>
      <c r="U21" s="31" t="str">
        <f t="shared" ref="U21" si="34">IF(E21="int",REPT(CHAR(9),2)&amp;"this."&amp;D21&amp;" = 0,",REPT(CHAR(9),2)&amp;"this."&amp;D21&amp;" = '',")</f>
        <v xml:space="preserve">		this.headerList = '',</v>
      </c>
      <c r="V21" s="31" t="str">
        <f t="shared" ref="V21" si="35">IF(AND(E21="string",F21="1"),D21,"")</f>
        <v/>
      </c>
    </row>
    <row r="22" spans="1:22" ht="15" customHeight="1" x14ac:dyDescent="0.25">
      <c r="A22" s="31" t="s">
        <v>341</v>
      </c>
      <c r="B22" s="31" t="str">
        <f t="shared" ref="B22" si="36">SUBSTITUTE(PROPER(A22),"_","")</f>
        <v>HeaderColor1</v>
      </c>
      <c r="C22" s="31" t="str">
        <f t="shared" ref="C22" si="37">SUBSTITUTE(PROPER(A22),"_"," ")</f>
        <v>Header Color 1</v>
      </c>
      <c r="D22" s="31" t="str">
        <f t="shared" ref="D22" si="38">LOWER(LEFT(B22,1))&amp;RIGHT(B22,LEN(B22) - 1)</f>
        <v>headerColor1</v>
      </c>
      <c r="E22" s="31" t="str">
        <f>A.Backend!H16</f>
        <v>string</v>
      </c>
      <c r="F22" s="31" t="str">
        <f>A.Backend!G16</f>
        <v>50</v>
      </c>
      <c r="G22" s="31" t="str">
        <f t="shared" ref="G22" si="39">IF(E22="string"," : string = '' ; ",IF(OR(E22="DateTime",E22="TimeSpan")," : any ;",IF(E22="int"," : number = 0 ;","")))</f>
        <v xml:space="preserve"> : string = '' ; </v>
      </c>
      <c r="H22" s="38" t="str">
        <f t="shared" ref="H22" si="40">IF(E22="DateTime",
REPT(CHAR(9),3)&amp;"{headerName: this.l('"&amp;C22&amp;"'),headerTooltip: this.l('"&amp;C22&amp;"'),field: '"&amp;D22&amp;"',valueGetter: (params) =&gt; this.pipe.transform(params.data?."&amp;D22&amp;", 'dd/MM/yyyy'),flex: 1},",
IF(AND(E22="string",F22="1"),
REPT(CHAR(9),3)&amp;"{headerName: this.l('"&amp;C22&amp;"'),headerTooltip: this.l('"&amp;C22&amp;"'),field:  '"&amp;D22&amp;"', cellClass: ['text-center'], width: 120, cellRenderer: 'agCellButtonComponent',
buttonDefTwo: { text: params =&gt; (params.data?.'"&amp;D22&amp;"' == 'Y') ? 'Active' : 'Inactive',iconName: 'fa fa-circle',className: params =&gt; (params.data?.'"&amp;D22&amp;"' == 'Y') ? 'btnActive' : 'btnInActive',},}",
REPT(CHAR(9),3)&amp;"{headerName: this.l('"&amp;C22&amp;"'),headerTooltip: this.l('"&amp;C22&amp;"'),field: '"&amp;D22&amp;"',flex: 1},"))</f>
        <v xml:space="preserve">			{headerName: this.l('Header Color 1'),headerTooltip: this.l('Header Color 1'),field: 'headerColor1',flex: 1},</v>
      </c>
      <c r="I22" s="38" t="str">
        <f t="shared" ref="I22" si="41">IF(E22="DateTime",
REPT(CHAR(9),8)&amp;"&lt;div class='input-search'&gt;
"&amp;REPT(CHAR(9),9)&amp;"&lt;input type='text' [placeholder]=""l('"&amp;C22&amp;"')"" [(ngModel)]='"&amp;D22&amp;"' 
"&amp;REPT(CHAR(9),9)&amp;"name='"&amp;D22&amp;"'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IF(E22="string",
REPT(CHAR(9),8)&amp;"&lt;div class='input-search'&gt;
"&amp;REPT(CHAR(9),9)&amp;"&lt;input [(ngModel)]='"&amp;D22&amp;"' name='"&amp;D22&amp;"'
"&amp;REPT(CHAR(9),9)&amp;"class='form-control' [placeholder]=""l('"&amp;C22&amp;"')""
"&amp;REPT(CHAR(9),9)&amp;"type='text' (keyup.enter)='searchDatas()'&gt;
"&amp;REPT(CHAR(9),8)&amp;"&lt;/div&gt;",""))</f>
        <v xml:space="preserve">								&lt;div class='input-search'&gt;
									&lt;input [(ngModel)]='headerColor1' name='headerColor1'
									class='form-control' [placeholder]="l('Header Color 1')"
									type='text' (keyup.enter)='searchDatas()'&gt;
								&lt;/div&gt;</v>
      </c>
      <c r="J22" s="31"/>
      <c r="K22" s="38" t="str">
        <f t="shared" ref="K22" si="42">IF(OR(E22="DateTime",E22="TimeSpan"),
REPT(CHAR(9),5)&amp;"&lt;div class='col-md-12 form-group row'&gt;
"&amp;REPT(CHAR(9),6)&amp;"&lt;label class='col-md-2 form-control title'&gt;"&amp;C22&amp;"&lt;/label&gt;
"&amp;REPT(CHAR(9),6)&amp;"&lt;input type='text' class='col-md-10 form-control input-text' name='"&amp;D22&amp;"' 
"&amp;REPT(CHAR(9),6)&amp;"#datepicker='bsDatepicker' [(ngModel)]='rowdata."&amp;D22&amp;"'  bsDatepicker &gt;
"&amp;REPT(CHAR(9),5)&amp;"&lt;/div&gt;",
IF(AND(E22="string",F22="1"),
REPT(CHAR(9),5)&amp;"&lt;div class='col-md-12 form-group row'&gt;
"&amp;REPT(CHAR(9),6)&amp;"&lt;label class='col-md-2 form-control title'&gt;"&amp;C22&amp;"&lt;/label&gt;
"&amp;REPT(CHAR(9),6)&amp;"&lt;new-checkbox [(ngModel)]='_"&amp;D22&amp;"' name='"&amp;D22&amp;"' className='col-md-10' &gt; &lt;/new-checkbox&gt;
"&amp;REPT(CHAR(9),5)&amp;"&lt;/div&gt;",
IF(E22="string",
REPT(CHAR(9),5)&amp;"&lt;div class='col-md-12 form-group row'&gt;
"&amp;REPT(CHAR(9),6)&amp;"&lt;label class='col-md-2 form-control title'&gt;"&amp;C22&amp;"&lt;/label&gt;
"&amp;REPT(CHAR(9),6)&amp;"&lt;input type='text' class='col-md-10 form-control input-text' name='"&amp;B22&amp;"' [(ngModel)]='rowdata."&amp;D22&amp;"'&gt;
"&amp;REPT(CHAR(9),5)&amp;"&lt;/div&gt;",
IF(E22="int",
REPT(CHAR(9),5)&amp;"&lt;div class='col-md-12 form-group row'&gt;
"&amp;REPT(CHAR(9),6)&amp;"&lt;label class='col-md-2 form-control title'&gt;"&amp;C22&amp;"&lt;/label&gt;
"&amp;REPT(CHAR(9),6)&amp;"&lt;input type='number' class='col-md-10 form-control input-text' name='"&amp;B22&amp;"' [(ngModel)]='rowdata."&amp;D22&amp;"'&gt;
"&amp;REPT(CHAR(9),5)&amp;"&lt;/div&gt;",""))))</f>
        <v xml:space="preserve">					&lt;div class='col-md-12 form-group row'&gt;
						&lt;label class='col-md-2 form-control title'&gt;Header Color 1&lt;/label&gt;
						&lt;input type='text' class='col-md-10 form-control input-text' name='HeaderColor1' [(ngModel)]='rowdata.headerColor1'&gt;
					&lt;/div&gt;</v>
      </c>
      <c r="L22" s="60" t="str">
        <f t="shared" ref="L22" si="43"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31"/>
      <c r="N22" s="31"/>
      <c r="O22" s="31"/>
      <c r="P22" s="31"/>
      <c r="Q22" s="31"/>
      <c r="R22" s="31"/>
      <c r="S22" s="31" t="str">
        <f t="shared" ref="S22" si="44">REPT(CHAR(9),1)&amp;D22&amp;G22</f>
        <v xml:space="preserve">	headerColor1 : string = '' ; </v>
      </c>
      <c r="T22" s="31" t="str">
        <f t="shared" ref="T22" si="45">REPT(CHAR(9),3)&amp;"this."&amp;D22&amp;","</f>
        <v xml:space="preserve">			this.headerColor1,</v>
      </c>
      <c r="U22" s="31" t="str">
        <f t="shared" ref="U22" si="46">IF(E22="int",REPT(CHAR(9),2)&amp;"this."&amp;D22&amp;" = 0,",REPT(CHAR(9),2)&amp;"this."&amp;D22&amp;" = '',")</f>
        <v xml:space="preserve">		this.headerColor1 = '',</v>
      </c>
      <c r="V22" s="31" t="str">
        <f t="shared" ref="V22" si="47">IF(AND(E22="string",F22="1"),D22,"")</f>
        <v/>
      </c>
    </row>
    <row r="23" spans="1:22" ht="15" customHeight="1" x14ac:dyDescent="0.25">
      <c r="A23" s="31" t="s">
        <v>346</v>
      </c>
      <c r="B23" s="31" t="str">
        <f>SUBSTITUTE(PROPER(A23),"_","")</f>
        <v>HeaderColor2</v>
      </c>
      <c r="C23" s="31" t="str">
        <f>SUBSTITUTE(PROPER(A23),"_"," ")</f>
        <v>Header Color 2</v>
      </c>
      <c r="D23" s="31" t="str">
        <f>LOWER(LEFT(B23,1))&amp;RIGHT(B23,LEN(B23) - 1)</f>
        <v>headerColor2</v>
      </c>
      <c r="E23" s="31" t="str">
        <f>A.Backend!H17</f>
        <v>string</v>
      </c>
      <c r="F23" s="31" t="str">
        <f>A.Backend!G17</f>
        <v>50</v>
      </c>
      <c r="G23" s="31" t="str">
        <f>IF(E23="string"," : string = '' ; ",IF(OR(E23="DateTime",E23="TimeSpan")," : any ;",IF(E23="int"," : number = 0 ;","")))</f>
        <v xml:space="preserve"> : string = '' ; </v>
      </c>
      <c r="H23" s="38" t="str">
        <f>IF(E23="DateTime",
REPT(CHAR(9),3)&amp;"{headerName: this.l('"&amp;C23&amp;"'),headerTooltip: this.l('"&amp;C23&amp;"'),field: '"&amp;D23&amp;"',valueGetter: (params) =&gt; this.pipe.transform(params.data?."&amp;D23&amp;", 'dd/MM/yyyy'),flex: 1},",
IF(AND(E23="string",F23="1"),
REPT(CHAR(9),3)&amp;"{headerName: this.l('"&amp;C23&amp;"'),headerTooltip: this.l('"&amp;C23&amp;"'),field:  '"&amp;D23&amp;"', cellClass: ['text-center'], width: 120, cellRenderer: 'agCellButtonComponent',
buttonDefTwo: { text: params =&gt; (params.data?.'"&amp;D23&amp;"' == 'Y') ? 'Active' : 'Inactive',iconName: 'fa fa-circle',className: params =&gt; (params.data?.'"&amp;D23&amp;"' == 'Y') ? 'btnActive' : 'btnInActive',},}",
REPT(CHAR(9),3)&amp;"{headerName: this.l('"&amp;C23&amp;"'),headerTooltip: this.l('"&amp;C23&amp;"'),field: '"&amp;D23&amp;"',flex: 1},"))</f>
        <v xml:space="preserve">			{headerName: this.l('Header Color 2'),headerTooltip: this.l('Header Color 2'),field: 'headerColor2',flex: 1},</v>
      </c>
      <c r="I23" s="38" t="str">
        <f>IF(E23="DateTime",
REPT(CHAR(9),8)&amp;"&lt;div class='input-search'&gt;
"&amp;REPT(CHAR(9),9)&amp;"&lt;input type='text' [placeholder]=""l('"&amp;C23&amp;"')"" [(ngModel)]='"&amp;D23&amp;"' 
"&amp;REPT(CHAR(9),9)&amp;"name='"&amp;D23&amp;"'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IF(E23="string",
REPT(CHAR(9),8)&amp;"&lt;div class='input-search'&gt;
"&amp;REPT(CHAR(9),9)&amp;"&lt;input [(ngModel)]='"&amp;D23&amp;"' name='"&amp;D23&amp;"'
"&amp;REPT(CHAR(9),9)&amp;"class='form-control' [placeholder]=""l('"&amp;C23&amp;"')""
"&amp;REPT(CHAR(9),9)&amp;"type='text' (keyup.enter)='searchDatas()'&gt;
"&amp;REPT(CHAR(9),8)&amp;"&lt;/div&gt;",""))</f>
        <v xml:space="preserve">								&lt;div class='input-search'&gt;
									&lt;input [(ngModel)]='headerColor2' name='headerColor2'
									class='form-control' [placeholder]="l('Header Color 2')"
									type='text' (keyup.enter)='searchDatas()'&gt;
								&lt;/div&gt;</v>
      </c>
      <c r="J23" s="31"/>
      <c r="K23" s="38" t="str">
        <f>IF(OR(E23="DateTime",E23="TimeSpan"),
REPT(CHAR(9),5)&amp;"&lt;div class='col-md-12 form-group row'&gt;
"&amp;REPT(CHAR(9),6)&amp;"&lt;label class='col-md-2 form-control title'&gt;"&amp;C23&amp;"&lt;/label&gt;
"&amp;REPT(CHAR(9),6)&amp;"&lt;input type='text' class='col-md-10 form-control input-text' name='"&amp;D23&amp;"' 
"&amp;REPT(CHAR(9),6)&amp;"#datepicker='bsDatepicker' [(ngModel)]='rowdata."&amp;D23&amp;"'  bsDatepicker &gt;
"&amp;REPT(CHAR(9),5)&amp;"&lt;/div&gt;",
IF(AND(E23="string",F23="1"),
REPT(CHAR(9),5)&amp;"&lt;div class='col-md-12 form-group row'&gt;
"&amp;REPT(CHAR(9),6)&amp;"&lt;label class='col-md-2 form-control title'&gt;"&amp;C23&amp;"&lt;/label&gt;
"&amp;REPT(CHAR(9),6)&amp;"&lt;new-checkbox [(ngModel)]='_"&amp;D23&amp;"' name='"&amp;D23&amp;"' className='col-md-10' &gt; &lt;/new-checkbox&gt;
"&amp;REPT(CHAR(9),5)&amp;"&lt;/div&gt;",
IF(E23="string",
REPT(CHAR(9),5)&amp;"&lt;div class='col-md-12 form-group row'&gt;
"&amp;REPT(CHAR(9),6)&amp;"&lt;label class='col-md-2 form-control title'&gt;"&amp;C23&amp;"&lt;/label&gt;
"&amp;REPT(CHAR(9),6)&amp;"&lt;input type='text' class='col-md-10 form-control input-text' name='"&amp;B23&amp;"' [(ngModel)]='rowdata."&amp;D23&amp;"'&gt;
"&amp;REPT(CHAR(9),5)&amp;"&lt;/div&gt;",
IF(E23="int",
REPT(CHAR(9),5)&amp;"&lt;div class='col-md-12 form-group row'&gt;
"&amp;REPT(CHAR(9),6)&amp;"&lt;label class='col-md-2 form-control title'&gt;"&amp;C23&amp;"&lt;/label&gt;
"&amp;REPT(CHAR(9),6)&amp;"&lt;input type='number' class='col-md-10 form-control input-text' name='"&amp;B23&amp;"' [(ngModel)]='rowdata."&amp;D23&amp;"'&gt;
"&amp;REPT(CHAR(9),5)&amp;"&lt;/div&gt;",""))))</f>
        <v xml:space="preserve">					&lt;div class='col-md-12 form-group row'&gt;
						&lt;label class='col-md-2 form-control title'&gt;Header Color 2&lt;/label&gt;
						&lt;input type='text' class='col-md-10 form-control input-text' name='HeaderColor2' [(ngModel)]='rowdata.headerColor2'&gt;
					&lt;/div&gt;</v>
      </c>
      <c r="L23" s="60" t="str">
        <f>IF(E23="DateTime",
REPT(CHAR(9),2)&amp;"const dateValue =  this.rowdata."&amp;D23&amp;" ? new Date(this.rowdata."&amp;D23&amp;"?.toString()) : new Date();
"&amp;REPT(CHAR(9),2)&amp;"this.datepicker?.bsValueChange.emit(dateValue);","")</f>
        <v/>
      </c>
      <c r="M23" s="31"/>
      <c r="N23" s="31"/>
      <c r="O23" s="31"/>
      <c r="P23" s="31"/>
      <c r="Q23" s="31"/>
      <c r="R23" s="31"/>
      <c r="S23" s="31" t="str">
        <f>REPT(CHAR(9),1)&amp;D23&amp;G23</f>
        <v xml:space="preserve">	headerColor2 : string = '' ; </v>
      </c>
      <c r="T23" s="31" t="str">
        <f>REPT(CHAR(9),3)&amp;"this."&amp;D23&amp;","</f>
        <v xml:space="preserve">			this.headerColor2,</v>
      </c>
      <c r="U23" s="31" t="str">
        <f>IF(E23="int",REPT(CHAR(9),2)&amp;"this."&amp;D23&amp;" = 0,",REPT(CHAR(9),2)&amp;"this."&amp;D23&amp;" = '',")</f>
        <v xml:space="preserve">		this.headerColor2 = '',</v>
      </c>
      <c r="V23" s="31" t="str">
        <f>IF(AND(E23="string",F23="1"),D23,"")</f>
        <v/>
      </c>
    </row>
    <row r="24" spans="1:22" ht="18" customHeight="1" x14ac:dyDescent="0.25">
      <c r="A24" s="31" t="s">
        <v>348</v>
      </c>
      <c r="B24" s="31" t="str">
        <f t="shared" ref="B24:B25" si="48">SUBSTITUTE(PROPER(A24),"_","")</f>
        <v>IsShowHeader</v>
      </c>
      <c r="C24" s="31" t="str">
        <f t="shared" ref="C24:C25" si="49">SUBSTITUTE(PROPER(A24),"_"," ")</f>
        <v>Is Show Header</v>
      </c>
      <c r="D24" s="31" t="str">
        <f t="shared" ref="D24:D25" si="50">LOWER(LEFT(B24,1))&amp;RIGHT(B24,LEN(B24) - 1)</f>
        <v>isShowHeader</v>
      </c>
      <c r="E24" s="31" t="str">
        <f>A.Backend!H18</f>
        <v>string</v>
      </c>
      <c r="F24" s="31" t="str">
        <f>A.Backend!G18</f>
        <v>1</v>
      </c>
      <c r="G24" s="31" t="str">
        <f t="shared" ref="G24:G25" si="51">IF(E24="string"," : string = '' ; ",IF(OR(E24="DateTime",E24="TimeSpan")," : any ;",IF(E24="int"," : number = 0 ;","")))</f>
        <v xml:space="preserve"> : string = '' ; </v>
      </c>
      <c r="H24" s="38" t="str">
        <f t="shared" ref="H24:H25" si="52">IF(E24="DateTime",
REPT(CHAR(9),3)&amp;"{headerName: this.l('"&amp;C24&amp;"'),headerTooltip: this.l('"&amp;C24&amp;"'),field: '"&amp;D24&amp;"',valueGetter: (params) =&gt; this.pipe.transform(params.data?."&amp;D24&amp;", 'dd/MM/yyyy'),flex: 1},",
IF(AND(E24="string",F24="1"),
REPT(CHAR(9),3)&amp;"{headerName: this.l('"&amp;C24&amp;"'),headerTooltip: this.l('"&amp;C24&amp;"'),field:  '"&amp;D24&amp;"', cellClass: ['text-center'], width: 120, cellRenderer: 'agCellButtonComponent',
buttonDefTwo: { text: params =&gt; (params.data?.'"&amp;D24&amp;"' == 'Y') ? 'Active' : 'Inactive',iconName: 'fa fa-circle',className: params =&gt; (params.data?.'"&amp;D24&amp;"' == 'Y') ? 'btnActive' : 'btnInActive',},}",
REPT(CHAR(9),3)&amp;"{headerName: this.l('"&amp;C24&amp;"'),headerTooltip: this.l('"&amp;C24&amp;"'),field: '"&amp;D24&amp;"',flex: 1},"))</f>
        <v xml:space="preserve">			{headerName: this.l('Is Show Header'),headerTooltip: this.l('Is Show Header'),field:  'isShowHeader', cellClass: ['text-center'], width: 120, cellRenderer: 'agCellButtonComponent',
buttonDefTwo: { text: params =&gt; (params.data?.'isShowHeader' == 'Y') ? 'Active' : 'Inactive',iconName: 'fa fa-circle',className: params =&gt; (params.data?.'isShowHeader' == 'Y') ? 'btnActive' : 'btnInActive',},}</v>
      </c>
      <c r="I24" s="38" t="str">
        <f t="shared" ref="I24:I25" si="53">IF(E24="DateTime",
REPT(CHAR(9),8)&amp;"&lt;div class='input-search'&gt;
"&amp;REPT(CHAR(9),9)&amp;"&lt;input type='text' [placeholder]=""l('"&amp;C24&amp;"')"" [(ngModel)]='"&amp;D24&amp;"' 
"&amp;REPT(CHAR(9),9)&amp;"name='"&amp;D24&amp;"'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IF(E24="string",
REPT(CHAR(9),8)&amp;"&lt;div class='input-search'&gt;
"&amp;REPT(CHAR(9),9)&amp;"&lt;input [(ngModel)]='"&amp;D24&amp;"' name='"&amp;D24&amp;"'
"&amp;REPT(CHAR(9),9)&amp;"class='form-control' [placeholder]=""l('"&amp;C24&amp;"')""
"&amp;REPT(CHAR(9),9)&amp;"type='text' (keyup.enter)='searchDatas()'&gt;
"&amp;REPT(CHAR(9),8)&amp;"&lt;/div&gt;",""))</f>
        <v xml:space="preserve">								&lt;div class='input-search'&gt;
									&lt;input [(ngModel)]='isShowHeader' name='isShowHeader'
									class='form-control' [placeholder]="l('Is Show Header')"
									type='text' (keyup.enter)='searchDatas()'&gt;
								&lt;/div&gt;</v>
      </c>
      <c r="J24" s="31"/>
      <c r="K24" s="38" t="str">
        <f t="shared" ref="K24:K25" si="54">IF(OR(E24="DateTime",E24="TimeSpan"),
REPT(CHAR(9),5)&amp;"&lt;div class='col-md-12 form-group row'&gt;
"&amp;REPT(CHAR(9),6)&amp;"&lt;label class='col-md-2 form-control title'&gt;"&amp;C24&amp;"&lt;/label&gt;
"&amp;REPT(CHAR(9),6)&amp;"&lt;input type='text' class='col-md-10 form-control input-text' name='"&amp;D24&amp;"' 
"&amp;REPT(CHAR(9),6)&amp;"#datepicker='bsDatepicker' [(ngModel)]='rowdata."&amp;D24&amp;"'  bsDatepicker &gt;
"&amp;REPT(CHAR(9),5)&amp;"&lt;/div&gt;",
IF(AND(E24="string",F24="1"),
REPT(CHAR(9),5)&amp;"&lt;div class='col-md-12 form-group row'&gt;
"&amp;REPT(CHAR(9),6)&amp;"&lt;label class='col-md-2 form-control title'&gt;"&amp;C24&amp;"&lt;/label&gt;
"&amp;REPT(CHAR(9),6)&amp;"&lt;new-checkbox [(ngModel)]='_"&amp;D24&amp;"' name='"&amp;D24&amp;"' className='col-md-10' &gt; &lt;/new-checkbox&gt;
"&amp;REPT(CHAR(9),5)&amp;"&lt;/div&gt;",
IF(E24="string",
REPT(CHAR(9),5)&amp;"&lt;div class='col-md-12 form-group row'&gt;
"&amp;REPT(CHAR(9),6)&amp;"&lt;label class='col-md-2 form-control title'&gt;"&amp;C24&amp;"&lt;/label&gt;
"&amp;REPT(CHAR(9),6)&amp;"&lt;input type='text' class='col-md-10 form-control input-text' name='"&amp;B24&amp;"' [(ngModel)]='rowdata."&amp;D24&amp;"'&gt;
"&amp;REPT(CHAR(9),5)&amp;"&lt;/div&gt;",
IF(E24="int",
REPT(CHAR(9),5)&amp;"&lt;div class='col-md-12 form-group row'&gt;
"&amp;REPT(CHAR(9),6)&amp;"&lt;label class='col-md-2 form-control title'&gt;"&amp;C24&amp;"&lt;/label&gt;
"&amp;REPT(CHAR(9),6)&amp;"&lt;input type='number' class='col-md-10 form-control input-text' name='"&amp;B24&amp;"' [(ngModel)]='rowdata."&amp;D24&amp;"'&gt;
"&amp;REPT(CHAR(9),5)&amp;"&lt;/div&gt;",""))))</f>
        <v xml:space="preserve">					&lt;div class='col-md-12 form-group row'&gt;
						&lt;label class='col-md-2 form-control title'&gt;Is Show Header&lt;/label&gt;
						&lt;new-checkbox [(ngModel)]='_isShowHeader' name='isShowHeader' className='col-md-10' &gt; &lt;/new-checkbox&gt;
					&lt;/div&gt;</v>
      </c>
      <c r="L24" s="60" t="str">
        <f t="shared" ref="L24:L25" si="55">IF(E24="DateTime",
REPT(CHAR(9),2)&amp;"const dateValue =  this.rowdata."&amp;D24&amp;" ? new Date(this.rowdata."&amp;D24&amp;"?.toString()) : new Date();
"&amp;REPT(CHAR(9),2)&amp;"this.datepicker?.bsValueChange.emit(dateValue);","")</f>
        <v/>
      </c>
      <c r="M24" s="31"/>
      <c r="N24" s="31"/>
      <c r="O24" s="31"/>
      <c r="P24" s="31"/>
      <c r="Q24" s="31"/>
      <c r="R24" s="31"/>
      <c r="S24" s="31" t="str">
        <f t="shared" ref="S24:S25" si="56">REPT(CHAR(9),1)&amp;D24&amp;G24</f>
        <v xml:space="preserve">	isShowHeader : string = '' ; </v>
      </c>
      <c r="T24" s="31" t="str">
        <f t="shared" ref="T24:T25" si="57">REPT(CHAR(9),3)&amp;"this."&amp;D24&amp;","</f>
        <v xml:space="preserve">			this.isShowHeader,</v>
      </c>
      <c r="U24" s="31" t="str">
        <f t="shared" ref="U24:U25" si="58">IF(E24="int",REPT(CHAR(9),2)&amp;"this."&amp;D24&amp;" = 0,",REPT(CHAR(9),2)&amp;"this."&amp;D24&amp;" = '',")</f>
        <v xml:space="preserve">		this.isShowHeader = '',</v>
      </c>
      <c r="V24" s="31" t="str">
        <f t="shared" ref="V24:V25" si="59">IF(AND(E24="string",F24="1"),D24,"")</f>
        <v>isShowHeader</v>
      </c>
    </row>
    <row r="25" spans="1:22" ht="15" customHeight="1" x14ac:dyDescent="0.25">
      <c r="A25" s="31" t="s">
        <v>339</v>
      </c>
      <c r="B25" s="31" t="str">
        <f t="shared" si="48"/>
        <v>LeftTitle</v>
      </c>
      <c r="C25" s="31" t="str">
        <f t="shared" si="49"/>
        <v>Left Title</v>
      </c>
      <c r="D25" s="31" t="str">
        <f t="shared" si="50"/>
        <v>leftTitle</v>
      </c>
      <c r="E25" s="31" t="str">
        <f>A.Backend!H19</f>
        <v>string</v>
      </c>
      <c r="F25" s="31" t="str">
        <f>A.Backend!G19</f>
        <v>200</v>
      </c>
      <c r="G25" s="31" t="str">
        <f t="shared" si="51"/>
        <v xml:space="preserve"> : string = '' ; </v>
      </c>
      <c r="H25" s="38" t="str">
        <f t="shared" si="52"/>
        <v xml:space="preserve">			{headerName: this.l('Left Title'),headerTooltip: this.l('Left Title'),field: 'leftTitle',flex: 1},</v>
      </c>
      <c r="I25" s="38" t="str">
        <f t="shared" si="53"/>
        <v xml:space="preserve">								&lt;div class='input-search'&gt;
									&lt;input [(ngModel)]='leftTitle' name='leftTitle'
									class='form-control' [placeholder]="l('Left Title')"
									type='text' (keyup.enter)='searchDatas()'&gt;
								&lt;/div&gt;</v>
      </c>
      <c r="J25" s="31"/>
      <c r="K25" s="38" t="str">
        <f t="shared" si="54"/>
        <v xml:space="preserve">					&lt;div class='col-md-12 form-group row'&gt;
						&lt;label class='col-md-2 form-control title'&gt;Left Title&lt;/label&gt;
						&lt;input type='text' class='col-md-10 form-control input-text' name='LeftTitle' [(ngModel)]='rowdata.leftTitle'&gt;
					&lt;/div&gt;</v>
      </c>
      <c r="L25" s="60" t="str">
        <f t="shared" si="55"/>
        <v/>
      </c>
      <c r="M25" s="31"/>
      <c r="N25" s="31"/>
      <c r="O25" s="31"/>
      <c r="P25" s="31"/>
      <c r="Q25" s="31"/>
      <c r="R25" s="31"/>
      <c r="S25" s="31" t="str">
        <f t="shared" si="56"/>
        <v xml:space="preserve">	leftTitle : string = '' ; </v>
      </c>
      <c r="T25" s="31" t="str">
        <f t="shared" si="57"/>
        <v xml:space="preserve">			this.leftTitle,</v>
      </c>
      <c r="U25" s="31" t="str">
        <f t="shared" si="58"/>
        <v xml:space="preserve">		this.leftTitle = '',</v>
      </c>
      <c r="V25" s="31" t="str">
        <f t="shared" si="59"/>
        <v/>
      </c>
    </row>
    <row r="26" spans="1:22" ht="18" customHeight="1" x14ac:dyDescent="0.25">
      <c r="A26" s="31" t="s">
        <v>349</v>
      </c>
      <c r="B26" s="31" t="str">
        <f t="shared" ref="B26:B30" si="60">SUBSTITUTE(PROPER(A26),"_","")</f>
        <v>LeftTitleVn</v>
      </c>
      <c r="C26" s="31" t="str">
        <f t="shared" ref="C26:C30" si="61">SUBSTITUTE(PROPER(A26),"_"," ")</f>
        <v>Left Title Vn</v>
      </c>
      <c r="D26" s="31" t="str">
        <f t="shared" ref="D26:D30" si="62">LOWER(LEFT(B26,1))&amp;RIGHT(B26,LEN(B26) - 1)</f>
        <v>leftTitleVn</v>
      </c>
      <c r="E26" s="31" t="str">
        <f>A.Backend!H20</f>
        <v>string</v>
      </c>
      <c r="F26" s="31" t="str">
        <f>A.Backend!G20</f>
        <v>200</v>
      </c>
      <c r="G26" s="31" t="str">
        <f t="shared" ref="G26:G30" si="63">IF(E26="string"," : string = '' ; ",IF(OR(E26="DateTime",E26="TimeSpan")," : any ;",IF(E26="int"," : number = 0 ;","")))</f>
        <v xml:space="preserve"> : string = '' ; </v>
      </c>
      <c r="H26" s="38" t="str">
        <f t="shared" ref="H26:H30" si="64">IF(E26="DateTime",
REPT(CHAR(9),3)&amp;"{headerName: this.l('"&amp;C26&amp;"'),headerTooltip: this.l('"&amp;C26&amp;"'),field: '"&amp;D26&amp;"',valueGetter: (params) =&gt; this.pipe.transform(params.data?."&amp;D26&amp;", 'dd/MM/yyyy'),flex: 1},",
IF(AND(E26="string",F26="1"),
REPT(CHAR(9),3)&amp;"{headerName: this.l('"&amp;C26&amp;"'),headerTooltip: this.l('"&amp;C26&amp;"'),field:  '"&amp;D26&amp;"', cellClass: ['text-center'], width: 120, cellRenderer: 'agCellButtonComponent',
buttonDefTwo: { text: params =&gt; (params.data?.'"&amp;D26&amp;"' == 'Y') ? 'Active' : 'Inactive',iconName: 'fa fa-circle',className: params =&gt; (params.data?.'"&amp;D26&amp;"' == 'Y') ? 'btnActive' : 'btnInActive',},}",
REPT(CHAR(9),3)&amp;"{headerName: this.l('"&amp;C26&amp;"'),headerTooltip: this.l('"&amp;C26&amp;"'),field: '"&amp;D26&amp;"',flex: 1},"))</f>
        <v xml:space="preserve">			{headerName: this.l('Left Title Vn'),headerTooltip: this.l('Left Title Vn'),field: 'leftTitleVn',flex: 1},</v>
      </c>
      <c r="I26" s="38" t="str">
        <f t="shared" ref="I26:I30" si="65">IF(E26="DateTime",
REPT(CHAR(9),8)&amp;"&lt;div class='input-search'&gt;
"&amp;REPT(CHAR(9),9)&amp;"&lt;input type='text' [placeholder]=""l('"&amp;C26&amp;"')"" [(ngModel)]='"&amp;D26&amp;"' 
"&amp;REPT(CHAR(9),9)&amp;"name='"&amp;D26&amp;"'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IF(E26="string",
REPT(CHAR(9),8)&amp;"&lt;div class='input-search'&gt;
"&amp;REPT(CHAR(9),9)&amp;"&lt;input [(ngModel)]='"&amp;D26&amp;"' name='"&amp;D26&amp;"'
"&amp;REPT(CHAR(9),9)&amp;"class='form-control' [placeholder]=""l('"&amp;C26&amp;"')""
"&amp;REPT(CHAR(9),9)&amp;"type='text' (keyup.enter)='searchDatas()'&gt;
"&amp;REPT(CHAR(9),8)&amp;"&lt;/div&gt;",""))</f>
        <v xml:space="preserve">								&lt;div class='input-search'&gt;
									&lt;input [(ngModel)]='leftTitleVn' name='leftTitleVn'
									class='form-control' [placeholder]="l('Left Title Vn')"
									type='text' (keyup.enter)='searchDatas()'&gt;
								&lt;/div&gt;</v>
      </c>
      <c r="J26" s="31"/>
      <c r="K26" s="38" t="str">
        <f t="shared" ref="K26:K30" si="66">IF(OR(E26="DateTime",E26="TimeSpan"),
REPT(CHAR(9),5)&amp;"&lt;div class='col-md-12 form-group row'&gt;
"&amp;REPT(CHAR(9),6)&amp;"&lt;label class='col-md-2 form-control title'&gt;"&amp;C26&amp;"&lt;/label&gt;
"&amp;REPT(CHAR(9),6)&amp;"&lt;input type='text' class='col-md-10 form-control input-text' name='"&amp;D26&amp;"' 
"&amp;REPT(CHAR(9),6)&amp;"#datepicker='bsDatepicker' [(ngModel)]='rowdata."&amp;D26&amp;"'  bsDatepicker &gt;
"&amp;REPT(CHAR(9),5)&amp;"&lt;/div&gt;",
IF(AND(E26="string",F26="1"),
REPT(CHAR(9),5)&amp;"&lt;div class='col-md-12 form-group row'&gt;
"&amp;REPT(CHAR(9),6)&amp;"&lt;label class='col-md-2 form-control title'&gt;"&amp;C26&amp;"&lt;/label&gt;
"&amp;REPT(CHAR(9),6)&amp;"&lt;new-checkbox [(ngModel)]='_"&amp;D26&amp;"' name='"&amp;D26&amp;"' className='col-md-10' &gt; &lt;/new-checkbox&gt;
"&amp;REPT(CHAR(9),5)&amp;"&lt;/div&gt;",
IF(E26="string",
REPT(CHAR(9),5)&amp;"&lt;div class='col-md-12 form-group row'&gt;
"&amp;REPT(CHAR(9),6)&amp;"&lt;label class='col-md-2 form-control title'&gt;"&amp;C26&amp;"&lt;/label&gt;
"&amp;REPT(CHAR(9),6)&amp;"&lt;input type='text' class='col-md-10 form-control input-text' name='"&amp;B26&amp;"' [(ngModel)]='rowdata."&amp;D26&amp;"'&gt;
"&amp;REPT(CHAR(9),5)&amp;"&lt;/div&gt;",
IF(E26="int",
REPT(CHAR(9),5)&amp;"&lt;div class='col-md-12 form-group row'&gt;
"&amp;REPT(CHAR(9),6)&amp;"&lt;label class='col-md-2 form-control title'&gt;"&amp;C26&amp;"&lt;/label&gt;
"&amp;REPT(CHAR(9),6)&amp;"&lt;input type='number' class='col-md-10 form-control input-text' name='"&amp;B26&amp;"' [(ngModel)]='rowdata."&amp;D26&amp;"'&gt;
"&amp;REPT(CHAR(9),5)&amp;"&lt;/div&gt;",""))))</f>
        <v xml:space="preserve">					&lt;div class='col-md-12 form-group row'&gt;
						&lt;label class='col-md-2 form-control title'&gt;Left Title Vn&lt;/label&gt;
						&lt;input type='text' class='col-md-10 form-control input-text' name='LeftTitleVn' [(ngModel)]='rowdata.leftTitleVn'&gt;
					&lt;/div&gt;</v>
      </c>
      <c r="L26" s="60" t="str">
        <f t="shared" ref="L26:L30" si="67">IF(E26="DateTime",
REPT(CHAR(9),2)&amp;"const dateValue =  this.rowdata."&amp;D26&amp;" ? new Date(this.rowdata."&amp;D26&amp;"?.toString()) : new Date();
"&amp;REPT(CHAR(9),2)&amp;"this.datepicker?.bsValueChange.emit(dateValue);","")</f>
        <v/>
      </c>
      <c r="M26" s="31"/>
      <c r="N26" s="31"/>
      <c r="O26" s="31"/>
      <c r="P26" s="31"/>
      <c r="Q26" s="31"/>
      <c r="R26" s="31"/>
      <c r="S26" s="31" t="str">
        <f t="shared" ref="S26:S30" si="68">REPT(CHAR(9),1)&amp;D26&amp;G26</f>
        <v xml:space="preserve">	leftTitleVn : string = '' ; </v>
      </c>
      <c r="T26" s="31" t="str">
        <f t="shared" ref="T26:T30" si="69">REPT(CHAR(9),3)&amp;"this."&amp;D26&amp;","</f>
        <v xml:space="preserve">			this.leftTitleVn,</v>
      </c>
      <c r="U26" s="31" t="str">
        <f t="shared" ref="U26:U30" si="70">IF(E26="int",REPT(CHAR(9),2)&amp;"this."&amp;D26&amp;" = 0,",REPT(CHAR(9),2)&amp;"this."&amp;D26&amp;" = '',")</f>
        <v xml:space="preserve">		this.leftTitleVn = '',</v>
      </c>
      <c r="V26" s="31" t="str">
        <f t="shared" ref="V26:V30" si="71">IF(AND(E26="string",F26="1"),D26,"")</f>
        <v/>
      </c>
    </row>
    <row r="27" spans="1:22" ht="15" customHeight="1" x14ac:dyDescent="0.25">
      <c r="A27" s="31" t="s">
        <v>347</v>
      </c>
      <c r="B27" s="31" t="str">
        <f t="shared" si="60"/>
        <v>IsShowLeftTitle</v>
      </c>
      <c r="C27" s="31" t="str">
        <f t="shared" si="61"/>
        <v>Is Show Left Title</v>
      </c>
      <c r="D27" s="31" t="str">
        <f t="shared" si="62"/>
        <v>isShowLeftTitle</v>
      </c>
      <c r="E27" s="31" t="str">
        <f>A.Backend!H21</f>
        <v>string</v>
      </c>
      <c r="F27" s="31" t="str">
        <f>A.Backend!G21</f>
        <v>1</v>
      </c>
      <c r="G27" s="31" t="str">
        <f t="shared" si="63"/>
        <v xml:space="preserve"> : string = '' ; </v>
      </c>
      <c r="H27" s="38" t="str">
        <f t="shared" si="64"/>
        <v xml:space="preserve">			{headerName: this.l('Is Show Left Title'),headerTooltip: this.l('Is Show Left Title'),field:  'isShowLeftTitle', cellClass: ['text-center'], width: 120, cellRenderer: 'agCellButtonComponent',
buttonDefTwo: { text: params =&gt; (params.data?.'isShowLeftTitle' == 'Y') ? 'Active' : 'Inactive',iconName: 'fa fa-circle',className: params =&gt; (params.data?.'isShowLeftTitle' == 'Y') ? 'btnActive' : 'btnInActive',},}</v>
      </c>
      <c r="I27" s="38" t="str">
        <f t="shared" si="65"/>
        <v xml:space="preserve">								&lt;div class='input-search'&gt;
									&lt;input [(ngModel)]='isShowLeftTitle' name='isShowLeftTitle'
									class='form-control' [placeholder]="l('Is Show Left Title')"
									type='text' (keyup.enter)='searchDatas()'&gt;
								&lt;/div&gt;</v>
      </c>
      <c r="J27" s="31"/>
      <c r="K27" s="38" t="str">
        <f t="shared" si="66"/>
        <v xml:space="preserve">					&lt;div class='col-md-12 form-group row'&gt;
						&lt;label class='col-md-2 form-control title'&gt;Is Show Left Title&lt;/label&gt;
						&lt;new-checkbox [(ngModel)]='_isShowLeftTitle' name='isShowLeftTitle' className='col-md-10' &gt; &lt;/new-checkbox&gt;
					&lt;/div&gt;</v>
      </c>
      <c r="L27" s="60" t="str">
        <f t="shared" si="67"/>
        <v/>
      </c>
      <c r="M27" s="31"/>
      <c r="N27" s="31"/>
      <c r="O27" s="31"/>
      <c r="P27" s="31"/>
      <c r="Q27" s="31"/>
      <c r="R27" s="31"/>
      <c r="S27" s="31" t="str">
        <f t="shared" si="68"/>
        <v xml:space="preserve">	isShowLeftTitle : string = '' ; </v>
      </c>
      <c r="T27" s="31" t="str">
        <f t="shared" si="69"/>
        <v xml:space="preserve">			this.isShowLeftTitle,</v>
      </c>
      <c r="U27" s="31" t="str">
        <f t="shared" si="70"/>
        <v xml:space="preserve">		this.isShowLeftTitle = '',</v>
      </c>
      <c r="V27" s="31" t="str">
        <f t="shared" si="71"/>
        <v>isShowLeftTitle</v>
      </c>
    </row>
    <row r="28" spans="1:22" ht="18" customHeight="1" x14ac:dyDescent="0.25">
      <c r="A28" s="31" t="s">
        <v>334</v>
      </c>
      <c r="B28" s="31" t="str">
        <f t="shared" ref="B28:B29" si="72">SUBSTITUTE(PROPER(A28),"_","")</f>
        <v>IsShowModel</v>
      </c>
      <c r="C28" s="31" t="str">
        <f t="shared" ref="C28:C29" si="73">SUBSTITUTE(PROPER(A28),"_"," ")</f>
        <v>Is Show Model</v>
      </c>
      <c r="D28" s="31" t="str">
        <f t="shared" ref="D28:D29" si="74">LOWER(LEFT(B28,1))&amp;RIGHT(B28,LEN(B28) - 1)</f>
        <v>isShowModel</v>
      </c>
      <c r="E28" s="31" t="str">
        <f>A.Backend!H22</f>
        <v>string</v>
      </c>
      <c r="F28" s="31" t="str">
        <f>A.Backend!G22</f>
        <v>1</v>
      </c>
      <c r="G28" s="31" t="str">
        <f t="shared" ref="G28:G29" si="75">IF(E28="string"," : string = '' ; ",IF(OR(E28="DateTime",E28="TimeSpan")," : any ;",IF(E28="int"," : number = 0 ;","")))</f>
        <v xml:space="preserve"> : string = '' ; </v>
      </c>
      <c r="H28" s="38" t="str">
        <f t="shared" ref="H28:H29" si="76">IF(E28="DateTime",
REPT(CHAR(9),3)&amp;"{headerName: this.l('"&amp;C28&amp;"'),headerTooltip: this.l('"&amp;C28&amp;"'),field: '"&amp;D28&amp;"',valueGetter: (params) =&gt; this.pipe.transform(params.data?."&amp;D28&amp;", 'dd/MM/yyyy'),flex: 1},",
IF(AND(E28="string",F28="1"),
REPT(CHAR(9),3)&amp;"{headerName: this.l('"&amp;C28&amp;"'),headerTooltip: this.l('"&amp;C28&amp;"'),field:  '"&amp;D28&amp;"', cellClass: ['text-center'], width: 120, cellRenderer: 'agCellButtonComponent',
buttonDefTwo: { text: params =&gt; (params.data?.'"&amp;D28&amp;"' == 'Y') ? 'Active' : 'Inactive',iconName: 'fa fa-circle',className: params =&gt; (params.data?.'"&amp;D28&amp;"' == 'Y') ? 'btnActive' : 'btnInActive',},}",
REPT(CHAR(9),3)&amp;"{headerName: this.l('"&amp;C28&amp;"'),headerTooltip: this.l('"&amp;C28&amp;"'),field: '"&amp;D28&amp;"',flex: 1},"))</f>
        <v xml:space="preserve">			{headerName: this.l('Is Show Model'),headerTooltip: this.l('Is Show Model'),field:  'isShowModel', cellClass: ['text-center'], width: 120, cellRenderer: 'agCellButtonComponent',
buttonDefTwo: { text: params =&gt; (params.data?.'isShowModel' == 'Y') ? 'Active' : 'Inactive',iconName: 'fa fa-circle',className: params =&gt; (params.data?.'isShowModel' == 'Y') ? 'btnActive' : 'btnInActive',},}</v>
      </c>
      <c r="I28" s="38" t="str">
        <f t="shared" ref="I28:I29" si="77">IF(E28="DateTime",
REPT(CHAR(9),8)&amp;"&lt;div class='input-search'&gt;
"&amp;REPT(CHAR(9),9)&amp;"&lt;input type='text' [placeholder]=""l('"&amp;C28&amp;"')"" [(ngModel)]='"&amp;D28&amp;"' 
"&amp;REPT(CHAR(9),9)&amp;"name='"&amp;D28&amp;"'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IF(E28="string",
REPT(CHAR(9),8)&amp;"&lt;div class='input-search'&gt;
"&amp;REPT(CHAR(9),9)&amp;"&lt;input [(ngModel)]='"&amp;D28&amp;"' name='"&amp;D28&amp;"'
"&amp;REPT(CHAR(9),9)&amp;"class='form-control' [placeholder]=""l('"&amp;C28&amp;"')""
"&amp;REPT(CHAR(9),9)&amp;"type='text' (keyup.enter)='searchDatas()'&gt;
"&amp;REPT(CHAR(9),8)&amp;"&lt;/div&gt;",""))</f>
        <v xml:space="preserve">								&lt;div class='input-search'&gt;
									&lt;input [(ngModel)]='isShowModel' name='isShowModel'
									class='form-control' [placeholder]="l('Is Show Model')"
									type='text' (keyup.enter)='searchDatas()'&gt;
								&lt;/div&gt;</v>
      </c>
      <c r="J28" s="31"/>
      <c r="K28" s="38" t="str">
        <f t="shared" ref="K28:K29" si="78">IF(OR(E28="DateTime",E28="TimeSpan"),
REPT(CHAR(9),5)&amp;"&lt;div class='col-md-12 form-group row'&gt;
"&amp;REPT(CHAR(9),6)&amp;"&lt;label class='col-md-2 form-control title'&gt;"&amp;C28&amp;"&lt;/label&gt;
"&amp;REPT(CHAR(9),6)&amp;"&lt;input type='text' class='col-md-10 form-control input-text' name='"&amp;D28&amp;"' 
"&amp;REPT(CHAR(9),6)&amp;"#datepicker='bsDatepicker' [(ngModel)]='rowdata."&amp;D28&amp;"'  bsDatepicker &gt;
"&amp;REPT(CHAR(9),5)&amp;"&lt;/div&gt;",
IF(AND(E28="string",F28="1"),
REPT(CHAR(9),5)&amp;"&lt;div class='col-md-12 form-group row'&gt;
"&amp;REPT(CHAR(9),6)&amp;"&lt;label class='col-md-2 form-control title'&gt;"&amp;C28&amp;"&lt;/label&gt;
"&amp;REPT(CHAR(9),6)&amp;"&lt;new-checkbox [(ngModel)]='_"&amp;D28&amp;"' name='"&amp;D28&amp;"' className='col-md-10' &gt; &lt;/new-checkbox&gt;
"&amp;REPT(CHAR(9),5)&amp;"&lt;/div&gt;",
IF(E28="string",
REPT(CHAR(9),5)&amp;"&lt;div class='col-md-12 form-group row'&gt;
"&amp;REPT(CHAR(9),6)&amp;"&lt;label class='col-md-2 form-control title'&gt;"&amp;C28&amp;"&lt;/label&gt;
"&amp;REPT(CHAR(9),6)&amp;"&lt;input type='text' class='col-md-10 form-control input-text' name='"&amp;B28&amp;"' [(ngModel)]='rowdata."&amp;D28&amp;"'&gt;
"&amp;REPT(CHAR(9),5)&amp;"&lt;/div&gt;",
IF(E28="int",
REPT(CHAR(9),5)&amp;"&lt;div class='col-md-12 form-group row'&gt;
"&amp;REPT(CHAR(9),6)&amp;"&lt;label class='col-md-2 form-control title'&gt;"&amp;C28&amp;"&lt;/label&gt;
"&amp;REPT(CHAR(9),6)&amp;"&lt;input type='number' class='col-md-10 form-control input-text' name='"&amp;B28&amp;"' [(ngModel)]='rowdata."&amp;D28&amp;"'&gt;
"&amp;REPT(CHAR(9),5)&amp;"&lt;/div&gt;",""))))</f>
        <v xml:space="preserve">					&lt;div class='col-md-12 form-group row'&gt;
						&lt;label class='col-md-2 form-control title'&gt;Is Show Model&lt;/label&gt;
						&lt;new-checkbox [(ngModel)]='_isShowModel' name='isShowModel' className='col-md-10' &gt; &lt;/new-checkbox&gt;
					&lt;/div&gt;</v>
      </c>
      <c r="L28" s="60" t="str">
        <f t="shared" ref="L28:L29" si="79">IF(E28="DateTime",
REPT(CHAR(9),2)&amp;"const dateValue =  this.rowdata."&amp;D28&amp;" ? new Date(this.rowdata."&amp;D28&amp;"?.toString()) : new Date();
"&amp;REPT(CHAR(9),2)&amp;"this.datepicker?.bsValueChange.emit(dateValue);","")</f>
        <v/>
      </c>
      <c r="M28" s="31"/>
      <c r="N28" s="31"/>
      <c r="O28" s="31"/>
      <c r="P28" s="31"/>
      <c r="Q28" s="31"/>
      <c r="R28" s="31"/>
      <c r="S28" s="31" t="str">
        <f t="shared" ref="S28:S29" si="80">REPT(CHAR(9),1)&amp;D28&amp;G28</f>
        <v xml:space="preserve">	isShowModel : string = '' ; </v>
      </c>
      <c r="T28" s="31" t="str">
        <f t="shared" ref="T28:T29" si="81">REPT(CHAR(9),3)&amp;"this."&amp;D28&amp;","</f>
        <v xml:space="preserve">			this.isShowModel,</v>
      </c>
      <c r="U28" s="31" t="str">
        <f t="shared" ref="U28:U29" si="82">IF(E28="int",REPT(CHAR(9),2)&amp;"this."&amp;D28&amp;" = 0,",REPT(CHAR(9),2)&amp;"this."&amp;D28&amp;" = '',")</f>
        <v xml:space="preserve">		this.isShowModel = '',</v>
      </c>
      <c r="V28" s="31" t="str">
        <f t="shared" ref="V28:V29" si="83">IF(AND(E28="string",F28="1"),D28,"")</f>
        <v>isShowModel</v>
      </c>
    </row>
    <row r="29" spans="1:22" ht="15" customHeight="1" x14ac:dyDescent="0.25">
      <c r="A29" s="31" t="s">
        <v>335</v>
      </c>
      <c r="B29" s="31" t="str">
        <f t="shared" si="72"/>
        <v>IsShowGrade</v>
      </c>
      <c r="C29" s="31" t="str">
        <f t="shared" si="73"/>
        <v>Is Show Grade</v>
      </c>
      <c r="D29" s="31" t="str">
        <f t="shared" si="74"/>
        <v>isShowGrade</v>
      </c>
      <c r="E29" s="31" t="str">
        <f>A.Backend!H23</f>
        <v>string</v>
      </c>
      <c r="F29" s="31" t="str">
        <f>A.Backend!G23</f>
        <v>1</v>
      </c>
      <c r="G29" s="31" t="str">
        <f t="shared" si="75"/>
        <v xml:space="preserve"> : string = '' ; </v>
      </c>
      <c r="H29" s="38" t="str">
        <f t="shared" si="76"/>
        <v xml:space="preserve">			{headerName: this.l('Is Show Grade'),headerTooltip: this.l('Is Show Grade'),field:  'isShowGrade', cellClass: ['text-center'], width: 120, cellRenderer: 'agCellButtonComponent',
buttonDefTwo: { text: params =&gt; (params.data?.'isShowGrade' == 'Y') ? 'Active' : 'Inactive',iconName: 'fa fa-circle',className: params =&gt; (params.data?.'isShowGrade' == 'Y') ? 'btnActive' : 'btnInActive',},}</v>
      </c>
      <c r="I29" s="38" t="str">
        <f t="shared" si="77"/>
        <v xml:space="preserve">								&lt;div class='input-search'&gt;
									&lt;input [(ngModel)]='isShowGrade' name='isShowGrade'
									class='form-control' [placeholder]="l('Is Show Grade')"
									type='text' (keyup.enter)='searchDatas()'&gt;
								&lt;/div&gt;</v>
      </c>
      <c r="J29" s="31"/>
      <c r="K29" s="38" t="str">
        <f t="shared" si="78"/>
        <v xml:space="preserve">					&lt;div class='col-md-12 form-group row'&gt;
						&lt;label class='col-md-2 form-control title'&gt;Is Show Grade&lt;/label&gt;
						&lt;new-checkbox [(ngModel)]='_isShowGrade' name='isShowGrade' className='col-md-10' &gt; &lt;/new-checkbox&gt;
					&lt;/div&gt;</v>
      </c>
      <c r="L29" s="60" t="str">
        <f t="shared" si="79"/>
        <v/>
      </c>
      <c r="M29" s="31"/>
      <c r="N29" s="31"/>
      <c r="O29" s="31"/>
      <c r="P29" s="31"/>
      <c r="Q29" s="31"/>
      <c r="R29" s="31"/>
      <c r="S29" s="31" t="str">
        <f t="shared" si="80"/>
        <v xml:space="preserve">	isShowGrade : string = '' ; </v>
      </c>
      <c r="T29" s="31" t="str">
        <f t="shared" si="81"/>
        <v xml:space="preserve">			this.isShowGrade,</v>
      </c>
      <c r="U29" s="31" t="str">
        <f t="shared" si="82"/>
        <v xml:space="preserve">		this.isShowGrade = '',</v>
      </c>
      <c r="V29" s="31" t="str">
        <f t="shared" si="83"/>
        <v>isShowGrade</v>
      </c>
    </row>
    <row r="30" spans="1:22" ht="15" customHeight="1" x14ac:dyDescent="0.25">
      <c r="A30" s="31" t="s">
        <v>336</v>
      </c>
      <c r="B30" s="31" t="str">
        <f t="shared" si="60"/>
        <v>IsShowSequence</v>
      </c>
      <c r="C30" s="31" t="str">
        <f t="shared" si="61"/>
        <v>Is Show Sequence</v>
      </c>
      <c r="D30" s="31" t="str">
        <f t="shared" si="62"/>
        <v>isShowSequence</v>
      </c>
      <c r="E30" s="31" t="str">
        <f>A.Backend!H24</f>
        <v>string</v>
      </c>
      <c r="F30" s="31" t="str">
        <f>A.Backend!G24</f>
        <v>1</v>
      </c>
      <c r="G30" s="31" t="str">
        <f t="shared" si="63"/>
        <v xml:space="preserve"> : string = '' ; </v>
      </c>
      <c r="H30" s="38" t="str">
        <f t="shared" si="64"/>
        <v xml:space="preserve">			{headerName: this.l('Is Show Sequence'),headerTooltip: this.l('Is Show Sequence'),field:  'isShowSequence', cellClass: ['text-center'], width: 120, cellRenderer: 'agCellButtonComponent',
buttonDefTwo: { text: params =&gt; (params.data?.'isShowSequence' == 'Y') ? 'Active' : 'Inactive',iconName: 'fa fa-circle',className: params =&gt; (params.data?.'isShowSequence' == 'Y') ? 'btnActive' : 'btnInActive',},}</v>
      </c>
      <c r="I30" s="38" t="str">
        <f t="shared" si="65"/>
        <v xml:space="preserve">								&lt;div class='input-search'&gt;
									&lt;input [(ngModel)]='isShowSequence' name='isShowSequence'
									class='form-control' [placeholder]="l('Is Show Sequence')"
									type='text' (keyup.enter)='searchDatas()'&gt;
								&lt;/div&gt;</v>
      </c>
      <c r="J30" s="31"/>
      <c r="K30" s="38" t="str">
        <f t="shared" si="66"/>
        <v xml:space="preserve">					&lt;div class='col-md-12 form-group row'&gt;
						&lt;label class='col-md-2 form-control title'&gt;Is Show Sequence&lt;/label&gt;
						&lt;new-checkbox [(ngModel)]='_isShowSequence' name='isShowSequence' className='col-md-10' &gt; &lt;/new-checkbox&gt;
					&lt;/div&gt;</v>
      </c>
      <c r="L30" s="60" t="str">
        <f t="shared" si="67"/>
        <v/>
      </c>
      <c r="M30" s="31"/>
      <c r="N30" s="31"/>
      <c r="O30" s="31"/>
      <c r="P30" s="31"/>
      <c r="Q30" s="31"/>
      <c r="R30" s="31"/>
      <c r="S30" s="31" t="str">
        <f t="shared" si="68"/>
        <v xml:space="preserve">	isShowSequence : string = '' ; </v>
      </c>
      <c r="T30" s="31" t="str">
        <f t="shared" si="69"/>
        <v xml:space="preserve">			this.isShowSequence,</v>
      </c>
      <c r="U30" s="31" t="str">
        <f t="shared" si="70"/>
        <v xml:space="preserve">		this.isShowSequence = '',</v>
      </c>
      <c r="V30" s="31" t="str">
        <f t="shared" si="71"/>
        <v>isShowSequence</v>
      </c>
    </row>
    <row r="31" spans="1:22" ht="15" customHeight="1" x14ac:dyDescent="0.25">
      <c r="A31" s="31" t="s">
        <v>333</v>
      </c>
      <c r="B31" s="31" t="str">
        <f>SUBSTITUTE(PROPER(A31),"_","")</f>
        <v>IsShowBody</v>
      </c>
      <c r="C31" s="31" t="str">
        <f>SUBSTITUTE(PROPER(A31),"_"," ")</f>
        <v>Is Show Body</v>
      </c>
      <c r="D31" s="31" t="str">
        <f>LOWER(LEFT(B31,1))&amp;RIGHT(B31,LEN(B31) - 1)</f>
        <v>isShowBody</v>
      </c>
      <c r="E31" s="31" t="str">
        <f>A.Backend!H25</f>
        <v>string</v>
      </c>
      <c r="F31" s="31" t="str">
        <f>A.Backend!G25</f>
        <v>1</v>
      </c>
      <c r="G31" s="31" t="str">
        <f>IF(E31="string"," : string = '' ; ",IF(OR(E31="DateTime",E31="TimeSpan")," : any ;",IF(E31="int"," : number = 0 ;","")))</f>
        <v xml:space="preserve"> : string = '' ; </v>
      </c>
      <c r="H31" s="38" t="str">
        <f>IF(E31="DateTime",
REPT(CHAR(9),3)&amp;"{headerName: this.l('"&amp;C31&amp;"'),headerTooltip: this.l('"&amp;C31&amp;"'),field: '"&amp;D31&amp;"',valueGetter: (params) =&gt; this.pipe.transform(params.data?."&amp;D31&amp;", 'dd/MM/yyyy'),flex: 1},",
IF(AND(E31="string",F31="1"),
REPT(CHAR(9),3)&amp;"{headerName: this.l('"&amp;C31&amp;"'),headerTooltip: this.l('"&amp;C31&amp;"'),field:  '"&amp;D31&amp;"', cellClass: ['text-center'], width: 120, cellRenderer: 'agCellButtonComponent',
buttonDefTwo: { text: params =&gt; (params.data?.'"&amp;D31&amp;"' == 'Y') ? 'Active' : 'Inactive',iconName: 'fa fa-circle',className: params =&gt; (params.data?.'"&amp;D31&amp;"' == 'Y') ? 'btnActive' : 'btnInActive',},}",
REPT(CHAR(9),3)&amp;"{headerName: this.l('"&amp;C31&amp;"'),headerTooltip: this.l('"&amp;C31&amp;"'),field: '"&amp;D31&amp;"',flex: 1},"))</f>
        <v xml:space="preserve">			{headerName: this.l('Is Show Body'),headerTooltip: this.l('Is Show Body'),field:  'isShowBody', cellClass: ['text-center'], width: 120, cellRenderer: 'agCellButtonComponent',
buttonDefTwo: { text: params =&gt; (params.data?.'isShowBody' == 'Y') ? 'Active' : 'Inactive',iconName: 'fa fa-circle',className: params =&gt; (params.data?.'isShowBody' == 'Y') ? 'btnActive' : 'btnInActive',},}</v>
      </c>
      <c r="I31" s="38" t="str">
        <f>IF(E31="DateTime",
REPT(CHAR(9),8)&amp;"&lt;div class='input-search'&gt;
"&amp;REPT(CHAR(9),9)&amp;"&lt;input type='text' [placeholder]=""l('"&amp;C31&amp;"')"" [(ngModel)]='"&amp;D31&amp;"' 
"&amp;REPT(CHAR(9),9)&amp;"name='"&amp;D31&amp;"'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IF(E31="string",
REPT(CHAR(9),8)&amp;"&lt;div class='input-search'&gt;
"&amp;REPT(CHAR(9),9)&amp;"&lt;input [(ngModel)]='"&amp;D31&amp;"' name='"&amp;D31&amp;"'
"&amp;REPT(CHAR(9),9)&amp;"class='form-control' [placeholder]=""l('"&amp;C31&amp;"')""
"&amp;REPT(CHAR(9),9)&amp;"type='text' (keyup.enter)='searchDatas()'&gt;
"&amp;REPT(CHAR(9),8)&amp;"&lt;/div&gt;",""))</f>
        <v xml:space="preserve">								&lt;div class='input-search'&gt;
									&lt;input [(ngModel)]='isShowBody' name='isShowBody'
									class='form-control' [placeholder]="l('Is Show Body')"
									type='text' (keyup.enter)='searchDatas()'&gt;
								&lt;/div&gt;</v>
      </c>
      <c r="J31" s="31"/>
      <c r="K31" s="38" t="str">
        <f>IF(OR(E31="DateTime",E31="TimeSpan"),
REPT(CHAR(9),5)&amp;"&lt;div class='col-md-12 form-group row'&gt;
"&amp;REPT(CHAR(9),6)&amp;"&lt;label class='col-md-2 form-control title'&gt;"&amp;C31&amp;"&lt;/label&gt;
"&amp;REPT(CHAR(9),6)&amp;"&lt;input type='text' class='col-md-10 form-control input-text' name='"&amp;D31&amp;"' 
"&amp;REPT(CHAR(9),6)&amp;"#datepicker='bsDatepicker' [(ngModel)]='rowdata."&amp;D31&amp;"'  bsDatepicker &gt;
"&amp;REPT(CHAR(9),5)&amp;"&lt;/div&gt;",
IF(AND(E31="string",F31="1"),
REPT(CHAR(9),5)&amp;"&lt;div class='col-md-12 form-group row'&gt;
"&amp;REPT(CHAR(9),6)&amp;"&lt;label class='col-md-2 form-control title'&gt;"&amp;C31&amp;"&lt;/label&gt;
"&amp;REPT(CHAR(9),6)&amp;"&lt;new-checkbox [(ngModel)]='_"&amp;D31&amp;"' name='"&amp;D31&amp;"' className='col-md-10' &gt; &lt;/new-checkbox&gt;
"&amp;REPT(CHAR(9),5)&amp;"&lt;/div&gt;",
IF(E31="string",
REPT(CHAR(9),5)&amp;"&lt;div class='col-md-12 form-group row'&gt;
"&amp;REPT(CHAR(9),6)&amp;"&lt;label class='col-md-2 form-control title'&gt;"&amp;C31&amp;"&lt;/label&gt;
"&amp;REPT(CHAR(9),6)&amp;"&lt;input type='text' class='col-md-10 form-control input-text' name='"&amp;B31&amp;"' [(ngModel)]='rowdata."&amp;D31&amp;"'&gt;
"&amp;REPT(CHAR(9),5)&amp;"&lt;/div&gt;",
IF(E31="int",
REPT(CHAR(9),5)&amp;"&lt;div class='col-md-12 form-group row'&gt;
"&amp;REPT(CHAR(9),6)&amp;"&lt;label class='col-md-2 form-control title'&gt;"&amp;C31&amp;"&lt;/label&gt;
"&amp;REPT(CHAR(9),6)&amp;"&lt;input type='number' class='col-md-10 form-control input-text' name='"&amp;B31&amp;"' [(ngModel)]='rowdata."&amp;D31&amp;"'&gt;
"&amp;REPT(CHAR(9),5)&amp;"&lt;/div&gt;",""))))</f>
        <v xml:space="preserve">					&lt;div class='col-md-12 form-group row'&gt;
						&lt;label class='col-md-2 form-control title'&gt;Is Show Body&lt;/label&gt;
						&lt;new-checkbox [(ngModel)]='_isShowBody' name='isShowBody' className='col-md-10' &gt; &lt;/new-checkbox&gt;
					&lt;/div&gt;</v>
      </c>
      <c r="L31" s="60" t="str">
        <f>IF(E31="DateTime",
REPT(CHAR(9),2)&amp;"const dateValue =  this.rowdata."&amp;D31&amp;" ? new Date(this.rowdata."&amp;D31&amp;"?.toString()) : new Date();
"&amp;REPT(CHAR(9),2)&amp;"this.datepicker?.bsValueChange.emit(dateValue);","")</f>
        <v/>
      </c>
      <c r="M31" s="31"/>
      <c r="N31" s="31"/>
      <c r="O31" s="31"/>
      <c r="P31" s="31"/>
      <c r="Q31" s="31"/>
      <c r="R31" s="31"/>
      <c r="S31" s="31" t="str">
        <f>REPT(CHAR(9),1)&amp;D31&amp;G31</f>
        <v xml:space="preserve">	isShowBody : string = '' ; </v>
      </c>
      <c r="T31" s="31" t="str">
        <f>REPT(CHAR(9),3)&amp;"this."&amp;D31&amp;","</f>
        <v xml:space="preserve">			this.isShowBody,</v>
      </c>
      <c r="U31" s="31" t="str">
        <f>IF(E31="int",REPT(CHAR(9),2)&amp;"this."&amp;D31&amp;" = 0,",REPT(CHAR(9),2)&amp;"this."&amp;D31&amp;" = '',")</f>
        <v xml:space="preserve">		this.isShowBody = '',</v>
      </c>
      <c r="V31" s="31" t="str">
        <f>IF(AND(E31="string",F31="1"),D31,"")</f>
        <v>isShowBody</v>
      </c>
    </row>
    <row r="32" spans="1:22" ht="15" customHeight="1" x14ac:dyDescent="0.25">
      <c r="A32" s="31" t="s">
        <v>337</v>
      </c>
      <c r="B32" s="31" t="str">
        <f>SUBSTITUTE(PROPER(A32),"_","")</f>
        <v>IsShowLotNo</v>
      </c>
      <c r="C32" s="31" t="str">
        <f>SUBSTITUTE(PROPER(A32),"_"," ")</f>
        <v>Is Show Lot No</v>
      </c>
      <c r="D32" s="31" t="str">
        <f>LOWER(LEFT(B32,1))&amp;RIGHT(B32,LEN(B32) - 1)</f>
        <v>isShowLotNo</v>
      </c>
      <c r="E32" s="31" t="str">
        <f>A.Backend!H26</f>
        <v>string</v>
      </c>
      <c r="F32" s="31" t="str">
        <f>A.Backend!G26</f>
        <v>1</v>
      </c>
      <c r="G32" s="31" t="str">
        <f>IF(E32="string"," : string = '' ; ",IF(OR(E32="DateTime",E32="TimeSpan")," : any ;",IF(E32="int"," : number = 0 ;","")))</f>
        <v xml:space="preserve"> : string = '' ; </v>
      </c>
      <c r="H32" s="38" t="str">
        <f>IF(E32="DateTime",
REPT(CHAR(9),3)&amp;"{headerName: this.l('"&amp;C32&amp;"'),headerTooltip: this.l('"&amp;C32&amp;"'),field: '"&amp;D32&amp;"',valueGetter: (params) =&gt; this.pipe.transform(params.data?."&amp;D32&amp;", 'dd/MM/yyyy'),flex: 1},",
IF(AND(E32="string",F32="1"),
REPT(CHAR(9),3)&amp;"{headerName: this.l('"&amp;C32&amp;"'),headerTooltip: this.l('"&amp;C32&amp;"'),field:  '"&amp;D32&amp;"', cellClass: ['text-center'], width: 120, cellRenderer: 'agCellButtonComponent',
buttonDefTwo: { text: params =&gt; (params.data?.'"&amp;D32&amp;"' == 'Y') ? 'Active' : 'Inactive',iconName: 'fa fa-circle',className: params =&gt; (params.data?.'"&amp;D32&amp;"' == 'Y') ? 'btnActive' : 'btnInActive',},}",
REPT(CHAR(9),3)&amp;"{headerName: this.l('"&amp;C32&amp;"'),headerTooltip: this.l('"&amp;C32&amp;"'),field: '"&amp;D32&amp;"',flex: 1},"))</f>
        <v xml:space="preserve">			{headerName: this.l('Is Show Lot No'),headerTooltip: this.l('Is Show Lot No'),field:  'isShowLotNo', cellClass: ['text-center'], width: 120, cellRenderer: 'agCellButtonComponent',
buttonDefTwo: { text: params =&gt; (params.data?.'isShowLotNo' == 'Y') ? 'Active' : 'Inactive',iconName: 'fa fa-circle',className: params =&gt; (params.data?.'isShowLotNo' == 'Y') ? 'btnActive' : 'btnInActive',},}</v>
      </c>
      <c r="I32" s="38" t="str">
        <f>IF(E32="DateTime",
REPT(CHAR(9),8)&amp;"&lt;div class='input-search'&gt;
"&amp;REPT(CHAR(9),9)&amp;"&lt;input type='text' [placeholder]=""l('"&amp;C32&amp;"')"" [(ngModel)]='"&amp;D32&amp;"' 
"&amp;REPT(CHAR(9),9)&amp;"name='"&amp;D32&amp;"'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IF(E32="string",
REPT(CHAR(9),8)&amp;"&lt;div class='input-search'&gt;
"&amp;REPT(CHAR(9),9)&amp;"&lt;input [(ngModel)]='"&amp;D32&amp;"' name='"&amp;D32&amp;"'
"&amp;REPT(CHAR(9),9)&amp;"class='form-control' [placeholder]=""l('"&amp;C32&amp;"')""
"&amp;REPT(CHAR(9),9)&amp;"type='text' (keyup.enter)='searchDatas()'&gt;
"&amp;REPT(CHAR(9),8)&amp;"&lt;/div&gt;",""))</f>
        <v xml:space="preserve">								&lt;div class='input-search'&gt;
									&lt;input [(ngModel)]='isShowLotNo' name='isShowLotNo'
									class='form-control' [placeholder]="l('Is Show Lot No')"
									type='text' (keyup.enter)='searchDatas()'&gt;
								&lt;/div&gt;</v>
      </c>
      <c r="J32" s="31"/>
      <c r="K32" s="38" t="str">
        <f>IF(OR(E32="DateTime",E32="TimeSpan"),
REPT(CHAR(9),5)&amp;"&lt;div class='col-md-12 form-group row'&gt;
"&amp;REPT(CHAR(9),6)&amp;"&lt;label class='col-md-2 form-control title'&gt;"&amp;C32&amp;"&lt;/label&gt;
"&amp;REPT(CHAR(9),6)&amp;"&lt;input type='text' class='col-md-10 form-control input-text' name='"&amp;D32&amp;"' 
"&amp;REPT(CHAR(9),6)&amp;"#datepicker='bsDatepicker' [(ngModel)]='rowdata."&amp;D32&amp;"'  bsDatepicker &gt;
"&amp;REPT(CHAR(9),5)&amp;"&lt;/div&gt;",
IF(AND(E32="string",F32="1"),
REPT(CHAR(9),5)&amp;"&lt;div class='col-md-12 form-group row'&gt;
"&amp;REPT(CHAR(9),6)&amp;"&lt;label class='col-md-2 form-control title'&gt;"&amp;C32&amp;"&lt;/label&gt;
"&amp;REPT(CHAR(9),6)&amp;"&lt;new-checkbox [(ngModel)]='_"&amp;D32&amp;"' name='"&amp;D32&amp;"' className='col-md-10' &gt; &lt;/new-checkbox&gt;
"&amp;REPT(CHAR(9),5)&amp;"&lt;/div&gt;",
IF(E32="string",
REPT(CHAR(9),5)&amp;"&lt;div class='col-md-12 form-group row'&gt;
"&amp;REPT(CHAR(9),6)&amp;"&lt;label class='col-md-2 form-control title'&gt;"&amp;C32&amp;"&lt;/label&gt;
"&amp;REPT(CHAR(9),6)&amp;"&lt;input type='text' class='col-md-10 form-control input-text' name='"&amp;B32&amp;"' [(ngModel)]='rowdata."&amp;D32&amp;"'&gt;
"&amp;REPT(CHAR(9),5)&amp;"&lt;/div&gt;",
IF(E32="int",
REPT(CHAR(9),5)&amp;"&lt;div class='col-md-12 form-group row'&gt;
"&amp;REPT(CHAR(9),6)&amp;"&lt;label class='col-md-2 form-control title'&gt;"&amp;C32&amp;"&lt;/label&gt;
"&amp;REPT(CHAR(9),6)&amp;"&lt;input type='number' class='col-md-10 form-control input-text' name='"&amp;B32&amp;"' [(ngModel)]='rowdata."&amp;D32&amp;"'&gt;
"&amp;REPT(CHAR(9),5)&amp;"&lt;/div&gt;",""))))</f>
        <v xml:space="preserve">					&lt;div class='col-md-12 form-group row'&gt;
						&lt;label class='col-md-2 form-control title'&gt;Is Show Lot No&lt;/label&gt;
						&lt;new-checkbox [(ngModel)]='_isShowLotNo' name='isShowLotNo' className='col-md-10' &gt; &lt;/new-checkbox&gt;
					&lt;/div&gt;</v>
      </c>
      <c r="L32" s="60" t="str">
        <f>IF(E32="DateTime",
REPT(CHAR(9),2)&amp;"const dateValue =  this.rowdata."&amp;D32&amp;" ? new Date(this.rowdata."&amp;D32&amp;"?.toString()) : new Date();
"&amp;REPT(CHAR(9),2)&amp;"this.datepicker?.bsValueChange.emit(dateValue);","")</f>
        <v/>
      </c>
      <c r="M32" s="31"/>
      <c r="N32" s="31"/>
      <c r="O32" s="31"/>
      <c r="P32" s="31"/>
      <c r="Q32" s="31"/>
      <c r="R32" s="31"/>
      <c r="S32" s="31" t="str">
        <f>REPT(CHAR(9),1)&amp;D32&amp;G32</f>
        <v xml:space="preserve">	isShowLotNo : string = '' ; </v>
      </c>
      <c r="T32" s="31" t="str">
        <f>REPT(CHAR(9),3)&amp;"this."&amp;D32&amp;","</f>
        <v xml:space="preserve">			this.isShowLotNo,</v>
      </c>
      <c r="U32" s="31" t="str">
        <f>IF(E32="int",REPT(CHAR(9),2)&amp;"this."&amp;D32&amp;" = 0,",REPT(CHAR(9),2)&amp;"this."&amp;D32&amp;" = '',")</f>
        <v xml:space="preserve">		this.isShowLotNo = '',</v>
      </c>
      <c r="V32" s="31" t="str">
        <f>IF(AND(E32="string",F32="1"),D32,"")</f>
        <v>isShowLotNo</v>
      </c>
    </row>
    <row r="33" spans="1:22" ht="15" customHeight="1" x14ac:dyDescent="0.25">
      <c r="A33" s="31" t="s">
        <v>338</v>
      </c>
      <c r="B33" s="31" t="str">
        <f>SUBSTITUTE(PROPER(A33),"_","")</f>
        <v>IsShowColor</v>
      </c>
      <c r="C33" s="31" t="str">
        <f>SUBSTITUTE(PROPER(A33),"_"," ")</f>
        <v>Is Show Color</v>
      </c>
      <c r="D33" s="31" t="str">
        <f>LOWER(LEFT(B33,1))&amp;RIGHT(B33,LEN(B33) - 1)</f>
        <v>isShowColor</v>
      </c>
      <c r="E33" s="31" t="str">
        <f>A.Backend!H27</f>
        <v>string</v>
      </c>
      <c r="F33" s="31" t="str">
        <f>A.Backend!G27</f>
        <v>1</v>
      </c>
      <c r="G33" s="31" t="str">
        <f>IF(E33="string"," : string = '' ; ",IF(OR(E33="DateTime",E33="TimeSpan")," : any ;",IF(E33="int"," : number = 0 ;","")))</f>
        <v xml:space="preserve"> : string = '' ; </v>
      </c>
      <c r="H33" s="38" t="str">
        <f>IF(E33="DateTime",
REPT(CHAR(9),3)&amp;"{headerName: this.l('"&amp;C33&amp;"'),headerTooltip: this.l('"&amp;C33&amp;"'),field: '"&amp;D33&amp;"',valueGetter: (params) =&gt; this.pipe.transform(params.data?."&amp;D33&amp;", 'dd/MM/yyyy'),flex: 1},",
IF(AND(E33="string",F33="1"),
REPT(CHAR(9),3)&amp;"{headerName: this.l('"&amp;C33&amp;"'),headerTooltip: this.l('"&amp;C33&amp;"'),field:  '"&amp;D33&amp;"', cellClass: ['text-center'], width: 120, cellRenderer: 'agCellButtonComponent',
buttonDefTwo: { text: params =&gt; (params.data?.'"&amp;D33&amp;"' == 'Y') ? 'Active' : 'Inactive',iconName: 'fa fa-circle',className: params =&gt; (params.data?.'"&amp;D33&amp;"' == 'Y') ? 'btnActive' : 'btnInActive',},}",
REPT(CHAR(9),3)&amp;"{headerName: this.l('"&amp;C33&amp;"'),headerTooltip: this.l('"&amp;C33&amp;"'),field: '"&amp;D33&amp;"',flex: 1},"))</f>
        <v xml:space="preserve">			{headerName: this.l('Is Show Color'),headerTooltip: this.l('Is Show Color'),field:  'isShowColor', cellClass: ['text-center'], width: 120, cellRenderer: 'agCellButtonComponent',
buttonDefTwo: { text: params =&gt; (params.data?.'isShowColor' == 'Y') ? 'Active' : 'Inactive',iconName: 'fa fa-circle',className: params =&gt; (params.data?.'isShowColor' == 'Y') ? 'btnActive' : 'btnInActive',},}</v>
      </c>
      <c r="I33" s="38" t="str">
        <f>IF(E33="DateTime",
REPT(CHAR(9),8)&amp;"&lt;div class='input-search'&gt;
"&amp;REPT(CHAR(9),9)&amp;"&lt;input type='text' [placeholder]=""l('"&amp;C33&amp;"')"" [(ngModel)]='"&amp;D33&amp;"' 
"&amp;REPT(CHAR(9),9)&amp;"name='"&amp;D33&amp;"'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IF(E33="string",
REPT(CHAR(9),8)&amp;"&lt;div class='input-search'&gt;
"&amp;REPT(CHAR(9),9)&amp;"&lt;input [(ngModel)]='"&amp;D33&amp;"' name='"&amp;D33&amp;"'
"&amp;REPT(CHAR(9),9)&amp;"class='form-control' [placeholder]=""l('"&amp;C33&amp;"')""
"&amp;REPT(CHAR(9),9)&amp;"type='text' (keyup.enter)='searchDatas()'&gt;
"&amp;REPT(CHAR(9),8)&amp;"&lt;/div&gt;",""))</f>
        <v xml:space="preserve">								&lt;div class='input-search'&gt;
									&lt;input [(ngModel)]='isShowColor' name='isShowColor'
									class='form-control' [placeholder]="l('Is Show Color')"
									type='text' (keyup.enter)='searchDatas()'&gt;
								&lt;/div&gt;</v>
      </c>
      <c r="J33" s="31"/>
      <c r="K33" s="38" t="str">
        <f>IF(OR(E33="DateTime",E33="TimeSpan"),
REPT(CHAR(9),5)&amp;"&lt;div class='col-md-12 form-group row'&gt;
"&amp;REPT(CHAR(9),6)&amp;"&lt;label class='col-md-2 form-control title'&gt;"&amp;C33&amp;"&lt;/label&gt;
"&amp;REPT(CHAR(9),6)&amp;"&lt;input type='text' class='col-md-10 form-control input-text' name='"&amp;D33&amp;"' 
"&amp;REPT(CHAR(9),6)&amp;"#datepicker='bsDatepicker' [(ngModel)]='rowdata."&amp;D33&amp;"'  bsDatepicker &gt;
"&amp;REPT(CHAR(9),5)&amp;"&lt;/div&gt;",
IF(AND(E33="string",F33="1"),
REPT(CHAR(9),5)&amp;"&lt;div class='col-md-12 form-group row'&gt;
"&amp;REPT(CHAR(9),6)&amp;"&lt;label class='col-md-2 form-control title'&gt;"&amp;C33&amp;"&lt;/label&gt;
"&amp;REPT(CHAR(9),6)&amp;"&lt;new-checkbox [(ngModel)]='_"&amp;D33&amp;"' name='"&amp;D33&amp;"' className='col-md-10' &gt; &lt;/new-checkbox&gt;
"&amp;REPT(CHAR(9),5)&amp;"&lt;/div&gt;",
IF(E33="string",
REPT(CHAR(9),5)&amp;"&lt;div class='col-md-12 form-group row'&gt;
"&amp;REPT(CHAR(9),6)&amp;"&lt;label class='col-md-2 form-control title'&gt;"&amp;C33&amp;"&lt;/label&gt;
"&amp;REPT(CHAR(9),6)&amp;"&lt;input type='text' class='col-md-10 form-control input-text' name='"&amp;B33&amp;"' [(ngModel)]='rowdata."&amp;D33&amp;"'&gt;
"&amp;REPT(CHAR(9),5)&amp;"&lt;/div&gt;",
IF(E33="int",
REPT(CHAR(9),5)&amp;"&lt;div class='col-md-12 form-group row'&gt;
"&amp;REPT(CHAR(9),6)&amp;"&lt;label class='col-md-2 form-control title'&gt;"&amp;C33&amp;"&lt;/label&gt;
"&amp;REPT(CHAR(9),6)&amp;"&lt;input type='number' class='col-md-10 form-control input-text' name='"&amp;B33&amp;"' [(ngModel)]='rowdata."&amp;D33&amp;"'&gt;
"&amp;REPT(CHAR(9),5)&amp;"&lt;/div&gt;",""))))</f>
        <v xml:space="preserve">					&lt;div class='col-md-12 form-group row'&gt;
						&lt;label class='col-md-2 form-control title'&gt;Is Show Color&lt;/label&gt;
						&lt;new-checkbox [(ngModel)]='_isShowColor' name='isShowColor' className='col-md-10' &gt; &lt;/new-checkbox&gt;
					&lt;/div&gt;</v>
      </c>
      <c r="L33" s="60" t="str">
        <f>IF(E33="DateTime",
REPT(CHAR(9),2)&amp;"const dateValue =  this.rowdata."&amp;D33&amp;" ? new Date(this.rowdata."&amp;D33&amp;"?.toString()) : new Date();
"&amp;REPT(CHAR(9),2)&amp;"this.datepicker?.bsValueChange.emit(dateValue);","")</f>
        <v/>
      </c>
      <c r="M33" s="31"/>
      <c r="N33" s="31"/>
      <c r="O33" s="31"/>
      <c r="P33" s="31"/>
      <c r="Q33" s="31"/>
      <c r="R33" s="31"/>
      <c r="S33" s="31" t="str">
        <f>REPT(CHAR(9),1)&amp;D33&amp;G33</f>
        <v xml:space="preserve">	isShowColor : string = '' ; </v>
      </c>
      <c r="T33" s="31" t="str">
        <f>REPT(CHAR(9),3)&amp;"this."&amp;D33&amp;","</f>
        <v xml:space="preserve">			this.isShowColor,</v>
      </c>
      <c r="U33" s="31" t="str">
        <f>IF(E33="int",REPT(CHAR(9),2)&amp;"this."&amp;D33&amp;" = 0,",REPT(CHAR(9),2)&amp;"this."&amp;D33&amp;" = '',")</f>
        <v xml:space="preserve">		this.isShowColor = '',</v>
      </c>
      <c r="V33" s="31" t="str">
        <f>IF(AND(E33="string",F33="1"),D33,"")</f>
        <v>isShowColor</v>
      </c>
    </row>
    <row r="34" spans="1:22" ht="18" customHeight="1" x14ac:dyDescent="0.25">
      <c r="A34" s="31" t="s">
        <v>323</v>
      </c>
      <c r="B34" s="31" t="str">
        <f t="shared" ref="B34" si="84">SUBSTITUTE(PROPER(A34),"_","")</f>
        <v>IsActive</v>
      </c>
      <c r="C34" s="31" t="str">
        <f t="shared" ref="C34" si="85">SUBSTITUTE(PROPER(A34),"_"," ")</f>
        <v>Is Active</v>
      </c>
      <c r="D34" s="31" t="str">
        <f t="shared" ref="D34" si="86">LOWER(LEFT(B34,1))&amp;RIGHT(B34,LEN(B34) - 1)</f>
        <v>isActive</v>
      </c>
      <c r="E34" s="31" t="str">
        <f>A.Backend!H28</f>
        <v>string</v>
      </c>
      <c r="F34" s="31" t="str">
        <f>A.Backend!G28</f>
        <v>1</v>
      </c>
      <c r="G34" s="31" t="str">
        <f t="shared" ref="G34" si="87">IF(E34="string"," : string = '' ; ",IF(OR(E34="DateTime",E34="TimeSpan")," : any ;",IF(E34="int"," : number = 0 ;","")))</f>
        <v xml:space="preserve"> : string = '' ; </v>
      </c>
      <c r="H34" s="38" t="str">
        <f t="shared" ref="H34" si="88">IF(E34="DateTime",
REPT(CHAR(9),3)&amp;"{headerName: this.l('"&amp;C34&amp;"'),headerTooltip: this.l('"&amp;C34&amp;"'),field: '"&amp;D34&amp;"',valueGetter: (params) =&gt; this.pipe.transform(params.data?."&amp;D34&amp;", 'dd/MM/yyyy'),flex: 1},",
IF(AND(E34="string",F34="1"),
REPT(CHAR(9),3)&amp;"{headerName: this.l('"&amp;C34&amp;"'),headerTooltip: this.l('"&amp;C34&amp;"'),field:  '"&amp;D34&amp;"', cellClass: ['text-center'], width: 120, cellRenderer: 'agCellButtonComponent',
buttonDefTwo: { text: params =&gt; (params.data?.'"&amp;D34&amp;"' == 'Y') ? 'Active' : 'Inactive',iconName: 'fa fa-circle',className: params =&gt; (params.data?.'"&amp;D34&amp;"' == 'Y') ? 'btnActive' : 'btnInActive',},}",
REPT(CHAR(9),3)&amp;"{headerName: this.l('"&amp;C34&amp;"'),headerTooltip: this.l('"&amp;C34&amp;"'),field: '"&amp;D34&amp;"',flex: 1},"))</f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34" s="38" t="str">
        <f t="shared" ref="I34" si="89">IF(E34="DateTime",
REPT(CHAR(9),8)&amp;"&lt;div class='input-search'&gt;
"&amp;REPT(CHAR(9),9)&amp;"&lt;input type='text' [placeholder]=""l('"&amp;C34&amp;"')"" [(ngModel)]='"&amp;D34&amp;"' 
"&amp;REPT(CHAR(9),9)&amp;"name='"&amp;D34&amp;"'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IF(E34="string",
REPT(CHAR(9),8)&amp;"&lt;div class='input-search'&gt;
"&amp;REPT(CHAR(9),9)&amp;"&lt;input [(ngModel)]='"&amp;D34&amp;"' name='"&amp;D34&amp;"'
"&amp;REPT(CHAR(9),9)&amp;"class='form-control' [placeholder]=""l('"&amp;C34&amp;"')""
"&amp;REPT(CHAR(9),9)&amp;"type='text' (keyup.enter)='searchDatas()'&gt;
"&amp;REPT(CHAR(9),8)&amp;"&lt;/div&gt;",""))</f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34" s="31"/>
      <c r="K34" s="38" t="str">
        <f t="shared" ref="K34" si="90">IF(OR(E34="DateTime",E34="TimeSpan"),
REPT(CHAR(9),5)&amp;"&lt;div class='col-md-12 form-group row'&gt;
"&amp;REPT(CHAR(9),6)&amp;"&lt;label class='col-md-2 form-control title'&gt;"&amp;C34&amp;"&lt;/label&gt;
"&amp;REPT(CHAR(9),6)&amp;"&lt;input type='text' class='col-md-10 form-control input-text' name='"&amp;D34&amp;"' 
"&amp;REPT(CHAR(9),6)&amp;"#datepicker='bsDatepicker' [(ngModel)]='rowdata."&amp;D34&amp;"'  bsDatepicker &gt;
"&amp;REPT(CHAR(9),5)&amp;"&lt;/div&gt;",
IF(AND(E34="string",F34="1"),
REPT(CHAR(9),5)&amp;"&lt;div class='col-md-12 form-group row'&gt;
"&amp;REPT(CHAR(9),6)&amp;"&lt;label class='col-md-2 form-control title'&gt;"&amp;C34&amp;"&lt;/label&gt;
"&amp;REPT(CHAR(9),6)&amp;"&lt;new-checkbox [(ngModel)]='_"&amp;D34&amp;"' name='"&amp;D34&amp;"' className='col-md-10' &gt; &lt;/new-checkbox&gt;
"&amp;REPT(CHAR(9),5)&amp;"&lt;/div&gt;",
IF(E34="string",
REPT(CHAR(9),5)&amp;"&lt;div class='col-md-12 form-group row'&gt;
"&amp;REPT(CHAR(9),6)&amp;"&lt;label class='col-md-2 form-control title'&gt;"&amp;C34&amp;"&lt;/label&gt;
"&amp;REPT(CHAR(9),6)&amp;"&lt;input type='text' class='col-md-10 form-control input-text' name='"&amp;B34&amp;"' [(ngModel)]='rowdata."&amp;D34&amp;"'&gt;
"&amp;REPT(CHAR(9),5)&amp;"&lt;/div&gt;",
IF(E34="int",
REPT(CHAR(9),5)&amp;"&lt;div class='col-md-12 form-group row'&gt;
"&amp;REPT(CHAR(9),6)&amp;"&lt;label class='col-md-2 form-control title'&gt;"&amp;C34&amp;"&lt;/label&gt;
"&amp;REPT(CHAR(9),6)&amp;"&lt;input type='number' class='col-md-10 form-control input-text' name='"&amp;B34&amp;"' [(ngModel)]='rowdata."&amp;D34&amp;"'&gt;
"&amp;REPT(CHAR(9),5)&amp;"&lt;/div&gt;",""))))</f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34" s="60" t="str">
        <f t="shared" ref="L34" si="91">IF(E34="DateTime",
REPT(CHAR(9),2)&amp;"const dateValue =  this.rowdata."&amp;D34&amp;" ? new Date(this.rowdata."&amp;D34&amp;"?.toString()) : new Date();
"&amp;REPT(CHAR(9),2)&amp;"this.datepicker?.bsValueChange.emit(dateValue);","")</f>
        <v/>
      </c>
      <c r="M34" s="31"/>
      <c r="N34" s="31"/>
      <c r="O34" s="31"/>
      <c r="P34" s="31"/>
      <c r="Q34" s="31"/>
      <c r="R34" s="31"/>
      <c r="S34" s="31" t="str">
        <f t="shared" ref="S34" si="92">REPT(CHAR(9),1)&amp;D34&amp;G34</f>
        <v xml:space="preserve">	isActive : string = '' ; </v>
      </c>
      <c r="T34" s="31" t="str">
        <f t="shared" ref="T34" si="93">REPT(CHAR(9),3)&amp;"this."&amp;D34&amp;","</f>
        <v xml:space="preserve">			this.isActive,</v>
      </c>
      <c r="U34" s="31" t="str">
        <f t="shared" ref="U34" si="94">IF(E34="int",REPT(CHAR(9),2)&amp;"this."&amp;D34&amp;" = 0,",REPT(CHAR(9),2)&amp;"this."&amp;D34&amp;" = '',")</f>
        <v xml:space="preserve">		this.isActive = '',</v>
      </c>
      <c r="V34" s="31" t="str">
        <f t="shared" ref="V34" si="95">IF(AND(E34="string",F34="1"),D34,"")</f>
        <v>isActive</v>
      </c>
    </row>
    <row r="37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topLeftCell="A76" workbookViewId="0">
      <selection activeCell="E95" sqref="E95"/>
    </sheetView>
  </sheetViews>
  <sheetFormatPr defaultColWidth="8.85546875"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2023-02-22T11:47:29Z</dcterms:modified>
</cp:coreProperties>
</file>
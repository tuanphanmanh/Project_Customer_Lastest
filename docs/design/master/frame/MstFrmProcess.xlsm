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ProductTmv\prod\docs\design\master\frame\"/>
    </mc:Choice>
  </mc:AlternateContent>
  <xr:revisionPtr revIDLastSave="0" documentId="13_ncr:1_{09B69EA2-7DAA-4C4E-93F4-D163978A3FF7}" xr6:coauthVersionLast="36" xr6:coauthVersionMax="36" xr10:uidLastSave="{00000000-0000-0000-0000-000000000000}"/>
  <bookViews>
    <workbookView xWindow="0" yWindow="0" windowWidth="28800" windowHeight="11805" activeTab="2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6" i="5" l="1"/>
  <c r="L17" i="5"/>
  <c r="L18" i="5"/>
  <c r="L19" i="5"/>
  <c r="L20" i="5"/>
  <c r="L21" i="5"/>
  <c r="L22" i="5"/>
  <c r="L23" i="5"/>
  <c r="L15" i="5"/>
  <c r="K16" i="5"/>
  <c r="K17" i="5"/>
  <c r="K18" i="5"/>
  <c r="K19" i="5"/>
  <c r="K20" i="5"/>
  <c r="K21" i="5"/>
  <c r="K22" i="5"/>
  <c r="K23" i="5"/>
  <c r="K15" i="5"/>
  <c r="H16" i="5"/>
  <c r="H17" i="5"/>
  <c r="H18" i="5"/>
  <c r="H19" i="5"/>
  <c r="H20" i="5"/>
  <c r="H21" i="5"/>
  <c r="H22" i="5"/>
  <c r="H23" i="5"/>
  <c r="I16" i="5"/>
  <c r="I17" i="5"/>
  <c r="I18" i="5"/>
  <c r="I19" i="5"/>
  <c r="I20" i="5"/>
  <c r="I21" i="5"/>
  <c r="I22" i="5"/>
  <c r="I23" i="5"/>
  <c r="I15" i="5"/>
  <c r="H15" i="5"/>
  <c r="C22" i="5" l="1"/>
  <c r="B22" i="5"/>
  <c r="D22" i="5" s="1"/>
  <c r="C21" i="5"/>
  <c r="B21" i="5"/>
  <c r="D21" i="5" s="1"/>
  <c r="B20" i="5"/>
  <c r="D20" i="5" s="1"/>
  <c r="T22" i="5" l="1"/>
  <c r="T20" i="5"/>
  <c r="T21" i="5"/>
  <c r="C20" i="5"/>
  <c r="G16" i="1"/>
  <c r="F22" i="5" s="1"/>
  <c r="E16" i="1"/>
  <c r="H16" i="1" s="1"/>
  <c r="E22" i="5" s="1"/>
  <c r="G22" i="5" s="1"/>
  <c r="D16" i="1"/>
  <c r="V16" i="1" s="1"/>
  <c r="G15" i="1"/>
  <c r="F21" i="5" s="1"/>
  <c r="E15" i="1"/>
  <c r="H15" i="1" s="1"/>
  <c r="E21" i="5" s="1"/>
  <c r="G21" i="5" s="1"/>
  <c r="D15" i="1"/>
  <c r="P15" i="1" s="1"/>
  <c r="L14" i="1"/>
  <c r="G14" i="1"/>
  <c r="F20" i="5" s="1"/>
  <c r="E14" i="1"/>
  <c r="H14" i="1" s="1"/>
  <c r="D14" i="1"/>
  <c r="V14" i="1" s="1"/>
  <c r="E20" i="5" l="1"/>
  <c r="G20" i="5" s="1"/>
  <c r="V22" i="5"/>
  <c r="S22" i="5"/>
  <c r="U22" i="5"/>
  <c r="S20" i="5"/>
  <c r="T15" i="1"/>
  <c r="N15" i="1"/>
  <c r="V21" i="5"/>
  <c r="U20" i="5"/>
  <c r="P14" i="1"/>
  <c r="P16" i="1"/>
  <c r="N16" i="1"/>
  <c r="I16" i="1"/>
  <c r="W16" i="1"/>
  <c r="J16" i="1"/>
  <c r="M16" i="1"/>
  <c r="O16" i="1"/>
  <c r="N14" i="1"/>
  <c r="I14" i="1"/>
  <c r="W14" i="1"/>
  <c r="O14" i="1"/>
  <c r="J14" i="1"/>
  <c r="M14" i="1"/>
  <c r="M15" i="1"/>
  <c r="T14" i="1"/>
  <c r="J15" i="1"/>
  <c r="O15" i="1"/>
  <c r="W15" i="1"/>
  <c r="T16" i="1"/>
  <c r="I15" i="1"/>
  <c r="V15" i="1"/>
  <c r="V20" i="5" l="1"/>
  <c r="S21" i="5"/>
  <c r="U21" i="5"/>
  <c r="W3" i="1"/>
  <c r="V3" i="1"/>
  <c r="B2" i="5" l="1"/>
  <c r="B3" i="5" s="1"/>
  <c r="B23" i="5"/>
  <c r="D23" i="5" s="1"/>
  <c r="C19" i="5"/>
  <c r="B18" i="5"/>
  <c r="D18" i="5" s="1"/>
  <c r="L17" i="1"/>
  <c r="G17" i="1"/>
  <c r="F23" i="5" s="1"/>
  <c r="E17" i="1"/>
  <c r="H17" i="1" s="1"/>
  <c r="E23" i="5" s="1"/>
  <c r="G23" i="5" s="1"/>
  <c r="D17" i="1"/>
  <c r="L13" i="1"/>
  <c r="G13" i="1"/>
  <c r="F19" i="5" s="1"/>
  <c r="E13" i="1"/>
  <c r="H13" i="1" s="1"/>
  <c r="E19" i="5" s="1"/>
  <c r="G19" i="5" s="1"/>
  <c r="D13" i="1"/>
  <c r="G12" i="1"/>
  <c r="F18" i="5" s="1"/>
  <c r="E12" i="1"/>
  <c r="H12" i="1" s="1"/>
  <c r="E18" i="5" s="1"/>
  <c r="G18" i="5" s="1"/>
  <c r="D12" i="1"/>
  <c r="T12" i="1" l="1"/>
  <c r="V12" i="1"/>
  <c r="O13" i="1"/>
  <c r="M13" i="1"/>
  <c r="N12" i="1"/>
  <c r="O12" i="1"/>
  <c r="M12" i="1"/>
  <c r="O17" i="1"/>
  <c r="M17" i="1"/>
  <c r="N17" i="1"/>
  <c r="T13" i="1"/>
  <c r="V13" i="1"/>
  <c r="T17" i="1"/>
  <c r="V17" i="1"/>
  <c r="W17" i="1"/>
  <c r="W12" i="1"/>
  <c r="W13" i="1"/>
  <c r="T18" i="5"/>
  <c r="T23" i="5"/>
  <c r="P13" i="1"/>
  <c r="C18" i="5"/>
  <c r="C23" i="5"/>
  <c r="B19" i="5"/>
  <c r="D19" i="5" s="1"/>
  <c r="J12" i="1"/>
  <c r="I12" i="1"/>
  <c r="I17" i="1"/>
  <c r="J17" i="1"/>
  <c r="I13" i="1"/>
  <c r="P12" i="1"/>
  <c r="P17" i="1"/>
  <c r="B6" i="5"/>
  <c r="U19" i="5" l="1"/>
  <c r="V19" i="5"/>
  <c r="S23" i="5"/>
  <c r="U23" i="5"/>
  <c r="V23" i="5"/>
  <c r="S18" i="5"/>
  <c r="U18" i="5"/>
  <c r="V18" i="5"/>
  <c r="T19" i="5"/>
  <c r="S19" i="5"/>
  <c r="U7" i="1" l="1"/>
  <c r="B7" i="5" l="1"/>
  <c r="Q3" i="1" l="1"/>
  <c r="O7" i="1" s="1"/>
  <c r="T3" i="1"/>
  <c r="F3" i="1"/>
  <c r="B4" i="5" l="1"/>
  <c r="N7" i="1"/>
  <c r="E38" i="3" s="1"/>
  <c r="K7" i="1"/>
  <c r="H6" i="1"/>
  <c r="R10" i="5" l="1"/>
  <c r="M45" i="3" s="1"/>
  <c r="N38" i="3" l="1"/>
  <c r="B8" i="5"/>
  <c r="B5" i="5"/>
  <c r="D9" i="1"/>
  <c r="V9" i="1" l="1"/>
  <c r="T9" i="1"/>
  <c r="P10" i="5"/>
  <c r="K45" i="3" s="1"/>
  <c r="Q10" i="5"/>
  <c r="L45" i="3" s="1"/>
  <c r="B43" i="3"/>
  <c r="C43" i="3" s="1"/>
  <c r="M14" i="5"/>
  <c r="H44" i="3" s="1"/>
  <c r="L14" i="5"/>
  <c r="G44" i="3" s="1"/>
  <c r="K14" i="5"/>
  <c r="F44" i="3" s="1"/>
  <c r="L44" i="3"/>
  <c r="K44" i="3"/>
  <c r="O14" i="5"/>
  <c r="J44" i="3" s="1"/>
  <c r="N14" i="5"/>
  <c r="I44" i="3" s="1"/>
  <c r="J14" i="5"/>
  <c r="E44" i="3" s="1"/>
  <c r="I14" i="5"/>
  <c r="D44" i="3" s="1"/>
  <c r="H14" i="5"/>
  <c r="C44" i="3" s="1"/>
  <c r="O10" i="5"/>
  <c r="J45" i="3" s="1"/>
  <c r="N10" i="5"/>
  <c r="I45" i="3" s="1"/>
  <c r="M10" i="5"/>
  <c r="H45" i="3" s="1"/>
  <c r="J10" i="5"/>
  <c r="E45" i="3" s="1"/>
  <c r="N3" i="1" l="1"/>
  <c r="M3" i="1"/>
  <c r="O3" i="1"/>
  <c r="D10" i="1"/>
  <c r="D11" i="1"/>
  <c r="V10" i="1" l="1"/>
  <c r="T10" i="1"/>
  <c r="V11" i="1"/>
  <c r="T11" i="1"/>
  <c r="C15" i="5"/>
  <c r="B15" i="5"/>
  <c r="D15" i="5" s="1"/>
  <c r="V19" i="1"/>
  <c r="T12" i="5" l="1"/>
  <c r="H12" i="5"/>
  <c r="V12" i="5"/>
  <c r="I12" i="5"/>
  <c r="L12" i="5"/>
  <c r="U12" i="5"/>
  <c r="K12" i="5"/>
  <c r="S12" i="5"/>
  <c r="T15" i="5"/>
  <c r="C17" i="5"/>
  <c r="B17" i="5"/>
  <c r="D17" i="5" s="1"/>
  <c r="C16" i="5"/>
  <c r="B16" i="5"/>
  <c r="D16" i="5" l="1"/>
  <c r="T16" i="5" s="1"/>
  <c r="T17" i="5"/>
  <c r="R3" i="1"/>
  <c r="D1" i="1"/>
  <c r="F6" i="1"/>
  <c r="T13" i="5"/>
  <c r="L11" i="1" l="1"/>
  <c r="G9" i="1"/>
  <c r="F15" i="5" s="1"/>
  <c r="G10" i="1"/>
  <c r="F16" i="5" s="1"/>
  <c r="G11" i="1"/>
  <c r="F17" i="5" s="1"/>
  <c r="E9" i="1"/>
  <c r="H9" i="1" s="1"/>
  <c r="E10" i="1"/>
  <c r="H10" i="1" s="1"/>
  <c r="E16" i="5" s="1"/>
  <c r="G16" i="5" s="1"/>
  <c r="E11" i="1"/>
  <c r="H11" i="1" s="1"/>
  <c r="E17" i="5" s="1"/>
  <c r="G17" i="5" s="1"/>
  <c r="P9" i="1"/>
  <c r="P10" i="1"/>
  <c r="P11" i="1"/>
  <c r="T19" i="1"/>
  <c r="O9" i="1" l="1"/>
  <c r="M9" i="1"/>
  <c r="O11" i="1"/>
  <c r="M11" i="1"/>
  <c r="N11" i="1"/>
  <c r="O10" i="1"/>
  <c r="M10" i="1"/>
  <c r="W11" i="1"/>
  <c r="E15" i="5"/>
  <c r="W9" i="1"/>
  <c r="W10" i="1"/>
  <c r="T7" i="1"/>
  <c r="I11" i="1"/>
  <c r="I10" i="1"/>
  <c r="I9" i="1"/>
  <c r="W19" i="1"/>
  <c r="S16" i="5" l="1"/>
  <c r="U16" i="5"/>
  <c r="V16" i="5"/>
  <c r="G15" i="5"/>
  <c r="S15" i="5" s="1"/>
  <c r="V15" i="5"/>
  <c r="U15" i="5"/>
  <c r="S17" i="5"/>
  <c r="U17" i="5"/>
  <c r="V17" i="5"/>
  <c r="G6" i="1"/>
  <c r="S13" i="5"/>
  <c r="I13" i="5"/>
  <c r="L13" i="5"/>
  <c r="H13" i="5"/>
  <c r="U13" i="5"/>
  <c r="V13" i="5"/>
  <c r="K13" i="5"/>
  <c r="K10" i="5" l="1"/>
  <c r="F45" i="3" s="1"/>
  <c r="I10" i="5"/>
  <c r="D45" i="3" s="1"/>
  <c r="H10" i="5"/>
  <c r="C45" i="3" s="1"/>
  <c r="L10" i="5"/>
  <c r="G45" i="3" s="1"/>
  <c r="L38" i="3"/>
  <c r="D38" i="3"/>
  <c r="D6" i="1"/>
  <c r="B6" i="1" l="1"/>
  <c r="L3" i="1"/>
  <c r="J3" i="1"/>
  <c r="H3" i="1"/>
  <c r="C6" i="1" l="1"/>
  <c r="P7" i="1" s="1"/>
  <c r="S3" i="1"/>
  <c r="S7" i="1" s="1"/>
  <c r="E6" i="1"/>
  <c r="F38" i="3"/>
  <c r="I3" i="1" l="1"/>
  <c r="B7" i="1"/>
  <c r="L15" i="1" s="1"/>
  <c r="J13" i="1" l="1"/>
  <c r="N13" i="1"/>
  <c r="N10" i="1"/>
  <c r="N9" i="1"/>
  <c r="L12" i="1"/>
  <c r="L16" i="1"/>
  <c r="L9" i="1"/>
  <c r="L10" i="1"/>
  <c r="J11" i="1"/>
  <c r="J9" i="1"/>
  <c r="J10" i="1"/>
  <c r="C7" i="1"/>
  <c r="O19" i="1"/>
  <c r="J19" i="1"/>
  <c r="P19" i="1"/>
  <c r="I19" i="1"/>
  <c r="N19" i="1"/>
  <c r="Q7" i="1" l="1"/>
  <c r="M38" i="3" s="1"/>
  <c r="L7" i="1"/>
  <c r="G38" i="3" s="1"/>
  <c r="K38" i="3"/>
  <c r="J38" i="3"/>
  <c r="K19" i="1"/>
  <c r="M19" i="1"/>
  <c r="R7" i="1" l="1"/>
  <c r="I38" i="3" s="1"/>
  <c r="M7" i="1"/>
  <c r="H38" i="3" s="1"/>
  <c r="J7" i="1"/>
  <c r="C3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3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3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37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3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3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37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37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J37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37" authorId="1" shapeId="0" xr:uid="{00000000-0006-0000-0000-000009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L37" authorId="1" shapeId="0" xr:uid="{00000000-0006-0000-0000-00000A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M37" authorId="1" shapeId="0" xr:uid="{00000000-0006-0000-0000-00000B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N37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<sst xmlns="http://schemas.openxmlformats.org/spreadsheetml/2006/main" count="368" uniqueCount="289">
  <si>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</si>
  <si>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</si>
  <si>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</si>
  <si>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</si>
  <si>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</si>
  <si>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</si>
  <si>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</si>
  <si>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</si>
  <si>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</si>
  <si>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</si>
  <si>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</si>
  <si>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</si>
  <si>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</si>
  <si>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</si>
  <si>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</si>
  <si>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</si>
  <si>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</si>
  <si>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</si>
  <si>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</si>
  <si>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</si>
  <si>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</si>
  <si>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</si>
  <si>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</si>
  <si>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</si>
  <si>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</si>
  <si>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</si>
  <si>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</si>
  <si>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</si>
  <si>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</si>
  <si>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</si>
  <si>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</si>
  <si>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</si>
  <si>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</si>
  <si>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</si>
  <si>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</si>
  <si>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</si>
  <si>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</si>
  <si>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</si>
  <si>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</si>
  <si>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</si>
  <si>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</si>
  <si>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</si>
  <si>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</si>
  <si>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</si>
  <si>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</si>
  <si>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</si>
  <si>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</si>
  <si>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</si>
  <si>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</si>
  <si>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</si>
  <si>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</si>
  <si>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</si>
  <si>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</si>
  <si>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</si>
  <si>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</si>
  <si>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</si>
  <si>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</si>
  <si>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</si>
  <si>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</si>
  <si>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</si>
  <si>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</si>
  <si>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</si>
  <si>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</si>
  <si>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</si>
  <si>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</si>
  <si>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</si>
  <si>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</si>
  <si>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</si>
  <si>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</si>
  <si>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</si>
  <si>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</si>
  <si>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</si>
  <si>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</si>
  <si>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</si>
  <si>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</si>
  <si>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</si>
  <si>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</si>
  <si>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</si>
  <si>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</si>
  <si>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</si>
  <si>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Unchecked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</si>
  <si>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</si>
  <si>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</si>
  <si>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</si>
  <si>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</si>
  <si>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</si>
  <si>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</si>
  <si>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</si>
  <si>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</si>
  <si>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</si>
  <si>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</si>
  <si>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</si>
  <si>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</si>
  <si>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</si>
  <si>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</si>
  <si>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</si>
  <si>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</si>
  <si>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</si>
  <si>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</si>
  <si>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</si>
  <si>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</si>
  <si>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</si>
  <si>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</si>
  <si>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</si>
  <si>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</si>
  <si>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</si>
  <si>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</si>
  <si>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</si>
  <si>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</si>
  <si>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</si>
  <si>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</si>
  <si>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</si>
  <si>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</si>
  <si>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</si>
  <si>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</si>
  <si>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</si>
  <si>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</si>
  <si>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</si>
  <si>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</si>
  <si>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</si>
  <si>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</si>
  <si>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</si>
  <si>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</si>
  <si>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</si>
  <si>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</si>
  <si>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</si>
  <si>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</si>
  <si>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</si>
  <si>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</si>
  <si>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</si>
  <si>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</si>
  <si>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</si>
  <si>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</si>
  <si>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</si>
  <si>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</si>
  <si>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</si>
  <si>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</si>
  <si>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</si>
  <si>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</si>
  <si>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</si>
  <si>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</si>
  <si>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</si>
  <si>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</si>
  <si>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</si>
  <si>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</si>
  <si>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</si>
  <si>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</si>
  <si>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</si>
  <si>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</si>
  <si>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</si>
  <si>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</si>
  <si>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</si>
  <si>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</si>
  <si>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</si>
  <si>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</si>
  <si>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</si>
  <si>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</si>
  <si>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</si>
  <si>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</si>
  <si>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</si>
  <si>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</si>
  <si>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</si>
  <si>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</si>
  <si>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</si>
  <si>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</si>
  <si>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</si>
  <si>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</si>
  <si>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</si>
  <si>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</si>
  <si>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</si>
  <si>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</si>
  <si>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</si>
  <si>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</si>
  <si>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</si>
  <si>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</si>
  <si>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</si>
  <si>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</si>
  <si>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</si>
  <si>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</si>
  <si>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</si>
  <si>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</si>
  <si>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</si>
  <si>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</si>
  <si>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</si>
  <si>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</si>
  <si>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</si>
  <si>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</si>
  <si>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</si>
  <si>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</si>
  <si>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</si>
  <si>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</si>
  <si>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</si>
  <si>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</si>
  <si>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</si>
  <si>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</si>
  <si>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</si>
  <si>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</si>
  <si>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</si>
  <si>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</si>
  <si>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</si>
  <si>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</si>
  <si>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</si>
  <si>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</si>
  <si>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</si>
  <si>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</si>
  <si>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</si>
  <si>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</si>
  <si>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</si>
  <si>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</si>
  <si>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</si>
  <si>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</si>
  <si>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</si>
  <si>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</si>
  <si>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</si>
  <si>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</si>
  <si>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</si>
  <si>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</si>
  <si>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</si>
  <si>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</si>
  <si>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</si>
  <si>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</si>
  <si>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</si>
  <si>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</si>
  <si>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</si>
  <si>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</si>
  <si>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</si>
  <si>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</si>
  <si>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</si>
  <si>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</si>
  <si>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</si>
  <si>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</si>
  <si>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</si>
  <si>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</si>
  <si>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</si>
  <si>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</si>
  <si>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</si>
  <si>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</si>
  <si>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</si>
  <si>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</si>
  <si>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</si>
  <si>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</si>
  <si>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</si>
  <si>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</si>
  <si>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</si>
  <si>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</si>
  <si>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</si>
  <si>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</si>
  <si>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</si>
  <si>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</si>
  <si>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</si>
  <si>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</si>
  <si>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</si>
  <si>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</si>
  <si>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</si>
  <si>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</si>
  <si>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</si>
  <si>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</si>
  <si>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</si>
  <si>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</si>
  <si>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</si>
  <si>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</si>
  <si>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</si>
  <si>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</si>
  <si>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</si>
  <si>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</si>
  <si>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</si>
  <si>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</si>
  <si>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</si>
  <si>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</si>
  <si>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</si>
  <si>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PROCESS_SEQ</t>
  </si>
  <si>
    <t>PROCESS_CODE</t>
  </si>
  <si>
    <t>varchar(50)</t>
  </si>
  <si>
    <t>PROCESS_NAME</t>
  </si>
  <si>
    <t>nvarchar(1000)</t>
  </si>
  <si>
    <t>PROCESS_DESC</t>
  </si>
  <si>
    <t>PROCESS_GROUP</t>
  </si>
  <si>
    <t>GROUP_NAME</t>
  </si>
  <si>
    <t>varchar(100)</t>
  </si>
  <si>
    <t>PROCESS_SUBGROUP</t>
  </si>
  <si>
    <t>SUBGROUP_NAME</t>
  </si>
  <si>
    <t>IS_ACTIVE</t>
  </si>
  <si>
    <t>varchar(1)</t>
  </si>
  <si>
    <t>Process</t>
  </si>
  <si>
    <t>Master.Frame</t>
  </si>
  <si>
    <t>MstFrmProcess</t>
  </si>
  <si>
    <t>Master Frame Process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</si>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</sst>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47"/>
  <sheetViews>
    <sheetView topLeftCell="A26" workbookViewId="0">
      <selection activeCell="F38" sqref="F38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6" ht="23.25" x14ac:dyDescent="0.35">
      <c r="A1" s="15" t="s">
        <v>74</v>
      </c>
    </row>
    <row r="2" spans="1:6" ht="15.75" x14ac:dyDescent="0.25">
      <c r="A2" s="1"/>
      <c r="B2" s="27" t="s">
        <v>197</v>
      </c>
    </row>
    <row r="3" spans="1:6" x14ac:dyDescent="0.25">
      <c r="A3" s="1"/>
      <c r="B3" s="1" t="s">
        <v>77</v>
      </c>
    </row>
    <row r="4" spans="1:6" x14ac:dyDescent="0.25">
      <c r="A4" s="1"/>
      <c r="B4" s="17" t="s">
        <v>76</v>
      </c>
    </row>
    <row r="5" spans="1:6" x14ac:dyDescent="0.25">
      <c r="A5" s="1"/>
      <c r="B5" s="17" t="s">
        <v>79</v>
      </c>
    </row>
    <row r="6" spans="1:6" x14ac:dyDescent="0.25">
      <c r="A6" s="1"/>
      <c r="B6" s="17" t="s">
        <v>88</v>
      </c>
    </row>
    <row r="7" spans="1:6" x14ac:dyDescent="0.25">
      <c r="A7" s="1"/>
      <c r="B7" s="17"/>
      <c r="C7" s="2" t="s">
        <v>98</v>
      </c>
      <c r="D7" s="2"/>
      <c r="E7" s="2"/>
      <c r="F7" s="2" t="s">
        <v>106</v>
      </c>
    </row>
    <row r="8" spans="1:6" x14ac:dyDescent="0.25">
      <c r="A8" s="1"/>
      <c r="B8" s="17"/>
      <c r="C8" t="s">
        <v>90</v>
      </c>
      <c r="F8" s="1" t="s">
        <v>235</v>
      </c>
    </row>
    <row r="9" spans="1:6" x14ac:dyDescent="0.25">
      <c r="A9" s="1"/>
      <c r="B9" s="17"/>
      <c r="C9" t="s">
        <v>89</v>
      </c>
      <c r="F9" s="1" t="s">
        <v>99</v>
      </c>
    </row>
    <row r="10" spans="1:6" x14ac:dyDescent="0.25">
      <c r="A10" s="1"/>
      <c r="B10" s="17"/>
      <c r="D10" t="s">
        <v>90</v>
      </c>
      <c r="F10" s="1" t="s">
        <v>235</v>
      </c>
    </row>
    <row r="11" spans="1:6" x14ac:dyDescent="0.25">
      <c r="A11" s="1"/>
      <c r="B11" s="17"/>
      <c r="D11" t="s">
        <v>91</v>
      </c>
      <c r="F11" s="1" t="s">
        <v>100</v>
      </c>
    </row>
    <row r="12" spans="1:6" x14ac:dyDescent="0.25">
      <c r="A12" s="1"/>
      <c r="B12" s="17"/>
      <c r="D12" t="s">
        <v>92</v>
      </c>
      <c r="F12" s="1" t="s">
        <v>101</v>
      </c>
    </row>
    <row r="13" spans="1:6" x14ac:dyDescent="0.25">
      <c r="A13" s="1"/>
      <c r="B13" s="17"/>
      <c r="D13" t="s">
        <v>93</v>
      </c>
      <c r="F13" s="1" t="s">
        <v>102</v>
      </c>
    </row>
    <row r="14" spans="1:6" x14ac:dyDescent="0.25">
      <c r="A14" s="1"/>
      <c r="B14" s="17"/>
      <c r="D14" t="s">
        <v>94</v>
      </c>
      <c r="F14" s="1" t="s">
        <v>103</v>
      </c>
    </row>
    <row r="15" spans="1:6" x14ac:dyDescent="0.25">
      <c r="A15" s="1"/>
      <c r="B15" s="17"/>
      <c r="D15" t="s">
        <v>95</v>
      </c>
      <c r="F15" s="1" t="s">
        <v>104</v>
      </c>
    </row>
    <row r="16" spans="1:6" x14ac:dyDescent="0.25">
      <c r="A16" s="1"/>
      <c r="B16" s="17"/>
      <c r="C16" t="s">
        <v>92</v>
      </c>
      <c r="F16" s="1" t="s">
        <v>101</v>
      </c>
    </row>
    <row r="17" spans="1:6" x14ac:dyDescent="0.25">
      <c r="A17" s="1"/>
      <c r="B17" s="17"/>
      <c r="D17" t="s">
        <v>96</v>
      </c>
      <c r="F17" s="1" t="s">
        <v>115</v>
      </c>
    </row>
    <row r="18" spans="1:6" x14ac:dyDescent="0.25">
      <c r="A18" s="1"/>
      <c r="B18" s="17"/>
      <c r="D18" t="s">
        <v>97</v>
      </c>
      <c r="F18" s="1" t="s">
        <v>105</v>
      </c>
    </row>
    <row r="19" spans="1:6" x14ac:dyDescent="0.25">
      <c r="A19" s="1"/>
      <c r="B19" s="17"/>
      <c r="C19" t="s">
        <v>93</v>
      </c>
      <c r="F19" s="1" t="s">
        <v>102</v>
      </c>
    </row>
    <row r="20" spans="1:6" x14ac:dyDescent="0.25">
      <c r="A20" s="1"/>
      <c r="B20" s="17"/>
      <c r="C20" t="s">
        <v>94</v>
      </c>
      <c r="F20" s="1" t="s">
        <v>103</v>
      </c>
    </row>
    <row r="21" spans="1:6" x14ac:dyDescent="0.25">
      <c r="A21" s="1"/>
      <c r="B21" s="17"/>
    </row>
    <row r="22" spans="1:6" x14ac:dyDescent="0.25">
      <c r="A22" s="1"/>
      <c r="B22" s="17" t="s">
        <v>87</v>
      </c>
    </row>
    <row r="23" spans="1:6" x14ac:dyDescent="0.25">
      <c r="A23" s="1"/>
      <c r="B23" s="17" t="s">
        <v>84</v>
      </c>
    </row>
    <row r="24" spans="1:6" x14ac:dyDescent="0.25">
      <c r="A24" s="1"/>
      <c r="B24" s="17"/>
      <c r="C24" s="19" t="s">
        <v>81</v>
      </c>
    </row>
    <row r="25" spans="1:6" x14ac:dyDescent="0.25">
      <c r="A25" s="1"/>
      <c r="B25" s="17"/>
      <c r="C25" s="18" t="s">
        <v>82</v>
      </c>
    </row>
    <row r="26" spans="1:6" x14ac:dyDescent="0.25">
      <c r="A26" s="1"/>
      <c r="B26" s="17"/>
      <c r="C26" s="18" t="s">
        <v>83</v>
      </c>
    </row>
    <row r="27" spans="1:6" x14ac:dyDescent="0.25">
      <c r="A27" s="1"/>
      <c r="B27" s="17" t="s">
        <v>107</v>
      </c>
      <c r="C27" s="18"/>
    </row>
    <row r="28" spans="1:6" x14ac:dyDescent="0.25">
      <c r="A28" s="1"/>
      <c r="B28" s="17"/>
      <c r="C28" s="18" t="s">
        <v>108</v>
      </c>
    </row>
    <row r="29" spans="1:6" x14ac:dyDescent="0.25">
      <c r="A29" s="1"/>
      <c r="B29" s="17"/>
      <c r="C29" s="18" t="s">
        <v>109</v>
      </c>
    </row>
    <row r="30" spans="1:6" x14ac:dyDescent="0.25">
      <c r="A30" s="1"/>
      <c r="B30" s="17"/>
      <c r="C30" s="18" t="s">
        <v>110</v>
      </c>
    </row>
    <row r="31" spans="1:6" x14ac:dyDescent="0.25">
      <c r="A31" s="1"/>
      <c r="B31" s="17"/>
      <c r="C31" s="18" t="s">
        <v>112</v>
      </c>
    </row>
    <row r="32" spans="1:6" x14ac:dyDescent="0.25">
      <c r="A32" s="1"/>
      <c r="B32" s="17"/>
      <c r="C32" s="18" t="s">
        <v>114</v>
      </c>
    </row>
    <row r="33" spans="1:14" x14ac:dyDescent="0.25">
      <c r="A33" s="1"/>
      <c r="B33" s="17"/>
      <c r="C33" s="18" t="s">
        <v>113</v>
      </c>
    </row>
    <row r="34" spans="1:14" x14ac:dyDescent="0.25">
      <c r="A34" s="1"/>
      <c r="B34" s="17"/>
      <c r="C34" s="18" t="s">
        <v>111</v>
      </c>
    </row>
    <row r="35" spans="1:14" ht="21" customHeight="1" x14ac:dyDescent="0.25">
      <c r="B35" s="21" t="s">
        <v>78</v>
      </c>
    </row>
    <row r="36" spans="1:14" ht="21" customHeight="1" x14ac:dyDescent="0.25">
      <c r="B36" s="63" t="s">
        <v>232</v>
      </c>
    </row>
    <row r="37" spans="1:14" ht="15.75" thickBot="1" x14ac:dyDescent="0.3">
      <c r="C37" s="1" t="s">
        <v>72</v>
      </c>
      <c r="D37" s="1" t="s">
        <v>208</v>
      </c>
      <c r="E37" s="1" t="s">
        <v>209</v>
      </c>
      <c r="F37" s="1" t="s">
        <v>199</v>
      </c>
      <c r="G37" s="1" t="s">
        <v>200</v>
      </c>
      <c r="H37" s="1" t="s">
        <v>201</v>
      </c>
      <c r="I37" s="1" t="s">
        <v>202</v>
      </c>
      <c r="J37" s="1" t="s">
        <v>206</v>
      </c>
      <c r="K37" s="1" t="s">
        <v>210</v>
      </c>
      <c r="L37" s="1" t="s">
        <v>211</v>
      </c>
      <c r="M37" s="1" t="s">
        <v>212</v>
      </c>
      <c r="N37" s="1" t="s">
        <v>228</v>
      </c>
    </row>
    <row r="38" spans="1:14" s="16" customFormat="1" ht="21.75" customHeight="1" thickBot="1" x14ac:dyDescent="0.3">
      <c r="B38" s="52" t="s">
        <v>227</v>
      </c>
      <c r="C3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vovina.Master.Frame
{
	[Table("MstFrmProcess")]
	[Index(nameof(ProcessSeq), Name="IX_MstFrmProcess_ProcessSeq")]
	[Index(nameof(ProcessCode), Name="IX_MstFrmProcess_ProcessCode")]
	[Index(nameof(ProcessSubgroup), Name="IX_MstFrmProcess_ProcessSubgroup")]
	[Index(nameof(SubgroupName), Name="IX_MstFrmProcess_SubgroupName")]
	public class MstFrmProcess: FullAuditedEntity&lt;long&gt;, IEntity&lt;long&gt;	
	{
		public const int MaxProcessCodeLength = 50;
		public const int MaxProcessNameLength = 1000;
		public const int MaxProcessDescLength = 1000;
		public const int MaxGroupNameLength = 100;
		public const int MaxSubgroupNameLength = 100;
		public const int MaxIsActiveLength = 1;
		[Required]
		public virtual int ProcessSeq { get; set; }
		[Required]
		[StringLength(MaxProcessCodeLength)]
		public virtual string ProcessCode { get; set; }
		[Column(TypeName="nvarchar")]
		[StringLength(MaxProcessNameLength)]
		public virtual string ProcessName { get; set; }
		[Column(TypeName="nvarchar")]
		[StringLength(MaxProcessDescLength)]
		public virtual string ProcessDesc { get; set; }
		[Required]
		public virtual int ProcessGroup { get; set; }
		[StringLength(MaxGroupNameLength)]
		public virtual string GroupName { get; set; }
		public virtual int ProcessSubgroup { get; set; }
		[StringLength(MaxSubgroupNameLength)]
		public virtual string SubgroupName { get; set; }
		[StringLength(MaxIsActiveLength)]
		public virtual string IsActive { get; set; }
	}
}
</v>
      </c>
      <c r="D38" s="51" t="str">
        <f>A.Backend!O7</f>
        <v xml:space="preserve">		public const string Pages_Master_Frame_Process = "Pages.Master.Frame.Process";
		public const string Pages_Master_Frame_Process_CreateEdit = "Pages.Master.Frame.Process.CreateEdit";
		public const string Pages_Master_Frame_Process_Delete = "Pages.Master.Frame.Process.Delete";
</v>
      </c>
      <c r="E38" s="51" t="str">
        <f>A.Backend!N7</f>
        <v xml:space="preserve">		var perMstFrmProcess = PARENTS.CreateChildPermission(AppPermissions.Pages_Master_Frame_Process, L( "MasterFrameProcess"));
		perMstFrmProcess.CreateChildPermission(AppPermissions.Pages_Master_Frame_Process_CreateEdit, L( "MasterFrameProcessCreateEdit"));
		perMstFrmProcess.CreateChildPermission(AppPermissions.Pages_Master_Frame_Process_Delete, L( "MasterFrameProcessDelete"));</v>
      </c>
      <c r="F38" s="51" t="str">
        <f>A.Backend!K7</f>
        <v>public virtual DbSet&lt;MstFrmProcess&gt; MstFrmProcesss { get; set; }</v>
      </c>
      <c r="G38" s="51" t="str">
        <f ca="1">A.Backend!L7</f>
        <v xml:space="preserve">namespace vovina.Master.Frame
{
	public class MstFrmProcessConsts	
	{
		public const int MaxProcessCodeLength = 50;
		public const int MaxProcessNameLength = 1000;
		public const int MaxProcessDescLength = 1000;
		public const int MaxGroupNameLength = 100;
		public const int MaxSubgroupNameLength = 100;
		public const int MaxIsActiveLength = 1;
		// Define Store Name: Format SP_ + &lt;Store Name&gt; = &lt;Store Name&gt;
	}
}
</v>
      </c>
      <c r="H38" s="51" t="str">
        <f ca="1">A.Backend!M7</f>
        <v xml:space="preserve">using Abp.Application.Services.Dto;
using System;
using System.ComponentModel.DataAnnotations;
namespace vovina.Master.Frame.Dto
{
	public class MstFrmProcessDto : EntityDto&lt;long?&gt;	
	{
		public virtual int ProcessSeq { get; set; }
		public virtual string ProcessCode { get; set; }
		public virtual string ProcessName { get; set; }
		public virtual string ProcessDesc { get; set; }
		public virtual int ProcessGroup { get; set; }
		public virtual string GroupName { get; set; }
		public virtual int ProcessSubgroup { get; set; }
		public virtual string SubgroupName { get; set; }
		public virtual string IsActive { get; set; }
	}
	public class CreateOrEditMstFrmProcessDto : EntityDto&lt;long?&gt;	
	{
		[Required]
		public virtual int ProcessSeq { get; set; }
		[Required]
		[StringLength(MstFrmProcessConsts.MaxProcessCodeLength)]
		public virtual string ProcessCode { get; set; }
		[StringLength(MstFrmProcessConsts.MaxProcessNameLength)]
		public virtual string ProcessName { get; set; }
		[StringLength(MstFrmProcessConsts.MaxProcessDescLength)]
		public virtual string ProcessDesc { get; set; }
		[Required]
		public virtual int ProcessGroup { get; set; }
		[StringLength(MstFrmProcessConsts.MaxGroupNameLength)]
		public virtual string GroupName { get; set; }
		public virtual int ProcessSubgroup { get; set; }
		[StringLength(MstFrmProcessConsts.MaxSubgroupNameLength)]
		public virtual string SubgroupName { get; set; }
		[StringLength(MstFrmProcessConsts.MaxIsActiveLength)]
		public virtual string IsActive { get; set; }
	}
	public class GetMstFrmProcessInput : PagedAndSortedResultRequestDto	
	{
		public virtual int ProcessSeq { get; set; }
		public virtual string ProcessCode { get; set; }
		public virtual string ProcessName { get; set; }
		public virtual string ProcessDesc { get; set; }
		public virtual int ProcessGroup { get; set; }
		public virtual string GroupName { get; set; }
		public virtual int ProcessSubgroup { get; set; }
		public virtual string SubgroupName { get; set; }
		public virtual string IsActive { get; set; }
	}
}
</v>
      </c>
      <c r="I38" s="51" t="str">
        <f ca="1">A.Backend!R7</f>
        <v xml:space="preserve">using Abp.Application.Services.Dto;
using System;
using System.ComponentModel.DataAnnotations;
namespace vovina.Master.Frame.Dto
{
	public class MstFrmProcessExportInput{
		public virtual int ProcessSeq { get; set; }
		public virtual string ProcessCode { get; set; }
		public virtual string ProcessName { get; set; }
		public virtual string ProcessDesc { get; set; }
		public virtual int ProcessGroup { get; set; }
		public virtual string GroupName { get; set; }
		public virtual int ProcessSubgroup { get; set; }
		public virtual string SubgroupName { get; set; }
		public virtual string IsActive { get; set; }
	}
}
</v>
      </c>
      <c r="J38" s="51" t="str">
        <f>A.Backend!P7</f>
        <v xml:space="preserve">using Abp.Application.Services;
using Abp.Application.Services.Dto;
using System.Collections.Generic;using vovina.Dto;
using System.Threading.Tasks;
using vovina.Master.Frame.Dto;
namespace vovina.Master.Frame
{
	public interface IMstFrmProcessAppService : IApplicationService
	{
		Task&lt;PagedResultDto&lt;MstFrmProcessDto&gt;&gt; GetAll(GetMstFrmProcessInput input);
		Task CreateOrEdit(CreateOrEditMstFrmProcessDto input);
		Task Delete(EntityDto input);
	}
}
</v>
      </c>
      <c r="K38" s="51" t="str">
        <f>A.Backend!S7</f>
        <v xml:space="preserve">using Abp.Application.Services;
using Abp.Application.Services.Dto;
using System.Collections.Generic;using vovina.Dto;
using System.Threading.Tasks;
using vovina.Master.Frame.Dto;
namespace vovina.Master.Frame.Exporting
{
	public interface IMstFrmProcessExcelExporter : IApplicationService
	{
		FileDto ExportToFile(List&lt;MstFrmProcessDto&gt; mstfrmprocess);
	}
}
</v>
      </c>
      <c r="L38" s="51" t="str">
        <f ca="1">A.Backend!T7</f>
        <v>using System.Collections.Generic;
using vovina.DataExporting.Excel.NPOI;
using vovina.Dto;
using vovina.Master.Frame.Exporting;
using vovina.Master.Frame.Dto;
using vovina.Storage;
using vovina.Master.Frame.Dto;
namespace vovina.Master.Frame.Exporting
{
    public class MstFrmProcessExcelExporter : NpoiExcelExporterBase, IMstFrmProcessExcelExporter
    {
        public MstFrmProcessExcelExporter(ITempFileCacheManager tempFileCacheManager) : base(tempFileCacheManager) { }
        public FileDto ExportToFile(List&lt;MstFrmProcessDto&gt; process)
        {
            return CreateExcelPackage(
				"MasterFrameProcess.xlsx",
				excelPackage =&gt;
				 {
					var sheet = excelPackage.CreateSheet("Process");
					AddHeader(
								sheet,
								("ProcessSeq"),
								("ProcessCode"),
								("ProcessName"),
								("ProcessDesc"),
								("ProcessGroup"),
								("GroupName"),
								("ProcessSubgroup"),
								("SubgroupName"),
								("IsActive"),
							   );
					AddObjects(
						 sheet, 1, process,                                       
								_ =&gt; _.ProcessSeq,
								_ =&gt; _.ProcessCode,
								_ =&gt; _.ProcessName,
								_ =&gt; _.ProcessDesc,
								_ =&gt; _.ProcessGroup,
								_ =&gt; _.GroupName,
								_ =&gt; _.ProcessSubgroup,
								_ =&gt; _.SubgroupName,
								_ =&gt; _.IsActive,
								);
			for (var i = 0; i &lt; 8; i++)
				{
					sheet.AutoSizeColumn(i);
				}
			});
        }
    }
}</v>
      </c>
      <c r="M3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vovina.Master.Frame.Dto;
using vovina.Master.Frame.Exporting;
namespace vovina.Master.Frame
{
    [AbpAuthorize(AppPermissions.Pages_Master_Frame_Process)]
    public class MstFrmProcessAppService : vovinaAppServiceBase, IMstFrmProcessAppService
    {
        private readonly IDapperRepository&lt;MstFrmProcess, long&gt; _dapperRepo;
        private readonly IRepository&lt;MstFrmProcess, long&gt; _repo;
        private readonly IMstFrmProcessExcelExporter _calendarListExcelExporter;
        public MstFrmProcessAppService(IRepository&lt;MstFrmProcess,long&gt; repo, 
                                         IDapperRepository&lt;MstFrmProcess,long&gt; dapperRepo,
                                        IMstFrmProcessExcelExporter calendarListExcelExporter
            )
        {
            _repo = repo;
            _dapperRepo = dapperRepo;
            _calendarListExcelExporter = calendarListExcelExporter;
        }
        [AbpAuthorize(AppPermissions.Pages_Master_Frame_Process_CreateEdit)]
        public async Task CreateOrEdit(CreateOrEditMstFrmProcessDto input)
        {
            if (input.Id == null) await Create(input);
            else await Update(input);
        }
        //CREATE
        private async Task Create(CreateOrEditMstFrmProcessDto input)
        {          
            var mainObj = ObjectMapper.Map&lt;MstFrmProcess&gt;(input);
            await CurrentUnitOfWork.GetDbContext&lt;vovinaDbContext&gt;().AddAsync(mainObj);
        }
        // EDIT
        private async Task Update(CreateOrEditMstFrmProcessDto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[AbpAuthorize(AppPermissions.Pages_Master_Frame_Process_Delete)]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Task&lt;PagedResultDto&lt;MstFrmProcessDto&gt;&gt; GetAll(GetMstFrmProcessInput input)
        {
            var filtered = _repo.GetAll()
				.WhereIf(!string.IsNullOrWhiteSpace(input.ProcessCode), e =&gt; e.ProcessCode.Contains(input.ProcessCode))
				.WhereIf(!string.IsNullOrWhiteSpace(input.ProcessName), e =&gt; e.ProcessName.Contains(input.ProcessName))
				.WhereIf(!string.IsNullOrWhiteSpace(input.ProcessDesc), e =&gt; e.ProcessDesc.Contains(input.ProcessDesc))
				.WhereIf(!string.IsNullOrWhiteSpace(input.GroupName), e =&gt; e.GroupName.Contains(input.GroupName))
				.WhereIf(!string.IsNullOrWhiteSpace(input.SubgroupName), e =&gt; e.SubgroupName.Contains(input.SubgroupName))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MstFrmProcessDto
                        {
							Id = o.Id,
							ProcessSeq = o.ProcessSeq,
							ProcessCode = o.ProcessCode,
							ProcessName = o.ProcessName,
							ProcessDesc = o.ProcessDesc,
							ProcessGroup = o.ProcessGroup,
							GroupName = o.GroupName,
							ProcessSubgroup = o.ProcessSubgroup,
							SubgroupName = o.SubgroupName,
							IsActive = o.IsActive,
                        };
            var totalCount = await filtered.CountAsync();
			var paged = system.PageBy(input);
            return new PagedResultDto&lt;MstFrmProcessDto&gt;(
                totalCount,
                 await paged.ToListAsync()
            );
        }
        public async Task&lt;FileDto&gt; GetProcessToExcel(MstFrmProcessExportInput input)
        {
            var query = from o in _repo.GetAll()
                        select new MstFrmProcessDto
                        {
							Id = o.Id,
							ProcessSeq = o.ProcessSeq,
							ProcessCode = o.ProcessCode,
							ProcessName = o.ProcessName,
							ProcessDesc = o.ProcessDesc,
							ProcessGroup = o.ProcessGroup,
							GroupName = o.GroupName,
							ProcessSubgroup = o.ProcessSubgroup,
							SubgroupName = o.SubgroupName,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_dapperRepo.ExecuteAsync(MstFrmProcessConsts.SP_MST_WPT_CALENDAR_GENERATE);
       // }
    }
}</v>
      </c>
      <c r="N38" s="62" t="str">
        <f>A.Backend!U7</f>
        <v xml:space="preserve">  configuration.CreateMap&lt;MstFrmProcessDto, MstFrmProcess&gt;();
  configuration.CreateMap&lt;MstFrmProcess, MstFrmProcessDto&gt;();
  configuration.CreateMap&lt;CreateOrEditMstFrmProcessDto, MstFrmProcess&gt;();</v>
      </c>
    </row>
    <row r="39" spans="1:14" s="16" customFormat="1" ht="21.75" customHeight="1" x14ac:dyDescent="0.25">
      <c r="C39" s="65"/>
      <c r="D39" s="29"/>
      <c r="E39" s="29"/>
      <c r="F39" s="29"/>
      <c r="G39" s="29"/>
      <c r="H39" s="66"/>
      <c r="I39" s="67"/>
      <c r="J39" s="29"/>
      <c r="K39" s="29"/>
      <c r="M39" s="66"/>
    </row>
    <row r="40" spans="1:14" s="16" customFormat="1" ht="21.75" customHeight="1" x14ac:dyDescent="0.25">
      <c r="C40" s="29"/>
      <c r="D40" s="29"/>
      <c r="E40" s="29"/>
      <c r="F40" s="29"/>
      <c r="G40" s="29"/>
      <c r="H40" s="29"/>
      <c r="J40" s="29"/>
      <c r="K40" s="29"/>
      <c r="M40" s="29"/>
    </row>
    <row r="41" spans="1:14" s="16" customFormat="1" ht="21.75" customHeight="1" x14ac:dyDescent="0.25">
      <c r="C41" s="29"/>
      <c r="D41" s="29"/>
      <c r="E41" s="29"/>
      <c r="G41" s="29"/>
      <c r="H41" s="29"/>
    </row>
    <row r="42" spans="1:14" x14ac:dyDescent="0.25">
      <c r="B42" s="1" t="s">
        <v>73</v>
      </c>
    </row>
    <row r="43" spans="1:14" ht="21" x14ac:dyDescent="0.35">
      <c r="B43" t="str">
        <f>B.Frontend!B8</f>
        <v>process</v>
      </c>
      <c r="C43" s="72" t="str">
        <f>"create folder " &amp;B43</f>
        <v>create folder process</v>
      </c>
      <c r="D43" s="72"/>
      <c r="E43" s="72"/>
      <c r="F43" s="72"/>
      <c r="G43" s="72"/>
      <c r="H43" s="72"/>
      <c r="I43" s="72"/>
      <c r="J43" s="72"/>
      <c r="K43" s="73" t="s">
        <v>229</v>
      </c>
      <c r="L43" s="73"/>
      <c r="M43" s="31"/>
    </row>
    <row r="44" spans="1:14" s="28" customFormat="1" ht="18" customHeight="1" x14ac:dyDescent="0.25">
      <c r="B44" s="60" t="s">
        <v>230</v>
      </c>
      <c r="C44" s="31" t="str">
        <f>B.Frontend!H14</f>
        <v>process.component.ts</v>
      </c>
      <c r="D44" s="31" t="str">
        <f>B.Frontend!I14</f>
        <v>process.component.html</v>
      </c>
      <c r="E44" s="31" t="str">
        <f>B.Frontend!J14</f>
        <v>process.component.less</v>
      </c>
      <c r="F44" s="31" t="str">
        <f>B.Frontend!K14</f>
        <v>create-or-edit-process-modal.component.html</v>
      </c>
      <c r="G44" s="31" t="str">
        <f>B.Frontend!L14</f>
        <v>create-or-edit-process-modal.component.ts</v>
      </c>
      <c r="H44" s="31" t="str">
        <f>B.Frontend!M14</f>
        <v>create-or-edit-process-modal.component.less</v>
      </c>
      <c r="I44" s="31" t="str">
        <f>B.Frontend!N14</f>
        <v>process.module.ts</v>
      </c>
      <c r="J44" s="31" t="str">
        <f>B.Frontend!O14</f>
        <v>process-routing.module.ts</v>
      </c>
      <c r="K44" s="31" t="str">
        <f>B.Frontend!P14</f>
        <v>app.navigation.service.ts</v>
      </c>
      <c r="L44" s="31" t="str">
        <f>B.Frontend!Q14</f>
        <v>main.routing.module.ts</v>
      </c>
      <c r="M44" s="60" t="s">
        <v>233</v>
      </c>
    </row>
    <row r="45" spans="1:14" ht="21.75" customHeight="1" x14ac:dyDescent="0.25">
      <c r="B45" s="61" t="s">
        <v>227</v>
      </c>
      <c r="C45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MstFrmProcessDto, MstFrmProcessServiceProxy } from '@shared/service-proxies/service-proxies';
import { finalize } from 'rxjs/internal/operators/finalize';
import { CreateOrEditProcessModalComponent } from './create-or-edit-process-modal.component';
import { DatePipe } from '@angular/common';
import { FileDownloadService } from '@shared/utils/file-download.service';
import ceil from 'lodash-es/ceil';
import { Paginator } from 'primeng/paginator';
@Component({
    templateUrl: './process.component.html',
    styleUrls: ['./process.component.less'],
})
export class ProcessComponent extends AppComponentBase implements OnInit {
    @ViewChild('createOrEditModalProcess', { static: true }) createOrEditModalProcess:| CreateOrEditProcessModalComponent|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MstFrmProcessDto = new MstFrmProcessDto();
    saveSelectedRow: MstFrmProcessDto = new MstFrmProcessDto();
    datas: MstFrmProcessDto = new MstFrmProcessDto();
    isLoading: boolean = false;
    dataParams: GridParams | undefined;
    rowData: any[] = [];
    gridApi!: GridApi;
    rowSelection = 'multiple';
    filter: string = '';
	pipe = new DatePipe('en-US');
	frameworkComponents: FrameworkComponent;
    processSeq : number = 0 ;
	processCode : string = '' ; 
	processName : string = '' ; 
	processDesc : string = '' ; 
	processGroup : number = 0 ;
	groupName : string = '' ; 
	processSubgroup : number = 0 ;
	subgroupName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MstFrmProcessServiceProxy,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this.l('Process Seq'),headerTooltip: this.l('Process Seq'),field: 'processSeq',flex: 1},
			{headerName: this.l('Process Code'),headerTooltip: this.l('Process Code'),field: 'processCode',flex: 1},
			{headerName: this.l('Process Name'),headerTooltip: this.l('Process Name'),field: 'processName',flex: 1},
			{headerName: this.l('Process Desc'),headerTooltip: this.l('Process Desc'),field: 'processDesc',flex: 1},
			{headerName: this.l('Process Group'),headerTooltip: this.l('Process Group'),field: 'processGroup',flex: 1},
			{headerName: this.l('Group Name'),headerTooltip: this.l('Group Name'),field: 'groupName',flex: 1},
			{headerName: this.l('Process Subgroup'),headerTooltip: this.l('Process Subgroup'),field: 'processSubgroup',flex: 1},
			{headerName: this.l('Subgroup Name'),headerTooltip: this.l('Subgroup Name'),field: 'subgroupName',flex: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this.processSeq,
			this.processCode,
			this.processName,
			this.processDesc,
			this.processGroup,
			this.groupName,
			this.processSubgroup,
			this.subgroupName,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this.processSeq = 0,
		this.processCode = '',
		this.processName = '',
		this.processDesc = '',
		this.processGroup = 0,
		this.groupName = '',
		this.processSubgroup = 0,
		this.subgroupName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this.processSeq,
			this.processCode,
			this.processName,
			this.processDesc,
			this.processGroup,
			this.groupName,
			this.processSubgroup,
			this.subgroupName,
			this.isActive,
			'',
            this.paginationParams.skipCount,
            this.paginationParams.pageSize
        );
    }
    onChangeRowSelection(params: { api: { getSelectedRows: () =&gt; MstFrmProcessDto[] } }) {
        this.saveSelectedRow = params.api.getSelectedRows()[0] ?? new MstFrmProcessDto();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MstFrmProcessDto):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this._service.getProcessToExcel(
			this.processSeq,
			this.processCode,
			this.processName,
			this.processDesc,
			this.processGroup,
			this.groupName,
			this.processSubgroup,
			this.subgroupName,
			this.isActive,
            )
            .subscribe((result) =&gt; {
                this._fileDownloadService.downloadTempFile(result);
        });
    }
}</v>
      </c>
      <c r="D4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Frame Process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[(ngModel)]='processCode' name='processCode'
									class='form-control' [placeholder]="l('Process Code')"
									type='text' (keyup.enter)='searchDatas()'&gt;
								&lt;/div&gt;
								&lt;div class='input-search'&gt;
									&lt;input [(ngModel)]='processName' name='processName'
									class='form-control' [placeholder]="l('Process Name')"
									type='text' (keyup.enter)='searchDatas()'&gt;
								&lt;/div&gt;
								&lt;div class='input-search'&gt;
									&lt;input [(ngModel)]='processDesc' name='processDesc'
									class='form-control' [placeholder]="l('Process Desc')"
									type='text' (keyup.enter)='searchDatas()'&gt;
								&lt;/div&gt;
								&lt;div class='input-search'&gt;
									&lt;input [(ngModel)]='groupName' name='groupName'
									class='form-control' [placeholder]="l('Group Name')"
									type='text' (keyup.enter)='searchDatas()'&gt;
								&lt;/div&gt;
								&lt;div class='input-search'&gt;
									&lt;input [(ngModel)]='subgroupName' name='subgroupName'
									class='form-control' [placeholder]="l('Subgroup Name')"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(click)="createOrEditModalProcess.show()"&gt;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(click)="createOrEditModalProcess.show(selectedRow)"&gt;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&lt;create-or-edit-process-modal
    #createOrEditModalProcess
    (modalSave)="callBackDataGrid(dataParams)"
    (modalClose)="onChangeRowSelection(dataParams)"
&gt;
&lt;/create-or-edit-process-modal&gt;</v>
      </c>
      <c r="E45" s="49" t="str">
        <f>B.Frontend!J10</f>
        <v>.input-search{
    width: 250px;
    border-radius: 10px;
    margin-left: 10px;
}
.btn-search{
    width: 50px;
    margin-left: 10px;
}</v>
      </c>
      <c r="F45" s="49" t="str">
        <f ca="1">B.Frontend!K10</f>
        <v>&lt;div bsModal #createOrEditModalProcess="bs-modal"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Process')}}&lt;/h3&gt;
                    &lt;h3 *ngIf="!rowdata.id"&gt;{{('Create New Process')}}&lt;/h3&gt;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title'&gt;Process Seq&lt;/label&gt;
						&lt;input type='number' class='col-md-10 form-control input-text' name='ProcessSeq' [(ngModel)]='rowdata.processSeq'&gt;
					&lt;/div&gt;
					&lt;div class='col-md-12 form-group row'&gt;
						&lt;label class='col-md-2 form-control title'&gt;Process Code&lt;/label&gt;
						&lt;input type='text' class='col-md-10 form-control input-text' name='ProcessCode' [(ngModel)]='rowdata.processCode'&gt;
					&lt;/div&gt;
					&lt;div class='col-md-12 form-group row'&gt;
						&lt;label class='col-md-2 form-control title'&gt;Process Name&lt;/label&gt;
						&lt;input type='text' class='col-md-10 form-control input-text' name='ProcessName' [(ngModel)]='rowdata.processName'&gt;
					&lt;/div&gt;
					&lt;div class='col-md-12 form-group row'&gt;
						&lt;label class='col-md-2 form-control title'&gt;Process Desc&lt;/label&gt;
						&lt;input type='text' class='col-md-10 form-control input-text' name='ProcessDesc' [(ngModel)]='rowdata.processDesc'&gt;
					&lt;/div&gt;
					&lt;div class='col-md-12 form-group row'&gt;
						&lt;label class='col-md-2 form-control title'&gt;Process Group&lt;/label&gt;
						&lt;input type='number' class='col-md-10 form-control input-text' name='ProcessGroup' [(ngModel)]='rowdata.processGroup'&gt;
					&lt;/div&gt;
					&lt;div class='col-md-12 form-group row'&gt;
						&lt;label class='col-md-2 form-control title'&gt;Group Name&lt;/label&gt;
						&lt;input type='text' class='col-md-10 form-control input-text' name='GroupName' [(ngModel)]='rowdata.groupName'&gt;
					&lt;/div&gt;
					&lt;div class='col-md-12 form-group row'&gt;
						&lt;label class='col-md-2 form-control title'&gt;Process Subgroup&lt;/label&gt;
						&lt;input type='number' class='col-md-10 form-control input-text' name='ProcessSubgroup' [(ngModel)]='rowdata.processSubgroup'&gt;
					&lt;/div&gt;
					&lt;div class='col-md-12 form-group row'&gt;
						&lt;label class='col-md-2 form-control title'&gt;Subgroup Name&lt;/label&gt;
						&lt;input type='text' class='col-md-10 form-control input-text' name='SubgroupName' [(ngModel)]='rowdata.subgroupName'&gt;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4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CreateOrEditMstFrmProcessDto, MstFrmProcessServiceProxy } from '@shared/service-proxies/service-proxies';
import { BsDatepickerDirective } from 'ngx-bootstrap/datepicker';
@Component({
    selector: 'create-or-edit-process-modal',
    templateUrl: './create-or-edit-process-modal.component.html',
    styleUrls: ['./create-or-edit-process-modal.component.less']
    })
export class CreateOrEditProcessModalComponent extends AppComponentBase {
    @ViewChild('createOrEditModalProcess',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CreateOrEditMstFrmProcessDto = new CreateOrEditMstFrmProcessDto();
    active: boolean = false;
    saving: boolean = false;
    _isActive: boolean;
    constructor(
        injector: Injector,
        private _mstwptProcessService: MstFrmProcessServiceProxy,
    ) 
    {
        super(injector);
    }
    show(rowdata?: CreateOrEditMstFrmProcessDto): void {
        if (!rowdata) this.rowdata = new CreateOrEditMstFrmProcessDto();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this._mstwptProcessService.createOrEdit(this.rowdata)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4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45" s="49" t="str">
        <f>B.Frontend!N10</f>
        <v>import {NgModule} from '@angular/core';
import {AppSharedModule} from '@app/shared/app-shared.module';
import { ProcessRoutingModule } from './process-routing.module';
import { ProcessComponent } from './process.component';
import { CreateOrEditProcessModalComponent } from './create-or-edit-process-modal.component';
@NgModule({
    declarations: [
       ProcessComponent, 
        CreateOrEditProcessModalComponent
    ],
    imports: [
        AppSharedModule, ProcessRoutingModule]
})
export class ProcessModule {}</v>
      </c>
      <c r="J45" s="49" t="str">
        <f>B.Frontend!O10</f>
        <v>import {NgModule} from '@angular/core';
import {RouterModule, Routes} from '@angular/router';
import { ProcessComponent } from './process.component';
const routes: Routes = [{
    path: '',
    component: ProcessComponent,
    pathMatch: 'full'
}];
@NgModule({
    imports: [RouterModule.forChild(routes)],
    exports: [RouterModule],
})
export class ProcessRoutingModule {}</v>
      </c>
      <c r="K45" s="49" t="str">
        <f>B.Frontend!P10</f>
        <v xml:space="preserve"> new AppMenuItem("Process", "Pages.Master.Frame.Process", "flaticon-book",   "/app/main/master/frame/process"),</v>
      </c>
      <c r="L45" s="50" t="str">
        <f>B.Frontend!Q10</f>
        <v>{
    path: 'master/frame/process',
    loadChildren: () =&gt; import('./master/frame/process/process.module').then(m =&gt; m.ProcessModule),
    data: { permission: 'Pages.Master.Frame.Process' }
},</v>
      </c>
      <c r="M45" s="48" t="str">
        <f>B.Frontend!R10</f>
        <v>ApiServiceProxies.MstFrmProcessServiceProxy,</v>
      </c>
    </row>
    <row r="47" spans="1:14" x14ac:dyDescent="0.25">
      <c r="B47" s="1" t="s">
        <v>75</v>
      </c>
    </row>
  </sheetData>
  <mergeCells count="2">
    <mergeCell ref="C43:J43"/>
    <mergeCell ref="K43:L4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19"/>
  <sheetViews>
    <sheetView workbookViewId="0">
      <pane xSplit="1" topLeftCell="B1" activePane="topRight" state="frozen"/>
      <selection pane="topRight" activeCell="B10" sqref="B10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vovina.Master.Frame.Dto;</v>
      </c>
      <c r="E1" s="10" t="s">
        <v>267</v>
      </c>
      <c r="F1" s="11" t="s">
        <v>240</v>
      </c>
      <c r="H1" s="11" t="s">
        <v>241</v>
      </c>
      <c r="J1" s="11" t="s">
        <v>242</v>
      </c>
      <c r="L1" s="11" t="s">
        <v>243</v>
      </c>
      <c r="M1" s="11" t="s">
        <v>244</v>
      </c>
      <c r="N1" s="11" t="s">
        <v>245</v>
      </c>
      <c r="O1" s="11" t="s">
        <v>246</v>
      </c>
      <c r="T1" s="10" t="s">
        <v>259</v>
      </c>
      <c r="U1" s="10" t="s">
        <v>231</v>
      </c>
      <c r="W1" s="10"/>
    </row>
    <row r="2" spans="1:23" s="11" customFormat="1" x14ac:dyDescent="0.25">
      <c r="A2" s="1" t="s">
        <v>12</v>
      </c>
      <c r="B2" s="30" t="s">
        <v>284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86</v>
      </c>
      <c r="T2" s="11" t="s">
        <v>247</v>
      </c>
      <c r="V2" s="11" t="s">
        <v>248</v>
      </c>
      <c r="W2" s="10" t="s">
        <v>258</v>
      </c>
    </row>
    <row r="3" spans="1:23" s="11" customFormat="1" ht="33" customHeight="1" x14ac:dyDescent="0.25">
      <c r="A3" s="1" t="s">
        <v>5</v>
      </c>
      <c r="B3" s="30" t="s">
        <v>285</v>
      </c>
      <c r="C3" s="10" t="s">
        <v>43</v>
      </c>
      <c r="D3" s="10" t="s">
        <v>44</v>
      </c>
      <c r="E3" s="10" t="s">
        <v>39</v>
      </c>
      <c r="F3" s="11" t="str">
        <f>"J"&amp;COUNTA($A:$A)</f>
        <v>J17</v>
      </c>
      <c r="G3" s="4" t="s">
        <v>57</v>
      </c>
      <c r="H3" s="10" t="str">
        <f>"I"&amp;COUNTA($A:$A)</f>
        <v>I17</v>
      </c>
      <c r="I3" s="10" t="str">
        <f>REPT(CHAR(9),2)&amp;"[Required]"&amp;"
"</f>
        <v xml:space="preserve">		[Required]
</v>
      </c>
      <c r="J3" s="11" t="str">
        <f>"L"&amp;COUNTA($A:$A)</f>
        <v>L17</v>
      </c>
      <c r="K3" s="5" t="s">
        <v>56</v>
      </c>
      <c r="L3" s="11" t="str">
        <f>"M"&amp;COUNTA($A:$A)</f>
        <v>M17</v>
      </c>
      <c r="M3" s="11" t="str">
        <f>"N"&amp;COUNTA($A:$A)</f>
        <v>N17</v>
      </c>
      <c r="N3" s="11" t="str">
        <f>"O"&amp;COUNTA($A:$A)</f>
        <v>O17</v>
      </c>
      <c r="O3" s="11" t="str">
        <f>"P"&amp;COUNTA($A:$A)</f>
        <v>P17</v>
      </c>
      <c r="Q3" s="11" t="str">
        <f>RIGHT(B2,(LEN(B2)-FIND(".",B2,1)))</f>
        <v>Frame</v>
      </c>
      <c r="R3" s="32" t="str">
        <f>REPT(CHAR(9),1)&amp;"public class "&amp;B3&amp;"ExportInput"&amp;C3</f>
        <v xml:space="preserve">	public class MstFrmProcessExportInput{
</v>
      </c>
      <c r="S3" s="11" t="str">
        <f>"namespace "&amp;$B$6&amp;".Exporting
"&amp;$C$3</f>
        <v xml:space="preserve">namespace vovina.Master.Frame.Exporting
{
</v>
      </c>
      <c r="T3" s="11" t="str">
        <f>"T"&amp;COUNTA($A:$A)</f>
        <v>T17</v>
      </c>
      <c r="V3" s="11" t="str">
        <f>"V"&amp;COUNTA($A:$A)</f>
        <v>V17</v>
      </c>
      <c r="W3" s="10" t="str">
        <f>"W"&amp;COUNTA($A:$A)</f>
        <v>W17</v>
      </c>
    </row>
    <row r="4" spans="1:23" s="11" customFormat="1" ht="33" customHeight="1" x14ac:dyDescent="0.25">
      <c r="A4" s="1" t="s">
        <v>238</v>
      </c>
      <c r="B4" s="64" t="s">
        <v>89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239</v>
      </c>
      <c r="B5" s="64" t="s">
        <v>283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vovina.Master.Frame</v>
      </c>
      <c r="C6" s="11" t="str">
        <f>"namespace "&amp;$B$6&amp;"
"&amp;$C$3</f>
        <v xml:space="preserve">namespace vovina.Master.Frame
{
</v>
      </c>
      <c r="D6" s="11" t="str">
        <f>REPT(CHAR(9),1)&amp;"public class "&amp;B3&amp;G3&amp;REPT(CHAR(9),1)&amp;"
"&amp;REPT(CHAR(9),1)&amp;C3</f>
        <v xml:space="preserve">	public class MstFrmProcess: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MstFrmProcessConsts	
	{
</v>
      </c>
      <c r="F6" s="11" t="str">
        <f>REPT(CHAR(9),1)&amp;"public class "&amp;B3&amp;"Dto"&amp;K3&amp;REPT(CHAR(9),1)&amp;"
"&amp;REPT(CHAR(9),1)&amp;C3</f>
        <v xml:space="preserve">	public class MstFrmProcessDto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CreateOrEditMstFrmProcessDto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GetMstFrmProcessInput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237</v>
      </c>
      <c r="O6" s="1" t="s">
        <v>236</v>
      </c>
      <c r="P6" s="1" t="s">
        <v>69</v>
      </c>
      <c r="Q6" s="1" t="s">
        <v>70</v>
      </c>
      <c r="R6" s="1" t="s">
        <v>203</v>
      </c>
      <c r="S6" s="1" t="s">
        <v>205</v>
      </c>
      <c r="T6" s="1" t="s">
        <v>204</v>
      </c>
      <c r="U6" s="1" t="s">
        <v>228</v>
      </c>
      <c r="W6" s="28"/>
    </row>
    <row r="7" spans="1:23" customFormat="1" ht="15.75" customHeight="1" x14ac:dyDescent="0.25">
      <c r="A7" s="1" t="s">
        <v>13</v>
      </c>
      <c r="B7" s="10" t="str">
        <f>B3</f>
        <v>MstFrmProcess</v>
      </c>
      <c r="C7" s="11" t="str">
        <f>REPT(CHAR(9),1)&amp;"[Table("""&amp;B7&amp;""")]"&amp;"
"</f>
        <v xml:space="preserve">	[Table("MstFrmProcess")]
</v>
      </c>
      <c r="D7" s="11"/>
      <c r="E7" s="11"/>
      <c r="F7" s="11"/>
      <c r="G7" s="11"/>
      <c r="H7" s="11"/>
      <c r="I7" s="11"/>
      <c r="J7" s="6" t="str">
        <f ca="1">SUBSTITUTE(SUBSTITUTE((B1&amp;C6&amp;C7&amp;K19&amp;D6&amp;I19&amp;E3&amp;J19&amp;""&amp;REPT(CHAR(9),1)&amp;D3&amp;D3),"WorkingPattern",$Q$3),"Master",$B$4)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vovina.Master.Frame
{
	[Table("MstFrmProcess")]
	[Index(nameof(ProcessSeq), Name="IX_MstFrmProcess_ProcessSeq")]
	[Index(nameof(ProcessCode), Name="IX_MstFrmProcess_ProcessCode")]
	[Index(nameof(ProcessSubgroup), Name="IX_MstFrmProcess_ProcessSubgroup")]
	[Index(nameof(SubgroupName), Name="IX_MstFrmProcess_SubgroupName")]
	public class MstFrmProcess: FullAuditedEntity&lt;long&gt;, IEntity&lt;long&gt;	
	{
		public const int MaxProcessCodeLength = 50;
		public const int MaxProcessNameLength = 1000;
		public const int MaxProcessDescLength = 1000;
		public const int MaxGroupNameLength = 100;
		public const int MaxSubgroupNameLength = 100;
		public const int MaxIsActiveLength = 1;
		[Required]
		public virtual int ProcessSeq { get; set; }
		[Required]
		[StringLength(MaxProcessCodeLength)]
		public virtual string ProcessCode { get; set; }
		[Column(TypeName="nvarchar")]
		[StringLength(MaxProcessNameLength)]
		public virtual string ProcessName { get; set; }
		[Column(TypeName="nvarchar")]
		[StringLength(MaxProcessDescLength)]
		public virtual string ProcessDesc { get; set; }
		[Required]
		public virtual int ProcessGroup { get; set; }
		[StringLength(MaxGroupNameLength)]
		public virtual string GroupName { get; set; }
		public virtual int ProcessSubgroup { get; set; }
		[StringLength(MaxSubgroupNameLength)]
		public virtual string SubgroupName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DbSet&lt;MstFrmProcess&gt; MstFrmProcesss { get; set; }</v>
      </c>
      <c r="L7" t="str">
        <f ca="1">SUBSTITUTE(SUBSTITUTE((C6&amp;E6&amp;I19&amp;"
"&amp;REPT(CHAR(9),2)&amp;"// Define Store Name: Format SP_ + &lt;Store Name&gt; = &lt;Store Name&gt;
"&amp;E3&amp;REPT(CHAR(9),1)&amp;D3&amp;D3),"WorkingPattern",$Q$3),"Master",$B$4)</f>
        <v xml:space="preserve">namespace vovina.Master.Frame
{
	public class MstFrmProcessConsts	
	{
		public const int MaxProcessCodeLength = 50;
		public const int MaxProcessNameLength = 1000;
		public const int MaxProcessDescLength = 1000;
		public const int MaxGroupNameLength = 100;
		public const int MaxSubgroupNameLength = 100;
		public const int MaxIsActiveLength = 1;
		// Define Store Name: Format SP_ + &lt;Store Name&gt; = &lt;Store Name&gt;
	}
}
</v>
      </c>
      <c r="M7" t="str">
        <f ca="1">SUBSTITUTE(SUBSTITUTE((C1&amp;"namespace "&amp;B6&amp;".Dto"&amp;E3&amp;C3&amp;F6&amp;M19&amp;E3&amp;REPT(CHAR(9),1)&amp;D3&amp;G6&amp;N19&amp;REPT(CHAR(9),1)&amp;D3&amp;H6&amp;O19&amp;"
"&amp;REPT(CHAR(9),1)&amp;D3&amp;D3),"WorkingPattern",$Q$3),"Master",$B$4)</f>
        <v xml:space="preserve">using Abp.Application.Services.Dto;
using System;
using System.ComponentModel.DataAnnotations;
namespace vovina.Master.Frame.Dto
{
	public class MstFrmProcessDto : EntityDto&lt;long?&gt;	
	{
		public virtual int ProcessSeq { get; set; }
		public virtual string ProcessCode { get; set; }
		public virtual string ProcessName { get; set; }
		public virtual string ProcessDesc { get; set; }
		public virtual int ProcessGroup { get; set; }
		public virtual string GroupName { get; set; }
		public virtual int ProcessSubgroup { get; set; }
		public virtual string SubgroupName { get; set; }
		public virtual string IsActive { get; set; }
	}
	public class CreateOrEditMstFrmProcessDto : EntityDto&lt;long?&gt;	
	{
		[Required]
		public virtual int ProcessSeq { get; set; }
		[Required]
		[StringLength(MstFrmProcessConsts.MaxProcessCodeLength)]
		public virtual string ProcessCode { get; set; }
		[StringLength(MstFrmProcessConsts.MaxProcessNameLength)]
		public virtual string ProcessName { get; set; }
		[StringLength(MstFrmProcessConsts.MaxProcessDescLength)]
		public virtual string ProcessDesc { get; set; }
		[Required]
		public virtual int ProcessGroup { get; set; }
		[StringLength(MstFrmProcessConsts.MaxGroupNameLength)]
		public virtual string GroupName { get; set; }
		public virtual int ProcessSubgroup { get; set; }
		[StringLength(MstFrmProcessConsts.MaxSubgroupNameLength)]
		public virtual string SubgroupName { get; set; }
		[StringLength(MstFrmProcessConsts.MaxIsActiveLength)]
		public virtual string IsActive { get; set; }
	}
	public class GetMstFrmProcessInput : PagedAndSortedResultRequestDto	
	{
		public virtual int ProcessSeq { get; set; }
		public virtual string ProcessCode { get; set; }
		public virtual string ProcessName { get; set; }
		public virtual string ProcessDesc { get; set; }
		public virtual int ProcessGroup { get; set; }
		public virtual string GroupName { get; set; }
		public virtual int ProcessSubgroup { get; set; }
		public virtual string SubgroupName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perMstFrmProcess = PARENTS.CreateChildPermission(AppPermissions.Pages_Master_Frame_Process, L( "MasterFrameProcess"));
		perMstFrmProcess.CreateChildPermission(AppPermissions.Pages_Master_Frame_Process_CreateEdit, L( "MasterFrameProcessCreateEdit"));
		perMstFrmProcess.CreateChildPermission(AppPermissions.Pages_Master_Frame_Process_Delete, L( "MasterFrameProcessDelete"));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Pages_Master_Frame_Process = "Pages.Master.Frame.Process";
		public const string Pages_Master_Frame_Process_CreateEdit = "Pages.Master.Frame.Process.CreateEdit";
		public const string Pages_Master_Frame_Process_Delete = "Pages.Master.Frame.Process.Delete";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vovina.Master.Frame.Dto;
namespace vovina.Master.Frame
{
	public interface IMstFrmProcessAppService : IApplicationService
	{
		Task&lt;PagedResultDto&lt;MstFrmProcessDto&gt;&gt; GetAll(GetMstFrmProcessInput input);
		Task CreateOrEdit(CreateOrEditMstFrmProcessDto input);
		Task Delete(EntityDto input);
	}
}
</v>
      </c>
      <c r="Q7" t="str">
        <f ca="1">SUBSTITUTE(SUBSTITUTE(SUBSTITUTE(SUBSTITUTE(SUBSTITUTE(SUBSTITUTE(E1,"MstWptCalendar",$B$3),"&lt;PROPERTIES&gt;",P19),"Calendar",$B$5),"WorkingPattern",$Q$3),"Master",$B$4),"&lt;PARAMS_SEARCH&gt;",$W$19)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vovina.Master.Frame.Dto;
using vovina.Master.Frame.Exporting;
namespace vovina.Master.Frame
{
    [AbpAuthorize(AppPermissions.Pages_Master_Frame_Process)]
    public class MstFrmProcessAppService : vovinaAppServiceBase, IMstFrmProcessAppService
    {
        private readonly IDapperRepository&lt;MstFrmProcess, long&gt; _dapperRepo;
        private readonly IRepository&lt;MstFrmProcess, long&gt; _repo;
        private readonly IMstFrmProcessExcelExporter _calendarListExcelExporter;
        public MstFrmProcessAppService(IRepository&lt;MstFrmProcess,long&gt; repo, 
                                         IDapperRepository&lt;MstFrmProcess,long&gt; dapperRepo,
                                        IMstFrmProcessExcelExporter calendarListExcelExporter
            )
        {
            _repo = repo;
            _dapperRepo = dapperRepo;
            _calendarListExcelExporter = calendarListExcelExporter;
        }
        [AbpAuthorize(AppPermissions.Pages_Master_Frame_Process_CreateEdit)]
        public async Task CreateOrEdit(CreateOrEditMstFrmProcessDto input)
        {
            if (input.Id == null) await Create(input);
            else await Update(input);
        }
        //CREATE
        private async Task Create(CreateOrEditMstFrmProcessDto input)
        {          
            var mainObj = ObjectMapper.Map&lt;MstFrmProcess&gt;(input);
            await CurrentUnitOfWork.GetDbContext&lt;vovinaDbContext&gt;().AddAsync(mainObj);
        }
        // EDIT
        private async Task Update(CreateOrEditMstFrmProcessDto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[AbpAuthorize(AppPermissions.Pages_Master_Frame_Process_Delete)]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Task&lt;PagedResultDto&lt;MstFrmProcessDto&gt;&gt; GetAll(GetMstFrmProcessInput input)
        {
            var filtered = _repo.GetAll()
				.WhereIf(!string.IsNullOrWhiteSpace(input.ProcessCode), e =&gt; e.ProcessCode.Contains(input.ProcessCode))
				.WhereIf(!string.IsNullOrWhiteSpace(input.ProcessName), e =&gt; e.ProcessName.Contains(input.ProcessName))
				.WhereIf(!string.IsNullOrWhiteSpace(input.ProcessDesc), e =&gt; e.ProcessDesc.Contains(input.ProcessDesc))
				.WhereIf(!string.IsNullOrWhiteSpace(input.GroupName), e =&gt; e.GroupName.Contains(input.GroupName))
				.WhereIf(!string.IsNullOrWhiteSpace(input.SubgroupName), e =&gt; e.SubgroupName.Contains(input.SubgroupName))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MstFrmProcessDto
                        {
							Id = o.Id,
							ProcessSeq = o.ProcessSeq,
							ProcessCode = o.ProcessCode,
							ProcessName = o.ProcessName,
							ProcessDesc = o.ProcessDesc,
							ProcessGroup = o.ProcessGroup,
							GroupName = o.GroupName,
							ProcessSubgroup = o.ProcessSubgroup,
							SubgroupName = o.SubgroupName,
							IsActive = o.IsActive,
                        };
            var totalCount = await filtered.CountAsync();
			var paged = system.PageBy(input);
            return new PagedResultDto&lt;MstFrmProcessDto&gt;(
                totalCount,
                 await paged.ToListAsync()
            );
        }
        public async Task&lt;FileDto&gt; GetProcessToExcel(MstFrmProcessExportInput input)
        {
            var query = from o in _repo.GetAll()
                        select new MstFrmProcessDto
                        {
							Id = o.Id,
							ProcessSeq = o.ProcessSeq,
							ProcessCode = o.ProcessCode,
							ProcessName = o.ProcessName,
							ProcessDesc = o.ProcessDesc,
							ProcessGroup = o.ProcessGroup,
							GroupName = o.GroupName,
							ProcessSubgroup = o.ProcessSubgroup,
							SubgroupName = o.SubgroupName,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_dapperRepo.ExecuteAsync(MstFrmProcessConsts.SP_MST_WPT_CALENDAR_GENERATE);
       // }
    }
}</v>
      </c>
      <c r="R7" t="str">
        <f ca="1">SUBSTITUTE(SUBSTITUTE((C1&amp;"namespace "&amp;B6&amp;".Dto"&amp;E3&amp;C3&amp;R3&amp;M19&amp;E3&amp;REPT(CHAR(9),1)&amp;D3&amp;D3),"WorkingPattern",$Q$3),"Master",$B$4)</f>
        <v xml:space="preserve">using Abp.Application.Services.Dto;
using System;
using System.ComponentModel.DataAnnotations;
namespace vovina.Master.Frame.Dto
{
	public class MstFrmProcessExportInput{
		public virtual int ProcessSeq { get; set; }
		public virtual string ProcessCode { get; set; }
		public virtual string ProcessName { get; set; }
		public virtual string ProcessDesc { get; set; }
		public virtual int ProcessGroup { get; set; }
		public virtual string GroupName { get; set; }
		public virtual int ProcessSubgroup { get; set; }
		public virtual string SubgroupName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vovina.Master.Frame.Dto;
namespace vovina.Master.Frame.Exporting
{
	public interface IMstFrmProcessExcelExporter : IApplicationService
	{
		FileDto ExportToFile(List&lt;MstFrmProcessDto&gt; mstfrmprocess);
	}
}
</v>
      </c>
      <c r="T7" s="28" t="str">
        <f ca="1">SUBSTITUTE(SUBSTITUTE(SUBSTITUTE(SUBSTITUTE(SUBSTITUTE(SUBSTITUTE(SUBSTITUTE(T1,"MstWptCalendar",$B$3),"&lt;PROPERTIES1&gt;",V19),"&lt;PROPERTIES&gt;",T19),"Calendar",$B$5),"calendar",LOWER(B5)),"WorkingPattern",$Q$3),"Master",$B$4)</f>
        <v>using System.Collections.Generic;
using vovina.DataExporting.Excel.NPOI;
using vovina.Dto;
using vovina.Master.Frame.Exporting;
using vovina.Master.Frame.Dto;
using vovina.Storage;
using vovina.Master.Frame.Dto;
namespace vovina.Master.Frame.Exporting
{
    public class MstFrmProcessExcelExporter : NpoiExcelExporterBase, IMstFrmProcessExcelExporter
    {
        public MstFrmProcessExcelExporter(ITempFileCacheManager tempFileCacheManager) : base(tempFileCacheManager) { }
        public FileDto ExportToFile(List&lt;MstFrmProcessDto&gt; process)
        {
            return CreateExcelPackage(
				"MasterFrameProcess.xlsx",
				excelPackage =&gt;
				 {
					var sheet = excelPackage.CreateSheet("Process");
					AddHeader(
								sheet,
								("ProcessSeq"),
								("ProcessCode"),
								("ProcessName"),
								("ProcessDesc"),
								("ProcessGroup"),
								("GroupName"),
								("ProcessSubgroup"),
								("SubgroupName"),
								("IsActive"),
							   );
					AddObjects(
						 sheet, 1, process,                                       
								_ =&gt; _.ProcessSeq,
								_ =&gt; _.ProcessCode,
								_ =&gt; _.ProcessName,
								_ =&gt; _.ProcessDesc,
								_ =&gt; _.ProcessGroup,
								_ =&gt; _.GroupName,
								_ =&gt; _.ProcessSubgroup,
								_ =&gt; _.SubgroupName,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configuration.CreateMap&lt;MstFrmProcessDto, MstFrmProcess&gt;();
  configuration.CreateMap&lt;MstFrmProcess, MstFrmProcessDto&gt;();
  configuration.CreateMap&lt;CreateOrEditMstFrmProcessDto, MstFrmProcess&gt;();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85</v>
      </c>
      <c r="W8" s="3"/>
    </row>
    <row r="9" spans="1:23" customFormat="1" ht="22.5" customHeight="1" x14ac:dyDescent="0.25">
      <c r="A9" t="s">
        <v>270</v>
      </c>
      <c r="B9" t="s">
        <v>4</v>
      </c>
      <c r="C9" t="s">
        <v>80</v>
      </c>
      <c r="D9" t="str">
        <f>SUBSTITUTE(PROPER(A9),"_","")</f>
        <v>ProcessSeq</v>
      </c>
      <c r="E9" t="str">
        <f t="shared" ref="E9:E11" si="0">IFERROR(LEFT(B9, FIND("(",B9)-1),B9)</f>
        <v>int</v>
      </c>
      <c r="F9" s="7"/>
      <c r="G9" t="str">
        <f t="shared" ref="G9:G11" si="1">IFERROR(MID(B9,FIND("(",B9) +1, FIND(")",B9) - FIND("(",B9) - 1),"")</f>
        <v/>
      </c>
      <c r="H9" t="str">
        <f>+VLOOKUP(E9,'Data Type Mapping'!A:B,2,)</f>
        <v>int</v>
      </c>
      <c r="I9" t="str">
        <f t="shared" ref="I9:I11" si="2">IF(H9="string",REPT(CHAR(9),2)&amp;"public const int Max"&amp;D9&amp;"Length = "&amp;G9&amp;";"&amp;$E$3,"" )</f>
        <v/>
      </c>
      <c r="J9" t="str">
        <f t="shared" ref="J9:J11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[Required]
		public virtual int ProcessSeq { get; set; }
</v>
      </c>
      <c r="K9" s="7" t="s">
        <v>207</v>
      </c>
      <c r="L9" t="str">
        <f>IF(K9="","",REPT(CHAR(9),1)&amp;"[Index(nameof("&amp;IF(D9="","",""&amp;D9)&amp;")"&amp;", Name="&amp;"""IX_"&amp;$B$7&amp;"_"&amp;D9&amp;""")]")</f>
        <v xml:space="preserve">	[Index(nameof(ProcessSeq), Name="IX_MstFrmProcess_ProcessSeq")]</v>
      </c>
      <c r="M9" t="str">
        <f>REPT(CHAR(9),2)&amp;"public virtual "&amp;IF(OR(H9="DateTime",H9="TimeSpan"),H9&amp;"?",H9)&amp;IF(C9="?","? "," ")&amp;D9&amp;" { get; set; }" &amp; "
"</f>
        <v xml:space="preserve">		public virtual int ProcessSeq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[Required]
		public virtual int ProcessSeq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int ProcessSeq { get; set; }
</v>
      </c>
      <c r="P9" t="str">
        <f t="shared" ref="P9:P11" si="4">REPT(CHAR(9),7)&amp;D9&amp;" = o." &amp;D9 &amp;","</f>
        <v xml:space="preserve">							ProcessSeq = o.ProcessSeq,</v>
      </c>
      <c r="T9" s="69" t="str">
        <f>REPT(CHAR(9),8)&amp;"("""&amp;D9&amp;"""),"</f>
        <v xml:space="preserve">								("ProcessSeq"),</v>
      </c>
      <c r="V9" s="70" t="str">
        <f>REPT(CHAR(9),8)&amp;"_ =&gt; _."&amp;D9&amp;","</f>
        <v xml:space="preserve">								_ =&gt; _.ProcessSeq,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</row>
    <row r="10" spans="1:23" customFormat="1" ht="21" customHeight="1" x14ac:dyDescent="0.25">
      <c r="A10" t="s">
        <v>271</v>
      </c>
      <c r="B10" t="s">
        <v>272</v>
      </c>
      <c r="C10" t="s">
        <v>80</v>
      </c>
      <c r="D10" t="str">
        <f t="shared" ref="D10:D11" si="5">SUBSTITUTE(PROPER(A10),"_","")</f>
        <v>ProcessCode</v>
      </c>
      <c r="E10" t="str">
        <f t="shared" si="0"/>
        <v>varchar</v>
      </c>
      <c r="F10" s="7"/>
      <c r="G10" t="str">
        <f t="shared" si="1"/>
        <v>50</v>
      </c>
      <c r="H10" t="str">
        <f>+VLOOKUP(E10,'Data Type Mapping'!A:B,2,)</f>
        <v>string</v>
      </c>
      <c r="I10" t="str">
        <f t="shared" si="2"/>
        <v xml:space="preserve">		public const int MaxProcessCodeLength = 50;
</v>
      </c>
      <c r="J10" t="str">
        <f t="shared" si="3"/>
        <v xml:space="preserve">		[Required]
		[StringLength(MaxProcessCodeLength)]
		public virtual string ProcessCode { get; set; }
</v>
      </c>
      <c r="K10" s="7" t="s">
        <v>207</v>
      </c>
      <c r="L10" t="str">
        <f t="shared" ref="L10:L11" si="6">IF(K10="","",REPT(CHAR(9),1)&amp;"[Index(nameof("&amp;IF(D10="","",""&amp;D10)&amp;")"&amp;", Name="&amp;"""IX_"&amp;$B$7&amp;"_"&amp;D10&amp;""")]")</f>
        <v xml:space="preserve">	[Index(nameof(ProcessCode), Name="IX_MstFrmProcess_ProcessCode")]</v>
      </c>
      <c r="M10" t="str">
        <f t="shared" ref="M10:M17" si="7">REPT(CHAR(9),2)&amp;"public virtual "&amp;IF(OR(H10="DateTime",H10="TimeSpan"),H10&amp;"?",H10)&amp;IF(C10="?","? "," ")&amp;D10&amp;" { get; set; }" &amp; "
"</f>
        <v xml:space="preserve">		public virtual string ProcessCode { get; set; }
</v>
      </c>
      <c r="N10" t="str">
        <f t="shared" ref="N10:N17" si="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[Required]
		[StringLength(MstFrmProcessConsts.MaxProcessCodeLength)]
		public virtual string ProcessCode { get; set; }
</v>
      </c>
      <c r="O10" t="str">
        <f t="shared" ref="O10:O17" si="9">IF(OR(H10="string",H10="DateTime",H10="int"),REPT(CHAR(9),2)&amp;"public virtual "&amp;IF(OR(H10="DateTime",H10="TimeSpan"),H10&amp;"?",H10)&amp;IF(C10="?","? "," ")&amp;D10&amp;" { get; set; }"&amp;$E$3,"")</f>
        <v xml:space="preserve">		public virtual string ProcessCode { get; set; }
</v>
      </c>
      <c r="P10" t="str">
        <f t="shared" si="4"/>
        <v xml:space="preserve">							ProcessCode = o.ProcessCode,</v>
      </c>
      <c r="T10" s="69" t="str">
        <f t="shared" ref="T10:T17" si="10">REPT(CHAR(9),8)&amp;"("""&amp;D10&amp;"""),"</f>
        <v xml:space="preserve">								("ProcessCode"),</v>
      </c>
      <c r="V10" s="70" t="str">
        <f t="shared" ref="V10:V17" si="11">REPT(CHAR(9),8)&amp;"_ =&gt; _."&amp;D10&amp;","</f>
        <v xml:space="preserve">								_ =&gt; _.ProcessCode,</v>
      </c>
      <c r="W10" s="69" t="str">
        <f t="shared" ref="W10:W17" si="12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.WhereIf(!string.IsNullOrWhiteSpace(input.ProcessCode), e =&gt; e.ProcessCode.Contains(input.ProcessCode))</v>
      </c>
    </row>
    <row r="11" spans="1:23" customFormat="1" ht="18.75" customHeight="1" x14ac:dyDescent="0.25">
      <c r="A11" t="s">
        <v>273</v>
      </c>
      <c r="B11" t="s">
        <v>274</v>
      </c>
      <c r="C11" t="s">
        <v>1</v>
      </c>
      <c r="D11" t="str">
        <f t="shared" si="5"/>
        <v>ProcessName</v>
      </c>
      <c r="E11" t="str">
        <f t="shared" si="0"/>
        <v>nvarchar</v>
      </c>
      <c r="F11" s="7" t="s">
        <v>19</v>
      </c>
      <c r="G11" t="str">
        <f t="shared" si="1"/>
        <v>1000</v>
      </c>
      <c r="H11" t="str">
        <f>+VLOOKUP(E11,'Data Type Mapping'!A:B,2,)</f>
        <v>string</v>
      </c>
      <c r="I11" t="str">
        <f t="shared" si="2"/>
        <v xml:space="preserve">		public const int MaxProcessNameLength = 1000;
</v>
      </c>
      <c r="J11" t="str">
        <f t="shared" si="3"/>
        <v xml:space="preserve">		[Column(TypeName="nvarchar")]
		[StringLength(MaxProcessNameLength)]
		public virtual string ProcessName { get; set; }
</v>
      </c>
      <c r="K11" s="7"/>
      <c r="L11" t="str">
        <f t="shared" si="6"/>
        <v/>
      </c>
      <c r="M11" t="str">
        <f t="shared" si="7"/>
        <v xml:space="preserve">		public virtual string ProcessName { get; set; }
</v>
      </c>
      <c r="N11" t="str">
        <f t="shared" si="8"/>
        <v xml:space="preserve">		[StringLength(MstFrmProcessConsts.MaxProcessNameLength)]
		public virtual string ProcessName { get; set; }
</v>
      </c>
      <c r="O11" t="str">
        <f t="shared" si="9"/>
        <v xml:space="preserve">		public virtual string ProcessName { get; set; }
</v>
      </c>
      <c r="P11" t="str">
        <f t="shared" si="4"/>
        <v xml:space="preserve">							ProcessName = o.ProcessName,</v>
      </c>
      <c r="T11" s="69" t="str">
        <f t="shared" si="10"/>
        <v xml:space="preserve">								("ProcessName"),</v>
      </c>
      <c r="V11" s="70" t="str">
        <f t="shared" si="11"/>
        <v xml:space="preserve">								_ =&gt; _.ProcessName,</v>
      </c>
      <c r="W11" s="69" t="str">
        <f t="shared" si="12"/>
        <v xml:space="preserve">				.WhereIf(!string.IsNullOrWhiteSpace(input.ProcessName), e =&gt; e.ProcessName.Contains(input.ProcessName))</v>
      </c>
    </row>
    <row r="12" spans="1:23" customFormat="1" ht="22.5" customHeight="1" x14ac:dyDescent="0.25">
      <c r="A12" t="s">
        <v>275</v>
      </c>
      <c r="B12" t="s">
        <v>274</v>
      </c>
      <c r="C12" t="s">
        <v>1</v>
      </c>
      <c r="D12" t="str">
        <f>SUBSTITUTE(PROPER(A12),"_","")</f>
        <v>ProcessDesc</v>
      </c>
      <c r="E12" t="str">
        <f t="shared" ref="E12:E17" si="13">IFERROR(LEFT(B12, FIND("(",B12)-1),B12)</f>
        <v>nvarchar</v>
      </c>
      <c r="F12" s="7" t="s">
        <v>19</v>
      </c>
      <c r="G12" t="str">
        <f t="shared" ref="G12:G17" si="14">IFERROR(MID(B12,FIND("(",B12) +1, FIND(")",B12) - FIND("(",B12) - 1),"")</f>
        <v>1000</v>
      </c>
      <c r="H12" t="str">
        <f>+VLOOKUP(E12,'Data Type Mapping'!A:B,2,)</f>
        <v>string</v>
      </c>
      <c r="I12" t="str">
        <f t="shared" ref="I12:I17" si="15">IF(H12="string",REPT(CHAR(9),2)&amp;"public const int Max"&amp;D12&amp;"Length = "&amp;G12&amp;";"&amp;$E$3,"" )</f>
        <v xml:space="preserve">		public const int MaxProcessDescLength = 1000;
</v>
      </c>
      <c r="J12" t="str">
        <f t="shared" ref="J12:J17" si="16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[Column(TypeName="nvarchar")]
		[StringLength(MaxProcessDescLength)]
		public virtual string ProcessDesc { get; set; }
</v>
      </c>
      <c r="K12" s="7"/>
      <c r="L12" t="str">
        <f>IF(K12="","",REPT(CHAR(9),1)&amp;"[Index(nameof("&amp;IF(D12="","",""&amp;D12)&amp;")"&amp;", Name="&amp;"""IX_"&amp;$B$7&amp;"_"&amp;D12&amp;""")]")</f>
        <v/>
      </c>
      <c r="M12" t="str">
        <f t="shared" si="7"/>
        <v xml:space="preserve">		public virtual string ProcessDesc { get; set; }
</v>
      </c>
      <c r="N12" t="str">
        <f t="shared" si="8"/>
        <v xml:space="preserve">		[StringLength(MstFrmProcessConsts.MaxProcessDescLength)]
		public virtual string ProcessDesc { get; set; }
</v>
      </c>
      <c r="O12" t="str">
        <f t="shared" si="9"/>
        <v xml:space="preserve">		public virtual string ProcessDesc { get; set; }
</v>
      </c>
      <c r="P12" t="str">
        <f t="shared" ref="P12:P17" si="17">REPT(CHAR(9),7)&amp;D12&amp;" = o." &amp;D12 &amp;","</f>
        <v xml:space="preserve">							ProcessDesc = o.ProcessDesc,</v>
      </c>
      <c r="T12" s="69" t="str">
        <f t="shared" si="10"/>
        <v xml:space="preserve">								("ProcessDesc"),</v>
      </c>
      <c r="V12" s="70" t="str">
        <f t="shared" si="11"/>
        <v xml:space="preserve">								_ =&gt; _.ProcessDesc,</v>
      </c>
      <c r="W12" s="69" t="str">
        <f t="shared" si="12"/>
        <v xml:space="preserve">				.WhereIf(!string.IsNullOrWhiteSpace(input.ProcessDesc), e =&gt; e.ProcessDesc.Contains(input.ProcessDesc))</v>
      </c>
    </row>
    <row r="13" spans="1:23" customFormat="1" ht="21" customHeight="1" x14ac:dyDescent="0.25">
      <c r="A13" t="s">
        <v>276</v>
      </c>
      <c r="B13" t="s">
        <v>4</v>
      </c>
      <c r="C13" t="s">
        <v>80</v>
      </c>
      <c r="D13" t="str">
        <f t="shared" ref="D13:D17" si="18">SUBSTITUTE(PROPER(A13),"_","")</f>
        <v>ProcessGroup</v>
      </c>
      <c r="E13" t="str">
        <f t="shared" si="13"/>
        <v>int</v>
      </c>
      <c r="F13" s="7"/>
      <c r="G13" t="str">
        <f t="shared" si="14"/>
        <v/>
      </c>
      <c r="H13" t="str">
        <f>+VLOOKUP(E13,'Data Type Mapping'!A:B,2,)</f>
        <v>int</v>
      </c>
      <c r="I13" t="str">
        <f t="shared" si="15"/>
        <v/>
      </c>
      <c r="J13" t="str">
        <f t="shared" si="16"/>
        <v xml:space="preserve">		[Required]
		public virtual int ProcessGroup { get; set; }
</v>
      </c>
      <c r="K13" s="7"/>
      <c r="L13" t="str">
        <f t="shared" ref="L13:L17" si="19">IF(K13="","",REPT(CHAR(9),1)&amp;"[Index(nameof("&amp;IF(D13="","",""&amp;D13)&amp;")"&amp;", Name="&amp;"""IX_"&amp;$B$7&amp;"_"&amp;D13&amp;""")]")</f>
        <v/>
      </c>
      <c r="M13" t="str">
        <f t="shared" si="7"/>
        <v xml:space="preserve">		public virtual int ProcessGroup { get; set; }
</v>
      </c>
      <c r="N13" t="str">
        <f t="shared" si="8"/>
        <v xml:space="preserve">		[Required]
		public virtual int ProcessGroup { get; set; }
</v>
      </c>
      <c r="O13" t="str">
        <f t="shared" si="9"/>
        <v xml:space="preserve">		public virtual int ProcessGroup { get; set; }
</v>
      </c>
      <c r="P13" t="str">
        <f t="shared" si="17"/>
        <v xml:space="preserve">							ProcessGroup = o.ProcessGroup,</v>
      </c>
      <c r="T13" s="69" t="str">
        <f t="shared" si="10"/>
        <v xml:space="preserve">								("ProcessGroup"),</v>
      </c>
      <c r="V13" s="70" t="str">
        <f t="shared" si="11"/>
        <v xml:space="preserve">								_ =&gt; _.ProcessGroup,</v>
      </c>
      <c r="W13" s="69" t="str">
        <f t="shared" si="12"/>
        <v/>
      </c>
    </row>
    <row r="14" spans="1:23" customFormat="1" ht="21" customHeight="1" x14ac:dyDescent="0.25">
      <c r="A14" t="s">
        <v>277</v>
      </c>
      <c r="B14" t="s">
        <v>278</v>
      </c>
      <c r="C14" t="s">
        <v>1</v>
      </c>
      <c r="D14" t="str">
        <f t="shared" si="18"/>
        <v>GroupName</v>
      </c>
      <c r="E14" t="str">
        <f t="shared" si="13"/>
        <v>varchar</v>
      </c>
      <c r="F14" s="7"/>
      <c r="G14" t="str">
        <f t="shared" si="14"/>
        <v>100</v>
      </c>
      <c r="H14" t="str">
        <f>+VLOOKUP(E14,'Data Type Mapping'!A:B,2,)</f>
        <v>string</v>
      </c>
      <c r="I14" t="str">
        <f t="shared" si="15"/>
        <v xml:space="preserve">		public const int MaxGroupNameLength = 100;
</v>
      </c>
      <c r="J14" t="str">
        <f t="shared" si="16"/>
        <v xml:space="preserve">		[StringLength(MaxGroupNameLength)]
		public virtual string GroupName { get; set; }
</v>
      </c>
      <c r="K14" s="7"/>
      <c r="L14" t="str">
        <f t="shared" si="19"/>
        <v/>
      </c>
      <c r="M14" t="str">
        <f t="shared" ref="M14:M16" si="20">REPT(CHAR(9),2)&amp;"public virtual "&amp;IF(OR(H14="DateTime",H14="TimeSpan"),H14&amp;"?",H14)&amp;IF(C14="?","? "," ")&amp;D14&amp;" { get; set; }" &amp; "
"</f>
        <v xml:space="preserve">		public virtual string GroupName { get; set; }
</v>
      </c>
      <c r="N14" t="str">
        <f t="shared" ref="N14:N16" si="21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[StringLength(MstFrmProcessConsts.MaxGroupNameLength)]
		public virtual string GroupName { get; set; }
</v>
      </c>
      <c r="O14" t="str">
        <f t="shared" ref="O14:O16" si="22">IF(OR(H14="string",H14="DateTime",H14="int"),REPT(CHAR(9),2)&amp;"public virtual "&amp;IF(OR(H14="DateTime",H14="TimeSpan"),H14&amp;"?",H14)&amp;IF(C14="?","? "," ")&amp;D14&amp;" { get; set; }"&amp;$E$3,"")</f>
        <v xml:space="preserve">		public virtual string GroupName { get; set; }
</v>
      </c>
      <c r="P14" t="str">
        <f t="shared" si="17"/>
        <v xml:space="preserve">							GroupName = o.GroupName,</v>
      </c>
      <c r="T14" s="69" t="str">
        <f t="shared" ref="T14:T16" si="23">REPT(CHAR(9),8)&amp;"("""&amp;D14&amp;"""),"</f>
        <v xml:space="preserve">								("GroupName"),</v>
      </c>
      <c r="V14" s="70" t="str">
        <f t="shared" ref="V14:V16" si="24">REPT(CHAR(9),8)&amp;"_ =&gt; _."&amp;D14&amp;","</f>
        <v xml:space="preserve">								_ =&gt; _.GroupName,</v>
      </c>
      <c r="W14" s="69" t="str">
        <f t="shared" ref="W14:W16" si="25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.WhereIf(!string.IsNullOrWhiteSpace(input.GroupName), e =&gt; e.GroupName.Contains(input.GroupName))</v>
      </c>
    </row>
    <row r="15" spans="1:23" customFormat="1" ht="18.75" customHeight="1" x14ac:dyDescent="0.25">
      <c r="A15" t="s">
        <v>279</v>
      </c>
      <c r="B15" t="s">
        <v>4</v>
      </c>
      <c r="C15" t="s">
        <v>1</v>
      </c>
      <c r="D15" t="str">
        <f t="shared" si="18"/>
        <v>ProcessSubgroup</v>
      </c>
      <c r="E15" t="str">
        <f t="shared" si="13"/>
        <v>int</v>
      </c>
      <c r="F15" s="7"/>
      <c r="G15" t="str">
        <f t="shared" si="14"/>
        <v/>
      </c>
      <c r="H15" t="str">
        <f>+VLOOKUP(E15,'Data Type Mapping'!A:B,2,)</f>
        <v>int</v>
      </c>
      <c r="I15" t="str">
        <f t="shared" si="15"/>
        <v/>
      </c>
      <c r="J15" t="str">
        <f t="shared" si="16"/>
        <v xml:space="preserve">		public virtual int ProcessSubgroup { get; set; }
</v>
      </c>
      <c r="K15" s="7" t="s">
        <v>207</v>
      </c>
      <c r="L15" t="str">
        <f t="shared" si="19"/>
        <v xml:space="preserve">	[Index(nameof(ProcessSubgroup), Name="IX_MstFrmProcess_ProcessSubgroup")]</v>
      </c>
      <c r="M15" t="str">
        <f t="shared" si="20"/>
        <v xml:space="preserve">		public virtual int ProcessSubgroup { get; set; }
</v>
      </c>
      <c r="N15" t="str">
        <f t="shared" si="21"/>
        <v xml:space="preserve">		public virtual int ProcessSubgroup { get; set; }
</v>
      </c>
      <c r="O15" t="str">
        <f t="shared" si="22"/>
        <v xml:space="preserve">		public virtual int ProcessSubgroup { get; set; }
</v>
      </c>
      <c r="P15" t="str">
        <f t="shared" si="17"/>
        <v xml:space="preserve">							ProcessSubgroup = o.ProcessSubgroup,</v>
      </c>
      <c r="T15" s="69" t="str">
        <f t="shared" si="23"/>
        <v xml:space="preserve">								("ProcessSubgroup"),</v>
      </c>
      <c r="V15" s="70" t="str">
        <f t="shared" si="24"/>
        <v xml:space="preserve">								_ =&gt; _.ProcessSubgroup,</v>
      </c>
      <c r="W15" s="69" t="str">
        <f t="shared" si="25"/>
        <v/>
      </c>
    </row>
    <row r="16" spans="1:23" customFormat="1" ht="22.5" customHeight="1" x14ac:dyDescent="0.25">
      <c r="A16" t="s">
        <v>280</v>
      </c>
      <c r="B16" t="s">
        <v>278</v>
      </c>
      <c r="C16" t="s">
        <v>1</v>
      </c>
      <c r="D16" t="str">
        <f>SUBSTITUTE(PROPER(A16),"_","")</f>
        <v>SubgroupName</v>
      </c>
      <c r="E16" t="str">
        <f t="shared" ref="E16" si="26">IFERROR(LEFT(B16, FIND("(",B16)-1),B16)</f>
        <v>varchar</v>
      </c>
      <c r="F16" s="7"/>
      <c r="G16" t="str">
        <f t="shared" ref="G16" si="27">IFERROR(MID(B16,FIND("(",B16) +1, FIND(")",B16) - FIND("(",B16) - 1),"")</f>
        <v>100</v>
      </c>
      <c r="H16" t="str">
        <f>+VLOOKUP(E16,'Data Type Mapping'!A:B,2,)</f>
        <v>string</v>
      </c>
      <c r="I16" t="str">
        <f t="shared" ref="I16" si="28">IF(H16="string",REPT(CHAR(9),2)&amp;"public const int Max"&amp;D16&amp;"Length = "&amp;G16&amp;";"&amp;$E$3,"" )</f>
        <v xml:space="preserve">		public const int MaxSubgroupNameLength = 100;
</v>
      </c>
      <c r="J16" t="str">
        <f t="shared" ref="J16" si="29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[StringLength(MaxSubgroupNameLength)]
		public virtual string SubgroupName { get; set; }
</v>
      </c>
      <c r="K16" s="7" t="s">
        <v>207</v>
      </c>
      <c r="L16" t="str">
        <f>IF(K16="","",REPT(CHAR(9),1)&amp;"[Index(nameof("&amp;IF(D16="","",""&amp;D16)&amp;")"&amp;", Name="&amp;"""IX_"&amp;$B$7&amp;"_"&amp;D16&amp;""")]")</f>
        <v xml:space="preserve">	[Index(nameof(SubgroupName), Name="IX_MstFrmProcess_SubgroupName")]</v>
      </c>
      <c r="M16" t="str">
        <f t="shared" si="20"/>
        <v xml:space="preserve">		public virtual string SubgroupName { get; set; }
</v>
      </c>
      <c r="N16" t="str">
        <f t="shared" si="21"/>
        <v xml:space="preserve">		[StringLength(MstFrmProcessConsts.MaxSubgroupNameLength)]
		public virtual string SubgroupName { get; set; }
</v>
      </c>
      <c r="O16" t="str">
        <f t="shared" si="22"/>
        <v xml:space="preserve">		public virtual string SubgroupName { get; set; }
</v>
      </c>
      <c r="P16" t="str">
        <f t="shared" ref="P16" si="30">REPT(CHAR(9),7)&amp;D16&amp;" = o." &amp;D16 &amp;","</f>
        <v xml:space="preserve">							SubgroupName = o.SubgroupName,</v>
      </c>
      <c r="T16" s="69" t="str">
        <f t="shared" si="23"/>
        <v xml:space="preserve">								("SubgroupName"),</v>
      </c>
      <c r="V16" s="70" t="str">
        <f t="shared" si="24"/>
        <v xml:space="preserve">								_ =&gt; _.SubgroupName,</v>
      </c>
      <c r="W16" s="69" t="str">
        <f t="shared" si="25"/>
        <v xml:space="preserve">				.WhereIf(!string.IsNullOrWhiteSpace(input.SubgroupName), e =&gt; e.SubgroupName.Contains(input.SubgroupName))</v>
      </c>
    </row>
    <row r="17" spans="1:23" customFormat="1" ht="18.75" customHeight="1" x14ac:dyDescent="0.25">
      <c r="A17" t="s">
        <v>281</v>
      </c>
      <c r="B17" t="s">
        <v>282</v>
      </c>
      <c r="C17" t="s">
        <v>1</v>
      </c>
      <c r="D17" t="str">
        <f t="shared" si="18"/>
        <v>IsActive</v>
      </c>
      <c r="E17" t="str">
        <f t="shared" si="13"/>
        <v>varchar</v>
      </c>
      <c r="F17" s="7"/>
      <c r="G17" t="str">
        <f t="shared" si="14"/>
        <v>1</v>
      </c>
      <c r="H17" t="str">
        <f>+VLOOKUP(E17,'Data Type Mapping'!A:B,2,)</f>
        <v>string</v>
      </c>
      <c r="I17" t="str">
        <f t="shared" si="15"/>
        <v xml:space="preserve">		public const int MaxIsActiveLength = 1;
</v>
      </c>
      <c r="J17" t="str">
        <f t="shared" si="16"/>
        <v xml:space="preserve">		[StringLength(MaxIsActiveLength)]
		public virtual string IsActive { get; set; }
</v>
      </c>
      <c r="K17" s="7"/>
      <c r="L17" t="str">
        <f t="shared" si="19"/>
        <v/>
      </c>
      <c r="M17" t="str">
        <f t="shared" si="7"/>
        <v xml:space="preserve">		public virtual string IsActive { get; set; }
</v>
      </c>
      <c r="N17" t="str">
        <f t="shared" si="8"/>
        <v xml:space="preserve">		[StringLength(MstFrmProcessConsts.MaxIsActiveLength)]
		public virtual string IsActive { get; set; }
</v>
      </c>
      <c r="O17" t="str">
        <f t="shared" si="9"/>
        <v xml:space="preserve">		public virtual string IsActive { get; set; }
</v>
      </c>
      <c r="P17" t="str">
        <f t="shared" si="17"/>
        <v xml:space="preserve">							IsActive = o.IsActive,</v>
      </c>
      <c r="T17" s="69" t="str">
        <f t="shared" si="10"/>
        <v xml:space="preserve">								("IsActive"),</v>
      </c>
      <c r="V17" s="70" t="str">
        <f t="shared" si="11"/>
        <v xml:space="preserve">								_ =&gt; _.IsActive,</v>
      </c>
      <c r="W17" s="69" t="str">
        <f t="shared" si="12"/>
        <v xml:space="preserve">				.WhereIf(!string.IsNullOrWhiteSpace(input.IsActive), e =&gt; e.IsActive.Contains(input.IsActive))</v>
      </c>
    </row>
    <row r="19" spans="1:23" ht="45.75" customHeight="1" x14ac:dyDescent="0.25">
      <c r="H19" s="12"/>
      <c r="I19" s="34" t="str">
        <f ca="1">TEXTJOIN2("
", TRUE,INDIRECT( $H$1):INDIRECT( $H$3))</f>
        <v xml:space="preserve">		public const int MaxProcessCodeLength = 50;
		public const int MaxProcessNameLength = 1000;
		public const int MaxProcessDescLength = 1000;
		public const int MaxGroupNameLength = 100;
		public const int MaxSubgroupNameLength = 100;
		public const int MaxIsActiveLength = 1;
</v>
      </c>
      <c r="J19" s="33" t="str">
        <f ca="1">TEXTJOIN2("
", TRUE,INDIRECT( $F$1):INDIRECT( $F$3))</f>
        <v xml:space="preserve">		[Required]
		public virtual int ProcessSeq { get; set; }
		[Required]
		[StringLength(MaxProcessCodeLength)]
		public virtual string ProcessCode { get; set; }
		[Column(TypeName="nvarchar")]
		[StringLength(MaxProcessNameLength)]
		public virtual string ProcessName { get; set; }
		[Column(TypeName="nvarchar")]
		[StringLength(MaxProcessDescLength)]
		public virtual string ProcessDesc { get; set; }
		[Required]
		public virtual int ProcessGroup { get; set; }
		[StringLength(MaxGroupNameLength)]
		public virtual string GroupName { get; set; }
		public virtual int ProcessSubgroup { get; set; }
		[StringLength(MaxSubgroupNameLength)]
		public virtual string SubgroupName { get; set; }
		[StringLength(MaxIsActiveLength)]
		public virtual string IsActive { get; set; }
</v>
      </c>
      <c r="K19" s="35" t="str">
        <f ca="1">TEXTJOIN2("
", TRUE,INDIRECT( $J$1):INDIRECT( $J$3))</f>
        <v xml:space="preserve">	[Index(nameof(ProcessSeq), Name="IX_MstFrmProcess_ProcessSeq")]
	[Index(nameof(ProcessCode), Name="IX_MstFrmProcess_ProcessCode")]
	[Index(nameof(ProcessSubgroup), Name="IX_MstFrmProcess_ProcessSubgroup")]
	[Index(nameof(SubgroupName), Name="IX_MstFrmProcess_SubgroupName")]
</v>
      </c>
      <c r="L19" s="13" t="s">
        <v>60</v>
      </c>
      <c r="M19" s="36" t="str">
        <f ca="1">TEXTJOIN2("
",TRUE,INDIRECT( $L$1):INDIRECT($L$3))</f>
        <v xml:space="preserve">		public virtual int ProcessSeq { get; set; }
		public virtual string ProcessCode { get; set; }
		public virtual string ProcessName { get; set; }
		public virtual string ProcessDesc { get; set; }
		public virtual int ProcessGroup { get; set; }
		public virtual string GroupName { get; set; }
		public virtual int ProcessSubgroup { get; set; }
		public virtual string SubgroupName { get; set; }
		public virtual string IsActive { get; set; }
</v>
      </c>
      <c r="N19" s="33" t="str">
        <f ca="1">TEXTJOIN2("
",TRUE,INDIRECT( $M$1):INDIRECT($M$3))</f>
        <v xml:space="preserve">		[Required]
		public virtual int ProcessSeq { get; set; }
		[Required]
		[StringLength(MstFrmProcessConsts.MaxProcessCodeLength)]
		public virtual string ProcessCode { get; set; }
		[StringLength(MstFrmProcessConsts.MaxProcessNameLength)]
		public virtual string ProcessName { get; set; }
		[StringLength(MstFrmProcessConsts.MaxProcessDescLength)]
		public virtual string ProcessDesc { get; set; }
		[Required]
		public virtual int ProcessGroup { get; set; }
		[StringLength(MstFrmProcessConsts.MaxGroupNameLength)]
		public virtual string GroupName { get; set; }
		public virtual int ProcessSubgroup { get; set; }
		[StringLength(MstFrmProcessConsts.MaxSubgroupNameLength)]
		public virtual string SubgroupName { get; set; }
		[StringLength(MstFrmProcessConsts.MaxIsActiveLength)]
		public virtual string IsActive { get; set; }
</v>
      </c>
      <c r="O19" s="33" t="str">
        <f ca="1">TEXTJOIN2("
",TRUE,INDIRECT( $N$1):INDIRECT($N$3))</f>
        <v xml:space="preserve">		public virtual int ProcessSeq { get; set; }
		public virtual string ProcessCode { get; set; }
		public virtual string ProcessName { get; set; }
		public virtual string ProcessDesc { get; set; }
		public virtual int ProcessGroup { get; set; }
		public virtual string GroupName { get; set; }
		public virtual int ProcessSubgroup { get; set; }
		public virtual string SubgroupName { get; set; }
		public virtual string IsActive { get; set; }
</v>
      </c>
      <c r="P19" s="9" t="str">
        <f ca="1">TEXTJOIN2("
",TRUE,INDIRECT( $O$1):INDIRECT($O$3))</f>
        <v xml:space="preserve">							ProcessSeq = o.ProcessSeq,
							ProcessCode = o.ProcessCode,
							ProcessName = o.ProcessName,
							ProcessDesc = o.ProcessDesc,
							ProcessGroup = o.ProcessGroup,
							GroupName = o.GroupName,
							ProcessSubgroup = o.ProcessSubgroup,
							SubgroupName = o.SubgroupName,
							IsActive = o.IsActive,</v>
      </c>
      <c r="T19" s="9" t="str">
        <f ca="1">TEXTJOIN2("
",TRUE,INDIRECT( $T$2):INDIRECT($T$3))</f>
        <v xml:space="preserve">								("ProcessSeq"),
								("ProcessCode"),
								("ProcessName"),
								("ProcessDesc"),
								("ProcessGroup"),
								("GroupName"),
								("ProcessSubgroup"),
								("SubgroupName"),
								("IsActive"),</v>
      </c>
      <c r="V19" s="9" t="str">
        <f ca="1">TEXTJOIN2("
",TRUE,INDIRECT( $V$2):INDIRECT($V$3))</f>
        <v xml:space="preserve">								_ =&gt; _.ProcessSeq,
								_ =&gt; _.ProcessCode,
								_ =&gt; _.ProcessName,
								_ =&gt; _.ProcessDesc,
								_ =&gt; _.ProcessGroup,
								_ =&gt; _.GroupName,
								_ =&gt; _.ProcessSubgroup,
								_ =&gt; _.SubgroupName,
								_ =&gt; _.IsActive,</v>
      </c>
      <c r="W19" s="9" t="str">
        <f ca="1">TEXTJOIN2("
",TRUE,INDIRECT( $W$2):INDIRECT($W$3))</f>
        <v xml:space="preserve">				.WhereIf(!string.IsNullOrWhiteSpace(input.ProcessCode), e =&gt; e.ProcessCode.Contains(input.ProcessCode))
				.WhereIf(!string.IsNullOrWhiteSpace(input.ProcessName), e =&gt; e.ProcessName.Contains(input.ProcessName))
				.WhereIf(!string.IsNullOrWhiteSpace(input.ProcessDesc), e =&gt; e.ProcessDesc.Contains(input.ProcessDesc))
				.WhereIf(!string.IsNullOrWhiteSpace(input.GroupName), e =&gt; e.GroupName.Contains(input.GroupName))
				.WhereIf(!string.IsNullOrWhiteSpace(input.SubgroupName), e =&gt; e.SubgroupName.Contains(input.SubgroupName))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26"/>
  <sheetViews>
    <sheetView tabSelected="1" topLeftCell="I1" workbookViewId="0">
      <selection activeCell="L25" sqref="L25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213</v>
      </c>
      <c r="B1" s="42" t="s">
        <v>286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238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238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215</v>
      </c>
      <c r="B4" s="43" t="str">
        <f>A.Backend!Q3</f>
        <v>Frame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215</v>
      </c>
      <c r="B5" s="43" t="str">
        <f>LOWER(B4)</f>
        <v>frame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225</v>
      </c>
      <c r="B6" s="44" t="str">
        <f>A.Backend!B3</f>
        <v>MstFrmProcess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216</v>
      </c>
      <c r="B7" s="43" t="str">
        <f>A.Backend!B5</f>
        <v>Process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214</v>
      </c>
      <c r="B8" s="43" t="str">
        <f>LOWER(B7)</f>
        <v>process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217</v>
      </c>
      <c r="B9" s="54"/>
      <c r="C9" s="53"/>
      <c r="D9" s="53"/>
      <c r="E9" s="53"/>
      <c r="F9" s="53"/>
      <c r="G9" s="53"/>
      <c r="H9" s="45" t="s">
        <v>287</v>
      </c>
      <c r="I9" s="46" t="s">
        <v>288</v>
      </c>
      <c r="J9" s="45" t="s">
        <v>220</v>
      </c>
      <c r="K9" s="47" t="s">
        <v>257</v>
      </c>
      <c r="L9" s="46" t="s">
        <v>261</v>
      </c>
      <c r="M9" s="45" t="s">
        <v>250</v>
      </c>
      <c r="N9" s="45" t="s">
        <v>221</v>
      </c>
      <c r="O9" s="45" t="s">
        <v>222</v>
      </c>
      <c r="P9" s="46" t="s">
        <v>224</v>
      </c>
      <c r="Q9" s="45" t="s">
        <v>251</v>
      </c>
      <c r="R9" s="45" t="s">
        <v>234</v>
      </c>
      <c r="S9" s="31"/>
      <c r="T9" s="31"/>
      <c r="U9" s="31"/>
      <c r="V9" s="31"/>
    </row>
    <row r="10" spans="1:22" ht="18.75" customHeight="1" x14ac:dyDescent="0.25">
      <c r="A10" s="55" t="s">
        <v>218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MstFrmProcessDto, MstFrmProcessServiceProxy } from '@shared/service-proxies/service-proxies';
import { finalize } from 'rxjs/internal/operators/finalize';
import { CreateOrEditProcessModalComponent } from './create-or-edit-process-modal.component';
import { DatePipe } from '@angular/common';
import { FileDownloadService } from '@shared/utils/file-download.service';
import ceil from 'lodash-es/ceil';
import { Paginator } from 'primeng/paginator';
@Component({
    templateUrl: './process.component.html',
    styleUrls: ['./process.component.less'],
})
export class ProcessComponent extends AppComponentBase implements OnInit {
    @ViewChild('createOrEditModalProcess', { static: true }) createOrEditModalProcess:| CreateOrEditProcessModalComponent|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MstFrmProcessDto = new MstFrmProcessDto();
    saveSelectedRow: MstFrmProcessDto = new MstFrmProcessDto();
    datas: MstFrmProcessDto = new MstFrmProcessDto();
    isLoading: boolean = false;
    dataParams: GridParams | undefined;
    rowData: any[] = [];
    gridApi!: GridApi;
    rowSelection = 'multiple';
    filter: string = '';
	pipe = new DatePipe('en-US');
	frameworkComponents: FrameworkComponent;
    processSeq : number = 0 ;
	processCode : string = '' ; 
	processName : string = '' ; 
	processDesc : string = '' ; 
	processGroup : number = 0 ;
	groupName : string = '' ; 
	processSubgroup : number = 0 ;
	subgroupName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MstFrmProcessServiceProxy,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this.l('Process Seq'),headerTooltip: this.l('Process Seq'),field: 'processSeq',flex: 1},
			{headerName: this.l('Process Code'),headerTooltip: this.l('Process Code'),field: 'processCode',flex: 1},
			{headerName: this.l('Process Name'),headerTooltip: this.l('Process Name'),field: 'processName',flex: 1},
			{headerName: this.l('Process Desc'),headerTooltip: this.l('Process Desc'),field: 'processDesc',flex: 1},
			{headerName: this.l('Process Group'),headerTooltip: this.l('Process Group'),field: 'processGroup',flex: 1},
			{headerName: this.l('Group Name'),headerTooltip: this.l('Group Name'),field: 'groupName',flex: 1},
			{headerName: this.l('Process Subgroup'),headerTooltip: this.l('Process Subgroup'),field: 'processSubgroup',flex: 1},
			{headerName: this.l('Subgroup Name'),headerTooltip: this.l('Subgroup Name'),field: 'subgroupName',flex: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this.processSeq,
			this.processCode,
			this.processName,
			this.processDesc,
			this.processGroup,
			this.groupName,
			this.processSubgroup,
			this.subgroupName,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this.processSeq = 0,
		this.processCode = '',
		this.processName = '',
		this.processDesc = '',
		this.processGroup = 0,
		this.groupName = '',
		this.processSubgroup = 0,
		this.subgroupName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this.processSeq,
			this.processCode,
			this.processName,
			this.processDesc,
			this.processGroup,
			this.groupName,
			this.processSubgroup,
			this.subgroupName,
			this.isActive,
			'',
            this.paginationParams.skipCount,
            this.paginationParams.pageSize
        );
    }
    onChangeRowSelection(params: { api: { getSelectedRows: () =&gt; MstFrmProcessDto[] } }) {
        this.saveSelectedRow = params.api.getSelectedRows()[0] ?? new MstFrmProcessDto();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MstFrmProcessDto):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this._service.getProcessToExcel(
			this.processSeq,
			this.processCode,
			this.processName,
			this.processDesc,
			this.processGroup,
			this.groupName,
			this.processSubgroup,
			this.subgroupName,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Frame Process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[(ngModel)]='processCode' name='processCode'
									class='form-control' [placeholder]="l('Process Code')"
									type='text' (keyup.enter)='searchDatas()'&gt;
								&lt;/div&gt;
								&lt;div class='input-search'&gt;
									&lt;input [(ngModel)]='processName' name='processName'
									class='form-control' [placeholder]="l('Process Name')"
									type='text' (keyup.enter)='searchDatas()'&gt;
								&lt;/div&gt;
								&lt;div class='input-search'&gt;
									&lt;input [(ngModel)]='processDesc' name='processDesc'
									class='form-control' [placeholder]="l('Process Desc')"
									type='text' (keyup.enter)='searchDatas()'&gt;
								&lt;/div&gt;
								&lt;div class='input-search'&gt;
									&lt;input [(ngModel)]='groupName' name='groupName'
									class='form-control' [placeholder]="l('Group Name')"
									type='text' (keyup.enter)='searchDatas()'&gt;
								&lt;/div&gt;
								&lt;div class='input-search'&gt;
									&lt;input [(ngModel)]='subgroupName' name='subgroupName'
									class='form-control' [placeholder]="l('Subgroup Name')"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(click)="createOrEditModalProcess.show()"&gt;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(click)="createOrEditModalProcess.show(selectedRow)"&gt;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&lt;create-or-edit-process-modal
    #createOrEditModalProcess
    (modalSave)="callBackDataGrid(dataParams)"
    (modalClose)="onChangeRowSelection(dataParams)"
&gt;
&lt;/create-or-edit-process-modal&gt;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#createOrEditModalProcess="bs-modal"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Process')}}&lt;/h3&gt;
                    &lt;h3 *ngIf="!rowdata.id"&gt;{{('Create New Process')}}&lt;/h3&gt;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title'&gt;Process Seq&lt;/label&gt;
						&lt;input type='number' class='col-md-10 form-control input-text' name='ProcessSeq' [(ngModel)]='rowdata.processSeq'&gt;
					&lt;/div&gt;
					&lt;div class='col-md-12 form-group row'&gt;
						&lt;label class='col-md-2 form-control title'&gt;Process Code&lt;/label&gt;
						&lt;input type='text' class='col-md-10 form-control input-text' name='ProcessCode' [(ngModel)]='rowdata.processCode'&gt;
					&lt;/div&gt;
					&lt;div class='col-md-12 form-group row'&gt;
						&lt;label class='col-md-2 form-control title'&gt;Process Name&lt;/label&gt;
						&lt;input type='text' class='col-md-10 form-control input-text' name='ProcessName' [(ngModel)]='rowdata.processName'&gt;
					&lt;/div&gt;
					&lt;div class='col-md-12 form-group row'&gt;
						&lt;label class='col-md-2 form-control title'&gt;Process Desc&lt;/label&gt;
						&lt;input type='text' class='col-md-10 form-control input-text' name='ProcessDesc' [(ngModel)]='rowdata.processDesc'&gt;
					&lt;/div&gt;
					&lt;div class='col-md-12 form-group row'&gt;
						&lt;label class='col-md-2 form-control title'&gt;Process Group&lt;/label&gt;
						&lt;input type='number' class='col-md-10 form-control input-text' name='ProcessGroup' [(ngModel)]='rowdata.processGroup'&gt;
					&lt;/div&gt;
					&lt;div class='col-md-12 form-group row'&gt;
						&lt;label class='col-md-2 form-control title'&gt;Group Name&lt;/label&gt;
						&lt;input type='text' class='col-md-10 form-control input-text' name='GroupName' [(ngModel)]='rowdata.groupName'&gt;
					&lt;/div&gt;
					&lt;div class='col-md-12 form-group row'&gt;
						&lt;label class='col-md-2 form-control title'&gt;Process Subgroup&lt;/label&gt;
						&lt;input type='number' class='col-md-10 form-control input-text' name='ProcessSubgroup' [(ngModel)]='rowdata.processSubgroup'&gt;
					&lt;/div&gt;
					&lt;div class='col-md-12 form-group row'&gt;
						&lt;label class='col-md-2 form-control title'&gt;Subgroup Name&lt;/label&gt;
						&lt;input type='text' class='col-md-10 form-control input-text' name='SubgroupName' [(ngModel)]='rowdata.subgroupName'&gt;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CreateOrEditMstFrmProcessDto, MstFrmProcessServiceProxy } from '@shared/service-proxies/service-proxies';
import { BsDatepickerDirective } from 'ngx-bootstrap/datepicker';
@Component({
    selector: 'create-or-edit-process-modal',
    templateUrl: './create-or-edit-process-modal.component.html',
    styleUrls: ['./create-or-edit-process-modal.component.less']
    })
export class CreateOrEditProcessModalComponent extends AppComponentBase {
    @ViewChild('createOrEditModalProcess',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CreateOrEditMstFrmProcessDto = new CreateOrEditMstFrmProcessDto();
    active: boolean = false;
    saving: boolean = false;
    _isActive: boolean;
    constructor(
        injector: Injector,
        private _mstwptProcessService: MstFrmProcessServiceProxy,
    ) 
    {
        super(injector);
    }
    show(rowdata?: CreateOrEditMstFrmProcessDto): void {
        if (!rowdata) this.rowdata = new CreateOrEditMstFrmProcessDto();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this._mstwptProcessService.createOrEdit(this.rowdata)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ProcessRoutingModule } from './process-routing.module';
import { ProcessComponent } from './process.component';
import { CreateOrEditProcessModalComponent } from './create-or-edit-process-modal.component';
@NgModule({
    declarations: [
       ProcessComponent, 
        CreateOrEditProcessModalComponent
    ],
    imports: [
        AppSharedModule, ProcessRoutingModule]
})
export class ProcessModule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ProcessComponent } from './process.component';
const routes: Routes = [{
    path: '',
    component: ProcessComponent,
    pathMatch: 'full'
}];
@NgModule({
    imports: [RouterModule.forChild(routes)],
    exports: [RouterModule],
})
export class ProcessRoutingModule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AppMenuItem("Process", "Pages.Master.Frame.Process", "flaticon-book",   "/app/main/master/frame/process"),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'master/frame/process',
    loadChildren: () =&gt; import('./master/frame/process/process.module').then(m =&gt; m.ProcessModule),
    data: { permission: 'Pages.Master.Frame.Process' }
},</v>
      </c>
      <c r="R10" s="50" t="str">
        <f>SUBSTITUTE(R9,"MstWptCalendar",$B$6)</f>
        <v>ApiServiceProxies.MstFrmProcessServiceProxy,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249</v>
      </c>
      <c r="I11" s="31" t="s">
        <v>262</v>
      </c>
      <c r="J11" s="31"/>
      <c r="K11" s="31" t="s">
        <v>260</v>
      </c>
      <c r="L11" s="31" t="s">
        <v>263</v>
      </c>
      <c r="M11" s="38"/>
      <c r="N11" s="31"/>
      <c r="O11" s="31"/>
      <c r="P11" s="31"/>
      <c r="Q11" s="31"/>
      <c r="R11" s="31"/>
      <c r="S11" s="31" t="s">
        <v>254</v>
      </c>
      <c r="T11" s="31" t="s">
        <v>255</v>
      </c>
      <c r="U11" s="31" t="s">
        <v>264</v>
      </c>
      <c r="V11" s="71" t="s">
        <v>266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H23</v>
      </c>
      <c r="I12" s="31" t="str">
        <f>"I"&amp;COUNTA($A:$A)</f>
        <v>I23</v>
      </c>
      <c r="J12" s="31"/>
      <c r="K12" s="31" t="str">
        <f>"K"&amp;COUNTA($A:$A)</f>
        <v>K23</v>
      </c>
      <c r="L12" s="31" t="str">
        <f>"L"&amp;COUNTA($A:$A)</f>
        <v>L23</v>
      </c>
      <c r="M12" s="31"/>
      <c r="N12" s="31"/>
      <c r="O12" s="31"/>
      <c r="P12" s="31"/>
      <c r="Q12" s="31"/>
      <c r="R12" s="31"/>
      <c r="S12" s="31" t="str">
        <f>"S"&amp;COUNTA($A:$A)</f>
        <v>S23</v>
      </c>
      <c r="T12" s="31" t="str">
        <f>"T"&amp;COUNTA($A:$A)</f>
        <v>T23</v>
      </c>
      <c r="U12" s="31" t="str">
        <f>"U"&amp;COUNTA($A:$A)</f>
        <v>U23</v>
      </c>
      <c r="V12" s="31" t="str">
        <f>"V"&amp;COUNTA($A:$A)</f>
        <v>V23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this.l('Process Seq'),headerTooltip: this.l('Process Seq'),field: 'processSeq',flex: 1},
			{headerName: this.l('Process Code'),headerTooltip: this.l('Process Code'),field: 'processCode',flex: 1},
			{headerName: this.l('Process Name'),headerTooltip: this.l('Process Name'),field: 'processName',flex: 1},
			{headerName: this.l('Process Desc'),headerTooltip: this.l('Process Desc'),field: 'processDesc',flex: 1},
			{headerName: this.l('Process Group'),headerTooltip: this.l('Process Group'),field: 'processGroup',flex: 1},
			{headerName: this.l('Group Name'),headerTooltip: this.l('Group Name'),field: 'groupName',flex: 1},
			{headerName: this.l('Process Subgroup'),headerTooltip: this.l('Process Subgroup'),field: 'processSubgroup',flex: 1},
			{headerName: this.l('Subgroup Name'),headerTooltip: this.l('Subgroup Name'),field: 'subgroupName',flex: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[(ngModel)]='processCode' name='processCode'
									class='form-control' [placeholder]="l('Process Code')"
									type='text' (keyup.enter)='searchDatas()'&gt;
								&lt;/div&gt;
								&lt;div class='input-search'&gt;
									&lt;input [(ngModel)]='processName' name='processName'
									class='form-control' [placeholder]="l('Process Name')"
									type='text' (keyup.enter)='searchDatas()'&gt;
								&lt;/div&gt;
								&lt;div class='input-search'&gt;
									&lt;input [(ngModel)]='processDesc' name='processDesc'
									class='form-control' [placeholder]="l('Process Desc')"
									type='text' (keyup.enter)='searchDatas()'&gt;
								&lt;/div&gt;
								&lt;div class='input-search'&gt;
									&lt;input [(ngModel)]='groupName' name='groupName'
									class='form-control' [placeholder]="l('Group Name')"
									type='text' (keyup.enter)='searchDatas()'&gt;
								&lt;/div&gt;
								&lt;div class='input-search'&gt;
									&lt;input [(ngModel)]='subgroupName' name='subgroupName'
									class='form-control' [placeholder]="l('Subgroup Name')"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title'&gt;Process Seq&lt;/label&gt;
						&lt;input type='number' class='col-md-10 form-control input-text' name='ProcessSeq' [(ngModel)]='rowdata.processSeq'&gt;
					&lt;/div&gt;
					&lt;div class='col-md-12 form-group row'&gt;
						&lt;label class='col-md-2 form-control title'&gt;Process Code&lt;/label&gt;
						&lt;input type='text' class='col-md-10 form-control input-text' name='ProcessCode' [(ngModel)]='rowdata.processCode'&gt;
					&lt;/div&gt;
					&lt;div class='col-md-12 form-group row'&gt;
						&lt;label class='col-md-2 form-control title'&gt;Process Name&lt;/label&gt;
						&lt;input type='text' class='col-md-10 form-control input-text' name='ProcessName' [(ngModel)]='rowdata.processName'&gt;
					&lt;/div&gt;
					&lt;div class='col-md-12 form-group row'&gt;
						&lt;label class='col-md-2 form-control title'&gt;Process Desc&lt;/label&gt;
						&lt;input type='text' class='col-md-10 form-control input-text' name='ProcessDesc' [(ngModel)]='rowdata.processDesc'&gt;
					&lt;/div&gt;
					&lt;div class='col-md-12 form-group row'&gt;
						&lt;label class='col-md-2 form-control title'&gt;Process Group&lt;/label&gt;
						&lt;input type='number' class='col-md-10 form-control input-text' name='ProcessGroup' [(ngModel)]='rowdata.processGroup'&gt;
					&lt;/div&gt;
					&lt;div class='col-md-12 form-group row'&gt;
						&lt;label class='col-md-2 form-control title'&gt;Group Name&lt;/label&gt;
						&lt;input type='text' class='col-md-10 form-control input-text' name='GroupName' [(ngModel)]='rowdata.groupName'&gt;
					&lt;/div&gt;
					&lt;div class='col-md-12 form-group row'&gt;
						&lt;label class='col-md-2 form-control title'&gt;Process Subgroup&lt;/label&gt;
						&lt;input type='number' class='col-md-10 form-control input-text' name='ProcessSubgroup' [(ngModel)]='rowdata.processSubgroup'&gt;
					&lt;/div&gt;
					&lt;div class='col-md-12 form-group row'&gt;
						&lt;label class='col-md-2 form-control title'&gt;Subgroup Name&lt;/label&gt;
						&lt;input type='text' class='col-md-10 form-control input-text' name='SubgroupName' [(ngModel)]='rowdata.subgroupName'&gt;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processSeq : number = 0 ;
	processCode : string = '' ; 
	processName : string = '' ; 
	processDesc : string = '' ; 
	processGroup : number = 0 ;
	groupName : string = '' ; 
	processSubgroup : number = 0 ;
	subgroupName : string = '' ; 
	isActive : string = '' ; </v>
      </c>
      <c r="T13" s="68" t="str">
        <f ca="1">TEXTJOIN2("
",TRUE,INDIRECT(T11):INDIRECT(T12))</f>
        <v xml:space="preserve">			this.processSeq,
			this.processCode,
			this.processName,
			this.processDesc,
			this.processGroup,
			this.groupName,
			this.processSubgroup,
			this.subgroupName,
			this.isActive,</v>
      </c>
      <c r="U13" s="68" t="str">
        <f ca="1">TEXTJOIN2("
",TRUE,INDIRECT(U11):INDIRECT(U12))</f>
        <v>this.processSeq = 0,
		this.processCode = '',
		this.processName = '',
		this.processDesc = '',
		this.processGroup = 0,
		this.groupName = '',
		this.processSubgroup = 0,
		this.subgroupName = '',
		this.isActive = '',</v>
      </c>
      <c r="V13" s="31" t="str">
        <f ca="1">TEXTJOIN2("
",TRUE,INDIRECT(V11):INDIRECT(V12))</f>
        <v>isActive</v>
      </c>
    </row>
    <row r="14" spans="1:22" x14ac:dyDescent="0.25">
      <c r="A14" s="41" t="s">
        <v>219</v>
      </c>
      <c r="B14" s="31"/>
      <c r="C14" s="31"/>
      <c r="D14" s="31"/>
      <c r="E14" s="31"/>
      <c r="F14" s="31"/>
      <c r="G14" s="31"/>
      <c r="H14" s="39" t="str">
        <f>B8&amp;".component.ts"</f>
        <v>process.component.ts</v>
      </c>
      <c r="I14" s="40" t="str">
        <f>B8&amp;".component.html"</f>
        <v>process.component.html</v>
      </c>
      <c r="J14" s="39" t="str">
        <f>B8&amp;".component.less"</f>
        <v>process.component.less</v>
      </c>
      <c r="K14" s="40" t="str">
        <f>"create-or-edit-"&amp;B8&amp;"-modal.component.html"</f>
        <v>create-or-edit-process-modal.component.html</v>
      </c>
      <c r="L14" s="40" t="str">
        <f>"create-or-edit-"&amp;B8&amp;"-modal.component.ts"</f>
        <v>create-or-edit-process-modal.component.ts</v>
      </c>
      <c r="M14" s="40" t="str">
        <f>"create-or-edit-"&amp;B8&amp;"-modal.component.less"</f>
        <v>create-or-edit-process-modal.component.less</v>
      </c>
      <c r="N14" s="40" t="str">
        <f>B8&amp;".module.ts"</f>
        <v>process.module.ts</v>
      </c>
      <c r="O14" s="40" t="str">
        <f>B8&amp;"-routing.module.ts"</f>
        <v>process-routing.module.ts</v>
      </c>
      <c r="P14" s="40" t="s">
        <v>223</v>
      </c>
      <c r="Q14" s="40" t="s">
        <v>226</v>
      </c>
      <c r="R14" s="41" t="s">
        <v>233</v>
      </c>
      <c r="S14" s="40" t="s">
        <v>252</v>
      </c>
      <c r="T14" s="40" t="s">
        <v>253</v>
      </c>
      <c r="U14" s="40" t="s">
        <v>256</v>
      </c>
      <c r="V14" s="40" t="s">
        <v>265</v>
      </c>
    </row>
    <row r="15" spans="1:22" ht="18" customHeight="1" x14ac:dyDescent="0.25">
      <c r="A15" s="44" t="s">
        <v>270</v>
      </c>
      <c r="B15" s="31" t="str">
        <f>SUBSTITUTE(PROPER(A15),"_","")</f>
        <v>ProcessSeq</v>
      </c>
      <c r="C15" s="31" t="str">
        <f>SUBSTITUTE(PROPER(A15),"_"," ")</f>
        <v>Process Seq</v>
      </c>
      <c r="D15" s="31" t="str">
        <f>LOWER(LEFT(B15,1))&amp;RIGHT(B15,LEN(B15) - 1)</f>
        <v>processSeq</v>
      </c>
      <c r="E15" s="31" t="str">
        <f>A.Backend!H9</f>
        <v>int</v>
      </c>
      <c r="F15" s="31" t="str">
        <f>A.Backend!G9</f>
        <v/>
      </c>
      <c r="G15" s="31" t="str">
        <f>IF(E15="string"," : string = '' ; ",IF(OR(E15="DateTime",E15="TimeSpan")," : any ;",IF(E15="int"," : number = 0 ;","")))</f>
        <v xml:space="preserve"> : number = 0 ;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this.l('Process Seq'),headerTooltip: this.l('Process Seq'),field: 'processSeq',flex: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title'&gt;Process Seq&lt;/label&gt;
						&lt;input type='number' class='col-md-10 form-control input-text' name='ProcessSeq' [(ngModel)]='rowdata.processSeq'&gt;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>processSeq : number = 0 ;</v>
      </c>
      <c r="T15" s="31" t="str">
        <f>REPT(CHAR(9),3)&amp;"this."&amp;D15&amp;","</f>
        <v xml:space="preserve">			this.processSeq,</v>
      </c>
      <c r="U15" s="31" t="str">
        <f>IF(E15="int","this."&amp;D15&amp;" = 0,","this."&amp;D15&amp;" = '',")</f>
        <v>this.processSeq = 0,</v>
      </c>
      <c r="V15" s="31" t="str">
        <f>IF(AND(E15="string",F15="1"),D15,"")</f>
        <v/>
      </c>
    </row>
    <row r="16" spans="1:22" ht="15" customHeight="1" x14ac:dyDescent="0.25">
      <c r="A16" s="44" t="s">
        <v>271</v>
      </c>
      <c r="B16" s="31" t="str">
        <f t="shared" ref="B16:B17" si="0">SUBSTITUTE(PROPER(A16),"_","")</f>
        <v>ProcessCode</v>
      </c>
      <c r="C16" s="31" t="str">
        <f t="shared" ref="C16:C17" si="1">SUBSTITUTE(PROPER(A16),"_"," ")</f>
        <v>Process Code</v>
      </c>
      <c r="D16" s="31" t="str">
        <f t="shared" ref="D16:D23" si="2">LOWER(LEFT(B16,1))&amp;RIGHT(B16,LEN(B16) - 1)</f>
        <v>processCode</v>
      </c>
      <c r="E16" s="31" t="str">
        <f>A.Backend!H10</f>
        <v>string</v>
      </c>
      <c r="F16" s="31" t="str">
        <f>A.Backend!G10</f>
        <v>50</v>
      </c>
      <c r="G16" s="31" t="str">
        <f t="shared" ref="G16:G23" si="3">IF(E16="string"," : string = '' ; ",IF(OR(E16="DateTime",E16="TimeSpan")," : any ;",IF(E16="int"," : number = 0 ;","")))</f>
        <v xml:space="preserve"> : string = '' ; </v>
      </c>
      <c r="H16" s="38" t="str">
        <f t="shared" ref="H16:H23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this.l('Process Code'),headerTooltip: this.l('Process Code'),field: 'processCode',flex: 1},</v>
      </c>
      <c r="I16" s="38" t="str">
        <f t="shared" ref="I16:I23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[(ngModel)]='processCode' name='processCode'
									class='form-control' [placeholder]="l('Process Code')"
									type='text' (keyup.enter)='searchDatas()'&gt;
								&lt;/div&gt;</v>
      </c>
      <c r="J16" s="31"/>
      <c r="K16" s="38" t="str">
        <f t="shared" ref="K16:K23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title'&gt;Process Code&lt;/label&gt;
						&lt;input type='text' class='col-md-10 form-control input-text' name='ProcessCode' [(ngModel)]='rowdata.processCode'&gt;
					&lt;/div&gt;</v>
      </c>
      <c r="L16" s="60" t="str">
        <f t="shared" ref="L16:L23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processCode : string = '' ; </v>
      </c>
      <c r="T16" s="31" t="str">
        <f>REPT(CHAR(9),3)&amp;"this."&amp;D16&amp;","</f>
        <v xml:space="preserve">			this.processCode,</v>
      </c>
      <c r="U16" s="31" t="str">
        <f>IF(E16="int",REPT(CHAR(9),2)&amp;"this."&amp;D16&amp;" = 0,",REPT(CHAR(9),2)&amp;"this."&amp;D16&amp;" = '',")</f>
        <v xml:space="preserve">		this.processCode = '',</v>
      </c>
      <c r="V16" s="31" t="str">
        <f t="shared" ref="V16:V23" si="8">IF(AND(E16="string",F16="1"),D16,"")</f>
        <v/>
      </c>
    </row>
    <row r="17" spans="1:22" ht="18" customHeight="1" x14ac:dyDescent="0.25">
      <c r="A17" s="44" t="s">
        <v>273</v>
      </c>
      <c r="B17" s="31" t="str">
        <f t="shared" si="0"/>
        <v>ProcessName</v>
      </c>
      <c r="C17" s="31" t="str">
        <f t="shared" si="1"/>
        <v>Process Name</v>
      </c>
      <c r="D17" s="31" t="str">
        <f t="shared" si="2"/>
        <v>processName</v>
      </c>
      <c r="E17" s="31" t="str">
        <f>A.Backend!H11</f>
        <v>string</v>
      </c>
      <c r="F17" s="31" t="str">
        <f>A.Backend!G11</f>
        <v>1000</v>
      </c>
      <c r="G17" s="31" t="str">
        <f t="shared" si="3"/>
        <v xml:space="preserve"> : string = '' ; </v>
      </c>
      <c r="H17" s="38" t="str">
        <f t="shared" si="4"/>
        <v xml:space="preserve">			{headerName: this.l('Process Name'),headerTooltip: this.l('Process Name'),field: 'processName',flex: 1},</v>
      </c>
      <c r="I17" s="38" t="str">
        <f t="shared" si="5"/>
        <v xml:space="preserve">								&lt;div class='input-search'&gt;
									&lt;input [(ngModel)]='processName' name='processName'
									class='form-control' [placeholder]="l('Process Name')"
									type='text' (keyup.enter)='searchDatas()'&gt;
								&lt;/div&gt;</v>
      </c>
      <c r="J17" s="31"/>
      <c r="K17" s="38" t="str">
        <f t="shared" si="6"/>
        <v xml:space="preserve">					&lt;div class='col-md-12 form-group row'&gt;
						&lt;label class='col-md-2 form-control title'&gt;Process Name&lt;/label&gt;
						&lt;input type='text' class='col-md-10 form-control input-text' name='ProcessName' [(ngModel)]='rowdata.processName'&gt;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ref="S17:S23" si="9">REPT(CHAR(9),1)&amp;D17&amp;G17</f>
        <v xml:space="preserve">	processName : string = '' ; </v>
      </c>
      <c r="T17" s="31" t="str">
        <f t="shared" ref="T17:T23" si="10">REPT(CHAR(9),3)&amp;"this."&amp;D17&amp;","</f>
        <v xml:space="preserve">			this.processName,</v>
      </c>
      <c r="U17" s="31" t="str">
        <f t="shared" ref="U17:U23" si="11">IF(E17="int",REPT(CHAR(9),2)&amp;"this."&amp;D17&amp;" = 0,",REPT(CHAR(9),2)&amp;"this."&amp;D17&amp;" = '',")</f>
        <v xml:space="preserve">		this.processName = '',</v>
      </c>
      <c r="V17" s="31" t="str">
        <f t="shared" si="8"/>
        <v/>
      </c>
    </row>
    <row r="18" spans="1:22" ht="18" customHeight="1" x14ac:dyDescent="0.25">
      <c r="A18" s="44" t="s">
        <v>275</v>
      </c>
      <c r="B18" s="31" t="str">
        <f>SUBSTITUTE(PROPER(A18),"_","")</f>
        <v>ProcessDesc</v>
      </c>
      <c r="C18" s="31" t="str">
        <f>SUBSTITUTE(PROPER(A18),"_"," ")</f>
        <v>Process Desc</v>
      </c>
      <c r="D18" s="31" t="str">
        <f t="shared" si="2"/>
        <v>processDesc</v>
      </c>
      <c r="E18" s="31" t="str">
        <f>A.Backend!H12</f>
        <v>string</v>
      </c>
      <c r="F18" s="31" t="str">
        <f>A.Backend!G12</f>
        <v>1000</v>
      </c>
      <c r="G18" s="31" t="str">
        <f t="shared" si="3"/>
        <v xml:space="preserve"> : string = '' ; </v>
      </c>
      <c r="H18" s="38" t="str">
        <f t="shared" si="4"/>
        <v xml:space="preserve">			{headerName: this.l('Process Desc'),headerTooltip: this.l('Process Desc'),field: 'processDesc',flex: 1},</v>
      </c>
      <c r="I18" s="38" t="str">
        <f t="shared" si="5"/>
        <v xml:space="preserve">								&lt;div class='input-search'&gt;
									&lt;input [(ngModel)]='processDesc' name='processDesc'
									class='form-control' [placeholder]="l('Process Desc')"
									type='text' (keyup.enter)='searchDatas()'&gt;
								&lt;/div&gt;</v>
      </c>
      <c r="J18" s="31"/>
      <c r="K18" s="38" t="str">
        <f t="shared" si="6"/>
        <v xml:space="preserve">					&lt;div class='col-md-12 form-group row'&gt;
						&lt;label class='col-md-2 form-control title'&gt;Process Desc&lt;/label&gt;
						&lt;input type='text' class='col-md-10 form-control input-text' name='ProcessDesc' [(ngModel)]='rowdata.processDesc'&gt;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si="9"/>
        <v xml:space="preserve">	processDesc : string = '' ; </v>
      </c>
      <c r="T18" s="31" t="str">
        <f t="shared" si="10"/>
        <v xml:space="preserve">			this.processDesc,</v>
      </c>
      <c r="U18" s="31" t="str">
        <f t="shared" si="11"/>
        <v xml:space="preserve">		this.processDesc = '',</v>
      </c>
      <c r="V18" s="31" t="str">
        <f t="shared" si="8"/>
        <v/>
      </c>
    </row>
    <row r="19" spans="1:22" ht="15" customHeight="1" x14ac:dyDescent="0.25">
      <c r="A19" s="44" t="s">
        <v>276</v>
      </c>
      <c r="B19" s="31" t="str">
        <f t="shared" ref="B19:B23" si="12">SUBSTITUTE(PROPER(A19),"_","")</f>
        <v>ProcessGroup</v>
      </c>
      <c r="C19" s="31" t="str">
        <f t="shared" ref="C19:C23" si="13">SUBSTITUTE(PROPER(A19),"_"," ")</f>
        <v>Process Group</v>
      </c>
      <c r="D19" s="31" t="str">
        <f t="shared" si="2"/>
        <v>processGroup</v>
      </c>
      <c r="E19" s="31" t="str">
        <f>A.Backend!H13</f>
        <v>int</v>
      </c>
      <c r="F19" s="31" t="str">
        <f>A.Backend!G13</f>
        <v/>
      </c>
      <c r="G19" s="31" t="str">
        <f t="shared" si="3"/>
        <v xml:space="preserve"> : number = 0 ;</v>
      </c>
      <c r="H19" s="38" t="str">
        <f t="shared" si="4"/>
        <v xml:space="preserve">			{headerName: this.l('Process Group'),headerTooltip: this.l('Process Group'),field: 'processGroup',flex: 1},</v>
      </c>
      <c r="I19" s="38" t="str">
        <f t="shared" si="5"/>
        <v/>
      </c>
      <c r="J19" s="31"/>
      <c r="K19" s="38" t="str">
        <f t="shared" si="6"/>
        <v xml:space="preserve">					&lt;div class='col-md-12 form-group row'&gt;
						&lt;label class='col-md-2 form-control title'&gt;Process Group&lt;/label&gt;
						&lt;input type='number' class='col-md-10 form-control input-text' name='ProcessGroup' [(ngModel)]='rowdata.processGroup'&gt;
					&lt;/div&gt;</v>
      </c>
      <c r="L19" s="60" t="str">
        <f t="shared" si="7"/>
        <v/>
      </c>
      <c r="M19" s="31"/>
      <c r="N19" s="31"/>
      <c r="O19" s="31"/>
      <c r="P19" s="31"/>
      <c r="Q19" s="31"/>
      <c r="R19" s="31"/>
      <c r="S19" s="31" t="str">
        <f t="shared" si="9"/>
        <v xml:space="preserve">	processGroup : number = 0 ;</v>
      </c>
      <c r="T19" s="31" t="str">
        <f t="shared" si="10"/>
        <v xml:space="preserve">			this.processGroup,</v>
      </c>
      <c r="U19" s="31" t="str">
        <f t="shared" si="11"/>
        <v xml:space="preserve">		this.processGroup = 0,</v>
      </c>
      <c r="V19" s="31" t="str">
        <f t="shared" si="8"/>
        <v/>
      </c>
    </row>
    <row r="20" spans="1:22" ht="18" customHeight="1" x14ac:dyDescent="0.25">
      <c r="A20" s="44" t="s">
        <v>277</v>
      </c>
      <c r="B20" s="31" t="str">
        <f t="shared" si="12"/>
        <v>GroupName</v>
      </c>
      <c r="C20" s="31" t="str">
        <f t="shared" si="13"/>
        <v>Group Name</v>
      </c>
      <c r="D20" s="31" t="str">
        <f t="shared" si="2"/>
        <v>groupName</v>
      </c>
      <c r="E20" s="31" t="str">
        <f>A.Backend!H14</f>
        <v>string</v>
      </c>
      <c r="F20" s="31" t="str">
        <f>A.Backend!G14</f>
        <v>100</v>
      </c>
      <c r="G20" s="31" t="str">
        <f t="shared" si="3"/>
        <v xml:space="preserve"> : string = '' ; </v>
      </c>
      <c r="H20" s="38" t="str">
        <f t="shared" si="4"/>
        <v xml:space="preserve">			{headerName: this.l('Group Name'),headerTooltip: this.l('Group Name'),field: 'groupName',flex: 1},</v>
      </c>
      <c r="I20" s="38" t="str">
        <f t="shared" si="5"/>
        <v xml:space="preserve">								&lt;div class='input-search'&gt;
									&lt;input [(ngModel)]='groupName' name='groupName'
									class='form-control' [placeholder]="l('Group Name')"
									type='text' (keyup.enter)='searchDatas()'&gt;
								&lt;/div&gt;</v>
      </c>
      <c r="J20" s="31"/>
      <c r="K20" s="38" t="str">
        <f t="shared" si="6"/>
        <v xml:space="preserve">					&lt;div class='col-md-12 form-group row'&gt;
						&lt;label class='col-md-2 form-control title'&gt;Group Name&lt;/label&gt;
						&lt;input type='text' class='col-md-10 form-control input-text' name='GroupName' [(ngModel)]='rowdata.groupName'&gt;
					&lt;/div&gt;</v>
      </c>
      <c r="L20" s="60" t="str">
        <f t="shared" si="7"/>
        <v/>
      </c>
      <c r="M20" s="31"/>
      <c r="N20" s="31"/>
      <c r="O20" s="31"/>
      <c r="P20" s="31"/>
      <c r="Q20" s="31"/>
      <c r="R20" s="31"/>
      <c r="S20" s="31" t="str">
        <f t="shared" ref="S20:S22" si="14">REPT(CHAR(9),1)&amp;D20&amp;G20</f>
        <v xml:space="preserve">	groupName : string = '' ; </v>
      </c>
      <c r="T20" s="31" t="str">
        <f t="shared" ref="T20:T22" si="15">REPT(CHAR(9),3)&amp;"this."&amp;D20&amp;","</f>
        <v xml:space="preserve">			this.groupName,</v>
      </c>
      <c r="U20" s="31" t="str">
        <f t="shared" ref="U20:U22" si="16">IF(E20="int",REPT(CHAR(9),2)&amp;"this."&amp;D20&amp;" = 0,",REPT(CHAR(9),2)&amp;"this."&amp;D20&amp;" = '',")</f>
        <v xml:space="preserve">		this.groupName = '',</v>
      </c>
      <c r="V20" s="31" t="str">
        <f t="shared" ref="V20:V22" si="17">IF(AND(E20="string",F20="1"),D20,"")</f>
        <v/>
      </c>
    </row>
    <row r="21" spans="1:22" ht="18" customHeight="1" x14ac:dyDescent="0.25">
      <c r="A21" s="44" t="s">
        <v>279</v>
      </c>
      <c r="B21" s="31" t="str">
        <f>SUBSTITUTE(PROPER(A21),"_","")</f>
        <v>ProcessSubgroup</v>
      </c>
      <c r="C21" s="31" t="str">
        <f>SUBSTITUTE(PROPER(A21),"_"," ")</f>
        <v>Process Subgroup</v>
      </c>
      <c r="D21" s="31" t="str">
        <f t="shared" si="2"/>
        <v>processSubgroup</v>
      </c>
      <c r="E21" s="31" t="str">
        <f>A.Backend!H15</f>
        <v>int</v>
      </c>
      <c r="F21" s="31" t="str">
        <f>A.Backend!G15</f>
        <v/>
      </c>
      <c r="G21" s="31" t="str">
        <f t="shared" si="3"/>
        <v xml:space="preserve"> : number = 0 ;</v>
      </c>
      <c r="H21" s="38" t="str">
        <f t="shared" si="4"/>
        <v xml:space="preserve">			{headerName: this.l('Process Subgroup'),headerTooltip: this.l('Process Subgroup'),field: 'processSubgroup',flex: 1},</v>
      </c>
      <c r="I21" s="38" t="str">
        <f t="shared" si="5"/>
        <v/>
      </c>
      <c r="J21" s="31"/>
      <c r="K21" s="38" t="str">
        <f t="shared" si="6"/>
        <v xml:space="preserve">					&lt;div class='col-md-12 form-group row'&gt;
						&lt;label class='col-md-2 form-control title'&gt;Process Subgroup&lt;/label&gt;
						&lt;input type='number' class='col-md-10 form-control input-text' name='ProcessSubgroup' [(ngModel)]='rowdata.processSubgroup'&gt;
					&lt;/div&gt;</v>
      </c>
      <c r="L21" s="60" t="str">
        <f t="shared" si="7"/>
        <v/>
      </c>
      <c r="M21" s="31"/>
      <c r="N21" s="31"/>
      <c r="O21" s="31"/>
      <c r="P21" s="31"/>
      <c r="Q21" s="31"/>
      <c r="R21" s="31"/>
      <c r="S21" s="31" t="str">
        <f t="shared" si="14"/>
        <v xml:space="preserve">	processSubgroup : number = 0 ;</v>
      </c>
      <c r="T21" s="31" t="str">
        <f t="shared" si="15"/>
        <v xml:space="preserve">			this.processSubgroup,</v>
      </c>
      <c r="U21" s="31" t="str">
        <f t="shared" si="16"/>
        <v xml:space="preserve">		this.processSubgroup = 0,</v>
      </c>
      <c r="V21" s="31" t="str">
        <f t="shared" si="17"/>
        <v/>
      </c>
    </row>
    <row r="22" spans="1:22" ht="15" customHeight="1" x14ac:dyDescent="0.25">
      <c r="A22" s="44" t="s">
        <v>280</v>
      </c>
      <c r="B22" s="31" t="str">
        <f t="shared" ref="B22" si="18">SUBSTITUTE(PROPER(A22),"_","")</f>
        <v>SubgroupName</v>
      </c>
      <c r="C22" s="31" t="str">
        <f t="shared" ref="C22" si="19">SUBSTITUTE(PROPER(A22),"_"," ")</f>
        <v>Subgroup Name</v>
      </c>
      <c r="D22" s="31" t="str">
        <f t="shared" si="2"/>
        <v>subgroupName</v>
      </c>
      <c r="E22" s="31" t="str">
        <f>A.Backend!H16</f>
        <v>string</v>
      </c>
      <c r="F22" s="31" t="str">
        <f>A.Backend!G16</f>
        <v>100</v>
      </c>
      <c r="G22" s="31" t="str">
        <f t="shared" si="3"/>
        <v xml:space="preserve"> : string = '' ; </v>
      </c>
      <c r="H22" s="38" t="str">
        <f t="shared" si="4"/>
        <v xml:space="preserve">			{headerName: this.l('Subgroup Name'),headerTooltip: this.l('Subgroup Name'),field: 'subgroupName',flex: 1},</v>
      </c>
      <c r="I22" s="38" t="str">
        <f t="shared" si="5"/>
        <v xml:space="preserve">								&lt;div class='input-search'&gt;
									&lt;input [(ngModel)]='subgroupName' name='subgroupName'
									class='form-control' [placeholder]="l('Subgroup Name')"
									type='text' (keyup.enter)='searchDatas()'&gt;
								&lt;/div&gt;</v>
      </c>
      <c r="J22" s="31"/>
      <c r="K22" s="38" t="str">
        <f t="shared" si="6"/>
        <v xml:space="preserve">					&lt;div class='col-md-12 form-group row'&gt;
						&lt;label class='col-md-2 form-control title'&gt;Subgroup Name&lt;/label&gt;
						&lt;input type='text' class='col-md-10 form-control input-text' name='SubgroupName' [(ngModel)]='rowdata.subgroupName'&gt;
					&lt;/div&gt;</v>
      </c>
      <c r="L22" s="60" t="str">
        <f t="shared" si="7"/>
        <v/>
      </c>
      <c r="M22" s="31"/>
      <c r="N22" s="31"/>
      <c r="O22" s="31"/>
      <c r="P22" s="31"/>
      <c r="Q22" s="31"/>
      <c r="R22" s="31"/>
      <c r="S22" s="31" t="str">
        <f t="shared" si="14"/>
        <v xml:space="preserve">	subgroupName : string = '' ; </v>
      </c>
      <c r="T22" s="31" t="str">
        <f t="shared" si="15"/>
        <v xml:space="preserve">			this.subgroupName,</v>
      </c>
      <c r="U22" s="31" t="str">
        <f t="shared" si="16"/>
        <v xml:space="preserve">		this.subgroupName = '',</v>
      </c>
      <c r="V22" s="31" t="str">
        <f t="shared" si="17"/>
        <v/>
      </c>
    </row>
    <row r="23" spans="1:22" ht="18" customHeight="1" x14ac:dyDescent="0.25">
      <c r="A23" s="44" t="s">
        <v>281</v>
      </c>
      <c r="B23" s="31" t="str">
        <f t="shared" si="12"/>
        <v>IsActive</v>
      </c>
      <c r="C23" s="31" t="str">
        <f t="shared" si="13"/>
        <v>Is Active</v>
      </c>
      <c r="D23" s="31" t="str">
        <f t="shared" si="2"/>
        <v>isActive</v>
      </c>
      <c r="E23" s="31" t="str">
        <f>A.Backend!H17</f>
        <v>string</v>
      </c>
      <c r="F23" s="31" t="str">
        <f>A.Backend!G17</f>
        <v>1</v>
      </c>
      <c r="G23" s="31" t="str">
        <f t="shared" si="3"/>
        <v xml:space="preserve"> : string = '' ; </v>
      </c>
      <c r="H23" s="38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3" s="38" t="str">
        <f t="shared" si="5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3" s="31"/>
      <c r="K23" s="38" t="str">
        <f t="shared" si="6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3" s="60" t="str">
        <f t="shared" si="7"/>
        <v/>
      </c>
      <c r="M23" s="31"/>
      <c r="N23" s="31"/>
      <c r="O23" s="31"/>
      <c r="P23" s="31"/>
      <c r="Q23" s="31"/>
      <c r="R23" s="31"/>
      <c r="S23" s="31" t="str">
        <f t="shared" si="9"/>
        <v xml:space="preserve">	isActive : string = '' ; </v>
      </c>
      <c r="T23" s="31" t="str">
        <f t="shared" si="10"/>
        <v xml:space="preserve">			this.isActive,</v>
      </c>
      <c r="U23" s="31" t="str">
        <f t="shared" si="11"/>
        <v xml:space="preserve">		this.isActive = '',</v>
      </c>
      <c r="V23" s="31" t="str">
        <f t="shared" si="8"/>
        <v>isActive</v>
      </c>
    </row>
    <row r="26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workbookViewId="0">
      <selection activeCell="A2" sqref="A2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268</v>
      </c>
      <c r="B20" t="s">
        <v>269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194</v>
      </c>
      <c r="B2" s="25" t="s">
        <v>191</v>
      </c>
    </row>
    <row r="3" spans="1:2" x14ac:dyDescent="0.25">
      <c r="B3" s="22" t="s">
        <v>116</v>
      </c>
    </row>
    <row r="4" spans="1:2" x14ac:dyDescent="0.25">
      <c r="B4" s="22" t="s">
        <v>117</v>
      </c>
    </row>
    <row r="5" spans="1:2" x14ac:dyDescent="0.25">
      <c r="B5" s="22" t="s">
        <v>118</v>
      </c>
    </row>
    <row r="6" spans="1:2" x14ac:dyDescent="0.25">
      <c r="B6" s="22" t="s">
        <v>119</v>
      </c>
    </row>
    <row r="7" spans="1:2" x14ac:dyDescent="0.25">
      <c r="B7" s="22" t="s">
        <v>120</v>
      </c>
    </row>
    <row r="8" spans="1:2" x14ac:dyDescent="0.25">
      <c r="B8" s="22" t="s">
        <v>121</v>
      </c>
    </row>
    <row r="9" spans="1:2" x14ac:dyDescent="0.25">
      <c r="B9" s="22" t="s">
        <v>122</v>
      </c>
    </row>
    <row r="10" spans="1:2" x14ac:dyDescent="0.25">
      <c r="B10" s="22" t="s">
        <v>123</v>
      </c>
    </row>
    <row r="11" spans="1:2" x14ac:dyDescent="0.25">
      <c r="B11" s="22" t="s">
        <v>124</v>
      </c>
    </row>
    <row r="12" spans="1:2" x14ac:dyDescent="0.25">
      <c r="B12" s="22" t="s">
        <v>125</v>
      </c>
    </row>
    <row r="13" spans="1:2" x14ac:dyDescent="0.25">
      <c r="B13" s="22" t="s">
        <v>126</v>
      </c>
    </row>
    <row r="14" spans="1:2" x14ac:dyDescent="0.25">
      <c r="B14" s="22" t="s">
        <v>127</v>
      </c>
    </row>
    <row r="15" spans="1:2" x14ac:dyDescent="0.25">
      <c r="B15" s="22" t="s">
        <v>128</v>
      </c>
    </row>
    <row r="16" spans="1:2" x14ac:dyDescent="0.25">
      <c r="B16" s="22" t="s">
        <v>129</v>
      </c>
    </row>
    <row r="17" spans="1:3" x14ac:dyDescent="0.25">
      <c r="B17" s="22" t="s">
        <v>130</v>
      </c>
    </row>
    <row r="18" spans="1:3" x14ac:dyDescent="0.25">
      <c r="B18" s="22" t="s">
        <v>131</v>
      </c>
      <c r="C18" t="s">
        <v>193</v>
      </c>
    </row>
    <row r="19" spans="1:3" x14ac:dyDescent="0.25">
      <c r="B19" s="22" t="s">
        <v>132</v>
      </c>
    </row>
    <row r="20" spans="1:3" x14ac:dyDescent="0.25">
      <c r="B20" s="22" t="s">
        <v>133</v>
      </c>
    </row>
    <row r="21" spans="1:3" x14ac:dyDescent="0.25">
      <c r="B21" s="22" t="s">
        <v>134</v>
      </c>
    </row>
    <row r="22" spans="1:3" x14ac:dyDescent="0.25">
      <c r="B22" s="22" t="s">
        <v>135</v>
      </c>
      <c r="C22" t="s">
        <v>198</v>
      </c>
    </row>
    <row r="23" spans="1:3" x14ac:dyDescent="0.25">
      <c r="B23" s="22" t="s">
        <v>136</v>
      </c>
    </row>
    <row r="24" spans="1:3" x14ac:dyDescent="0.25">
      <c r="B24" s="22" t="s">
        <v>137</v>
      </c>
    </row>
    <row r="25" spans="1:3" x14ac:dyDescent="0.25">
      <c r="B25" s="22" t="s">
        <v>138</v>
      </c>
    </row>
    <row r="26" spans="1:3" x14ac:dyDescent="0.25">
      <c r="A26" s="24" t="s">
        <v>195</v>
      </c>
      <c r="B26" s="25" t="s">
        <v>192</v>
      </c>
    </row>
    <row r="27" spans="1:3" x14ac:dyDescent="0.25">
      <c r="B27" s="22" t="s">
        <v>139</v>
      </c>
    </row>
    <row r="28" spans="1:3" x14ac:dyDescent="0.25">
      <c r="B28" s="23" t="s">
        <v>140</v>
      </c>
    </row>
    <row r="29" spans="1:3" x14ac:dyDescent="0.25">
      <c r="B29" s="22" t="s">
        <v>141</v>
      </c>
    </row>
    <row r="30" spans="1:3" x14ac:dyDescent="0.25">
      <c r="B30" s="22" t="s">
        <v>142</v>
      </c>
    </row>
    <row r="31" spans="1:3" x14ac:dyDescent="0.25">
      <c r="B31" s="22" t="s">
        <v>143</v>
      </c>
    </row>
    <row r="32" spans="1:3" x14ac:dyDescent="0.25">
      <c r="B32" s="22" t="s">
        <v>144</v>
      </c>
    </row>
    <row r="33" spans="2:2" x14ac:dyDescent="0.25">
      <c r="B33" s="22" t="s">
        <v>145</v>
      </c>
    </row>
    <row r="34" spans="2:2" x14ac:dyDescent="0.25">
      <c r="B34" s="22" t="s">
        <v>146</v>
      </c>
    </row>
    <row r="35" spans="2:2" x14ac:dyDescent="0.25">
      <c r="B35" s="22" t="s">
        <v>147</v>
      </c>
    </row>
    <row r="36" spans="2:2" x14ac:dyDescent="0.25">
      <c r="B36" s="22" t="s">
        <v>148</v>
      </c>
    </row>
    <row r="37" spans="2:2" x14ac:dyDescent="0.25">
      <c r="B37" s="22" t="s">
        <v>149</v>
      </c>
    </row>
    <row r="38" spans="2:2" x14ac:dyDescent="0.25">
      <c r="B38" s="22" t="s">
        <v>150</v>
      </c>
    </row>
    <row r="39" spans="2:2" x14ac:dyDescent="0.25">
      <c r="B39" s="22" t="s">
        <v>151</v>
      </c>
    </row>
    <row r="40" spans="2:2" x14ac:dyDescent="0.25">
      <c r="B40" s="22" t="s">
        <v>152</v>
      </c>
    </row>
    <row r="41" spans="2:2" x14ac:dyDescent="0.25">
      <c r="B41" s="22" t="s">
        <v>153</v>
      </c>
    </row>
    <row r="42" spans="2:2" x14ac:dyDescent="0.25">
      <c r="B42" s="22" t="s">
        <v>154</v>
      </c>
    </row>
    <row r="43" spans="2:2" x14ac:dyDescent="0.25">
      <c r="B43" s="23" t="s">
        <v>155</v>
      </c>
    </row>
    <row r="44" spans="2:2" x14ac:dyDescent="0.25">
      <c r="B44" s="22" t="s">
        <v>141</v>
      </c>
    </row>
    <row r="45" spans="2:2" x14ac:dyDescent="0.25">
      <c r="B45" s="22" t="s">
        <v>156</v>
      </c>
    </row>
    <row r="46" spans="2:2" x14ac:dyDescent="0.25">
      <c r="B46" s="22" t="s">
        <v>157</v>
      </c>
    </row>
    <row r="47" spans="2:2" x14ac:dyDescent="0.25">
      <c r="B47" s="22" t="s">
        <v>158</v>
      </c>
    </row>
    <row r="48" spans="2:2" x14ac:dyDescent="0.25">
      <c r="B48" s="22" t="s">
        <v>159</v>
      </c>
    </row>
    <row r="49" spans="2:2" x14ac:dyDescent="0.25">
      <c r="B49" s="22" t="s">
        <v>142</v>
      </c>
    </row>
    <row r="50" spans="2:2" x14ac:dyDescent="0.25">
      <c r="B50" s="22" t="s">
        <v>143</v>
      </c>
    </row>
    <row r="51" spans="2:2" x14ac:dyDescent="0.25">
      <c r="B51" s="22" t="s">
        <v>144</v>
      </c>
    </row>
    <row r="52" spans="2:2" x14ac:dyDescent="0.25">
      <c r="B52" s="22" t="s">
        <v>145</v>
      </c>
    </row>
    <row r="53" spans="2:2" x14ac:dyDescent="0.25">
      <c r="B53" s="22" t="s">
        <v>146</v>
      </c>
    </row>
    <row r="54" spans="2:2" x14ac:dyDescent="0.25">
      <c r="B54" s="22" t="s">
        <v>147</v>
      </c>
    </row>
    <row r="55" spans="2:2" x14ac:dyDescent="0.25">
      <c r="B55" s="22" t="s">
        <v>148</v>
      </c>
    </row>
    <row r="56" spans="2:2" x14ac:dyDescent="0.25">
      <c r="B56" s="22" t="s">
        <v>160</v>
      </c>
    </row>
    <row r="57" spans="2:2" x14ac:dyDescent="0.25">
      <c r="B57" s="22" t="s">
        <v>161</v>
      </c>
    </row>
    <row r="58" spans="2:2" x14ac:dyDescent="0.25">
      <c r="B58" s="22" t="s">
        <v>149</v>
      </c>
    </row>
    <row r="59" spans="2:2" x14ac:dyDescent="0.25">
      <c r="B59" s="22" t="s">
        <v>150</v>
      </c>
    </row>
    <row r="60" spans="2:2" x14ac:dyDescent="0.25">
      <c r="B60" s="22" t="s">
        <v>162</v>
      </c>
    </row>
    <row r="61" spans="2:2" x14ac:dyDescent="0.25">
      <c r="B61" s="22" t="s">
        <v>163</v>
      </c>
    </row>
    <row r="62" spans="2:2" x14ac:dyDescent="0.25">
      <c r="B62" s="22" t="s">
        <v>164</v>
      </c>
    </row>
    <row r="63" spans="2:2" x14ac:dyDescent="0.25">
      <c r="B63" s="22" t="s">
        <v>159</v>
      </c>
    </row>
    <row r="64" spans="2:2" x14ac:dyDescent="0.25">
      <c r="B64" s="22" t="s">
        <v>151</v>
      </c>
    </row>
    <row r="65" spans="2:2" x14ac:dyDescent="0.25">
      <c r="B65" s="22" t="s">
        <v>152</v>
      </c>
    </row>
    <row r="66" spans="2:2" x14ac:dyDescent="0.25">
      <c r="B66" s="22" t="s">
        <v>165</v>
      </c>
    </row>
    <row r="67" spans="2:2" x14ac:dyDescent="0.25">
      <c r="B67" s="22" t="s">
        <v>159</v>
      </c>
    </row>
    <row r="68" spans="2:2" x14ac:dyDescent="0.25">
      <c r="B68" s="22" t="s">
        <v>153</v>
      </c>
    </row>
    <row r="69" spans="2:2" x14ac:dyDescent="0.25">
      <c r="B69" s="22" t="s">
        <v>166</v>
      </c>
    </row>
    <row r="70" spans="2:2" x14ac:dyDescent="0.25">
      <c r="B70" s="23" t="s">
        <v>167</v>
      </c>
    </row>
    <row r="71" spans="2:2" x14ac:dyDescent="0.25">
      <c r="B71" s="22" t="s">
        <v>141</v>
      </c>
    </row>
    <row r="72" spans="2:2" x14ac:dyDescent="0.25">
      <c r="B72" s="22" t="s">
        <v>142</v>
      </c>
    </row>
    <row r="73" spans="2:2" x14ac:dyDescent="0.25">
      <c r="B73" s="22" t="s">
        <v>143</v>
      </c>
    </row>
    <row r="74" spans="2:2" x14ac:dyDescent="0.25">
      <c r="B74" s="22" t="s">
        <v>144</v>
      </c>
    </row>
    <row r="75" spans="2:2" x14ac:dyDescent="0.25">
      <c r="B75" s="22" t="s">
        <v>148</v>
      </c>
    </row>
    <row r="76" spans="2:2" x14ac:dyDescent="0.25">
      <c r="B76" s="22" t="s">
        <v>150</v>
      </c>
    </row>
    <row r="77" spans="2:2" x14ac:dyDescent="0.25">
      <c r="B77" s="22" t="s">
        <v>151</v>
      </c>
    </row>
    <row r="78" spans="2:2" x14ac:dyDescent="0.25">
      <c r="B78" s="22" t="s">
        <v>152</v>
      </c>
    </row>
    <row r="79" spans="2:2" x14ac:dyDescent="0.25">
      <c r="B79" s="22" t="s">
        <v>153</v>
      </c>
    </row>
    <row r="80" spans="2:2" x14ac:dyDescent="0.25">
      <c r="B80" s="22" t="s">
        <v>166</v>
      </c>
    </row>
    <row r="81" spans="1:2" x14ac:dyDescent="0.25">
      <c r="B81" s="23" t="s">
        <v>168</v>
      </c>
    </row>
    <row r="82" spans="1:2" x14ac:dyDescent="0.25">
      <c r="B82" s="23" t="s">
        <v>169</v>
      </c>
    </row>
    <row r="83" spans="1:2" x14ac:dyDescent="0.25">
      <c r="B83" s="23" t="s">
        <v>170</v>
      </c>
    </row>
    <row r="84" spans="1:2" x14ac:dyDescent="0.25">
      <c r="B84" s="23" t="s">
        <v>171</v>
      </c>
    </row>
    <row r="85" spans="1:2" x14ac:dyDescent="0.25">
      <c r="B85" s="23" t="s">
        <v>172</v>
      </c>
    </row>
    <row r="86" spans="1:2" x14ac:dyDescent="0.25">
      <c r="B86" s="23" t="s">
        <v>173</v>
      </c>
    </row>
    <row r="87" spans="1:2" x14ac:dyDescent="0.25">
      <c r="B87" s="23" t="s">
        <v>174</v>
      </c>
    </row>
    <row r="88" spans="1:2" x14ac:dyDescent="0.25">
      <c r="A88" s="24" t="s">
        <v>196</v>
      </c>
      <c r="B88" s="26" t="s">
        <v>175</v>
      </c>
    </row>
    <row r="89" spans="1:2" x14ac:dyDescent="0.25">
      <c r="B89" s="22" t="s">
        <v>176</v>
      </c>
    </row>
    <row r="90" spans="1:2" x14ac:dyDescent="0.25">
      <c r="B90" s="22" t="s">
        <v>177</v>
      </c>
    </row>
    <row r="91" spans="1:2" x14ac:dyDescent="0.25">
      <c r="B91" s="22" t="s">
        <v>178</v>
      </c>
    </row>
    <row r="92" spans="1:2" x14ac:dyDescent="0.25">
      <c r="B92" s="22" t="s">
        <v>179</v>
      </c>
    </row>
    <row r="93" spans="1:2" x14ac:dyDescent="0.25">
      <c r="B93" s="22" t="s">
        <v>180</v>
      </c>
    </row>
    <row r="94" spans="1:2" x14ac:dyDescent="0.25">
      <c r="B94" s="22" t="s">
        <v>181</v>
      </c>
    </row>
    <row r="95" spans="1:2" x14ac:dyDescent="0.25">
      <c r="B95" s="22" t="s">
        <v>182</v>
      </c>
    </row>
    <row r="96" spans="1:2" x14ac:dyDescent="0.25">
      <c r="B96" s="22" t="s">
        <v>183</v>
      </c>
    </row>
    <row r="97" spans="2:2" x14ac:dyDescent="0.25">
      <c r="B97" s="22" t="s">
        <v>184</v>
      </c>
    </row>
    <row r="98" spans="2:2" x14ac:dyDescent="0.25">
      <c r="B98" s="22" t="s">
        <v>185</v>
      </c>
    </row>
    <row r="99" spans="2:2" x14ac:dyDescent="0.25">
      <c r="B99" s="22" t="s">
        <v>186</v>
      </c>
    </row>
    <row r="100" spans="2:2" x14ac:dyDescent="0.25">
      <c r="B100" s="22" t="s">
        <v>187</v>
      </c>
    </row>
    <row r="101" spans="2:2" x14ac:dyDescent="0.25">
      <c r="B101" s="22" t="s">
        <v>188</v>
      </c>
    </row>
    <row r="102" spans="2:2" x14ac:dyDescent="0.25">
      <c r="B102" s="22" t="s">
        <v>189</v>
      </c>
    </row>
    <row r="103" spans="2:2" x14ac:dyDescent="0.25">
      <c r="B103" s="22" t="s">
        <v>190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 Trung</cp:lastModifiedBy>
  <dcterms:created xsi:type="dcterms:W3CDTF">2022-04-01T07:31:40Z</dcterms:created>
  <dcterms:modified xsi:type="dcterms:W3CDTF">2022-06-13T06:04:05Z</dcterms:modified>
</cp:coreProperties>
</file>
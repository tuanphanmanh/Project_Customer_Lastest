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quangtrung/Documents/Product/docs/design/master/loga/"/>
    </mc:Choice>
  </mc:AlternateContent>
  <xr:revisionPtr revIDLastSave="0" documentId="13_ncr:1_{A2F52A71-8A05-EC48-901B-1073C2D55815}" xr6:coauthVersionLast="37" xr6:coauthVersionMax="37" xr10:uidLastSave="{00000000-0000-0000-0000-000000000000}"/>
  <bookViews>
    <workbookView xWindow="0" yWindow="500" windowWidth="28800" windowHeight="16420" activeTab="2" xr2:uid="{00000000-000D-0000-FFFF-FFFF00000000}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0" i="5" l="1"/>
  <c r="E20" i="5"/>
  <c r="V20" i="5" s="1"/>
  <c r="D20" i="5"/>
  <c r="T20" i="5" s="1"/>
  <c r="C20" i="5"/>
  <c r="B20" i="5"/>
  <c r="L14" i="1"/>
  <c r="G14" i="1"/>
  <c r="E14" i="1"/>
  <c r="H14" i="1" s="1"/>
  <c r="D14" i="1"/>
  <c r="V14" i="1" s="1"/>
  <c r="H20" i="5" l="1"/>
  <c r="I20" i="5"/>
  <c r="K20" i="5"/>
  <c r="U20" i="5"/>
  <c r="G20" i="5"/>
  <c r="S20" i="5" s="1"/>
  <c r="L20" i="5"/>
  <c r="W14" i="1"/>
  <c r="N14" i="1"/>
  <c r="I14" i="1"/>
  <c r="M14" i="1"/>
  <c r="O14" i="1"/>
  <c r="J14" i="1"/>
  <c r="P14" i="1"/>
  <c r="T14" i="1"/>
  <c r="F30" i="5"/>
  <c r="E30" i="5"/>
  <c r="V30" i="5" s="1"/>
  <c r="D30" i="5"/>
  <c r="T30" i="5" s="1"/>
  <c r="C30" i="5"/>
  <c r="B30" i="5"/>
  <c r="L24" i="1"/>
  <c r="G24" i="1"/>
  <c r="E24" i="1"/>
  <c r="H24" i="1" s="1"/>
  <c r="W24" i="1" s="1"/>
  <c r="D24" i="1"/>
  <c r="T24" i="1" s="1"/>
  <c r="H30" i="5" l="1"/>
  <c r="I30" i="5"/>
  <c r="K30" i="5"/>
  <c r="U30" i="5"/>
  <c r="G30" i="5"/>
  <c r="S30" i="5" s="1"/>
  <c r="L30" i="5"/>
  <c r="P24" i="1"/>
  <c r="I24" i="1"/>
  <c r="N24" i="1"/>
  <c r="V24" i="1"/>
  <c r="M24" i="1"/>
  <c r="J24" i="1"/>
  <c r="O24" i="1"/>
  <c r="C22" i="5"/>
  <c r="B22" i="5"/>
  <c r="D22" i="5" s="1"/>
  <c r="T22" i="5" s="1"/>
  <c r="L16" i="1"/>
  <c r="G16" i="1"/>
  <c r="F22" i="5" s="1"/>
  <c r="E16" i="1"/>
  <c r="H16" i="1" s="1"/>
  <c r="E22" i="5" s="1"/>
  <c r="D16" i="1"/>
  <c r="V16" i="1" s="1"/>
  <c r="V22" i="5" l="1"/>
  <c r="L22" i="5"/>
  <c r="G22" i="5"/>
  <c r="S22" i="5" s="1"/>
  <c r="U22" i="5"/>
  <c r="H22" i="5"/>
  <c r="I22" i="5"/>
  <c r="K22" i="5"/>
  <c r="J16" i="1"/>
  <c r="N16" i="1"/>
  <c r="I16" i="1"/>
  <c r="M16" i="1"/>
  <c r="W16" i="1"/>
  <c r="O16" i="1"/>
  <c r="P16" i="1"/>
  <c r="T16" i="1"/>
  <c r="C31" i="5"/>
  <c r="B31" i="5"/>
  <c r="D31" i="5" s="1"/>
  <c r="T31" i="5" s="1"/>
  <c r="C21" i="5"/>
  <c r="B21" i="5"/>
  <c r="D21" i="5" s="1"/>
  <c r="T21" i="5" s="1"/>
  <c r="L15" i="1"/>
  <c r="G15" i="1"/>
  <c r="F21" i="5" s="1"/>
  <c r="E15" i="1"/>
  <c r="H15" i="1" s="1"/>
  <c r="D15" i="1"/>
  <c r="V15" i="1" s="1"/>
  <c r="W15" i="1" l="1"/>
  <c r="E21" i="5"/>
  <c r="U21" i="5" s="1"/>
  <c r="P15" i="1"/>
  <c r="T15" i="1"/>
  <c r="M15" i="1"/>
  <c r="I15" i="1"/>
  <c r="N15" i="1"/>
  <c r="J15" i="1"/>
  <c r="O15" i="1"/>
  <c r="C27" i="5"/>
  <c r="B27" i="5"/>
  <c r="D27" i="5" s="1"/>
  <c r="L20" i="1"/>
  <c r="G20" i="1"/>
  <c r="F26" i="5" s="1"/>
  <c r="E20" i="1"/>
  <c r="H20" i="1" s="1"/>
  <c r="E26" i="5" s="1"/>
  <c r="D20" i="1"/>
  <c r="V20" i="1" s="1"/>
  <c r="L22" i="1"/>
  <c r="G22" i="1"/>
  <c r="F28" i="5" s="1"/>
  <c r="E22" i="1"/>
  <c r="H22" i="1" s="1"/>
  <c r="E28" i="5" s="1"/>
  <c r="D22" i="1"/>
  <c r="V22" i="1" s="1"/>
  <c r="L21" i="1"/>
  <c r="G21" i="1"/>
  <c r="F27" i="5" s="1"/>
  <c r="E21" i="1"/>
  <c r="H21" i="1" s="1"/>
  <c r="E27" i="5" s="1"/>
  <c r="D21" i="1"/>
  <c r="P21" i="1" s="1"/>
  <c r="C28" i="5"/>
  <c r="B28" i="5"/>
  <c r="D28" i="5" s="1"/>
  <c r="C26" i="5"/>
  <c r="B26" i="5"/>
  <c r="D26" i="5" s="1"/>
  <c r="T26" i="5" s="1"/>
  <c r="C29" i="5"/>
  <c r="B29" i="5"/>
  <c r="D29" i="5" s="1"/>
  <c r="C25" i="5"/>
  <c r="B25" i="5"/>
  <c r="D25" i="5" s="1"/>
  <c r="C24" i="5"/>
  <c r="B24" i="5"/>
  <c r="D24" i="5" s="1"/>
  <c r="L19" i="1"/>
  <c r="G19" i="1"/>
  <c r="F25" i="5" s="1"/>
  <c r="E19" i="1"/>
  <c r="H19" i="1" s="1"/>
  <c r="E25" i="5" s="1"/>
  <c r="D19" i="1"/>
  <c r="V19" i="1" s="1"/>
  <c r="L18" i="1"/>
  <c r="G18" i="1"/>
  <c r="F24" i="5" s="1"/>
  <c r="E18" i="1"/>
  <c r="H18" i="1" s="1"/>
  <c r="E24" i="5" s="1"/>
  <c r="D18" i="1"/>
  <c r="V18" i="1" s="1"/>
  <c r="L11" i="1"/>
  <c r="H11" i="1"/>
  <c r="E17" i="5" s="1"/>
  <c r="G11" i="1"/>
  <c r="F17" i="5" s="1"/>
  <c r="E11" i="1"/>
  <c r="D11" i="1"/>
  <c r="V11" i="1" s="1"/>
  <c r="L9" i="1"/>
  <c r="G9" i="1"/>
  <c r="F15" i="5" s="1"/>
  <c r="E9" i="1"/>
  <c r="H9" i="1" s="1"/>
  <c r="D9" i="1"/>
  <c r="V9" i="1" s="1"/>
  <c r="I21" i="5" l="1"/>
  <c r="G21" i="5"/>
  <c r="S21" i="5" s="1"/>
  <c r="L21" i="5"/>
  <c r="T9" i="1"/>
  <c r="H21" i="5"/>
  <c r="P9" i="1"/>
  <c r="M21" i="1"/>
  <c r="V27" i="5"/>
  <c r="W9" i="1"/>
  <c r="E15" i="5"/>
  <c r="W11" i="1"/>
  <c r="K21" i="5"/>
  <c r="V21" i="5"/>
  <c r="T27" i="5"/>
  <c r="H27" i="5"/>
  <c r="G27" i="5"/>
  <c r="S27" i="5" s="1"/>
  <c r="W20" i="1"/>
  <c r="O20" i="1"/>
  <c r="J20" i="1"/>
  <c r="N20" i="1"/>
  <c r="I20" i="1"/>
  <c r="M20" i="1"/>
  <c r="P20" i="1"/>
  <c r="T21" i="1"/>
  <c r="T20" i="1"/>
  <c r="N22" i="1"/>
  <c r="I22" i="1"/>
  <c r="W22" i="1"/>
  <c r="O22" i="1"/>
  <c r="J22" i="1"/>
  <c r="M22" i="1"/>
  <c r="G24" i="5"/>
  <c r="S24" i="5" s="1"/>
  <c r="U24" i="5"/>
  <c r="L24" i="5"/>
  <c r="T28" i="5"/>
  <c r="I24" i="5"/>
  <c r="V24" i="5"/>
  <c r="I21" i="1"/>
  <c r="N21" i="1"/>
  <c r="V21" i="1"/>
  <c r="P22" i="1"/>
  <c r="J21" i="1"/>
  <c r="O21" i="1"/>
  <c r="W21" i="1"/>
  <c r="T22" i="1"/>
  <c r="H24" i="5"/>
  <c r="K24" i="5"/>
  <c r="T25" i="5"/>
  <c r="T24" i="5"/>
  <c r="T29" i="5"/>
  <c r="P11" i="1"/>
  <c r="T11" i="1"/>
  <c r="N19" i="1"/>
  <c r="I19" i="1"/>
  <c r="M19" i="1"/>
  <c r="W19" i="1"/>
  <c r="O19" i="1"/>
  <c r="J19" i="1"/>
  <c r="P19" i="1"/>
  <c r="T19" i="1"/>
  <c r="W18" i="1"/>
  <c r="O18" i="1"/>
  <c r="J18" i="1"/>
  <c r="N18" i="1"/>
  <c r="I18" i="1"/>
  <c r="M18" i="1"/>
  <c r="P18" i="1"/>
  <c r="T18" i="1"/>
  <c r="I11" i="1"/>
  <c r="N11" i="1"/>
  <c r="M11" i="1"/>
  <c r="J11" i="1"/>
  <c r="O11" i="1"/>
  <c r="M9" i="1"/>
  <c r="I9" i="1"/>
  <c r="N9" i="1"/>
  <c r="J9" i="1"/>
  <c r="O9" i="1"/>
  <c r="C23" i="5"/>
  <c r="B23" i="5"/>
  <c r="D23" i="5" s="1"/>
  <c r="L17" i="1"/>
  <c r="H17" i="1"/>
  <c r="E23" i="5" s="1"/>
  <c r="G17" i="1"/>
  <c r="F23" i="5" s="1"/>
  <c r="E17" i="1"/>
  <c r="D17" i="1"/>
  <c r="V17" i="1" s="1"/>
  <c r="L23" i="1"/>
  <c r="G23" i="1"/>
  <c r="F29" i="5" s="1"/>
  <c r="E23" i="1"/>
  <c r="H23" i="1" s="1"/>
  <c r="E29" i="5" s="1"/>
  <c r="D23" i="1"/>
  <c r="V23" i="1" s="1"/>
  <c r="U27" i="5" l="1"/>
  <c r="K27" i="5"/>
  <c r="L27" i="5"/>
  <c r="I27" i="5"/>
  <c r="I25" i="5"/>
  <c r="V25" i="5"/>
  <c r="W17" i="1"/>
  <c r="H25" i="5"/>
  <c r="G25" i="5"/>
  <c r="S25" i="5" s="1"/>
  <c r="U25" i="5"/>
  <c r="L25" i="5"/>
  <c r="K25" i="5"/>
  <c r="P17" i="1"/>
  <c r="T17" i="1"/>
  <c r="I23" i="5"/>
  <c r="T23" i="5"/>
  <c r="K23" i="5"/>
  <c r="U23" i="5"/>
  <c r="G23" i="5"/>
  <c r="S23" i="5" s="1"/>
  <c r="L23" i="5"/>
  <c r="V23" i="5"/>
  <c r="H23" i="5"/>
  <c r="M17" i="1"/>
  <c r="I17" i="1"/>
  <c r="N17" i="1"/>
  <c r="J17" i="1"/>
  <c r="O17" i="1"/>
  <c r="W23" i="1"/>
  <c r="O23" i="1"/>
  <c r="J23" i="1"/>
  <c r="N23" i="1"/>
  <c r="I23" i="1"/>
  <c r="M23" i="1"/>
  <c r="P23" i="1"/>
  <c r="T23" i="1"/>
  <c r="Q3" i="1"/>
  <c r="I28" i="5" l="1"/>
  <c r="L28" i="5"/>
  <c r="G28" i="5"/>
  <c r="S28" i="5" s="1"/>
  <c r="V28" i="5"/>
  <c r="U28" i="5"/>
  <c r="H28" i="5"/>
  <c r="K28" i="5"/>
  <c r="B16" i="5"/>
  <c r="D16" i="5" s="1"/>
  <c r="C16" i="5"/>
  <c r="B17" i="5"/>
  <c r="D17" i="5" s="1"/>
  <c r="C17" i="5"/>
  <c r="B18" i="5"/>
  <c r="D18" i="5" s="1"/>
  <c r="C18" i="5"/>
  <c r="B19" i="5"/>
  <c r="D19" i="5" s="1"/>
  <c r="C19" i="5"/>
  <c r="C15" i="5"/>
  <c r="B15" i="5"/>
  <c r="D15" i="5" s="1"/>
  <c r="T15" i="5" s="1"/>
  <c r="G25" i="1"/>
  <c r="F31" i="5" s="1"/>
  <c r="E25" i="1"/>
  <c r="H25" i="1" s="1"/>
  <c r="E31" i="5" s="1"/>
  <c r="D25" i="1"/>
  <c r="V25" i="1" s="1"/>
  <c r="L13" i="1"/>
  <c r="G13" i="1"/>
  <c r="F19" i="5" s="1"/>
  <c r="E13" i="1"/>
  <c r="H13" i="1" s="1"/>
  <c r="E19" i="5" s="1"/>
  <c r="D13" i="1"/>
  <c r="V13" i="1" s="1"/>
  <c r="L12" i="1"/>
  <c r="G12" i="1"/>
  <c r="F18" i="5" s="1"/>
  <c r="E12" i="1"/>
  <c r="H12" i="1" s="1"/>
  <c r="E18" i="5" s="1"/>
  <c r="D12" i="1"/>
  <c r="V12" i="1" s="1"/>
  <c r="G10" i="1"/>
  <c r="F16" i="5" s="1"/>
  <c r="E10" i="1"/>
  <c r="H10" i="1" s="1"/>
  <c r="E16" i="5" s="1"/>
  <c r="D10" i="1"/>
  <c r="T10" i="1" s="1"/>
  <c r="V31" i="5" l="1"/>
  <c r="U31" i="5"/>
  <c r="I31" i="5"/>
  <c r="H31" i="5"/>
  <c r="G31" i="5"/>
  <c r="S31" i="5" s="1"/>
  <c r="K31" i="5"/>
  <c r="L31" i="5"/>
  <c r="O25" i="1"/>
  <c r="G17" i="5"/>
  <c r="L17" i="5"/>
  <c r="O13" i="1"/>
  <c r="G16" i="5"/>
  <c r="V16" i="5"/>
  <c r="G18" i="5"/>
  <c r="S18" i="5" s="1"/>
  <c r="V18" i="5"/>
  <c r="H19" i="5"/>
  <c r="G15" i="5"/>
  <c r="S15" i="5" s="1"/>
  <c r="V15" i="5"/>
  <c r="I19" i="5"/>
  <c r="I17" i="5"/>
  <c r="H17" i="5"/>
  <c r="I18" i="5"/>
  <c r="H18" i="5"/>
  <c r="H16" i="5"/>
  <c r="I16" i="5"/>
  <c r="L18" i="5"/>
  <c r="U18" i="5"/>
  <c r="U15" i="5"/>
  <c r="T19" i="5"/>
  <c r="T18" i="5"/>
  <c r="K18" i="5"/>
  <c r="H15" i="5"/>
  <c r="I15" i="5"/>
  <c r="K15" i="5"/>
  <c r="L16" i="5"/>
  <c r="L15" i="5"/>
  <c r="V17" i="5"/>
  <c r="P13" i="1"/>
  <c r="V10" i="1"/>
  <c r="T13" i="1"/>
  <c r="P25" i="1"/>
  <c r="T25" i="1"/>
  <c r="M12" i="1"/>
  <c r="W12" i="1"/>
  <c r="J12" i="1"/>
  <c r="I12" i="1"/>
  <c r="O12" i="1"/>
  <c r="N12" i="1"/>
  <c r="I10" i="1"/>
  <c r="O10" i="1"/>
  <c r="J10" i="1"/>
  <c r="N10" i="1"/>
  <c r="M10" i="1"/>
  <c r="W10" i="1"/>
  <c r="P12" i="1"/>
  <c r="I13" i="1"/>
  <c r="I25" i="1"/>
  <c r="T12" i="1"/>
  <c r="J13" i="1"/>
  <c r="W13" i="1"/>
  <c r="J25" i="1"/>
  <c r="W25" i="1"/>
  <c r="M13" i="1"/>
  <c r="M25" i="1"/>
  <c r="P10" i="1"/>
  <c r="N13" i="1"/>
  <c r="N25" i="1"/>
  <c r="H26" i="5" l="1"/>
  <c r="V26" i="5"/>
  <c r="L26" i="5"/>
  <c r="G26" i="5"/>
  <c r="S26" i="5" s="1"/>
  <c r="I26" i="5"/>
  <c r="U26" i="5"/>
  <c r="K26" i="5"/>
  <c r="G29" i="5"/>
  <c r="S29" i="5" s="1"/>
  <c r="I29" i="5"/>
  <c r="V29" i="5"/>
  <c r="K29" i="5"/>
  <c r="H29" i="5"/>
  <c r="L29" i="5"/>
  <c r="U29" i="5"/>
  <c r="U19" i="5"/>
  <c r="L19" i="5"/>
  <c r="K19" i="5"/>
  <c r="G19" i="5"/>
  <c r="S19" i="5" s="1"/>
  <c r="V19" i="5"/>
  <c r="K17" i="5"/>
  <c r="U17" i="5"/>
  <c r="T17" i="5"/>
  <c r="S17" i="5"/>
  <c r="U16" i="5"/>
  <c r="K16" i="5"/>
  <c r="T16" i="5"/>
  <c r="S16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7" i="1"/>
  <c r="K12" i="5" l="1"/>
  <c r="H12" i="5"/>
  <c r="V12" i="5"/>
  <c r="T12" i="5"/>
  <c r="U12" i="5"/>
  <c r="I12" i="5"/>
  <c r="L12" i="5"/>
  <c r="S12" i="5"/>
  <c r="R3" i="1" l="1"/>
  <c r="D1" i="1"/>
  <c r="F6" i="1"/>
  <c r="T27" i="1"/>
  <c r="T13" i="5"/>
  <c r="T7" i="1" l="1"/>
  <c r="W27" i="1"/>
  <c r="G6" i="1" l="1"/>
  <c r="L13" i="5"/>
  <c r="I13" i="5"/>
  <c r="K13" i="5"/>
  <c r="U13" i="5"/>
  <c r="V13" i="5"/>
  <c r="H13" i="5"/>
  <c r="S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0" i="1" l="1"/>
  <c r="L25" i="1"/>
  <c r="C7" i="1"/>
  <c r="N27" i="1"/>
  <c r="O27" i="1"/>
  <c r="I27" i="1"/>
  <c r="J27" i="1"/>
  <c r="P27" i="1"/>
  <c r="Q7" i="1" l="1"/>
  <c r="M58" i="3" s="1"/>
  <c r="L7" i="1"/>
  <c r="G58" i="3" s="1"/>
  <c r="K58" i="3"/>
  <c r="J58" i="3"/>
  <c r="M27" i="1"/>
  <c r="K27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  <author>Quang Trung</author>
  </authors>
  <commentList>
    <comment ref="C57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 xr:uid="{00000000-0006-0000-0000-000002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 xr:uid="{00000000-0006-0000-0000-000003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 xr:uid="{00000000-0006-0000-0000-000004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 xr:uid="{00000000-0006-0000-0000-000005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 xr:uid="{00000000-0006-0000-0000-000006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 xr:uid="{00000000-0006-0000-0000-000007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 xr:uid="{00000000-0006-0000-0000-000008000000}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 xr:uid="{00000000-0006-0000-0000-000009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 xr:uid="{00000000-0006-0000-0000-00000A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 xr:uid="{00000000-0006-0000-0000-00000B000000}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 xr:uid="{00000000-0006-0000-0000-00000C000000}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S_member</author>
  </authors>
  <commentList>
    <comment ref="A2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S_member:</t>
        </r>
        <r>
          <rPr>
            <sz val="9"/>
            <color indexed="81"/>
            <rFont val="Tahoma"/>
            <family val="2"/>
          </rPr>
          <t xml:space="preserve">
Blank
</t>
        </r>
      </text>
    </comment>
  </commentList>
</comments>
</file>

<file path=xl/sharedStrings.xml><?xml version="1.0" encoding="utf-8"?>
<sst xmlns="http://schemas.openxmlformats.org/spreadsheetml/2006/main" count="468" uniqueCount="346">
  <si>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</si>
  <si>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</si>
  <si>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</si>
  <si>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</si>
  <si>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</si>
  <si>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</si>
  <si>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</si>
  <si>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</si>
  <si>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</si>
  <si>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</si>
  <si>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</si>
  <si>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</si>
  <si>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</si>
  <si>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</si>
  <si>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</si>
  <si>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</si>
  <si>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</si>
  <si>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</si>
  <si>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</si>
  <si>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</si>
  <si>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</si>
  <si>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</si>
  <si>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</si>
  <si>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</si>
  <si>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</si>
  <si>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</si>
  <si>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</si>
  <si>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</si>
  <si>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</si>
  <si>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</si>
  <si>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</si>
  <si>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</si>
  <si>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</si>
  <si>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</si>
  <si>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</si>
  <si>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</si>
  <si>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</si>
  <si>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</si>
  <si>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</si>
  <si>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</si>
  <si>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</si>
  <si>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</si>
  <si>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</si>
  <si>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</si>
  <si>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</si>
  <si>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</si>
  <si>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</si>
  <si>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</si>
  <si>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</si>
  <si>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</si>
  <si>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</si>
  <si>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</si>
  <si>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</si>
  <si>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</si>
  <si>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</si>
  <si>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</si>
  <si>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</si>
  <si>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</si>
  <si>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</si>
  <si>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</si>
  <si>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</si>
  <si>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</si>
  <si>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</si>
  <si>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</si>
  <si>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</si>
  <si>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</si>
  <si>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</si>
  <si>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</si>
  <si>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</si>
  <si>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</si>
  <si>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</si>
  <si>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</si>
  <si>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</si>
  <si>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</si>
  <si>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</si>
  <si>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</si>
  <si>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</si>
  <si>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</si>
  <si>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</si>
  <si>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</si>
  <si>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</si>
  <si>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</si>
  <si>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</si>
  <si>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</si>
  <si>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</si>
  <si>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</si>
  <si>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</si>
  <si>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</si>
  <si>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</si>
  <si>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</si>
  <si>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</si>
  <si>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</si>
  <si>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</si>
  <si>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</si>
  <si>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</si>
  <si>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</si>
  <si>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</si>
  <si>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</si>
  <si>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</si>
  <si>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</si>
  <si>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</si>
  <si>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</si>
  <si>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</si>
  <si>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</si>
  <si>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</si>
  <si>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</si>
  <si>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</si>
  <si>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</si>
  <si>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</si>
  <si>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</si>
  <si>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</si>
  <si>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</si>
  <si>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</si>
  <si>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</si>
  <si>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</si>
  <si>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</si>
  <si>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</si>
  <si>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</si>
  <si>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</si>
  <si>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</si>
  <si>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</si>
  <si>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</si>
  <si>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</si>
  <si>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</si>
  <si>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</si>
  <si>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</si>
  <si>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</si>
  <si>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</si>
  <si>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</si>
  <si>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</si>
  <si>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</si>
  <si>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</si>
  <si>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</si>
  <si>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</si>
  <si>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</si>
  <si>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</si>
  <si>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</si>
  <si>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</si>
  <si>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</si>
  <si>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</si>
  <si>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</si>
  <si>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</si>
  <si>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</si>
  <si>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</si>
  <si>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</si>
  <si>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</si>
  <si>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</si>
  <si>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</si>
  <si>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</si>
  <si>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</si>
  <si>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</si>
  <si>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</si>
  <si>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</si>
  <si>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</si>
  <si>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</si>
  <si>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</si>
  <si>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</si>
  <si>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</si>
  <si>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</si>
  <si>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</si>
  <si>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</si>
  <si>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</si>
  <si>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</si>
  <si>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</si>
  <si>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</si>
  <si>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</si>
  <si>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</si>
  <si>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</si>
  <si>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</si>
  <si>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</si>
  <si>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</si>
  <si>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</si>
  <si>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</si>
  <si>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</si>
  <si>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</si>
  <si>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</si>
  <si>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</si>
  <si>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</si>
  <si>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</si>
  <si>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</si>
  <si>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</si>
  <si>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</si>
  <si>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</si>
  <si>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</si>
  <si>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</si>
  <si>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</si>
  <si>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</si>
  <si>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</si>
  <si>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</si>
  <si>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</si>
  <si>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</si>
  <si>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</si>
  <si>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</si>
  <si>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</si>
  <si>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</si>
  <si>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</si>
  <si>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</si>
  <si>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</si>
  <si>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</si>
  <si>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</si>
  <si>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</si>
  <si>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</si>
  <si>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</si>
  <si>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</si>
  <si>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</si>
  <si>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</si>
  <si>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</si>
  <si>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</si>
  <si>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</si>
  <si>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</si>
  <si>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</si>
  <si>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</si>
  <si>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</si>
  <si>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</si>
  <si>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</si>
  <si>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</si>
  <si>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</si>
  <si>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</si>
  <si>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</si>
  <si>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</si>
  <si>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</si>
  <si>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</si>
  <si>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</si>
  <si>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</si>
  <si>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</si>
  <si>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</si>
  <si>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</si>
  <si>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</si>
  <si>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</si>
  <si>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</si>
  <si>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</si>
  <si>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</si>
  <si>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</si>
  <si>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</si>
  <si>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</si>
  <si>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</si>
  <si>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</si>
  <si>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</si>
  <si>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</si>
  <si>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</si>
  <si>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</si>
  <si>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</si>
  <si>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</si>
  <si>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</si>
  <si>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</si>
  <si>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</si>
  <si>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</si>
  <si>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</si>
  <si>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</si>
  <si>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</si>
  <si>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</si>
  <si>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</si>
  <si>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</si>
  <si>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</si>
  <si>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</si>
  <si>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</si>
  <si>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</si>
  <si>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</si>
  <si>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</si>
  <si>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</si>
  <si>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</si>
  <si>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</si>
  <si>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</si>
  <si>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</si>
  <si>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</si>
  <si>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</si>
  <si>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</si>
  <si>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</si>
  <si>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</si>
  <si>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</si>
  <si>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</si>
  <si>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</si>
  <si>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</si>
  <si>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</si>
  <si>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</si>
  <si>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</si>
  <si>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</si>
  <si>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</si>
  <si>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</si>
  <si>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</si>
  <si>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</si>
  <si>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</si>
  <si>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</si>
  <si>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</si>
  <si>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</si>
  <si>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</si>
  <si>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</si>
  <si>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</si>
  <si>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</si>
  <si>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</si>
  <si>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</si>
  <si>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</si>
  <si>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</si>
  <si>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</si>
  <si>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</si>
  <si>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</si>
  <si>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</si>
  <si>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</si>
  <si>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</si>
  <si>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</si>
  <si>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</si>
  <si>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</si>
  <si>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</si>
  <si>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</si>
  <si>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</si>
  <si>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</si>
  <si>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CCR Plan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</si>
  <si>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</si>
  <si>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</si>
  <si>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</si>
  <si>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</si>
  <si>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</si>
  <si>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</si>
  <si>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</si>
  <si>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</si>
  <si>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</si>
  <si>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</si>
  <si>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</si>
  <si>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</si>
  <si>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</si>
  <si>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</si>
  <si>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</si>
  <si>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</si>
  <si>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PROD_LINE</t>
  </si>
  <si>
    <t>SORTING</t>
  </si>
  <si>
    <t>IS_ACTIVE</t>
  </si>
  <si>
    <t>varchar(1)</t>
  </si>
  <si>
    <t>MstLgaBp2PartList</t>
  </si>
  <si>
    <t>Bp2PartList</t>
  </si>
  <si>
    <t>PART_NAME</t>
  </si>
  <si>
    <t>PART_NO</t>
  </si>
  <si>
    <t>PART_LIST_ID</t>
  </si>
  <si>
    <t>GRADE</t>
  </si>
  <si>
    <t>varchar(500)</t>
  </si>
  <si>
    <t>LA Big Part 2x2 Part List Grade</t>
  </si>
  <si>
    <t>DEL_ADDRESS</t>
  </si>
  <si>
    <t>DEL_ADDRESS_DISPLAY</t>
  </si>
  <si>
    <t>PIK_LOC_TYPE</t>
  </si>
  <si>
    <t>PIK_ADDRESS</t>
  </si>
  <si>
    <t>PIK_ADDRESS_DISPLAY</t>
  </si>
  <si>
    <t>DEL_LOC_TYPE</t>
  </si>
  <si>
    <t>MODEL</t>
  </si>
  <si>
    <t>MODULE</t>
  </si>
  <si>
    <t>REMARK</t>
  </si>
  <si>
    <t>nvarchar(500)</t>
  </si>
  <si>
    <t>USAGE_QTY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</si>
</sst>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0" fillId="14" borderId="0" xfId="0" applyFill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N67"/>
  <sheetViews>
    <sheetView workbookViewId="0">
      <selection activeCell="E18" sqref="E18"/>
    </sheetView>
  </sheetViews>
  <sheetFormatPr baseColWidth="10" defaultColWidth="8.83203125" defaultRowHeight="15" x14ac:dyDescent="0.2"/>
  <cols>
    <col min="1" max="1" width="3.5" customWidth="1"/>
    <col min="2" max="2" width="18.5" customWidth="1"/>
    <col min="3" max="5" width="26.1640625" customWidth="1"/>
    <col min="6" max="6" width="29.5" customWidth="1"/>
    <col min="7" max="10" width="26.1640625" customWidth="1"/>
    <col min="11" max="11" width="26.5" customWidth="1"/>
    <col min="12" max="12" width="27.6640625" customWidth="1"/>
    <col min="13" max="13" width="25.5" customWidth="1"/>
    <col min="14" max="18" width="18.5" customWidth="1"/>
  </cols>
  <sheetData>
    <row r="1" spans="1:7" ht="24" x14ac:dyDescent="0.3">
      <c r="A1" s="15" t="s">
        <v>74</v>
      </c>
    </row>
    <row r="2" spans="1:7" ht="16" x14ac:dyDescent="0.2">
      <c r="A2" s="1"/>
      <c r="B2" s="27" t="s">
        <v>196</v>
      </c>
    </row>
    <row r="3" spans="1:7" x14ac:dyDescent="0.2">
      <c r="A3" s="1"/>
      <c r="B3" s="1" t="s">
        <v>77</v>
      </c>
    </row>
    <row r="4" spans="1:7" x14ac:dyDescent="0.2">
      <c r="A4" s="1"/>
      <c r="B4" s="17" t="s">
        <v>76</v>
      </c>
    </row>
    <row r="5" spans="1:7" x14ac:dyDescent="0.2">
      <c r="A5" s="1"/>
      <c r="B5" s="17" t="s">
        <v>79</v>
      </c>
    </row>
    <row r="6" spans="1:7" x14ac:dyDescent="0.2">
      <c r="A6" s="1"/>
      <c r="B6" s="17" t="s">
        <v>87</v>
      </c>
    </row>
    <row r="7" spans="1:7" x14ac:dyDescent="0.2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">
      <c r="A17" s="1"/>
      <c r="B17" s="17"/>
      <c r="D17" t="s">
        <v>307</v>
      </c>
      <c r="F17" s="1" t="s">
        <v>308</v>
      </c>
      <c r="G17" s="17" t="s">
        <v>309</v>
      </c>
    </row>
    <row r="18" spans="1:7" x14ac:dyDescent="0.2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">
      <c r="A33" s="1"/>
      <c r="B33" s="17"/>
      <c r="C33" t="s">
        <v>307</v>
      </c>
      <c r="F33" s="1" t="s">
        <v>308</v>
      </c>
      <c r="G33" s="17" t="s">
        <v>308</v>
      </c>
    </row>
    <row r="34" spans="1:8" x14ac:dyDescent="0.2">
      <c r="A34" s="1"/>
      <c r="B34" s="17"/>
      <c r="D34" t="s">
        <v>310</v>
      </c>
      <c r="F34" s="1" t="s">
        <v>311</v>
      </c>
      <c r="G34" s="17" t="s">
        <v>312</v>
      </c>
    </row>
    <row r="35" spans="1:8" x14ac:dyDescent="0.2">
      <c r="A35" s="1"/>
      <c r="B35" s="17"/>
      <c r="D35" t="s">
        <v>96</v>
      </c>
      <c r="F35" s="1" t="s">
        <v>104</v>
      </c>
      <c r="G35" s="17" t="s">
        <v>313</v>
      </c>
    </row>
    <row r="36" spans="1:8" x14ac:dyDescent="0.2">
      <c r="A36" s="1"/>
      <c r="B36" s="17"/>
      <c r="D36" t="s">
        <v>314</v>
      </c>
      <c r="F36" s="1" t="s">
        <v>315</v>
      </c>
      <c r="G36" s="17" t="s">
        <v>316</v>
      </c>
    </row>
    <row r="37" spans="1:8" x14ac:dyDescent="0.2">
      <c r="A37" s="1"/>
      <c r="B37" s="17"/>
      <c r="D37" t="s">
        <v>317</v>
      </c>
      <c r="F37" s="1" t="s">
        <v>318</v>
      </c>
      <c r="G37" s="17" t="s">
        <v>319</v>
      </c>
    </row>
    <row r="38" spans="1:8" x14ac:dyDescent="0.2">
      <c r="A38" s="1"/>
      <c r="B38" s="17"/>
      <c r="C38" t="s">
        <v>320</v>
      </c>
      <c r="F38" s="1" t="s">
        <v>301</v>
      </c>
      <c r="G38" s="17" t="s">
        <v>301</v>
      </c>
    </row>
    <row r="39" spans="1:8" x14ac:dyDescent="0.2">
      <c r="A39" s="1"/>
      <c r="B39" s="17"/>
      <c r="D39" t="s">
        <v>304</v>
      </c>
      <c r="F39" s="1" t="s">
        <v>304</v>
      </c>
      <c r="G39" s="17" t="s">
        <v>305</v>
      </c>
      <c r="H39" s="17" t="s">
        <v>306</v>
      </c>
    </row>
    <row r="40" spans="1:8" x14ac:dyDescent="0.2">
      <c r="A40" s="1"/>
      <c r="B40" s="17"/>
      <c r="F40" s="1"/>
    </row>
    <row r="41" spans="1:8" x14ac:dyDescent="0.2">
      <c r="A41" s="1"/>
      <c r="B41" s="17"/>
    </row>
    <row r="42" spans="1:8" x14ac:dyDescent="0.2">
      <c r="A42" s="1"/>
      <c r="B42" s="17" t="s">
        <v>86</v>
      </c>
    </row>
    <row r="43" spans="1:8" x14ac:dyDescent="0.2">
      <c r="A43" s="1"/>
      <c r="B43" s="17" t="s">
        <v>83</v>
      </c>
    </row>
    <row r="44" spans="1:8" x14ac:dyDescent="0.2">
      <c r="A44" s="1"/>
      <c r="B44" s="17"/>
      <c r="C44" s="19" t="s">
        <v>80</v>
      </c>
    </row>
    <row r="45" spans="1:8" x14ac:dyDescent="0.2">
      <c r="A45" s="1"/>
      <c r="B45" s="17"/>
      <c r="C45" s="18" t="s">
        <v>81</v>
      </c>
    </row>
    <row r="46" spans="1:8" x14ac:dyDescent="0.2">
      <c r="A46" s="1"/>
      <c r="B46" s="17"/>
      <c r="C46" s="18" t="s">
        <v>82</v>
      </c>
    </row>
    <row r="47" spans="1:8" x14ac:dyDescent="0.2">
      <c r="A47" s="1"/>
      <c r="B47" s="17" t="s">
        <v>106</v>
      </c>
      <c r="C47" s="18"/>
    </row>
    <row r="48" spans="1:8" x14ac:dyDescent="0.2">
      <c r="A48" s="1"/>
      <c r="B48" s="17"/>
      <c r="C48" s="18" t="s">
        <v>107</v>
      </c>
    </row>
    <row r="49" spans="1:14" x14ac:dyDescent="0.2">
      <c r="A49" s="1"/>
      <c r="B49" s="17"/>
      <c r="C49" s="18" t="s">
        <v>108</v>
      </c>
    </row>
    <row r="50" spans="1:14" x14ac:dyDescent="0.2">
      <c r="A50" s="1"/>
      <c r="B50" s="17"/>
      <c r="C50" s="18" t="s">
        <v>109</v>
      </c>
    </row>
    <row r="51" spans="1:14" x14ac:dyDescent="0.2">
      <c r="A51" s="1"/>
      <c r="B51" s="17"/>
      <c r="C51" s="18" t="s">
        <v>111</v>
      </c>
    </row>
    <row r="52" spans="1:14" x14ac:dyDescent="0.2">
      <c r="A52" s="1"/>
      <c r="B52" s="17"/>
      <c r="C52" s="18" t="s">
        <v>113</v>
      </c>
    </row>
    <row r="53" spans="1:14" x14ac:dyDescent="0.2">
      <c r="A53" s="1"/>
      <c r="B53" s="17"/>
      <c r="C53" s="18" t="s">
        <v>112</v>
      </c>
    </row>
    <row r="54" spans="1:14" x14ac:dyDescent="0.2">
      <c r="A54" s="1"/>
      <c r="B54" s="17"/>
      <c r="C54" s="18" t="s">
        <v>110</v>
      </c>
    </row>
    <row r="55" spans="1:14" ht="21" customHeight="1" x14ac:dyDescent="0.2">
      <c r="B55" s="21" t="s">
        <v>78</v>
      </c>
    </row>
    <row r="56" spans="1:14" ht="21" customHeight="1" x14ac:dyDescent="0.2">
      <c r="B56" s="63" t="s">
        <v>231</v>
      </c>
    </row>
    <row r="57" spans="1:14" ht="16" thickBot="1" x14ac:dyDescent="0.25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25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[Table("MstLgaBp2PartList")]
	[Index(nameof(IsActive), Name="IX_MstLgaBp2PartList_IsActive")]	public class MstLgaBp2PartList: FullAuditedEntity&lt;long&gt;, IEntity&lt;long&gt;	
	{
		public const int MaxPartNoLength = 50;
		public const int MaxPartNameLength = 500;
		public const int MaxProdLineLength = 50;
		public const int MaxGradeLength = 50;
		public const int MaxModelLength = 50;
		public const int MaxModuleLength = 50;
		public const int MaxPikLocTypeLength = 50;
		public const int MaxPikAddressLength = 50;
		public const int MaxPikAddressDisplayLength = 50;
		public const int MaxDelLocTypeLength = 50;
		public const int MaxDelAddressLength = 50;
		public const int MaxDelAddressDisplayLength = 50;
		public const int MaxRemarkLength = 500;
		public const int MaxIsActiveLength = 1;
		[StringLength(MaxPartNoLength)]
		public virtual string PartNo { get; set; }
		[StringLength(MaxPartNameLength)]
		public virtual string PartName { get; set; }
		[Column(TypeName="bigint")]
		public virtual long PartListId { get; set; }
		[StringLength(MaxProdLineLength)]
		public virtual string ProdLine { get; set; }
		[StringLength(MaxGradeLength)]
		public virtual string Grade { get; set; }
		public virtual int UsageQty { get; set; }
		[StringLength(MaxModelLength)]
		public virtual string Model { get; set; }
		[StringLength(MaxModuleLength)]
		public virtual string Module { get; set; }
		[StringLength(MaxPikLocTypeLength)]
		public virtual string PikLocType { get; set; }
		[StringLength(MaxPikAddressLength)]
		public virtual string PikAddress { get; set; }
		[StringLength(MaxPikAddressDisplayLength)]
		public virtual string PikAddressDisplay { get; set; }
		[StringLength(MaxDelLocTypeLength)]
		public virtual string DelLocType { get; set; }
		[StringLength(MaxDelAddressLength)]
		public virtual string DelAddress { get; set; }
		[StringLength(MaxDelAddressDisplayLength)]
		public virtual string DelAddressDisplay { get; set; }
		public virtual int Sorting { get; set; }
		[StringLength(MaxRemarkLength)]
		public virtual string Remark { get; set; }
		[StringLength(MaxIsActiveLength)]
		public virtual string IsActive { get; set; }
	}
}
</v>
      </c>
      <c r="D58" s="51" t="str">
        <f>A.Backend!O7</f>
        <v xml:space="preserve">		public const string Pages_Master_LogA_Bp2PartList = "Pages.Master.LogA.Bp2PartList";
		public const string Pages_Master_LogA_Bp2PartList_CreateEdit = "Pages.Master.LogA.Bp2PartList.CreateEdit";
		public const string Pages_Master_LogA_Bp2PartList_Delete = "Pages.Master.LogA.Bp2PartList.Delete";
</v>
      </c>
      <c r="E58" s="51" t="str">
        <f>A.Backend!N7</f>
        <v xml:space="preserve">		var perMstLgaBp2PartList = PARENTS.CreateChildPermission(AppPermissions.Pages_Master_LogA_Bp2PartList, L( "MasterLogABp2PartList"), multiTenancySides: MultiTenancySides.Tenant);
		perMstLgaBp2PartList.CreateChildPermission(AppPermissions.Pages_Master_LogA_Bp2PartList_CreateEdit, L( "MasterLogABp2PartListCreateEdit"), multiTenancySides: MultiTenancySides.Tenant);
		perMstLgaBp2PartList.CreateChildPermission(AppPermissions.Pages_Master_LogA_Bp2PartList_Delete, L( "MasterLogABp2PartListDelete"), multiTenancySides: MultiTenancySides.Tenant);</v>
      </c>
      <c r="F58" s="51" t="str">
        <f>A.Backend!K7</f>
        <v>public virtual DbSet&lt;MstLgaBp2PartList&gt; MstLgaBp2PartLists { get; set; }</v>
      </c>
      <c r="G58" s="51" t="str">
        <f ca="1">A.Backend!L7</f>
        <v xml:space="preserve">namespace vovina.Master.LogA
{
	public class MstLgaBp2PartListConsts	
	{
		public const int MaxPartNoLength = 50;
		public const int MaxPartNameLength = 500;
		public const int MaxProdLineLength = 50;
		public const int MaxGradeLength = 50;
		public const int MaxModelLength = 50;
		public const int MaxModuleLength = 50;
		public const int MaxPikLocTypeLength = 50;
		public const int MaxPikAddressLength = 50;
		public const int MaxPikAddressDisplayLength = 50;
		public const int MaxDelLocTypeLength = 50;
		public const int MaxDelAddressLength = 50;
		public const int MaxDelAddressDisplayLength = 50;
		public const int MaxRemarkLength = 500;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MstLgaBp2PartListDto : EntityDto&lt;long?&gt;	
	{
		public virtual string PartNo { get; set; }
		public virtual string PartName { get; set; }
		public virtual long PartListId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	public class CreateOrEditMstLgaBp2PartListDto : EntityDto&lt;long?&gt;	
	{
		[StringLength(MstLgaBp2PartListConsts.MaxPartNoLength)]
		public virtual string PartNo { get; set; }
		[StringLength(MstLgaBp2PartListConsts.MaxPartNameLength)]
		public virtual string PartName { get; set; }
		public virtual long PartListId { get; set; }
		[StringLength(MstLgaBp2PartListConsts.MaxProdLineLength)]
		public virtual string ProdLine { get; set; }
		[StringLength(MstLgaBp2PartListConsts.MaxGradeLength)]
		public virtual string Grade { get; set; }
		public virtual int UsageQty { get; set; }
		[StringLength(MstLgaBp2PartListConsts.MaxModelLength)]
		public virtual string Model { get; set; }
		[StringLength(MstLgaBp2PartListConsts.MaxModuleLength)]
		public virtual string Module { get; set; }
		[StringLength(MstLgaBp2PartListConsts.MaxPikLocTypeLength)]
		public virtual string PikLocType { get; set; }
		[StringLength(MstLgaBp2PartListConsts.MaxPikAddressLength)]
		public virtual string PikAddress { get; set; }
		[StringLength(MstLgaBp2PartListConsts.MaxPikAddressDisplayLength)]
		public virtual string PikAddressDisplay { get; set; }
		[StringLength(MstLgaBp2PartListConsts.MaxDelLocTypeLength)]
		public virtual string DelLocType { get; set; }
		[StringLength(MstLgaBp2PartListConsts.MaxDelAddressLength)]
		public virtual string DelAddress { get; set; }
		[StringLength(MstLgaBp2PartListConsts.MaxDelAddressDisplayLength)]
		public virtual string DelAddressDisplay { get; set; }
		public virtual int Sorting { get; set; }
		[StringLength(MstLgaBp2PartListConsts.MaxRemarkLength)]
		public virtual string Remark { get; set; }
		[StringLength(MstLgaBp2PartListConsts.MaxIsActiveLength)]
		public virtual string IsActive { get; set; }
	}
	public class GetMstLgaBp2PartListInput : PagedAndSortedResultRequestDto	
	{
		public virtual string PartNo { get; set; }
		public virtual string PartName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MstLgaBp2PartListExportInput{
		public virtual string PartNo { get; set; }
		public virtual string PartName { get; set; }
		public virtual long PartListId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IMstLgaBp2PartListAppService : IApplicationService
	{
		Task&lt;PagedResultDto&lt;MstLgaBp2PartListDto&gt;&gt; GetAll(GetMstLgaBp2PartListInput input);
		Task CreateOrEdit(CreateOrEditMstLgaBp2PartListDto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IMstLgaBp2PartListExcelExporter : IApplicationService
	{
		FileDto ExportToFile(List&lt;MstLgaBp2PartListDto&gt; mstlgabp2partlist);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MstLgaBp2PartListExcelExporter : NpoiExcelExporterBase, IMstLgaBp2PartListExcelExporter
    {
        public MstLgaBp2PartListExcelExporter(ITempFileCacheManager tempFileCacheManager) : base(tempFileCacheManager) { }
        public FileDto ExportToFile(List&lt;MstLgaBp2PartListDto&gt; bp2partlist)
        {
            return CreateExcelPackage(
				"MasterLogABp2PartList.xlsx",
				excelPackage =&gt;
				 {
					var sheet = excelPackage.CreateSheet("Bp2PartList");
					AddHeader(
								sheet,
								("PartNo"),
								("PartName"),
								("PartListId"),
								("ProdLine"),
								("Grade"),
								("UsageQty"),
								("Model"),
								("Module"),
								("PikLocType"),
								("PikAddress"),
								("PikAddressDisplay"),
								("DelLocType"),
								("DelAddress"),
								("DelAddressDisplay"),
								("Sorting"),
								("Remark"),
								("IsActive"),
							   );
					AddObjects(
						 sheet, 1, bp2partlist,                                       
								_ =&gt; _.PartNo,
								_ =&gt; _.PartName,
								_ =&gt; _.PartListId,
								_ =&gt; _.ProdLine,
								_ =&gt; _.Grade,
								_ =&gt; _.UsageQty,
								_ =&gt; _.Model,
								_ =&gt; _.Module,
								_ =&gt; _.PikLocType,
								_ =&gt; _.PikAddress,
								_ =&gt; _.PikAddressDisplay,
								_ =&gt; _.DelLocType,
								_ =&gt; _.DelAddress,
								_ =&gt; _.DelAddressDisplay,
								_ =&gt; _.Sorting,
								_ =&gt; _.Remark,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[AbpAuthorize(AppPermissions.Pages_Master_LogA_Bp2PartList)]
    public class MstLgaBp2PartListAppService : vovinaAppServiceBase, IMstLgaBp2PartListAppService
    {
        private readonly IDapperRepository&lt;MstLgaBp2PartList, long&gt; _dapperRepo;
        private readonly IRepository&lt;MstLgaBp2PartList, long&gt; _repo;
        private readonly IMstLgaBp2PartListExcelExporter _calendarListExcelExporter;
        public MstLgaBp2PartListAppService(IRepository&lt;MstLgaBp2PartList,long&gt; repo, 
                                         IDapperRepository&lt;MstLgaBp2PartList,long&gt; dapperRepo,
                                        IMstLgaBp2PartListExcelExporter calendarListExcelExporter
            )
        {
            _repo = repo;
            _dapperRepo = dapperRepo;
            _calendarListExcelExporter = calendarListExcelExporter;
        }
        [AbpAuthorize(AppPermissions.Pages_Master_LogA_Bp2PartList_CreateEdit)]
        public async Task CreateOrEdit(CreateOrEditMstLgaBp2PartListDto input)
        {
            if (input.Id == null) await Create(input);
            else await Update(input);
        }
        //CREATE
        private async Task Create(CreateOrEditMstLgaBp2PartListDto input)
        {          
            var mainObj = ObjectMapper.Map&lt;MstLgaBp2PartList&gt;(input);
            await CurrentUnitOfWork.GetDbContext&lt;vovinaDbContext&gt;().AddAsync(mainObj);
        }
        // EDIT
        private async Task Update(CreateOrEditMstLgaBp2PartListDto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Task&lt;PagedResultDto&lt;MstLgaBp2PartListDto&gt;&gt; GetAll(GetMstLgaBp2PartListInput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.WhereIf(!string.IsNullOrWhiteSpace(input.ProdLine), e =&gt; e.ProdLine.Contains(input.ProdLine))
				.WhereIf(!string.IsNullOrWhiteSpace(input.Grade), e =&gt; e.Grade.Contains(input.Grade))
				.WhereIf(!string.IsNullOrWhiteSpace(input.Model), e =&gt; e.Model.Contains(input.Model))
				.WhereIf(!string.IsNullOrWhiteSpace(input.Module), e =&gt; e.Module.Contains(input.Module))
				.WhereIf(!string.IsNullOrWhiteSpace(input.PikLocType), e =&gt; e.PikLocType.Contains(input.PikLocType))
				.WhereIf(!string.IsNullOrWhiteSpace(input.PikAddress), e =&gt; e.PikAddress.Contains(input.PikAddress))
				.WhereIf(!string.IsNullOrWhiteSpace(input.PikAddressDisplay), e =&gt; e.PikAddressDisplay.Contains(input.PikAddressDisplay))
				.WhereIf(!string.IsNullOrWhiteSpace(input.DelLocType), e =&gt; e.DelLocType.Contains(input.DelLocType))
				.WhereIf(!string.IsNullOrWhiteSpace(input.DelAddress), e =&gt; e.DelAddress.Contains(input.DelAddress))
				.WhereIf(!string.IsNullOrWhiteSpace(input.DelAddressDisplay), e =&gt; e.DelAddressDisplay.Contains(input.DelAddressDisplay))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MstLgaBp2PartListDto
                        {
							Id = o.Id,
							PartNo = o.PartNo,
							PartName = o.PartName,
							PartListId = o.PartListId,
							ProdLine = o.ProdLine,
							Grade = o.Grade,
							UsageQty = o.UsageQty,
							Model = o.Model,
							Module = o.Module,
							PikLocType = o.PikLocType,
							PikAddress = o.PikAddress,
							PikAddressDisplay = o.PikAddressDisplay,
							DelLocType = o.DelLocType,
							DelAddress = o.DelAddress,
							DelAddressDisplay = o.DelAddressDisplay,
							Sorting = o.Sorting,
							Remark = o.Remark,
							IsActive = o.IsActive,
                        };
            var totalCount = await filtered.CountAsync();
			var paged = system.PageBy(input);
            return new PagedResultDto&lt;MstLgaBp2PartListDto&gt;(
                totalCount,
                 await paged.ToListAsync()
            );
        }
        public async Task&lt;FileDto&gt; GetBp2PartListToExcel(MstLgaBp2PartListExportInput input)
        {
            var query = from o in _repo.GetAll()
                        select new MstLgaBp2PartListDto
                        {
							Id = o.Id,
							PartNo = o.PartNo,
							PartName = o.PartName,
							PartListId = o.PartListId,
							ProdLine = o.ProdLine,
							Grade = o.Grade,
							UsageQty = o.UsageQty,
							Model = o.Model,
							Module = o.Module,
							PikLocType = o.PikLocType,
							PikAddress = o.PikAddress,
							PikAddressDisplay = o.PikAddressDisplay,
							DelLocType = o.DelLocType,
							DelAddress = o.DelAddress,
							DelAddressDisplay = o.DelAddressDisplay,
							Sorting = o.Sorting,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_dapperRepo.ExecuteAsync(MstLgaBp2PartListConsts.SP_MST_WPT_CALENDAR_GENERATE);
       // }
    }
}</v>
      </c>
      <c r="N58" s="62" t="str">
        <f>A.Backend!U7</f>
        <v xml:space="preserve">  configuration.CreateMap&lt;MstLgaBp2PartListDto, MstLgaBp2PartList&gt;();
  configuration.CreateMap&lt;MstLgaBp2PartList, MstLgaBp2PartListDto&gt;();
  configuration.CreateMap&lt;CreateOrEditMstLgaBp2PartListDto, MstLgaBp2PartList&gt;();</v>
      </c>
    </row>
    <row r="59" spans="1:14" s="16" customFormat="1" ht="21.75" customHeight="1" x14ac:dyDescent="0.2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">
      <c r="C61" s="29"/>
      <c r="D61" s="29"/>
      <c r="E61" s="29"/>
      <c r="G61" s="29"/>
      <c r="H61" s="29"/>
    </row>
    <row r="62" spans="1:14" x14ac:dyDescent="0.2">
      <c r="B62" s="1" t="s">
        <v>73</v>
      </c>
    </row>
    <row r="63" spans="1:14" ht="21" x14ac:dyDescent="0.25">
      <c r="B63" t="str">
        <f>B.Frontend!B8</f>
        <v>bp2partlist</v>
      </c>
      <c r="C63" s="73" t="str">
        <f>"create folder " &amp;B63</f>
        <v>create folder bp2partlist</v>
      </c>
      <c r="D63" s="73"/>
      <c r="E63" s="73"/>
      <c r="F63" s="73"/>
      <c r="G63" s="73"/>
      <c r="H63" s="73"/>
      <c r="I63" s="73"/>
      <c r="J63" s="73"/>
      <c r="K63" s="74" t="s">
        <v>228</v>
      </c>
      <c r="L63" s="74"/>
      <c r="M63" s="31"/>
    </row>
    <row r="64" spans="1:14" s="28" customFormat="1" ht="18" customHeight="1" x14ac:dyDescent="0.2">
      <c r="B64" s="60" t="s">
        <v>229</v>
      </c>
      <c r="C64" s="31" t="str">
        <f>B.Frontend!H14</f>
        <v>bp2partlist.component.ts</v>
      </c>
      <c r="D64" s="31" t="str">
        <f>B.Frontend!I14</f>
        <v>bp2partlist.component.html</v>
      </c>
      <c r="E64" s="31" t="str">
        <f>B.Frontend!J14</f>
        <v>bp2partlist.component.less</v>
      </c>
      <c r="F64" s="31" t="str">
        <f>B.Frontend!K14</f>
        <v>create-or-edit-bp2partlist-modal.component.html</v>
      </c>
      <c r="G64" s="31" t="str">
        <f>B.Frontend!L14</f>
        <v>create-or-edit-bp2partlist-modal.component.ts</v>
      </c>
      <c r="H64" s="31" t="str">
        <f>B.Frontend!M14</f>
        <v>create-or-edit-bp2partlist-modal.component.less</v>
      </c>
      <c r="I64" s="31" t="str">
        <f>B.Frontend!N14</f>
        <v>bp2partlist.module.ts</v>
      </c>
      <c r="J64" s="31" t="str">
        <f>B.Frontend!O14</f>
        <v>bp2partlist-routing.module.ts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MstLgaBp2PartListDto, MstLgaBp2PartListServiceProxy } from '@shared/service-proxies/service-proxies';
import { finalize } from 'rxjs/internal/operators/finalize';
import { CreateOrEditBp2PartListModalComponent } from './create-or-edit-bp2partlist-modal.component';
import { DatePipe } from '@angular/common';
import { FileDownloadService } from '@shared/utils/file-download.service';
import ceil from 'lodash-es/ceil';
import { Paginator } from 'primeng/paginator';
@Component({
    templateUrl: './bp2partlist.component.html',
    styleUrls: ['./bp2partlist.component.less'],
})
export class Bp2PartListComponent extends AppComponentBase implements OnInit {
    @ViewChild('createOrEditModalBp2PartList', { static: true }) createOrEditModalBp2PartList:| CreateOrEditBp2PartListModalComponent|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MstLgaBp2PartListDto = new MstLgaBp2PartListDto();
    saveSelectedRow: MstLgaBp2PartListDto = new MstLgaBp2PartListDto();
    datas: MstLgaBp2PartListDto = new MstLgaBp2PartListDto();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partName : string = '' ; 
	partListId
	prodLine : string = '' ; 
	grade : string = '' ; 
	usageQty : number = 0 ;
	model : string = '' ; 
	module : string = '' ; 
	pikLocType : string = '' ; 
	pikAddress : string = '' ; 
	pikAddressDisplay : string = '' ; 
	delLocType : string = '' ; 
	delAddress : string = '' ; 
	delAddressDisplay : string = '' ; 
	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List Id'),headerTooltip: this.l('Part List Id'),field: 'partListId',flex: 1},
			{headerName: this.l('Prod Line'),headerTooltip: this.l('Prod Line'),field: 'prodLine',flex: 1},
			{headerName: this.l('Grade'),headerTooltip: this.l('Grade'),field: 'grade',flex: 1},
			{headerName: this.l('Usage Qty'),headerTooltip: this.l('Usage Qty'),field: 'usageQty',flex: 1},
			{headerName: this.l('Model'),headerTooltip: this.l('Model'),field: 'model',flex: 1},
			{headerName: this.l('Module'),headerTooltip: this.l('Module'),field: 'module',flex: 1},
			{headerName: this.l('Pik Loc Type'),headerTooltip: this.l('Pik Loc Type'),field: 'pikLocType',flex: 1},
			{headerName: this.l('Pik Address'),headerTooltip: this.l('Pik Address'),field: 'pikAddress',flex: 1},
			{headerName: this.l('Pik Address Display'),headerTooltip: this.l('Pik Address Display'),field: 'pikAddressDisplay',flex: 1},
			{headerName: this.l('Del Loc Type'),headerTooltip: this.l('Del Loc Type'),field: 'delLocType',flex: 1},
			{headerName: this.l('Del Address'),headerTooltip: this.l('Del Address'),field: 'delAddress',flex: 1},
			{headerName: this.l('Del Address Display'),headerTooltip: this.l('Del Address Display'),field: 'delAddressDisplay',flex: 1},
			{headerName: this.l('Sorting'),headerTooltip: this.l('Sorting'),field: 'sorting',flex: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this.partName = '',
		this.partListId = '',
		this.prodLine = '',
		this.grade = '',
		this.usageQty = 0,
		this.model = '',
		this.module = '',
		this.pikLocType = '',
		this.pikAddress = '',
		this.pikAddressDisplay = '',
		this.delLocType = '',
		this.delAddress = '',
		this.delAddressDisplay = '',
		this.sorting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			'',
            this.paginationParams.skipCount,
            this.paginationParams.pageSize
        );
    }
    onChangeRowSelection(params: { api: { getSelectedRows: () =&gt; MstLgaBp2PartListDto[] } }) {
        this.saveSelectedRow = params.api.getSelectedRows()[0] ?? new MstLgaBp2PartListDto();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this._service.getBp2PartListToExcel(
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Part List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[(ngModel)]='pikLocType' name='pikLocType'
									class='form-control' [placeholder]="l('Pik Loc Type')"
									type='text' (keyup.enter)='searchDatas()'&gt;
								&lt;/div&gt;
								&lt;div class='input-search'&gt;
									&lt;input [(ngModel)]='pikAddress' name='pikAddress'
									class='form-control' [placeholder]="l('Pik Address')"
									type='text' (keyup.enter)='searchDatas()'&gt;
								&lt;/div&gt;
								&lt;div class='input-search'&gt;
									&lt;input [(ngModel)]='pikAddressDisplay' name='pikAddressDisplay'
									class='form-control' [placeholder]="l('Pik Address Display')"
									type='text' (keyup.enter)='searchDatas()'&gt;
								&lt;/div&gt;
								&lt;div class='input-search'&gt;
									&lt;input [(ngModel)]='delLocType' name='delLocType'
									class='form-control' [placeholder]="l('Del Loc Type')"
									type='text' (keyup.enter)='searchDatas()'&gt;
								&lt;/div&gt;
								&lt;div class='input-search'&gt;
									&lt;input [(ngModel)]='delAddress' name='delAddress'
									class='form-control' [placeholder]="l('Del Address')"
									type='text' (keyup.enter)='searchDatas()'&gt;
								&lt;/div&gt;
								&lt;div class='input-search'&gt;
									&lt;input [(ngModel)]='delAddressDisplay' name='delAddressDisplay'
									class='form-control' [placeholder]="l('Del Address Display')"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&lt;create-or-edit-bp2partlist-modal
    #createOrEditModalBp2PartList
    (modalSave)="callBackDataGrid(dataParams)"
    (modalClose)="onChangeRowSelection(dataParams)"
&gt;
&lt;/create-or-edit-bp2partlist-modal&gt;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#createOrEditModalBp2PartList="bs-modal"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Bp2PartList')}}&lt;/h3&gt;
                    &lt;h3 *ngIf="!rowdata.id"&gt;{{('Create New Bp2PartList')}}&lt;/h3&gt;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title'&gt;Pik Loc Type&lt;/label&gt;
						&lt;input type='text' class='col-md-10 form-control input-text' name='PikLocType' [(ngModel)]='rowdata.pikLocType'&gt;
					&lt;/div&gt;
					&lt;div class='col-md-12 form-group row'&gt;
						&lt;label class='col-md-2 form-control title'&gt;Pik Address&lt;/label&gt;
						&lt;input type='text' class='col-md-10 form-control input-text' name='PikAddress' [(ngModel)]='rowdata.pikAddress'&gt;
					&lt;/div&gt;
					&lt;div class='col-md-12 form-group row'&gt;
						&lt;label class='col-md-2 form-control title'&gt;Pik Address Display&lt;/label&gt;
						&lt;input type='text' class='col-md-10 form-control input-text' name='PikAddressDisplay' [(ngModel)]='rowdata.pikAddressDisplay'&gt;
					&lt;/div&gt;
					&lt;div class='col-md-12 form-group row'&gt;
						&lt;label class='col-md-2 form-control title'&gt;Del Loc Type&lt;/label&gt;
						&lt;input type='text' class='col-md-10 form-control input-text' name='DelLocType' [(ngModel)]='rowdata.delLocType'&gt;
					&lt;/div&gt;
					&lt;div class='col-md-12 form-group row'&gt;
						&lt;label class='col-md-2 form-control title'&gt;Del Address&lt;/label&gt;
						&lt;input type='text' class='col-md-10 form-control input-text' name='DelAddress' [(ngModel)]='rowdata.delAddress'&gt;
					&lt;/div&gt;
					&lt;div class='col-md-12 form-group row'&gt;
						&lt;label class='col-md-2 form-control title'&gt;Del Address Display&lt;/label&gt;
						&lt;input type='text' class='col-md-10 form-control input-text' name='DelAddressDisplay' [(ngModel)]='rowdata.delAddressDisplay'&gt;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CreateOrEditMstLgaBp2PartListDto, MstLgaBp2PartListServiceProxy } from '@shared/service-proxies/service-proxies';
import { BsDatepickerDirective } from 'ngx-bootstrap/datepicker';
@Component({
    selector: 'create-or-edit-bp2partlist-modal',
    templateUrl: './create-or-edit-bp2partlist-modal.component.html',
    styleUrls: ['./create-or-edit-bp2partlist-modal.component.less']
    })
export class CreateOrEditBp2PartListModalComponent extends AppComponentBase {
    @ViewChild('createOrEditModalBp2PartList',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CreateOrEditMstLgaBp2PartListDto = new CreateOrEditMstLgaBp2PartListDto();
    active: boolean = false;
    saving: boolean = false;
    _isActive: boolean;
    constructor(
        injector: Injector,
        private _mstwptBp2PartListService: MstLgaBp2PartListServiceProxy,
    ) 
    {
        super(injector);
    }
    show(rowdata?: CreateOrEditMstLgaBp2PartListDto): void {
        if (!rowdata) this.rowdata = new CreateOrEditMstLgaBp2PartListDto();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Bp2PartListRoutingModule } from './bp2partlist-routing.module';
import { Bp2PartListComponent } from './bp2partlist.component';
import { CreateOrEditBp2PartListModalComponent } from './create-or-edit-bp2partlist-modal.component';
@NgModule({
    declarations: [
       Bp2PartListComponent, 
        CreateOrEditBp2PartListModalComponent
    ],
    imports: [
        AppSharedModule, Bp2PartListRoutingModule]
})
export class Bp2PartListModule {}</v>
      </c>
      <c r="J65" s="49" t="str">
        <f>B.Frontend!O10</f>
        <v>import {NgModule} from '@angular/core';
import {RouterModule, Routes} from '@angular/router';
import { Bp2PartListComponent } from './bp2partlist.component';
const routes: Routes = [{
    path: '',
    component: Bp2PartListComponent,
    pathMatch: 'full'
}];
@NgModule({
    imports: [RouterModule.forChild(routes)],
    exports: [RouterModule],
})
export class Bp2PartListRoutingModule {}</v>
      </c>
      <c r="K65" s="49" t="str">
        <f>B.Frontend!P10</f>
        <v xml:space="preserve"> new AppMenuItem("Bp2PartList", "Pages.Master.LogA.Bp2PartList", "flaticon-book",   "/app/main/master/loga/bp2partlist"),</v>
      </c>
      <c r="L65" s="50" t="str">
        <f>B.Frontend!Q10</f>
        <v>{
    path: 'master/loga/bp2partlist',
    loadChildren: () =&gt; import('./master/loga/bp2partlist/bp2partlist.module').then(m =&gt; m.Bp2PartListModule),
    data: { permission: 'Pages.Master.LogA.Bp2PartList' }
},</v>
      </c>
      <c r="M65" s="48" t="str">
        <f>B.Frontend!R10</f>
        <v>ApiServiceProxies.MstLgaBp2PartListServiceProxy,</v>
      </c>
    </row>
    <row r="67" spans="2:13" x14ac:dyDescent="0.2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W27"/>
  <sheetViews>
    <sheetView workbookViewId="0">
      <pane xSplit="1" topLeftCell="B1" activePane="topRight" state="frozen"/>
      <selection pane="topRight" activeCell="A14" sqref="A14"/>
    </sheetView>
  </sheetViews>
  <sheetFormatPr baseColWidth="10" defaultColWidth="9.1640625" defaultRowHeight="15" x14ac:dyDescent="0.2"/>
  <cols>
    <col min="1" max="1" width="20.83203125" style="8" customWidth="1"/>
    <col min="2" max="2" width="20.5" style="9" customWidth="1"/>
    <col min="3" max="3" width="19.5" style="8" customWidth="1"/>
    <col min="4" max="4" width="23.5" style="8" customWidth="1"/>
    <col min="5" max="5" width="14.5" style="8" customWidth="1"/>
    <col min="6" max="6" width="14.83203125" style="8" customWidth="1"/>
    <col min="7" max="7" width="17.33203125" style="8" bestFit="1" customWidth="1"/>
    <col min="8" max="8" width="15" style="8" customWidth="1"/>
    <col min="9" max="9" width="16" style="8" customWidth="1"/>
    <col min="10" max="10" width="15.83203125" style="8" customWidth="1"/>
    <col min="11" max="11" width="16" style="8" customWidth="1"/>
    <col min="12" max="12" width="16.6640625" style="8" customWidth="1"/>
    <col min="13" max="13" width="17.5" style="8" customWidth="1"/>
    <col min="14" max="14" width="16.1640625" style="8" customWidth="1"/>
    <col min="15" max="15" width="14.6640625" style="8" customWidth="1"/>
    <col min="16" max="16" width="16" style="8" customWidth="1"/>
    <col min="17" max="17" width="15.6640625" style="8" customWidth="1"/>
    <col min="18" max="18" width="19.5" style="8" customWidth="1"/>
    <col min="19" max="19" width="20.5" style="8" customWidth="1"/>
    <col min="20" max="20" width="17" style="8" customWidth="1"/>
    <col min="21" max="21" width="14" style="8" customWidth="1"/>
    <col min="22" max="22" width="15.1640625" style="8" customWidth="1"/>
    <col min="23" max="23" width="27.83203125" style="9" customWidth="1"/>
    <col min="24" max="16384" width="9.1640625" style="8"/>
  </cols>
  <sheetData>
    <row r="1" spans="1:23" s="11" customFormat="1" ht="14.25" customHeight="1" x14ac:dyDescent="0.2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ht="16" x14ac:dyDescent="0.2">
      <c r="A2" s="1" t="s">
        <v>12</v>
      </c>
      <c r="B2" s="30" t="s">
        <v>322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">
      <c r="A3" s="1" t="s">
        <v>5</v>
      </c>
      <c r="B3" s="30" t="s">
        <v>327</v>
      </c>
      <c r="C3" s="10" t="s">
        <v>43</v>
      </c>
      <c r="D3" s="10" t="s">
        <v>44</v>
      </c>
      <c r="E3" s="10" t="s">
        <v>39</v>
      </c>
      <c r="F3" s="11" t="str">
        <f>"J"&amp;COUNTA($A:$A)</f>
        <v>J25</v>
      </c>
      <c r="G3" s="4" t="s">
        <v>57</v>
      </c>
      <c r="H3" s="10" t="str">
        <f>"I"&amp;COUNTA($A:$A)</f>
        <v>I25</v>
      </c>
      <c r="I3" s="10" t="str">
        <f>REPT(CHAR(9),2)&amp;"[Required]"&amp;"
"</f>
        <v xml:space="preserve">		[Required]
</v>
      </c>
      <c r="J3" s="11" t="str">
        <f>"L"&amp;COUNTA($A:$A)</f>
        <v>L25</v>
      </c>
      <c r="K3" s="5" t="s">
        <v>56</v>
      </c>
      <c r="L3" s="11" t="str">
        <f>"M"&amp;COUNTA($A:$A)</f>
        <v>M25</v>
      </c>
      <c r="M3" s="11" t="str">
        <f>"N"&amp;COUNTA($A:$A)</f>
        <v>N25</v>
      </c>
      <c r="N3" s="11" t="str">
        <f>"O"&amp;COUNTA($A:$A)</f>
        <v>O25</v>
      </c>
      <c r="O3" s="11" t="str">
        <f>"P"&amp;COUNTA($A:$A)</f>
        <v>P25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MstLgaBp2PartListExportInput{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T25</v>
      </c>
      <c r="V3" s="11" t="str">
        <f>"V"&amp;COUNTA($A:$A)</f>
        <v>V25</v>
      </c>
      <c r="W3" s="10" t="str">
        <f>"W"&amp;COUNTA($A:$A)</f>
        <v>W25</v>
      </c>
    </row>
    <row r="4" spans="1:23" s="11" customFormat="1" ht="33" customHeight="1" x14ac:dyDescent="0.2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">
      <c r="A5" s="1" t="s">
        <v>238</v>
      </c>
      <c r="B5" s="64" t="s">
        <v>328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MstLgaBp2PartList: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MstLgaBp2PartListConsts	
	{
</v>
      </c>
      <c r="F6" s="11" t="str">
        <f>REPT(CHAR(9),1)&amp;"public class "&amp;B3&amp;"Dto"&amp;K3&amp;REPT(CHAR(9),1)&amp;"
"&amp;REPT(CHAR(9),1)&amp;C3</f>
        <v xml:space="preserve">	public class MstLgaBp2PartListDto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CreateOrEditMstLgaBp2PartListDto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GetMstLgaBp2PartListInput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">
      <c r="A7" s="1" t="s">
        <v>13</v>
      </c>
      <c r="B7" s="10" t="str">
        <f>B3</f>
        <v>MstLgaBp2PartList</v>
      </c>
      <c r="C7" s="11" t="str">
        <f>REPT(CHAR(9),1)&amp;"[Table("""&amp;B7&amp;""")]"&amp;"
"</f>
        <v xml:space="preserve">	[Table("MstLgaBp2PartList")]
</v>
      </c>
      <c r="D7" s="11"/>
      <c r="E7" s="11"/>
      <c r="F7" s="11"/>
      <c r="G7" s="11"/>
      <c r="H7" s="11"/>
      <c r="I7" s="11"/>
      <c r="J7" s="6" t="str">
        <f ca="1">SUBSTITUTE(SUBSTITUTE((B1&amp;C6&amp;C7&amp;K27&amp;D6&amp;I27&amp;E3&amp;J27&amp;""&amp;REPT(CHAR(9),1)&amp;D3&amp;D3),"WorkingPattern",$Q$3),"Master",$B$4)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[Table("MstLgaBp2PartList")]
	[Index(nameof(IsActive), Name="IX_MstLgaBp2PartList_IsActive")]	public class MstLgaBp2PartList: FullAuditedEntity&lt;long&gt;, IEntity&lt;long&gt;	
	{
		public const int MaxPartNoLength = 50;
		public const int MaxPartNameLength = 500;
		public const int MaxProdLineLength = 50;
		public const int MaxGradeLength = 50;
		public const int MaxModelLength = 50;
		public const int MaxModuleLength = 50;
		public const int MaxPikLocTypeLength = 50;
		public const int MaxPikAddressLength = 50;
		public const int MaxPikAddressDisplayLength = 50;
		public const int MaxDelLocTypeLength = 50;
		public const int MaxDelAddressLength = 50;
		public const int MaxDelAddressDisplayLength = 50;
		public const int MaxRemarkLength = 500;
		public const int MaxIsActiveLength = 1;
		[StringLength(MaxPartNoLength)]
		public virtual string PartNo { get; set; }
		[StringLength(MaxPartNameLength)]
		public virtual string PartName { get; set; }
		[Column(TypeName="bigint")]
		public virtual long PartListId { get; set; }
		[StringLength(MaxProdLineLength)]
		public virtual string ProdLine { get; set; }
		[StringLength(MaxGradeLength)]
		public virtual string Grade { get; set; }
		public virtual int UsageQty { get; set; }
		[StringLength(MaxModelLength)]
		public virtual string Model { get; set; }
		[StringLength(MaxModuleLength)]
		public virtual string Module { get; set; }
		[StringLength(MaxPikLocTypeLength)]
		public virtual string PikLocType { get; set; }
		[StringLength(MaxPikAddressLength)]
		public virtual string PikAddress { get; set; }
		[StringLength(MaxPikAddressDisplayLength)]
		public virtual string PikAddressDisplay { get; set; }
		[StringLength(MaxDelLocTypeLength)]
		public virtual string DelLocType { get; set; }
		[StringLength(MaxDelAddressLength)]
		public virtual string DelAddress { get; set; }
		[StringLength(MaxDelAddressDisplayLength)]
		public virtual string DelAddressDisplay { get; set; }
		public virtual int Sorting { get; set; }
		[StringLength(MaxRemarkLength)]
		public virtual string Remark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DbSet&lt;MstLgaBp2PartList&gt; MstLgaBp2PartLists { get; set; }</v>
      </c>
      <c r="L7" t="str">
        <f ca="1">SUBSTITUTE(SUBSTITUTE((C6&amp;E6&amp;I27&amp;"
"&amp;REPT(CHAR(9),2)&amp;"// Define Store Name: Format SP_ + &lt;Store Name&gt; = &lt;Store Name&gt;
"&amp;E3&amp;REPT(CHAR(9),1)&amp;D3&amp;D3),"WorkingPattern",$Q$3),"Master",$B$4)</f>
        <v xml:space="preserve">namespace vovina.Master.LogA
{
	public class MstLgaBp2PartListConsts	
	{
		public const int MaxPartNoLength = 50;
		public const int MaxPartNameLength = 500;
		public const int MaxProdLineLength = 50;
		public const int MaxGradeLength = 50;
		public const int MaxModelLength = 50;
		public const int MaxModuleLength = 50;
		public const int MaxPikLocTypeLength = 50;
		public const int MaxPikAddressLength = 50;
		public const int MaxPikAddressDisplayLength = 50;
		public const int MaxDelLocTypeLength = 50;
		public const int MaxDelAddressLength = 50;
		public const int MaxDelAddressDisplayLength = 50;
		public const int MaxRemarkLength = 500;
		public const int MaxIsActiveLength = 1;
		// Define Store Name: Format SP_ + &lt;Store Name&gt; = &lt;Store Name&gt;
	}
}
</v>
      </c>
      <c r="M7" t="str">
        <f ca="1">SUBSTITUTE(SUBSTITUTE((C1&amp;"namespace "&amp;B6&amp;".Dto"&amp;E3&amp;C3&amp;F6&amp;M27&amp;E3&amp;REPT(CHAR(9),1)&amp;D3&amp;G6&amp;N27&amp;REPT(CHAR(9),1)&amp;D3&amp;H6&amp;O27&amp;"
"&amp;REPT(CHAR(9),1)&amp;D3&amp;D3),"WorkingPattern",$Q$3),"Master",$B$4)</f>
        <v xml:space="preserve">using Abp.Application.Services.Dto;
using System;
using System.ComponentModel.DataAnnotations;
namespace vovina.Master.LogA.Dto
{
	public class MstLgaBp2PartListDto : EntityDto&lt;long?&gt;	
	{
		public virtual string PartNo { get; set; }
		public virtual string PartName { get; set; }
		public virtual long PartListId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	public class CreateOrEditMstLgaBp2PartListDto : EntityDto&lt;long?&gt;	
	{
		[StringLength(MstLgaBp2PartListConsts.MaxPartNoLength)]
		public virtual string PartNo { get; set; }
		[StringLength(MstLgaBp2PartListConsts.MaxPartNameLength)]
		public virtual string PartName { get; set; }
		public virtual long PartListId { get; set; }
		[StringLength(MstLgaBp2PartListConsts.MaxProdLineLength)]
		public virtual string ProdLine { get; set; }
		[StringLength(MstLgaBp2PartListConsts.MaxGradeLength)]
		public virtual string Grade { get; set; }
		public virtual int UsageQty { get; set; }
		[StringLength(MstLgaBp2PartListConsts.MaxModelLength)]
		public virtual string Model { get; set; }
		[StringLength(MstLgaBp2PartListConsts.MaxModuleLength)]
		public virtual string Module { get; set; }
		[StringLength(MstLgaBp2PartListConsts.MaxPikLocTypeLength)]
		public virtual string PikLocType { get; set; }
		[StringLength(MstLgaBp2PartListConsts.MaxPikAddressLength)]
		public virtual string PikAddress { get; set; }
		[StringLength(MstLgaBp2PartListConsts.MaxPikAddressDisplayLength)]
		public virtual string PikAddressDisplay { get; set; }
		[StringLength(MstLgaBp2PartListConsts.MaxDelLocTypeLength)]
		public virtual string DelLocType { get; set; }
		[StringLength(MstLgaBp2PartListConsts.MaxDelAddressLength)]
		public virtual string DelAddress { get; set; }
		[StringLength(MstLgaBp2PartListConsts.MaxDelAddressDisplayLength)]
		public virtual string DelAddressDisplay { get; set; }
		public virtual int Sorting { get; set; }
		[StringLength(MstLgaBp2PartListConsts.MaxRemarkLength)]
		public virtual string Remark { get; set; }
		[StringLength(MstLgaBp2PartListConsts.MaxIsActiveLength)]
		public virtual string IsActive { get; set; }
	}
	public class GetMstLgaBp2PartListInput : PagedAndSortedResultRequestDto	
	{
		public virtual string PartNo { get; set; }
		public virtual string PartName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perMstLgaBp2PartList = PARENTS.CreateChildPermission(AppPermissions.Pages_Master_LogA_Bp2PartList, L( "MasterLogABp2PartList"), multiTenancySides: MultiTenancySides.Tenant);
		perMstLgaBp2PartList.CreateChildPermission(AppPermissions.Pages_Master_LogA_Bp2PartList_CreateEdit, L( "MasterLogABp2PartListCreateEdit"), multiTenancySides: MultiTenancySides.Tenant);
		perMstLgaBp2PartList.CreateChildPermission(AppPermissions.Pages_Master_LogA_Bp2PartList_Delete, L( "MasterLogABp2PartListDelete"),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Pages_Master_LogA_Bp2PartList = "Pages.Master.LogA.Bp2PartList";
		public const string Pages_Master_LogA_Bp2PartList_CreateEdit = "Pages.Master.LogA.Bp2PartList.CreateEdit";
		public const string Pages_Master_LogA_Bp2PartList_Delete = "Pages.Master.LogA.Bp2PartList.Delete";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IMstLgaBp2PartListAppService : IApplicationService
	{
		Task&lt;PagedResultDto&lt;MstLgaBp2PartListDto&gt;&gt; GetAll(GetMstLgaBp2PartListInput input);
		Task CreateOrEdit(CreateOrEditMstLgaBp2PartListDto input);
		Task Delete(EntityDto input);
	}
}
</v>
      </c>
      <c r="Q7" t="str">
        <f ca="1">SUBSTITUTE(SUBSTITUTE(SUBSTITUTE(SUBSTITUTE(SUBSTITUTE(SUBSTITUTE(E1,"MstWptCalendar",$B$3),"&lt;PROPERTIES&gt;",P27),"Calendar",$B$5),"WorkingPattern",$Q$3),"Master",$B$4),"&lt;PARAMS_SEARCH&gt;",$W$27)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[AbpAuthorize(AppPermissions.Pages_Master_LogA_Bp2PartList)]
    public class MstLgaBp2PartListAppService : vovinaAppServiceBase, IMstLgaBp2PartListAppService
    {
        private readonly IDapperRepository&lt;MstLgaBp2PartList, long&gt; _dapperRepo;
        private readonly IRepository&lt;MstLgaBp2PartList, long&gt; _repo;
        private readonly IMstLgaBp2PartListExcelExporter _calendarListExcelExporter;
        public MstLgaBp2PartListAppService(IRepository&lt;MstLgaBp2PartList,long&gt; repo, 
                                         IDapperRepository&lt;MstLgaBp2PartList,long&gt; dapperRepo,
                                        IMstLgaBp2PartListExcelExporter calendarListExcelExporter
            )
        {
            _repo = repo;
            _dapperRepo = dapperRepo;
            _calendarListExcelExporter = calendarListExcelExporter;
        }
        [AbpAuthorize(AppPermissions.Pages_Master_LogA_Bp2PartList_CreateEdit)]
        public async Task CreateOrEdit(CreateOrEditMstLgaBp2PartListDto input)
        {
            if (input.Id == null) await Create(input);
            else await Update(input);
        }
        //CREATE
        private async Task Create(CreateOrEditMstLgaBp2PartListDto input)
        {          
            var mainObj = ObjectMapper.Map&lt;MstLgaBp2PartList&gt;(input);
            await CurrentUnitOfWork.GetDbContext&lt;vovinaDbContext&gt;().AddAsync(mainObj);
        }
        // EDIT
        private async Task Update(CreateOrEditMstLgaBp2PartListDto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[AbpAuthorize(AppPermissions.Pages_Master_LogA_Bp2PartList_Delete)]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Task&lt;PagedResultDto&lt;MstLgaBp2PartListDto&gt;&gt; GetAll(GetMstLgaBp2PartListInput input)
        {
            var filtered = _repo.GetAll()
				.WhereIf(!string.IsNullOrWhiteSpace(input.PartNo), e =&gt; e.PartNo.Contains(input.PartNo))
				.WhereIf(!string.IsNullOrWhiteSpace(input.PartName), e =&gt; e.PartName.Contains(input.PartName))
				.WhereIf(!string.IsNullOrWhiteSpace(input.ProdLine), e =&gt; e.ProdLine.Contains(input.ProdLine))
				.WhereIf(!string.IsNullOrWhiteSpace(input.Grade), e =&gt; e.Grade.Contains(input.Grade))
				.WhereIf(!string.IsNullOrWhiteSpace(input.Model), e =&gt; e.Model.Contains(input.Model))
				.WhereIf(!string.IsNullOrWhiteSpace(input.Module), e =&gt; e.Module.Contains(input.Module))
				.WhereIf(!string.IsNullOrWhiteSpace(input.PikLocType), e =&gt; e.PikLocType.Contains(input.PikLocType))
				.WhereIf(!string.IsNullOrWhiteSpace(input.PikAddress), e =&gt; e.PikAddress.Contains(input.PikAddress))
				.WhereIf(!string.IsNullOrWhiteSpace(input.PikAddressDisplay), e =&gt; e.PikAddressDisplay.Contains(input.PikAddressDisplay))
				.WhereIf(!string.IsNullOrWhiteSpace(input.DelLocType), e =&gt; e.DelLocType.Contains(input.DelLocType))
				.WhereIf(!string.IsNullOrWhiteSpace(input.DelAddress), e =&gt; e.DelAddress.Contains(input.DelAddress))
				.WhereIf(!string.IsNullOrWhiteSpace(input.DelAddressDisplay), e =&gt; e.DelAddressDisplay.Contains(input.DelAddressDisplay))
				.WhereIf(!string.IsNullOrWhiteSpace(input.Remark), e =&gt; e.Remark.Contains(input.Remark))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MstLgaBp2PartListDto
                        {
							Id = o.Id,
							PartNo = o.PartNo,
							PartName = o.PartName,
							PartListId = o.PartListId,
							ProdLine = o.ProdLine,
							Grade = o.Grade,
							UsageQty = o.UsageQty,
							Model = o.Model,
							Module = o.Module,
							PikLocType = o.PikLocType,
							PikAddress = o.PikAddress,
							PikAddressDisplay = o.PikAddressDisplay,
							DelLocType = o.DelLocType,
							DelAddress = o.DelAddress,
							DelAddressDisplay = o.DelAddressDisplay,
							Sorting = o.Sorting,
							Remark = o.Remark,
							IsActive = o.IsActive,
                        };
            var totalCount = await filtered.CountAsync();
			var paged = system.PageBy(input);
            return new PagedResultDto&lt;MstLgaBp2PartListDto&gt;(
                totalCount,
                 await paged.ToListAsync()
            );
        }
        public async Task&lt;FileDto&gt; GetBp2PartListToExcel(MstLgaBp2PartListExportInput input)
        {
            var query = from o in _repo.GetAll()
                        select new MstLgaBp2PartListDto
                        {
							Id = o.Id,
							PartNo = o.PartNo,
							PartName = o.PartName,
							PartListId = o.PartListId,
							ProdLine = o.ProdLine,
							Grade = o.Grade,
							UsageQty = o.UsageQty,
							Model = o.Model,
							Module = o.Module,
							PikLocType = o.PikLocType,
							PikAddress = o.PikAddress,
							PikAddressDisplay = o.PikAddressDisplay,
							DelLocType = o.DelLocType,
							DelAddress = o.DelAddress,
							DelAddressDisplay = o.DelAddressDisplay,
							Sorting = o.Sorting,
							Remark = o.Remark,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_dapperRepo.ExecuteAsync(MstLgaBp2PartListConsts.SP_MST_WPT_CALENDAR_GENERATE);
       // }
    }
}</v>
      </c>
      <c r="R7" t="str">
        <f ca="1">SUBSTITUTE(SUBSTITUTE((C1&amp;"namespace "&amp;B6&amp;".Dto"&amp;E3&amp;C3&amp;R3&amp;M27&amp;E3&amp;REPT(CHAR(9),1)&amp;D3&amp;D3),"WorkingPattern",$Q$3),"Master",$B$4)</f>
        <v xml:space="preserve">using Abp.Application.Services.Dto;
using System;
using System.ComponentModel.DataAnnotations;
namespace vovina.Master.LogA.Dto
{
	public class MstLgaBp2PartListExportInput{
		public virtual string PartNo { get; set; }
		public virtual string PartName { get; set; }
		public virtual long PartListId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IMstLgaBp2PartListExcelExporter : IApplicationService
	{
		FileDto ExportToFile(List&lt;MstLgaBp2PartListDto&gt; mstlgabp2partlist);
	}
}
</v>
      </c>
      <c r="T7" s="28" t="str">
        <f ca="1">SUBSTITUTE(SUBSTITUTE(SUBSTITUTE(SUBSTITUTE(SUBSTITUTE(SUBSTITUTE(SUBSTITUTE(T1,"MstWptCalendar",$B$3),"&lt;PROPERTIES1&gt;",V27),"&lt;PROPERTIES&gt;",T27),"Calendar",$B$5),"calendar",LOWER(B5)),"WorkingPattern",$Q$3),"Master",$B$4)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MstLgaBp2PartListExcelExporter : NpoiExcelExporterBase, IMstLgaBp2PartListExcelExporter
    {
        public MstLgaBp2PartListExcelExporter(ITempFileCacheManager tempFileCacheManager) : base(tempFileCacheManager) { }
        public FileDto ExportToFile(List&lt;MstLgaBp2PartListDto&gt; bp2partlist)
        {
            return CreateExcelPackage(
				"MasterLogABp2PartList.xlsx",
				excelPackage =&gt;
				 {
					var sheet = excelPackage.CreateSheet("Bp2PartList");
					AddHeader(
								sheet,
								("PartNo"),
								("PartName"),
								("PartListId"),
								("ProdLine"),
								("Grade"),
								("UsageQty"),
								("Model"),
								("Module"),
								("PikLocType"),
								("PikAddress"),
								("PikAddressDisplay"),
								("DelLocType"),
								("DelAddress"),
								("DelAddressDisplay"),
								("Sorting"),
								("Remark"),
								("IsActive"),
							   );
					AddObjects(
						 sheet, 1, bp2partlist,                                       
								_ =&gt; _.PartNo,
								_ =&gt; _.PartName,
								_ =&gt; _.PartListId,
								_ =&gt; _.ProdLine,
								_ =&gt; _.Grade,
								_ =&gt; _.UsageQty,
								_ =&gt; _.Model,
								_ =&gt; _.Module,
								_ =&gt; _.PikLocType,
								_ =&gt; _.PikAddress,
								_ =&gt; _.PikAddressDisplay,
								_ =&gt; _.DelLocType,
								_ =&gt; _.DelAddress,
								_ =&gt; _.DelAddressDisplay,
								_ =&gt; _.Sorting,
								_ =&gt; _.Remark,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configuration.CreateMap&lt;MstLgaBp2PartListDto, MstLgaBp2PartList&gt;();
  configuration.CreateMap&lt;MstLgaBp2PartList, MstLgaBp2PartListDto&gt;();
  configuration.CreateMap&lt;CreateOrEditMstLgaBp2PartListDto, MstLgaBp2PartList&gt;();</v>
      </c>
      <c r="V7" s="28"/>
      <c r="W7" s="28"/>
    </row>
    <row r="8" spans="1:23" s="2" customFormat="1" ht="16" x14ac:dyDescent="0.2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22.5" customHeight="1" x14ac:dyDescent="0.2">
      <c r="A9" t="s">
        <v>330</v>
      </c>
      <c r="B9" t="s">
        <v>321</v>
      </c>
      <c r="C9" t="s">
        <v>1</v>
      </c>
      <c r="D9" t="str">
        <f>SUBSTITUTE(PROPER(A9),"_","")</f>
        <v>PartNo</v>
      </c>
      <c r="E9" t="str">
        <f t="shared" ref="E9" si="0">IFERROR(LEFT(B9, FIND("(",B9)-1),B9)</f>
        <v>varchar</v>
      </c>
      <c r="F9" s="7"/>
      <c r="G9" t="str">
        <f t="shared" ref="G9" si="1">IFERROR(MID(B9,FIND("(",B9) +1, FIND(")",B9) - FIND("(",B9) - 1),"")</f>
        <v>50</v>
      </c>
      <c r="H9" t="str">
        <f>+VLOOKUP(E9,'Data Type Mapping'!A:B,2,)</f>
        <v>string</v>
      </c>
      <c r="I9" t="str">
        <f t="shared" ref="I9" si="2">IF(H9="string",REPT(CHAR(9),2)&amp;"public const int Max"&amp;D9&amp;"Length = "&amp;G9&amp;";"&amp;$E$3,"" )</f>
        <v xml:space="preserve">		public const int MaxPartNoLength = 50;
</v>
      </c>
      <c r="J9" t="str">
        <f t="shared" ref="J9" si="3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[StringLength(MaxPartNoLength)]
		public virtual string PartNo { get; set; }
</v>
      </c>
      <c r="K9" s="7"/>
      <c r="L9" t="str">
        <f>IF(K9="","",REPT(CHAR(9),1)&amp;"[Index(nameof("&amp;IF(D9="","",""&amp;D9)&amp;")"&amp;", Name="&amp;"""IX_"&amp;$B$7&amp;"_"&amp;D9&amp;""")]")</f>
        <v/>
      </c>
      <c r="M9" t="str">
        <f t="shared" ref="M9" si="4">REPT(CHAR(9),2)&amp;"public virtual "&amp;IF(OR(H9="DateTime",H9="TimeSpan"),H9&amp;"?",H9)&amp;IF(C9="?","? "," ")&amp;D9&amp;" { get; set; }" &amp; "
"</f>
        <v xml:space="preserve">		public virtual string PartNo { get; set; }
</v>
      </c>
      <c r="N9" t="str">
        <f t="shared" ref="N9" si="5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[StringLength(MstLgaBp2PartListConsts.MaxPartNoLength)]
		public virtual string PartNo { get; set; }
</v>
      </c>
      <c r="O9" t="str">
        <f t="shared" ref="O9" si="6">IF(OR(H9="string",H9="DateTime",H9="int"),REPT(CHAR(9),2)&amp;"public virtual "&amp;IF(OR(H9="DateTime",H9="TimeSpan"),H9&amp;"?",H9)&amp;IF(C9="?","? "," ")&amp;D9&amp;" { get; set; }"&amp;$E$3,"")</f>
        <v xml:space="preserve">		public virtual string PartNo { get; set; }
</v>
      </c>
      <c r="P9" t="str">
        <f t="shared" ref="P9" si="7">REPT(CHAR(9),7)&amp;D9&amp;" = o." &amp;D9 &amp;","</f>
        <v xml:space="preserve">							PartNo = o.PartNo,</v>
      </c>
      <c r="T9" s="69" t="str">
        <f t="shared" ref="T9" si="8">REPT(CHAR(9),8)&amp;"("""&amp;D9&amp;"""),"</f>
        <v xml:space="preserve">								("PartNo"),</v>
      </c>
      <c r="V9" s="70" t="str">
        <f t="shared" ref="V9" si="9">REPT(CHAR(9),8)&amp;"_ =&gt; _."&amp;D9&amp;","</f>
        <v xml:space="preserve">								_ =&gt; _.PartNo,</v>
      </c>
      <c r="W9" s="69" t="str">
        <f t="shared" ref="W9" si="10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.WhereIf(!string.IsNullOrWhiteSpace(input.PartNo), e =&gt; e.PartNo.Contains(input.PartNo))</v>
      </c>
    </row>
    <row r="10" spans="1:23" customFormat="1" ht="22.5" customHeight="1" x14ac:dyDescent="0.2">
      <c r="A10" t="s">
        <v>329</v>
      </c>
      <c r="B10" t="s">
        <v>333</v>
      </c>
      <c r="C10" t="s">
        <v>1</v>
      </c>
      <c r="D10" t="str">
        <f>SUBSTITUTE(PROPER(A10),"_","")</f>
        <v>PartName</v>
      </c>
      <c r="E10" t="str">
        <f t="shared" ref="E10:E25" si="11">IFERROR(LEFT(B10, FIND("(",B10)-1),B10)</f>
        <v>varchar</v>
      </c>
      <c r="F10" s="7"/>
      <c r="G10" t="str">
        <f t="shared" ref="G10:G25" si="12">IFERROR(MID(B10,FIND("(",B10) +1, FIND(")",B10) - FIND("(",B10) - 1),"")</f>
        <v>500</v>
      </c>
      <c r="H10" t="str">
        <f>+VLOOKUP(E10,'Data Type Mapping'!A:B,2,)</f>
        <v>string</v>
      </c>
      <c r="I10" t="str">
        <f t="shared" ref="I10:I25" si="13">IF(H10="string",REPT(CHAR(9),2)&amp;"public const int Max"&amp;D10&amp;"Length = "&amp;G10&amp;";"&amp;$E$3,"" )</f>
        <v xml:space="preserve">		public const int MaxPartNameLength = 500;
</v>
      </c>
      <c r="J10" t="str">
        <f t="shared" ref="J10:J25" si="14">IF(F10="","",REPT(CHAR(9),2)&amp;"[Column(TypeName="""&amp;F10&amp;""")]"&amp;$E$3)&amp;IF(C10="Checked","",$I$3)&amp;IF(H10="string",REPT(CHAR(9),2)&amp;"[StringLength(Max"&amp;D10&amp;"Length"&amp;")]"&amp;$E$3,"")&amp;REPT(CHAR(9),2)&amp;"public virtual "&amp;H10&amp;IF(C10="?","? "," ")&amp;D10&amp;" { get; set; }" &amp; "
"</f>
        <v xml:space="preserve">		[StringLength(MaxPartNameLength)]
		public virtual string PartName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ref="M10:M25" si="15">REPT(CHAR(9),2)&amp;"public virtual "&amp;IF(OR(H10="DateTime",H10="TimeSpan"),H10&amp;"?",H10)&amp;IF(C10="?","? "," ")&amp;D10&amp;" { get; set; }" &amp; "
"</f>
        <v xml:space="preserve">		public virtual string PartName { get; set; }
</v>
      </c>
      <c r="N10" t="str">
        <f t="shared" ref="N10:N25" si="16">IF(C10="Checked","",$I$3)&amp;IF(H10="string",REPT(CHAR(9),2)&amp;"[StringLength("&amp;$B$3&amp;"Consts.Max"&amp;D10&amp;"Length"&amp;")]"&amp;$E$3,"")&amp;REPT(CHAR(9),2)&amp;"public virtual "&amp;IF(OR(H10="DateTime",H10="TimeSpan"),H10&amp;"?",H10)&amp;IF(C10="?","? "," ")&amp;D10&amp;" { get; set; }" &amp; "
"</f>
        <v xml:space="preserve">		[StringLength(MstLgaBp2PartListConsts.MaxPartNameLength)]
		public virtual string PartName { get; set; }
</v>
      </c>
      <c r="O10" t="str">
        <f t="shared" ref="O10:O25" si="17">IF(OR(H10="string",H10="DateTime",H10="int"),REPT(CHAR(9),2)&amp;"public virtual "&amp;IF(OR(H10="DateTime",H10="TimeSpan"),H10&amp;"?",H10)&amp;IF(C10="?","? "," ")&amp;D10&amp;" { get; set; }"&amp;$E$3,"")</f>
        <v xml:space="preserve">		public virtual string PartName { get; set; }
</v>
      </c>
      <c r="P10" t="str">
        <f t="shared" ref="P10:P25" si="18">REPT(CHAR(9),7)&amp;D10&amp;" = o." &amp;D10 &amp;","</f>
        <v xml:space="preserve">							PartName = o.PartName,</v>
      </c>
      <c r="T10" s="69" t="str">
        <f t="shared" ref="T10:T25" si="19">REPT(CHAR(9),8)&amp;"("""&amp;D10&amp;"""),"</f>
        <v xml:space="preserve">								("PartName"),</v>
      </c>
      <c r="V10" s="70" t="str">
        <f t="shared" ref="V10:V25" si="20">REPT(CHAR(9),8)&amp;"_ =&gt; _."&amp;D10&amp;","</f>
        <v xml:space="preserve">								_ =&gt; _.PartName,</v>
      </c>
      <c r="W10" s="69" t="str">
        <f t="shared" ref="W10:W25" si="21">IF(H10="string",REPT(CHAR(9),4)&amp;".WhereIf(!string.IsNullOrWhiteSpace(input."&amp;D10&amp;"), e =&gt; e."&amp;D10&amp;".Contains(input."&amp;D10&amp;"))",IF(H10="DateTime",REPT(CHAR(9),4)&amp;".WhereIf(input."&amp;D10&amp;".HasValue, t =&gt; t."&amp;D10&amp;" == input."&amp;D10&amp;".Value)",""))</f>
        <v xml:space="preserve">				.WhereIf(!string.IsNullOrWhiteSpace(input.PartName), e =&gt; e.PartName.Contains(input.PartName))</v>
      </c>
    </row>
    <row r="11" spans="1:23" customFormat="1" ht="22.5" customHeight="1" x14ac:dyDescent="0.2">
      <c r="A11" t="s">
        <v>331</v>
      </c>
      <c r="B11" t="s">
        <v>0</v>
      </c>
      <c r="C11" t="s">
        <v>1</v>
      </c>
      <c r="D11" t="str">
        <f>SUBSTITUTE(PROPER(A11),"_","")</f>
        <v>PartListId</v>
      </c>
      <c r="E11" t="str">
        <f t="shared" ref="E11" si="22">IFERROR(LEFT(B11, FIND("(",B11)-1),B11)</f>
        <v>bigint</v>
      </c>
      <c r="F11" s="7" t="s">
        <v>0</v>
      </c>
      <c r="G11" t="str">
        <f t="shared" ref="G11" si="23">IFERROR(MID(B11,FIND("(",B11) +1, FIND(")",B11) - FIND("(",B11) - 1),"")</f>
        <v/>
      </c>
      <c r="H11" t="str">
        <f>+VLOOKUP(E11,'Data Type Mapping'!A:B,2,)</f>
        <v>long</v>
      </c>
      <c r="I11" t="str">
        <f t="shared" ref="I11" si="24">IF(H11="string",REPT(CHAR(9),2)&amp;"public const int Max"&amp;D11&amp;"Length = "&amp;G11&amp;";"&amp;$E$3,"" )</f>
        <v/>
      </c>
      <c r="J11" t="str">
        <f t="shared" ref="J11" si="25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[Column(TypeName="bigint")]
		public virtual long PartListId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" si="26">REPT(CHAR(9),2)&amp;"public virtual "&amp;IF(OR(H11="DateTime",H11="TimeSpan"),H11&amp;"?",H11)&amp;IF(C11="?","? "," ")&amp;D11&amp;" { get; set; }" &amp; "
"</f>
        <v xml:space="preserve">		public virtual long PartListId { get; set; }
</v>
      </c>
      <c r="N11" t="str">
        <f t="shared" ref="N11" si="27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long PartListId { get; set; }
</v>
      </c>
      <c r="O11" t="str">
        <f t="shared" ref="O11" si="28">IF(OR(H11="string",H11="DateTime",H11="int"),REPT(CHAR(9),2)&amp;"public virtual "&amp;IF(OR(H11="DateTime",H11="TimeSpan"),H11&amp;"?",H11)&amp;IF(C11="?","? "," ")&amp;D11&amp;" { get; set; }"&amp;$E$3,"")</f>
        <v/>
      </c>
      <c r="P11" t="str">
        <f t="shared" ref="P11" si="29">REPT(CHAR(9),7)&amp;D11&amp;" = o." &amp;D11 &amp;","</f>
        <v xml:space="preserve">							PartListId = o.PartListId,</v>
      </c>
      <c r="T11" s="69" t="str">
        <f t="shared" ref="T11" si="30">REPT(CHAR(9),8)&amp;"("""&amp;D11&amp;"""),"</f>
        <v xml:space="preserve">								("PartListId"),</v>
      </c>
      <c r="V11" s="70" t="str">
        <f t="shared" ref="V11" si="31">REPT(CHAR(9),8)&amp;"_ =&gt; _."&amp;D11&amp;","</f>
        <v xml:space="preserve">								_ =&gt; _.PartListId,</v>
      </c>
      <c r="W11" s="69" t="str">
        <f t="shared" ref="W11" si="32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1" customHeight="1" x14ac:dyDescent="0.2">
      <c r="A12" t="s">
        <v>323</v>
      </c>
      <c r="B12" t="s">
        <v>321</v>
      </c>
      <c r="C12" t="s">
        <v>1</v>
      </c>
      <c r="D12" t="str">
        <f t="shared" ref="D12:D16" si="33">SUBSTITUTE(PROPER(A12),"_","")</f>
        <v>ProdLine</v>
      </c>
      <c r="E12" t="str">
        <f t="shared" si="11"/>
        <v>varchar</v>
      </c>
      <c r="F12" s="7"/>
      <c r="G12" t="str">
        <f t="shared" si="12"/>
        <v>50</v>
      </c>
      <c r="H12" t="str">
        <f>+VLOOKUP(E12,'Data Type Mapping'!A:B,2,)</f>
        <v>string</v>
      </c>
      <c r="I12" t="str">
        <f t="shared" si="13"/>
        <v xml:space="preserve">		public const int MaxProdLineLength = 50;
</v>
      </c>
      <c r="J12" t="str">
        <f t="shared" si="14"/>
        <v xml:space="preserve">		[StringLength(MaxProdLineLength)]
		public virtual string ProdLine { get; set; }
</v>
      </c>
      <c r="K12" s="7"/>
      <c r="L12" t="str">
        <f t="shared" ref="L12:L16" si="34">IF(K12="","",REPT(CHAR(9),1)&amp;"[Index(nameof("&amp;IF(D12="","",""&amp;D12)&amp;")"&amp;", Name="&amp;"""IX_"&amp;$B$7&amp;"_"&amp;D12&amp;""")]")</f>
        <v/>
      </c>
      <c r="M12" t="str">
        <f t="shared" si="15"/>
        <v xml:space="preserve">		public virtual string ProdLine { get; set; }
</v>
      </c>
      <c r="N12" t="str">
        <f t="shared" si="16"/>
        <v xml:space="preserve">		[StringLength(MstLgaBp2PartListConsts.MaxProdLineLength)]
		public virtual string ProdLine { get; set; }
</v>
      </c>
      <c r="O12" t="str">
        <f t="shared" si="17"/>
        <v xml:space="preserve">		public virtual string ProdLine { get; set; }
</v>
      </c>
      <c r="P12" t="str">
        <f t="shared" si="18"/>
        <v xml:space="preserve">							ProdLine = o.ProdLine,</v>
      </c>
      <c r="T12" s="69" t="str">
        <f t="shared" si="19"/>
        <v xml:space="preserve">								("ProdLine"),</v>
      </c>
      <c r="V12" s="70" t="str">
        <f t="shared" si="20"/>
        <v xml:space="preserve">								_ =&gt; _.ProdLine,</v>
      </c>
      <c r="W12" s="69" t="str">
        <f t="shared" si="21"/>
        <v xml:space="preserve">				.WhereIf(!string.IsNullOrWhiteSpace(input.ProdLine), e =&gt; e.ProdLine.Contains(input.ProdLine))</v>
      </c>
    </row>
    <row r="13" spans="1:23" customFormat="1" ht="18.75" customHeight="1" x14ac:dyDescent="0.2">
      <c r="A13" t="s">
        <v>332</v>
      </c>
      <c r="B13" t="s">
        <v>321</v>
      </c>
      <c r="C13" t="s">
        <v>1</v>
      </c>
      <c r="D13" t="str">
        <f t="shared" si="33"/>
        <v>Grade</v>
      </c>
      <c r="E13" t="str">
        <f t="shared" si="11"/>
        <v>varchar</v>
      </c>
      <c r="F13" s="7"/>
      <c r="G13" t="str">
        <f t="shared" si="12"/>
        <v>50</v>
      </c>
      <c r="H13" t="str">
        <f>+VLOOKUP(E13,'Data Type Mapping'!A:B,2,)</f>
        <v>string</v>
      </c>
      <c r="I13" t="str">
        <f t="shared" si="13"/>
        <v xml:space="preserve">		public const int MaxGradeLength = 50;
</v>
      </c>
      <c r="J13" t="str">
        <f t="shared" si="14"/>
        <v xml:space="preserve">		[StringLength(MaxGradeLength)]
		public virtual string Grade { get; set; }
</v>
      </c>
      <c r="K13" s="7"/>
      <c r="L13" t="str">
        <f t="shared" si="34"/>
        <v/>
      </c>
      <c r="M13" t="str">
        <f t="shared" si="15"/>
        <v xml:space="preserve">		public virtual string Grade { get; set; }
</v>
      </c>
      <c r="N13" t="str">
        <f t="shared" si="16"/>
        <v xml:space="preserve">		[StringLength(MstLgaBp2PartListConsts.MaxGradeLength)]
		public virtual string Grade { get; set; }
</v>
      </c>
      <c r="O13" t="str">
        <f t="shared" si="17"/>
        <v xml:space="preserve">		public virtual string Grade { get; set; }
</v>
      </c>
      <c r="P13" t="str">
        <f t="shared" si="18"/>
        <v xml:space="preserve">							Grade = o.Grade,</v>
      </c>
      <c r="T13" s="69" t="str">
        <f t="shared" si="19"/>
        <v xml:space="preserve">								("Grade"),</v>
      </c>
      <c r="V13" s="70" t="str">
        <f t="shared" si="20"/>
        <v xml:space="preserve">								_ =&gt; _.Grade,</v>
      </c>
      <c r="W13" s="69" t="str">
        <f t="shared" si="21"/>
        <v xml:space="preserve">				.WhereIf(!string.IsNullOrWhiteSpace(input.Grade), e =&gt; e.Grade.Contains(input.Grade))</v>
      </c>
    </row>
    <row r="14" spans="1:23" customFormat="1" ht="18.75" customHeight="1" x14ac:dyDescent="0.2">
      <c r="A14" t="s">
        <v>345</v>
      </c>
      <c r="B14" t="s">
        <v>4</v>
      </c>
      <c r="C14" t="s">
        <v>1</v>
      </c>
      <c r="D14" t="str">
        <f t="shared" ref="D14" si="35">SUBSTITUTE(PROPER(A14),"_","")</f>
        <v>UsageQty</v>
      </c>
      <c r="E14" t="str">
        <f t="shared" ref="E14" si="36">IFERROR(LEFT(B14, FIND("(",B14)-1),B14)</f>
        <v>int</v>
      </c>
      <c r="F14" s="7"/>
      <c r="G14" t="str">
        <f t="shared" ref="G14" si="37">IFERROR(MID(B14,FIND("(",B14) +1, FIND(")",B14) - FIND("(",B14) - 1),"")</f>
        <v/>
      </c>
      <c r="H14" t="str">
        <f>+VLOOKUP(E14,'Data Type Mapping'!A:B,2,)</f>
        <v>int</v>
      </c>
      <c r="I14" t="str">
        <f t="shared" ref="I14" si="38">IF(H14="string",REPT(CHAR(9),2)&amp;"public const int Max"&amp;D14&amp;"Length = "&amp;G14&amp;";"&amp;$E$3,"" )</f>
        <v/>
      </c>
      <c r="J14" t="str">
        <f t="shared" ref="J14" si="39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public virtual int UsageQty { get; set; }
</v>
      </c>
      <c r="K14" s="7"/>
      <c r="L14" t="str">
        <f t="shared" ref="L14" si="40">IF(K14="","",REPT(CHAR(9),1)&amp;"[Index(nameof("&amp;IF(D14="","",""&amp;D14)&amp;")"&amp;", Name="&amp;"""IX_"&amp;$B$7&amp;"_"&amp;D14&amp;""")]")</f>
        <v/>
      </c>
      <c r="M14" t="str">
        <f t="shared" ref="M14" si="41">REPT(CHAR(9),2)&amp;"public virtual "&amp;IF(OR(H14="DateTime",H14="TimeSpan"),H14&amp;"?",H14)&amp;IF(C14="?","? "," ")&amp;D14&amp;" { get; set; }" &amp; "
"</f>
        <v xml:space="preserve">		public virtual int UsageQty { get; set; }
</v>
      </c>
      <c r="N14" t="str">
        <f t="shared" ref="N14" si="42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public virtual int UsageQty { get; set; }
</v>
      </c>
      <c r="O14" t="str">
        <f t="shared" ref="O14" si="43">IF(OR(H14="string",H14="DateTime",H14="int"),REPT(CHAR(9),2)&amp;"public virtual "&amp;IF(OR(H14="DateTime",H14="TimeSpan"),H14&amp;"?",H14)&amp;IF(C14="?","? "," ")&amp;D14&amp;" { get; set; }"&amp;$E$3,"")</f>
        <v xml:space="preserve">		public virtual int UsageQty { get; set; }
</v>
      </c>
      <c r="P14" t="str">
        <f t="shared" ref="P14" si="44">REPT(CHAR(9),7)&amp;D14&amp;" = o." &amp;D14 &amp;","</f>
        <v xml:space="preserve">							UsageQty = o.UsageQty,</v>
      </c>
      <c r="T14" s="69" t="str">
        <f t="shared" ref="T14" si="45">REPT(CHAR(9),8)&amp;"("""&amp;D14&amp;"""),"</f>
        <v xml:space="preserve">								("UsageQty"),</v>
      </c>
      <c r="V14" s="70" t="str">
        <f t="shared" ref="V14" si="46">REPT(CHAR(9),8)&amp;"_ =&gt; _."&amp;D14&amp;","</f>
        <v xml:space="preserve">								_ =&gt; _.UsageQty,</v>
      </c>
      <c r="W14" s="69" t="str">
        <f t="shared" ref="W14" si="47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/>
      </c>
    </row>
    <row r="15" spans="1:23" customFormat="1" ht="18.75" customHeight="1" x14ac:dyDescent="0.2">
      <c r="A15" s="72" t="s">
        <v>341</v>
      </c>
      <c r="B15" t="s">
        <v>321</v>
      </c>
      <c r="C15" t="s">
        <v>1</v>
      </c>
      <c r="D15" t="str">
        <f t="shared" si="33"/>
        <v>Model</v>
      </c>
      <c r="E15" t="str">
        <f t="shared" si="11"/>
        <v>varchar</v>
      </c>
      <c r="F15" s="7"/>
      <c r="G15" t="str">
        <f t="shared" si="12"/>
        <v>50</v>
      </c>
      <c r="H15" t="str">
        <f>+VLOOKUP(E15,'Data Type Mapping'!A:B,2,)</f>
        <v>string</v>
      </c>
      <c r="I15" t="str">
        <f t="shared" si="13"/>
        <v xml:space="preserve">		public const int MaxModelLength = 50;
</v>
      </c>
      <c r="J15" t="str">
        <f t="shared" si="14"/>
        <v xml:space="preserve">		[StringLength(MaxModelLength)]
		public virtual string Model { get; set; }
</v>
      </c>
      <c r="K15" s="7"/>
      <c r="L15" t="str">
        <f t="shared" si="34"/>
        <v/>
      </c>
      <c r="M15" t="str">
        <f t="shared" si="15"/>
        <v xml:space="preserve">		public virtual string Model { get; set; }
</v>
      </c>
      <c r="N15" t="str">
        <f t="shared" si="16"/>
        <v xml:space="preserve">		[StringLength(MstLgaBp2PartListConsts.MaxModelLength)]
		public virtual string Model { get; set; }
</v>
      </c>
      <c r="O15" t="str">
        <f t="shared" si="17"/>
        <v xml:space="preserve">		public virtual string Model { get; set; }
</v>
      </c>
      <c r="P15" t="str">
        <f t="shared" si="18"/>
        <v xml:space="preserve">							Model = o.Model,</v>
      </c>
      <c r="T15" s="69" t="str">
        <f t="shared" si="19"/>
        <v xml:space="preserve">								("Model"),</v>
      </c>
      <c r="V15" s="70" t="str">
        <f t="shared" si="20"/>
        <v xml:space="preserve">								_ =&gt; _.Model,</v>
      </c>
      <c r="W15" s="69" t="str">
        <f t="shared" si="21"/>
        <v xml:space="preserve">				.WhereIf(!string.IsNullOrWhiteSpace(input.Model), e =&gt; e.Model.Contains(input.Model))</v>
      </c>
    </row>
    <row r="16" spans="1:23" customFormat="1" ht="18.75" customHeight="1" x14ac:dyDescent="0.2">
      <c r="A16" s="72" t="s">
        <v>342</v>
      </c>
      <c r="B16" t="s">
        <v>321</v>
      </c>
      <c r="C16" t="s">
        <v>1</v>
      </c>
      <c r="D16" t="str">
        <f t="shared" si="33"/>
        <v>Module</v>
      </c>
      <c r="E16" t="str">
        <f t="shared" si="11"/>
        <v>varchar</v>
      </c>
      <c r="F16" s="7"/>
      <c r="G16" t="str">
        <f t="shared" si="12"/>
        <v>50</v>
      </c>
      <c r="H16" t="str">
        <f>+VLOOKUP(E16,'Data Type Mapping'!A:B,2,)</f>
        <v>string</v>
      </c>
      <c r="I16" t="str">
        <f t="shared" si="13"/>
        <v xml:space="preserve">		public const int MaxModuleLength = 50;
</v>
      </c>
      <c r="J16" t="str">
        <f t="shared" si="14"/>
        <v xml:space="preserve">		[StringLength(MaxModuleLength)]
		public virtual string Module { get; set; }
</v>
      </c>
      <c r="K16" s="7"/>
      <c r="L16" t="str">
        <f t="shared" si="34"/>
        <v/>
      </c>
      <c r="M16" t="str">
        <f t="shared" si="15"/>
        <v xml:space="preserve">		public virtual string Module { get; set; }
</v>
      </c>
      <c r="N16" t="str">
        <f t="shared" si="16"/>
        <v xml:space="preserve">		[StringLength(MstLgaBp2PartListConsts.MaxModuleLength)]
		public virtual string Module { get; set; }
</v>
      </c>
      <c r="O16" t="str">
        <f t="shared" si="17"/>
        <v xml:space="preserve">		public virtual string Module { get; set; }
</v>
      </c>
      <c r="P16" t="str">
        <f t="shared" si="18"/>
        <v xml:space="preserve">							Module = o.Module,</v>
      </c>
      <c r="T16" s="69" t="str">
        <f t="shared" si="19"/>
        <v xml:space="preserve">								("Module"),</v>
      </c>
      <c r="V16" s="70" t="str">
        <f t="shared" si="20"/>
        <v xml:space="preserve">								_ =&gt; _.Module,</v>
      </c>
      <c r="W16" s="69" t="str">
        <f t="shared" si="21"/>
        <v xml:space="preserve">				.WhereIf(!string.IsNullOrWhiteSpace(input.Module), e =&gt; e.Module.Contains(input.Module))</v>
      </c>
    </row>
    <row r="17" spans="1:23" customFormat="1" ht="18.75" customHeight="1" x14ac:dyDescent="0.2">
      <c r="A17" t="s">
        <v>337</v>
      </c>
      <c r="B17" t="s">
        <v>321</v>
      </c>
      <c r="C17" t="s">
        <v>1</v>
      </c>
      <c r="D17" t="str">
        <f t="shared" ref="D17" si="48">SUBSTITUTE(PROPER(A17),"_","")</f>
        <v>PikLocType</v>
      </c>
      <c r="E17" t="str">
        <f t="shared" ref="E17" si="49">IFERROR(LEFT(B17, FIND("(",B17)-1),B17)</f>
        <v>varchar</v>
      </c>
      <c r="F17" s="7"/>
      <c r="G17" t="str">
        <f t="shared" ref="G17" si="50">IFERROR(MID(B17,FIND("(",B17) +1, FIND(")",B17) - FIND("(",B17) - 1),"")</f>
        <v>50</v>
      </c>
      <c r="H17" t="str">
        <f>+VLOOKUP(E17,'Data Type Mapping'!A:B,2,)</f>
        <v>string</v>
      </c>
      <c r="I17" t="str">
        <f t="shared" ref="I17" si="51">IF(H17="string",REPT(CHAR(9),2)&amp;"public const int Max"&amp;D17&amp;"Length = "&amp;G17&amp;";"&amp;$E$3,"" )</f>
        <v xml:space="preserve">		public const int MaxPikLocTypeLength = 50;
</v>
      </c>
      <c r="J17" t="str">
        <f t="shared" ref="J17" si="52">IF(F17="","",REPT(CHAR(9),2)&amp;"[Column(TypeName="""&amp;F17&amp;""")]"&amp;$E$3)&amp;IF(C17="Checked","",$I$3)&amp;IF(H17="string",REPT(CHAR(9),2)&amp;"[StringLength(Max"&amp;D17&amp;"Length"&amp;")]"&amp;$E$3,"")&amp;REPT(CHAR(9),2)&amp;"public virtual "&amp;H17&amp;IF(C17="?","? "," ")&amp;D17&amp;" { get; set; }" &amp; "
"</f>
        <v xml:space="preserve">		[StringLength(MaxPikLocTypeLength)]
		public virtual string PikLocType { get; set; }
</v>
      </c>
      <c r="K17" s="7"/>
      <c r="L17" t="str">
        <f t="shared" ref="L17" si="53">IF(K17="","",REPT(CHAR(9),1)&amp;"[Index(nameof("&amp;IF(D17="","",""&amp;D17)&amp;")"&amp;", Name="&amp;"""IX_"&amp;$B$7&amp;"_"&amp;D17&amp;""")]")</f>
        <v/>
      </c>
      <c r="M17" t="str">
        <f t="shared" ref="M17" si="54">REPT(CHAR(9),2)&amp;"public virtual "&amp;IF(OR(H17="DateTime",H17="TimeSpan"),H17&amp;"?",H17)&amp;IF(C17="?","? "," ")&amp;D17&amp;" { get; set; }" &amp; "
"</f>
        <v xml:space="preserve">		public virtual string PikLocType { get; set; }
</v>
      </c>
      <c r="N17" t="str">
        <f t="shared" ref="N17" si="55">IF(C17="Checked","",$I$3)&amp;IF(H17="string",REPT(CHAR(9),2)&amp;"[StringLength("&amp;$B$3&amp;"Consts.Max"&amp;D17&amp;"Length"&amp;")]"&amp;$E$3,"")&amp;REPT(CHAR(9),2)&amp;"public virtual "&amp;IF(OR(H17="DateTime",H17="TimeSpan"),H17&amp;"?",H17)&amp;IF(C17="?","? "," ")&amp;D17&amp;" { get; set; }" &amp; "
"</f>
        <v xml:space="preserve">		[StringLength(MstLgaBp2PartListConsts.MaxPikLocTypeLength)]
		public virtual string PikLocType { get; set; }
</v>
      </c>
      <c r="O17" t="str">
        <f t="shared" ref="O17" si="56">IF(OR(H17="string",H17="DateTime",H17="int"),REPT(CHAR(9),2)&amp;"public virtual "&amp;IF(OR(H17="DateTime",H17="TimeSpan"),H17&amp;"?",H17)&amp;IF(C17="?","? "," ")&amp;D17&amp;" { get; set; }"&amp;$E$3,"")</f>
        <v xml:space="preserve">		public virtual string PikLocType { get; set; }
</v>
      </c>
      <c r="P17" t="str">
        <f t="shared" ref="P17" si="57">REPT(CHAR(9),7)&amp;D17&amp;" = o." &amp;D17 &amp;","</f>
        <v xml:space="preserve">							PikLocType = o.PikLocType,</v>
      </c>
      <c r="T17" s="69" t="str">
        <f t="shared" ref="T17" si="58">REPT(CHAR(9),8)&amp;"("""&amp;D17&amp;"""),"</f>
        <v xml:space="preserve">								("PikLocType"),</v>
      </c>
      <c r="V17" s="70" t="str">
        <f t="shared" ref="V17" si="59">REPT(CHAR(9),8)&amp;"_ =&gt; _."&amp;D17&amp;","</f>
        <v xml:space="preserve">								_ =&gt; _.PikLocType,</v>
      </c>
      <c r="W17" s="69" t="str">
        <f t="shared" ref="W17" si="60">IF(H17="string",REPT(CHAR(9),4)&amp;".WhereIf(!string.IsNullOrWhiteSpace(input."&amp;D17&amp;"), e =&gt; e."&amp;D17&amp;".Contains(input."&amp;D17&amp;"))",IF(H17="DateTime",REPT(CHAR(9),4)&amp;".WhereIf(input."&amp;D17&amp;".HasValue, t =&gt; t."&amp;D17&amp;" == input."&amp;D17&amp;".Value)",""))</f>
        <v xml:space="preserve">				.WhereIf(!string.IsNullOrWhiteSpace(input.PikLocType), e =&gt; e.PikLocType.Contains(input.PikLocType))</v>
      </c>
    </row>
    <row r="18" spans="1:23" customFormat="1" ht="18.75" customHeight="1" x14ac:dyDescent="0.2">
      <c r="A18" t="s">
        <v>338</v>
      </c>
      <c r="B18" t="s">
        <v>321</v>
      </c>
      <c r="C18" t="s">
        <v>1</v>
      </c>
      <c r="D18" t="str">
        <f t="shared" ref="D18" si="61">SUBSTITUTE(PROPER(A18),"_","")</f>
        <v>PikAddress</v>
      </c>
      <c r="E18" t="str">
        <f t="shared" ref="E18" si="62">IFERROR(LEFT(B18, FIND("(",B18)-1),B18)</f>
        <v>varchar</v>
      </c>
      <c r="F18" s="7"/>
      <c r="G18" t="str">
        <f t="shared" ref="G18" si="63">IFERROR(MID(B18,FIND("(",B18) +1, FIND(")",B18) - FIND("(",B18) - 1),"")</f>
        <v>50</v>
      </c>
      <c r="H18" t="str">
        <f>+VLOOKUP(E18,'Data Type Mapping'!A:B,2,)</f>
        <v>string</v>
      </c>
      <c r="I18" t="str">
        <f t="shared" ref="I18" si="64">IF(H18="string",REPT(CHAR(9),2)&amp;"public const int Max"&amp;D18&amp;"Length = "&amp;G18&amp;";"&amp;$E$3,"" )</f>
        <v xml:space="preserve">		public const int MaxPikAddressLength = 50;
</v>
      </c>
      <c r="J18" t="str">
        <f t="shared" ref="J18" si="65">IF(F18="","",REPT(CHAR(9),2)&amp;"[Column(TypeName="""&amp;F18&amp;""")]"&amp;$E$3)&amp;IF(C18="Checked","",$I$3)&amp;IF(H18="string",REPT(CHAR(9),2)&amp;"[StringLength(Max"&amp;D18&amp;"Length"&amp;")]"&amp;$E$3,"")&amp;REPT(CHAR(9),2)&amp;"public virtual "&amp;H18&amp;IF(C18="?","? "," ")&amp;D18&amp;" { get; set; }" &amp; "
"</f>
        <v xml:space="preserve">		[StringLength(MaxPikAddressLength)]
		public virtual string PikAddress { get; set; }
</v>
      </c>
      <c r="K18" s="7"/>
      <c r="L18" t="str">
        <f t="shared" ref="L18" si="66">IF(K18="","",REPT(CHAR(9),1)&amp;"[Index(nameof("&amp;IF(D18="","",""&amp;D18)&amp;")"&amp;", Name="&amp;"""IX_"&amp;$B$7&amp;"_"&amp;D18&amp;""")]")</f>
        <v/>
      </c>
      <c r="M18" t="str">
        <f t="shared" ref="M18" si="67">REPT(CHAR(9),2)&amp;"public virtual "&amp;IF(OR(H18="DateTime",H18="TimeSpan"),H18&amp;"?",H18)&amp;IF(C18="?","? "," ")&amp;D18&amp;" { get; set; }" &amp; "
"</f>
        <v xml:space="preserve">		public virtual string PikAddress { get; set; }
</v>
      </c>
      <c r="N18" t="str">
        <f t="shared" ref="N18" si="68">IF(C18="Checked","",$I$3)&amp;IF(H18="string",REPT(CHAR(9),2)&amp;"[StringLength("&amp;$B$3&amp;"Consts.Max"&amp;D18&amp;"Length"&amp;")]"&amp;$E$3,"")&amp;REPT(CHAR(9),2)&amp;"public virtual "&amp;IF(OR(H18="DateTime",H18="TimeSpan"),H18&amp;"?",H18)&amp;IF(C18="?","? "," ")&amp;D18&amp;" { get; set; }" &amp; "
"</f>
        <v xml:space="preserve">		[StringLength(MstLgaBp2PartListConsts.MaxPikAddressLength)]
		public virtual string PikAddress { get; set; }
</v>
      </c>
      <c r="O18" t="str">
        <f t="shared" ref="O18" si="69">IF(OR(H18="string",H18="DateTime",H18="int"),REPT(CHAR(9),2)&amp;"public virtual "&amp;IF(OR(H18="DateTime",H18="TimeSpan"),H18&amp;"?",H18)&amp;IF(C18="?","? "," ")&amp;D18&amp;" { get; set; }"&amp;$E$3,"")</f>
        <v xml:space="preserve">		public virtual string PikAddress { get; set; }
</v>
      </c>
      <c r="P18" t="str">
        <f t="shared" ref="P18" si="70">REPT(CHAR(9),7)&amp;D18&amp;" = o." &amp;D18 &amp;","</f>
        <v xml:space="preserve">							PikAddress = o.PikAddress,</v>
      </c>
      <c r="T18" s="69" t="str">
        <f t="shared" ref="T18" si="71">REPT(CHAR(9),8)&amp;"("""&amp;D18&amp;"""),"</f>
        <v xml:space="preserve">								("PikAddress"),</v>
      </c>
      <c r="V18" s="70" t="str">
        <f t="shared" ref="V18" si="72">REPT(CHAR(9),8)&amp;"_ =&gt; _."&amp;D18&amp;","</f>
        <v xml:space="preserve">								_ =&gt; _.PikAddress,</v>
      </c>
      <c r="W18" s="69" t="str">
        <f t="shared" ref="W18" si="73">IF(H18="string",REPT(CHAR(9),4)&amp;".WhereIf(!string.IsNullOrWhiteSpace(input."&amp;D18&amp;"), e =&gt; e."&amp;D18&amp;".Contains(input."&amp;D18&amp;"))",IF(H18="DateTime",REPT(CHAR(9),4)&amp;".WhereIf(input."&amp;D18&amp;".HasValue, t =&gt; t."&amp;D18&amp;" == input."&amp;D18&amp;".Value)",""))</f>
        <v xml:space="preserve">				.WhereIf(!string.IsNullOrWhiteSpace(input.PikAddress), e =&gt; e.PikAddress.Contains(input.PikAddress))</v>
      </c>
    </row>
    <row r="19" spans="1:23" customFormat="1" ht="18.75" customHeight="1" x14ac:dyDescent="0.2">
      <c r="A19" t="s">
        <v>339</v>
      </c>
      <c r="B19" t="s">
        <v>321</v>
      </c>
      <c r="C19" t="s">
        <v>1</v>
      </c>
      <c r="D19" t="str">
        <f t="shared" ref="D19:D21" si="74">SUBSTITUTE(PROPER(A19),"_","")</f>
        <v>PikAddressDisplay</v>
      </c>
      <c r="E19" t="str">
        <f t="shared" ref="E19:E21" si="75">IFERROR(LEFT(B19, FIND("(",B19)-1),B19)</f>
        <v>varchar</v>
      </c>
      <c r="F19" s="7"/>
      <c r="G19" t="str">
        <f t="shared" ref="G19:G21" si="76">IFERROR(MID(B19,FIND("(",B19) +1, FIND(")",B19) - FIND("(",B19) - 1),"")</f>
        <v>50</v>
      </c>
      <c r="H19" t="str">
        <f>+VLOOKUP(E19,'Data Type Mapping'!A:B,2,)</f>
        <v>string</v>
      </c>
      <c r="I19" t="str">
        <f t="shared" ref="I19:I21" si="77">IF(H19="string",REPT(CHAR(9),2)&amp;"public const int Max"&amp;D19&amp;"Length = "&amp;G19&amp;";"&amp;$E$3,"" )</f>
        <v xml:space="preserve">		public const int MaxPikAddressDisplayLength = 50;
</v>
      </c>
      <c r="J19" t="str">
        <f t="shared" ref="J19:J21" si="78">IF(F19="","",REPT(CHAR(9),2)&amp;"[Column(TypeName="""&amp;F19&amp;""")]"&amp;$E$3)&amp;IF(C19="Checked","",$I$3)&amp;IF(H19="string",REPT(CHAR(9),2)&amp;"[StringLength(Max"&amp;D19&amp;"Length"&amp;")]"&amp;$E$3,"")&amp;REPT(CHAR(9),2)&amp;"public virtual "&amp;H19&amp;IF(C19="?","? "," ")&amp;D19&amp;" { get; set; }" &amp; "
"</f>
        <v xml:space="preserve">		[StringLength(MaxPikAddressDisplayLength)]
		public virtual string PikAddressDisplay { get; set; }
</v>
      </c>
      <c r="K19" s="7"/>
      <c r="L19" t="str">
        <f t="shared" ref="L19:L21" si="79">IF(K19="","",REPT(CHAR(9),1)&amp;"[Index(nameof("&amp;IF(D19="","",""&amp;D19)&amp;")"&amp;", Name="&amp;"""IX_"&amp;$B$7&amp;"_"&amp;D19&amp;""")]")</f>
        <v/>
      </c>
      <c r="M19" t="str">
        <f t="shared" ref="M19:M21" si="80">REPT(CHAR(9),2)&amp;"public virtual "&amp;IF(OR(H19="DateTime",H19="TimeSpan"),H19&amp;"?",H19)&amp;IF(C19="?","? "," ")&amp;D19&amp;" { get; set; }" &amp; "
"</f>
        <v xml:space="preserve">		public virtual string PikAddressDisplay { get; set; }
</v>
      </c>
      <c r="N19" t="str">
        <f t="shared" ref="N19:N21" si="81">IF(C19="Checked","",$I$3)&amp;IF(H19="string",REPT(CHAR(9),2)&amp;"[StringLength("&amp;$B$3&amp;"Consts.Max"&amp;D19&amp;"Length"&amp;")]"&amp;$E$3,"")&amp;REPT(CHAR(9),2)&amp;"public virtual "&amp;IF(OR(H19="DateTime",H19="TimeSpan"),H19&amp;"?",H19)&amp;IF(C19="?","? "," ")&amp;D19&amp;" { get; set; }" &amp; "
"</f>
        <v xml:space="preserve">		[StringLength(MstLgaBp2PartListConsts.MaxPikAddressDisplayLength)]
		public virtual string PikAddressDisplay { get; set; }
</v>
      </c>
      <c r="O19" t="str">
        <f t="shared" ref="O19:O21" si="82">IF(OR(H19="string",H19="DateTime",H19="int"),REPT(CHAR(9),2)&amp;"public virtual "&amp;IF(OR(H19="DateTime",H19="TimeSpan"),H19&amp;"?",H19)&amp;IF(C19="?","? "," ")&amp;D19&amp;" { get; set; }"&amp;$E$3,"")</f>
        <v xml:space="preserve">		public virtual string PikAddressDisplay { get; set; }
</v>
      </c>
      <c r="P19" t="str">
        <f t="shared" ref="P19:P21" si="83">REPT(CHAR(9),7)&amp;D19&amp;" = o." &amp;D19 &amp;","</f>
        <v xml:space="preserve">							PikAddressDisplay = o.PikAddressDisplay,</v>
      </c>
      <c r="T19" s="69" t="str">
        <f t="shared" ref="T19:T21" si="84">REPT(CHAR(9),8)&amp;"("""&amp;D19&amp;"""),"</f>
        <v xml:space="preserve">								("PikAddressDisplay"),</v>
      </c>
      <c r="V19" s="70" t="str">
        <f t="shared" ref="V19:V21" si="85">REPT(CHAR(9),8)&amp;"_ =&gt; _."&amp;D19&amp;","</f>
        <v xml:space="preserve">								_ =&gt; _.PikAddressDisplay,</v>
      </c>
      <c r="W19" s="69" t="str">
        <f t="shared" ref="W19:W21" si="86">IF(H19="string",REPT(CHAR(9),4)&amp;".WhereIf(!string.IsNullOrWhiteSpace(input."&amp;D19&amp;"), e =&gt; e."&amp;D19&amp;".Contains(input."&amp;D19&amp;"))",IF(H19="DateTime",REPT(CHAR(9),4)&amp;".WhereIf(input."&amp;D19&amp;".HasValue, t =&gt; t."&amp;D19&amp;" == input."&amp;D19&amp;".Value)",""))</f>
        <v xml:space="preserve">				.WhereIf(!string.IsNullOrWhiteSpace(input.PikAddressDisplay), e =&gt; e.PikAddressDisplay.Contains(input.PikAddressDisplay))</v>
      </c>
    </row>
    <row r="20" spans="1:23" customFormat="1" ht="18.75" customHeight="1" x14ac:dyDescent="0.2">
      <c r="A20" t="s">
        <v>340</v>
      </c>
      <c r="B20" t="s">
        <v>321</v>
      </c>
      <c r="C20" t="s">
        <v>1</v>
      </c>
      <c r="D20" t="str">
        <f t="shared" si="74"/>
        <v>DelLocType</v>
      </c>
      <c r="E20" t="str">
        <f t="shared" si="75"/>
        <v>varchar</v>
      </c>
      <c r="F20" s="7"/>
      <c r="G20" t="str">
        <f t="shared" si="76"/>
        <v>50</v>
      </c>
      <c r="H20" t="str">
        <f>+VLOOKUP(E20,'Data Type Mapping'!A:B,2,)</f>
        <v>string</v>
      </c>
      <c r="I20" t="str">
        <f t="shared" si="77"/>
        <v xml:space="preserve">		public const int MaxDelLocTypeLength = 50;
</v>
      </c>
      <c r="J20" t="str">
        <f t="shared" si="78"/>
        <v xml:space="preserve">		[StringLength(MaxDelLocTypeLength)]
		public virtual string DelLocType { get; set; }
</v>
      </c>
      <c r="K20" s="7"/>
      <c r="L20" t="str">
        <f t="shared" si="79"/>
        <v/>
      </c>
      <c r="M20" t="str">
        <f t="shared" si="80"/>
        <v xml:space="preserve">		public virtual string DelLocType { get; set; }
</v>
      </c>
      <c r="N20" t="str">
        <f t="shared" si="81"/>
        <v xml:space="preserve">		[StringLength(MstLgaBp2PartListConsts.MaxDelLocTypeLength)]
		public virtual string DelLocType { get; set; }
</v>
      </c>
      <c r="O20" t="str">
        <f t="shared" si="82"/>
        <v xml:space="preserve">		public virtual string DelLocType { get; set; }
</v>
      </c>
      <c r="P20" t="str">
        <f t="shared" si="83"/>
        <v xml:space="preserve">							DelLocType = o.DelLocType,</v>
      </c>
      <c r="T20" s="69" t="str">
        <f t="shared" si="84"/>
        <v xml:space="preserve">								("DelLocType"),</v>
      </c>
      <c r="V20" s="70" t="str">
        <f t="shared" si="85"/>
        <v xml:space="preserve">								_ =&gt; _.DelLocType,</v>
      </c>
      <c r="W20" s="69" t="str">
        <f t="shared" si="86"/>
        <v xml:space="preserve">				.WhereIf(!string.IsNullOrWhiteSpace(input.DelLocType), e =&gt; e.DelLocType.Contains(input.DelLocType))</v>
      </c>
    </row>
    <row r="21" spans="1:23" customFormat="1" ht="18.75" customHeight="1" x14ac:dyDescent="0.2">
      <c r="A21" t="s">
        <v>335</v>
      </c>
      <c r="B21" t="s">
        <v>321</v>
      </c>
      <c r="C21" t="s">
        <v>1</v>
      </c>
      <c r="D21" t="str">
        <f t="shared" si="74"/>
        <v>DelAddress</v>
      </c>
      <c r="E21" t="str">
        <f t="shared" si="75"/>
        <v>varchar</v>
      </c>
      <c r="F21" s="7"/>
      <c r="G21" t="str">
        <f t="shared" si="76"/>
        <v>50</v>
      </c>
      <c r="H21" t="str">
        <f>+VLOOKUP(E21,'Data Type Mapping'!A:B,2,)</f>
        <v>string</v>
      </c>
      <c r="I21" t="str">
        <f t="shared" si="77"/>
        <v xml:space="preserve">		public const int MaxDelAddressLength = 50;
</v>
      </c>
      <c r="J21" t="str">
        <f t="shared" si="78"/>
        <v xml:space="preserve">		[StringLength(MaxDelAddressLength)]
		public virtual string DelAddress { get; set; }
</v>
      </c>
      <c r="K21" s="7"/>
      <c r="L21" t="str">
        <f t="shared" si="79"/>
        <v/>
      </c>
      <c r="M21" t="str">
        <f t="shared" si="80"/>
        <v xml:space="preserve">		public virtual string DelAddress { get; set; }
</v>
      </c>
      <c r="N21" t="str">
        <f t="shared" si="81"/>
        <v xml:space="preserve">		[StringLength(MstLgaBp2PartListConsts.MaxDelAddressLength)]
		public virtual string DelAddress { get; set; }
</v>
      </c>
      <c r="O21" t="str">
        <f t="shared" si="82"/>
        <v xml:space="preserve">		public virtual string DelAddress { get; set; }
</v>
      </c>
      <c r="P21" t="str">
        <f t="shared" si="83"/>
        <v xml:space="preserve">							DelAddress = o.DelAddress,</v>
      </c>
      <c r="T21" s="69" t="str">
        <f t="shared" si="84"/>
        <v xml:space="preserve">								("DelAddress"),</v>
      </c>
      <c r="V21" s="70" t="str">
        <f t="shared" si="85"/>
        <v xml:space="preserve">								_ =&gt; _.DelAddress,</v>
      </c>
      <c r="W21" s="69" t="str">
        <f t="shared" si="86"/>
        <v xml:space="preserve">				.WhereIf(!string.IsNullOrWhiteSpace(input.DelAddress), e =&gt; e.DelAddress.Contains(input.DelAddress))</v>
      </c>
    </row>
    <row r="22" spans="1:23" customFormat="1" ht="18.75" customHeight="1" x14ac:dyDescent="0.2">
      <c r="A22" t="s">
        <v>336</v>
      </c>
      <c r="B22" t="s">
        <v>321</v>
      </c>
      <c r="C22" t="s">
        <v>1</v>
      </c>
      <c r="D22" t="str">
        <f t="shared" ref="D22" si="87">SUBSTITUTE(PROPER(A22),"_","")</f>
        <v>DelAddressDisplay</v>
      </c>
      <c r="E22" t="str">
        <f t="shared" ref="E22" si="88">IFERROR(LEFT(B22, FIND("(",B22)-1),B22)</f>
        <v>varchar</v>
      </c>
      <c r="F22" s="7"/>
      <c r="G22" t="str">
        <f t="shared" ref="G22" si="89">IFERROR(MID(B22,FIND("(",B22) +1, FIND(")",B22) - FIND("(",B22) - 1),"")</f>
        <v>50</v>
      </c>
      <c r="H22" t="str">
        <f>+VLOOKUP(E22,'Data Type Mapping'!A:B,2,)</f>
        <v>string</v>
      </c>
      <c r="I22" t="str">
        <f t="shared" ref="I22" si="90">IF(H22="string",REPT(CHAR(9),2)&amp;"public const int Max"&amp;D22&amp;"Length = "&amp;G22&amp;";"&amp;$E$3,"" )</f>
        <v xml:space="preserve">		public const int MaxDelAddressDisplayLength = 50;
</v>
      </c>
      <c r="J22" t="str">
        <f t="shared" ref="J22" si="91">IF(F22="","",REPT(CHAR(9),2)&amp;"[Column(TypeName="""&amp;F22&amp;""")]"&amp;$E$3)&amp;IF(C22="Checked","",$I$3)&amp;IF(H22="string",REPT(CHAR(9),2)&amp;"[StringLength(Max"&amp;D22&amp;"Length"&amp;")]"&amp;$E$3,"")&amp;REPT(CHAR(9),2)&amp;"public virtual "&amp;H22&amp;IF(C22="?","? "," ")&amp;D22&amp;" { get; set; }" &amp; "
"</f>
        <v xml:space="preserve">		[StringLength(MaxDelAddressDisplayLength)]
		public virtual string DelAddressDisplay { get; set; }
</v>
      </c>
      <c r="K22" s="7"/>
      <c r="L22" t="str">
        <f t="shared" ref="L22" si="92">IF(K22="","",REPT(CHAR(9),1)&amp;"[Index(nameof("&amp;IF(D22="","",""&amp;D22)&amp;")"&amp;", Name="&amp;"""IX_"&amp;$B$7&amp;"_"&amp;D22&amp;""")]")</f>
        <v/>
      </c>
      <c r="M22" t="str">
        <f t="shared" ref="M22" si="93">REPT(CHAR(9),2)&amp;"public virtual "&amp;IF(OR(H22="DateTime",H22="TimeSpan"),H22&amp;"?",H22)&amp;IF(C22="?","? "," ")&amp;D22&amp;" { get; set; }" &amp; "
"</f>
        <v xml:space="preserve">		public virtual string DelAddressDisplay { get; set; }
</v>
      </c>
      <c r="N22" t="str">
        <f t="shared" ref="N22" si="94">IF(C22="Checked","",$I$3)&amp;IF(H22="string",REPT(CHAR(9),2)&amp;"[StringLength("&amp;$B$3&amp;"Consts.Max"&amp;D22&amp;"Length"&amp;")]"&amp;$E$3,"")&amp;REPT(CHAR(9),2)&amp;"public virtual "&amp;IF(OR(H22="DateTime",H22="TimeSpan"),H22&amp;"?",H22)&amp;IF(C22="?","? "," ")&amp;D22&amp;" { get; set; }" &amp; "
"</f>
        <v xml:space="preserve">		[StringLength(MstLgaBp2PartListConsts.MaxDelAddressDisplayLength)]
		public virtual string DelAddressDisplay { get; set; }
</v>
      </c>
      <c r="O22" t="str">
        <f t="shared" ref="O22" si="95">IF(OR(H22="string",H22="DateTime",H22="int"),REPT(CHAR(9),2)&amp;"public virtual "&amp;IF(OR(H22="DateTime",H22="TimeSpan"),H22&amp;"?",H22)&amp;IF(C22="?","? "," ")&amp;D22&amp;" { get; set; }"&amp;$E$3,"")</f>
        <v xml:space="preserve">		public virtual string DelAddressDisplay { get; set; }
</v>
      </c>
      <c r="P22" t="str">
        <f t="shared" ref="P22" si="96">REPT(CHAR(9),7)&amp;D22&amp;" = o." &amp;D22 &amp;","</f>
        <v xml:space="preserve">							DelAddressDisplay = o.DelAddressDisplay,</v>
      </c>
      <c r="T22" s="69" t="str">
        <f t="shared" ref="T22" si="97">REPT(CHAR(9),8)&amp;"("""&amp;D22&amp;"""),"</f>
        <v xml:space="preserve">								("DelAddressDisplay"),</v>
      </c>
      <c r="V22" s="70" t="str">
        <f t="shared" ref="V22" si="98">REPT(CHAR(9),8)&amp;"_ =&gt; _."&amp;D22&amp;","</f>
        <v xml:space="preserve">								_ =&gt; _.DelAddressDisplay,</v>
      </c>
      <c r="W22" s="69" t="str">
        <f t="shared" ref="W22" si="99">IF(H22="string",REPT(CHAR(9),4)&amp;".WhereIf(!string.IsNullOrWhiteSpace(input."&amp;D22&amp;"), e =&gt; e."&amp;D22&amp;".Contains(input."&amp;D22&amp;"))",IF(H22="DateTime",REPT(CHAR(9),4)&amp;".WhereIf(input."&amp;D22&amp;".HasValue, t =&gt; t."&amp;D22&amp;" == input."&amp;D22&amp;".Value)",""))</f>
        <v xml:space="preserve">				.WhereIf(!string.IsNullOrWhiteSpace(input.DelAddressDisplay), e =&gt; e.DelAddressDisplay.Contains(input.DelAddressDisplay))</v>
      </c>
    </row>
    <row r="23" spans="1:23" customFormat="1" ht="18.75" customHeight="1" x14ac:dyDescent="0.2">
      <c r="A23" t="s">
        <v>324</v>
      </c>
      <c r="B23" t="s">
        <v>4</v>
      </c>
      <c r="C23" t="s">
        <v>1</v>
      </c>
      <c r="D23" t="str">
        <f t="shared" ref="D23" si="100">SUBSTITUTE(PROPER(A23),"_","")</f>
        <v>Sorting</v>
      </c>
      <c r="E23" t="str">
        <f t="shared" ref="E23" si="101">IFERROR(LEFT(B23, FIND("(",B23)-1),B23)</f>
        <v>int</v>
      </c>
      <c r="F23" s="7"/>
      <c r="G23" t="str">
        <f t="shared" ref="G23" si="102">IFERROR(MID(B23,FIND("(",B23) +1, FIND(")",B23) - FIND("(",B23) - 1),"")</f>
        <v/>
      </c>
      <c r="H23" t="str">
        <f>+VLOOKUP(E23,'Data Type Mapping'!A:B,2,)</f>
        <v>int</v>
      </c>
      <c r="I23" t="str">
        <f t="shared" ref="I23" si="103">IF(H23="string",REPT(CHAR(9),2)&amp;"public const int Max"&amp;D23&amp;"Length = "&amp;G23&amp;";"&amp;$E$3,"" )</f>
        <v/>
      </c>
      <c r="J23" t="str">
        <f t="shared" ref="J23" si="104">IF(F23="","",REPT(CHAR(9),2)&amp;"[Column(TypeName="""&amp;F23&amp;""")]"&amp;$E$3)&amp;IF(C23="Checked","",$I$3)&amp;IF(H23="string",REPT(CHAR(9),2)&amp;"[StringLength(Max"&amp;D23&amp;"Length"&amp;")]"&amp;$E$3,"")&amp;REPT(CHAR(9),2)&amp;"public virtual "&amp;H23&amp;IF(C23="?","? "," ")&amp;D23&amp;" { get; set; }" &amp; "
"</f>
        <v xml:space="preserve">		public virtual int Sorting { get; set; }
</v>
      </c>
      <c r="K23" s="7"/>
      <c r="L23" t="str">
        <f t="shared" ref="L23" si="105">IF(K23="","",REPT(CHAR(9),1)&amp;"[Index(nameof("&amp;IF(D23="","",""&amp;D23)&amp;")"&amp;", Name="&amp;"""IX_"&amp;$B$7&amp;"_"&amp;D23&amp;""")]")</f>
        <v/>
      </c>
      <c r="M23" t="str">
        <f t="shared" ref="M23" si="106">REPT(CHAR(9),2)&amp;"public virtual "&amp;IF(OR(H23="DateTime",H23="TimeSpan"),H23&amp;"?",H23)&amp;IF(C23="?","? "," ")&amp;D23&amp;" { get; set; }" &amp; "
"</f>
        <v xml:space="preserve">		public virtual int Sorting { get; set; }
</v>
      </c>
      <c r="N23" t="str">
        <f t="shared" ref="N23" si="107">IF(C23="Checked","",$I$3)&amp;IF(H23="string",REPT(CHAR(9),2)&amp;"[StringLength("&amp;$B$3&amp;"Consts.Max"&amp;D23&amp;"Length"&amp;")]"&amp;$E$3,"")&amp;REPT(CHAR(9),2)&amp;"public virtual "&amp;IF(OR(H23="DateTime",H23="TimeSpan"),H23&amp;"?",H23)&amp;IF(C23="?","? "," ")&amp;D23&amp;" { get; set; }" &amp; "
"</f>
        <v xml:space="preserve">		public virtual int Sorting { get; set; }
</v>
      </c>
      <c r="O23" t="str">
        <f t="shared" ref="O23" si="108">IF(OR(H23="string",H23="DateTime",H23="int"),REPT(CHAR(9),2)&amp;"public virtual "&amp;IF(OR(H23="DateTime",H23="TimeSpan"),H23&amp;"?",H23)&amp;IF(C23="?","? "," ")&amp;D23&amp;" { get; set; }"&amp;$E$3,"")</f>
        <v xml:space="preserve">		public virtual int Sorting { get; set; }
</v>
      </c>
      <c r="P23" t="str">
        <f t="shared" ref="P23" si="109">REPT(CHAR(9),7)&amp;D23&amp;" = o." &amp;D23 &amp;","</f>
        <v xml:space="preserve">							Sorting = o.Sorting,</v>
      </c>
      <c r="T23" s="69" t="str">
        <f t="shared" ref="T23" si="110">REPT(CHAR(9),8)&amp;"("""&amp;D23&amp;"""),"</f>
        <v xml:space="preserve">								("Sorting"),</v>
      </c>
      <c r="V23" s="70" t="str">
        <f t="shared" ref="V23" si="111">REPT(CHAR(9),8)&amp;"_ =&gt; _."&amp;D23&amp;","</f>
        <v xml:space="preserve">								_ =&gt; _.Sorting,</v>
      </c>
      <c r="W23" s="69" t="str">
        <f t="shared" ref="W23" si="112">IF(H23="string",REPT(CHAR(9),4)&amp;".WhereIf(!string.IsNullOrWhiteSpace(input."&amp;D23&amp;"), e =&gt; e."&amp;D23&amp;".Contains(input."&amp;D23&amp;"))",IF(H23="DateTime",REPT(CHAR(9),4)&amp;".WhereIf(input."&amp;D23&amp;".HasValue, t =&gt; t."&amp;D23&amp;" == input."&amp;D23&amp;".Value)",""))</f>
        <v/>
      </c>
    </row>
    <row r="24" spans="1:23" customFormat="1" ht="18.75" customHeight="1" x14ac:dyDescent="0.2">
      <c r="A24" t="s">
        <v>343</v>
      </c>
      <c r="B24" t="s">
        <v>344</v>
      </c>
      <c r="C24" t="s">
        <v>1</v>
      </c>
      <c r="D24" t="str">
        <f t="shared" ref="D24" si="113">SUBSTITUTE(PROPER(A24),"_","")</f>
        <v>Remark</v>
      </c>
      <c r="E24" t="str">
        <f t="shared" ref="E24" si="114">IFERROR(LEFT(B24, FIND("(",B24)-1),B24)</f>
        <v>nvarchar</v>
      </c>
      <c r="F24" s="7"/>
      <c r="G24" t="str">
        <f t="shared" ref="G24" si="115">IFERROR(MID(B24,FIND("(",B24) +1, FIND(")",B24) - FIND("(",B24) - 1),"")</f>
        <v>500</v>
      </c>
      <c r="H24" t="str">
        <f>+VLOOKUP(E24,'Data Type Mapping'!A:B,2,)</f>
        <v>string</v>
      </c>
      <c r="I24" t="str">
        <f t="shared" ref="I24" si="116">IF(H24="string",REPT(CHAR(9),2)&amp;"public const int Max"&amp;D24&amp;"Length = "&amp;G24&amp;";"&amp;$E$3,"" )</f>
        <v xml:space="preserve">		public const int MaxRemarkLength = 500;
</v>
      </c>
      <c r="J24" t="str">
        <f t="shared" ref="J24" si="117">IF(F24="","",REPT(CHAR(9),2)&amp;"[Column(TypeName="""&amp;F24&amp;""")]"&amp;$E$3)&amp;IF(C24="Checked","",$I$3)&amp;IF(H24="string",REPT(CHAR(9),2)&amp;"[StringLength(Max"&amp;D24&amp;"Length"&amp;")]"&amp;$E$3,"")&amp;REPT(CHAR(9),2)&amp;"public virtual "&amp;H24&amp;IF(C24="?","? "," ")&amp;D24&amp;" { get; set; }" &amp; "
"</f>
        <v xml:space="preserve">		[StringLength(MaxRemarkLength)]
		public virtual string Remark { get; set; }
</v>
      </c>
      <c r="K24" s="7"/>
      <c r="L24" t="str">
        <f t="shared" ref="L24" si="118">IF(K24="","",REPT(CHAR(9),1)&amp;"[Index(nameof("&amp;IF(D24="","",""&amp;D24)&amp;")"&amp;", Name="&amp;"""IX_"&amp;$B$7&amp;"_"&amp;D24&amp;""")]")</f>
        <v/>
      </c>
      <c r="M24" t="str">
        <f t="shared" ref="M24" si="119">REPT(CHAR(9),2)&amp;"public virtual "&amp;IF(OR(H24="DateTime",H24="TimeSpan"),H24&amp;"?",H24)&amp;IF(C24="?","? "," ")&amp;D24&amp;" { get; set; }" &amp; "
"</f>
        <v xml:space="preserve">		public virtual string Remark { get; set; }
</v>
      </c>
      <c r="N24" t="str">
        <f t="shared" ref="N24" si="120">IF(C24="Checked","",$I$3)&amp;IF(H24="string",REPT(CHAR(9),2)&amp;"[StringLength("&amp;$B$3&amp;"Consts.Max"&amp;D24&amp;"Length"&amp;")]"&amp;$E$3,"")&amp;REPT(CHAR(9),2)&amp;"public virtual "&amp;IF(OR(H24="DateTime",H24="TimeSpan"),H24&amp;"?",H24)&amp;IF(C24="?","? "," ")&amp;D24&amp;" { get; set; }" &amp; "
"</f>
        <v xml:space="preserve">		[StringLength(MstLgaBp2PartListConsts.MaxRemarkLength)]
		public virtual string Remark { get; set; }
</v>
      </c>
      <c r="O24" t="str">
        <f t="shared" ref="O24" si="121">IF(OR(H24="string",H24="DateTime",H24="int"),REPT(CHAR(9),2)&amp;"public virtual "&amp;IF(OR(H24="DateTime",H24="TimeSpan"),H24&amp;"?",H24)&amp;IF(C24="?","? "," ")&amp;D24&amp;" { get; set; }"&amp;$E$3,"")</f>
        <v xml:space="preserve">		public virtual string Remark { get; set; }
</v>
      </c>
      <c r="P24" t="str">
        <f t="shared" ref="P24" si="122">REPT(CHAR(9),7)&amp;D24&amp;" = o." &amp;D24 &amp;","</f>
        <v xml:space="preserve">							Remark = o.Remark,</v>
      </c>
      <c r="T24" s="69" t="str">
        <f t="shared" ref="T24" si="123">REPT(CHAR(9),8)&amp;"("""&amp;D24&amp;"""),"</f>
        <v xml:space="preserve">								("Remark"),</v>
      </c>
      <c r="V24" s="70" t="str">
        <f t="shared" ref="V24" si="124">REPT(CHAR(9),8)&amp;"_ =&gt; _."&amp;D24&amp;","</f>
        <v xml:space="preserve">								_ =&gt; _.Remark,</v>
      </c>
      <c r="W24" s="69" t="str">
        <f t="shared" ref="W24" si="125">IF(H24="string",REPT(CHAR(9),4)&amp;".WhereIf(!string.IsNullOrWhiteSpace(input."&amp;D24&amp;"), e =&gt; e."&amp;D24&amp;".Contains(input."&amp;D24&amp;"))",IF(H24="DateTime",REPT(CHAR(9),4)&amp;".WhereIf(input."&amp;D24&amp;".HasValue, t =&gt; t."&amp;D24&amp;" == input."&amp;D24&amp;".Value)",""))</f>
        <v xml:space="preserve">				.WhereIf(!string.IsNullOrWhiteSpace(input.Remark), e =&gt; e.Remark.Contains(input.Remark))</v>
      </c>
    </row>
    <row r="25" spans="1:23" customFormat="1" ht="22.5" customHeight="1" x14ac:dyDescent="0.2">
      <c r="A25" t="s">
        <v>325</v>
      </c>
      <c r="B25" t="s">
        <v>326</v>
      </c>
      <c r="C25" t="s">
        <v>1</v>
      </c>
      <c r="D25" t="str">
        <f>SUBSTITUTE(PROPER(A25),"_","")</f>
        <v>IsActive</v>
      </c>
      <c r="E25" t="str">
        <f t="shared" si="11"/>
        <v>varchar</v>
      </c>
      <c r="F25" s="7"/>
      <c r="G25" t="str">
        <f t="shared" si="12"/>
        <v>1</v>
      </c>
      <c r="H25" t="str">
        <f>+VLOOKUP(E25,'Data Type Mapping'!A:B,2,)</f>
        <v>string</v>
      </c>
      <c r="I25" t="str">
        <f t="shared" si="13"/>
        <v xml:space="preserve">		public const int MaxIsActiveLength = 1;
</v>
      </c>
      <c r="J25" t="str">
        <f t="shared" si="14"/>
        <v xml:space="preserve">		[StringLength(MaxIsActiveLength)]
		public virtual string IsActive { get; set; }
</v>
      </c>
      <c r="K25" s="7" t="s">
        <v>206</v>
      </c>
      <c r="L25" t="str">
        <f>IF(K25="","",REPT(CHAR(9),1)&amp;"[Index(nameof("&amp;IF(D25="","",""&amp;D25)&amp;")"&amp;", Name="&amp;"""IX_"&amp;$B$7&amp;"_"&amp;D25&amp;""")]")</f>
        <v xml:space="preserve">	[Index(nameof(IsActive), Name="IX_MstLgaBp2PartList_IsActive")]</v>
      </c>
      <c r="M25" t="str">
        <f t="shared" si="15"/>
        <v xml:space="preserve">		public virtual string IsActive { get; set; }
</v>
      </c>
      <c r="N25" t="str">
        <f t="shared" si="16"/>
        <v xml:space="preserve">		[StringLength(MstLgaBp2PartListConsts.MaxIsActiveLength)]
		public virtual string IsActive { get; set; }
</v>
      </c>
      <c r="O25" t="str">
        <f t="shared" si="17"/>
        <v xml:space="preserve">		public virtual string IsActive { get; set; }
</v>
      </c>
      <c r="P25" t="str">
        <f t="shared" si="18"/>
        <v xml:space="preserve">							IsActive = o.IsActive,</v>
      </c>
      <c r="T25" s="69" t="str">
        <f t="shared" si="19"/>
        <v xml:space="preserve">								("IsActive"),</v>
      </c>
      <c r="V25" s="70" t="str">
        <f t="shared" si="20"/>
        <v xml:space="preserve">								_ =&gt; _.IsActive,</v>
      </c>
      <c r="W25" s="69" t="str">
        <f t="shared" si="21"/>
        <v xml:space="preserve">				.WhereIf(!string.IsNullOrWhiteSpace(input.IsActive), e =&gt; e.IsActive.Contains(input.IsActive))</v>
      </c>
    </row>
    <row r="27" spans="1:23" ht="45.75" customHeight="1" x14ac:dyDescent="0.2">
      <c r="H27" s="12"/>
      <c r="I27" s="34" t="str">
        <f ca="1">TEXTJOIN2("
", TRUE,INDIRECT( $H$1):INDIRECT( $H$3))</f>
        <v xml:space="preserve">		public const int MaxPartNoLength = 50;
		public const int MaxPartNameLength = 500;
		public const int MaxProdLineLength = 50;
		public const int MaxGradeLength = 50;
		public const int MaxModelLength = 50;
		public const int MaxModuleLength = 50;
		public const int MaxPikLocTypeLength = 50;
		public const int MaxPikAddressLength = 50;
		public const int MaxPikAddressDisplayLength = 50;
		public const int MaxDelLocTypeLength = 50;
		public const int MaxDelAddressLength = 50;
		public const int MaxDelAddressDisplayLength = 50;
		public const int MaxRemarkLength = 500;
		public const int MaxIsActiveLength = 1;
</v>
      </c>
      <c r="J27" s="33" t="str">
        <f ca="1">TEXTJOIN2("
", TRUE,INDIRECT( $F$1):INDIRECT( $F$3))</f>
        <v xml:space="preserve">		[StringLength(MaxPartNoLength)]
		public virtual string PartNo { get; set; }
		[StringLength(MaxPartNameLength)]
		public virtual string PartName { get; set; }
		[Column(TypeName="bigint")]
		public virtual long PartListId { get; set; }
		[StringLength(MaxProdLineLength)]
		public virtual string ProdLine { get; set; }
		[StringLength(MaxGradeLength)]
		public virtual string Grade { get; set; }
		public virtual int UsageQty { get; set; }
		[StringLength(MaxModelLength)]
		public virtual string Model { get; set; }
		[StringLength(MaxModuleLength)]
		public virtual string Module { get; set; }
		[StringLength(MaxPikLocTypeLength)]
		public virtual string PikLocType { get; set; }
		[StringLength(MaxPikAddressLength)]
		public virtual string PikAddress { get; set; }
		[StringLength(MaxPikAddressDisplayLength)]
		public virtual string PikAddressDisplay { get; set; }
		[StringLength(MaxDelLocTypeLength)]
		public virtual string DelLocType { get; set; }
		[StringLength(MaxDelAddressLength)]
		public virtual string DelAddress { get; set; }
		[StringLength(MaxDelAddressDisplayLength)]
		public virtual string DelAddressDisplay { get; set; }
		public virtual int Sorting { get; set; }
		[StringLength(MaxRemarkLength)]
		public virtual string Remark { get; set; }
		[StringLength(MaxIsActiveLength)]
		public virtual string IsActive { get; set; }
</v>
      </c>
      <c r="K27" s="35" t="str">
        <f ca="1">TEXTJOIN2("
", TRUE,INDIRECT( $J$1):INDIRECT( $J$3))</f>
        <v xml:space="preserve">	[Index(nameof(IsActive), Name="IX_MstLgaBp2PartList_IsActive")]</v>
      </c>
      <c r="L27" s="13" t="s">
        <v>60</v>
      </c>
      <c r="M27" s="36" t="str">
        <f ca="1">TEXTJOIN2("
",TRUE,INDIRECT( $L$1):INDIRECT($L$3))</f>
        <v xml:space="preserve">		public virtual string PartNo { get; set; }
		public virtual string PartName { get; set; }
		public virtual long PartListId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</v>
      </c>
      <c r="N27" s="33" t="str">
        <f ca="1">TEXTJOIN2("
",TRUE,INDIRECT( $M$1):INDIRECT($M$3))</f>
        <v xml:space="preserve">		[StringLength(MstLgaBp2PartListConsts.MaxPartNoLength)]
		public virtual string PartNo { get; set; }
		[StringLength(MstLgaBp2PartListConsts.MaxPartNameLength)]
		public virtual string PartName { get; set; }
		public virtual long PartListId { get; set; }
		[StringLength(MstLgaBp2PartListConsts.MaxProdLineLength)]
		public virtual string ProdLine { get; set; }
		[StringLength(MstLgaBp2PartListConsts.MaxGradeLength)]
		public virtual string Grade { get; set; }
		public virtual int UsageQty { get; set; }
		[StringLength(MstLgaBp2PartListConsts.MaxModelLength)]
		public virtual string Model { get; set; }
		[StringLength(MstLgaBp2PartListConsts.MaxModuleLength)]
		public virtual string Module { get; set; }
		[StringLength(MstLgaBp2PartListConsts.MaxPikLocTypeLength)]
		public virtual string PikLocType { get; set; }
		[StringLength(MstLgaBp2PartListConsts.MaxPikAddressLength)]
		public virtual string PikAddress { get; set; }
		[StringLength(MstLgaBp2PartListConsts.MaxPikAddressDisplayLength)]
		public virtual string PikAddressDisplay { get; set; }
		[StringLength(MstLgaBp2PartListConsts.MaxDelLocTypeLength)]
		public virtual string DelLocType { get; set; }
		[StringLength(MstLgaBp2PartListConsts.MaxDelAddressLength)]
		public virtual string DelAddress { get; set; }
		[StringLength(MstLgaBp2PartListConsts.MaxDelAddressDisplayLength)]
		public virtual string DelAddressDisplay { get; set; }
		public virtual int Sorting { get; set; }
		[StringLength(MstLgaBp2PartListConsts.MaxRemarkLength)]
		public virtual string Remark { get; set; }
		[StringLength(MstLgaBp2PartListConsts.MaxIsActiveLength)]
		public virtual string IsActive { get; set; }
</v>
      </c>
      <c r="O27" s="33" t="str">
        <f ca="1">TEXTJOIN2("
",TRUE,INDIRECT( $N$1):INDIRECT($N$3))</f>
        <v xml:space="preserve">		public virtual string PartNo { get; set; }
		public virtual string PartName { get; set; }
		public virtual string ProdLine { get; set; }
		public virtual string Grade { get; set; }
		public virtual int UsageQty { get; set; }
		public virtual string Model { get; set; }
		public virtual string Module { get; set; }
		public virtual string PikLocType { get; set; }
		public virtual string PikAddress { get; set; }
		public virtual string PikAddressDisplay { get; set; }
		public virtual string DelLocType { get; set; }
		public virtual string DelAddress { get; set; }
		public virtual string DelAddressDisplay { get; set; }
		public virtual int Sorting { get; set; }
		public virtual string Remark { get; set; }
		public virtual string IsActive { get; set; }
</v>
      </c>
      <c r="P27" s="9" t="str">
        <f ca="1">TEXTJOIN2("
",TRUE,INDIRECT( $O$1):INDIRECT($O$3))</f>
        <v xml:space="preserve">							PartNo = o.PartNo,
							PartName = o.PartName,
							PartListId = o.PartListId,
							ProdLine = o.ProdLine,
							Grade = o.Grade,
							UsageQty = o.UsageQty,
							Model = o.Model,
							Module = o.Module,
							PikLocType = o.PikLocType,
							PikAddress = o.PikAddress,
							PikAddressDisplay = o.PikAddressDisplay,
							DelLocType = o.DelLocType,
							DelAddress = o.DelAddress,
							DelAddressDisplay = o.DelAddressDisplay,
							Sorting = o.Sorting,
							Remark = o.Remark,
							IsActive = o.IsActive,</v>
      </c>
      <c r="T27" s="9" t="str">
        <f ca="1">TEXTJOIN2("
",TRUE,INDIRECT( $T$2):INDIRECT($T$3))</f>
        <v xml:space="preserve">								("PartNo"),
								("PartName"),
								("PartListId"),
								("ProdLine"),
								("Grade"),
								("UsageQty"),
								("Model"),
								("Module"),
								("PikLocType"),
								("PikAddress"),
								("PikAddressDisplay"),
								("DelLocType"),
								("DelAddress"),
								("DelAddressDisplay"),
								("Sorting"),
								("Remark"),
								("IsActive"),</v>
      </c>
      <c r="V27" s="9" t="str">
        <f ca="1">TEXTJOIN2("
",TRUE,INDIRECT( $V$2):INDIRECT($V$3))</f>
        <v xml:space="preserve">								_ =&gt; _.PartNo,
								_ =&gt; _.PartName,
								_ =&gt; _.PartListId,
								_ =&gt; _.ProdLine,
								_ =&gt; _.Grade,
								_ =&gt; _.UsageQty,
								_ =&gt; _.Model,
								_ =&gt; _.Module,
								_ =&gt; _.PikLocType,
								_ =&gt; _.PikAddress,
								_ =&gt; _.PikAddressDisplay,
								_ =&gt; _.DelLocType,
								_ =&gt; _.DelAddress,
								_ =&gt; _.DelAddressDisplay,
								_ =&gt; _.Sorting,
								_ =&gt; _.Remark,
								_ =&gt; _.IsActive,</v>
      </c>
      <c r="W27" s="9" t="str">
        <f ca="1">TEXTJOIN2("
",TRUE,INDIRECT( $W$2):INDIRECT($W$3))</f>
        <v xml:space="preserve">				.WhereIf(!string.IsNullOrWhiteSpace(input.PartNo), e =&gt; e.PartNo.Contains(input.PartNo))
				.WhereIf(!string.IsNullOrWhiteSpace(input.PartName), e =&gt; e.PartName.Contains(input.PartName))
				.WhereIf(!string.IsNullOrWhiteSpace(input.ProdLine), e =&gt; e.ProdLine.Contains(input.ProdLine))
				.WhereIf(!string.IsNullOrWhiteSpace(input.Grade), e =&gt; e.Grade.Contains(input.Grade))
				.WhereIf(!string.IsNullOrWhiteSpace(input.Model), e =&gt; e.Model.Contains(input.Model))
				.WhereIf(!string.IsNullOrWhiteSpace(input.Module), e =&gt; e.Module.Contains(input.Module))
				.WhereIf(!string.IsNullOrWhiteSpace(input.PikLocType), e =&gt; e.PikLocType.Contains(input.PikLocType))
				.WhereIf(!string.IsNullOrWhiteSpace(input.PikAddress), e =&gt; e.PikAddress.Contains(input.PikAddress))
				.WhereIf(!string.IsNullOrWhiteSpace(input.PikAddressDisplay), e =&gt; e.PikAddressDisplay.Contains(input.PikAddressDisplay))
				.WhereIf(!string.IsNullOrWhiteSpace(input.DelLocType), e =&gt; e.DelLocType.Contains(input.DelLocType))
				.WhereIf(!string.IsNullOrWhiteSpace(input.DelAddress), e =&gt; e.DelAddress.Contains(input.DelAddress))
				.WhereIf(!string.IsNullOrWhiteSpace(input.DelAddressDisplay), e =&gt; e.DelAddressDisplay.Contains(input.DelAddressDisplay))
				.WhereIf(!string.IsNullOrWhiteSpace(input.Remark), e =&gt; e.Remark.Contains(input.Remark))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V34"/>
  <sheetViews>
    <sheetView tabSelected="1" zoomScaleNormal="100" workbookViewId="0">
      <selection activeCell="B26" sqref="B26"/>
    </sheetView>
  </sheetViews>
  <sheetFormatPr baseColWidth="10" defaultColWidth="8.83203125" defaultRowHeight="15" x14ac:dyDescent="0.2"/>
  <cols>
    <col min="1" max="1" width="17.6640625" customWidth="1"/>
    <col min="2" max="2" width="15.5" customWidth="1"/>
    <col min="3" max="3" width="16.83203125" customWidth="1"/>
    <col min="4" max="7" width="15.1640625" customWidth="1"/>
    <col min="8" max="8" width="24.5" customWidth="1"/>
    <col min="9" max="9" width="26.1640625" customWidth="1"/>
    <col min="10" max="10" width="22.33203125" customWidth="1"/>
    <col min="11" max="11" width="25.83203125" customWidth="1"/>
    <col min="12" max="12" width="23.6640625" customWidth="1"/>
    <col min="13" max="13" width="23.5" customWidth="1"/>
    <col min="14" max="15" width="20.5" customWidth="1"/>
    <col min="16" max="16" width="25.83203125" customWidth="1"/>
    <col min="17" max="18" width="25.5" customWidth="1"/>
    <col min="19" max="19" width="24" customWidth="1"/>
    <col min="20" max="20" width="19.1640625" customWidth="1"/>
    <col min="21" max="21" width="19.83203125" customWidth="1"/>
    <col min="22" max="22" width="13.6640625" customWidth="1"/>
  </cols>
  <sheetData>
    <row r="1" spans="1:22" ht="32" x14ac:dyDescent="0.2">
      <c r="A1" s="41" t="s">
        <v>212</v>
      </c>
      <c r="B1" s="42" t="s">
        <v>334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ht="16" x14ac:dyDescent="0.2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ht="16" x14ac:dyDescent="0.2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">
      <c r="A6" s="41" t="s">
        <v>224</v>
      </c>
      <c r="B6" s="44" t="str">
        <f>A.Backend!B3</f>
        <v>MstLgaBp2PartList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">
      <c r="A7" s="41" t="s">
        <v>215</v>
      </c>
      <c r="B7" s="43" t="str">
        <f>A.Backend!B5</f>
        <v>Bp2PartList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">
      <c r="A8" s="41" t="s">
        <v>213</v>
      </c>
      <c r="B8" s="43" t="str">
        <f>LOWER(B7)</f>
        <v>bp2partlist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MstLgaBp2PartListDto, MstLgaBp2PartListServiceProxy } from '@shared/service-proxies/service-proxies';
import { finalize } from 'rxjs/internal/operators/finalize';
import { CreateOrEditBp2PartListModalComponent } from './create-or-edit-bp2partlist-modal.component';
import { DatePipe } from '@angular/common';
import { FileDownloadService } from '@shared/utils/file-download.service';
import ceil from 'lodash-es/ceil';
import { Paginator } from 'primeng/paginator';
@Component({
    templateUrl: './bp2partlist.component.html',
    styleUrls: ['./bp2partlist.component.less'],
})
export class Bp2PartListComponent extends AppComponentBase implements OnInit {
    @ViewChild('createOrEditModalBp2PartList', { static: true }) createOrEditModalBp2PartList:| CreateOrEditBp2PartListModalComponent|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MstLgaBp2PartListDto = new MstLgaBp2PartListDto();
    saveSelectedRow: MstLgaBp2PartListDto = new MstLgaBp2PartListDto();
    datas: MstLgaBp2PartListDto = new MstLgaBp2PartListDto();
    isLoading: boolean = false;
    dataParams: GridParams | undefined;
    rowData: any[] = [];
    gridApi!: GridApi;
    rowSelection = 'multiple';
    filter: string = '';
	pipe = new DatePipe('en-US');
	frameworkComponents: FrameworkComponent;
    partNo : string = '' ; 
	partName : string = '' ; 
	partListId
	prodLine : string = '' ; 
	grade : string = '' ; 
	usageQty : number = 0 ;
	model : string = '' ; 
	module : string = '' ; 
	pikLocType : string = '' ; 
	pikAddress : string = '' ; 
	pikAddressDisplay : string = '' ; 
	delLocType : string = '' ; 
	delAddress : string = '' ; 
	delAddressDisplay : string = '' ; 
	sorting : number = 0 ;
	remark : string = '' ; 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MstLgaBp2PartListServiceProxy,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this.l('Part No'),headerTooltip: this.l('Part No'),field: 'partNo',flex: 1},
			{headerName: this.l('Part Name'),headerTooltip: this.l('Part Name'),field: 'partName',flex: 1},
			{headerName: this.l('Part List Id'),headerTooltip: this.l('Part List Id'),field: 'partListId',flex: 1},
			{headerName: this.l('Prod Line'),headerTooltip: this.l('Prod Line'),field: 'prodLine',flex: 1},
			{headerName: this.l('Grade'),headerTooltip: this.l('Grade'),field: 'grade',flex: 1},
			{headerName: this.l('Usage Qty'),headerTooltip: this.l('Usage Qty'),field: 'usageQty',flex: 1},
			{headerName: this.l('Model'),headerTooltip: this.l('Model'),field: 'model',flex: 1},
			{headerName: this.l('Module'),headerTooltip: this.l('Module'),field: 'module',flex: 1},
			{headerName: this.l('Pik Loc Type'),headerTooltip: this.l('Pik Loc Type'),field: 'pikLocType',flex: 1},
			{headerName: this.l('Pik Address'),headerTooltip: this.l('Pik Address'),field: 'pikAddress',flex: 1},
			{headerName: this.l('Pik Address Display'),headerTooltip: this.l('Pik Address Display'),field: 'pikAddressDisplay',flex: 1},
			{headerName: this.l('Del Loc Type'),headerTooltip: this.l('Del Loc Type'),field: 'delLocType',flex: 1},
			{headerName: this.l('Del Address'),headerTooltip: this.l('Del Address'),field: 'delAddress',flex: 1},
			{headerName: this.l('Del Address Display'),headerTooltip: this.l('Del Address Display'),field: 'delAddressDisplay',flex: 1},
			{headerName: this.l('Sorting'),headerTooltip: this.l('Sorting'),field: 'sorting',flex: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this.partNo = '',
		this.partName = '',
		this.partListId = '',
		this.prodLine = '',
		this.grade = '',
		this.usageQty = 0,
		this.model = '',
		this.module = '',
		this.pikLocType = '',
		this.pikAddress = '',
		this.pikAddressDisplay = '',
		this.delLocType = '',
		this.delAddress = '',
		this.delAddressDisplay = '',
		this.sorting = 0,
		this.remark = '',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			'',
            this.paginationParams.skipCount,
            this.paginationParams.pageSize
        );
    }
    onChangeRowSelection(params: { api: { getSelectedRows: () =&gt; MstLgaBp2PartListDto[] } }) {
        this.saveSelectedRow = params.api.getSelectedRows()[0] ?? new MstLgaBp2PartListDto();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MstLgaBp2PartListDto):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this._service.getBp2PartListToExcel(
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LA Big Part 2x2 Part List Grade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[(ngModel)]='pikLocType' name='pikLocType'
									class='form-control' [placeholder]="l('Pik Loc Type')"
									type='text' (keyup.enter)='searchDatas()'&gt;
								&lt;/div&gt;
								&lt;div class='input-search'&gt;
									&lt;input [(ngModel)]='pikAddress' name='pikAddress'
									class='form-control' [placeholder]="l('Pik Address')"
									type='text' (keyup.enter)='searchDatas()'&gt;
								&lt;/div&gt;
								&lt;div class='input-search'&gt;
									&lt;input [(ngModel)]='pikAddressDisplay' name='pikAddressDisplay'
									class='form-control' [placeholder]="l('Pik Address Display')"
									type='text' (keyup.enter)='searchDatas()'&gt;
								&lt;/div&gt;
								&lt;div class='input-search'&gt;
									&lt;input [(ngModel)]='delLocType' name='delLocType'
									class='form-control' [placeholder]="l('Del Loc Type')"
									type='text' (keyup.enter)='searchDatas()'&gt;
								&lt;/div&gt;
								&lt;div class='input-search'&gt;
									&lt;input [(ngModel)]='delAddress' name='delAddress'
									class='form-control' [placeholder]="l('Del Address')"
									type='text' (keyup.enter)='searchDatas()'&gt;
								&lt;/div&gt;
								&lt;div class='input-search'&gt;
									&lt;input [(ngModel)]='delAddressDisplay' name='delAddressDisplay'
									class='form-control' [placeholder]="l('Del Address Display')"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(click)="createOrEditModalBp2PartList.show()"&gt;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(click)="createOrEditModalBp2PartList.show(selectedRow)"&gt;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&lt;create-or-edit-bp2partlist-modal
    #createOrEditModalBp2PartList
    (modalSave)="callBackDataGrid(dataParams)"
    (modalClose)="onChangeRowSelection(dataParams)"
&gt;
&lt;/create-or-edit-bp2partlist-modal&gt;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#createOrEditModalBp2PartList="bs-modal"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Bp2PartList')}}&lt;/h3&gt;
                    &lt;h3 *ngIf="!rowdata.id"&gt;{{('Create New Bp2PartList')}}&lt;/h3&gt;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title'&gt;Pik Loc Type&lt;/label&gt;
						&lt;input type='text' class='col-md-10 form-control input-text' name='PikLocType' [(ngModel)]='rowdata.pikLocType'&gt;
					&lt;/div&gt;
					&lt;div class='col-md-12 form-group row'&gt;
						&lt;label class='col-md-2 form-control title'&gt;Pik Address&lt;/label&gt;
						&lt;input type='text' class='col-md-10 form-control input-text' name='PikAddress' [(ngModel)]='rowdata.pikAddress'&gt;
					&lt;/div&gt;
					&lt;div class='col-md-12 form-group row'&gt;
						&lt;label class='col-md-2 form-control title'&gt;Pik Address Display&lt;/label&gt;
						&lt;input type='text' class='col-md-10 form-control input-text' name='PikAddressDisplay' [(ngModel)]='rowdata.pikAddressDisplay'&gt;
					&lt;/div&gt;
					&lt;div class='col-md-12 form-group row'&gt;
						&lt;label class='col-md-2 form-control title'&gt;Del Loc Type&lt;/label&gt;
						&lt;input type='text' class='col-md-10 form-control input-text' name='DelLocType' [(ngModel)]='rowdata.delLocType'&gt;
					&lt;/div&gt;
					&lt;div class='col-md-12 form-group row'&gt;
						&lt;label class='col-md-2 form-control title'&gt;Del Address&lt;/label&gt;
						&lt;input type='text' class='col-md-10 form-control input-text' name='DelAddress' [(ngModel)]='rowdata.delAddress'&gt;
					&lt;/div&gt;
					&lt;div class='col-md-12 form-group row'&gt;
						&lt;label class='col-md-2 form-control title'&gt;Del Address Display&lt;/label&gt;
						&lt;input type='text' class='col-md-10 form-control input-text' name='DelAddressDisplay' [(ngModel)]='rowdata.delAddressDisplay'&gt;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CreateOrEditMstLgaBp2PartListDto, MstLgaBp2PartListServiceProxy } from '@shared/service-proxies/service-proxies';
import { BsDatepickerDirective } from 'ngx-bootstrap/datepicker';
@Component({
    selector: 'create-or-edit-bp2partlist-modal',
    templateUrl: './create-or-edit-bp2partlist-modal.component.html',
    styleUrls: ['./create-or-edit-bp2partlist-modal.component.less']
    })
export class CreateOrEditBp2PartListModalComponent extends AppComponentBase {
    @ViewChild('createOrEditModalBp2PartList',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CreateOrEditMstLgaBp2PartListDto = new CreateOrEditMstLgaBp2PartListDto();
    active: boolean = false;
    saving: boolean = false;
    _isActive: boolean;
    constructor(
        injector: Injector,
        private _mstwptBp2PartListService: MstLgaBp2PartListServiceProxy,
    ) 
    {
        super(injector);
    }
    show(rowdata?: CreateOrEditMstLgaBp2PartListDto): void {
        if (!rowdata) this.rowdata = new CreateOrEditMstLgaBp2PartListDto();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this._mstwptBp2PartListService.createOrEdit(this.rowdata)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Bp2PartListRoutingModule } from './bp2partlist-routing.module';
import { Bp2PartListComponent } from './bp2partlist.component';
import { CreateOrEditBp2PartListModalComponent } from './create-or-edit-bp2partlist-modal.component';
@NgModule({
    declarations: [
       Bp2PartListComponent, 
        CreateOrEditBp2PartListModalComponent
    ],
    imports: [
        AppSharedModule, Bp2PartListRoutingModule]
})
export class Bp2PartListModule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Bp2PartListComponent } from './bp2partlist.component';
const routes: Routes = [{
    path: '',
    component: Bp2PartListComponent,
    pathMatch: 'full'
}];
@NgModule({
    imports: [RouterModule.forChild(routes)],
    exports: [RouterModule],
})
export class Bp2PartListRoutingModule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AppMenuItem("Bp2PartList", "Pages.Master.LogA.Bp2PartList", "flaticon-book",   "/app/main/master/loga/bp2partlist"),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'master/loga/bp2partlist',
    loadChildren: () =&gt; import('./master/loga/bp2partlist/bp2partlist.module').then(m =&gt; m.Bp2PartListModule),
    data: { permission: 'Pages.Master.LogA.Bp2PartList' }
},</v>
      </c>
      <c r="R10" s="50" t="str">
        <f>SUBSTITUTE(R9,"MstWptCalendar",$B$6)</f>
        <v>ApiServiceProxies.MstLgaBp2PartListServiceProxy,</v>
      </c>
      <c r="S10" s="31"/>
      <c r="T10" s="31"/>
      <c r="U10" s="31"/>
      <c r="V10" s="31"/>
    </row>
    <row r="11" spans="1:22" x14ac:dyDescent="0.2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H31</v>
      </c>
      <c r="I12" s="31" t="str">
        <f>"I"&amp;COUNTA($A:$A)</f>
        <v>I31</v>
      </c>
      <c r="J12" s="31"/>
      <c r="K12" s="31" t="str">
        <f>"K"&amp;COUNTA($A:$A)</f>
        <v>K31</v>
      </c>
      <c r="L12" s="31" t="str">
        <f>"L"&amp;COUNTA($A:$A)</f>
        <v>L31</v>
      </c>
      <c r="M12" s="31"/>
      <c r="N12" s="31"/>
      <c r="O12" s="31"/>
      <c r="P12" s="31"/>
      <c r="Q12" s="31"/>
      <c r="R12" s="31"/>
      <c r="S12" s="31" t="str">
        <f>"S"&amp;COUNTA($A:$A)</f>
        <v>S31</v>
      </c>
      <c r="T12" s="31" t="str">
        <f>"T"&amp;COUNTA($A:$A)</f>
        <v>T31</v>
      </c>
      <c r="U12" s="31" t="str">
        <f>"U"&amp;COUNTA($A:$A)</f>
        <v>U31</v>
      </c>
      <c r="V12" s="31" t="str">
        <f>"V"&amp;COUNTA($A:$A)</f>
        <v>V31</v>
      </c>
    </row>
    <row r="13" spans="1:22" ht="17.25" customHeight="1" x14ac:dyDescent="0.2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this.l('Part No'),headerTooltip: this.l('Part No'),field: 'partNo',flex: 1},
			{headerName: this.l('Part Name'),headerTooltip: this.l('Part Name'),field: 'partName',flex: 1},
			{headerName: this.l('Part List Id'),headerTooltip: this.l('Part List Id'),field: 'partListId',flex: 1},
			{headerName: this.l('Prod Line'),headerTooltip: this.l('Prod Line'),field: 'prodLine',flex: 1},
			{headerName: this.l('Grade'),headerTooltip: this.l('Grade'),field: 'grade',flex: 1},
			{headerName: this.l('Usage Qty'),headerTooltip: this.l('Usage Qty'),field: 'usageQty',flex: 1},
			{headerName: this.l('Model'),headerTooltip: this.l('Model'),field: 'model',flex: 1},
			{headerName: this.l('Module'),headerTooltip: this.l('Module'),field: 'module',flex: 1},
			{headerName: this.l('Pik Loc Type'),headerTooltip: this.l('Pik Loc Type'),field: 'pikLocType',flex: 1},
			{headerName: this.l('Pik Address'),headerTooltip: this.l('Pik Address'),field: 'pikAddress',flex: 1},
			{headerName: this.l('Pik Address Display'),headerTooltip: this.l('Pik Address Display'),field: 'pikAddressDisplay',flex: 1},
			{headerName: this.l('Del Loc Type'),headerTooltip: this.l('Del Loc Type'),field: 'delLocType',flex: 1},
			{headerName: this.l('Del Address'),headerTooltip: this.l('Del Address'),field: 'delAddress',flex: 1},
			{headerName: this.l('Del Address Display'),headerTooltip: this.l('Del Address Display'),field: 'delAddressDisplay',flex: 1},
			{headerName: this.l('Sorting'),headerTooltip: this.l('Sorting'),field: 'sorting',flex: 1},
			{headerName: this.l('Remark'),headerTooltip: this.l('Remark'),field: 'remark',flex: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[(ngModel)]='partNo' name='partNo'
									class='form-control' [placeholder]="l('Part No')"
									type='text' (keyup.enter)='searchDatas()'&gt;
								&lt;/div&gt;
								&lt;div class='input-search'&gt;
									&lt;input [(ngModel)]='partName' name='partName'
									class='form-control' [placeholder]="l('Part Name')"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[(ngModel)]='grade' name='grade'
									class='form-control' [placeholder]="l('Grade')"
									type='text' (keyup.enter)='searchDatas()'&gt;
								&lt;/div&gt;
								&lt;div class='input-search'&gt;
									&lt;input [(ngModel)]='model' name='model'
									class='form-control' [placeholder]="l('Model')"
									type='text' (keyup.enter)='searchDatas()'&gt;
								&lt;/div&gt;
								&lt;div class='input-search'&gt;
									&lt;input [(ngModel)]='module' name='module'
									class='form-control' [placeholder]="l('Module')"
									type='text' (keyup.enter)='searchDatas()'&gt;
								&lt;/div&gt;
								&lt;div class='input-search'&gt;
									&lt;input [(ngModel)]='pikLocType' name='pikLocType'
									class='form-control' [placeholder]="l('Pik Loc Type')"
									type='text' (keyup.enter)='searchDatas()'&gt;
								&lt;/div&gt;
								&lt;div class='input-search'&gt;
									&lt;input [(ngModel)]='pikAddress' name='pikAddress'
									class='form-control' [placeholder]="l('Pik Address')"
									type='text' (keyup.enter)='searchDatas()'&gt;
								&lt;/div&gt;
								&lt;div class='input-search'&gt;
									&lt;input [(ngModel)]='pikAddressDisplay' name='pikAddressDisplay'
									class='form-control' [placeholder]="l('Pik Address Display')"
									type='text' (keyup.enter)='searchDatas()'&gt;
								&lt;/div&gt;
								&lt;div class='input-search'&gt;
									&lt;input [(ngModel)]='delLocType' name='delLocType'
									class='form-control' [placeholder]="l('Del Loc Type')"
									type='text' (keyup.enter)='searchDatas()'&gt;
								&lt;/div&gt;
								&lt;div class='input-search'&gt;
									&lt;input [(ngModel)]='delAddress' name='delAddress'
									class='form-control' [placeholder]="l('Del Address')"
									type='text' (keyup.enter)='searchDatas()'&gt;
								&lt;/div&gt;
								&lt;div class='input-search'&gt;
									&lt;input [(ngModel)]='delAddressDisplay' name='delAddressDisplay'
									class='form-control' [placeholder]="l('Del Address Display')"
									type='text' (keyup.enter)='searchDatas()'&gt;
								&lt;/div&gt;
								&lt;div class='input-search'&gt;
									&lt;input [(ngModel)]='remark' name='remark'
									class='form-control' [placeholder]="l('Remark')"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
					&lt;div class='col-md-12 form-group row'&gt;
						&lt;label class='col-md-2 form-control title'&gt;Part Name&lt;/label&gt;
						&lt;input type='text' class='col-md-10 form-control input-text' name='PartName' [(ngModel)]='rowdata.partName'&gt;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title'&gt;Grade&lt;/label&gt;
						&lt;input type='text' class='col-md-10 form-control input-text' name='Grade' [(ngModel)]='rowdata.grade'&gt;
					&lt;/div&gt;
					&lt;div class='col-md-12 form-group row'&gt;
						&lt;label class='col-md-2 form-control title'&gt;Usage Qty&lt;/label&gt;
						&lt;input type='number' class='col-md-10 form-control input-text' name='UsageQty' [(ngModel)]='rowdata.usageQty'&gt;
					&lt;/div&gt;
					&lt;div class='col-md-12 form-group row'&gt;
						&lt;label class='col-md-2 form-control title'&gt;Model&lt;/label&gt;
						&lt;input type='text' class='col-md-10 form-control input-text' name='Model' [(ngModel)]='rowdata.model'&gt;
					&lt;/div&gt;
					&lt;div class='col-md-12 form-group row'&gt;
						&lt;label class='col-md-2 form-control title'&gt;Module&lt;/label&gt;
						&lt;input type='text' class='col-md-10 form-control input-text' name='Module' [(ngModel)]='rowdata.module'&gt;
					&lt;/div&gt;
					&lt;div class='col-md-12 form-group row'&gt;
						&lt;label class='col-md-2 form-control title'&gt;Pik Loc Type&lt;/label&gt;
						&lt;input type='text' class='col-md-10 form-control input-text' name='PikLocType' [(ngModel)]='rowdata.pikLocType'&gt;
					&lt;/div&gt;
					&lt;div class='col-md-12 form-group row'&gt;
						&lt;label class='col-md-2 form-control title'&gt;Pik Address&lt;/label&gt;
						&lt;input type='text' class='col-md-10 form-control input-text' name='PikAddress' [(ngModel)]='rowdata.pikAddress'&gt;
					&lt;/div&gt;
					&lt;div class='col-md-12 form-group row'&gt;
						&lt;label class='col-md-2 form-control title'&gt;Pik Address Display&lt;/label&gt;
						&lt;input type='text' class='col-md-10 form-control input-text' name='PikAddressDisplay' [(ngModel)]='rowdata.pikAddressDisplay'&gt;
					&lt;/div&gt;
					&lt;div class='col-md-12 form-group row'&gt;
						&lt;label class='col-md-2 form-control title'&gt;Del Loc Type&lt;/label&gt;
						&lt;input type='text' class='col-md-10 form-control input-text' name='DelLocType' [(ngModel)]='rowdata.delLocType'&gt;
					&lt;/div&gt;
					&lt;div class='col-md-12 form-group row'&gt;
						&lt;label class='col-md-2 form-control title'&gt;Del Address&lt;/label&gt;
						&lt;input type='text' class='col-md-10 form-control input-text' name='DelAddress' [(ngModel)]='rowdata.delAddress'&gt;
					&lt;/div&gt;
					&lt;div class='col-md-12 form-group row'&gt;
						&lt;label class='col-md-2 form-control title'&gt;Del Address Display&lt;/label&gt;
						&lt;input type='text' class='col-md-10 form-control input-text' name='DelAddressDisplay' [(ngModel)]='rowdata.delAddressDisplay'&gt;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title'&gt;Remark&lt;/label&gt;
						&lt;input type='text' class='col-md-10 form-control input-text' name='Remark' [(ngModel)]='rowdata.remark'&gt;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partNo : string = '' ; 
	partName : string = '' ; 
	partListId
	prodLine : string = '' ; 
	grade : string = '' ; 
	usageQty : number = 0 ;
	model : string = '' ; 
	module : string = '' ; 
	pikLocType : string = '' ; 
	pikAddress : string = '' ; 
	pikAddressDisplay : string = '' ; 
	delLocType : string = '' ; 
	delAddress : string = '' ; 
	delAddressDisplay : string = '' ; 
	sorting : number = 0 ;
	remark : string = '' ; 
	isActive : string = '' ; </v>
      </c>
      <c r="T13" s="68" t="str">
        <f ca="1">TEXTJOIN2("
",TRUE,INDIRECT(T11):INDIRECT(T12))</f>
        <v xml:space="preserve">			this.partNo,
			this.partName,
			this.partListId,
			this.prodLine,
			this.grade,
			this.usageQty,
			this.model,
			this.module,
			this.pikLocType,
			this.pikAddress,
			this.pikAddressDisplay,
			this.delLocType,
			this.delAddress,
			this.delAddressDisplay,
			this.sorting,
			this.remark,
			this.isActive,</v>
      </c>
      <c r="U13" s="68" t="str">
        <f ca="1">TEXTJOIN2("
",TRUE,INDIRECT(U11):INDIRECT(U12))</f>
        <v>this.partNo = '',
		this.partName = '',
		this.partListId = '',
		this.prodLine = '',
		this.grade = '',
		this.usageQty = 0,
		this.model = '',
		this.module = '',
		this.pikLocType = '',
		this.pikAddress = '',
		this.pikAddressDisplay = '',
		this.delLocType = '',
		this.delAddress = '',
		this.delAddressDisplay = '',
		this.sorting = 0,
		this.remark = '',
		this.isActive = '',</v>
      </c>
      <c r="V13" s="31" t="str">
        <f ca="1">TEXTJOIN2("
",TRUE,INDIRECT(V11):INDIRECT(V12))</f>
        <v>isActive</v>
      </c>
    </row>
    <row r="14" spans="1:22" x14ac:dyDescent="0.2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bp2partlist.component.ts</v>
      </c>
      <c r="I14" s="40" t="str">
        <f>B8&amp;".component.html"</f>
        <v>bp2partlist.component.html</v>
      </c>
      <c r="J14" s="39" t="str">
        <f>B8&amp;".component.less"</f>
        <v>bp2partlist.component.less</v>
      </c>
      <c r="K14" s="40" t="str">
        <f>"create-or-edit-"&amp;B8&amp;"-modal.component.html"</f>
        <v>create-or-edit-bp2partlist-modal.component.html</v>
      </c>
      <c r="L14" s="40" t="str">
        <f>"create-or-edit-"&amp;B8&amp;"-modal.component.ts"</f>
        <v>create-or-edit-bp2partlist-modal.component.ts</v>
      </c>
      <c r="M14" s="40" t="str">
        <f>"create-or-edit-"&amp;B8&amp;"-modal.component.less"</f>
        <v>create-or-edit-bp2partlist-modal.component.less</v>
      </c>
      <c r="N14" s="40" t="str">
        <f>B8&amp;".module.ts"</f>
        <v>bp2partlist.module.ts</v>
      </c>
      <c r="O14" s="40" t="str">
        <f>B8&amp;"-routing.module.ts"</f>
        <v>bp2partlist-routing.module.ts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">
      <c r="A15" s="31" t="s">
        <v>330</v>
      </c>
      <c r="B15" s="31" t="str">
        <f>SUBSTITUTE(PROPER(A15),"_","")</f>
        <v>PartNo</v>
      </c>
      <c r="C15" s="31" t="str">
        <f>SUBSTITUTE(PROPER(A15),"_"," ")</f>
        <v>Part No</v>
      </c>
      <c r="D15" s="31" t="str">
        <f>LOWER(LEFT(B15,1))&amp;RIGHT(B15,LEN(B15) - 1)</f>
        <v>partNo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this.l('Part No'),headerTooltip: this.l('Part No'),field: 'partNo',flex: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[(ngModel)]='partNo' name='partNo'
									class='form-control' [placeholder]="l('Part No')"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title'&gt;Part No&lt;/label&gt;
						&lt;input type='text' class='col-md-10 form-control input-text' name='PartNo' [(ngModel)]='rowdata.partNo'&gt;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partNo : string = '' ; </v>
      </c>
      <c r="T15" s="31" t="str">
        <f>REPT(CHAR(9),3)&amp;"this."&amp;D15&amp;","</f>
        <v xml:space="preserve">			this.partNo,</v>
      </c>
      <c r="U15" s="31" t="str">
        <f>IF(E15="int","this."&amp;D15&amp;" = 0,","this."&amp;D15&amp;" = '',")</f>
        <v>this.partNo = '',</v>
      </c>
      <c r="V15" s="31" t="str">
        <f>IF(AND(E15="string",F15="1"),D15,"")</f>
        <v/>
      </c>
    </row>
    <row r="16" spans="1:22" ht="15" customHeight="1" x14ac:dyDescent="0.2">
      <c r="A16" s="31" t="s">
        <v>329</v>
      </c>
      <c r="B16" s="31" t="str">
        <f t="shared" ref="B16:B19" si="0">SUBSTITUTE(PROPER(A16),"_","")</f>
        <v>PartName</v>
      </c>
      <c r="C16" s="31" t="str">
        <f t="shared" ref="C16:C19" si="1">SUBSTITUTE(PROPER(A16),"_"," ")</f>
        <v>Part Name</v>
      </c>
      <c r="D16" s="31" t="str">
        <f t="shared" ref="D16:D19" si="2">LOWER(LEFT(B16,1))&amp;RIGHT(B16,LEN(B16) - 1)</f>
        <v>partName</v>
      </c>
      <c r="E16" s="31" t="str">
        <f>A.Backend!H10</f>
        <v>string</v>
      </c>
      <c r="F16" s="31" t="str">
        <f>A.Backend!G10</f>
        <v>500</v>
      </c>
      <c r="G16" s="31" t="str">
        <f t="shared" ref="G16:G19" si="3">IF(E16="string"," : string = '' ; ",IF(OR(E16="DateTime",E16="TimeSpan")," : any ;",IF(E16="int"," : number = 0 ;","")))</f>
        <v xml:space="preserve"> : string = '' ; </v>
      </c>
      <c r="H16" s="38" t="str">
        <f t="shared" ref="H16:H19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this.l('Part Name'),headerTooltip: this.l('Part Name'),field: 'partName',flex: 1},</v>
      </c>
      <c r="I16" s="38" t="str">
        <f t="shared" ref="I16:I19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[(ngModel)]='partName' name='partName'
									class='form-control' [placeholder]="l('Part Name')"
									type='text' (keyup.enter)='searchDatas()'&gt;
								&lt;/div&gt;</v>
      </c>
      <c r="J16" s="31"/>
      <c r="K16" s="38" t="str">
        <f t="shared" ref="K16:K19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title'&gt;Part Name&lt;/label&gt;
						&lt;input type='text' class='col-md-10 form-control input-text' name='PartName' [(ngModel)]='rowdata.partName'&gt;
					&lt;/div&gt;</v>
      </c>
      <c r="L16" s="60" t="str">
        <f t="shared" ref="L16:L19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partName : string = '' ; </v>
      </c>
      <c r="T16" s="31" t="str">
        <f>REPT(CHAR(9),3)&amp;"this."&amp;D16&amp;","</f>
        <v xml:space="preserve">			this.partName,</v>
      </c>
      <c r="U16" s="31" t="str">
        <f>IF(E16="int",REPT(CHAR(9),2)&amp;"this."&amp;D16&amp;" = 0,",REPT(CHAR(9),2)&amp;"this."&amp;D16&amp;" = '',")</f>
        <v xml:space="preserve">		this.partName = '',</v>
      </c>
      <c r="V16" s="31" t="str">
        <f t="shared" ref="V16:V19" si="8">IF(AND(E16="string",F16="1"),D16,"")</f>
        <v/>
      </c>
    </row>
    <row r="17" spans="1:22" ht="18" customHeight="1" x14ac:dyDescent="0.2">
      <c r="A17" s="31" t="s">
        <v>331</v>
      </c>
      <c r="B17" s="31" t="str">
        <f t="shared" si="0"/>
        <v>PartListId</v>
      </c>
      <c r="C17" s="31" t="str">
        <f t="shared" si="1"/>
        <v>Part List Id</v>
      </c>
      <c r="D17" s="31" t="str">
        <f t="shared" si="2"/>
        <v>partListId</v>
      </c>
      <c r="E17" s="31" t="str">
        <f>A.Backend!H11</f>
        <v>long</v>
      </c>
      <c r="F17" s="31" t="str">
        <f>A.Backend!G11</f>
        <v/>
      </c>
      <c r="G17" s="31" t="str">
        <f t="shared" si="3"/>
        <v/>
      </c>
      <c r="H17" s="38" t="str">
        <f t="shared" si="4"/>
        <v xml:space="preserve">			{headerName: this.l('Part List Id'),headerTooltip: this.l('Part List Id'),field: 'partListId',flex: 1},</v>
      </c>
      <c r="I17" s="38" t="str">
        <f t="shared" si="5"/>
        <v/>
      </c>
      <c r="J17" s="31"/>
      <c r="K17" s="38" t="str">
        <f t="shared" si="6"/>
        <v/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19" si="9">REPT(CHAR(9),1)&amp;D17&amp;G17</f>
        <v xml:space="preserve">	partListId</v>
      </c>
      <c r="T17" s="31" t="str">
        <f t="shared" ref="T17:T19" si="10">REPT(CHAR(9),3)&amp;"this."&amp;D17&amp;","</f>
        <v xml:space="preserve">			this.partListId,</v>
      </c>
      <c r="U17" s="31" t="str">
        <f t="shared" ref="U17:U19" si="11">IF(E17="int",REPT(CHAR(9),2)&amp;"this."&amp;D17&amp;" = 0,",REPT(CHAR(9),2)&amp;"this."&amp;D17&amp;" = '',")</f>
        <v xml:space="preserve">		this.partListId = '',</v>
      </c>
      <c r="V17" s="31" t="str">
        <f t="shared" si="8"/>
        <v/>
      </c>
    </row>
    <row r="18" spans="1:22" ht="18" customHeight="1" x14ac:dyDescent="0.2">
      <c r="A18" s="31" t="s">
        <v>323</v>
      </c>
      <c r="B18" s="31" t="str">
        <f t="shared" si="0"/>
        <v>ProdLine</v>
      </c>
      <c r="C18" s="31" t="str">
        <f t="shared" si="1"/>
        <v>Prod Line</v>
      </c>
      <c r="D18" s="31" t="str">
        <f t="shared" si="2"/>
        <v>prodLine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this.l('Prod Line'),headerTooltip: this.l('Prod Line'),field: 'prodLine',flex: 1},</v>
      </c>
      <c r="I18" s="38" t="str">
        <f t="shared" si="5"/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prodLine : string = '' ; </v>
      </c>
      <c r="T18" s="31" t="str">
        <f t="shared" si="10"/>
        <v xml:space="preserve">			this.prodLine,</v>
      </c>
      <c r="U18" s="31" t="str">
        <f t="shared" si="11"/>
        <v xml:space="preserve">		this.prodLine = '',</v>
      </c>
      <c r="V18" s="31" t="str">
        <f t="shared" si="8"/>
        <v/>
      </c>
    </row>
    <row r="19" spans="1:22" ht="15" customHeight="1" x14ac:dyDescent="0.2">
      <c r="A19" s="31" t="s">
        <v>332</v>
      </c>
      <c r="B19" s="31" t="str">
        <f t="shared" si="0"/>
        <v>Grade</v>
      </c>
      <c r="C19" s="31" t="str">
        <f t="shared" si="1"/>
        <v>Grade</v>
      </c>
      <c r="D19" s="31" t="str">
        <f t="shared" si="2"/>
        <v>grade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this.l('Grade'),headerTooltip: this.l('Grade'),field: 'grade',flex: 1},</v>
      </c>
      <c r="I19" s="38" t="str">
        <f t="shared" si="5"/>
        <v xml:space="preserve">								&lt;div class='input-search'&gt;
									&lt;input [(ngModel)]='grade' name='grade'
									class='form-control' [placeholder]="l('Grade')"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title'&gt;Grade&lt;/label&gt;
						&lt;input type='text' class='col-md-10 form-control input-text' name='Grade' [(ngModel)]='rowdata.grade'&gt;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grade : string = '' ; </v>
      </c>
      <c r="T19" s="31" t="str">
        <f t="shared" si="10"/>
        <v xml:space="preserve">			this.grade,</v>
      </c>
      <c r="U19" s="31" t="str">
        <f t="shared" si="11"/>
        <v xml:space="preserve">		this.grade = '',</v>
      </c>
      <c r="V19" s="31" t="str">
        <f t="shared" si="8"/>
        <v/>
      </c>
    </row>
    <row r="20" spans="1:22" ht="15" customHeight="1" x14ac:dyDescent="0.2">
      <c r="A20" s="31" t="s">
        <v>345</v>
      </c>
      <c r="B20" s="31" t="str">
        <f t="shared" ref="B20" si="12">SUBSTITUTE(PROPER(A20),"_","")</f>
        <v>UsageQty</v>
      </c>
      <c r="C20" s="31" t="str">
        <f t="shared" ref="C20" si="13">SUBSTITUTE(PROPER(A20),"_"," ")</f>
        <v>Usage Qty</v>
      </c>
      <c r="D20" s="31" t="str">
        <f t="shared" ref="D20" si="14">LOWER(LEFT(B20,1))&amp;RIGHT(B20,LEN(B20) - 1)</f>
        <v>usageQty</v>
      </c>
      <c r="E20" s="31" t="str">
        <f>A.Backend!H14</f>
        <v>int</v>
      </c>
      <c r="F20" s="31" t="str">
        <f>A.Backend!G14</f>
        <v/>
      </c>
      <c r="G20" s="31" t="str">
        <f t="shared" ref="G20" si="15">IF(E20="string"," : string = '' ; ",IF(OR(E20="DateTime",E20="TimeSpan")," : any ;",IF(E20="int"," : number = 0 ;","")))</f>
        <v xml:space="preserve"> : number = 0 ;</v>
      </c>
      <c r="H20" s="38" t="str">
        <f t="shared" ref="H20" si="16">IF(E20="DateTime",
REPT(CHAR(9),3)&amp;"{headerName: this.l('"&amp;C20&amp;"'),headerTooltip: this.l('"&amp;C20&amp;"'),field: '"&amp;D20&amp;"',valueGetter: (params) =&gt; this.pipe.transform(params.data?."&amp;D20&amp;", 'dd/MM/yyyy'),flex: 1},",
IF(AND(E20="string",F20="1"),
REPT(CHAR(9),3)&amp;"{headerName: this.l('"&amp;C20&amp;"'),headerTooltip: this.l('"&amp;C20&amp;"'),field:  '"&amp;D20&amp;"', cellClass: ['text-center'], width: 120, cellRenderer: 'agCellButtonComponent',
buttonDefTwo: { text: params =&gt; (params.data?.'"&amp;D20&amp;"' == 'Y') ? 'Active' : 'Inactive',iconName: 'fa fa-circle',className: params =&gt; (params.data?.'"&amp;D20&amp;"' == 'Y') ? 'btnActive' : 'btnInActive',},}",
REPT(CHAR(9),3)&amp;"{headerName: this.l('"&amp;C20&amp;"'),headerTooltip: this.l('"&amp;C20&amp;"'),field: '"&amp;D20&amp;"',flex: 1},"))</f>
        <v xml:space="preserve">			{headerName: this.l('Usage Qty'),headerTooltip: this.l('Usage Qty'),field: 'usageQty',flex: 1},</v>
      </c>
      <c r="I20" s="38" t="str">
        <f t="shared" ref="I20" si="17">IF(E20="DateTime",
REPT(CHAR(9),8)&amp;"&lt;div class='input-search'&gt;
"&amp;REPT(CHAR(9),9)&amp;"&lt;input type='text' [placeholder]=""l('"&amp;C20&amp;"')"" [(ngModel)]='"&amp;D20&amp;"' 
"&amp;REPT(CHAR(9),9)&amp;"name='"&amp;D20&amp;"'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IF(E20="string",
REPT(CHAR(9),8)&amp;"&lt;div class='input-search'&gt;
"&amp;REPT(CHAR(9),9)&amp;"&lt;input [(ngModel)]='"&amp;D20&amp;"' name='"&amp;D20&amp;"'
"&amp;REPT(CHAR(9),9)&amp;"class='form-control' [placeholder]=""l('"&amp;C20&amp;"')""
"&amp;REPT(CHAR(9),9)&amp;"type='text' (keyup.enter)='searchDatas()'&gt;
"&amp;REPT(CHAR(9),8)&amp;"&lt;/div&gt;",""))</f>
        <v/>
      </c>
      <c r="J20" s="31"/>
      <c r="K20" s="38" t="str">
        <f t="shared" ref="K20" si="18">IF(OR(E20="DateTime",E20="TimeSpan"),
REPT(CHAR(9),5)&amp;"&lt;div class='col-md-12 form-group row'&gt;
"&amp;REPT(CHAR(9),6)&amp;"&lt;label class='col-md-2 form-control title'&gt;"&amp;C20&amp;"&lt;/label&gt;
"&amp;REPT(CHAR(9),6)&amp;"&lt;input type='text' class='col-md-10 form-control input-text' name='"&amp;D20&amp;"' 
"&amp;REPT(CHAR(9),6)&amp;"#datepicker='bsDatepicker' [(ngModel)]='rowdata."&amp;D20&amp;"'  bsDatepicker &gt;
"&amp;REPT(CHAR(9),5)&amp;"&lt;/div&gt;",
IF(AND(E20="string",F20="1"),
REPT(CHAR(9),5)&amp;"&lt;div class='col-md-12 form-group row'&gt;
"&amp;REPT(CHAR(9),6)&amp;"&lt;label class='col-md-2 form-control title'&gt;"&amp;C20&amp;"&lt;/label&gt;
"&amp;REPT(CHAR(9),6)&amp;"&lt;new-checkbox [(ngModel)]='_"&amp;D20&amp;"' name='"&amp;D20&amp;"' className='col-md-10' &gt; &lt;/new-checkbox&gt;
"&amp;REPT(CHAR(9),5)&amp;"&lt;/div&gt;",
IF(E20="string",
REPT(CHAR(9),5)&amp;"&lt;div class='col-md-12 form-group row'&gt;
"&amp;REPT(CHAR(9),6)&amp;"&lt;label class='col-md-2 form-control title'&gt;"&amp;C20&amp;"&lt;/label&gt;
"&amp;REPT(CHAR(9),6)&amp;"&lt;input type='text' class='col-md-10 form-control input-text' name='"&amp;B20&amp;"' [(ngModel)]='rowdata."&amp;D20&amp;"'&gt;
"&amp;REPT(CHAR(9),5)&amp;"&lt;/div&gt;",
IF(E20="int",
REPT(CHAR(9),5)&amp;"&lt;div class='col-md-12 form-group row'&gt;
"&amp;REPT(CHAR(9),6)&amp;"&lt;label class='col-md-2 form-control title'&gt;"&amp;C20&amp;"&lt;/label&gt;
"&amp;REPT(CHAR(9),6)&amp;"&lt;input type='number' class='col-md-10 form-control input-text' name='"&amp;B20&amp;"' [(ngModel)]='rowdata."&amp;D20&amp;"'&gt;
"&amp;REPT(CHAR(9),5)&amp;"&lt;/div&gt;",""))))</f>
        <v xml:space="preserve">					&lt;div class='col-md-12 form-group row'&gt;
						&lt;label class='col-md-2 form-control title'&gt;Usage Qty&lt;/label&gt;
						&lt;input type='number' class='col-md-10 form-control input-text' name='UsageQty' [(ngModel)]='rowdata.usageQty'&gt;
					&lt;/div&gt;</v>
      </c>
      <c r="L20" s="60" t="str">
        <f t="shared" ref="L20" si="19">IF(E20="DateTime",
REPT(CHAR(9),2)&amp;"const dateValue =  this.rowdata."&amp;D20&amp;" ? new Date(this.rowdata."&amp;D20&amp;"?.toString()) : new Date();
"&amp;REPT(CHAR(9),2)&amp;"this.datepicker?.bsValueChange.emit(dateValue);","")</f>
        <v/>
      </c>
      <c r="M20" s="31"/>
      <c r="N20" s="31"/>
      <c r="O20" s="31"/>
      <c r="P20" s="31"/>
      <c r="Q20" s="31"/>
      <c r="R20" s="31"/>
      <c r="S20" s="31" t="str">
        <f t="shared" ref="S20" si="20">REPT(CHAR(9),1)&amp;D20&amp;G20</f>
        <v xml:space="preserve">	usageQty : number = 0 ;</v>
      </c>
      <c r="T20" s="31" t="str">
        <f t="shared" ref="T20" si="21">REPT(CHAR(9),3)&amp;"this."&amp;D20&amp;","</f>
        <v xml:space="preserve">			this.usageQty,</v>
      </c>
      <c r="U20" s="31" t="str">
        <f t="shared" ref="U20" si="22">IF(E20="int",REPT(CHAR(9),2)&amp;"this."&amp;D20&amp;" = 0,",REPT(CHAR(9),2)&amp;"this."&amp;D20&amp;" = '',")</f>
        <v xml:space="preserve">		this.usageQty = 0,</v>
      </c>
      <c r="V20" s="31" t="str">
        <f t="shared" ref="V20" si="23">IF(AND(E20="string",F20="1"),D20,"")</f>
        <v/>
      </c>
    </row>
    <row r="21" spans="1:22" ht="15" customHeight="1" x14ac:dyDescent="0.2">
      <c r="A21" s="31" t="s">
        <v>341</v>
      </c>
      <c r="B21" s="31" t="str">
        <f t="shared" ref="B21:B22" si="24">SUBSTITUTE(PROPER(A21),"_","")</f>
        <v>Model</v>
      </c>
      <c r="C21" s="31" t="str">
        <f t="shared" ref="C21:C22" si="25">SUBSTITUTE(PROPER(A21),"_"," ")</f>
        <v>Model</v>
      </c>
      <c r="D21" s="31" t="str">
        <f t="shared" ref="D21:D22" si="26">LOWER(LEFT(B21,1))&amp;RIGHT(B21,LEN(B21) - 1)</f>
        <v>model</v>
      </c>
      <c r="E21" s="31" t="str">
        <f>A.Backend!H15</f>
        <v>string</v>
      </c>
      <c r="F21" s="31" t="str">
        <f>A.Backend!G15</f>
        <v>50</v>
      </c>
      <c r="G21" s="31" t="str">
        <f t="shared" ref="G21:G22" si="27">IF(E21="string"," : string = '' ; ",IF(OR(E21="DateTime",E21="TimeSpan")," : any ;",IF(E21="int"," : number = 0 ;","")))</f>
        <v xml:space="preserve"> : string = '' ; </v>
      </c>
      <c r="H21" s="38" t="str">
        <f t="shared" ref="H21:H22" si="28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this.l('Model'),headerTooltip: this.l('Model'),field: 'model',flex: 1},</v>
      </c>
      <c r="I21" s="38" t="str">
        <f t="shared" ref="I21:I22" si="29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[(ngModel)]='model' name='model'
									class='form-control' [placeholder]="l('Model')"
									type='text' (keyup.enter)='searchDatas()'&gt;
								&lt;/div&gt;</v>
      </c>
      <c r="J21" s="31"/>
      <c r="K21" s="38" t="str">
        <f t="shared" ref="K21:K22" si="30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title'&gt;Model&lt;/label&gt;
						&lt;input type='text' class='col-md-10 form-control input-text' name='Model' [(ngModel)]='rowdata.model'&gt;
					&lt;/div&gt;</v>
      </c>
      <c r="L21" s="60" t="str">
        <f t="shared" ref="L21:L22" si="31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 t="shared" ref="S21:S22" si="32">REPT(CHAR(9),1)&amp;D21&amp;G21</f>
        <v xml:space="preserve">	model : string = '' ; </v>
      </c>
      <c r="T21" s="31" t="str">
        <f t="shared" ref="T21:T22" si="33">REPT(CHAR(9),3)&amp;"this."&amp;D21&amp;","</f>
        <v xml:space="preserve">			this.model,</v>
      </c>
      <c r="U21" s="31" t="str">
        <f t="shared" ref="U21:U22" si="34">IF(E21="int",REPT(CHAR(9),2)&amp;"this."&amp;D21&amp;" = 0,",REPT(CHAR(9),2)&amp;"this."&amp;D21&amp;" = '',")</f>
        <v xml:space="preserve">		this.model = '',</v>
      </c>
      <c r="V21" s="31" t="str">
        <f t="shared" ref="V21:V22" si="35">IF(AND(E21="string",F21="1"),D21,"")</f>
        <v/>
      </c>
    </row>
    <row r="22" spans="1:22" ht="15" customHeight="1" x14ac:dyDescent="0.2">
      <c r="A22" s="31" t="s">
        <v>342</v>
      </c>
      <c r="B22" s="31" t="str">
        <f t="shared" si="24"/>
        <v>Module</v>
      </c>
      <c r="C22" s="31" t="str">
        <f t="shared" si="25"/>
        <v>Module</v>
      </c>
      <c r="D22" s="31" t="str">
        <f t="shared" si="26"/>
        <v>module</v>
      </c>
      <c r="E22" s="31" t="str">
        <f>A.Backend!H16</f>
        <v>string</v>
      </c>
      <c r="F22" s="31" t="str">
        <f>A.Backend!G16</f>
        <v>50</v>
      </c>
      <c r="G22" s="31" t="str">
        <f t="shared" si="27"/>
        <v xml:space="preserve"> : string = '' ; </v>
      </c>
      <c r="H22" s="38" t="str">
        <f t="shared" si="28"/>
        <v xml:space="preserve">			{headerName: this.l('Module'),headerTooltip: this.l('Module'),field: 'module',flex: 1},</v>
      </c>
      <c r="I22" s="38" t="str">
        <f t="shared" si="29"/>
        <v xml:space="preserve">								&lt;div class='input-search'&gt;
									&lt;input [(ngModel)]='module' name='module'
									class='form-control' [placeholder]="l('Module')"
									type='text' (keyup.enter)='searchDatas()'&gt;
								&lt;/div&gt;</v>
      </c>
      <c r="J22" s="31"/>
      <c r="K22" s="38" t="str">
        <f t="shared" si="30"/>
        <v xml:space="preserve">					&lt;div class='col-md-12 form-group row'&gt;
						&lt;label class='col-md-2 form-control title'&gt;Module&lt;/label&gt;
						&lt;input type='text' class='col-md-10 form-control input-text' name='Module' [(ngModel)]='rowdata.module'&gt;
					&lt;/div&gt;</v>
      </c>
      <c r="L22" s="60" t="str">
        <f t="shared" si="31"/>
        <v/>
      </c>
      <c r="M22" s="31"/>
      <c r="N22" s="31"/>
      <c r="O22" s="31"/>
      <c r="P22" s="31"/>
      <c r="Q22" s="31"/>
      <c r="R22" s="31"/>
      <c r="S22" s="31" t="str">
        <f t="shared" si="32"/>
        <v xml:space="preserve">	module : string = '' ; </v>
      </c>
      <c r="T22" s="31" t="str">
        <f t="shared" si="33"/>
        <v xml:space="preserve">			this.module,</v>
      </c>
      <c r="U22" s="31" t="str">
        <f t="shared" si="34"/>
        <v xml:space="preserve">		this.module = '',</v>
      </c>
      <c r="V22" s="31" t="str">
        <f t="shared" si="35"/>
        <v/>
      </c>
    </row>
    <row r="23" spans="1:22" ht="15" customHeight="1" x14ac:dyDescent="0.2">
      <c r="A23" s="31" t="s">
        <v>337</v>
      </c>
      <c r="B23" s="31" t="str">
        <f t="shared" ref="B23:B30" si="36">SUBSTITUTE(PROPER(A23),"_","")</f>
        <v>PikLocType</v>
      </c>
      <c r="C23" s="31" t="str">
        <f t="shared" ref="C23:C30" si="37">SUBSTITUTE(PROPER(A23),"_"," ")</f>
        <v>Pik Loc Type</v>
      </c>
      <c r="D23" s="31" t="str">
        <f t="shared" ref="D23:D30" si="38">LOWER(LEFT(B23,1))&amp;RIGHT(B23,LEN(B23) - 1)</f>
        <v>pikLocType</v>
      </c>
      <c r="E23" s="31" t="str">
        <f>A.Backend!H17</f>
        <v>string</v>
      </c>
      <c r="F23" s="31" t="str">
        <f>A.Backend!G17</f>
        <v>50</v>
      </c>
      <c r="G23" s="31" t="str">
        <f t="shared" ref="G23:G30" si="39">IF(E23="string"," : string = '' ; ",IF(OR(E23="DateTime",E23="TimeSpan")," : any ;",IF(E23="int"," : number = 0 ;","")))</f>
        <v xml:space="preserve"> : string = '' ; </v>
      </c>
      <c r="H23" s="38" t="str">
        <f t="shared" ref="H23:H30" si="40">IF(E23="DateTime",
REPT(CHAR(9),3)&amp;"{headerName: this.l('"&amp;C23&amp;"'),headerTooltip: this.l('"&amp;C23&amp;"'),field: '"&amp;D23&amp;"',valueGetter: (params) =&gt; this.pipe.transform(params.data?."&amp;D23&amp;", 'dd/MM/yyyy'),flex: 1},",
IF(AND(E23="string",F23="1"),
REPT(CHAR(9),3)&amp;"{headerName: this.l('"&amp;C23&amp;"'),headerTooltip: this.l('"&amp;C23&amp;"'),field:  '"&amp;D23&amp;"', cellClass: ['text-center'], width: 120, cellRenderer: 'agCellButtonComponent',
buttonDefTwo: { text: params =&gt; (params.data?.'"&amp;D23&amp;"' == 'Y') ? 'Active' : 'Inactive',iconName: 'fa fa-circle',className: params =&gt; (params.data?.'"&amp;D23&amp;"' == 'Y') ? 'btnActive' : 'btnInActive',},}",
REPT(CHAR(9),3)&amp;"{headerName: this.l('"&amp;C23&amp;"'),headerTooltip: this.l('"&amp;C23&amp;"'),field: '"&amp;D23&amp;"',flex: 1},"))</f>
        <v xml:space="preserve">			{headerName: this.l('Pik Loc Type'),headerTooltip: this.l('Pik Loc Type'),field: 'pikLocType',flex: 1},</v>
      </c>
      <c r="I23" s="38" t="str">
        <f t="shared" ref="I23:I30" si="41">IF(E23="DateTime",
REPT(CHAR(9),8)&amp;"&lt;div class='input-search'&gt;
"&amp;REPT(CHAR(9),9)&amp;"&lt;input type='text' [placeholder]=""l('"&amp;C23&amp;"')"" [(ngModel)]='"&amp;D23&amp;"' 
"&amp;REPT(CHAR(9),9)&amp;"name='"&amp;D23&amp;"'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IF(E23="string",
REPT(CHAR(9),8)&amp;"&lt;div class='input-search'&gt;
"&amp;REPT(CHAR(9),9)&amp;"&lt;input [(ngModel)]='"&amp;D23&amp;"' name='"&amp;D23&amp;"'
"&amp;REPT(CHAR(9),9)&amp;"class='form-control' [placeholder]=""l('"&amp;C23&amp;"')""
"&amp;REPT(CHAR(9),9)&amp;"type='text' (keyup.enter)='searchDatas()'&gt;
"&amp;REPT(CHAR(9),8)&amp;"&lt;/div&gt;",""))</f>
        <v xml:space="preserve">								&lt;div class='input-search'&gt;
									&lt;input [(ngModel)]='pikLocType' name='pikLocType'
									class='form-control' [placeholder]="l('Pik Loc Type')"
									type='text' (keyup.enter)='searchDatas()'&gt;
								&lt;/div&gt;</v>
      </c>
      <c r="J23" s="31"/>
      <c r="K23" s="38" t="str">
        <f t="shared" ref="K23:K30" si="42">IF(OR(E23="DateTime",E23="TimeSpan"),
REPT(CHAR(9),5)&amp;"&lt;div class='col-md-12 form-group row'&gt;
"&amp;REPT(CHAR(9),6)&amp;"&lt;label class='col-md-2 form-control title'&gt;"&amp;C23&amp;"&lt;/label&gt;
"&amp;REPT(CHAR(9),6)&amp;"&lt;input type='text' class='col-md-10 form-control input-text' name='"&amp;D23&amp;"' 
"&amp;REPT(CHAR(9),6)&amp;"#datepicker='bsDatepicker' [(ngModel)]='rowdata."&amp;D23&amp;"'  bsDatepicker &gt;
"&amp;REPT(CHAR(9),5)&amp;"&lt;/div&gt;",
IF(AND(E23="string",F23="1"),
REPT(CHAR(9),5)&amp;"&lt;div class='col-md-12 form-group row'&gt;
"&amp;REPT(CHAR(9),6)&amp;"&lt;label class='col-md-2 form-control title'&gt;"&amp;C23&amp;"&lt;/label&gt;
"&amp;REPT(CHAR(9),6)&amp;"&lt;new-checkbox [(ngModel)]='_"&amp;D23&amp;"' name='"&amp;D23&amp;"' className='col-md-10' &gt; &lt;/new-checkbox&gt;
"&amp;REPT(CHAR(9),5)&amp;"&lt;/div&gt;",
IF(E23="string",
REPT(CHAR(9),5)&amp;"&lt;div class='col-md-12 form-group row'&gt;
"&amp;REPT(CHAR(9),6)&amp;"&lt;label class='col-md-2 form-control title'&gt;"&amp;C23&amp;"&lt;/label&gt;
"&amp;REPT(CHAR(9),6)&amp;"&lt;input type='text' class='col-md-10 form-control input-text' name='"&amp;B23&amp;"' [(ngModel)]='rowdata."&amp;D23&amp;"'&gt;
"&amp;REPT(CHAR(9),5)&amp;"&lt;/div&gt;",
IF(E23="int",
REPT(CHAR(9),5)&amp;"&lt;div class='col-md-12 form-group row'&gt;
"&amp;REPT(CHAR(9),6)&amp;"&lt;label class='col-md-2 form-control title'&gt;"&amp;C23&amp;"&lt;/label&gt;
"&amp;REPT(CHAR(9),6)&amp;"&lt;input type='number' class='col-md-10 form-control input-text' name='"&amp;B23&amp;"' [(ngModel)]='rowdata."&amp;D23&amp;"'&gt;
"&amp;REPT(CHAR(9),5)&amp;"&lt;/div&gt;",""))))</f>
        <v xml:space="preserve">					&lt;div class='col-md-12 form-group row'&gt;
						&lt;label class='col-md-2 form-control title'&gt;Pik Loc Type&lt;/label&gt;
						&lt;input type='text' class='col-md-10 form-control input-text' name='PikLocType' [(ngModel)]='rowdata.pikLocType'&gt;
					&lt;/div&gt;</v>
      </c>
      <c r="L23" s="60" t="str">
        <f t="shared" ref="L23:L30" si="43">IF(E23="DateTime",
REPT(CHAR(9),2)&amp;"const dateValue =  this.rowdata."&amp;D23&amp;" ? new Date(this.rowdata."&amp;D23&amp;"?.toString()) : new Date();
"&amp;REPT(CHAR(9),2)&amp;"this.datepicker?.bsValueChange.emit(dateValue);","")</f>
        <v/>
      </c>
      <c r="M23" s="31"/>
      <c r="N23" s="31"/>
      <c r="O23" s="31"/>
      <c r="P23" s="31"/>
      <c r="Q23" s="31"/>
      <c r="R23" s="31"/>
      <c r="S23" s="31" t="str">
        <f>REPT(CHAR(9),1)&amp;D23&amp;G23</f>
        <v xml:space="preserve">	pikLocType : string = '' ; </v>
      </c>
      <c r="T23" s="31" t="str">
        <f>REPT(CHAR(9),3)&amp;"this."&amp;D23&amp;","</f>
        <v xml:space="preserve">			this.pikLocType,</v>
      </c>
      <c r="U23" s="31" t="str">
        <f>IF(E23="int",REPT(CHAR(9),2)&amp;"this."&amp;D23&amp;" = 0,",REPT(CHAR(9),2)&amp;"this."&amp;D23&amp;" = '',")</f>
        <v xml:space="preserve">		this.pikLocType = '',</v>
      </c>
      <c r="V23" s="31" t="str">
        <f t="shared" ref="V23:V30" si="44">IF(AND(E23="string",F23="1"),D23,"")</f>
        <v/>
      </c>
    </row>
    <row r="24" spans="1:22" ht="15" customHeight="1" x14ac:dyDescent="0.2">
      <c r="A24" s="31" t="s">
        <v>338</v>
      </c>
      <c r="B24" s="31" t="str">
        <f t="shared" si="36"/>
        <v>PikAddress</v>
      </c>
      <c r="C24" s="31" t="str">
        <f t="shared" si="37"/>
        <v>Pik Address</v>
      </c>
      <c r="D24" s="31" t="str">
        <f t="shared" si="38"/>
        <v>pikAddress</v>
      </c>
      <c r="E24" s="31" t="str">
        <f>A.Backend!H18</f>
        <v>string</v>
      </c>
      <c r="F24" s="31" t="str">
        <f>A.Backend!G18</f>
        <v>50</v>
      </c>
      <c r="G24" s="31" t="str">
        <f t="shared" si="39"/>
        <v xml:space="preserve"> : string = '' ; </v>
      </c>
      <c r="H24" s="38" t="str">
        <f t="shared" si="40"/>
        <v xml:space="preserve">			{headerName: this.l('Pik Address'),headerTooltip: this.l('Pik Address'),field: 'pikAddress',flex: 1},</v>
      </c>
      <c r="I24" s="38" t="str">
        <f t="shared" si="41"/>
        <v xml:space="preserve">								&lt;div class='input-search'&gt;
									&lt;input [(ngModel)]='pikAddress' name='pikAddress'
									class='form-control' [placeholder]="l('Pik Address')"
									type='text' (keyup.enter)='searchDatas()'&gt;
								&lt;/div&gt;</v>
      </c>
      <c r="J24" s="31"/>
      <c r="K24" s="38" t="str">
        <f t="shared" si="42"/>
        <v xml:space="preserve">					&lt;div class='col-md-12 form-group row'&gt;
						&lt;label class='col-md-2 form-control title'&gt;Pik Address&lt;/label&gt;
						&lt;input type='text' class='col-md-10 form-control input-text' name='PikAddress' [(ngModel)]='rowdata.pikAddress'&gt;
					&lt;/div&gt;</v>
      </c>
      <c r="L24" s="60" t="str">
        <f t="shared" si="43"/>
        <v/>
      </c>
      <c r="M24" s="31"/>
      <c r="N24" s="31"/>
      <c r="O24" s="31"/>
      <c r="P24" s="31"/>
      <c r="Q24" s="31"/>
      <c r="R24" s="31"/>
      <c r="S24" s="31" t="str">
        <f>REPT(CHAR(9),1)&amp;D24&amp;G24</f>
        <v xml:space="preserve">	pikAddress : string = '' ; </v>
      </c>
      <c r="T24" s="31" t="str">
        <f>REPT(CHAR(9),3)&amp;"this."&amp;D24&amp;","</f>
        <v xml:space="preserve">			this.pikAddress,</v>
      </c>
      <c r="U24" s="31" t="str">
        <f>IF(E24="int",REPT(CHAR(9),2)&amp;"this."&amp;D24&amp;" = 0,",REPT(CHAR(9),2)&amp;"this."&amp;D24&amp;" = '',")</f>
        <v xml:space="preserve">		this.pikAddress = '',</v>
      </c>
      <c r="V24" s="31" t="str">
        <f t="shared" si="44"/>
        <v/>
      </c>
    </row>
    <row r="25" spans="1:22" ht="18" customHeight="1" x14ac:dyDescent="0.2">
      <c r="A25" s="31" t="s">
        <v>339</v>
      </c>
      <c r="B25" s="31" t="str">
        <f t="shared" si="36"/>
        <v>PikAddressDisplay</v>
      </c>
      <c r="C25" s="31" t="str">
        <f t="shared" si="37"/>
        <v>Pik Address Display</v>
      </c>
      <c r="D25" s="31" t="str">
        <f t="shared" si="38"/>
        <v>pikAddressDisplay</v>
      </c>
      <c r="E25" s="31" t="str">
        <f>A.Backend!H19</f>
        <v>string</v>
      </c>
      <c r="F25" s="31" t="str">
        <f>A.Backend!G19</f>
        <v>50</v>
      </c>
      <c r="G25" s="31" t="str">
        <f t="shared" si="39"/>
        <v xml:space="preserve"> : string = '' ; </v>
      </c>
      <c r="H25" s="38" t="str">
        <f t="shared" si="40"/>
        <v xml:space="preserve">			{headerName: this.l('Pik Address Display'),headerTooltip: this.l('Pik Address Display'),field: 'pikAddressDisplay',flex: 1},</v>
      </c>
      <c r="I25" s="38" t="str">
        <f t="shared" si="41"/>
        <v xml:space="preserve">								&lt;div class='input-search'&gt;
									&lt;input [(ngModel)]='pikAddressDisplay' name='pikAddressDisplay'
									class='form-control' [placeholder]="l('Pik Address Display')"
									type='text' (keyup.enter)='searchDatas()'&gt;
								&lt;/div&gt;</v>
      </c>
      <c r="J25" s="31"/>
      <c r="K25" s="38" t="str">
        <f t="shared" si="42"/>
        <v xml:space="preserve">					&lt;div class='col-md-12 form-group row'&gt;
						&lt;label class='col-md-2 form-control title'&gt;Pik Address Display&lt;/label&gt;
						&lt;input type='text' class='col-md-10 form-control input-text' name='PikAddressDisplay' [(ngModel)]='rowdata.pikAddressDisplay'&gt;
					&lt;/div&gt;</v>
      </c>
      <c r="L25" s="60" t="str">
        <f t="shared" si="43"/>
        <v/>
      </c>
      <c r="M25" s="31"/>
      <c r="N25" s="31"/>
      <c r="O25" s="31"/>
      <c r="P25" s="31"/>
      <c r="Q25" s="31"/>
      <c r="R25" s="31"/>
      <c r="S25" s="31" t="str">
        <f t="shared" ref="S25:S30" si="45">REPT(CHAR(9),1)&amp;D25&amp;G25</f>
        <v xml:space="preserve">	pikAddressDisplay : string = '' ; </v>
      </c>
      <c r="T25" s="31" t="str">
        <f t="shared" ref="T25:T30" si="46">REPT(CHAR(9),3)&amp;"this."&amp;D25&amp;","</f>
        <v xml:space="preserve">			this.pikAddressDisplay,</v>
      </c>
      <c r="U25" s="31" t="str">
        <f t="shared" ref="U25:U30" si="47">IF(E25="int",REPT(CHAR(9),2)&amp;"this."&amp;D25&amp;" = 0,",REPT(CHAR(9),2)&amp;"this."&amp;D25&amp;" = '',")</f>
        <v xml:space="preserve">		this.pikAddressDisplay = '',</v>
      </c>
      <c r="V25" s="31" t="str">
        <f t="shared" si="44"/>
        <v/>
      </c>
    </row>
    <row r="26" spans="1:22" ht="15" customHeight="1" x14ac:dyDescent="0.2">
      <c r="A26" s="31" t="s">
        <v>340</v>
      </c>
      <c r="B26" s="31" t="str">
        <f t="shared" ref="B26:B28" si="48">SUBSTITUTE(PROPER(A26),"_","")</f>
        <v>DelLocType</v>
      </c>
      <c r="C26" s="31" t="str">
        <f t="shared" ref="C26:C28" si="49">SUBSTITUTE(PROPER(A26),"_"," ")</f>
        <v>Del Loc Type</v>
      </c>
      <c r="D26" s="31" t="str">
        <f t="shared" ref="D26:D28" si="50">LOWER(LEFT(B26,1))&amp;RIGHT(B26,LEN(B26) - 1)</f>
        <v>delLocType</v>
      </c>
      <c r="E26" s="31" t="str">
        <f>A.Backend!H20</f>
        <v>string</v>
      </c>
      <c r="F26" s="31" t="str">
        <f>A.Backend!G20</f>
        <v>50</v>
      </c>
      <c r="G26" s="31" t="str">
        <f t="shared" ref="G26:G28" si="51">IF(E26="string"," : string = '' ; ",IF(OR(E26="DateTime",E26="TimeSpan")," : any ;",IF(E26="int"," : number = 0 ;","")))</f>
        <v xml:space="preserve"> : string = '' ; </v>
      </c>
      <c r="H26" s="38" t="str">
        <f t="shared" ref="H26:H28" si="52">IF(E26="DateTime",
REPT(CHAR(9),3)&amp;"{headerName: this.l('"&amp;C26&amp;"'),headerTooltip: this.l('"&amp;C26&amp;"'),field: '"&amp;D26&amp;"',valueGetter: (params) =&gt; this.pipe.transform(params.data?."&amp;D26&amp;", 'dd/MM/yyyy'),flex: 1},",
IF(AND(E26="string",F26="1"),
REPT(CHAR(9),3)&amp;"{headerName: this.l('"&amp;C26&amp;"'),headerTooltip: this.l('"&amp;C26&amp;"'),field:  '"&amp;D26&amp;"', cellClass: ['text-center'], width: 120, cellRenderer: 'agCellButtonComponent',
buttonDefTwo: { text: params =&gt; (params.data?.'"&amp;D26&amp;"' == 'Y') ? 'Active' : 'Inactive',iconName: 'fa fa-circle',className: params =&gt; (params.data?.'"&amp;D26&amp;"' == 'Y') ? 'btnActive' : 'btnInActive',},}",
REPT(CHAR(9),3)&amp;"{headerName: this.l('"&amp;C26&amp;"'),headerTooltip: this.l('"&amp;C26&amp;"'),field: '"&amp;D26&amp;"',flex: 1},"))</f>
        <v xml:space="preserve">			{headerName: this.l('Del Loc Type'),headerTooltip: this.l('Del Loc Type'),field: 'delLocType',flex: 1},</v>
      </c>
      <c r="I26" s="38" t="str">
        <f t="shared" ref="I26:I28" si="53">IF(E26="DateTime",
REPT(CHAR(9),8)&amp;"&lt;div class='input-search'&gt;
"&amp;REPT(CHAR(9),9)&amp;"&lt;input type='text' [placeholder]=""l('"&amp;C26&amp;"')"" [(ngModel)]='"&amp;D26&amp;"' 
"&amp;REPT(CHAR(9),9)&amp;"name='"&amp;D26&amp;"'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IF(E26="string",
REPT(CHAR(9),8)&amp;"&lt;div class='input-search'&gt;
"&amp;REPT(CHAR(9),9)&amp;"&lt;input [(ngModel)]='"&amp;D26&amp;"' name='"&amp;D26&amp;"'
"&amp;REPT(CHAR(9),9)&amp;"class='form-control' [placeholder]=""l('"&amp;C26&amp;"')""
"&amp;REPT(CHAR(9),9)&amp;"type='text' (keyup.enter)='searchDatas()'&gt;
"&amp;REPT(CHAR(9),8)&amp;"&lt;/div&gt;",""))</f>
        <v xml:space="preserve">								&lt;div class='input-search'&gt;
									&lt;input [(ngModel)]='delLocType' name='delLocType'
									class='form-control' [placeholder]="l('Del Loc Type')"
									type='text' (keyup.enter)='searchDatas()'&gt;
								&lt;/div&gt;</v>
      </c>
      <c r="J26" s="31"/>
      <c r="K26" s="38" t="str">
        <f t="shared" ref="K26:K28" si="54">IF(OR(E26="DateTime",E26="TimeSpan"),
REPT(CHAR(9),5)&amp;"&lt;div class='col-md-12 form-group row'&gt;
"&amp;REPT(CHAR(9),6)&amp;"&lt;label class='col-md-2 form-control title'&gt;"&amp;C26&amp;"&lt;/label&gt;
"&amp;REPT(CHAR(9),6)&amp;"&lt;input type='text' class='col-md-10 form-control input-text' name='"&amp;D26&amp;"' 
"&amp;REPT(CHAR(9),6)&amp;"#datepicker='bsDatepicker' [(ngModel)]='rowdata."&amp;D26&amp;"'  bsDatepicker &gt;
"&amp;REPT(CHAR(9),5)&amp;"&lt;/div&gt;",
IF(AND(E26="string",F26="1"),
REPT(CHAR(9),5)&amp;"&lt;div class='col-md-12 form-group row'&gt;
"&amp;REPT(CHAR(9),6)&amp;"&lt;label class='col-md-2 form-control title'&gt;"&amp;C26&amp;"&lt;/label&gt;
"&amp;REPT(CHAR(9),6)&amp;"&lt;new-checkbox [(ngModel)]='_"&amp;D26&amp;"' name='"&amp;D26&amp;"' className='col-md-10' &gt; &lt;/new-checkbox&gt;
"&amp;REPT(CHAR(9),5)&amp;"&lt;/div&gt;",
IF(E26="string",
REPT(CHAR(9),5)&amp;"&lt;div class='col-md-12 form-group row'&gt;
"&amp;REPT(CHAR(9),6)&amp;"&lt;label class='col-md-2 form-control title'&gt;"&amp;C26&amp;"&lt;/label&gt;
"&amp;REPT(CHAR(9),6)&amp;"&lt;input type='text' class='col-md-10 form-control input-text' name='"&amp;B26&amp;"' [(ngModel)]='rowdata."&amp;D26&amp;"'&gt;
"&amp;REPT(CHAR(9),5)&amp;"&lt;/div&gt;",
IF(E26="int",
REPT(CHAR(9),5)&amp;"&lt;div class='col-md-12 form-group row'&gt;
"&amp;REPT(CHAR(9),6)&amp;"&lt;label class='col-md-2 form-control title'&gt;"&amp;C26&amp;"&lt;/label&gt;
"&amp;REPT(CHAR(9),6)&amp;"&lt;input type='number' class='col-md-10 form-control input-text' name='"&amp;B26&amp;"' [(ngModel)]='rowdata."&amp;D26&amp;"'&gt;
"&amp;REPT(CHAR(9),5)&amp;"&lt;/div&gt;",""))))</f>
        <v xml:space="preserve">					&lt;div class='col-md-12 form-group row'&gt;
						&lt;label class='col-md-2 form-control title'&gt;Del Loc Type&lt;/label&gt;
						&lt;input type='text' class='col-md-10 form-control input-text' name='DelLocType' [(ngModel)]='rowdata.delLocType'&gt;
					&lt;/div&gt;</v>
      </c>
      <c r="L26" s="60" t="str">
        <f t="shared" ref="L26:L28" si="55">IF(E26="DateTime",
REPT(CHAR(9),2)&amp;"const dateValue =  this.rowdata."&amp;D26&amp;" ? new Date(this.rowdata."&amp;D26&amp;"?.toString()) : new Date();
"&amp;REPT(CHAR(9),2)&amp;"this.datepicker?.bsValueChange.emit(dateValue);","")</f>
        <v/>
      </c>
      <c r="M26" s="31"/>
      <c r="N26" s="31"/>
      <c r="O26" s="31"/>
      <c r="P26" s="31"/>
      <c r="Q26" s="31"/>
      <c r="R26" s="31"/>
      <c r="S26" s="31" t="str">
        <f>REPT(CHAR(9),1)&amp;D26&amp;G26</f>
        <v xml:space="preserve">	delLocType : string = '' ; </v>
      </c>
      <c r="T26" s="31" t="str">
        <f>REPT(CHAR(9),3)&amp;"this."&amp;D26&amp;","</f>
        <v xml:space="preserve">			this.delLocType,</v>
      </c>
      <c r="U26" s="31" t="str">
        <f>IF(E26="int",REPT(CHAR(9),2)&amp;"this."&amp;D26&amp;" = 0,",REPT(CHAR(9),2)&amp;"this."&amp;D26&amp;" = '',")</f>
        <v xml:space="preserve">		this.delLocType = '',</v>
      </c>
      <c r="V26" s="31" t="str">
        <f t="shared" ref="V26:V28" si="56">IF(AND(E26="string",F26="1"),D26,"")</f>
        <v/>
      </c>
    </row>
    <row r="27" spans="1:22" ht="15" customHeight="1" x14ac:dyDescent="0.2">
      <c r="A27" s="31" t="s">
        <v>335</v>
      </c>
      <c r="B27" s="31" t="str">
        <f t="shared" ref="B27" si="57">SUBSTITUTE(PROPER(A27),"_","")</f>
        <v>DelAddress</v>
      </c>
      <c r="C27" s="31" t="str">
        <f t="shared" ref="C27" si="58">SUBSTITUTE(PROPER(A27),"_"," ")</f>
        <v>Del Address</v>
      </c>
      <c r="D27" s="31" t="str">
        <f t="shared" ref="D27" si="59">LOWER(LEFT(B27,1))&amp;RIGHT(B27,LEN(B27) - 1)</f>
        <v>delAddress</v>
      </c>
      <c r="E27" s="31" t="str">
        <f>A.Backend!H21</f>
        <v>string</v>
      </c>
      <c r="F27" s="31" t="str">
        <f>A.Backend!G21</f>
        <v>50</v>
      </c>
      <c r="G27" s="31" t="str">
        <f t="shared" ref="G27" si="60">IF(E27="string"," : string = '' ; ",IF(OR(E27="DateTime",E27="TimeSpan")," : any ;",IF(E27="int"," : number = 0 ;","")))</f>
        <v xml:space="preserve"> : string = '' ; </v>
      </c>
      <c r="H27" s="38" t="str">
        <f t="shared" ref="H27" si="61">IF(E27="DateTime",
REPT(CHAR(9),3)&amp;"{headerName: this.l('"&amp;C27&amp;"'),headerTooltip: this.l('"&amp;C27&amp;"'),field: '"&amp;D27&amp;"',valueGetter: (params) =&gt; this.pipe.transform(params.data?."&amp;D27&amp;", 'dd/MM/yyyy'),flex: 1},",
IF(AND(E27="string",F27="1"),
REPT(CHAR(9),3)&amp;"{headerName: this.l('"&amp;C27&amp;"'),headerTooltip: this.l('"&amp;C27&amp;"'),field:  '"&amp;D27&amp;"', cellClass: ['text-center'], width: 120, cellRenderer: 'agCellButtonComponent',
buttonDefTwo: { text: params =&gt; (params.data?.'"&amp;D27&amp;"' == 'Y') ? 'Active' : 'Inactive',iconName: 'fa fa-circle',className: params =&gt; (params.data?.'"&amp;D27&amp;"' == 'Y') ? 'btnActive' : 'btnInActive',},}",
REPT(CHAR(9),3)&amp;"{headerName: this.l('"&amp;C27&amp;"'),headerTooltip: this.l('"&amp;C27&amp;"'),field: '"&amp;D27&amp;"',flex: 1},"))</f>
        <v xml:space="preserve">			{headerName: this.l('Del Address'),headerTooltip: this.l('Del Address'),field: 'delAddress',flex: 1},</v>
      </c>
      <c r="I27" s="38" t="str">
        <f t="shared" ref="I27" si="62">IF(E27="DateTime",
REPT(CHAR(9),8)&amp;"&lt;div class='input-search'&gt;
"&amp;REPT(CHAR(9),9)&amp;"&lt;input type='text' [placeholder]=""l('"&amp;C27&amp;"')"" [(ngModel)]='"&amp;D27&amp;"' 
"&amp;REPT(CHAR(9),9)&amp;"name='"&amp;D27&amp;"'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IF(E27="string",
REPT(CHAR(9),8)&amp;"&lt;div class='input-search'&gt;
"&amp;REPT(CHAR(9),9)&amp;"&lt;input [(ngModel)]='"&amp;D27&amp;"' name='"&amp;D27&amp;"'
"&amp;REPT(CHAR(9),9)&amp;"class='form-control' [placeholder]=""l('"&amp;C27&amp;"')""
"&amp;REPT(CHAR(9),9)&amp;"type='text' (keyup.enter)='searchDatas()'&gt;
"&amp;REPT(CHAR(9),8)&amp;"&lt;/div&gt;",""))</f>
        <v xml:space="preserve">								&lt;div class='input-search'&gt;
									&lt;input [(ngModel)]='delAddress' name='delAddress'
									class='form-control' [placeholder]="l('Del Address')"
									type='text' (keyup.enter)='searchDatas()'&gt;
								&lt;/div&gt;</v>
      </c>
      <c r="J27" s="31"/>
      <c r="K27" s="38" t="str">
        <f t="shared" ref="K27" si="63">IF(OR(E27="DateTime",E27="TimeSpan"),
REPT(CHAR(9),5)&amp;"&lt;div class='col-md-12 form-group row'&gt;
"&amp;REPT(CHAR(9),6)&amp;"&lt;label class='col-md-2 form-control title'&gt;"&amp;C27&amp;"&lt;/label&gt;
"&amp;REPT(CHAR(9),6)&amp;"&lt;input type='text' class='col-md-10 form-control input-text' name='"&amp;D27&amp;"' 
"&amp;REPT(CHAR(9),6)&amp;"#datepicker='bsDatepicker' [(ngModel)]='rowdata."&amp;D27&amp;"'  bsDatepicker &gt;
"&amp;REPT(CHAR(9),5)&amp;"&lt;/div&gt;",
IF(AND(E27="string",F27="1"),
REPT(CHAR(9),5)&amp;"&lt;div class='col-md-12 form-group row'&gt;
"&amp;REPT(CHAR(9),6)&amp;"&lt;label class='col-md-2 form-control title'&gt;"&amp;C27&amp;"&lt;/label&gt;
"&amp;REPT(CHAR(9),6)&amp;"&lt;new-checkbox [(ngModel)]='_"&amp;D27&amp;"' name='"&amp;D27&amp;"' className='col-md-10' &gt; &lt;/new-checkbox&gt;
"&amp;REPT(CHAR(9),5)&amp;"&lt;/div&gt;",
IF(E27="string",
REPT(CHAR(9),5)&amp;"&lt;div class='col-md-12 form-group row'&gt;
"&amp;REPT(CHAR(9),6)&amp;"&lt;label class='col-md-2 form-control title'&gt;"&amp;C27&amp;"&lt;/label&gt;
"&amp;REPT(CHAR(9),6)&amp;"&lt;input type='text' class='col-md-10 form-control input-text' name='"&amp;B27&amp;"' [(ngModel)]='rowdata."&amp;D27&amp;"'&gt;
"&amp;REPT(CHAR(9),5)&amp;"&lt;/div&gt;",
IF(E27="int",
REPT(CHAR(9),5)&amp;"&lt;div class='col-md-12 form-group row'&gt;
"&amp;REPT(CHAR(9),6)&amp;"&lt;label class='col-md-2 form-control title'&gt;"&amp;C27&amp;"&lt;/label&gt;
"&amp;REPT(CHAR(9),6)&amp;"&lt;input type='number' class='col-md-10 form-control input-text' name='"&amp;B27&amp;"' [(ngModel)]='rowdata."&amp;D27&amp;"'&gt;
"&amp;REPT(CHAR(9),5)&amp;"&lt;/div&gt;",""))))</f>
        <v xml:space="preserve">					&lt;div class='col-md-12 form-group row'&gt;
						&lt;label class='col-md-2 form-control title'&gt;Del Address&lt;/label&gt;
						&lt;input type='text' class='col-md-10 form-control input-text' name='DelAddress' [(ngModel)]='rowdata.delAddress'&gt;
					&lt;/div&gt;</v>
      </c>
      <c r="L27" s="60" t="str">
        <f t="shared" ref="L27" si="64">IF(E27="DateTime",
REPT(CHAR(9),2)&amp;"const dateValue =  this.rowdata."&amp;D27&amp;" ? new Date(this.rowdata."&amp;D27&amp;"?.toString()) : new Date();
"&amp;REPT(CHAR(9),2)&amp;"this.datepicker?.bsValueChange.emit(dateValue);","")</f>
        <v/>
      </c>
      <c r="M27" s="31"/>
      <c r="N27" s="31"/>
      <c r="O27" s="31"/>
      <c r="P27" s="31"/>
      <c r="Q27" s="31"/>
      <c r="R27" s="31"/>
      <c r="S27" s="31" t="str">
        <f>REPT(CHAR(9),1)&amp;D27&amp;G27</f>
        <v xml:space="preserve">	delAddress : string = '' ; </v>
      </c>
      <c r="T27" s="31" t="str">
        <f>REPT(CHAR(9),3)&amp;"this."&amp;D27&amp;","</f>
        <v xml:space="preserve">			this.delAddress,</v>
      </c>
      <c r="U27" s="31" t="str">
        <f>IF(E27="int",REPT(CHAR(9),2)&amp;"this."&amp;D27&amp;" = 0,",REPT(CHAR(9),2)&amp;"this."&amp;D27&amp;" = '',")</f>
        <v xml:space="preserve">		this.delAddress = '',</v>
      </c>
      <c r="V27" s="31" t="str">
        <f t="shared" ref="V27" si="65">IF(AND(E27="string",F27="1"),D27,"")</f>
        <v/>
      </c>
    </row>
    <row r="28" spans="1:22" ht="18" customHeight="1" x14ac:dyDescent="0.2">
      <c r="A28" s="31" t="s">
        <v>336</v>
      </c>
      <c r="B28" s="31" t="str">
        <f t="shared" si="48"/>
        <v>DelAddressDisplay</v>
      </c>
      <c r="C28" s="31" t="str">
        <f t="shared" si="49"/>
        <v>Del Address Display</v>
      </c>
      <c r="D28" s="31" t="str">
        <f t="shared" si="50"/>
        <v>delAddressDisplay</v>
      </c>
      <c r="E28" s="31" t="str">
        <f>A.Backend!H22</f>
        <v>string</v>
      </c>
      <c r="F28" s="31" t="str">
        <f>A.Backend!G22</f>
        <v>50</v>
      </c>
      <c r="G28" s="31" t="str">
        <f t="shared" si="51"/>
        <v xml:space="preserve"> : string = '' ; </v>
      </c>
      <c r="H28" s="38" t="str">
        <f t="shared" si="52"/>
        <v xml:space="preserve">			{headerName: this.l('Del Address Display'),headerTooltip: this.l('Del Address Display'),field: 'delAddressDisplay',flex: 1},</v>
      </c>
      <c r="I28" s="38" t="str">
        <f t="shared" si="53"/>
        <v xml:space="preserve">								&lt;div class='input-search'&gt;
									&lt;input [(ngModel)]='delAddressDisplay' name='delAddressDisplay'
									class='form-control' [placeholder]="l('Del Address Display')"
									type='text' (keyup.enter)='searchDatas()'&gt;
								&lt;/div&gt;</v>
      </c>
      <c r="J28" s="31"/>
      <c r="K28" s="38" t="str">
        <f t="shared" si="54"/>
        <v xml:space="preserve">					&lt;div class='col-md-12 form-group row'&gt;
						&lt;label class='col-md-2 form-control title'&gt;Del Address Display&lt;/label&gt;
						&lt;input type='text' class='col-md-10 form-control input-text' name='DelAddressDisplay' [(ngModel)]='rowdata.delAddressDisplay'&gt;
					&lt;/div&gt;</v>
      </c>
      <c r="L28" s="60" t="str">
        <f t="shared" si="55"/>
        <v/>
      </c>
      <c r="M28" s="31"/>
      <c r="N28" s="31"/>
      <c r="O28" s="31"/>
      <c r="P28" s="31"/>
      <c r="Q28" s="31"/>
      <c r="R28" s="31"/>
      <c r="S28" s="31" t="str">
        <f t="shared" ref="S28" si="66">REPT(CHAR(9),1)&amp;D28&amp;G28</f>
        <v xml:space="preserve">	delAddressDisplay : string = '' ; </v>
      </c>
      <c r="T28" s="31" t="str">
        <f t="shared" ref="T28" si="67">REPT(CHAR(9),3)&amp;"this."&amp;D28&amp;","</f>
        <v xml:space="preserve">			this.delAddressDisplay,</v>
      </c>
      <c r="U28" s="31" t="str">
        <f t="shared" ref="U28" si="68">IF(E28="int",REPT(CHAR(9),2)&amp;"this."&amp;D28&amp;" = 0,",REPT(CHAR(9),2)&amp;"this."&amp;D28&amp;" = '',")</f>
        <v xml:space="preserve">		this.delAddressDisplay = '',</v>
      </c>
      <c r="V28" s="31" t="str">
        <f t="shared" si="56"/>
        <v/>
      </c>
    </row>
    <row r="29" spans="1:22" ht="18" customHeight="1" x14ac:dyDescent="0.2">
      <c r="A29" s="31" t="s">
        <v>324</v>
      </c>
      <c r="B29" s="31" t="str">
        <f t="shared" si="36"/>
        <v>Sorting</v>
      </c>
      <c r="C29" s="31" t="str">
        <f t="shared" si="37"/>
        <v>Sorting</v>
      </c>
      <c r="D29" s="31" t="str">
        <f t="shared" si="38"/>
        <v>sorting</v>
      </c>
      <c r="E29" s="31" t="str">
        <f>A.Backend!H23</f>
        <v>int</v>
      </c>
      <c r="F29" s="31" t="str">
        <f>A.Backend!G23</f>
        <v/>
      </c>
      <c r="G29" s="31" t="str">
        <f t="shared" si="39"/>
        <v xml:space="preserve"> : number = 0 ;</v>
      </c>
      <c r="H29" s="38" t="str">
        <f t="shared" si="40"/>
        <v xml:space="preserve">			{headerName: this.l('Sorting'),headerTooltip: this.l('Sorting'),field: 'sorting',flex: 1},</v>
      </c>
      <c r="I29" s="38" t="str">
        <f t="shared" si="41"/>
        <v/>
      </c>
      <c r="J29" s="31"/>
      <c r="K29" s="38" t="str">
        <f t="shared" si="42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9" s="60" t="str">
        <f t="shared" si="43"/>
        <v/>
      </c>
      <c r="M29" s="31"/>
      <c r="N29" s="31"/>
      <c r="O29" s="31"/>
      <c r="P29" s="31"/>
      <c r="Q29" s="31"/>
      <c r="R29" s="31"/>
      <c r="S29" s="31" t="str">
        <f t="shared" si="45"/>
        <v xml:space="preserve">	sorting : number = 0 ;</v>
      </c>
      <c r="T29" s="31" t="str">
        <f t="shared" si="46"/>
        <v xml:space="preserve">			this.sorting,</v>
      </c>
      <c r="U29" s="31" t="str">
        <f t="shared" si="47"/>
        <v xml:space="preserve">		this.sorting = 0,</v>
      </c>
      <c r="V29" s="31" t="str">
        <f t="shared" si="44"/>
        <v/>
      </c>
    </row>
    <row r="30" spans="1:22" ht="18" customHeight="1" x14ac:dyDescent="0.2">
      <c r="A30" s="31" t="s">
        <v>343</v>
      </c>
      <c r="B30" s="31" t="str">
        <f t="shared" si="36"/>
        <v>Remark</v>
      </c>
      <c r="C30" s="31" t="str">
        <f t="shared" si="37"/>
        <v>Remark</v>
      </c>
      <c r="D30" s="31" t="str">
        <f t="shared" si="38"/>
        <v>remark</v>
      </c>
      <c r="E30" s="31" t="str">
        <f>A.Backend!H24</f>
        <v>string</v>
      </c>
      <c r="F30" s="31" t="str">
        <f>A.Backend!G24</f>
        <v>500</v>
      </c>
      <c r="G30" s="31" t="str">
        <f t="shared" si="39"/>
        <v xml:space="preserve"> : string = '' ; </v>
      </c>
      <c r="H30" s="38" t="str">
        <f t="shared" si="40"/>
        <v xml:space="preserve">			{headerName: this.l('Remark'),headerTooltip: this.l('Remark'),field: 'remark',flex: 1},</v>
      </c>
      <c r="I30" s="38" t="str">
        <f t="shared" si="41"/>
        <v xml:space="preserve">								&lt;div class='input-search'&gt;
									&lt;input [(ngModel)]='remark' name='remark'
									class='form-control' [placeholder]="l('Remark')"
									type='text' (keyup.enter)='searchDatas()'&gt;
								&lt;/div&gt;</v>
      </c>
      <c r="J30" s="31"/>
      <c r="K30" s="38" t="str">
        <f t="shared" si="42"/>
        <v xml:space="preserve">					&lt;div class='col-md-12 form-group row'&gt;
						&lt;label class='col-md-2 form-control title'&gt;Remark&lt;/label&gt;
						&lt;input type='text' class='col-md-10 form-control input-text' name='Remark' [(ngModel)]='rowdata.remark'&gt;
					&lt;/div&gt;</v>
      </c>
      <c r="L30" s="60" t="str">
        <f t="shared" si="43"/>
        <v/>
      </c>
      <c r="M30" s="31"/>
      <c r="N30" s="31"/>
      <c r="O30" s="31"/>
      <c r="P30" s="31"/>
      <c r="Q30" s="31"/>
      <c r="R30" s="31"/>
      <c r="S30" s="31" t="str">
        <f t="shared" si="45"/>
        <v xml:space="preserve">	remark : string = '' ; </v>
      </c>
      <c r="T30" s="31" t="str">
        <f t="shared" si="46"/>
        <v xml:space="preserve">			this.remark,</v>
      </c>
      <c r="U30" s="31" t="str">
        <f t="shared" si="47"/>
        <v xml:space="preserve">		this.remark = '',</v>
      </c>
      <c r="V30" s="31" t="str">
        <f t="shared" si="44"/>
        <v/>
      </c>
    </row>
    <row r="31" spans="1:22" ht="18" customHeight="1" x14ac:dyDescent="0.2">
      <c r="A31" s="31" t="s">
        <v>325</v>
      </c>
      <c r="B31" s="31" t="str">
        <f t="shared" ref="B31" si="69">SUBSTITUTE(PROPER(A31),"_","")</f>
        <v>IsActive</v>
      </c>
      <c r="C31" s="31" t="str">
        <f t="shared" ref="C31" si="70">SUBSTITUTE(PROPER(A31),"_"," ")</f>
        <v>Is Active</v>
      </c>
      <c r="D31" s="31" t="str">
        <f t="shared" ref="D31" si="71">LOWER(LEFT(B31,1))&amp;RIGHT(B31,LEN(B31) - 1)</f>
        <v>isActive</v>
      </c>
      <c r="E31" s="31" t="str">
        <f>A.Backend!H25</f>
        <v>string</v>
      </c>
      <c r="F31" s="31" t="str">
        <f>A.Backend!G25</f>
        <v>1</v>
      </c>
      <c r="G31" s="31" t="str">
        <f t="shared" ref="G31" si="72">IF(E31="string"," : string = '' ; ",IF(OR(E31="DateTime",E31="TimeSpan")," : any ;",IF(E31="int"," : number = 0 ;","")))</f>
        <v xml:space="preserve"> : string = '' ; </v>
      </c>
      <c r="H31" s="38" t="str">
        <f t="shared" ref="H31" si="73">IF(E31="DateTime",
REPT(CHAR(9),3)&amp;"{headerName: this.l('"&amp;C31&amp;"'),headerTooltip: this.l('"&amp;C31&amp;"'),field: '"&amp;D31&amp;"',valueGetter: (params) =&gt; this.pipe.transform(params.data?."&amp;D31&amp;", 'dd/MM/yyyy'),flex: 1},",
IF(AND(E31="string",F31="1"),
REPT(CHAR(9),3)&amp;"{headerName: this.l('"&amp;C31&amp;"'),headerTooltip: this.l('"&amp;C31&amp;"'),field:  '"&amp;D31&amp;"', cellClass: ['text-center'], width: 120, cellRenderer: 'agCellButtonComponent',
buttonDefTwo: { text: params =&gt; (params.data?.'"&amp;D31&amp;"' == 'Y') ? 'Active' : 'Inactive',iconName: 'fa fa-circle',className: params =&gt; (params.data?.'"&amp;D31&amp;"' == 'Y') ? 'btnActive' : 'btnInActive',},}",
REPT(CHAR(9),3)&amp;"{headerName: this.l('"&amp;C31&amp;"'),headerTooltip: this.l('"&amp;C31&amp;"'),field: '"&amp;D31&amp;"',flex: 1},"))</f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31" s="38" t="str">
        <f t="shared" ref="I31" si="74">IF(E31="DateTime",
REPT(CHAR(9),8)&amp;"&lt;div class='input-search'&gt;
"&amp;REPT(CHAR(9),9)&amp;"&lt;input type='text' [placeholder]=""l('"&amp;C31&amp;"')"" [(ngModel)]='"&amp;D31&amp;"' 
"&amp;REPT(CHAR(9),9)&amp;"name='"&amp;D31&amp;"'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IF(E31="string",
REPT(CHAR(9),8)&amp;"&lt;div class='input-search'&gt;
"&amp;REPT(CHAR(9),9)&amp;"&lt;input [(ngModel)]='"&amp;D31&amp;"' name='"&amp;D31&amp;"'
"&amp;REPT(CHAR(9),9)&amp;"class='form-control' [placeholder]=""l('"&amp;C31&amp;"')""
"&amp;REPT(CHAR(9),9)&amp;"type='text' (keyup.enter)='searchDatas()'&gt;
"&amp;REPT(CHAR(9),8)&amp;"&lt;/div&gt;",""))</f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31" s="31"/>
      <c r="K31" s="38" t="str">
        <f t="shared" ref="K31" si="75">IF(OR(E31="DateTime",E31="TimeSpan"),
REPT(CHAR(9),5)&amp;"&lt;div class='col-md-12 form-group row'&gt;
"&amp;REPT(CHAR(9),6)&amp;"&lt;label class='col-md-2 form-control title'&gt;"&amp;C31&amp;"&lt;/label&gt;
"&amp;REPT(CHAR(9),6)&amp;"&lt;input type='text' class='col-md-10 form-control input-text' name='"&amp;D31&amp;"' 
"&amp;REPT(CHAR(9),6)&amp;"#datepicker='bsDatepicker' [(ngModel)]='rowdata."&amp;D31&amp;"'  bsDatepicker &gt;
"&amp;REPT(CHAR(9),5)&amp;"&lt;/div&gt;",
IF(AND(E31="string",F31="1"),
REPT(CHAR(9),5)&amp;"&lt;div class='col-md-12 form-group row'&gt;
"&amp;REPT(CHAR(9),6)&amp;"&lt;label class='col-md-2 form-control title'&gt;"&amp;C31&amp;"&lt;/label&gt;
"&amp;REPT(CHAR(9),6)&amp;"&lt;new-checkbox [(ngModel)]='_"&amp;D31&amp;"' name='"&amp;D31&amp;"' className='col-md-10' &gt; &lt;/new-checkbox&gt;
"&amp;REPT(CHAR(9),5)&amp;"&lt;/div&gt;",
IF(E31="string",
REPT(CHAR(9),5)&amp;"&lt;div class='col-md-12 form-group row'&gt;
"&amp;REPT(CHAR(9),6)&amp;"&lt;label class='col-md-2 form-control title'&gt;"&amp;C31&amp;"&lt;/label&gt;
"&amp;REPT(CHAR(9),6)&amp;"&lt;input type='text' class='col-md-10 form-control input-text' name='"&amp;B31&amp;"' [(ngModel)]='rowdata."&amp;D31&amp;"'&gt;
"&amp;REPT(CHAR(9),5)&amp;"&lt;/div&gt;",
IF(E31="int",
REPT(CHAR(9),5)&amp;"&lt;div class='col-md-12 form-group row'&gt;
"&amp;REPT(CHAR(9),6)&amp;"&lt;label class='col-md-2 form-control title'&gt;"&amp;C31&amp;"&lt;/label&gt;
"&amp;REPT(CHAR(9),6)&amp;"&lt;input type='number' class='col-md-10 form-control input-text' name='"&amp;B31&amp;"' [(ngModel)]='rowdata."&amp;D31&amp;"'&gt;
"&amp;REPT(CHAR(9),5)&amp;"&lt;/div&gt;",""))))</f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31" s="60" t="str">
        <f t="shared" ref="L31" si="76">IF(E31="DateTime",
REPT(CHAR(9),2)&amp;"const dateValue =  this.rowdata."&amp;D31&amp;" ? new Date(this.rowdata."&amp;D31&amp;"?.toString()) : new Date();
"&amp;REPT(CHAR(9),2)&amp;"this.datepicker?.bsValueChange.emit(dateValue);","")</f>
        <v/>
      </c>
      <c r="M31" s="31"/>
      <c r="N31" s="31"/>
      <c r="O31" s="31"/>
      <c r="P31" s="31"/>
      <c r="Q31" s="31"/>
      <c r="R31" s="31"/>
      <c r="S31" s="31" t="str">
        <f t="shared" ref="S31" si="77">REPT(CHAR(9),1)&amp;D31&amp;G31</f>
        <v xml:space="preserve">	isActive : string = '' ; </v>
      </c>
      <c r="T31" s="31" t="str">
        <f t="shared" ref="T31" si="78">REPT(CHAR(9),3)&amp;"this."&amp;D31&amp;","</f>
        <v xml:space="preserve">			this.isActive,</v>
      </c>
      <c r="U31" s="31" t="str">
        <f t="shared" ref="U31" si="79">IF(E31="int",REPT(CHAR(9),2)&amp;"this."&amp;D31&amp;" = 0,",REPT(CHAR(9),2)&amp;"this."&amp;D31&amp;" = '',")</f>
        <v xml:space="preserve">		this.isActive = '',</v>
      </c>
      <c r="V31" s="31" t="str">
        <f t="shared" ref="V31" si="80">IF(AND(E31="string",F31="1"),D31,"")</f>
        <v>isActive</v>
      </c>
    </row>
    <row r="34" ht="17.25" customHeight="1" x14ac:dyDescent="0.2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B20"/>
  <sheetViews>
    <sheetView topLeftCell="A4" workbookViewId="0">
      <selection activeCell="E18" sqref="E18"/>
    </sheetView>
  </sheetViews>
  <sheetFormatPr baseColWidth="10" defaultColWidth="8.83203125" defaultRowHeight="15" x14ac:dyDescent="0.2"/>
  <cols>
    <col min="1" max="1" width="22.5" bestFit="1" customWidth="1"/>
    <col min="2" max="2" width="29.83203125" bestFit="1" customWidth="1"/>
  </cols>
  <sheetData>
    <row r="1" spans="1:2" x14ac:dyDescent="0.2">
      <c r="A1" s="1" t="s">
        <v>16</v>
      </c>
      <c r="B1" s="1" t="s">
        <v>17</v>
      </c>
    </row>
    <row r="2" spans="1:2" x14ac:dyDescent="0.2">
      <c r="A2" t="s">
        <v>19</v>
      </c>
      <c r="B2" t="s">
        <v>33</v>
      </c>
    </row>
    <row r="3" spans="1:2" x14ac:dyDescent="0.2">
      <c r="A3" t="s">
        <v>18</v>
      </c>
      <c r="B3" t="s">
        <v>33</v>
      </c>
    </row>
    <row r="4" spans="1:2" x14ac:dyDescent="0.2">
      <c r="A4" t="s">
        <v>20</v>
      </c>
      <c r="B4" t="s">
        <v>21</v>
      </c>
    </row>
    <row r="5" spans="1:2" x14ac:dyDescent="0.2">
      <c r="A5" t="s">
        <v>22</v>
      </c>
      <c r="B5" t="s">
        <v>36</v>
      </c>
    </row>
    <row r="6" spans="1:2" x14ac:dyDescent="0.2">
      <c r="A6" t="s">
        <v>23</v>
      </c>
      <c r="B6" t="s">
        <v>34</v>
      </c>
    </row>
    <row r="7" spans="1:2" x14ac:dyDescent="0.2">
      <c r="A7" t="s">
        <v>24</v>
      </c>
      <c r="B7" t="s">
        <v>4</v>
      </c>
    </row>
    <row r="8" spans="1:2" x14ac:dyDescent="0.2">
      <c r="A8" t="s">
        <v>4</v>
      </c>
      <c r="B8" t="s">
        <v>4</v>
      </c>
    </row>
    <row r="9" spans="1:2" x14ac:dyDescent="0.2">
      <c r="A9" t="s">
        <v>0</v>
      </c>
      <c r="B9" t="s">
        <v>48</v>
      </c>
    </row>
    <row r="10" spans="1:2" x14ac:dyDescent="0.2">
      <c r="A10" t="s">
        <v>25</v>
      </c>
      <c r="B10" t="s">
        <v>28</v>
      </c>
    </row>
    <row r="11" spans="1:2" x14ac:dyDescent="0.2">
      <c r="A11" t="s">
        <v>26</v>
      </c>
      <c r="B11" t="s">
        <v>28</v>
      </c>
    </row>
    <row r="12" spans="1:2" x14ac:dyDescent="0.2">
      <c r="A12" t="s">
        <v>27</v>
      </c>
      <c r="B12" t="s">
        <v>28</v>
      </c>
    </row>
    <row r="13" spans="1:2" x14ac:dyDescent="0.2">
      <c r="A13" t="s">
        <v>28</v>
      </c>
      <c r="B13" t="s">
        <v>28</v>
      </c>
    </row>
    <row r="14" spans="1:2" x14ac:dyDescent="0.2">
      <c r="A14" t="s">
        <v>29</v>
      </c>
      <c r="B14" t="s">
        <v>28</v>
      </c>
    </row>
    <row r="15" spans="1:2" x14ac:dyDescent="0.2">
      <c r="A15" t="s">
        <v>30</v>
      </c>
      <c r="B15" t="s">
        <v>28</v>
      </c>
    </row>
    <row r="16" spans="1:2" x14ac:dyDescent="0.2">
      <c r="A16" t="s">
        <v>31</v>
      </c>
      <c r="B16" t="s">
        <v>32</v>
      </c>
    </row>
    <row r="17" spans="1:2" x14ac:dyDescent="0.2">
      <c r="A17" t="s">
        <v>3</v>
      </c>
      <c r="B17" t="s">
        <v>32</v>
      </c>
    </row>
    <row r="18" spans="1:2" x14ac:dyDescent="0.2">
      <c r="A18" t="s">
        <v>35</v>
      </c>
      <c r="B18" t="s">
        <v>32</v>
      </c>
    </row>
    <row r="19" spans="1:2" x14ac:dyDescent="0.2">
      <c r="A19" t="s">
        <v>2</v>
      </c>
      <c r="B19" t="s">
        <v>32</v>
      </c>
    </row>
    <row r="20" spans="1:2" x14ac:dyDescent="0.2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2:C103"/>
  <sheetViews>
    <sheetView topLeftCell="A76" workbookViewId="0">
      <selection activeCell="E95" sqref="E95"/>
    </sheetView>
  </sheetViews>
  <sheetFormatPr baseColWidth="10" defaultColWidth="8.83203125" defaultRowHeight="16" x14ac:dyDescent="0.2"/>
  <cols>
    <col min="1" max="1" width="14.33203125" customWidth="1"/>
    <col min="2" max="2" width="71.6640625" style="22" customWidth="1"/>
  </cols>
  <sheetData>
    <row r="2" spans="1:2" x14ac:dyDescent="0.2">
      <c r="A2" s="24" t="s">
        <v>193</v>
      </c>
      <c r="B2" s="25" t="s">
        <v>190</v>
      </c>
    </row>
    <row r="3" spans="1:2" x14ac:dyDescent="0.2">
      <c r="B3" s="22" t="s">
        <v>115</v>
      </c>
    </row>
    <row r="4" spans="1:2" x14ac:dyDescent="0.2">
      <c r="B4" s="22" t="s">
        <v>116</v>
      </c>
    </row>
    <row r="5" spans="1:2" x14ac:dyDescent="0.2">
      <c r="B5" s="22" t="s">
        <v>117</v>
      </c>
    </row>
    <row r="6" spans="1:2" x14ac:dyDescent="0.2">
      <c r="B6" s="22" t="s">
        <v>118</v>
      </c>
    </row>
    <row r="7" spans="1:2" x14ac:dyDescent="0.2">
      <c r="B7" s="22" t="s">
        <v>119</v>
      </c>
    </row>
    <row r="8" spans="1:2" x14ac:dyDescent="0.2">
      <c r="B8" s="22" t="s">
        <v>120</v>
      </c>
    </row>
    <row r="9" spans="1:2" x14ac:dyDescent="0.2">
      <c r="B9" s="22" t="s">
        <v>121</v>
      </c>
    </row>
    <row r="10" spans="1:2" x14ac:dyDescent="0.2">
      <c r="B10" s="22" t="s">
        <v>122</v>
      </c>
    </row>
    <row r="11" spans="1:2" x14ac:dyDescent="0.2">
      <c r="B11" s="22" t="s">
        <v>123</v>
      </c>
    </row>
    <row r="12" spans="1:2" x14ac:dyDescent="0.2">
      <c r="B12" s="22" t="s">
        <v>124</v>
      </c>
    </row>
    <row r="13" spans="1:2" x14ac:dyDescent="0.2">
      <c r="B13" s="22" t="s">
        <v>125</v>
      </c>
    </row>
    <row r="14" spans="1:2" x14ac:dyDescent="0.2">
      <c r="B14" s="22" t="s">
        <v>126</v>
      </c>
    </row>
    <row r="15" spans="1:2" x14ac:dyDescent="0.2">
      <c r="B15" s="22" t="s">
        <v>127</v>
      </c>
    </row>
    <row r="16" spans="1:2" x14ac:dyDescent="0.2">
      <c r="B16" s="22" t="s">
        <v>128</v>
      </c>
    </row>
    <row r="17" spans="1:3" x14ac:dyDescent="0.2">
      <c r="B17" s="22" t="s">
        <v>129</v>
      </c>
    </row>
    <row r="18" spans="1:3" x14ac:dyDescent="0.2">
      <c r="B18" s="22" t="s">
        <v>130</v>
      </c>
      <c r="C18" t="s">
        <v>192</v>
      </c>
    </row>
    <row r="19" spans="1:3" x14ac:dyDescent="0.2">
      <c r="B19" s="22" t="s">
        <v>131</v>
      </c>
    </row>
    <row r="20" spans="1:3" x14ac:dyDescent="0.2">
      <c r="B20" s="22" t="s">
        <v>132</v>
      </c>
    </row>
    <row r="21" spans="1:3" x14ac:dyDescent="0.2">
      <c r="B21" s="22" t="s">
        <v>133</v>
      </c>
    </row>
    <row r="22" spans="1:3" x14ac:dyDescent="0.2">
      <c r="B22" s="22" t="s">
        <v>134</v>
      </c>
      <c r="C22" t="s">
        <v>197</v>
      </c>
    </row>
    <row r="23" spans="1:3" x14ac:dyDescent="0.2">
      <c r="B23" s="22" t="s">
        <v>135</v>
      </c>
    </row>
    <row r="24" spans="1:3" x14ac:dyDescent="0.2">
      <c r="B24" s="22" t="s">
        <v>136</v>
      </c>
    </row>
    <row r="25" spans="1:3" x14ac:dyDescent="0.2">
      <c r="B25" s="22" t="s">
        <v>137</v>
      </c>
    </row>
    <row r="26" spans="1:3" x14ac:dyDescent="0.2">
      <c r="A26" s="24" t="s">
        <v>194</v>
      </c>
      <c r="B26" s="25" t="s">
        <v>191</v>
      </c>
    </row>
    <row r="27" spans="1:3" x14ac:dyDescent="0.2">
      <c r="B27" s="22" t="s">
        <v>138</v>
      </c>
    </row>
    <row r="28" spans="1:3" x14ac:dyDescent="0.2">
      <c r="B28" s="23" t="s">
        <v>139</v>
      </c>
    </row>
    <row r="29" spans="1:3" x14ac:dyDescent="0.2">
      <c r="B29" s="22" t="s">
        <v>140</v>
      </c>
    </row>
    <row r="30" spans="1:3" x14ac:dyDescent="0.2">
      <c r="B30" s="22" t="s">
        <v>141</v>
      </c>
    </row>
    <row r="31" spans="1:3" x14ac:dyDescent="0.2">
      <c r="B31" s="22" t="s">
        <v>142</v>
      </c>
    </row>
    <row r="32" spans="1:3" x14ac:dyDescent="0.2">
      <c r="B32" s="22" t="s">
        <v>143</v>
      </c>
    </row>
    <row r="33" spans="2:2" x14ac:dyDescent="0.2">
      <c r="B33" s="22" t="s">
        <v>144</v>
      </c>
    </row>
    <row r="34" spans="2:2" x14ac:dyDescent="0.2">
      <c r="B34" s="22" t="s">
        <v>145</v>
      </c>
    </row>
    <row r="35" spans="2:2" x14ac:dyDescent="0.2">
      <c r="B35" s="22" t="s">
        <v>146</v>
      </c>
    </row>
    <row r="36" spans="2:2" x14ac:dyDescent="0.2">
      <c r="B36" s="22" t="s">
        <v>147</v>
      </c>
    </row>
    <row r="37" spans="2:2" x14ac:dyDescent="0.2">
      <c r="B37" s="22" t="s">
        <v>148</v>
      </c>
    </row>
    <row r="38" spans="2:2" x14ac:dyDescent="0.2">
      <c r="B38" s="22" t="s">
        <v>149</v>
      </c>
    </row>
    <row r="39" spans="2:2" x14ac:dyDescent="0.2">
      <c r="B39" s="22" t="s">
        <v>150</v>
      </c>
    </row>
    <row r="40" spans="2:2" x14ac:dyDescent="0.2">
      <c r="B40" s="22" t="s">
        <v>151</v>
      </c>
    </row>
    <row r="41" spans="2:2" x14ac:dyDescent="0.2">
      <c r="B41" s="22" t="s">
        <v>152</v>
      </c>
    </row>
    <row r="42" spans="2:2" x14ac:dyDescent="0.2">
      <c r="B42" s="22" t="s">
        <v>153</v>
      </c>
    </row>
    <row r="43" spans="2:2" x14ac:dyDescent="0.2">
      <c r="B43" s="23" t="s">
        <v>154</v>
      </c>
    </row>
    <row r="44" spans="2:2" x14ac:dyDescent="0.2">
      <c r="B44" s="22" t="s">
        <v>140</v>
      </c>
    </row>
    <row r="45" spans="2:2" x14ac:dyDescent="0.2">
      <c r="B45" s="22" t="s">
        <v>155</v>
      </c>
    </row>
    <row r="46" spans="2:2" x14ac:dyDescent="0.2">
      <c r="B46" s="22" t="s">
        <v>156</v>
      </c>
    </row>
    <row r="47" spans="2:2" x14ac:dyDescent="0.2">
      <c r="B47" s="22" t="s">
        <v>157</v>
      </c>
    </row>
    <row r="48" spans="2:2" x14ac:dyDescent="0.2">
      <c r="B48" s="22" t="s">
        <v>158</v>
      </c>
    </row>
    <row r="49" spans="2:2" x14ac:dyDescent="0.2">
      <c r="B49" s="22" t="s">
        <v>141</v>
      </c>
    </row>
    <row r="50" spans="2:2" x14ac:dyDescent="0.2">
      <c r="B50" s="22" t="s">
        <v>142</v>
      </c>
    </row>
    <row r="51" spans="2:2" x14ac:dyDescent="0.2">
      <c r="B51" s="22" t="s">
        <v>143</v>
      </c>
    </row>
    <row r="52" spans="2:2" x14ac:dyDescent="0.2">
      <c r="B52" s="22" t="s">
        <v>144</v>
      </c>
    </row>
    <row r="53" spans="2:2" x14ac:dyDescent="0.2">
      <c r="B53" s="22" t="s">
        <v>145</v>
      </c>
    </row>
    <row r="54" spans="2:2" x14ac:dyDescent="0.2">
      <c r="B54" s="22" t="s">
        <v>146</v>
      </c>
    </row>
    <row r="55" spans="2:2" x14ac:dyDescent="0.2">
      <c r="B55" s="22" t="s">
        <v>147</v>
      </c>
    </row>
    <row r="56" spans="2:2" x14ac:dyDescent="0.2">
      <c r="B56" s="22" t="s">
        <v>159</v>
      </c>
    </row>
    <row r="57" spans="2:2" x14ac:dyDescent="0.2">
      <c r="B57" s="22" t="s">
        <v>160</v>
      </c>
    </row>
    <row r="58" spans="2:2" x14ac:dyDescent="0.2">
      <c r="B58" s="22" t="s">
        <v>148</v>
      </c>
    </row>
    <row r="59" spans="2:2" x14ac:dyDescent="0.2">
      <c r="B59" s="22" t="s">
        <v>149</v>
      </c>
    </row>
    <row r="60" spans="2:2" x14ac:dyDescent="0.2">
      <c r="B60" s="22" t="s">
        <v>161</v>
      </c>
    </row>
    <row r="61" spans="2:2" x14ac:dyDescent="0.2">
      <c r="B61" s="22" t="s">
        <v>162</v>
      </c>
    </row>
    <row r="62" spans="2:2" x14ac:dyDescent="0.2">
      <c r="B62" s="22" t="s">
        <v>163</v>
      </c>
    </row>
    <row r="63" spans="2:2" x14ac:dyDescent="0.2">
      <c r="B63" s="22" t="s">
        <v>158</v>
      </c>
    </row>
    <row r="64" spans="2:2" x14ac:dyDescent="0.2">
      <c r="B64" s="22" t="s">
        <v>150</v>
      </c>
    </row>
    <row r="65" spans="2:2" x14ac:dyDescent="0.2">
      <c r="B65" s="22" t="s">
        <v>151</v>
      </c>
    </row>
    <row r="66" spans="2:2" x14ac:dyDescent="0.2">
      <c r="B66" s="22" t="s">
        <v>164</v>
      </c>
    </row>
    <row r="67" spans="2:2" x14ac:dyDescent="0.2">
      <c r="B67" s="22" t="s">
        <v>158</v>
      </c>
    </row>
    <row r="68" spans="2:2" x14ac:dyDescent="0.2">
      <c r="B68" s="22" t="s">
        <v>152</v>
      </c>
    </row>
    <row r="69" spans="2:2" x14ac:dyDescent="0.2">
      <c r="B69" s="22" t="s">
        <v>165</v>
      </c>
    </row>
    <row r="70" spans="2:2" x14ac:dyDescent="0.2">
      <c r="B70" s="23" t="s">
        <v>166</v>
      </c>
    </row>
    <row r="71" spans="2:2" x14ac:dyDescent="0.2">
      <c r="B71" s="22" t="s">
        <v>140</v>
      </c>
    </row>
    <row r="72" spans="2:2" x14ac:dyDescent="0.2">
      <c r="B72" s="22" t="s">
        <v>141</v>
      </c>
    </row>
    <row r="73" spans="2:2" x14ac:dyDescent="0.2">
      <c r="B73" s="22" t="s">
        <v>142</v>
      </c>
    </row>
    <row r="74" spans="2:2" x14ac:dyDescent="0.2">
      <c r="B74" s="22" t="s">
        <v>143</v>
      </c>
    </row>
    <row r="75" spans="2:2" x14ac:dyDescent="0.2">
      <c r="B75" s="22" t="s">
        <v>147</v>
      </c>
    </row>
    <row r="76" spans="2:2" x14ac:dyDescent="0.2">
      <c r="B76" s="22" t="s">
        <v>149</v>
      </c>
    </row>
    <row r="77" spans="2:2" x14ac:dyDescent="0.2">
      <c r="B77" s="22" t="s">
        <v>150</v>
      </c>
    </row>
    <row r="78" spans="2:2" x14ac:dyDescent="0.2">
      <c r="B78" s="22" t="s">
        <v>151</v>
      </c>
    </row>
    <row r="79" spans="2:2" x14ac:dyDescent="0.2">
      <c r="B79" s="22" t="s">
        <v>152</v>
      </c>
    </row>
    <row r="80" spans="2:2" x14ac:dyDescent="0.2">
      <c r="B80" s="22" t="s">
        <v>165</v>
      </c>
    </row>
    <row r="81" spans="1:2" x14ac:dyDescent="0.2">
      <c r="B81" s="23" t="s">
        <v>167</v>
      </c>
    </row>
    <row r="82" spans="1:2" x14ac:dyDescent="0.2">
      <c r="B82" s="23" t="s">
        <v>168</v>
      </c>
    </row>
    <row r="83" spans="1:2" x14ac:dyDescent="0.2">
      <c r="B83" s="23" t="s">
        <v>169</v>
      </c>
    </row>
    <row r="84" spans="1:2" x14ac:dyDescent="0.2">
      <c r="B84" s="23" t="s">
        <v>170</v>
      </c>
    </row>
    <row r="85" spans="1:2" x14ac:dyDescent="0.2">
      <c r="B85" s="23" t="s">
        <v>171</v>
      </c>
    </row>
    <row r="86" spans="1:2" x14ac:dyDescent="0.2">
      <c r="B86" s="23" t="s">
        <v>172</v>
      </c>
    </row>
    <row r="87" spans="1:2" x14ac:dyDescent="0.2">
      <c r="B87" s="23" t="s">
        <v>173</v>
      </c>
    </row>
    <row r="88" spans="1:2" x14ac:dyDescent="0.2">
      <c r="A88" s="24" t="s">
        <v>195</v>
      </c>
      <c r="B88" s="26" t="s">
        <v>174</v>
      </c>
    </row>
    <row r="89" spans="1:2" x14ac:dyDescent="0.2">
      <c r="B89" s="22" t="s">
        <v>175</v>
      </c>
    </row>
    <row r="90" spans="1:2" x14ac:dyDescent="0.2">
      <c r="B90" s="22" t="s">
        <v>176</v>
      </c>
    </row>
    <row r="91" spans="1:2" x14ac:dyDescent="0.2">
      <c r="B91" s="22" t="s">
        <v>177</v>
      </c>
    </row>
    <row r="92" spans="1:2" x14ac:dyDescent="0.2">
      <c r="B92" s="22" t="s">
        <v>178</v>
      </c>
    </row>
    <row r="93" spans="1:2" x14ac:dyDescent="0.2">
      <c r="B93" s="22" t="s">
        <v>179</v>
      </c>
    </row>
    <row r="94" spans="1:2" x14ac:dyDescent="0.2">
      <c r="B94" s="22" t="s">
        <v>180</v>
      </c>
    </row>
    <row r="95" spans="1:2" x14ac:dyDescent="0.2">
      <c r="B95" s="22" t="s">
        <v>181</v>
      </c>
    </row>
    <row r="96" spans="1:2" x14ac:dyDescent="0.2">
      <c r="B96" s="22" t="s">
        <v>182</v>
      </c>
    </row>
    <row r="97" spans="2:2" x14ac:dyDescent="0.2">
      <c r="B97" s="22" t="s">
        <v>183</v>
      </c>
    </row>
    <row r="98" spans="2:2" x14ac:dyDescent="0.2">
      <c r="B98" s="22" t="s">
        <v>184</v>
      </c>
    </row>
    <row r="99" spans="2:2" x14ac:dyDescent="0.2">
      <c r="B99" s="22" t="s">
        <v>185</v>
      </c>
    </row>
    <row r="100" spans="2:2" x14ac:dyDescent="0.2">
      <c r="B100" s="22" t="s">
        <v>186</v>
      </c>
    </row>
    <row r="101" spans="2:2" x14ac:dyDescent="0.2">
      <c r="B101" s="22" t="s">
        <v>187</v>
      </c>
    </row>
    <row r="102" spans="2:2" x14ac:dyDescent="0.2">
      <c r="B102" s="22" t="s">
        <v>188</v>
      </c>
    </row>
    <row r="103" spans="2:2" x14ac:dyDescent="0.2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Microsoft Office User</cp:lastModifiedBy>
  <dcterms:created xsi:type="dcterms:W3CDTF">2022-04-01T07:31:40Z</dcterms:created>
  <dcterms:modified xsi:type="dcterms:W3CDTF">2022-10-24T02:30:11Z</dcterms:modified>
</cp:coreProperties>
</file>
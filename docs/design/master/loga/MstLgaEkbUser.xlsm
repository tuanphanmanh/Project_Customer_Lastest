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orking\Production\prod\docs\design\master\loga\"/>
    </mc:Choice>
  </mc:AlternateContent>
  <bookViews>
    <workbookView xWindow="0" yWindow="495" windowWidth="28800" windowHeight="16425" activeTab="1"/>
  </bookViews>
  <sheets>
    <sheet name="Dev Guide" sheetId="3" r:id="rId1"/>
    <sheet name="A.Backend" sheetId="1" r:id="rId2"/>
    <sheet name="B.Frontend" sheetId="5" r:id="rId3"/>
    <sheet name="Data Type Mapping" sheetId="2" r:id="rId4"/>
    <sheet name="Directory Tree" sheetId="6" r:id="rId5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5" l="1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L20" i="5"/>
  <c r="C20" i="5"/>
  <c r="B20" i="5"/>
  <c r="D20" i="5" s="1"/>
  <c r="C19" i="5"/>
  <c r="B19" i="5"/>
  <c r="D19" i="5" s="1"/>
  <c r="L18" i="5"/>
  <c r="G18" i="5"/>
  <c r="D18" i="5"/>
  <c r="U18" i="5" s="1"/>
  <c r="C18" i="5"/>
  <c r="B18" i="5"/>
  <c r="I17" i="5"/>
  <c r="C17" i="5"/>
  <c r="B17" i="5"/>
  <c r="D17" i="5" s="1"/>
  <c r="G16" i="5"/>
  <c r="V16" i="5"/>
  <c r="I16" i="5"/>
  <c r="C16" i="5"/>
  <c r="B16" i="5"/>
  <c r="D16" i="5" s="1"/>
  <c r="U16" i="5" s="1"/>
  <c r="L12" i="1"/>
  <c r="G12" i="1"/>
  <c r="E12" i="1"/>
  <c r="H12" i="1" s="1"/>
  <c r="D12" i="1"/>
  <c r="V12" i="1" s="1"/>
  <c r="L10" i="1"/>
  <c r="H10" i="1"/>
  <c r="G10" i="1"/>
  <c r="E10" i="1"/>
  <c r="D10" i="1"/>
  <c r="V10" i="1" s="1"/>
  <c r="K19" i="5" l="1"/>
  <c r="V20" i="5"/>
  <c r="L16" i="5"/>
  <c r="H17" i="5"/>
  <c r="U20" i="5"/>
  <c r="G20" i="5"/>
  <c r="S20" i="5" s="1"/>
  <c r="V18" i="5"/>
  <c r="I18" i="5"/>
  <c r="H16" i="5"/>
  <c r="I20" i="5"/>
  <c r="T19" i="5"/>
  <c r="U19" i="5"/>
  <c r="T17" i="5"/>
  <c r="U17" i="5"/>
  <c r="I19" i="5"/>
  <c r="S16" i="5"/>
  <c r="K17" i="5"/>
  <c r="H18" i="5"/>
  <c r="S18" i="5"/>
  <c r="H20" i="5"/>
  <c r="T16" i="5"/>
  <c r="G17" i="5"/>
  <c r="S17" i="5" s="1"/>
  <c r="L17" i="5"/>
  <c r="V17" i="5"/>
  <c r="T18" i="5"/>
  <c r="G19" i="5"/>
  <c r="S19" i="5" s="1"/>
  <c r="L19" i="5"/>
  <c r="V19" i="5"/>
  <c r="T20" i="5"/>
  <c r="K16" i="5"/>
  <c r="K18" i="5"/>
  <c r="H19" i="5"/>
  <c r="K20" i="5"/>
  <c r="P12" i="1"/>
  <c r="W12" i="1"/>
  <c r="M12" i="1"/>
  <c r="T12" i="1"/>
  <c r="I12" i="1"/>
  <c r="N12" i="1"/>
  <c r="J12" i="1"/>
  <c r="O12" i="1"/>
  <c r="W10" i="1"/>
  <c r="P10" i="1"/>
  <c r="T10" i="1"/>
  <c r="M10" i="1"/>
  <c r="I10" i="1"/>
  <c r="N10" i="1"/>
  <c r="J10" i="1"/>
  <c r="O10" i="1"/>
  <c r="C24" i="5"/>
  <c r="B24" i="5"/>
  <c r="D24" i="5" s="1"/>
  <c r="T24" i="5" s="1"/>
  <c r="C23" i="5"/>
  <c r="B23" i="5"/>
  <c r="D23" i="5" s="1"/>
  <c r="C22" i="5"/>
  <c r="B22" i="5"/>
  <c r="D22" i="5" s="1"/>
  <c r="L14" i="1"/>
  <c r="G14" i="1"/>
  <c r="E14" i="1"/>
  <c r="H14" i="1" s="1"/>
  <c r="D14" i="1"/>
  <c r="V14" i="1" s="1"/>
  <c r="G13" i="1"/>
  <c r="E13" i="1"/>
  <c r="H13" i="1" s="1"/>
  <c r="D13" i="1"/>
  <c r="V13" i="1" s="1"/>
  <c r="V22" i="5" l="1"/>
  <c r="G22" i="5"/>
  <c r="S22" i="5"/>
  <c r="L22" i="5"/>
  <c r="I23" i="5"/>
  <c r="U22" i="5"/>
  <c r="T23" i="5"/>
  <c r="U23" i="5"/>
  <c r="K23" i="5"/>
  <c r="I22" i="5"/>
  <c r="T22" i="5"/>
  <c r="G23" i="5"/>
  <c r="S23" i="5" s="1"/>
  <c r="L23" i="5"/>
  <c r="V23" i="5"/>
  <c r="H22" i="5"/>
  <c r="K22" i="5"/>
  <c r="H23" i="5"/>
  <c r="N14" i="1"/>
  <c r="I14" i="1"/>
  <c r="M14" i="1"/>
  <c r="W14" i="1"/>
  <c r="O14" i="1"/>
  <c r="J14" i="1"/>
  <c r="P14" i="1"/>
  <c r="T14" i="1"/>
  <c r="W13" i="1"/>
  <c r="O13" i="1"/>
  <c r="J13" i="1"/>
  <c r="N13" i="1"/>
  <c r="I13" i="1"/>
  <c r="M13" i="1"/>
  <c r="P13" i="1"/>
  <c r="T13" i="1"/>
  <c r="L16" i="1" l="1"/>
  <c r="G16" i="1"/>
  <c r="E16" i="1"/>
  <c r="H16" i="1" s="1"/>
  <c r="D16" i="1"/>
  <c r="V16" i="1" s="1"/>
  <c r="N16" i="1" l="1"/>
  <c r="I16" i="1"/>
  <c r="M16" i="1"/>
  <c r="W16" i="1"/>
  <c r="O16" i="1"/>
  <c r="J16" i="1"/>
  <c r="P16" i="1"/>
  <c r="T16" i="1"/>
  <c r="Q3" i="1"/>
  <c r="B21" i="5" l="1"/>
  <c r="D21" i="5" s="1"/>
  <c r="C21" i="5"/>
  <c r="B25" i="5"/>
  <c r="D25" i="5" s="1"/>
  <c r="C25" i="5"/>
  <c r="C15" i="5"/>
  <c r="B15" i="5"/>
  <c r="D15" i="5" s="1"/>
  <c r="T15" i="5" s="1"/>
  <c r="G19" i="1"/>
  <c r="E19" i="1"/>
  <c r="H19" i="1" s="1"/>
  <c r="D19" i="1"/>
  <c r="V19" i="1" s="1"/>
  <c r="G18" i="1"/>
  <c r="E18" i="1"/>
  <c r="H18" i="1" s="1"/>
  <c r="D18" i="1"/>
  <c r="V18" i="1" s="1"/>
  <c r="L17" i="1"/>
  <c r="G17" i="1"/>
  <c r="E17" i="1"/>
  <c r="H17" i="1" s="1"/>
  <c r="D17" i="1"/>
  <c r="V17" i="1" s="1"/>
  <c r="G15" i="1"/>
  <c r="E15" i="1"/>
  <c r="H15" i="1" s="1"/>
  <c r="D15" i="1"/>
  <c r="V15" i="1" s="1"/>
  <c r="G11" i="1"/>
  <c r="E11" i="1"/>
  <c r="H11" i="1" s="1"/>
  <c r="D11" i="1"/>
  <c r="T11" i="1" s="1"/>
  <c r="G9" i="1"/>
  <c r="F15" i="5" s="1"/>
  <c r="E9" i="1"/>
  <c r="H9" i="1" s="1"/>
  <c r="E15" i="5" s="1"/>
  <c r="D9" i="1"/>
  <c r="T9" i="1" s="1"/>
  <c r="V24" i="5" l="1"/>
  <c r="L24" i="5"/>
  <c r="U24" i="5"/>
  <c r="I24" i="5"/>
  <c r="K24" i="5"/>
  <c r="H24" i="5"/>
  <c r="G24" i="5"/>
  <c r="S24" i="5" s="1"/>
  <c r="O19" i="1"/>
  <c r="O18" i="1"/>
  <c r="G21" i="5"/>
  <c r="V21" i="5"/>
  <c r="H25" i="5"/>
  <c r="G15" i="5"/>
  <c r="S15" i="5" s="1"/>
  <c r="V15" i="5"/>
  <c r="P15" i="1"/>
  <c r="I25" i="5"/>
  <c r="H21" i="5"/>
  <c r="I21" i="5"/>
  <c r="U15" i="5"/>
  <c r="T25" i="5"/>
  <c r="H15" i="5"/>
  <c r="I15" i="5"/>
  <c r="K15" i="5"/>
  <c r="L21" i="5"/>
  <c r="L15" i="5"/>
  <c r="P18" i="1"/>
  <c r="V11" i="1"/>
  <c r="T18" i="1"/>
  <c r="P19" i="1"/>
  <c r="T19" i="1"/>
  <c r="M17" i="1"/>
  <c r="W17" i="1"/>
  <c r="J17" i="1"/>
  <c r="I17" i="1"/>
  <c r="O17" i="1"/>
  <c r="N17" i="1"/>
  <c r="I11" i="1"/>
  <c r="O11" i="1"/>
  <c r="J11" i="1"/>
  <c r="N11" i="1"/>
  <c r="M11" i="1"/>
  <c r="W11" i="1"/>
  <c r="W15" i="1"/>
  <c r="J15" i="1"/>
  <c r="M15" i="1"/>
  <c r="I15" i="1"/>
  <c r="O15" i="1"/>
  <c r="N15" i="1"/>
  <c r="P17" i="1"/>
  <c r="I18" i="1"/>
  <c r="I19" i="1"/>
  <c r="T17" i="1"/>
  <c r="J18" i="1"/>
  <c r="W18" i="1"/>
  <c r="J19" i="1"/>
  <c r="W19" i="1"/>
  <c r="T15" i="1"/>
  <c r="M18" i="1"/>
  <c r="M19" i="1"/>
  <c r="P11" i="1"/>
  <c r="N18" i="1"/>
  <c r="N19" i="1"/>
  <c r="P9" i="1"/>
  <c r="V9" i="1"/>
  <c r="W9" i="1"/>
  <c r="J9" i="1"/>
  <c r="I9" i="1"/>
  <c r="O9" i="1"/>
  <c r="N9" i="1"/>
  <c r="M9" i="1"/>
  <c r="U25" i="5" l="1"/>
  <c r="L25" i="5"/>
  <c r="K25" i="5"/>
  <c r="G25" i="5"/>
  <c r="S25" i="5" s="1"/>
  <c r="V25" i="5"/>
  <c r="U21" i="5"/>
  <c r="K21" i="5"/>
  <c r="T21" i="5"/>
  <c r="S21" i="5"/>
  <c r="W3" i="1" l="1"/>
  <c r="V3" i="1"/>
  <c r="B2" i="5" l="1"/>
  <c r="B3" i="5" s="1"/>
  <c r="B6" i="5" l="1"/>
  <c r="U7" i="1" l="1"/>
  <c r="B7" i="5" l="1"/>
  <c r="T3" i="1" l="1"/>
  <c r="F3" i="1"/>
  <c r="O7" i="1" l="1"/>
  <c r="N7" i="1"/>
  <c r="E58" i="3" s="1"/>
  <c r="B4" i="5"/>
  <c r="K7" i="1"/>
  <c r="H6" i="1"/>
  <c r="R10" i="5" l="1"/>
  <c r="M65" i="3" s="1"/>
  <c r="N58" i="3" l="1"/>
  <c r="B8" i="5"/>
  <c r="B5" i="5"/>
  <c r="P10" i="5" l="1"/>
  <c r="K65" i="3" s="1"/>
  <c r="Q10" i="5"/>
  <c r="L65" i="3" s="1"/>
  <c r="B63" i="3"/>
  <c r="C63" i="3" s="1"/>
  <c r="M14" i="5"/>
  <c r="H64" i="3" s="1"/>
  <c r="L14" i="5"/>
  <c r="G64" i="3" s="1"/>
  <c r="K14" i="5"/>
  <c r="F64" i="3" s="1"/>
  <c r="L64" i="3"/>
  <c r="K64" i="3"/>
  <c r="O14" i="5"/>
  <c r="J64" i="3" s="1"/>
  <c r="N14" i="5"/>
  <c r="I64" i="3" s="1"/>
  <c r="J14" i="5"/>
  <c r="E64" i="3" s="1"/>
  <c r="I14" i="5"/>
  <c r="D64" i="3" s="1"/>
  <c r="H14" i="5"/>
  <c r="C64" i="3" s="1"/>
  <c r="O10" i="5"/>
  <c r="J65" i="3" s="1"/>
  <c r="N10" i="5"/>
  <c r="I65" i="3" s="1"/>
  <c r="M10" i="5"/>
  <c r="H65" i="3" s="1"/>
  <c r="J10" i="5"/>
  <c r="E65" i="3" s="1"/>
  <c r="N3" i="1" l="1"/>
  <c r="M3" i="1"/>
  <c r="O3" i="1"/>
  <c r="V21" i="1"/>
  <c r="K12" i="5" l="1"/>
  <c r="H12" i="5"/>
  <c r="V12" i="5"/>
  <c r="T12" i="5"/>
  <c r="U12" i="5"/>
  <c r="I12" i="5"/>
  <c r="L12" i="5"/>
  <c r="S12" i="5"/>
  <c r="R3" i="1" l="1"/>
  <c r="D1" i="1"/>
  <c r="F6" i="1"/>
  <c r="T13" i="5"/>
  <c r="T21" i="1"/>
  <c r="T7" i="1" l="1"/>
  <c r="W21" i="1"/>
  <c r="G6" i="1" l="1"/>
  <c r="S13" i="5"/>
  <c r="L13" i="5"/>
  <c r="H13" i="5"/>
  <c r="U13" i="5"/>
  <c r="K13" i="5"/>
  <c r="I13" i="5"/>
  <c r="V13" i="5"/>
  <c r="K10" i="5" l="1"/>
  <c r="F65" i="3" s="1"/>
  <c r="I10" i="5"/>
  <c r="D65" i="3" s="1"/>
  <c r="H10" i="5"/>
  <c r="C65" i="3" s="1"/>
  <c r="L10" i="5"/>
  <c r="G65" i="3" s="1"/>
  <c r="L58" i="3"/>
  <c r="D58" i="3"/>
  <c r="D6" i="1"/>
  <c r="B6" i="1" l="1"/>
  <c r="L3" i="1"/>
  <c r="J3" i="1"/>
  <c r="H3" i="1"/>
  <c r="C6" i="1" l="1"/>
  <c r="P7" i="1" s="1"/>
  <c r="S3" i="1"/>
  <c r="S7" i="1" s="1"/>
  <c r="E6" i="1"/>
  <c r="F58" i="3"/>
  <c r="I3" i="1" l="1"/>
  <c r="B7" i="1"/>
  <c r="L18" i="1" s="1"/>
  <c r="L9" i="1" l="1"/>
  <c r="L13" i="1"/>
  <c r="L15" i="1"/>
  <c r="L11" i="1"/>
  <c r="L19" i="1"/>
  <c r="C7" i="1"/>
  <c r="N21" i="1"/>
  <c r="O21" i="1"/>
  <c r="P21" i="1"/>
  <c r="I21" i="1"/>
  <c r="J21" i="1"/>
  <c r="Q7" i="1" l="1"/>
  <c r="M58" i="3" s="1"/>
  <c r="L7" i="1"/>
  <c r="G58" i="3" s="1"/>
  <c r="K58" i="3"/>
  <c r="J58" i="3"/>
  <c r="K21" i="1"/>
  <c r="M21" i="1"/>
  <c r="R7" i="1" l="1"/>
  <c r="I58" i="3" s="1"/>
  <c r="M7" i="1"/>
  <c r="H58" i="3" s="1"/>
  <c r="J7" i="1"/>
  <c r="C58" i="3" s="1"/>
</calcChain>
</file>

<file path=xl/comments1.xml><?xml version="1.0" encoding="utf-8"?>
<comments xmlns="http://schemas.openxmlformats.org/spreadsheetml/2006/main">
  <authors>
    <author>S_member</author>
    <author>Quang Trung</author>
  </authors>
  <commentList>
    <comment ref="C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</t>
        </r>
      </text>
    </comment>
    <comment ref="D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E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Core Authorization</t>
        </r>
      </text>
    </comment>
    <comment ref="F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EF Core</t>
        </r>
      </text>
    </comment>
    <comment ref="G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H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 Share</t>
        </r>
      </text>
    </comment>
    <comment ref="I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J57" authorId="0" shapeId="0">
      <text>
        <r>
          <rPr>
            <b/>
            <sz val="9"/>
            <color rgb="FF000000"/>
            <rFont val="Tahoma"/>
            <family val="2"/>
          </rPr>
          <t>S_member: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Application Share</t>
        </r>
      </text>
    </comment>
    <comment ref="K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L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M57" authorId="1" shapeId="0">
      <text>
        <r>
          <rPr>
            <b/>
            <sz val="9"/>
            <color rgb="FF000000"/>
            <rFont val="Tahoma"/>
            <family val="2"/>
          </rPr>
          <t>Quang Trung: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 xml:space="preserve">Application
</t>
        </r>
      </text>
    </comment>
    <comment ref="N57" authorId="1" shapeId="0">
      <text>
        <r>
          <rPr>
            <b/>
            <sz val="9"/>
            <color indexed="81"/>
            <rFont val="Tahoma"/>
            <family val="2"/>
          </rPr>
          <t>Quang Trung:</t>
        </r>
        <r>
          <rPr>
            <sz val="9"/>
            <color indexed="81"/>
            <rFont val="Tahoma"/>
            <family val="2"/>
          </rPr>
          <t xml:space="preserve">
Application</t>
        </r>
      </text>
    </comment>
  </commentList>
</comments>
</file>

<file path=xl/sharedStrings.xml><?xml version="1.0" encoding="utf-8"?>
<sst xmlns="http://schemas.openxmlformats.org/spreadsheetml/2006/main" count="448" uniqueCount="340">
  <si>
    <t>bigint</t>
  </si>
  <si>
    <t>Checked</t>
  </si>
  <si>
    <t>date</t>
  </si>
  <si>
    <t>datetime</t>
  </si>
  <si>
    <t>int</t>
  </si>
  <si>
    <t>Class Name</t>
  </si>
  <si>
    <t xml:space="preserve">Name Space </t>
  </si>
  <si>
    <t>Field Name</t>
  </si>
  <si>
    <t>Data Type</t>
  </si>
  <si>
    <t>Length</t>
  </si>
  <si>
    <t xml:space="preserve">Allow Null? </t>
  </si>
  <si>
    <t>Import</t>
  </si>
  <si>
    <t>Folder Name</t>
  </si>
  <si>
    <t>Table</t>
  </si>
  <si>
    <t>Field Name Normalized</t>
  </si>
  <si>
    <t>Dot Net Data Type</t>
  </si>
  <si>
    <t>SQL Server data type</t>
  </si>
  <si>
    <t>CLR data type (.NET Framework)</t>
  </si>
  <si>
    <t>varchar</t>
  </si>
  <si>
    <t>nvarchar</t>
  </si>
  <si>
    <t>uniqueidentifier</t>
  </si>
  <si>
    <t>Guid</t>
  </si>
  <si>
    <t>bit</t>
  </si>
  <si>
    <t>tinyint</t>
  </si>
  <si>
    <t>smallint</t>
  </si>
  <si>
    <t>smallmoney</t>
  </si>
  <si>
    <t>money</t>
  </si>
  <si>
    <t>numeric</t>
  </si>
  <si>
    <t>decimal</t>
  </si>
  <si>
    <t>real</t>
  </si>
  <si>
    <t>float</t>
  </si>
  <si>
    <t>smalldatetime</t>
  </si>
  <si>
    <t>DateTime</t>
  </si>
  <si>
    <t>string</t>
  </si>
  <si>
    <t>byte</t>
  </si>
  <si>
    <t>datetime2</t>
  </si>
  <si>
    <t>bool</t>
  </si>
  <si>
    <t>SQL Data Type</t>
  </si>
  <si>
    <t>Property</t>
  </si>
  <si>
    <t xml:space="preserve">
</t>
  </si>
  <si>
    <t>Ngoặc nhọn trái</t>
  </si>
  <si>
    <t>Ngoặc nhọn phải</t>
  </si>
  <si>
    <t>Xuống dòng</t>
  </si>
  <si>
    <t xml:space="preserve">{
</t>
  </si>
  <si>
    <t xml:space="preserve">}
</t>
  </si>
  <si>
    <t>Required</t>
  </si>
  <si>
    <t>Index?</t>
  </si>
  <si>
    <t xml:space="preserve">Index </t>
  </si>
  <si>
    <t>long</t>
  </si>
  <si>
    <t>Base Classes (Entity)</t>
  </si>
  <si>
    <t>Const</t>
  </si>
  <si>
    <t>End Field (Property)</t>
  </si>
  <si>
    <t>End Field (Consts)</t>
  </si>
  <si>
    <t>End Field (Index)</t>
  </si>
  <si>
    <t xml:space="preserve">using Abp.Application.Services.Dto;
using System;
using System.ComponentModel.DataAnnotations;
</t>
  </si>
  <si>
    <t>Base Classes DTO</t>
  </si>
  <si>
    <t xml:space="preserve"> : EntityDto&lt;long?&gt;</t>
  </si>
  <si>
    <t>: FullAuditedEntity&lt;long&gt;, IEntity&lt;long&gt;</t>
  </si>
  <si>
    <t>DTO Property (Create/Update)</t>
  </si>
  <si>
    <t>Force SQL Type</t>
  </si>
  <si>
    <t>_</t>
  </si>
  <si>
    <t>End Field (Dto Create/Update)</t>
  </si>
  <si>
    <t>End Field (Dto Get)</t>
  </si>
  <si>
    <t>DTO Property (Get)</t>
  </si>
  <si>
    <t>DTO Property (Filter)</t>
  </si>
  <si>
    <t>End Field (Dto Filter)</t>
  </si>
  <si>
    <t>2) DB Context</t>
  </si>
  <si>
    <t>3) Consts Class</t>
  </si>
  <si>
    <t xml:space="preserve">4) DTO Classes </t>
  </si>
  <si>
    <t>7) Interface</t>
  </si>
  <si>
    <t>8) Services</t>
  </si>
  <si>
    <t xml:space="preserve">using Abp.Domain.Entities;
using Abp.Domain.Entities.Auditing;
using Microsoft.EntityFrameworkCore;
using System;
using System.ComponentModel.DataAnnotations;
using System.ComponentModel.DataAnnotations.Schema;
</t>
  </si>
  <si>
    <t>1) Add Entity</t>
  </si>
  <si>
    <t>2) Front-End Template</t>
  </si>
  <si>
    <t>DEVELOPER GUIDE</t>
  </si>
  <si>
    <t>3) Comment Template</t>
  </si>
  <si>
    <t>Điền các ô màu xanh</t>
  </si>
  <si>
    <t>1) Back-End Template (Sheet A.Backend)</t>
  </si>
  <si>
    <t>Copy Output theo thứ tự dưới đây vào các file tương ứng</t>
  </si>
  <si>
    <t>Thay đổi ô màu vàng nếu cần</t>
  </si>
  <si>
    <t>Ví dụ:</t>
  </si>
  <si>
    <t xml:space="preserve">- DateTime đều chuyển thành datetime -&gt; nếu muốn chuyển thành date hoặc datetime2 thì phải chỉ định rõ </t>
  </si>
  <si>
    <t>- string chuyển thành varchar -&gt; nếu muốn chuyển nvarchar thì ghi nvarchar ở cột này</t>
  </si>
  <si>
    <r>
      <t>Cột</t>
    </r>
    <r>
      <rPr>
        <b/>
        <sz val="11"/>
        <color theme="1"/>
        <rFont val="Calibri"/>
        <family val="2"/>
        <scheme val="minor"/>
      </rPr>
      <t xml:space="preserve"> "Force SQL Type"</t>
    </r>
    <r>
      <rPr>
        <sz val="11"/>
        <color theme="1"/>
        <rFont val="Calibri"/>
        <family val="2"/>
        <scheme val="minor"/>
      </rPr>
      <t xml:space="preserve"> dùng để chuyển kiểu dữ liệu về kiểu bắt buộc như date, nvarchar của SQL Server</t>
    </r>
  </si>
  <si>
    <t>Cột này để copy vào Service Get</t>
  </si>
  <si>
    <t>End Field (Service GetAll)</t>
  </si>
  <si>
    <r>
      <t xml:space="preserve">Cột </t>
    </r>
    <r>
      <rPr>
        <b/>
        <sz val="11"/>
        <color theme="1"/>
        <rFont val="Calibri"/>
        <family val="2"/>
        <scheme val="minor"/>
      </rPr>
      <t>"Field Name" không cần trường Id</t>
    </r>
    <r>
      <rPr>
        <sz val="11"/>
        <color theme="1"/>
        <rFont val="Calibri"/>
        <family val="2"/>
        <scheme val="minor"/>
      </rPr>
      <t>, trường này sẽ mặc định cho tất cả các entity</t>
    </r>
  </si>
  <si>
    <t>Điền "Folder Name" - Chính là Module lớn. Ví dụ của Production Andon</t>
  </si>
  <si>
    <t>Master</t>
  </si>
  <si>
    <t>Common</t>
  </si>
  <si>
    <t>Frame</t>
  </si>
  <si>
    <t>Painting</t>
  </si>
  <si>
    <t>Welding</t>
  </si>
  <si>
    <t>Interface</t>
  </si>
  <si>
    <t>WorkingPattern</t>
  </si>
  <si>
    <t>Andon</t>
  </si>
  <si>
    <t>Bumper</t>
  </si>
  <si>
    <t>Module chính</t>
  </si>
  <si>
    <t>Mst</t>
  </si>
  <si>
    <t>Frm</t>
  </si>
  <si>
    <t>Pts</t>
  </si>
  <si>
    <t>Wld</t>
  </si>
  <si>
    <t>Inf</t>
  </si>
  <si>
    <t>Wpt</t>
  </si>
  <si>
    <t>Bmp</t>
  </si>
  <si>
    <t>Tên viết tắt</t>
  </si>
  <si>
    <r>
      <t xml:space="preserve">Cột </t>
    </r>
    <r>
      <rPr>
        <b/>
        <sz val="11"/>
        <color theme="1"/>
        <rFont val="Calibri"/>
        <family val="2"/>
        <scheme val="minor"/>
      </rPr>
      <t>"Index?"</t>
    </r>
    <r>
      <rPr>
        <sz val="11"/>
        <color theme="1"/>
        <rFont val="Calibri"/>
        <family val="2"/>
        <scheme val="minor"/>
      </rPr>
      <t xml:space="preserve"> dùng để xác định trường đó có được đánh index hay không. Tốt nhất là theo quy tắc sau: </t>
    </r>
  </si>
  <si>
    <t>Trường Code</t>
  </si>
  <si>
    <t>Trường ForeignKey</t>
  </si>
  <si>
    <t>Trường Status</t>
  </si>
  <si>
    <t>Trường IsActive</t>
  </si>
  <si>
    <t>Trường Type</t>
  </si>
  <si>
    <t>Trường Start/End Date</t>
  </si>
  <si>
    <t xml:space="preserve">Trường liên quan đến Sorting (thường hay nằm trong mệnh đề Order By) </t>
  </si>
  <si>
    <t>Ado</t>
  </si>
  <si>
    <t>|   \---src</t>
  </si>
  <si>
    <t>|       +---account</t>
  </si>
  <si>
    <t>|       +---app</t>
  </si>
  <si>
    <t>|       |   +---admin</t>
  </si>
  <si>
    <t>|       |   +---main</t>
  </si>
  <si>
    <t>|       |   |   +---common</t>
  </si>
  <si>
    <t>|       |   |   +---frame</t>
  </si>
  <si>
    <t>|       |   |   +---interface</t>
  </si>
  <si>
    <t>|       |   |   +---master</t>
  </si>
  <si>
    <t>|       |   |   |   +---common</t>
  </si>
  <si>
    <t>|       |   |   |   +---frame</t>
  </si>
  <si>
    <t>|       |   |   |   +---interface</t>
  </si>
  <si>
    <t>|       |   |   |   +---painting</t>
  </si>
  <si>
    <t>|       |   |   |   +---welding</t>
  </si>
  <si>
    <t>|       |   |   |   \---workingpattern</t>
  </si>
  <si>
    <t>|       |   |   |       +---calendar</t>
  </si>
  <si>
    <t>|       |   |   |       \---shop</t>
  </si>
  <si>
    <t>|       |   |   \---painting</t>
  </si>
  <si>
    <t>|       |   |       \---andon</t>
  </si>
  <si>
    <t>|       |   |           \---scaninfo</t>
  </si>
  <si>
    <t>|       |   |   +---welding</t>
  </si>
  <si>
    <t>|       |   |   +---workingpattern</t>
  </si>
  <si>
    <t>|       |   \---shared</t>
  </si>
  <si>
    <t>|   +---src</t>
  </si>
  <si>
    <t>|   |   +---vovina.Application</t>
  </si>
  <si>
    <t>|   |   |   +---Common</t>
  </si>
  <si>
    <t>|   |   |   +---Frame</t>
  </si>
  <si>
    <t>|   |   |   +---Interface</t>
  </si>
  <si>
    <t>|   |   |   +---Master</t>
  </si>
  <si>
    <t>|   |   |   |   +---Common</t>
  </si>
  <si>
    <t>|   |   |   |   +---Frame</t>
  </si>
  <si>
    <t>|   |   |   |   +---Interface</t>
  </si>
  <si>
    <t>|   |   |   |   +---Painting</t>
  </si>
  <si>
    <t>|   |   |   |   +---Welding</t>
  </si>
  <si>
    <t>|   |   |   |   \---WorkingPattern</t>
  </si>
  <si>
    <t>|   |   |   +---Painting</t>
  </si>
  <si>
    <t>|   |   |   |   \---Andon</t>
  </si>
  <si>
    <t>|   |   |   +---Welding</t>
  </si>
  <si>
    <t>|   |   |   +---WorkingPattern</t>
  </si>
  <si>
    <t>|   |   +---vovina.Application.Shared</t>
  </si>
  <si>
    <t>|   |   |   |   +---Dto</t>
  </si>
  <si>
    <t>|   |   |   |   \---Loging</t>
  </si>
  <si>
    <t>|   |   |   |       \---SqlAuditLog</t>
  </si>
  <si>
    <t>|   |   |   |           \---Dto</t>
  </si>
  <si>
    <t>|   |   |   |   |   \---PaintingProcess</t>
  </si>
  <si>
    <t>|   |   |   |   |       \---Dto</t>
  </si>
  <si>
    <t>|   |   |   |       +---Calendar</t>
  </si>
  <si>
    <t>|   |   |   |       |   \---Dto</t>
  </si>
  <si>
    <t>|   |   |   |       \---Shop</t>
  </si>
  <si>
    <t>|   |   |   |       \---ScanInfo</t>
  </si>
  <si>
    <t>|   |   |   \---WorkingPattern</t>
  </si>
  <si>
    <t>|   |   +---vovina.Core</t>
  </si>
  <si>
    <t>|   |   +---vovina.Core.Shared</t>
  </si>
  <si>
    <t>|   |   +---vovina.EntityFrameworkCore</t>
  </si>
  <si>
    <t>|   |   +---vovina.GraphQL</t>
  </si>
  <si>
    <t>|   |   +---vovina.Migrator</t>
  </si>
  <si>
    <t>|   |   +---vovina.Web.Core</t>
  </si>
  <si>
    <t>|   |   +---vovina.Web.Host</t>
  </si>
  <si>
    <t>|   |   \---vovina.Web.Public</t>
  </si>
  <si>
    <t>\---docs</t>
  </si>
  <si>
    <t xml:space="preserve">    \---design</t>
  </si>
  <si>
    <t xml:space="preserve">        +---common</t>
  </si>
  <si>
    <t xml:space="preserve">        +---frame</t>
  </si>
  <si>
    <t xml:space="preserve">        +---interface</t>
  </si>
  <si>
    <t xml:space="preserve">        +---master</t>
  </si>
  <si>
    <t xml:space="preserve">        |   +---common</t>
  </si>
  <si>
    <t xml:space="preserve">        |   +---frame</t>
  </si>
  <si>
    <t xml:space="preserve">        |   +---interface</t>
  </si>
  <si>
    <t xml:space="preserve">        |   +---painting</t>
  </si>
  <si>
    <t xml:space="preserve">        |   +---welding</t>
  </si>
  <si>
    <t xml:space="preserve">        |   \---workingpattern</t>
  </si>
  <si>
    <t xml:space="preserve">        +---painting</t>
  </si>
  <si>
    <t xml:space="preserve">        |   \---andon</t>
  </si>
  <si>
    <t xml:space="preserve">        +---welding</t>
  </si>
  <si>
    <t xml:space="preserve">        \---workingpattern</t>
  </si>
  <si>
    <t>+---angular</t>
  </si>
  <si>
    <t>+---aspnet-core</t>
  </si>
  <si>
    <t xml:space="preserve">&lt;&lt;&lt; Đật tên thư mục theo tên của component. Ví dụ: MstWptCalendar -&gt; chỉ cần đặt là "calendar" vì nó đã nằm trong thư mục Master.WorkingPattern rồi </t>
  </si>
  <si>
    <t>1. FRONT END</t>
  </si>
  <si>
    <t>2. BACK END</t>
  </si>
  <si>
    <t>3. DOCUMENT</t>
  </si>
  <si>
    <r>
      <t xml:space="preserve">Tham khảo Sheet </t>
    </r>
    <r>
      <rPr>
        <b/>
        <sz val="12"/>
        <color rgb="FFFF0000"/>
        <rFont val="Calibri"/>
        <family val="2"/>
        <scheme val="minor"/>
      </rPr>
      <t>Directory Tree</t>
    </r>
    <r>
      <rPr>
        <sz val="12"/>
        <color rgb="FFFF0000"/>
        <rFont val="Calibri"/>
        <family val="2"/>
        <scheme val="minor"/>
      </rPr>
      <t xml:space="preserve"> để hiểu cấu trúc thư mục </t>
    </r>
  </si>
  <si>
    <t>&lt;&lt;&lt; scaninfo</t>
  </si>
  <si>
    <t>4) DB Context</t>
  </si>
  <si>
    <t>5) Consts Class</t>
  </si>
  <si>
    <t xml:space="preserve">6) DTO Classes </t>
  </si>
  <si>
    <t>7)ToExcelInput</t>
  </si>
  <si>
    <t>9)EXportInput</t>
  </si>
  <si>
    <t>11)ExportService</t>
  </si>
  <si>
    <t>10)InterfaceExport</t>
  </si>
  <si>
    <t>8) Interface</t>
  </si>
  <si>
    <t>Y</t>
  </si>
  <si>
    <t>2)AppPermissions</t>
  </si>
  <si>
    <t>3)AppAuthorizationProvider</t>
  </si>
  <si>
    <t>9) interface Export</t>
  </si>
  <si>
    <t>10) Export Service</t>
  </si>
  <si>
    <t>11) Services</t>
  </si>
  <si>
    <t>Full Name</t>
  </si>
  <si>
    <t>Name Normal</t>
  </si>
  <si>
    <t>Menu Name</t>
  </si>
  <si>
    <t>NameFront</t>
  </si>
  <si>
    <t>example code</t>
  </si>
  <si>
    <t>code copy</t>
  </si>
  <si>
    <t>Filde Name</t>
  </si>
  <si>
    <t>.input-search{
    width: 250px;
    border-radius: 10px;
    margin-left: 10px;
}
.btn-search{
    width: 50px;
    margin-left: 10px;
}</t>
  </si>
  <si>
    <t>import {NgModule} from '@angular/core';
import {AppSharedModule} from '@app/shared/app-shared.module';
import { CalendarRoutingModule } from './calendar-routing.module';
import { CalendarComponent } from './calendar.component';
import { CreateOrEditCalendarModalComponent } from './create-or-edit-calendar-modal.component';
@NgModule({
    declarations: [
       CalendarComponent, 
        CreateOrEditCalendarModalComponent
    ],
    imports: [
        AppSharedModule, CalendarRoutingModule]
})
export class CalendarModule {}</t>
  </si>
  <si>
    <t>import {NgModule} from '@angular/core';
import {RouterModule, Routes} from '@angular/router';
import { CalendarComponent } from './calendar.component';
const routes: Routes = [{
    path: '',
    component: CalendarComponent,
    pathMatch: 'full'
}];
@NgModule({
    imports: [RouterModule.forChild(routes)],
    exports: [RouterModule],
})
export class CalendarRoutingModule {}</t>
  </si>
  <si>
    <t>app.navigation.service.ts</t>
  </si>
  <si>
    <t xml:space="preserve"> new AppMenuItem("Calendar", "Pages.Master.WorkingPattern.Calendar", "flaticon-book",   "/app/main/master/workingpattern/calendar"),</t>
  </si>
  <si>
    <t>NameBack</t>
  </si>
  <si>
    <t>main.routing.module.ts</t>
  </si>
  <si>
    <t>COPY CODE</t>
  </si>
  <si>
    <t>12)CustomDtoMapper</t>
  </si>
  <si>
    <t>Copy to file -&gt; create menu</t>
  </si>
  <si>
    <t>Create file</t>
  </si>
  <si>
    <t xml:space="preserve">  configuration.CreateMap&lt;MstWptCalendarDto, MstWptCalendar&gt;();
  configuration.CreateMap&lt;MstWptCalendar, MstWptCalendarDto&gt;();
  configuration.CreateMap&lt;CreateOrEditMstWptCalendarDto, MstWptCalendar&gt;();</t>
  </si>
  <si>
    <t>1)Back- End Template</t>
  </si>
  <si>
    <t>service-proxy.module.ts</t>
  </si>
  <si>
    <t>ApiServiceProxies.MstWptCalendarServiceProxy,</t>
  </si>
  <si>
    <t>Cmm</t>
  </si>
  <si>
    <t>6) AppPermissions</t>
  </si>
  <si>
    <t xml:space="preserve">5) AppAuthorizationProvider </t>
  </si>
  <si>
    <t>Local Name</t>
  </si>
  <si>
    <t>Name</t>
  </si>
  <si>
    <t>J9</t>
  </si>
  <si>
    <t>I9</t>
  </si>
  <si>
    <t>L9</t>
  </si>
  <si>
    <t>M9</t>
  </si>
  <si>
    <t>N9</t>
  </si>
  <si>
    <t>O9</t>
  </si>
  <si>
    <t>P9</t>
  </si>
  <si>
    <t>T9</t>
  </si>
  <si>
    <t>V9</t>
  </si>
  <si>
    <t>H15</t>
  </si>
  <si>
    <t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t>
  </si>
  <si>
    <t>{
    path: 'master/workingpattern/calendar',
    loadChildren: () =&gt; import('./master/workingpattern/calendar/calendar.module').then(m =&gt; m.CalendarModule),
    data: { permission: 'Pages.Master.WorkingPattern.Calendar' }
},</t>
  </si>
  <si>
    <t>declare</t>
  </si>
  <si>
    <t>param</t>
  </si>
  <si>
    <t>S15</t>
  </si>
  <si>
    <t>T15</t>
  </si>
  <si>
    <t>clearparams</t>
  </si>
  <si>
    <t>&lt;div bsModal #createOrEditModalCalendar="bs-modal"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Calendar')}}&lt;/h3&gt;
                    &lt;h3 *ngIf="!rowdata.id"&gt;{{('Create New Calendar')}}&lt;/h3&gt;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&lt;PROPERTIES&gt;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t>
  </si>
  <si>
    <t>W9</t>
  </si>
  <si>
    <t>using System.Collections.Generic;
using vovina.DataExporting.Excel.NPOI;
using vovina.Dto;
using vovina.Master.WorkingPattern.Exporting;
using vovina.Master.WorkingPattern.Dto;
using vovina.Storage;
using vovina.Master.WorkingPattern.Dto;
namespace vovina.Master.WorkingPattern.Exporting
{
    public class MstWptCalendarExcelExporter : NpoiExcelExporterBase, IMstWptCalendarExcelExporter
    {
        public MstWptCalendarExcelExporter(ITempFileCacheManager tempFileCacheManager) : base(tempFileCacheManager) { }
        public FileDto ExportToFile(List&lt;MstWptCalendarDto&gt; calendar)
        {
            return CreateExcelPackage(
				"MasterWorkingPatternCalendar.xlsx",
				excelPackage =&gt;
				 {
					var sheet = excelPackage.CreateSheet("Calendar");
					AddHeader(
								sheet,
&lt;PROPERTIES&gt;
							   );
					AddObjects(
						 sheet, 1, calendar,                                       
&lt;PROPERTIES1&gt;
								);
			for (var i = 0; i &lt; 8; i++)
				{
					sheet.AutoSizeColumn(i);
				}
			});
        }
    }
}</t>
  </si>
  <si>
    <t>K15</t>
  </si>
  <si>
    <t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CreateOrEditMstWptCalendarDto, MstWptCalendarServiceProxy } from '@shared/service-proxies/service-proxies';
import { BsDatepickerDirective } from 'ngx-bootstrap/datepicker';
@Component({
    selector: 'create-or-edit-calendar-modal',
    templateUrl: './create-or-edit-calendar-modal.component.html',
    styleUrls: ['./create-or-edit-calendar-modal.component.less']
    })
export class CreateOrEditCalendarModalComponent extends AppComponentBase {
    @ViewChild('createOrEditModalCalendar',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CreateOrEditMstWptCalendarDto = new CreateOrEditMstWptCalendarDto();
    active: boolean = false;
    saving: boolean = false;
    _isActive: boolean;
    constructor(
        injector: Injector,
        private _mstwptCalendarService: MstWptCalendarServiceProxy,
    ) 
    {
        super(injector);
    }
    show(rowdata?: CreateOrEditMstWptCalendarDto): void {
        if (!rowdata) this.rowdata = new CreateOrEditMstWptCalendarDto();
        else this.rowdata = rowdata;
&lt;VIEWDATETIME&gt;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this._mstwptCalendarService.createOrEdit(this.rowdata)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t>
  </si>
  <si>
    <t>I15</t>
  </si>
  <si>
    <t>L15</t>
  </si>
  <si>
    <t>U15</t>
  </si>
  <si>
    <t>active</t>
  </si>
  <si>
    <t>V15</t>
  </si>
  <si>
    <t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vovina.Master.WorkingPattern.Dto;
using vovina.Master.WorkingPattern.Exporting;
namespace vovina.Master.WorkingPattern
{
    [AbpAuthorize(AppPermissions.Pages_Master_WorkingPattern_Calendar)]
    public class MstWptCalendarAppService : vovinaAppServiceBase, IMstWptCalendarAppService
    {
        private readonly IDapperRepository&lt;MstWptCalendar, long&gt; _dapperRepo;
        private readonly IRepository&lt;MstWptCalendar, long&gt; _repo;
        private readonly IMstWptCalendarExcelExporter _calendarListExcelExporter;
        public MstWptCalendarAppService(IRepository&lt;MstWptCalendar,long&gt; repo, 
                                         IDapperRepository&lt;MstWptCalendar,long&gt; dapperRepo,
                                        IMstWptCalendarExcelExporter calendarListExcelExporter
            )
        {
            _repo = repo;
            _dapperRepo = dapperRepo;
            _calendarListExcelExporter = calendarListExcelExporter;
        }
        [AbpAuthorize(AppPermissions.Pages_Master_WorkingPattern_Calendar_CreateEdit)]
        public async Task CreateOrEdit(CreateOrEditMstWptCalendarDto input)
        {
            if (input.Id == null) await Create(input);
            else await Update(input);
        }
        //CREATE
        private async Task Create(CreateOrEditMstWptCalendarDto input)
        {          
            var mainObj = ObjectMapper.Map&lt;MstWptCalendar&gt;(input);
            await CurrentUnitOfWork.GetDbContext&lt;vovinaDbContext&gt;().AddAsync(mainObj);
        }
        // EDIT
        private async Task Update(CreateOrEditMstWptCalendarDto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[AbpAuthorize(AppPermissions.Pages_Master_WorkingPattern_Calendar_Delete)]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Task&lt;PagedResultDto&lt;MstWptCalendarDto&gt;&gt; GetAll(GetMstWptCalendarInput input)
        {
            var filtered = _repo.GetAll()
&lt;PARAMS_SEARCH&gt;                   
				;
            var pageAndFiltered = filtered.OrderBy(s =&gt; s.Id);
            var system = from o in pageAndFiltered
                         select new MstWptCalendarDto
                        {
							Id = o.Id,
&lt;PROPERTIES&gt;
                        };
            var totalCount = await filtered.CountAsync();
			var paged = system.PageBy(input);
            return new PagedResultDto&lt;MstWptCalendarDto&gt;(
                totalCount,
                 await paged.ToListAsync()
            );
        }
        public async Task&lt;FileDto&gt; GetCalendarToExcel(MstWptCalendarExportInput input)
        {
            var query = from o in _repo.GetAll()
                        select new MstWptCalendarDto
                        {
							Id = o.Id,
&lt;PROPERTIES&gt;
                        };
            var exportToExcel = await query.ToListAsync();
            return _calendarListExcelExporter.ExportToFile(exportToExcel);
        }
       // public async Task GenerateAsync()
      //  {
        //    await _dapperRepo.ExecuteAsync(MstWptCalendarConsts.SP_MST_WPT_CALENDAR_GENERATE);
       // }
    }
}</t>
  </si>
  <si>
    <t>time</t>
  </si>
  <si>
    <t>TimeSpan</t>
  </si>
  <si>
    <t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MstWptCalendarDto, MstWptCalendarServiceProxy } from '@shared/service-proxies/service-proxies';
import { finalize } from 'rxjs/internal/operators/finalize';
import { CreateOrEditCalendarModalComponent } from './create-or-edit-calendar-modal.component';
import { DatePipe } from '@angular/common';
import { FileDownloadService } from '@shared/utils/file-download.service';
import ceil from 'lodash-es/ceil';
import { Paginator } from 'primeng/paginator';
@Component({
    templateUrl: './calendar.component.html',
    styleUrls: ['./calendar.component.less'],
})
export class CalendarComponent extends AppComponentBase implements OnInit {
    @ViewChild('createOrEditModalCalendar', { static: true }) createOrEditModalCalendar:| CreateOrEditCalendarModalComponent|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MstWptCalendarDto = new MstWptCalendarDto();
    saveSelectedRow: MstWptCalendarDto = new MstWptCalendarDto();
    datas: MstWptCalendarDto = new MstWptCalendarDto();
    isLoading: boolean = false;
    dataParams: GridParams | undefined;
    rowData: any[] = [];
    gridApi!: GridApi;
    rowSelection = 'multiple';
    filter: string = '';
	pipe = new DatePipe('en-US');
	frameworkComponents: FrameworkComponent;
    &lt;DECLARE&gt;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MstWptCalendarServiceProxy,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&lt;PROPERTIES&gt;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&lt;PARAMS&gt;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&lt;CLEARPARAMS&gt;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&lt;PARAMS&gt;
			'',
            this.paginationParams.skipCount,
            this.paginationParams.pageSize
        );
    }
    onChangeRowSelection(params: { api: { getSelectedRows: () =&gt; MstWptCalendarDto[] } }) {
        this.saveSelectedRow = params.api.getSelectedRows()[0] ?? new MstWptCalendarDto();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MstWptCalendarDto):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this._service.getCalendarToExcel(
&lt;PARAMS&gt;
            )
            .subscribe((result) =&gt; {
                this._fileDownloadService.downloadTempFile(result);
        });
    }
}</t>
  </si>
  <si>
    <t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&lt;FULL_TITLE&gt;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&lt;PROPERTIES&gt;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(click)="createOrEditModalCalendar.show()"&gt;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(click)="createOrEditModalCalendar.show(selectedRow)"&gt;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&lt;create-or-edit-calendar-modal
    #createOrEditModalCalendar
    (modalSave)="callBackDataGrid(dataParams)"
    (modalClose)="onChangeRowSelection(dataParams)"
&gt;
&lt;/create-or-edit-calendar-modal&gt;</t>
  </si>
  <si>
    <t>LogW</t>
  </si>
  <si>
    <t>Lgw</t>
  </si>
  <si>
    <t>Devanning</t>
  </si>
  <si>
    <t>Lup</t>
  </si>
  <si>
    <t>Dvn</t>
  </si>
  <si>
    <t>LotUnpacking</t>
  </si>
  <si>
    <t>LotMaking</t>
  </si>
  <si>
    <t>PxPUnpacking</t>
  </si>
  <si>
    <t>ModuleWH</t>
  </si>
  <si>
    <t>Lmk</t>
  </si>
  <si>
    <t>Pup</t>
  </si>
  <si>
    <t>Mwh</t>
  </si>
  <si>
    <t>Pik</t>
  </si>
  <si>
    <t>Picking</t>
  </si>
  <si>
    <t>Viết tắt dài (đầy đủ)</t>
  </si>
  <si>
    <t>MstCmm</t>
  </si>
  <si>
    <t>MstFrm</t>
  </si>
  <si>
    <t>MstPts</t>
  </si>
  <si>
    <t>MstWld</t>
  </si>
  <si>
    <t>MstInf</t>
  </si>
  <si>
    <t>MstWpt</t>
  </si>
  <si>
    <t>MstLgw</t>
  </si>
  <si>
    <t>PtsAdo</t>
  </si>
  <si>
    <t>PtsBmp</t>
  </si>
  <si>
    <t>LgwDvn</t>
  </si>
  <si>
    <t>LgwLup</t>
  </si>
  <si>
    <t>LgwLmk</t>
  </si>
  <si>
    <t>LgwPup</t>
  </si>
  <si>
    <t>LgwMwh</t>
  </si>
  <si>
    <t>LgwPik</t>
  </si>
  <si>
    <t>Pln</t>
  </si>
  <si>
    <t>FrmAdo</t>
  </si>
  <si>
    <t>WldAdo</t>
  </si>
  <si>
    <t>Ccr</t>
  </si>
  <si>
    <t>PlnCcr</t>
  </si>
  <si>
    <t>LogA</t>
  </si>
  <si>
    <t>Lga</t>
  </si>
  <si>
    <t>MstLga</t>
  </si>
  <si>
    <t>LotDirectSupply</t>
  </si>
  <si>
    <t>Lds</t>
  </si>
  <si>
    <t>LgaLds</t>
  </si>
  <si>
    <t>LgaBmp</t>
  </si>
  <si>
    <t>Ekanban</t>
  </si>
  <si>
    <t>Ekb</t>
  </si>
  <si>
    <t>LgaEkb</t>
  </si>
  <si>
    <t>BigPart2x2</t>
  </si>
  <si>
    <t>Bp2</t>
  </si>
  <si>
    <t>LgaBp2</t>
  </si>
  <si>
    <t>Plan</t>
  </si>
  <si>
    <t>varchar(50)</t>
  </si>
  <si>
    <t>Master.LogA</t>
  </si>
  <si>
    <t>PROD_LINE</t>
  </si>
  <si>
    <t>SORTING</t>
  </si>
  <si>
    <t>IS_ACTIVE</t>
  </si>
  <si>
    <t>varchar(1)</t>
  </si>
  <si>
    <t>LEAD_TIME</t>
  </si>
  <si>
    <t>PROCESS_GROUP</t>
  </si>
  <si>
    <t>PROCESS_SUBGROUP</t>
  </si>
  <si>
    <t>Barcode</t>
  </si>
  <si>
    <t>Bar</t>
  </si>
  <si>
    <t>LgaBar</t>
  </si>
  <si>
    <t>MstLgaEkbUser</t>
  </si>
  <si>
    <t>EkbUser</t>
  </si>
  <si>
    <t>USER_NAME</t>
  </si>
  <si>
    <t>PROCESS_ID</t>
  </si>
  <si>
    <t>USER_CODE</t>
  </si>
  <si>
    <t>PROCESS_CODE</t>
  </si>
  <si>
    <t>USER_TYPE</t>
  </si>
  <si>
    <t>Master LA Ekanban User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</si>
</sst>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theme="1"/>
      <name val="Lucida Console"/>
      <family val="3"/>
    </font>
    <font>
      <sz val="12"/>
      <color theme="1"/>
      <name val="Lucida Console"/>
      <family val="3"/>
    </font>
    <font>
      <sz val="12"/>
      <color rgb="FFFF0000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4">
    <xf numFmtId="0" fontId="0" fillId="0" borderId="0" xfId="0"/>
    <xf numFmtId="0" fontId="2" fillId="0" borderId="0" xfId="0" applyFont="1"/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0" fillId="3" borderId="0" xfId="0" applyFill="1"/>
    <xf numFmtId="0" fontId="0" fillId="0" borderId="0" xfId="0" applyFill="1"/>
    <xf numFmtId="0" fontId="0" fillId="5" borderId="0" xfId="0" applyFill="1"/>
    <xf numFmtId="0" fontId="0" fillId="4" borderId="0" xfId="0" applyFill="1"/>
    <xf numFmtId="0" fontId="0" fillId="4" borderId="0" xfId="0" applyFill="1" applyAlignment="1">
      <alignment wrapText="1"/>
    </xf>
    <xf numFmtId="0" fontId="0" fillId="7" borderId="0" xfId="0" applyFill="1" applyAlignment="1">
      <alignment wrapText="1"/>
    </xf>
    <xf numFmtId="0" fontId="0" fillId="7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0" fontId="2" fillId="7" borderId="0" xfId="0" applyFont="1" applyFill="1"/>
    <xf numFmtId="0" fontId="6" fillId="0" borderId="0" xfId="0" applyFont="1"/>
    <xf numFmtId="0" fontId="0" fillId="0" borderId="0" xfId="0" applyAlignment="1">
      <alignment vertical="center"/>
    </xf>
    <xf numFmtId="0" fontId="0" fillId="0" borderId="0" xfId="0" applyFont="1"/>
    <xf numFmtId="0" fontId="0" fillId="0" borderId="0" xfId="0" quotePrefix="1"/>
    <xf numFmtId="0" fontId="7" fillId="0" borderId="0" xfId="0" applyFont="1"/>
    <xf numFmtId="0" fontId="8" fillId="2" borderId="0" xfId="0" applyFont="1" applyFill="1"/>
    <xf numFmtId="0" fontId="9" fillId="9" borderId="0" xfId="0" applyFont="1" applyFill="1"/>
    <xf numFmtId="0" fontId="11" fillId="0" borderId="0" xfId="0" applyFont="1"/>
    <xf numFmtId="0" fontId="11" fillId="10" borderId="0" xfId="0" applyFont="1" applyFill="1"/>
    <xf numFmtId="0" fontId="0" fillId="11" borderId="0" xfId="0" applyFill="1"/>
    <xf numFmtId="0" fontId="10" fillId="11" borderId="0" xfId="0" quotePrefix="1" applyFont="1" applyFill="1"/>
    <xf numFmtId="0" fontId="11" fillId="11" borderId="0" xfId="0" applyFont="1" applyFill="1"/>
    <xf numFmtId="0" fontId="12" fillId="0" borderId="0" xfId="0" applyFont="1"/>
    <xf numFmtId="0" fontId="0" fillId="0" borderId="0" xfId="0" applyAlignment="1">
      <alignment wrapText="1"/>
    </xf>
    <xf numFmtId="0" fontId="0" fillId="0" borderId="0" xfId="0" applyBorder="1" applyAlignment="1">
      <alignment vertical="center"/>
    </xf>
    <xf numFmtId="0" fontId="0" fillId="8" borderId="2" xfId="0" applyFill="1" applyBorder="1" applyAlignment="1">
      <alignment wrapText="1"/>
    </xf>
    <xf numFmtId="0" fontId="0" fillId="0" borderId="3" xfId="0" applyBorder="1"/>
    <xf numFmtId="0" fontId="0" fillId="7" borderId="0" xfId="0" applyFill="1" applyAlignment="1">
      <alignment horizontal="center" wrapText="1"/>
    </xf>
    <xf numFmtId="0" fontId="0" fillId="6" borderId="0" xfId="0" applyFill="1" applyAlignment="1">
      <alignment wrapText="1"/>
    </xf>
    <xf numFmtId="0" fontId="3" fillId="6" borderId="0" xfId="0" applyFont="1" applyFill="1" applyAlignment="1">
      <alignment wrapText="1"/>
    </xf>
    <xf numFmtId="0" fontId="3" fillId="4" borderId="0" xfId="0" applyFont="1" applyFill="1" applyAlignment="1">
      <alignment horizontal="center" wrapText="1"/>
    </xf>
    <xf numFmtId="0" fontId="0" fillId="6" borderId="0" xfId="0" applyFill="1" applyAlignment="1">
      <alignment horizontal="center" wrapText="1"/>
    </xf>
    <xf numFmtId="0" fontId="0" fillId="0" borderId="3" xfId="0" applyBorder="1" applyAlignment="1">
      <alignment horizontal="left" vertical="top"/>
    </xf>
    <xf numFmtId="0" fontId="0" fillId="0" borderId="3" xfId="0" applyBorder="1" applyAlignment="1">
      <alignment vertical="top" wrapText="1"/>
    </xf>
    <xf numFmtId="0" fontId="0" fillId="12" borderId="3" xfId="0" applyFill="1" applyBorder="1" applyAlignment="1">
      <alignment horizontal="center"/>
    </xf>
    <xf numFmtId="0" fontId="0" fillId="12" borderId="3" xfId="0" applyFill="1" applyBorder="1" applyAlignment="1">
      <alignment horizontal="center" vertical="center"/>
    </xf>
    <xf numFmtId="0" fontId="0" fillId="12" borderId="3" xfId="0" applyFill="1" applyBorder="1"/>
    <xf numFmtId="0" fontId="0" fillId="3" borderId="3" xfId="0" applyFill="1" applyBorder="1" applyAlignment="1">
      <alignment horizontal="left" vertical="top" wrapText="1"/>
    </xf>
    <xf numFmtId="0" fontId="0" fillId="3" borderId="3" xfId="0" applyFill="1" applyBorder="1" applyAlignment="1">
      <alignment horizontal="left" vertical="top"/>
    </xf>
    <xf numFmtId="0" fontId="0" fillId="3" borderId="3" xfId="0" applyFill="1" applyBorder="1"/>
    <xf numFmtId="0" fontId="0" fillId="11" borderId="3" xfId="0" applyFill="1" applyBorder="1" applyAlignment="1">
      <alignment vertical="top" wrapText="1"/>
    </xf>
    <xf numFmtId="0" fontId="0" fillId="11" borderId="3" xfId="0" applyFill="1" applyBorder="1" applyAlignment="1">
      <alignment horizontal="left" vertical="top" wrapText="1"/>
    </xf>
    <xf numFmtId="0" fontId="0" fillId="11" borderId="3" xfId="0" applyFill="1" applyBorder="1" applyAlignment="1">
      <alignment wrapText="1"/>
    </xf>
    <xf numFmtId="0" fontId="0" fillId="10" borderId="3" xfId="0" applyFill="1" applyBorder="1" applyAlignment="1">
      <alignment vertical="top" wrapText="1"/>
    </xf>
    <xf numFmtId="0" fontId="0" fillId="10" borderId="3" xfId="0" applyFill="1" applyBorder="1" applyAlignment="1"/>
    <xf numFmtId="0" fontId="0" fillId="10" borderId="3" xfId="0" applyFill="1" applyBorder="1" applyAlignment="1">
      <alignment wrapText="1"/>
    </xf>
    <xf numFmtId="0" fontId="0" fillId="10" borderId="1" xfId="0" applyFill="1" applyBorder="1" applyAlignment="1"/>
    <xf numFmtId="0" fontId="2" fillId="13" borderId="0" xfId="0" applyFont="1" applyFill="1" applyAlignment="1">
      <alignment vertical="center"/>
    </xf>
    <xf numFmtId="0" fontId="0" fillId="11" borderId="3" xfId="0" applyFill="1" applyBorder="1"/>
    <xf numFmtId="0" fontId="0" fillId="11" borderId="3" xfId="0" applyFill="1" applyBorder="1" applyAlignment="1">
      <alignment horizontal="left" vertical="top"/>
    </xf>
    <xf numFmtId="0" fontId="0" fillId="10" borderId="3" xfId="0" applyFont="1" applyFill="1" applyBorder="1" applyAlignment="1">
      <alignment horizontal="left" vertical="center"/>
    </xf>
    <xf numFmtId="0" fontId="0" fillId="10" borderId="3" xfId="0" applyFill="1" applyBorder="1" applyAlignment="1">
      <alignment horizontal="left" vertical="top"/>
    </xf>
    <xf numFmtId="0" fontId="0" fillId="10" borderId="3" xfId="0" applyFill="1" applyBorder="1"/>
    <xf numFmtId="0" fontId="0" fillId="9" borderId="3" xfId="0" applyFill="1" applyBorder="1"/>
    <xf numFmtId="0" fontId="0" fillId="10" borderId="4" xfId="0" applyFill="1" applyBorder="1" applyAlignment="1">
      <alignment wrapText="1"/>
    </xf>
    <xf numFmtId="0" fontId="0" fillId="0" borderId="3" xfId="0" applyBorder="1" applyAlignment="1">
      <alignment wrapText="1"/>
    </xf>
    <xf numFmtId="0" fontId="2" fillId="13" borderId="3" xfId="0" applyFont="1" applyFill="1" applyBorder="1" applyAlignment="1">
      <alignment vertical="center"/>
    </xf>
    <xf numFmtId="0" fontId="0" fillId="10" borderId="4" xfId="0" applyFill="1" applyBorder="1" applyAlignment="1">
      <alignment vertical="top" wrapText="1"/>
    </xf>
    <xf numFmtId="0" fontId="15" fillId="9" borderId="0" xfId="0" applyFont="1" applyFill="1"/>
    <xf numFmtId="0" fontId="0" fillId="8" borderId="0" xfId="0" applyFill="1" applyBorder="1" applyAlignment="1">
      <alignment wrapText="1"/>
    </xf>
    <xf numFmtId="0" fontId="16" fillId="3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3" borderId="0" xfId="0" applyFill="1" applyAlignment="1">
      <alignment vertical="center"/>
    </xf>
    <xf numFmtId="0" fontId="0" fillId="0" borderId="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top"/>
    </xf>
    <xf numFmtId="0" fontId="0" fillId="0" borderId="3" xfId="0" applyFill="1" applyBorder="1"/>
    <xf numFmtId="0" fontId="13" fillId="0" borderId="3" xfId="0" applyFont="1" applyBorder="1" applyAlignment="1">
      <alignment horizontal="center"/>
    </xf>
    <xf numFmtId="0" fontId="14" fillId="0" borderId="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67"/>
  <sheetViews>
    <sheetView topLeftCell="A6" workbookViewId="0">
      <selection activeCell="E29" sqref="E29"/>
    </sheetView>
  </sheetViews>
  <sheetFormatPr defaultColWidth="8.85546875" defaultRowHeight="15" x14ac:dyDescent="0.25"/>
  <cols>
    <col min="1" max="1" width="3.42578125" customWidth="1"/>
    <col min="2" max="2" width="18.42578125" customWidth="1"/>
    <col min="3" max="5" width="26.140625" customWidth="1"/>
    <col min="6" max="6" width="29.42578125" customWidth="1"/>
    <col min="7" max="10" width="26.140625" customWidth="1"/>
    <col min="11" max="11" width="26.42578125" customWidth="1"/>
    <col min="12" max="12" width="27.7109375" customWidth="1"/>
    <col min="13" max="13" width="25.42578125" customWidth="1"/>
    <col min="14" max="18" width="18.42578125" customWidth="1"/>
  </cols>
  <sheetData>
    <row r="1" spans="1:7" ht="23.25" x14ac:dyDescent="0.35">
      <c r="A1" s="15" t="s">
        <v>74</v>
      </c>
    </row>
    <row r="2" spans="1:7" ht="15.75" x14ac:dyDescent="0.25">
      <c r="A2" s="1"/>
      <c r="B2" s="27" t="s">
        <v>196</v>
      </c>
    </row>
    <row r="3" spans="1:7" x14ac:dyDescent="0.25">
      <c r="A3" s="1"/>
      <c r="B3" s="1" t="s">
        <v>77</v>
      </c>
    </row>
    <row r="4" spans="1:7" x14ac:dyDescent="0.25">
      <c r="A4" s="1"/>
      <c r="B4" s="17" t="s">
        <v>76</v>
      </c>
    </row>
    <row r="5" spans="1:7" x14ac:dyDescent="0.25">
      <c r="A5" s="1"/>
      <c r="B5" s="17" t="s">
        <v>79</v>
      </c>
    </row>
    <row r="6" spans="1:7" x14ac:dyDescent="0.25">
      <c r="A6" s="1"/>
      <c r="B6" s="17" t="s">
        <v>87</v>
      </c>
    </row>
    <row r="7" spans="1:7" x14ac:dyDescent="0.25">
      <c r="A7" s="1"/>
      <c r="B7" s="17"/>
      <c r="C7" s="2" t="s">
        <v>97</v>
      </c>
      <c r="D7" s="2"/>
      <c r="E7" s="2"/>
      <c r="F7" s="2" t="s">
        <v>105</v>
      </c>
      <c r="G7" s="2" t="s">
        <v>285</v>
      </c>
    </row>
    <row r="8" spans="1:7" x14ac:dyDescent="0.25">
      <c r="A8" s="1"/>
      <c r="B8" s="17"/>
      <c r="C8" t="s">
        <v>89</v>
      </c>
      <c r="F8" s="1" t="s">
        <v>234</v>
      </c>
      <c r="G8" s="17" t="s">
        <v>234</v>
      </c>
    </row>
    <row r="9" spans="1:7" x14ac:dyDescent="0.25">
      <c r="A9" s="1"/>
      <c r="B9" s="17"/>
      <c r="C9" t="s">
        <v>88</v>
      </c>
      <c r="F9" s="1" t="s">
        <v>98</v>
      </c>
      <c r="G9" s="17" t="s">
        <v>98</v>
      </c>
    </row>
    <row r="10" spans="1:7" x14ac:dyDescent="0.25">
      <c r="A10" s="1"/>
      <c r="B10" s="17"/>
      <c r="D10" t="s">
        <v>89</v>
      </c>
      <c r="F10" s="1" t="s">
        <v>234</v>
      </c>
      <c r="G10" s="17" t="s">
        <v>286</v>
      </c>
    </row>
    <row r="11" spans="1:7" x14ac:dyDescent="0.25">
      <c r="A11" s="1"/>
      <c r="B11" s="17"/>
      <c r="D11" t="s">
        <v>90</v>
      </c>
      <c r="F11" s="1" t="s">
        <v>99</v>
      </c>
      <c r="G11" s="17" t="s">
        <v>287</v>
      </c>
    </row>
    <row r="12" spans="1:7" x14ac:dyDescent="0.25">
      <c r="A12" s="1"/>
      <c r="B12" s="17"/>
      <c r="D12" t="s">
        <v>91</v>
      </c>
      <c r="F12" s="1" t="s">
        <v>100</v>
      </c>
      <c r="G12" s="17" t="s">
        <v>288</v>
      </c>
    </row>
    <row r="13" spans="1:7" x14ac:dyDescent="0.25">
      <c r="A13" s="1"/>
      <c r="B13" s="17"/>
      <c r="D13" t="s">
        <v>92</v>
      </c>
      <c r="F13" s="1" t="s">
        <v>101</v>
      </c>
      <c r="G13" s="17" t="s">
        <v>289</v>
      </c>
    </row>
    <row r="14" spans="1:7" x14ac:dyDescent="0.25">
      <c r="A14" s="1"/>
      <c r="B14" s="17"/>
      <c r="D14" t="s">
        <v>93</v>
      </c>
      <c r="F14" s="1" t="s">
        <v>102</v>
      </c>
      <c r="G14" s="17" t="s">
        <v>290</v>
      </c>
    </row>
    <row r="15" spans="1:7" x14ac:dyDescent="0.25">
      <c r="A15" s="1"/>
      <c r="B15" s="17"/>
      <c r="D15" t="s">
        <v>94</v>
      </c>
      <c r="F15" s="1" t="s">
        <v>103</v>
      </c>
      <c r="G15" s="17" t="s">
        <v>291</v>
      </c>
    </row>
    <row r="16" spans="1:7" ht="12" customHeight="1" x14ac:dyDescent="0.25">
      <c r="A16" s="1"/>
      <c r="B16" s="17"/>
      <c r="D16" t="s">
        <v>271</v>
      </c>
      <c r="F16" s="1" t="s">
        <v>272</v>
      </c>
      <c r="G16" s="17" t="s">
        <v>292</v>
      </c>
    </row>
    <row r="17" spans="1:7" ht="12" customHeight="1" x14ac:dyDescent="0.25">
      <c r="A17" s="1"/>
      <c r="B17" s="17"/>
      <c r="D17" t="s">
        <v>306</v>
      </c>
      <c r="F17" s="1" t="s">
        <v>307</v>
      </c>
      <c r="G17" s="17" t="s">
        <v>308</v>
      </c>
    </row>
    <row r="18" spans="1:7" x14ac:dyDescent="0.25">
      <c r="A18" s="1"/>
      <c r="B18" s="17"/>
      <c r="C18" t="s">
        <v>91</v>
      </c>
      <c r="F18" s="1" t="s">
        <v>100</v>
      </c>
      <c r="G18" s="17" t="s">
        <v>100</v>
      </c>
    </row>
    <row r="19" spans="1:7" x14ac:dyDescent="0.25">
      <c r="A19" s="1"/>
      <c r="B19" s="17"/>
      <c r="D19" t="s">
        <v>95</v>
      </c>
      <c r="F19" s="1" t="s">
        <v>114</v>
      </c>
      <c r="G19" s="17" t="s">
        <v>293</v>
      </c>
    </row>
    <row r="20" spans="1:7" x14ac:dyDescent="0.25">
      <c r="A20" s="1"/>
      <c r="B20" s="17"/>
      <c r="D20" t="s">
        <v>96</v>
      </c>
      <c r="F20" s="1" t="s">
        <v>104</v>
      </c>
      <c r="G20" s="17" t="s">
        <v>294</v>
      </c>
    </row>
    <row r="21" spans="1:7" x14ac:dyDescent="0.25">
      <c r="A21" s="1"/>
      <c r="B21" s="17"/>
      <c r="C21" t="s">
        <v>92</v>
      </c>
      <c r="F21" s="1" t="s">
        <v>101</v>
      </c>
      <c r="G21" s="17" t="s">
        <v>101</v>
      </c>
    </row>
    <row r="22" spans="1:7" x14ac:dyDescent="0.25">
      <c r="A22" s="1"/>
      <c r="B22" s="17"/>
      <c r="D22" t="s">
        <v>95</v>
      </c>
      <c r="F22" s="1" t="s">
        <v>114</v>
      </c>
      <c r="G22" s="17" t="s">
        <v>303</v>
      </c>
    </row>
    <row r="23" spans="1:7" x14ac:dyDescent="0.25">
      <c r="A23" s="1"/>
      <c r="B23" s="17"/>
      <c r="C23" t="s">
        <v>90</v>
      </c>
      <c r="F23" s="1" t="s">
        <v>99</v>
      </c>
      <c r="G23" s="17" t="s">
        <v>99</v>
      </c>
    </row>
    <row r="24" spans="1:7" x14ac:dyDescent="0.25">
      <c r="A24" s="1"/>
      <c r="B24" s="17"/>
      <c r="D24" t="s">
        <v>95</v>
      </c>
      <c r="F24" s="1" t="s">
        <v>114</v>
      </c>
      <c r="G24" s="17" t="s">
        <v>302</v>
      </c>
    </row>
    <row r="25" spans="1:7" x14ac:dyDescent="0.25">
      <c r="A25" s="1"/>
      <c r="B25" s="17"/>
      <c r="C25" t="s">
        <v>93</v>
      </c>
      <c r="F25" s="1" t="s">
        <v>102</v>
      </c>
      <c r="G25" s="17" t="s">
        <v>102</v>
      </c>
    </row>
    <row r="26" spans="1:7" x14ac:dyDescent="0.25">
      <c r="A26" s="1"/>
      <c r="B26" s="17"/>
      <c r="C26" t="s">
        <v>271</v>
      </c>
      <c r="F26" s="1" t="s">
        <v>272</v>
      </c>
      <c r="G26" s="17" t="s">
        <v>272</v>
      </c>
    </row>
    <row r="27" spans="1:7" x14ac:dyDescent="0.25">
      <c r="A27" s="1"/>
      <c r="B27" s="17"/>
      <c r="D27" t="s">
        <v>273</v>
      </c>
      <c r="F27" s="1" t="s">
        <v>275</v>
      </c>
      <c r="G27" s="17" t="s">
        <v>295</v>
      </c>
    </row>
    <row r="28" spans="1:7" x14ac:dyDescent="0.25">
      <c r="A28" s="1"/>
      <c r="B28" s="17"/>
      <c r="D28" t="s">
        <v>276</v>
      </c>
      <c r="F28" s="1" t="s">
        <v>274</v>
      </c>
      <c r="G28" s="17" t="s">
        <v>296</v>
      </c>
    </row>
    <row r="29" spans="1:7" x14ac:dyDescent="0.25">
      <c r="A29" s="1"/>
      <c r="B29" s="17"/>
      <c r="D29" t="s">
        <v>277</v>
      </c>
      <c r="F29" s="1" t="s">
        <v>280</v>
      </c>
      <c r="G29" s="17" t="s">
        <v>297</v>
      </c>
    </row>
    <row r="30" spans="1:7" x14ac:dyDescent="0.25">
      <c r="A30" s="1"/>
      <c r="B30" s="17"/>
      <c r="D30" t="s">
        <v>278</v>
      </c>
      <c r="F30" s="1" t="s">
        <v>281</v>
      </c>
      <c r="G30" s="17" t="s">
        <v>298</v>
      </c>
    </row>
    <row r="31" spans="1:7" x14ac:dyDescent="0.25">
      <c r="A31" s="1"/>
      <c r="B31" s="17"/>
      <c r="D31" t="s">
        <v>279</v>
      </c>
      <c r="F31" s="1" t="s">
        <v>282</v>
      </c>
      <c r="G31" s="17" t="s">
        <v>299</v>
      </c>
    </row>
    <row r="32" spans="1:7" x14ac:dyDescent="0.25">
      <c r="A32" s="1"/>
      <c r="B32" s="17"/>
      <c r="D32" t="s">
        <v>284</v>
      </c>
      <c r="F32" s="1" t="s">
        <v>283</v>
      </c>
      <c r="G32" s="17" t="s">
        <v>300</v>
      </c>
    </row>
    <row r="33" spans="1:8" x14ac:dyDescent="0.25">
      <c r="A33" s="1"/>
      <c r="B33" s="17"/>
      <c r="C33" t="s">
        <v>306</v>
      </c>
      <c r="F33" s="1" t="s">
        <v>307</v>
      </c>
      <c r="G33" s="17" t="s">
        <v>307</v>
      </c>
    </row>
    <row r="34" spans="1:8" x14ac:dyDescent="0.25">
      <c r="A34" s="1"/>
      <c r="B34" s="17"/>
      <c r="D34" t="s">
        <v>309</v>
      </c>
      <c r="F34" s="1" t="s">
        <v>310</v>
      </c>
      <c r="G34" s="17" t="s">
        <v>311</v>
      </c>
    </row>
    <row r="35" spans="1:8" x14ac:dyDescent="0.25">
      <c r="A35" s="1"/>
      <c r="B35" s="17"/>
      <c r="D35" t="s">
        <v>96</v>
      </c>
      <c r="F35" s="1" t="s">
        <v>104</v>
      </c>
      <c r="G35" s="17" t="s">
        <v>312</v>
      </c>
    </row>
    <row r="36" spans="1:8" x14ac:dyDescent="0.25">
      <c r="A36" s="1"/>
      <c r="B36" s="17"/>
      <c r="D36" t="s">
        <v>313</v>
      </c>
      <c r="F36" s="1" t="s">
        <v>314</v>
      </c>
      <c r="G36" s="17" t="s">
        <v>315</v>
      </c>
    </row>
    <row r="37" spans="1:8" x14ac:dyDescent="0.25">
      <c r="A37" s="1"/>
      <c r="B37" s="17"/>
      <c r="D37" t="s">
        <v>316</v>
      </c>
      <c r="F37" s="1" t="s">
        <v>317</v>
      </c>
      <c r="G37" s="17" t="s">
        <v>318</v>
      </c>
    </row>
    <row r="38" spans="1:8" x14ac:dyDescent="0.25">
      <c r="A38" s="1"/>
      <c r="B38" s="17"/>
      <c r="D38" t="s">
        <v>329</v>
      </c>
      <c r="F38" s="1" t="s">
        <v>330</v>
      </c>
      <c r="G38" s="17" t="s">
        <v>331</v>
      </c>
    </row>
    <row r="39" spans="1:8" x14ac:dyDescent="0.25">
      <c r="A39" s="1"/>
      <c r="B39" s="17"/>
      <c r="C39" t="s">
        <v>319</v>
      </c>
      <c r="F39" s="1" t="s">
        <v>301</v>
      </c>
      <c r="G39" s="17" t="s">
        <v>301</v>
      </c>
    </row>
    <row r="40" spans="1:8" x14ac:dyDescent="0.25">
      <c r="A40" s="1"/>
      <c r="B40" s="17"/>
      <c r="D40" t="s">
        <v>304</v>
      </c>
      <c r="F40" s="1" t="s">
        <v>304</v>
      </c>
      <c r="G40" s="17" t="s">
        <v>305</v>
      </c>
      <c r="H40" s="17"/>
    </row>
    <row r="41" spans="1:8" x14ac:dyDescent="0.25">
      <c r="A41" s="1"/>
      <c r="B41" s="17"/>
    </row>
    <row r="42" spans="1:8" x14ac:dyDescent="0.25">
      <c r="A42" s="1"/>
      <c r="B42" s="17" t="s">
        <v>86</v>
      </c>
    </row>
    <row r="43" spans="1:8" x14ac:dyDescent="0.25">
      <c r="A43" s="1"/>
      <c r="B43" s="17" t="s">
        <v>83</v>
      </c>
    </row>
    <row r="44" spans="1:8" x14ac:dyDescent="0.25">
      <c r="A44" s="1"/>
      <c r="B44" s="17"/>
      <c r="C44" s="19" t="s">
        <v>80</v>
      </c>
    </row>
    <row r="45" spans="1:8" x14ac:dyDescent="0.25">
      <c r="A45" s="1"/>
      <c r="B45" s="17"/>
      <c r="C45" s="18" t="s">
        <v>81</v>
      </c>
    </row>
    <row r="46" spans="1:8" x14ac:dyDescent="0.25">
      <c r="A46" s="1"/>
      <c r="B46" s="17"/>
      <c r="C46" s="18" t="s">
        <v>82</v>
      </c>
    </row>
    <row r="47" spans="1:8" x14ac:dyDescent="0.25">
      <c r="A47" s="1"/>
      <c r="B47" s="17" t="s">
        <v>106</v>
      </c>
      <c r="C47" s="18"/>
    </row>
    <row r="48" spans="1:8" x14ac:dyDescent="0.25">
      <c r="A48" s="1"/>
      <c r="B48" s="17"/>
      <c r="C48" s="18" t="s">
        <v>107</v>
      </c>
    </row>
    <row r="49" spans="1:14" x14ac:dyDescent="0.25">
      <c r="A49" s="1"/>
      <c r="B49" s="17"/>
      <c r="C49" s="18" t="s">
        <v>108</v>
      </c>
    </row>
    <row r="50" spans="1:14" x14ac:dyDescent="0.25">
      <c r="A50" s="1"/>
      <c r="B50" s="17"/>
      <c r="C50" s="18" t="s">
        <v>109</v>
      </c>
    </row>
    <row r="51" spans="1:14" x14ac:dyDescent="0.25">
      <c r="A51" s="1"/>
      <c r="B51" s="17"/>
      <c r="C51" s="18" t="s">
        <v>111</v>
      </c>
    </row>
    <row r="52" spans="1:14" x14ac:dyDescent="0.25">
      <c r="A52" s="1"/>
      <c r="B52" s="17"/>
      <c r="C52" s="18" t="s">
        <v>113</v>
      </c>
    </row>
    <row r="53" spans="1:14" x14ac:dyDescent="0.25">
      <c r="A53" s="1"/>
      <c r="B53" s="17"/>
      <c r="C53" s="18" t="s">
        <v>112</v>
      </c>
    </row>
    <row r="54" spans="1:14" x14ac:dyDescent="0.25">
      <c r="A54" s="1"/>
      <c r="B54" s="17"/>
      <c r="C54" s="18" t="s">
        <v>110</v>
      </c>
    </row>
    <row r="55" spans="1:14" ht="21" customHeight="1" x14ac:dyDescent="0.25">
      <c r="B55" s="21" t="s">
        <v>78</v>
      </c>
    </row>
    <row r="56" spans="1:14" ht="21" customHeight="1" x14ac:dyDescent="0.25">
      <c r="B56" s="63" t="s">
        <v>231</v>
      </c>
    </row>
    <row r="57" spans="1:14" ht="15.75" thickBot="1" x14ac:dyDescent="0.3">
      <c r="C57" s="1" t="s">
        <v>72</v>
      </c>
      <c r="D57" s="1" t="s">
        <v>207</v>
      </c>
      <c r="E57" s="1" t="s">
        <v>208</v>
      </c>
      <c r="F57" s="1" t="s">
        <v>198</v>
      </c>
      <c r="G57" s="1" t="s">
        <v>199</v>
      </c>
      <c r="H57" s="1" t="s">
        <v>200</v>
      </c>
      <c r="I57" s="1" t="s">
        <v>201</v>
      </c>
      <c r="J57" s="1" t="s">
        <v>205</v>
      </c>
      <c r="K57" s="1" t="s">
        <v>209</v>
      </c>
      <c r="L57" s="1" t="s">
        <v>210</v>
      </c>
      <c r="M57" s="1" t="s">
        <v>211</v>
      </c>
      <c r="N57" s="1" t="s">
        <v>227</v>
      </c>
    </row>
    <row r="58" spans="1:14" s="16" customFormat="1" ht="21.75" customHeight="1" thickBot="1" x14ac:dyDescent="0.3">
      <c r="B58" s="52" t="s">
        <v>226</v>
      </c>
      <c r="C58" s="51" t="str">
        <f ca="1">A.Backend!J7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[Table("MstLgaEkbUser")]
	[Index(nameof(UserCode), Name="IX_MstLgaEkbUser_UserCode")]
	[Index(nameof(ProdLine), Name="IX_MstLgaEkbUser_ProdLine")]
	[Index(nameof(Sorting), Name="IX_MstLgaEkbUser_Sorting")]
	[Index(nameof(IsActive), Name="IX_MstLgaEkbUser_IsActive")]	public class MstLgaEkbUser: FullAuditedEntity&lt;long&gt;, IEntity&lt;long&gt;	
	{
		public const int MaxUserCodeLength = 50;
		public const int MaxUserNameLength = 50;
		public const int MaxProcessCodeLength = 50;
		public const int MaxProcessGroupLength = 50;
		public const int MaxProcessSubgroupLength = 50;
		public const int MaxProdLineLength = 50;
		public const int MaxUserTypeLength = 50;
		public const int MaxIsActiveLength = 1;
		[StringLength(MaxUserCodeLength)]
		public virtual string UserCode { get; set; }
		[StringLength(MaxUserNameLength)]
		public virtual string UserName { get; set; }
		public virtual int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[StringLength(MaxUserTypeLength)]
		public virtual string UserType { get; set; }
		public virtual int LeadTime { get; set; }
		public virtual int Sorting { get; set; }
		[StringLength(MaxIsActiveLength)]
		public virtual string IsActive { get; set; }
	}
}
</v>
      </c>
      <c r="D58" s="51" t="str">
        <f>A.Backend!O7</f>
        <v xml:space="preserve">		public const string Pages_Master_LogA_EkbUser = "Pages.Master.LogA.EkbUser";
		public const string Pages_Master_LogA_EkbUser_CreateEdit = "Pages.Master.LogA.EkbUser.CreateEdit";
		public const string Pages_Master_LogA_EkbUser_Delete = "Pages.Master.LogA.EkbUser.Delete";
</v>
      </c>
      <c r="E58" s="51" t="str">
        <f>A.Backend!N7</f>
        <v xml:space="preserve">		var perMstLgaEkbUser = PARENTS.CreateChildPermission(AppPermissions.Pages_Master_LogA_EkbUser, L( "MasterLogAEkbUser"), multiTenancySides: MultiTenancySides.Tenant);
		perMstLgaEkbUser.CreateChildPermission(AppPermissions.Pages_Master_LogA_EkbUser_CreateEdit, L( "MasterLogAEkbUserCreateEdit"), multiTenancySides: MultiTenancySides.Tenant);
		perMstLgaEkbUser.CreateChildPermission(AppPermissions.Pages_Master_LogA_EkbUser_Delete, L( "MasterLogAEkbUserDelete"), multiTenancySides: MultiTenancySides.Tenant);</v>
      </c>
      <c r="F58" s="51" t="str">
        <f>A.Backend!K7</f>
        <v>public virtual DbSet&lt;MstLgaEkbUser&gt; MstLgaEkbUsers { get; set; }</v>
      </c>
      <c r="G58" s="51" t="str">
        <f ca="1">A.Backend!L7</f>
        <v xml:space="preserve">namespace vovina.Master.LogA
{
	public class MstLgaEkbUserConsts	
	{
		public const int MaxUserCodeLength = 50;
		public const int MaxUserNameLength = 50;
		public const int MaxProcessCodeLength = 50;
		public const int MaxProcessGroupLength = 50;
		public const int MaxProcessSubgroupLength = 50;
		public const int MaxProdLineLength = 50;
		public const int MaxUserTypeLength = 50;
		public const int MaxIsActiveLength = 1;
		// Define Store Name: Format SP_ + &lt;Store Name&gt; = &lt;Store Name&gt;
	}
}
</v>
      </c>
      <c r="H58" s="51" t="str">
        <f ca="1">A.Backend!M7</f>
        <v xml:space="preserve">using Abp.Application.Services.Dto;
using System;
using System.ComponentModel.DataAnnotations;
namespace vovina.Master.LogA.Dto
{
	public class MstLgaEkbUserDto : EntityDto&lt;long?&gt;	
	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	public class CreateOrEditMstLgaEkbUserDto : EntityDto&lt;long?&gt;	
	{
		[StringLength(MstLgaEkbUserConsts.MaxUserCodeLength)]
		public virtual string UserCode { get; set; }
		[StringLength(MstLgaEkbUserConsts.MaxUserNameLength)]
		public virtual string UserName { get; set; }
		public virtual int ProcessId { get; set; }
		[StringLength(MstLgaEkbUserConsts.MaxProcessCodeLength)]
		public virtual string ProcessCode { get; set; }
		[StringLength(MstLgaEkbUserConsts.MaxProcessGroupLength)]
		public virtual string ProcessGroup { get; set; }
		[StringLength(MstLgaEkbUserConsts.MaxProcessSubgroupLength)]
		public virtual string ProcessSubgroup { get; set; }
		[StringLength(MstLgaEkbUserConsts.MaxProdLineLength)]
		public virtual string ProdLine { get; set; }
		[StringLength(MstLgaEkbUserConsts.MaxUserTypeLength)]
		public virtual string UserType { get; set; }
		public virtual int LeadTime { get; set; }
		public virtual int Sorting { get; set; }
		[StringLength(MstLgaEkbUserConsts.MaxIsActiveLength)]
		public virtual string IsActive { get; set; }
	}
	public class GetMstLgaEkbUserInput : PagedAndSortedResultRequestDto	
	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}
</v>
      </c>
      <c r="I58" s="51" t="str">
        <f ca="1">A.Backend!R7</f>
        <v xml:space="preserve">using Abp.Application.Services.Dto;
using System;
using System.ComponentModel.DataAnnotations;
namespace vovina.Master.LogA.Dto
{
	public class MstLgaEkbUserExportInput{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}
</v>
      </c>
      <c r="J58" s="51" t="str">
        <f>A.Backend!P7</f>
        <v xml:space="preserve">using Abp.Application.Services;
using Abp.Application.Services.Dto;
using System.Collections.Generic;using vovina.Dto;
using System.Threading.Tasks;
using vovina.Master.LogA.Dto;
namespace vovina.Master.LogA
{
	public interface IMstLgaEkbUserAppService : IApplicationService
	{
		Task&lt;PagedResultDto&lt;MstLgaEkbUserDto&gt;&gt; GetAll(GetMstLgaEkbUserInput input);
		Task CreateOrEdit(CreateOrEditMstLgaEkbUserDto input);
		Task Delete(EntityDto input);
	}
}
</v>
      </c>
      <c r="K58" s="51" t="str">
        <f>A.Backend!S7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IMstLgaEkbUserExcelExporter : IApplicationService
	{
		FileDto ExportToFile(List&lt;MstLgaEkbUserDto&gt; mstlgaekbuser);
	}
}
</v>
      </c>
      <c r="L58" s="51" t="str">
        <f ca="1">A.Backend!T7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MstLgaEkbUserExcelExporter : NpoiExcelExporterBase, IMstLgaEkbUserExcelExporter
    {
        public MstLgaEkbUserExcelExporter(ITempFileCacheManager tempFileCacheManager) : base(tempFileCacheManager) { }
        public FileDto ExportToFile(List&lt;MstLgaEkbUserDto&gt; ekbuser)
        {
            return CreateExcelPackage(
				"MasterLogAEkbUser.xlsx",
				excelPackage =&gt;
				 {
					var sheet = excelPackage.CreateSheet("EkbUser");
					AddHeader(
								sheet,
								("UserCode"),
								("UserName"),
								("ProcessId"),
								("ProcessCode"),
								("ProcessGroup"),
								("ProcessSubgroup"),
								("ProdLine"),
								("UserType"),
								("LeadTime"),
								("Sorting"),
								("IsActive"),
							   );
					AddObjects(
						 sheet, 1, ekbuser,                                       
								_ =&gt; _.UserCode,
								_ =&gt; _.UserName,
								_ =&gt; _.ProcessId,
								_ =&gt; _.ProcessCode,
								_ =&gt; _.ProcessGroup,
								_ =&gt; _.ProcessSubgroup,
								_ =&gt; _.ProdLine,
								_ =&gt; _.UserType,
								_ =&gt; _.LeadTime,
								_ =&gt; _.Sorting,
								_ =&gt; _.IsActive,
								);
			for (var i = 0; i &lt; 8; i++)
				{
					sheet.AutoSizeColumn(i);
				}
			});
        }
    }
}</v>
      </c>
      <c r="M58" s="59" t="str">
        <f ca="1">A.Backend!Q7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[AbpAuthorize(AppPermissions.Pages_Master_LogA_EkbUser)]
    public class MstLgaEkbUserAppService : vovinaAppServiceBase, IMstLgaEkbUserAppService
    {
        private readonly IDapperRepository&lt;MstLgaEkbUser, long&gt; _dapperRepo;
        private readonly IRepository&lt;MstLgaEkbUser, long&gt; _repo;
        private readonly IMstLgaEkbUserExcelExporter _calendarListExcelExporter;
        public MstLgaEkbUserAppService(IRepository&lt;MstLgaEkbUser,long&gt; repo, 
                                         IDapperRepository&lt;MstLgaEkbUser,long&gt; dapperRepo,
                                        IMstLgaEkbUserExcelExporter calendarListExcelExporter
            )
        {
            _repo = repo;
            _dapperRepo = dapperRepo;
            _calendarListExcelExporter = calendarListExcelExporter;
        }
        [AbpAuthorize(AppPermissions.Pages_Master_LogA_EkbUser_CreateEdit)]
        public async Task CreateOrEdit(CreateOrEditMstLgaEkbUserDto input)
        {
            if (input.Id == null) await Create(input);
            else await Update(input);
        }
        //CREATE
        private async Task Create(CreateOrEditMstLgaEkbUserDto input)
        {          
            var mainObj = ObjectMapper.Map&lt;MstLgaEkbUser&gt;(input);
            await CurrentUnitOfWork.GetDbContext&lt;vovinaDbContext&gt;().AddAsync(mainObj);
        }
        // EDIT
        private async Task Update(CreateOrEditMstLgaEkbUserDto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[AbpAuthorize(AppPermissions.Pages_Master_LogA_EkbUser_Delete)]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Task&lt;PagedResultDto&lt;MstLgaEkbUserDto&gt;&gt; GetAll(GetMstLgaEkbUserInput input)
        {
            var filtered = _repo.GetAll()
				.WhereIf(!string.IsNullOrWhiteSpace(input.UserCode), e =&gt; e.UserCode.Contains(input.UserCode))
				.WhereIf(!string.IsNullOrWhiteSpace(input.UserName), e =&gt; e.UserName.Contains(input.UserName))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.WhereIf(!string.IsNullOrWhiteSpace(input.UserType), e =&gt; e.UserType.Contains(input.UserType))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MstLgaEkbUserDto
                        {
							Id = o.Id,
							UserCode = o.UserCode,
							UserName = o.UserName,
							ProcessId = o.ProcessId,
							ProcessCode = o.ProcessCode,
							ProcessGroup = o.ProcessGroup,
							ProcessSubgroup = o.ProcessSubgroup,
							ProdLine = o.ProdLine,
							UserType = o.UserType,
							LeadTime = o.LeadTime,
							Sorting = o.Sorting,
							IsActive = o.IsActive,
                        };
            var totalCount = await filtered.CountAsync();
			var paged = system.PageBy(input);
            return new PagedResultDto&lt;MstLgaEkbUserDto&gt;(
                totalCount,
                 await paged.ToListAsync()
            );
        }
        public async Task&lt;FileDto&gt; GetEkbUserToExcel(MstLgaEkbUserExportInput input)
        {
            var query = from o in _repo.GetAll()
                        select new MstLgaEkbUserDto
                        {
							Id = o.Id,
							UserCode = o.UserCode,
							UserName = o.UserName,
							ProcessId = o.ProcessId,
							ProcessCode = o.ProcessCode,
							ProcessGroup = o.ProcessGroup,
							ProcessSubgroup = o.ProcessSubgroup,
							ProdLine = o.ProdLine,
							UserType = o.UserType,
							LeadTime = o.LeadTime,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_dapperRepo.ExecuteAsync(MstLgaEkbUserConsts.SP_MST_WPT_CALENDAR_GENERATE);
       // }
    }
}</v>
      </c>
      <c r="N58" s="62" t="str">
        <f>A.Backend!U7</f>
        <v xml:space="preserve">  configuration.CreateMap&lt;MstLgaEkbUserDto, MstLgaEkbUser&gt;();
  configuration.CreateMap&lt;MstLgaEkbUser, MstLgaEkbUserDto&gt;();
  configuration.CreateMap&lt;CreateOrEditMstLgaEkbUserDto, MstLgaEkbUser&gt;();</v>
      </c>
    </row>
    <row r="59" spans="1:14" s="16" customFormat="1" ht="21.75" customHeight="1" x14ac:dyDescent="0.25">
      <c r="C59" s="65"/>
      <c r="D59" s="29"/>
      <c r="E59" s="29"/>
      <c r="F59" s="29"/>
      <c r="G59" s="29"/>
      <c r="H59" s="66"/>
      <c r="I59" s="67"/>
      <c r="J59" s="29"/>
      <c r="K59" s="29"/>
      <c r="M59" s="66"/>
    </row>
    <row r="60" spans="1:14" s="16" customFormat="1" ht="21.75" customHeight="1" x14ac:dyDescent="0.25">
      <c r="C60" s="29"/>
      <c r="D60" s="29"/>
      <c r="E60" s="29"/>
      <c r="F60" s="29"/>
      <c r="G60" s="29"/>
      <c r="H60" s="29"/>
      <c r="J60" s="29"/>
      <c r="K60" s="29"/>
      <c r="M60" s="29"/>
    </row>
    <row r="61" spans="1:14" s="16" customFormat="1" ht="21.75" customHeight="1" x14ac:dyDescent="0.25">
      <c r="C61" s="29"/>
      <c r="D61" s="29"/>
      <c r="E61" s="29"/>
      <c r="G61" s="29"/>
      <c r="H61" s="29"/>
    </row>
    <row r="62" spans="1:14" x14ac:dyDescent="0.25">
      <c r="B62" s="1" t="s">
        <v>73</v>
      </c>
    </row>
    <row r="63" spans="1:14" ht="21" x14ac:dyDescent="0.35">
      <c r="B63" t="str">
        <f>B.Frontend!B8</f>
        <v>ekbuser</v>
      </c>
      <c r="C63" s="72" t="str">
        <f>"create folder " &amp;B63</f>
        <v>create folder ekbuser</v>
      </c>
      <c r="D63" s="72"/>
      <c r="E63" s="72"/>
      <c r="F63" s="72"/>
      <c r="G63" s="72"/>
      <c r="H63" s="72"/>
      <c r="I63" s="72"/>
      <c r="J63" s="72"/>
      <c r="K63" s="73" t="s">
        <v>228</v>
      </c>
      <c r="L63" s="73"/>
      <c r="M63" s="31"/>
    </row>
    <row r="64" spans="1:14" s="28" customFormat="1" ht="18" customHeight="1" x14ac:dyDescent="0.25">
      <c r="B64" s="60" t="s">
        <v>229</v>
      </c>
      <c r="C64" s="31" t="str">
        <f>B.Frontend!H14</f>
        <v>ekbuser.component.ts</v>
      </c>
      <c r="D64" s="31" t="str">
        <f>B.Frontend!I14</f>
        <v>ekbuser.component.html</v>
      </c>
      <c r="E64" s="31" t="str">
        <f>B.Frontend!J14</f>
        <v>ekbuser.component.less</v>
      </c>
      <c r="F64" s="31" t="str">
        <f>B.Frontend!K14</f>
        <v>create-or-edit-ekbuser-modal.component.html</v>
      </c>
      <c r="G64" s="31" t="str">
        <f>B.Frontend!L14</f>
        <v>create-or-edit-ekbuser-modal.component.ts</v>
      </c>
      <c r="H64" s="31" t="str">
        <f>B.Frontend!M14</f>
        <v>create-or-edit-ekbuser-modal.component.less</v>
      </c>
      <c r="I64" s="31" t="str">
        <f>B.Frontend!N14</f>
        <v>ekbuser.module.ts</v>
      </c>
      <c r="J64" s="31" t="str">
        <f>B.Frontend!O14</f>
        <v>ekbuser-routing.module.ts</v>
      </c>
      <c r="K64" s="31" t="str">
        <f>B.Frontend!P14</f>
        <v>app.navigation.service.ts</v>
      </c>
      <c r="L64" s="31" t="str">
        <f>B.Frontend!Q14</f>
        <v>main.routing.module.ts</v>
      </c>
      <c r="M64" s="60" t="s">
        <v>232</v>
      </c>
    </row>
    <row r="65" spans="2:13" ht="21.75" customHeight="1" x14ac:dyDescent="0.25">
      <c r="B65" s="61" t="s">
        <v>226</v>
      </c>
      <c r="C65" s="49" t="str">
        <f ca="1">B.Frontend!H10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MstLgaEkbUserDto, MstLgaEkbUserServiceProxy } from '@shared/service-proxies/service-proxies';
import { finalize } from 'rxjs/internal/operators/finalize';
import { CreateOrEditEkbUserModalComponent } from './create-or-edit-ekbuser-modal.component';
import { DatePipe } from '@angular/common';
import { FileDownloadService } from '@shared/utils/file-download.service';
import ceil from 'lodash-es/ceil';
import { Paginator } from 'primeng/paginator';
@Component({
    templateUrl: './ekbuser.component.html',
    styleUrls: ['./ekbuser.component.less'],
})
export class EkbUserComponent extends AppComponentBase implements OnInit {
    @ViewChild('createOrEditModalEkbUser', { static: true }) createOrEditModalEkbUser:| CreateOrEditEkbUserModalComponent|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MstLgaEkbUserDto = new MstLgaEkbUserDto();
    saveSelectedRow: MstLgaEkbUserDto = new MstLgaEkbUserDto();
    datas: MstLgaEkbUserDto = new MstLgaEkbUserDto();
    isLoading: boolean = false;
    dataParams: GridParams | undefined;
    rowData: any[] = [];
    gridApi!: GridApi;
    rowSelection = 'multiple';
    filter: string = '';
	pipe = new DatePipe('en-US');
	frameworkComponents: FrameworkComponent;
    userCode : string = '' ; 
	userName : string = '' ; 
	processId : number = 0 ;
	processCode : string = '' ; 
	processGroup : string = '' ; 
	processSubgroup : string = '' ; 
	prodLine : string = '' ; 
	userType : string = '' ; 
	leadTime : number = 0 ;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MstLgaEkbUserServiceProxy,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Code'),headerTooltip: this.l('User Code'),field: 'userCode',flex: 1},
			{headerName: this.l('User Name'),headerTooltip: this.l('User Name'),field: 'userName',flex: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this.l('User Type'),headerTooltip: this.l('User Type'),field: 'userType',flex: 1},
			{headerName: this.l('Lead Time'),headerTooltip: this.l('Lead Time'),field: 'leadTime',flex: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this.userCode,
			this.userName,
			this.processId,
			this.processCode,
			this.processGroup,
			this.processSubgroup,
			this.prodLine,
			this.userType,
			this.leadTime,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this.userCode = '',
		this.userName = '',
		this.processId = 0,
		this.processCode = '',
		this.processGroup = '',
		this.processSubgroup = '',
		this.prodLine = '',
		this.userType = '',
		this.leadTime = 0,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this.userCode,
			this.userName,
			this.processId,
			this.processCode,
			this.processGroup,
			this.processSubgroup,
			this.prodLine,
			this.userType,
			this.leadTime,
			this.sorting,
			this.isActive,
			'',
            this.paginationParams.skipCount,
            this.paginationParams.pageSize
        );
    }
    onChangeRowSelection(params: { api: { getSelectedRows: () =&gt; MstLgaEkbUserDto[] } }) {
        this.saveSelectedRow = params.api.getSelectedRows()[0] ?? new MstLgaEkbUserDto();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MstLgaEkbUserDto):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this._service.getEkbUserToExcel(
			this.userCode,
			this.userName,
			this.processId,
			this.processCode,
			this.processGroup,
			this.processSubgroup,
			this.prodLine,
			this.userType,
			this.leadTime,
			this.sorting,
			this.isActive,
            )
            .subscribe((result) =&gt; {
                this._fileDownloadService.downloadTempFile(result);
        });
    }
}</v>
      </c>
      <c r="D65" s="49" t="str">
        <f ca="1">B.Frontend!I10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User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[(ngModel)]='userCode' name='userCode'
									class='form-control' [placeholder]="l('User Code')"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[(ngModel)]='userType' name='userType'
									class='form-control' [placeholder]="l('User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(click)="createOrEditModalEkbUser.show()"&gt;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(click)="createOrEditModalEkbUser.show(selectedRow)"&gt;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&lt;create-or-edit-ekbuser-modal
    #createOrEditModalEkbUser
    (modalSave)="callBackDataGrid(dataParams)"
    (modalClose)="onChangeRowSelection(dataParams)"
&gt;
&lt;/create-or-edit-ekbuser-modal&gt;</v>
      </c>
      <c r="E65" s="49" t="str">
        <f>B.Frontend!J10</f>
        <v>.input-search{
    width: 250px;
    border-radius: 10px;
    margin-left: 10px;
}
.btn-search{
    width: 50px;
    margin-left: 10px;
}</v>
      </c>
      <c r="F65" s="49" t="str">
        <f ca="1">B.Frontend!K10</f>
        <v>&lt;div bsModal #createOrEditModalEkbUser="bs-modal"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EkbUser')}}&lt;/h3&gt;
                    &lt;h3 *ngIf="!rowdata.id"&gt;{{('Create New EkbUser')}}&lt;/h3&gt;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Code&lt;/label&gt;
						&lt;input type='text' class='col-md-10 form-control input-text' name='UserCode' [(ngModel)]='rowdata.userCode'&gt;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title'&gt;Process Id&lt;/label&gt;
						&lt;input type='number' class='col-md-10 form-control input-text' name='ProcessId' [(ngModel)]='rowdata.processId'&gt;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title'&gt;User Type&lt;/label&gt;
						&lt;input type='text' class='col-md-10 form-control input-text' name='UserType' [(ngModel)]='rowdata.userType'&gt;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G65" s="49" t="str">
        <f ca="1">B.Frontend!L10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CreateOrEditMstLgaEkbUserDto, MstLgaEkbUserServiceProxy } from '@shared/service-proxies/service-proxies';
import { BsDatepickerDirective } from 'ngx-bootstrap/datepicker';
@Component({
    selector: 'create-or-edit-ekbuser-modal',
    templateUrl: './create-or-edit-ekbuser-modal.component.html',
    styleUrls: ['./create-or-edit-ekbuser-modal.component.less']
    })
export class CreateOrEditEkbUserModalComponent extends AppComponentBase {
    @ViewChild('createOrEditModalEkbUser',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CreateOrEditMstLgaEkbUserDto = new CreateOrEditMstLgaEkbUserDto();
    active: boolean = false;
    saving: boolean = false;
    _isActive: boolean;
    constructor(
        injector: Injector,
        private _mstwptEkbUserService: MstLgaEkbUserServiceProxy,
    ) 
    {
        super(injector);
    }
    show(rowdata?: CreateOrEditMstLgaEkbUserDto): void {
        if (!rowdata) this.rowdata = new CreateOrEditMstLgaEkbUserDto();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this._mstwptEkbUserService.createOrEdit(this.rowdata)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H65" s="49" t="str">
        <f>B.Frontend!M10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I65" s="49" t="str">
        <f>B.Frontend!N10</f>
        <v>import {NgModule} from '@angular/core';
import {AppSharedModule} from '@app/shared/app-shared.module';
import { EkbUserRoutingModule } from './ekbuser-routing.module';
import { EkbUserComponent } from './ekbuser.component';
import { CreateOrEditEkbUserModalComponent } from './create-or-edit-ekbuser-modal.component';
@NgModule({
    declarations: [
       EkbUserComponent, 
        CreateOrEditEkbUserModalComponent
    ],
    imports: [
        AppSharedModule, EkbUserRoutingModule]
})
export class EkbUserModule {}</v>
      </c>
      <c r="J65" s="49" t="str">
        <f>B.Frontend!O10</f>
        <v>import {NgModule} from '@angular/core';
import {RouterModule, Routes} from '@angular/router';
import { EkbUserComponent } from './ekbuser.component';
const routes: Routes = [{
    path: '',
    component: EkbUserComponent,
    pathMatch: 'full'
}];
@NgModule({
    imports: [RouterModule.forChild(routes)],
    exports: [RouterModule],
})
export class EkbUserRoutingModule {}</v>
      </c>
      <c r="K65" s="49" t="str">
        <f>B.Frontend!P10</f>
        <v xml:space="preserve"> new AppMenuItem("EkbUser", "Pages.Master.LogA.EkbUser", "flaticon-book",   "/app/main/master/loga/ekbuser"),</v>
      </c>
      <c r="L65" s="50" t="str">
        <f>B.Frontend!Q10</f>
        <v>{
    path: 'master/loga/ekbuser',
    loadChildren: () =&gt; import('./master/loga/ekbuser/ekbuser.module').then(m =&gt; m.EkbUserModule),
    data: { permission: 'Pages.Master.LogA.EkbUser' }
},</v>
      </c>
      <c r="M65" s="48" t="str">
        <f>B.Frontend!R10</f>
        <v>ApiServiceProxies.MstLgaEkbUserServiceProxy,</v>
      </c>
    </row>
    <row r="67" spans="2:13" x14ac:dyDescent="0.25">
      <c r="B67" s="1" t="s">
        <v>75</v>
      </c>
    </row>
  </sheetData>
  <mergeCells count="2">
    <mergeCell ref="C63:J63"/>
    <mergeCell ref="K63:L63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W21"/>
  <sheetViews>
    <sheetView tabSelected="1" workbookViewId="0">
      <pane xSplit="1" topLeftCell="B1" activePane="topRight" state="frozen"/>
      <selection pane="topRight" activeCell="B13" sqref="B13"/>
    </sheetView>
  </sheetViews>
  <sheetFormatPr defaultColWidth="9.140625" defaultRowHeight="15" x14ac:dyDescent="0.25"/>
  <cols>
    <col min="1" max="1" width="20.85546875" style="8" customWidth="1"/>
    <col min="2" max="2" width="20.42578125" style="9" customWidth="1"/>
    <col min="3" max="3" width="19.42578125" style="8" customWidth="1"/>
    <col min="4" max="4" width="23.42578125" style="8" customWidth="1"/>
    <col min="5" max="5" width="14.42578125" style="8" customWidth="1"/>
    <col min="6" max="6" width="14.85546875" style="8" customWidth="1"/>
    <col min="7" max="7" width="17.28515625" style="8" bestFit="1" customWidth="1"/>
    <col min="8" max="8" width="15" style="8" customWidth="1"/>
    <col min="9" max="9" width="16" style="8" customWidth="1"/>
    <col min="10" max="10" width="15.85546875" style="8" customWidth="1"/>
    <col min="11" max="11" width="16" style="8" customWidth="1"/>
    <col min="12" max="12" width="16.7109375" style="8" customWidth="1"/>
    <col min="13" max="13" width="17.42578125" style="8" customWidth="1"/>
    <col min="14" max="14" width="16.140625" style="8" customWidth="1"/>
    <col min="15" max="15" width="14.7109375" style="8" customWidth="1"/>
    <col min="16" max="16" width="16" style="8" customWidth="1"/>
    <col min="17" max="17" width="15.7109375" style="8" customWidth="1"/>
    <col min="18" max="18" width="19.42578125" style="8" customWidth="1"/>
    <col min="19" max="19" width="20.42578125" style="8" customWidth="1"/>
    <col min="20" max="20" width="17" style="8" customWidth="1"/>
    <col min="21" max="21" width="14" style="8" customWidth="1"/>
    <col min="22" max="22" width="15.140625" style="8" customWidth="1"/>
    <col min="23" max="23" width="27.85546875" style="9" customWidth="1"/>
    <col min="24" max="16384" width="9.140625" style="8"/>
  </cols>
  <sheetData>
    <row r="1" spans="1:23" s="11" customFormat="1" ht="14.25" customHeight="1" x14ac:dyDescent="0.25">
      <c r="A1" s="1" t="s">
        <v>11</v>
      </c>
      <c r="B1" s="10" t="s">
        <v>71</v>
      </c>
      <c r="C1" s="10" t="s">
        <v>54</v>
      </c>
      <c r="D1" s="10" t="str">
        <f>"using Abp.Application.Services;
using Abp.Application.Services.Dto;
using System.Collections.Generic;using vovina.Dto;
using System.Threading.Tasks;
"&amp;"using vovina."&amp;B2&amp;".Dto;"</f>
        <v>using Abp.Application.Services;
using Abp.Application.Services.Dto;
using System.Collections.Generic;using vovina.Dto;
using System.Threading.Tasks;
using vovina.Master.LogA.Dto;</v>
      </c>
      <c r="E1" s="10" t="s">
        <v>266</v>
      </c>
      <c r="F1" s="11" t="s">
        <v>239</v>
      </c>
      <c r="H1" s="11" t="s">
        <v>240</v>
      </c>
      <c r="J1" s="11" t="s">
        <v>241</v>
      </c>
      <c r="L1" s="11" t="s">
        <v>242</v>
      </c>
      <c r="M1" s="11" t="s">
        <v>243</v>
      </c>
      <c r="N1" s="11" t="s">
        <v>244</v>
      </c>
      <c r="O1" s="11" t="s">
        <v>245</v>
      </c>
      <c r="T1" s="10" t="s">
        <v>258</v>
      </c>
      <c r="U1" s="10" t="s">
        <v>230</v>
      </c>
      <c r="W1" s="10"/>
    </row>
    <row r="2" spans="1:23" s="11" customFormat="1" x14ac:dyDescent="0.25">
      <c r="A2" s="1" t="s">
        <v>12</v>
      </c>
      <c r="B2" s="30" t="s">
        <v>321</v>
      </c>
      <c r="C2" s="14" t="s">
        <v>40</v>
      </c>
      <c r="D2" s="14" t="s">
        <v>41</v>
      </c>
      <c r="E2" s="14" t="s">
        <v>42</v>
      </c>
      <c r="F2" s="14" t="s">
        <v>51</v>
      </c>
      <c r="G2" s="14" t="s">
        <v>49</v>
      </c>
      <c r="H2" s="14" t="s">
        <v>52</v>
      </c>
      <c r="I2" s="14" t="s">
        <v>45</v>
      </c>
      <c r="J2" s="14" t="s">
        <v>53</v>
      </c>
      <c r="K2" s="14" t="s">
        <v>55</v>
      </c>
      <c r="L2" s="14" t="s">
        <v>62</v>
      </c>
      <c r="M2" s="14" t="s">
        <v>61</v>
      </c>
      <c r="N2" s="14" t="s">
        <v>65</v>
      </c>
      <c r="O2" s="14" t="s">
        <v>85</v>
      </c>
      <c r="T2" s="11" t="s">
        <v>246</v>
      </c>
      <c r="V2" s="11" t="s">
        <v>247</v>
      </c>
      <c r="W2" s="10" t="s">
        <v>257</v>
      </c>
    </row>
    <row r="3" spans="1:23" s="11" customFormat="1" ht="33" customHeight="1" x14ac:dyDescent="0.25">
      <c r="A3" s="1" t="s">
        <v>5</v>
      </c>
      <c r="B3" s="30" t="s">
        <v>332</v>
      </c>
      <c r="C3" s="10" t="s">
        <v>43</v>
      </c>
      <c r="D3" s="10" t="s">
        <v>44</v>
      </c>
      <c r="E3" s="10" t="s">
        <v>39</v>
      </c>
      <c r="F3" s="11" t="str">
        <f>"J"&amp;COUNTA($A:$A)</f>
        <v>J19</v>
      </c>
      <c r="G3" s="4" t="s">
        <v>57</v>
      </c>
      <c r="H3" s="10" t="str">
        <f>"I"&amp;COUNTA($A:$A)</f>
        <v>I19</v>
      </c>
      <c r="I3" s="10" t="str">
        <f>REPT(CHAR(9),2)&amp;"[Required]"&amp;"
"</f>
        <v xml:space="preserve">		[Required]
</v>
      </c>
      <c r="J3" s="11" t="str">
        <f>"L"&amp;COUNTA($A:$A)</f>
        <v>L19</v>
      </c>
      <c r="K3" s="5" t="s">
        <v>56</v>
      </c>
      <c r="L3" s="11" t="str">
        <f>"M"&amp;COUNTA($A:$A)</f>
        <v>M19</v>
      </c>
      <c r="M3" s="11" t="str">
        <f>"N"&amp;COUNTA($A:$A)</f>
        <v>N19</v>
      </c>
      <c r="N3" s="11" t="str">
        <f>"O"&amp;COUNTA($A:$A)</f>
        <v>O19</v>
      </c>
      <c r="O3" s="11" t="str">
        <f>"P"&amp;COUNTA($A:$A)</f>
        <v>P19</v>
      </c>
      <c r="Q3" s="11" t="str">
        <f>RIGHT(B2,(LEN(B2)-FIND(".",B2,1)))</f>
        <v>LogA</v>
      </c>
      <c r="R3" s="32" t="str">
        <f>REPT(CHAR(9),1)&amp;"public class "&amp;B3&amp;"ExportInput"&amp;C3</f>
        <v xml:space="preserve">	public class MstLgaEkbUserExportInput{
</v>
      </c>
      <c r="S3" s="11" t="str">
        <f>"namespace "&amp;$B$6&amp;".Exporting
"&amp;$C$3</f>
        <v xml:space="preserve">namespace vovina.Master.LogA.Exporting
{
</v>
      </c>
      <c r="T3" s="11" t="str">
        <f>"T"&amp;COUNTA($A:$A)</f>
        <v>T19</v>
      </c>
      <c r="V3" s="11" t="str">
        <f>"V"&amp;COUNTA($A:$A)</f>
        <v>V19</v>
      </c>
      <c r="W3" s="10" t="str">
        <f>"W"&amp;COUNTA($A:$A)</f>
        <v>W19</v>
      </c>
    </row>
    <row r="4" spans="1:23" s="11" customFormat="1" ht="33" customHeight="1" x14ac:dyDescent="0.25">
      <c r="A4" s="1" t="s">
        <v>237</v>
      </c>
      <c r="B4" s="64" t="s">
        <v>88</v>
      </c>
      <c r="C4" s="10"/>
      <c r="D4" s="10"/>
      <c r="E4" s="10"/>
      <c r="G4" s="4"/>
      <c r="H4" s="10"/>
      <c r="I4" s="10"/>
      <c r="K4" s="5"/>
      <c r="R4" s="32"/>
      <c r="W4" s="10"/>
    </row>
    <row r="5" spans="1:23" s="11" customFormat="1" ht="33" customHeight="1" x14ac:dyDescent="0.25">
      <c r="A5" s="1" t="s">
        <v>238</v>
      </c>
      <c r="B5" s="64" t="s">
        <v>333</v>
      </c>
      <c r="C5" s="10"/>
      <c r="D5" s="10"/>
      <c r="E5" s="10"/>
      <c r="G5" s="4"/>
      <c r="H5" s="10"/>
      <c r="I5" s="10"/>
      <c r="K5" s="5"/>
      <c r="R5" s="32"/>
      <c r="W5" s="10"/>
    </row>
    <row r="6" spans="1:23" customFormat="1" ht="16.5" customHeight="1" x14ac:dyDescent="0.25">
      <c r="A6" s="1" t="s">
        <v>6</v>
      </c>
      <c r="B6" s="10" t="str">
        <f>"vovina."&amp;B2</f>
        <v>vovina.Master.LogA</v>
      </c>
      <c r="C6" s="11" t="str">
        <f>"namespace "&amp;$B$6&amp;"
"&amp;$C$3</f>
        <v xml:space="preserve">namespace vovina.Master.LogA
{
</v>
      </c>
      <c r="D6" s="11" t="str">
        <f>REPT(CHAR(9),1)&amp;"public class "&amp;B3&amp;G3&amp;REPT(CHAR(9),1)&amp;"
"&amp;REPT(CHAR(9),1)&amp;C3</f>
        <v xml:space="preserve">	public class MstLgaEkbUser: FullAuditedEntity&lt;long&gt;, IEntity&lt;long&gt;	
	{
</v>
      </c>
      <c r="E6" s="11" t="str">
        <f>REPT(CHAR(9),1)&amp;"public class "&amp;B3&amp;"Consts"&amp;REPT(CHAR(9),1)&amp;"
"&amp;REPT(CHAR(9),1)&amp;C3</f>
        <v xml:space="preserve">	public class MstLgaEkbUserConsts	
	{
</v>
      </c>
      <c r="F6" s="11" t="str">
        <f>REPT(CHAR(9),1)&amp;"public class "&amp;B3&amp;"Dto"&amp;K3&amp;REPT(CHAR(9),1)&amp;"
"&amp;REPT(CHAR(9),1)&amp;C3</f>
        <v xml:space="preserve">	public class MstLgaEkbUserDto : EntityDto&lt;long?&gt;	
	{
</v>
      </c>
      <c r="G6" s="11" t="str">
        <f>REPT(CHAR(9),1)&amp;"public class CreateOrEdit"&amp;B3&amp;"Dto"&amp;K3&amp;REPT(CHAR(9),1)&amp;"
"&amp;REPT(CHAR(9),1)&amp;C3</f>
        <v xml:space="preserve">	public class CreateOrEditMstLgaEkbUserDto : EntityDto&lt;long?&gt;	
	{
</v>
      </c>
      <c r="H6" s="11" t="str">
        <f>REPT(CHAR(9),1)&amp;"public class Get"&amp;B3&amp;"Input : PagedAndSortedResultRequestDto"&amp;REPT(CHAR(9),1)&amp;"
"&amp;REPT(CHAR(9),1)&amp;C3</f>
        <v xml:space="preserve">	public class GetMstLgaEkbUserInput : PagedAndSortedResultRequestDto	
	{
</v>
      </c>
      <c r="I6" s="11"/>
      <c r="J6" s="1" t="s">
        <v>72</v>
      </c>
      <c r="K6" s="1" t="s">
        <v>66</v>
      </c>
      <c r="L6" s="1" t="s">
        <v>67</v>
      </c>
      <c r="M6" s="1" t="s">
        <v>68</v>
      </c>
      <c r="N6" s="1" t="s">
        <v>236</v>
      </c>
      <c r="O6" s="1" t="s">
        <v>235</v>
      </c>
      <c r="P6" s="1" t="s">
        <v>69</v>
      </c>
      <c r="Q6" s="1" t="s">
        <v>70</v>
      </c>
      <c r="R6" s="1" t="s">
        <v>202</v>
      </c>
      <c r="S6" s="1" t="s">
        <v>204</v>
      </c>
      <c r="T6" s="1" t="s">
        <v>203</v>
      </c>
      <c r="U6" s="1" t="s">
        <v>227</v>
      </c>
      <c r="W6" s="28"/>
    </row>
    <row r="7" spans="1:23" customFormat="1" ht="15.75" customHeight="1" x14ac:dyDescent="0.25">
      <c r="A7" s="1" t="s">
        <v>13</v>
      </c>
      <c r="B7" s="10" t="str">
        <f>B3</f>
        <v>MstLgaEkbUser</v>
      </c>
      <c r="C7" s="11" t="str">
        <f>REPT(CHAR(9),1)&amp;"[Table("""&amp;B7&amp;""")]"&amp;"
"</f>
        <v xml:space="preserve">	[Table("MstLgaEkbUser")]
</v>
      </c>
      <c r="D7" s="11"/>
      <c r="E7" s="11"/>
      <c r="F7" s="11"/>
      <c r="G7" s="11"/>
      <c r="H7" s="11"/>
      <c r="I7" s="11"/>
      <c r="J7" s="6" t="str">
        <f ca="1">SUBSTITUTE(SUBSTITUTE((B1&amp;C6&amp;C7&amp;K21&amp;D6&amp;I21&amp;E3&amp;J21&amp;""&amp;REPT(CHAR(9),1)&amp;D3&amp;D3),"WorkingPattern",$Q$3),"Master",$B$4)</f>
        <v xml:space="preserve">using Abp.Domain.Entities;
using Abp.Domain.Entities.Auditing;
using Microsoft.EntityFrameworkCore;
using System;
using System.ComponentModel.DataAnnotations;
using System.ComponentModel.DataAnnotations.Schema;
namespace vovina.Master.LogA
{
	[Table("MstLgaEkbUser")]
	[Index(nameof(UserCode), Name="IX_MstLgaEkbUser_UserCode")]
	[Index(nameof(ProdLine), Name="IX_MstLgaEkbUser_ProdLine")]
	[Index(nameof(Sorting), Name="IX_MstLgaEkbUser_Sorting")]
	[Index(nameof(IsActive), Name="IX_MstLgaEkbUser_IsActive")]	public class MstLgaEkbUser: FullAuditedEntity&lt;long&gt;, IEntity&lt;long&gt;	
	{
		public const int MaxUserCodeLength = 50;
		public const int MaxUserNameLength = 50;
		public const int MaxProcessCodeLength = 50;
		public const int MaxProcessGroupLength = 50;
		public const int MaxProcessSubgroupLength = 50;
		public const int MaxProdLineLength = 50;
		public const int MaxUserTypeLength = 50;
		public const int MaxIsActiveLength = 1;
		[StringLength(MaxUserCodeLength)]
		public virtual string UserCode { get; set; }
		[StringLength(MaxUserNameLength)]
		public virtual string UserName { get; set; }
		public virtual int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[StringLength(MaxUserTypeLength)]
		public virtual string UserType { get; set; }
		public virtual int LeadTime { get; set; }
		public virtual int Sorting { get; set; }
		[StringLength(MaxIsActiveLength)]
		public virtual string IsActive { get; set; }
	}
}
</v>
      </c>
      <c r="K7" t="str">
        <f>SUBSTITUTE(SUBSTITUTE(("public virtual DbSet&lt;"&amp;B3&amp;"&gt; "&amp;B3&amp;"s { get; set; }"),"WorkingPattern",$Q$3),"Master",$B$4)</f>
        <v>public virtual DbSet&lt;MstLgaEkbUser&gt; MstLgaEkbUsers { get; set; }</v>
      </c>
      <c r="L7" t="str">
        <f ca="1">SUBSTITUTE(SUBSTITUTE((C6&amp;E6&amp;I21&amp;"
"&amp;REPT(CHAR(9),2)&amp;"// Define Store Name: Format SP_ + &lt;Store Name&gt; = &lt;Store Name&gt;
"&amp;E3&amp;REPT(CHAR(9),1)&amp;D3&amp;D3),"WorkingPattern",$Q$3),"Master",$B$4)</f>
        <v xml:space="preserve">namespace vovina.Master.LogA
{
	public class MstLgaEkbUserConsts	
	{
		public const int MaxUserCodeLength = 50;
		public const int MaxUserNameLength = 50;
		public const int MaxProcessCodeLength = 50;
		public const int MaxProcessGroupLength = 50;
		public const int MaxProcessSubgroupLength = 50;
		public const int MaxProdLineLength = 50;
		public const int MaxUserTypeLength = 50;
		public const int MaxIsActiveLength = 1;
		// Define Store Name: Format SP_ + &lt;Store Name&gt; = &lt;Store Name&gt;
	}
}
</v>
      </c>
      <c r="M7" t="str">
        <f ca="1">SUBSTITUTE(SUBSTITUTE((C1&amp;"namespace "&amp;B6&amp;".Dto"&amp;E3&amp;C3&amp;F6&amp;M21&amp;E3&amp;REPT(CHAR(9),1)&amp;D3&amp;G6&amp;N21&amp;REPT(CHAR(9),1)&amp;D3&amp;H6&amp;O21&amp;"
"&amp;REPT(CHAR(9),1)&amp;D3&amp;D3),"WorkingPattern",$Q$3),"Master",$B$4)</f>
        <v xml:space="preserve">using Abp.Application.Services.Dto;
using System;
using System.ComponentModel.DataAnnotations;
namespace vovina.Master.LogA.Dto
{
	public class MstLgaEkbUserDto : EntityDto&lt;long?&gt;	
	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	public class CreateOrEditMstLgaEkbUserDto : EntityDto&lt;long?&gt;	
	{
		[StringLength(MstLgaEkbUserConsts.MaxUserCodeLength)]
		public virtual string UserCode { get; set; }
		[StringLength(MstLgaEkbUserConsts.MaxUserNameLength)]
		public virtual string UserName { get; set; }
		public virtual int ProcessId { get; set; }
		[StringLength(MstLgaEkbUserConsts.MaxProcessCodeLength)]
		public virtual string ProcessCode { get; set; }
		[StringLength(MstLgaEkbUserConsts.MaxProcessGroupLength)]
		public virtual string ProcessGroup { get; set; }
		[StringLength(MstLgaEkbUserConsts.MaxProcessSubgroupLength)]
		public virtual string ProcessSubgroup { get; set; }
		[StringLength(MstLgaEkbUserConsts.MaxProdLineLength)]
		public virtual string ProdLine { get; set; }
		[StringLength(MstLgaEkbUserConsts.MaxUserTypeLength)]
		public virtual string UserType { get; set; }
		public virtual int LeadTime { get; set; }
		public virtual int Sorting { get; set; }
		[StringLength(MstLgaEkbUserConsts.MaxIsActiveLength)]
		public virtual string IsActive { get; set; }
	}
	public class GetMstLgaEkbUserInput : PagedAndSortedResultRequestDto	
	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}
</v>
      </c>
      <c r="N7" t="str">
        <f>SUBSTITUTE(SUBSTITUTE((REPT(CHAR(9),2)&amp;"var per"&amp;B3&amp;" = PARENTS.CreateChildPermission(AppPermissions.Pages_"&amp;SUBSTITUTE(B2,".","_")&amp;"_"&amp;B5&amp;", L( """&amp;SUBSTITUTE(B2,".","")&amp;B5&amp;"""), multiTenancySides: MultiTenancySides.Tenant);"
&amp;E3&amp;REPT(CHAR(9),2)&amp;"per"&amp;B3&amp;".CreateChildPermission(AppPermissions.Pages_"&amp;SUBSTITUTE(B2,".","_")&amp;"_"&amp;B5&amp;"_CreateEdit, L( """&amp;SUBSTITUTE(B2,".","")&amp;B5&amp;"CreateEdit"&amp;"""), multiTenancySides: MultiTenancySides.Tenant);"
&amp;E3&amp;REPT(CHAR(9),2)&amp;"per"&amp;B3&amp;".CreateChildPermission(AppPermissions.Pages_"&amp;SUBSTITUTE(B2,".","_")&amp;"_"&amp;B5&amp;"_Delete, L( """&amp;SUBSTITUTE(B2,".","")&amp;B5&amp;"Delete"&amp;"""), multiTenancySides: MultiTenancySides.Tenant);"),"WorkingPattern",$Q$3),"Master",$B$4)</f>
        <v xml:space="preserve">		var perMstLgaEkbUser = PARENTS.CreateChildPermission(AppPermissions.Pages_Master_LogA_EkbUser, L( "MasterLogAEkbUser"), multiTenancySides: MultiTenancySides.Tenant);
		perMstLgaEkbUser.CreateChildPermission(AppPermissions.Pages_Master_LogA_EkbUser_CreateEdit, L( "MasterLogAEkbUserCreateEdit"), multiTenancySides: MultiTenancySides.Tenant);
		perMstLgaEkbUser.CreateChildPermission(AppPermissions.Pages_Master_LogA_EkbUser_Delete, L( "MasterLogAEkbUserDelete"), multiTenancySides: MultiTenancySides.Tenant);</v>
      </c>
      <c r="O7" s="28" t="str">
        <f>SUBSTITUTE(SUBSTITUTE((REPT(CHAR(9),2)&amp;"public const string Pages_"&amp;SUBSTITUTE(B2,".","_")&amp;"_"&amp;B5&amp;" = ""Pages."&amp;B2&amp;"."&amp;B5&amp;""";"
&amp;E3&amp;REPT(CHAR(9),2)&amp;"public const string Pages_"&amp;SUBSTITUTE(B2,".","_")&amp;"_"&amp;B5&amp;"_CreateEdit"&amp;" = ""Pages."&amp;B2&amp;"."&amp;B5&amp;".CreateEdit"";"
&amp;E3&amp;REPT(CHAR(9),2)&amp;"public const string Pages_"&amp;SUBSTITUTE(B2,".","_")&amp;"_"&amp;B5&amp;"_Delete"&amp;" = ""Pages."&amp;B2&amp;"."&amp;B5&amp;".Delete"";
"),"WorkingPattern",$Q$3),"Master",$B$4)</f>
        <v xml:space="preserve">		public const string Pages_Master_LogA_EkbUser = "Pages.Master.LogA.EkbUser";
		public const string Pages_Master_LogA_EkbUser_CreateEdit = "Pages.Master.LogA.EkbUser.CreateEdit";
		public const string Pages_Master_LogA_EkbUser_Delete = "Pages.Master.LogA.EkbUser.Delete";
</v>
      </c>
      <c r="P7" t="str">
        <f>SUBSTITUTE(SUBSTITUTE((D1&amp;E3&amp;E3
&amp;C6
&amp;REPT(CHAR(9),1)&amp;"public interface I"&amp;B3&amp;"AppService : IApplicationService"&amp;E3&amp;REPT(CHAR(9),1)&amp;C3
&amp;REPT(CHAR(9),2)&amp;"Task&lt;PagedResultDto&lt;"&amp;B3&amp;"Dto&gt;&gt; GetAll(Get"&amp;B3&amp;"Input input);"&amp;E3&amp;E3
&amp;REPT(CHAR(9),2)&amp;"Task CreateOrEdit(CreateOrEdit"&amp;B3&amp;"Dto input);"&amp;E3&amp;E3
&amp;REPT(CHAR(9),2)&amp;"Task Delete(EntityDto input);"&amp;E3&amp;E3
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
{
	public interface IMstLgaEkbUserAppService : IApplicationService
	{
		Task&lt;PagedResultDto&lt;MstLgaEkbUserDto&gt;&gt; GetAll(GetMstLgaEkbUserInput input);
		Task CreateOrEdit(CreateOrEditMstLgaEkbUserDto input);
		Task Delete(EntityDto input);
	}
}
</v>
      </c>
      <c r="Q7" t="str">
        <f ca="1">SUBSTITUTE(SUBSTITUTE(SUBSTITUTE(SUBSTITUTE(SUBSTITUTE(SUBSTITUTE(E1,"MstWptCalendar",$B$3),"&lt;PROPERTIES&gt;",P21),"Calendar",$B$5),"WorkingPattern",$Q$3),"Master",$B$4),"&lt;PARAMS_SEARCH&gt;",$W$21)</f>
        <v>using Abp.Application.Services.Dto;
using Abp.Authorization;
using Abp.Dapper.Repositories;
using Abp.Domain.Repositories;
using Abp.Domain.Uow;
using Abp.EntityFrameworkCore.Uow;
using Abp.Extensions;
using Abp.Linq.Extensions;
using Abp.UI;
using Dapper;
using Microsoft.EntityFrameworkCore;
using NUglify.Helpers;
using System;
using System.Collections.Generic;
using System.Linq;
using System.Linq.Dynamic.Core;
using System.Threading.Tasks;
using vovina.Authorization;
using vovina.Dto;
using vovina.EntityFrameworkCore;
using vovina.Master.LogA.Dto;
using vovina.Master.LogA.Exporting;
namespace vovina.Master.LogA
{
    [AbpAuthorize(AppPermissions.Pages_Master_LogA_EkbUser)]
    public class MstLgaEkbUserAppService : vovinaAppServiceBase, IMstLgaEkbUserAppService
    {
        private readonly IDapperRepository&lt;MstLgaEkbUser, long&gt; _dapperRepo;
        private readonly IRepository&lt;MstLgaEkbUser, long&gt; _repo;
        private readonly IMstLgaEkbUserExcelExporter _calendarListExcelExporter;
        public MstLgaEkbUserAppService(IRepository&lt;MstLgaEkbUser,long&gt; repo, 
                                         IDapperRepository&lt;MstLgaEkbUser,long&gt; dapperRepo,
                                        IMstLgaEkbUserExcelExporter calendarListExcelExporter
            )
        {
            _repo = repo;
            _dapperRepo = dapperRepo;
            _calendarListExcelExporter = calendarListExcelExporter;
        }
        [AbpAuthorize(AppPermissions.Pages_Master_LogA_EkbUser_CreateEdit)]
        public async Task CreateOrEdit(CreateOrEditMstLgaEkbUserDto input)
        {
            if (input.Id == null) await Create(input);
            else await Update(input);
        }
        //CREATE
        private async Task Create(CreateOrEditMstLgaEkbUserDto input)
        {          
            var mainObj = ObjectMapper.Map&lt;MstLgaEkbUser&gt;(input);
            await CurrentUnitOfWork.GetDbContext&lt;vovinaDbContext&gt;().AddAsync(mainObj);
        }
        // EDIT
        private async Task Update(CreateOrEditMstLgaEkbUserDto input)
        {
            using (CurrentUnitOfWork.DisableFilter(AbpDataFilters.MayHaveTenant))
            {
                var mainObj = await _repo.GetAll()
                .FirstOrDefaultAsync(e =&gt; e.Id == input.Id);
                var mainObjToUpdate = ObjectMapper.Map(input, mainObj);
            }
        }
        [AbpAuthorize(AppPermissions.Pages_Master_LogA_EkbUser_Delete)]
        public async Task Delete(EntityDto input)
        {
            var mainObj = await _repo.FirstOrDefaultAsync(input.Id);
            CurrentUnitOfWork.GetDbContext&lt;vovinaDbContext&gt;().Remove(mainObj);
        }
        public async Task&lt;PagedResultDto&lt;MstLgaEkbUserDto&gt;&gt; GetAll(GetMstLgaEkbUserInput input)
        {
            var filtered = _repo.GetAll()
				.WhereIf(!string.IsNullOrWhiteSpace(input.UserCode), e =&gt; e.UserCode.Contains(input.UserCode))
				.WhereIf(!string.IsNullOrWhiteSpace(input.UserName), e =&gt; e.UserName.Contains(input.UserName))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.WhereIf(!string.IsNullOrWhiteSpace(input.UserType), e =&gt; e.UserType.Contains(input.UserType))
				.WhereIf(!string.IsNullOrWhiteSpace(input.IsActive), e =&gt; e.IsActive.Contains(input.IsActive))                   
				;
            var pageAndFiltered = filtered.OrderBy(s =&gt; s.Id);
            var system = from o in pageAndFiltered
                         select new MstLgaEkbUserDto
                        {
							Id = o.Id,
							UserCode = o.UserCode,
							UserName = o.UserName,
							ProcessId = o.ProcessId,
							ProcessCode = o.ProcessCode,
							ProcessGroup = o.ProcessGroup,
							ProcessSubgroup = o.ProcessSubgroup,
							ProdLine = o.ProdLine,
							UserType = o.UserType,
							LeadTime = o.LeadTime,
							Sorting = o.Sorting,
							IsActive = o.IsActive,
                        };
            var totalCount = await filtered.CountAsync();
			var paged = system.PageBy(input);
            return new PagedResultDto&lt;MstLgaEkbUserDto&gt;(
                totalCount,
                 await paged.ToListAsync()
            );
        }
        public async Task&lt;FileDto&gt; GetEkbUserToExcel(MstLgaEkbUserExportInput input)
        {
            var query = from o in _repo.GetAll()
                        select new MstLgaEkbUserDto
                        {
							Id = o.Id,
							UserCode = o.UserCode,
							UserName = o.UserName,
							ProcessId = o.ProcessId,
							ProcessCode = o.ProcessCode,
							ProcessGroup = o.ProcessGroup,
							ProcessSubgroup = o.ProcessSubgroup,
							ProdLine = o.ProdLine,
							UserType = o.UserType,
							LeadTime = o.LeadTime,
							Sorting = o.Sorting,
							IsActive = o.IsActive,
                        };
            var exportToExcel = await query.ToListAsync();
            return _calendarListExcelExporter.ExportToFile(exportToExcel);
        }
       // public async Task GenerateAsync()
      //  {
        //    await _dapperRepo.ExecuteAsync(MstLgaEkbUserConsts.SP_MST_WPT_CALENDAR_GENERATE);
       // }
    }
}</v>
      </c>
      <c r="R7" t="str">
        <f ca="1">SUBSTITUTE(SUBSTITUTE((C1&amp;"namespace "&amp;B6&amp;".Dto"&amp;E3&amp;C3&amp;R3&amp;M21&amp;E3&amp;REPT(CHAR(9),1)&amp;D3&amp;D3),"WorkingPattern",$Q$3),"Master",$B$4)</f>
        <v xml:space="preserve">using Abp.Application.Services.Dto;
using System;
using System.ComponentModel.DataAnnotations;
namespace vovina.Master.LogA.Dto
{
	public class MstLgaEkbUserExportInput{
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	}
}
</v>
      </c>
      <c r="S7" t="str">
        <f>SUBSTITUTE(SUBSTITUTE((D1&amp;E3&amp;E3&amp;S3
&amp;REPT(CHAR(9),1)&amp;"public interface I"&amp;B3&amp;"ExcelExporter : IApplicationService"&amp;E3&amp;REPT(CHAR(9),1)&amp;C3&amp;REPT(CHAR(9),2)&amp;"FileDto ExportToFile(List&lt;"&amp;B3&amp;"Dto&gt; "&amp;LOWER(B3)&amp;");
"&amp;E3&amp;REPT(CHAR(9),1)&amp;D3&amp;D3),"WorkingPattern",$Q$3),"Master",$B$4)</f>
        <v xml:space="preserve">using Abp.Application.Services;
using Abp.Application.Services.Dto;
using System.Collections.Generic;using vovina.Dto;
using System.Threading.Tasks;
using vovina.Master.LogA.Dto;
namespace vovina.Master.LogA.Exporting
{
	public interface IMstLgaEkbUserExcelExporter : IApplicationService
	{
		FileDto ExportToFile(List&lt;MstLgaEkbUserDto&gt; mstlgaekbuser);
	}
}
</v>
      </c>
      <c r="T7" s="28" t="str">
        <f ca="1">SUBSTITUTE(SUBSTITUTE(SUBSTITUTE(SUBSTITUTE(SUBSTITUTE(SUBSTITUTE(SUBSTITUTE(T1,"MstWptCalendar",$B$3),"&lt;PROPERTIES1&gt;",V21),"&lt;PROPERTIES&gt;",T21),"Calendar",$B$5),"calendar",LOWER(B5)),"WorkingPattern",$Q$3),"Master",$B$4)</f>
        <v>using System.Collections.Generic;
using vovina.DataExporting.Excel.NPOI;
using vovina.Dto;
using vovina.Master.LogA.Exporting;
using vovina.Master.LogA.Dto;
using vovina.Storage;
using vovina.Master.LogA.Dto;
namespace vovina.Master.LogA.Exporting
{
    public class MstLgaEkbUserExcelExporter : NpoiExcelExporterBase, IMstLgaEkbUserExcelExporter
    {
        public MstLgaEkbUserExcelExporter(ITempFileCacheManager tempFileCacheManager) : base(tempFileCacheManager) { }
        public FileDto ExportToFile(List&lt;MstLgaEkbUserDto&gt; ekbuser)
        {
            return CreateExcelPackage(
				"MasterLogAEkbUser.xlsx",
				excelPackage =&gt;
				 {
					var sheet = excelPackage.CreateSheet("EkbUser");
					AddHeader(
								sheet,
								("UserCode"),
								("UserName"),
								("ProcessId"),
								("ProcessCode"),
								("ProcessGroup"),
								("ProcessSubgroup"),
								("ProdLine"),
								("UserType"),
								("LeadTime"),
								("Sorting"),
								("IsActive"),
							   );
					AddObjects(
						 sheet, 1, ekbuser,                                       
								_ =&gt; _.UserCode,
								_ =&gt; _.UserName,
								_ =&gt; _.ProcessId,
								_ =&gt; _.ProcessCode,
								_ =&gt; _.ProcessGroup,
								_ =&gt; _.ProcessSubgroup,
								_ =&gt; _.ProdLine,
								_ =&gt; _.UserType,
								_ =&gt; _.LeadTime,
								_ =&gt; _.Sorting,
								_ =&gt; _.IsActive,
								);
			for (var i = 0; i &lt; 8; i++)
				{
					sheet.AutoSizeColumn(i);
				}
			});
        }
    }
}</v>
      </c>
      <c r="U7" s="28" t="str">
        <f>SUBSTITUTE(SUBSTITUTE(U1,"MstWptCalendar",$B$3),"Master",$B$4)</f>
        <v xml:space="preserve">  configuration.CreateMap&lt;MstLgaEkbUserDto, MstLgaEkbUser&gt;();
  configuration.CreateMap&lt;MstLgaEkbUser, MstLgaEkbUserDto&gt;();
  configuration.CreateMap&lt;CreateOrEditMstLgaEkbUserDto, MstLgaEkbUser&gt;();</v>
      </c>
      <c r="V7" s="28"/>
      <c r="W7" s="28"/>
    </row>
    <row r="8" spans="1:23" s="2" customFormat="1" x14ac:dyDescent="0.25">
      <c r="A8" s="2" t="s">
        <v>7</v>
      </c>
      <c r="B8" s="3" t="s">
        <v>8</v>
      </c>
      <c r="C8" s="2" t="s">
        <v>10</v>
      </c>
      <c r="D8" s="2" t="s">
        <v>14</v>
      </c>
      <c r="E8" s="2" t="s">
        <v>37</v>
      </c>
      <c r="F8" s="2" t="s">
        <v>59</v>
      </c>
      <c r="G8" s="2" t="s">
        <v>9</v>
      </c>
      <c r="H8" s="2" t="s">
        <v>15</v>
      </c>
      <c r="I8" s="2" t="s">
        <v>50</v>
      </c>
      <c r="J8" s="2" t="s">
        <v>38</v>
      </c>
      <c r="K8" s="2" t="s">
        <v>46</v>
      </c>
      <c r="L8" s="2" t="s">
        <v>47</v>
      </c>
      <c r="M8" s="2" t="s">
        <v>63</v>
      </c>
      <c r="N8" s="2" t="s">
        <v>58</v>
      </c>
      <c r="O8" s="2" t="s">
        <v>64</v>
      </c>
      <c r="P8" s="20" t="s">
        <v>84</v>
      </c>
      <c r="W8" s="3"/>
    </row>
    <row r="9" spans="1:23" customFormat="1" ht="18.75" customHeight="1" x14ac:dyDescent="0.25">
      <c r="A9" s="17" t="s">
        <v>336</v>
      </c>
      <c r="B9" t="s">
        <v>320</v>
      </c>
      <c r="C9" t="s">
        <v>1</v>
      </c>
      <c r="D9" t="str">
        <f t="shared" ref="D9" si="0">SUBSTITUTE(PROPER(A9),"_","")</f>
        <v>UserCode</v>
      </c>
      <c r="E9" t="str">
        <f t="shared" ref="E9:E10" si="1">IFERROR(LEFT(B9, FIND("(",B9)-1),B9)</f>
        <v>varchar</v>
      </c>
      <c r="F9" s="7"/>
      <c r="G9" t="str">
        <f t="shared" ref="G9:G10" si="2">IFERROR(MID(B9,FIND("(",B9) +1, FIND(")",B9) - FIND("(",B9) - 1),"")</f>
        <v>50</v>
      </c>
      <c r="H9" t="str">
        <f>+VLOOKUP(E9,'Data Type Mapping'!A:B,2,)</f>
        <v>string</v>
      </c>
      <c r="I9" t="str">
        <f t="shared" ref="I9:I10" si="3">IF(H9="string",REPT(CHAR(9),2)&amp;"public const int Max"&amp;D9&amp;"Length = "&amp;G9&amp;";"&amp;$E$3,"" )</f>
        <v xml:space="preserve">		public const int MaxUserCodeLength = 50;
</v>
      </c>
      <c r="J9" t="str">
        <f t="shared" ref="J9:J10" si="4">IF(F9="","",REPT(CHAR(9),2)&amp;"[Column(TypeName="""&amp;F9&amp;""")]"&amp;$E$3)&amp;IF(C9="Checked","",$I$3)&amp;IF(H9="string",REPT(CHAR(9),2)&amp;"[StringLength(Max"&amp;D9&amp;"Length"&amp;")]"&amp;$E$3,"")&amp;REPT(CHAR(9),2)&amp;"public virtual "&amp;H9&amp;IF(C9="?","? "," ")&amp;D9&amp;" { get; set; }" &amp; "
"</f>
        <v xml:space="preserve">		[StringLength(MaxUserCodeLength)]
		public virtual string UserCode { get; set; }
</v>
      </c>
      <c r="K9" s="7" t="s">
        <v>206</v>
      </c>
      <c r="L9" t="str">
        <f t="shared" ref="L9" si="5">IF(K9="","",REPT(CHAR(9),1)&amp;"[Index(nameof("&amp;IF(D9="","",""&amp;D9)&amp;")"&amp;", Name="&amp;"""IX_"&amp;$B$7&amp;"_"&amp;D9&amp;""")]")</f>
        <v xml:space="preserve">	[Index(nameof(UserCode), Name="IX_MstLgaEkbUser_UserCode")]</v>
      </c>
      <c r="M9" t="str">
        <f t="shared" ref="M9:M10" si="6">REPT(CHAR(9),2)&amp;"public virtual "&amp;IF(OR(H9="DateTime",H9="TimeSpan"),H9&amp;"?",H9)&amp;IF(C9="?","? "," ")&amp;D9&amp;" { get; set; }" &amp; "
"</f>
        <v xml:space="preserve">		public virtual string UserCode { get; set; }
</v>
      </c>
      <c r="N9" t="str">
        <f t="shared" ref="N9:N10" si="7">IF(C9="Checked","",$I$3)&amp;IF(H9="string",REPT(CHAR(9),2)&amp;"[StringLength("&amp;$B$3&amp;"Consts.Max"&amp;D9&amp;"Length"&amp;")]"&amp;$E$3,"")&amp;REPT(CHAR(9),2)&amp;"public virtual "&amp;IF(OR(H9="DateTime",H9="TimeSpan"),H9&amp;"?",H9)&amp;IF(C9="?","? "," ")&amp;D9&amp;" { get; set; }" &amp; "
"</f>
        <v xml:space="preserve">		[StringLength(MstLgaEkbUserConsts.MaxUserCodeLength)]
		public virtual string UserCode { get; set; }
</v>
      </c>
      <c r="O9" t="str">
        <f t="shared" ref="O9:O10" si="8">IF(OR(H9="string",H9="DateTime",H9="int"),REPT(CHAR(9),2)&amp;"public virtual "&amp;IF(OR(H9="DateTime",H9="TimeSpan"),H9&amp;"?",H9)&amp;IF(C9="?","? "," ")&amp;D9&amp;" { get; set; }"&amp;$E$3,"")</f>
        <v xml:space="preserve">		public virtual string UserCode { get; set; }
</v>
      </c>
      <c r="P9" t="str">
        <f t="shared" ref="P9:P10" si="9">REPT(CHAR(9),7)&amp;D9&amp;" = o." &amp;D9 &amp;","</f>
        <v xml:space="preserve">							UserCode = o.UserCode,</v>
      </c>
      <c r="T9" s="69" t="str">
        <f t="shared" ref="T9:T10" si="10">REPT(CHAR(9),8)&amp;"("""&amp;D9&amp;"""),"</f>
        <v xml:space="preserve">								("UserCode"),</v>
      </c>
      <c r="V9" s="70" t="str">
        <f t="shared" ref="V9:V10" si="11">REPT(CHAR(9),8)&amp;"_ =&gt; _."&amp;D9&amp;","</f>
        <v xml:space="preserve">								_ =&gt; _.UserCode,</v>
      </c>
      <c r="W9" s="69" t="str">
        <f t="shared" ref="W9:W10" si="12">IF(H9="string",REPT(CHAR(9),4)&amp;".WhereIf(!string.IsNullOrWhiteSpace(input."&amp;D9&amp;"), e =&gt; e."&amp;D9&amp;".Contains(input."&amp;D9&amp;"))",IF(H9="DateTime",REPT(CHAR(9),4)&amp;".WhereIf(input."&amp;D9&amp;".HasValue, t =&gt; t."&amp;D9&amp;" == input."&amp;D9&amp;".Value)",""))</f>
        <v xml:space="preserve">				.WhereIf(!string.IsNullOrWhiteSpace(input.UserCode), e =&gt; e.UserCode.Contains(input.UserCode))</v>
      </c>
    </row>
    <row r="10" spans="1:23" customFormat="1" ht="22.5" customHeight="1" x14ac:dyDescent="0.25">
      <c r="A10" t="s">
        <v>334</v>
      </c>
      <c r="B10" t="s">
        <v>320</v>
      </c>
      <c r="C10" t="s">
        <v>1</v>
      </c>
      <c r="D10" t="str">
        <f>SUBSTITUTE(PROPER(A10),"_","")</f>
        <v>UserName</v>
      </c>
      <c r="E10" t="str">
        <f t="shared" si="1"/>
        <v>varchar</v>
      </c>
      <c r="F10" s="7"/>
      <c r="G10" t="str">
        <f t="shared" si="2"/>
        <v>50</v>
      </c>
      <c r="H10" t="str">
        <f>+VLOOKUP(E10,'Data Type Mapping'!A:B,2,)</f>
        <v>string</v>
      </c>
      <c r="I10" t="str">
        <f t="shared" si="3"/>
        <v xml:space="preserve">		public const int MaxUserNameLength = 50;
</v>
      </c>
      <c r="J10" t="str">
        <f t="shared" si="4"/>
        <v xml:space="preserve">		[StringLength(MaxUserNameLength)]
		public virtual string UserName { get; set; }
</v>
      </c>
      <c r="K10" s="7"/>
      <c r="L10" t="str">
        <f>IF(K10="","",REPT(CHAR(9),1)&amp;"[Index(nameof("&amp;IF(D10="","",""&amp;D10)&amp;")"&amp;", Name="&amp;"""IX_"&amp;$B$7&amp;"_"&amp;D10&amp;""")]")</f>
        <v/>
      </c>
      <c r="M10" t="str">
        <f t="shared" si="6"/>
        <v xml:space="preserve">		public virtual string UserName { get; set; }
</v>
      </c>
      <c r="N10" t="str">
        <f t="shared" si="7"/>
        <v xml:space="preserve">		[StringLength(MstLgaEkbUserConsts.MaxUserNameLength)]
		public virtual string UserName { get; set; }
</v>
      </c>
      <c r="O10" t="str">
        <f t="shared" si="8"/>
        <v xml:space="preserve">		public virtual string UserName { get; set; }
</v>
      </c>
      <c r="P10" t="str">
        <f t="shared" si="9"/>
        <v xml:space="preserve">							UserName = o.UserName,</v>
      </c>
      <c r="T10" s="69" t="str">
        <f t="shared" si="10"/>
        <v xml:space="preserve">								("UserName"),</v>
      </c>
      <c r="V10" s="70" t="str">
        <f t="shared" si="11"/>
        <v xml:space="preserve">								_ =&gt; _.UserName,</v>
      </c>
      <c r="W10" s="69" t="str">
        <f t="shared" si="12"/>
        <v xml:space="preserve">				.WhereIf(!string.IsNullOrWhiteSpace(input.UserName), e =&gt; e.UserName.Contains(input.UserName))</v>
      </c>
    </row>
    <row r="11" spans="1:23" customFormat="1" ht="22.5" customHeight="1" x14ac:dyDescent="0.25">
      <c r="A11" t="s">
        <v>335</v>
      </c>
      <c r="B11" t="s">
        <v>4</v>
      </c>
      <c r="C11" t="s">
        <v>1</v>
      </c>
      <c r="D11" t="str">
        <f>SUBSTITUTE(PROPER(A11),"_","")</f>
        <v>ProcessId</v>
      </c>
      <c r="E11" t="str">
        <f t="shared" ref="E11:E19" si="13">IFERROR(LEFT(B11, FIND("(",B11)-1),B11)</f>
        <v>int</v>
      </c>
      <c r="F11" s="7"/>
      <c r="G11" t="str">
        <f t="shared" ref="G11:G19" si="14">IFERROR(MID(B11,FIND("(",B11) +1, FIND(")",B11) - FIND("(",B11) - 1),"")</f>
        <v/>
      </c>
      <c r="H11" t="str">
        <f>+VLOOKUP(E11,'Data Type Mapping'!A:B,2,)</f>
        <v>int</v>
      </c>
      <c r="I11" t="str">
        <f t="shared" ref="I11:I19" si="15">IF(H11="string",REPT(CHAR(9),2)&amp;"public const int Max"&amp;D11&amp;"Length = "&amp;G11&amp;";"&amp;$E$3,"" )</f>
        <v/>
      </c>
      <c r="J11" t="str">
        <f t="shared" ref="J11:J19" si="16">IF(F11="","",REPT(CHAR(9),2)&amp;"[Column(TypeName="""&amp;F11&amp;""")]"&amp;$E$3)&amp;IF(C11="Checked","",$I$3)&amp;IF(H11="string",REPT(CHAR(9),2)&amp;"[StringLength(Max"&amp;D11&amp;"Length"&amp;")]"&amp;$E$3,"")&amp;REPT(CHAR(9),2)&amp;"public virtual "&amp;H11&amp;IF(C11="?","? "," ")&amp;D11&amp;" { get; set; }" &amp; "
"</f>
        <v xml:space="preserve">		public virtual int ProcessId { get; set; }
</v>
      </c>
      <c r="K11" s="7"/>
      <c r="L11" t="str">
        <f>IF(K11="","",REPT(CHAR(9),1)&amp;"[Index(nameof("&amp;IF(D11="","",""&amp;D11)&amp;")"&amp;", Name="&amp;"""IX_"&amp;$B$7&amp;"_"&amp;D11&amp;""")]")</f>
        <v/>
      </c>
      <c r="M11" t="str">
        <f t="shared" ref="M11:M19" si="17">REPT(CHAR(9),2)&amp;"public virtual "&amp;IF(OR(H11="DateTime",H11="TimeSpan"),H11&amp;"?",H11)&amp;IF(C11="?","? "," ")&amp;D11&amp;" { get; set; }" &amp; "
"</f>
        <v xml:space="preserve">		public virtual int ProcessId { get; set; }
</v>
      </c>
      <c r="N11" t="str">
        <f t="shared" ref="N11:N19" si="18">IF(C11="Checked","",$I$3)&amp;IF(H11="string",REPT(CHAR(9),2)&amp;"[StringLength("&amp;$B$3&amp;"Consts.Max"&amp;D11&amp;"Length"&amp;")]"&amp;$E$3,"")&amp;REPT(CHAR(9),2)&amp;"public virtual "&amp;IF(OR(H11="DateTime",H11="TimeSpan"),H11&amp;"?",H11)&amp;IF(C11="?","? "," ")&amp;D11&amp;" { get; set; }" &amp; "
"</f>
        <v xml:space="preserve">		public virtual int ProcessId { get; set; }
</v>
      </c>
      <c r="O11" t="str">
        <f t="shared" ref="O11:O19" si="19">IF(OR(H11="string",H11="DateTime",H11="int"),REPT(CHAR(9),2)&amp;"public virtual "&amp;IF(OR(H11="DateTime",H11="TimeSpan"),H11&amp;"?",H11)&amp;IF(C11="?","? "," ")&amp;D11&amp;" { get; set; }"&amp;$E$3,"")</f>
        <v xml:space="preserve">		public virtual int ProcessId { get; set; }
</v>
      </c>
      <c r="P11" t="str">
        <f t="shared" ref="P11:P19" si="20">REPT(CHAR(9),7)&amp;D11&amp;" = o." &amp;D11 &amp;","</f>
        <v xml:space="preserve">							ProcessId = o.ProcessId,</v>
      </c>
      <c r="T11" s="69" t="str">
        <f t="shared" ref="T11:T19" si="21">REPT(CHAR(9),8)&amp;"("""&amp;D11&amp;"""),"</f>
        <v xml:space="preserve">								("ProcessId"),</v>
      </c>
      <c r="V11" s="70" t="str">
        <f t="shared" ref="V11:V19" si="22">REPT(CHAR(9),8)&amp;"_ =&gt; _."&amp;D11&amp;","</f>
        <v xml:space="preserve">								_ =&gt; _.ProcessId,</v>
      </c>
      <c r="W11" s="69" t="str">
        <f t="shared" ref="W11:W19" si="23">IF(H11="string",REPT(CHAR(9),4)&amp;".WhereIf(!string.IsNullOrWhiteSpace(input."&amp;D11&amp;"), e =&gt; e."&amp;D11&amp;".Contains(input."&amp;D11&amp;"))",IF(H11="DateTime",REPT(CHAR(9),4)&amp;".WhereIf(input."&amp;D11&amp;".HasValue, t =&gt; t."&amp;D11&amp;" == input."&amp;D11&amp;".Value)",""))</f>
        <v/>
      </c>
    </row>
    <row r="12" spans="1:23" customFormat="1" ht="22.5" customHeight="1" x14ac:dyDescent="0.25">
      <c r="A12" t="s">
        <v>337</v>
      </c>
      <c r="B12" t="s">
        <v>320</v>
      </c>
      <c r="C12" t="s">
        <v>1</v>
      </c>
      <c r="D12" t="str">
        <f>SUBSTITUTE(PROPER(A12),"_","")</f>
        <v>ProcessCode</v>
      </c>
      <c r="E12" t="str">
        <f t="shared" si="13"/>
        <v>varchar</v>
      </c>
      <c r="F12" s="7"/>
      <c r="G12" t="str">
        <f t="shared" si="14"/>
        <v>50</v>
      </c>
      <c r="H12" t="str">
        <f>+VLOOKUP(E12,'Data Type Mapping'!A:B,2,)</f>
        <v>string</v>
      </c>
      <c r="I12" t="str">
        <f t="shared" si="15"/>
        <v xml:space="preserve">		public const int MaxProcessCodeLength = 50;
</v>
      </c>
      <c r="J12" t="str">
        <f t="shared" si="16"/>
        <v xml:space="preserve">		[StringLength(MaxProcessCodeLength)]
		public virtual string ProcessCode { get; set; }
</v>
      </c>
      <c r="K12" s="7"/>
      <c r="L12" t="str">
        <f>IF(K12="","",REPT(CHAR(9),1)&amp;"[Index(nameof("&amp;IF(D12="","",""&amp;D12)&amp;")"&amp;", Name="&amp;"""IX_"&amp;$B$7&amp;"_"&amp;D12&amp;""")]")</f>
        <v/>
      </c>
      <c r="M12" t="str">
        <f t="shared" si="17"/>
        <v xml:space="preserve">		public virtual string ProcessCode { get; set; }
</v>
      </c>
      <c r="N12" t="str">
        <f t="shared" si="18"/>
        <v xml:space="preserve">		[StringLength(MstLgaEkbUserConsts.MaxProcessCodeLength)]
		public virtual string ProcessCode { get; set; }
</v>
      </c>
      <c r="O12" t="str">
        <f t="shared" si="19"/>
        <v xml:space="preserve">		public virtual string ProcessCode { get; set; }
</v>
      </c>
      <c r="P12" t="str">
        <f t="shared" si="20"/>
        <v xml:space="preserve">							ProcessCode = o.ProcessCode,</v>
      </c>
      <c r="T12" s="69" t="str">
        <f t="shared" si="21"/>
        <v xml:space="preserve">								("ProcessCode"),</v>
      </c>
      <c r="V12" s="70" t="str">
        <f t="shared" si="22"/>
        <v xml:space="preserve">								_ =&gt; _.ProcessCode,</v>
      </c>
      <c r="W12" s="69" t="str">
        <f t="shared" si="23"/>
        <v xml:space="preserve">				.WhereIf(!string.IsNullOrWhiteSpace(input.ProcessCode), e =&gt; e.ProcessCode.Contains(input.ProcessCode))</v>
      </c>
    </row>
    <row r="13" spans="1:23" customFormat="1" ht="22.5" customHeight="1" x14ac:dyDescent="0.25">
      <c r="A13" t="s">
        <v>327</v>
      </c>
      <c r="B13" t="s">
        <v>320</v>
      </c>
      <c r="C13" t="s">
        <v>1</v>
      </c>
      <c r="D13" t="str">
        <f>SUBSTITUTE(PROPER(A13),"_","")</f>
        <v>ProcessGroup</v>
      </c>
      <c r="E13" t="str">
        <f t="shared" ref="E13" si="24">IFERROR(LEFT(B13, FIND("(",B13)-1),B13)</f>
        <v>varchar</v>
      </c>
      <c r="F13" s="7"/>
      <c r="G13" t="str">
        <f t="shared" ref="G13" si="25">IFERROR(MID(B13,FIND("(",B13) +1, FIND(")",B13) - FIND("(",B13) - 1),"")</f>
        <v>50</v>
      </c>
      <c r="H13" t="str">
        <f>+VLOOKUP(E13,'Data Type Mapping'!A:B,2,)</f>
        <v>string</v>
      </c>
      <c r="I13" t="str">
        <f t="shared" ref="I13" si="26">IF(H13="string",REPT(CHAR(9),2)&amp;"public const int Max"&amp;D13&amp;"Length = "&amp;G13&amp;";"&amp;$E$3,"" )</f>
        <v xml:space="preserve">		public const int MaxProcessGroupLength = 50;
</v>
      </c>
      <c r="J13" t="str">
        <f t="shared" ref="J13" si="27">IF(F13="","",REPT(CHAR(9),2)&amp;"[Column(TypeName="""&amp;F13&amp;""")]"&amp;$E$3)&amp;IF(C13="Checked","",$I$3)&amp;IF(H13="string",REPT(CHAR(9),2)&amp;"[StringLength(Max"&amp;D13&amp;"Length"&amp;")]"&amp;$E$3,"")&amp;REPT(CHAR(9),2)&amp;"public virtual "&amp;H13&amp;IF(C13="?","? "," ")&amp;D13&amp;" { get; set; }" &amp; "
"</f>
        <v xml:space="preserve">		[StringLength(MaxProcessGroupLength)]
		public virtual string ProcessGroup { get; set; }
</v>
      </c>
      <c r="K13" s="7"/>
      <c r="L13" t="str">
        <f>IF(K13="","",REPT(CHAR(9),1)&amp;"[Index(nameof("&amp;IF(D13="","",""&amp;D13)&amp;")"&amp;", Name="&amp;"""IX_"&amp;$B$7&amp;"_"&amp;D13&amp;""")]")</f>
        <v/>
      </c>
      <c r="M13" t="str">
        <f t="shared" ref="M13" si="28">REPT(CHAR(9),2)&amp;"public virtual "&amp;IF(OR(H13="DateTime",H13="TimeSpan"),H13&amp;"?",H13)&amp;IF(C13="?","? "," ")&amp;D13&amp;" { get; set; }" &amp; "
"</f>
        <v xml:space="preserve">		public virtual string ProcessGroup { get; set; }
</v>
      </c>
      <c r="N13" t="str">
        <f t="shared" ref="N13" si="29">IF(C13="Checked","",$I$3)&amp;IF(H13="string",REPT(CHAR(9),2)&amp;"[StringLength("&amp;$B$3&amp;"Consts.Max"&amp;D13&amp;"Length"&amp;")]"&amp;$E$3,"")&amp;REPT(CHAR(9),2)&amp;"public virtual "&amp;IF(OR(H13="DateTime",H13="TimeSpan"),H13&amp;"?",H13)&amp;IF(C13="?","? "," ")&amp;D13&amp;" { get; set; }" &amp; "
"</f>
        <v xml:space="preserve">		[StringLength(MstLgaEkbUserConsts.MaxProcessGroupLength)]
		public virtual string ProcessGroup { get; set; }
</v>
      </c>
      <c r="O13" t="str">
        <f t="shared" ref="O13" si="30">IF(OR(H13="string",H13="DateTime",H13="int"),REPT(CHAR(9),2)&amp;"public virtual "&amp;IF(OR(H13="DateTime",H13="TimeSpan"),H13&amp;"?",H13)&amp;IF(C13="?","? "," ")&amp;D13&amp;" { get; set; }"&amp;$E$3,"")</f>
        <v xml:space="preserve">		public virtual string ProcessGroup { get; set; }
</v>
      </c>
      <c r="P13" t="str">
        <f t="shared" ref="P13" si="31">REPT(CHAR(9),7)&amp;D13&amp;" = o." &amp;D13 &amp;","</f>
        <v xml:space="preserve">							ProcessGroup = o.ProcessGroup,</v>
      </c>
      <c r="T13" s="69" t="str">
        <f t="shared" ref="T13" si="32">REPT(CHAR(9),8)&amp;"("""&amp;D13&amp;"""),"</f>
        <v xml:space="preserve">								("ProcessGroup"),</v>
      </c>
      <c r="V13" s="70" t="str">
        <f t="shared" ref="V13" si="33">REPT(CHAR(9),8)&amp;"_ =&gt; _."&amp;D13&amp;","</f>
        <v xml:space="preserve">								_ =&gt; _.ProcessGroup,</v>
      </c>
      <c r="W13" s="69" t="str">
        <f t="shared" ref="W13" si="34">IF(H13="string",REPT(CHAR(9),4)&amp;".WhereIf(!string.IsNullOrWhiteSpace(input."&amp;D13&amp;"), e =&gt; e."&amp;D13&amp;".Contains(input."&amp;D13&amp;"))",IF(H13="DateTime",REPT(CHAR(9),4)&amp;".WhereIf(input."&amp;D13&amp;".HasValue, t =&gt; t."&amp;D13&amp;" == input."&amp;D13&amp;".Value)",""))</f>
        <v xml:space="preserve">				.WhereIf(!string.IsNullOrWhiteSpace(input.ProcessGroup), e =&gt; e.ProcessGroup.Contains(input.ProcessGroup))</v>
      </c>
    </row>
    <row r="14" spans="1:23" customFormat="1" ht="22.5" customHeight="1" x14ac:dyDescent="0.25">
      <c r="A14" t="s">
        <v>328</v>
      </c>
      <c r="B14" t="s">
        <v>320</v>
      </c>
      <c r="C14" t="s">
        <v>1</v>
      </c>
      <c r="D14" t="str">
        <f>SUBSTITUTE(PROPER(A14),"_","")</f>
        <v>ProcessSubgroup</v>
      </c>
      <c r="E14" t="str">
        <f t="shared" ref="E14" si="35">IFERROR(LEFT(B14, FIND("(",B14)-1),B14)</f>
        <v>varchar</v>
      </c>
      <c r="F14" s="7"/>
      <c r="G14" t="str">
        <f t="shared" ref="G14" si="36">IFERROR(MID(B14,FIND("(",B14) +1, FIND(")",B14) - FIND("(",B14) - 1),"")</f>
        <v>50</v>
      </c>
      <c r="H14" t="str">
        <f>+VLOOKUP(E14,'Data Type Mapping'!A:B,2,)</f>
        <v>string</v>
      </c>
      <c r="I14" t="str">
        <f t="shared" ref="I14" si="37">IF(H14="string",REPT(CHAR(9),2)&amp;"public const int Max"&amp;D14&amp;"Length = "&amp;G14&amp;";"&amp;$E$3,"" )</f>
        <v xml:space="preserve">		public const int MaxProcessSubgroupLength = 50;
</v>
      </c>
      <c r="J14" t="str">
        <f t="shared" ref="J14" si="38">IF(F14="","",REPT(CHAR(9),2)&amp;"[Column(TypeName="""&amp;F14&amp;""")]"&amp;$E$3)&amp;IF(C14="Checked","",$I$3)&amp;IF(H14="string",REPT(CHAR(9),2)&amp;"[StringLength(Max"&amp;D14&amp;"Length"&amp;")]"&amp;$E$3,"")&amp;REPT(CHAR(9),2)&amp;"public virtual "&amp;H14&amp;IF(C14="?","? "," ")&amp;D14&amp;" { get; set; }" &amp; "
"</f>
        <v xml:space="preserve">		[StringLength(MaxProcessSubgroupLength)]
		public virtual string ProcessSubgroup { get; set; }
</v>
      </c>
      <c r="K14" s="7"/>
      <c r="L14" t="str">
        <f>IF(K14="","",REPT(CHAR(9),1)&amp;"[Index(nameof("&amp;IF(D14="","",""&amp;D14)&amp;")"&amp;", Name="&amp;"""IX_"&amp;$B$7&amp;"_"&amp;D14&amp;""")]")</f>
        <v/>
      </c>
      <c r="M14" t="str">
        <f t="shared" ref="M14" si="39">REPT(CHAR(9),2)&amp;"public virtual "&amp;IF(OR(H14="DateTime",H14="TimeSpan"),H14&amp;"?",H14)&amp;IF(C14="?","? "," ")&amp;D14&amp;" { get; set; }" &amp; "
"</f>
        <v xml:space="preserve">		public virtual string ProcessSubgroup { get; set; }
</v>
      </c>
      <c r="N14" t="str">
        <f t="shared" ref="N14" si="40">IF(C14="Checked","",$I$3)&amp;IF(H14="string",REPT(CHAR(9),2)&amp;"[StringLength("&amp;$B$3&amp;"Consts.Max"&amp;D14&amp;"Length"&amp;")]"&amp;$E$3,"")&amp;REPT(CHAR(9),2)&amp;"public virtual "&amp;IF(OR(H14="DateTime",H14="TimeSpan"),H14&amp;"?",H14)&amp;IF(C14="?","? "," ")&amp;D14&amp;" { get; set; }" &amp; "
"</f>
        <v xml:space="preserve">		[StringLength(MstLgaEkbUserConsts.MaxProcessSubgroupLength)]
		public virtual string ProcessSubgroup { get; set; }
</v>
      </c>
      <c r="O14" t="str">
        <f t="shared" ref="O14" si="41">IF(OR(H14="string",H14="DateTime",H14="int"),REPT(CHAR(9),2)&amp;"public virtual "&amp;IF(OR(H14="DateTime",H14="TimeSpan"),H14&amp;"?",H14)&amp;IF(C14="?","? "," ")&amp;D14&amp;" { get; set; }"&amp;$E$3,"")</f>
        <v xml:space="preserve">		public virtual string ProcessSubgroup { get; set; }
</v>
      </c>
      <c r="P14" t="str">
        <f t="shared" ref="P14" si="42">REPT(CHAR(9),7)&amp;D14&amp;" = o." &amp;D14 &amp;","</f>
        <v xml:space="preserve">							ProcessSubgroup = o.ProcessSubgroup,</v>
      </c>
      <c r="T14" s="69" t="str">
        <f t="shared" ref="T14" si="43">REPT(CHAR(9),8)&amp;"("""&amp;D14&amp;"""),"</f>
        <v xml:space="preserve">								("ProcessSubgroup"),</v>
      </c>
      <c r="V14" s="70" t="str">
        <f t="shared" ref="V14" si="44">REPT(CHAR(9),8)&amp;"_ =&gt; _."&amp;D14&amp;","</f>
        <v xml:space="preserve">								_ =&gt; _.ProcessSubgroup,</v>
      </c>
      <c r="W14" s="69" t="str">
        <f t="shared" ref="W14" si="45">IF(H14="string",REPT(CHAR(9),4)&amp;".WhereIf(!string.IsNullOrWhiteSpace(input."&amp;D14&amp;"), e =&gt; e."&amp;D14&amp;".Contains(input."&amp;D14&amp;"))",IF(H14="DateTime",REPT(CHAR(9),4)&amp;".WhereIf(input."&amp;D14&amp;".HasValue, t =&gt; t."&amp;D14&amp;" == input."&amp;D14&amp;".Value)",""))</f>
        <v xml:space="preserve">				.WhereIf(!string.IsNullOrWhiteSpace(input.ProcessSubgroup), e =&gt; e.ProcessSubgroup.Contains(input.ProcessSubgroup))</v>
      </c>
    </row>
    <row r="15" spans="1:23" customFormat="1" ht="22.5" customHeight="1" x14ac:dyDescent="0.25">
      <c r="A15" t="s">
        <v>322</v>
      </c>
      <c r="B15" t="s">
        <v>320</v>
      </c>
      <c r="C15" t="s">
        <v>1</v>
      </c>
      <c r="D15" t="str">
        <f>SUBSTITUTE(PROPER(A15),"_","")</f>
        <v>ProdLine</v>
      </c>
      <c r="E15" t="str">
        <f t="shared" si="13"/>
        <v>varchar</v>
      </c>
      <c r="F15" s="7"/>
      <c r="G15" t="str">
        <f t="shared" si="14"/>
        <v>50</v>
      </c>
      <c r="H15" t="str">
        <f>+VLOOKUP(E15,'Data Type Mapping'!A:B,2,)</f>
        <v>string</v>
      </c>
      <c r="I15" t="str">
        <f t="shared" si="15"/>
        <v xml:space="preserve">		public const int MaxProdLineLength = 50;
</v>
      </c>
      <c r="J15" t="str">
        <f t="shared" si="16"/>
        <v xml:space="preserve">		[StringLength(MaxProdLineLength)]
		public virtual string ProdLine { get; set; }
</v>
      </c>
      <c r="K15" s="7" t="s">
        <v>206</v>
      </c>
      <c r="L15" t="str">
        <f>IF(K15="","",REPT(CHAR(9),1)&amp;"[Index(nameof("&amp;IF(D15="","",""&amp;D15)&amp;")"&amp;", Name="&amp;"""IX_"&amp;$B$7&amp;"_"&amp;D15&amp;""")]")</f>
        <v xml:space="preserve">	[Index(nameof(ProdLine), Name="IX_MstLgaEkbUser_ProdLine")]</v>
      </c>
      <c r="M15" t="str">
        <f t="shared" si="17"/>
        <v xml:space="preserve">		public virtual string ProdLine { get; set; }
</v>
      </c>
      <c r="N15" t="str">
        <f t="shared" si="18"/>
        <v xml:space="preserve">		[StringLength(MstLgaEkbUserConsts.MaxProdLineLength)]
		public virtual string ProdLine { get; set; }
</v>
      </c>
      <c r="O15" t="str">
        <f t="shared" si="19"/>
        <v xml:space="preserve">		public virtual string ProdLine { get; set; }
</v>
      </c>
      <c r="P15" t="str">
        <f t="shared" si="20"/>
        <v xml:space="preserve">							ProdLine = o.ProdLine,</v>
      </c>
      <c r="T15" s="69" t="str">
        <f t="shared" si="21"/>
        <v xml:space="preserve">								("ProdLine"),</v>
      </c>
      <c r="V15" s="70" t="str">
        <f t="shared" si="22"/>
        <v xml:space="preserve">								_ =&gt; _.ProdLine,</v>
      </c>
      <c r="W15" s="69" t="str">
        <f t="shared" si="23"/>
        <v xml:space="preserve">				.WhereIf(!string.IsNullOrWhiteSpace(input.ProdLine), e =&gt; e.ProdLine.Contains(input.ProdLine))</v>
      </c>
    </row>
    <row r="16" spans="1:23" customFormat="1" ht="18.75" customHeight="1" x14ac:dyDescent="0.25">
      <c r="A16" t="s">
        <v>338</v>
      </c>
      <c r="B16" t="s">
        <v>320</v>
      </c>
      <c r="C16" t="s">
        <v>1</v>
      </c>
      <c r="D16" t="str">
        <f t="shared" ref="D16" si="46">SUBSTITUTE(PROPER(A16),"_","")</f>
        <v>UserType</v>
      </c>
      <c r="E16" t="str">
        <f t="shared" ref="E16" si="47">IFERROR(LEFT(B16, FIND("(",B16)-1),B16)</f>
        <v>varchar</v>
      </c>
      <c r="F16" s="7"/>
      <c r="G16" t="str">
        <f t="shared" ref="G16" si="48">IFERROR(MID(B16,FIND("(",B16) +1, FIND(")",B16) - FIND("(",B16) - 1),"")</f>
        <v>50</v>
      </c>
      <c r="H16" t="str">
        <f>+VLOOKUP(E16,'Data Type Mapping'!A:B,2,)</f>
        <v>string</v>
      </c>
      <c r="I16" t="str">
        <f t="shared" ref="I16" si="49">IF(H16="string",REPT(CHAR(9),2)&amp;"public const int Max"&amp;D16&amp;"Length = "&amp;G16&amp;";"&amp;$E$3,"" )</f>
        <v xml:space="preserve">		public const int MaxUserTypeLength = 50;
</v>
      </c>
      <c r="J16" t="str">
        <f t="shared" ref="J16" si="50">IF(F16="","",REPT(CHAR(9),2)&amp;"[Column(TypeName="""&amp;F16&amp;""")]"&amp;$E$3)&amp;IF(C16="Checked","",$I$3)&amp;IF(H16="string",REPT(CHAR(9),2)&amp;"[StringLength(Max"&amp;D16&amp;"Length"&amp;")]"&amp;$E$3,"")&amp;REPT(CHAR(9),2)&amp;"public virtual "&amp;H16&amp;IF(C16="?","? "," ")&amp;D16&amp;" { get; set; }" &amp; "
"</f>
        <v xml:space="preserve">		[StringLength(MaxUserTypeLength)]
		public virtual string UserType { get; set; }
</v>
      </c>
      <c r="K16" s="7"/>
      <c r="L16" t="str">
        <f t="shared" ref="L16" si="51">IF(K16="","",REPT(CHAR(9),1)&amp;"[Index(nameof("&amp;IF(D16="","",""&amp;D16)&amp;")"&amp;", Name="&amp;"""IX_"&amp;$B$7&amp;"_"&amp;D16&amp;""")]")</f>
        <v/>
      </c>
      <c r="M16" t="str">
        <f t="shared" ref="M16" si="52">REPT(CHAR(9),2)&amp;"public virtual "&amp;IF(OR(H16="DateTime",H16="TimeSpan"),H16&amp;"?",H16)&amp;IF(C16="?","? "," ")&amp;D16&amp;" { get; set; }" &amp; "
"</f>
        <v xml:space="preserve">		public virtual string UserType { get; set; }
</v>
      </c>
      <c r="N16" t="str">
        <f t="shared" ref="N16" si="53">IF(C16="Checked","",$I$3)&amp;IF(H16="string",REPT(CHAR(9),2)&amp;"[StringLength("&amp;$B$3&amp;"Consts.Max"&amp;D16&amp;"Length"&amp;")]"&amp;$E$3,"")&amp;REPT(CHAR(9),2)&amp;"public virtual "&amp;IF(OR(H16="DateTime",H16="TimeSpan"),H16&amp;"?",H16)&amp;IF(C16="?","? "," ")&amp;D16&amp;" { get; set; }" &amp; "
"</f>
        <v xml:space="preserve">		[StringLength(MstLgaEkbUserConsts.MaxUserTypeLength)]
		public virtual string UserType { get; set; }
</v>
      </c>
      <c r="O16" t="str">
        <f t="shared" ref="O16" si="54">IF(OR(H16="string",H16="DateTime",H16="int"),REPT(CHAR(9),2)&amp;"public virtual "&amp;IF(OR(H16="DateTime",H16="TimeSpan"),H16&amp;"?",H16)&amp;IF(C16="?","? "," ")&amp;D16&amp;" { get; set; }"&amp;$E$3,"")</f>
        <v xml:space="preserve">		public virtual string UserType { get; set; }
</v>
      </c>
      <c r="P16" t="str">
        <f t="shared" ref="P16" si="55">REPT(CHAR(9),7)&amp;D16&amp;" = o." &amp;D16 &amp;","</f>
        <v xml:space="preserve">							UserType = o.UserType,</v>
      </c>
      <c r="T16" s="69" t="str">
        <f t="shared" ref="T16" si="56">REPT(CHAR(9),8)&amp;"("""&amp;D16&amp;"""),"</f>
        <v xml:space="preserve">								("UserType"),</v>
      </c>
      <c r="V16" s="70" t="str">
        <f t="shared" ref="V16" si="57">REPT(CHAR(9),8)&amp;"_ =&gt; _."&amp;D16&amp;","</f>
        <v xml:space="preserve">								_ =&gt; _.UserType,</v>
      </c>
      <c r="W16" s="69" t="str">
        <f t="shared" ref="W16" si="58">IF(H16="string",REPT(CHAR(9),4)&amp;".WhereIf(!string.IsNullOrWhiteSpace(input."&amp;D16&amp;"), e =&gt; e."&amp;D16&amp;".Contains(input."&amp;D16&amp;"))",IF(H16="DateTime",REPT(CHAR(9),4)&amp;".WhereIf(input."&amp;D16&amp;".HasValue, t =&gt; t."&amp;D16&amp;" == input."&amp;D16&amp;".Value)",""))</f>
        <v xml:space="preserve">				.WhereIf(!string.IsNullOrWhiteSpace(input.UserType), e =&gt; e.UserType.Contains(input.UserType))</v>
      </c>
    </row>
    <row r="17" spans="1:23" customFormat="1" ht="21" customHeight="1" x14ac:dyDescent="0.25">
      <c r="A17" t="s">
        <v>326</v>
      </c>
      <c r="B17" t="s">
        <v>4</v>
      </c>
      <c r="C17" t="s">
        <v>1</v>
      </c>
      <c r="D17" t="str">
        <f t="shared" ref="D17:D18" si="59">SUBSTITUTE(PROPER(A17),"_","")</f>
        <v>LeadTime</v>
      </c>
      <c r="E17" t="str">
        <f t="shared" si="13"/>
        <v>int</v>
      </c>
      <c r="F17" s="7"/>
      <c r="G17" t="str">
        <f t="shared" si="14"/>
        <v/>
      </c>
      <c r="H17" t="str">
        <f>+VLOOKUP(E17,'Data Type Mapping'!A:B,2,)</f>
        <v>int</v>
      </c>
      <c r="I17" t="str">
        <f t="shared" si="15"/>
        <v/>
      </c>
      <c r="J17" t="str">
        <f t="shared" si="16"/>
        <v xml:space="preserve">		public virtual int LeadTime { get; set; }
</v>
      </c>
      <c r="K17" s="7"/>
      <c r="L17" t="str">
        <f t="shared" ref="L17:L18" si="60">IF(K17="","",REPT(CHAR(9),1)&amp;"[Index(nameof("&amp;IF(D17="","",""&amp;D17)&amp;")"&amp;", Name="&amp;"""IX_"&amp;$B$7&amp;"_"&amp;D17&amp;""")]")</f>
        <v/>
      </c>
      <c r="M17" t="str">
        <f t="shared" si="17"/>
        <v xml:space="preserve">		public virtual int LeadTime { get; set; }
</v>
      </c>
      <c r="N17" t="str">
        <f t="shared" si="18"/>
        <v xml:space="preserve">		public virtual int LeadTime { get; set; }
</v>
      </c>
      <c r="O17" t="str">
        <f t="shared" si="19"/>
        <v xml:space="preserve">		public virtual int LeadTime { get; set; }
</v>
      </c>
      <c r="P17" t="str">
        <f t="shared" si="20"/>
        <v xml:space="preserve">							LeadTime = o.LeadTime,</v>
      </c>
      <c r="T17" s="69" t="str">
        <f t="shared" si="21"/>
        <v xml:space="preserve">								("LeadTime"),</v>
      </c>
      <c r="V17" s="70" t="str">
        <f t="shared" si="22"/>
        <v xml:space="preserve">								_ =&gt; _.LeadTime,</v>
      </c>
      <c r="W17" s="69" t="str">
        <f t="shared" si="23"/>
        <v/>
      </c>
    </row>
    <row r="18" spans="1:23" customFormat="1" ht="18.75" customHeight="1" x14ac:dyDescent="0.25">
      <c r="A18" t="s">
        <v>323</v>
      </c>
      <c r="B18" t="s">
        <v>4</v>
      </c>
      <c r="C18" t="s">
        <v>1</v>
      </c>
      <c r="D18" t="str">
        <f t="shared" si="59"/>
        <v>Sorting</v>
      </c>
      <c r="E18" t="str">
        <f t="shared" si="13"/>
        <v>int</v>
      </c>
      <c r="F18" s="7"/>
      <c r="G18" t="str">
        <f t="shared" si="14"/>
        <v/>
      </c>
      <c r="H18" t="str">
        <f>+VLOOKUP(E18,'Data Type Mapping'!A:B,2,)</f>
        <v>int</v>
      </c>
      <c r="I18" t="str">
        <f t="shared" si="15"/>
        <v/>
      </c>
      <c r="J18" t="str">
        <f t="shared" si="16"/>
        <v xml:space="preserve">		public virtual int Sorting { get; set; }
</v>
      </c>
      <c r="K18" s="7" t="s">
        <v>206</v>
      </c>
      <c r="L18" t="str">
        <f t="shared" si="60"/>
        <v xml:space="preserve">	[Index(nameof(Sorting), Name="IX_MstLgaEkbUser_Sorting")]</v>
      </c>
      <c r="M18" t="str">
        <f t="shared" si="17"/>
        <v xml:space="preserve">		public virtual int Sorting { get; set; }
</v>
      </c>
      <c r="N18" t="str">
        <f t="shared" si="18"/>
        <v xml:space="preserve">		public virtual int Sorting { get; set; }
</v>
      </c>
      <c r="O18" t="str">
        <f t="shared" si="19"/>
        <v xml:space="preserve">		public virtual int Sorting { get; set; }
</v>
      </c>
      <c r="P18" t="str">
        <f t="shared" si="20"/>
        <v xml:space="preserve">							Sorting = o.Sorting,</v>
      </c>
      <c r="T18" s="69" t="str">
        <f t="shared" si="21"/>
        <v xml:space="preserve">								("Sorting"),</v>
      </c>
      <c r="V18" s="70" t="str">
        <f t="shared" si="22"/>
        <v xml:space="preserve">								_ =&gt; _.Sorting,</v>
      </c>
      <c r="W18" s="69" t="str">
        <f t="shared" si="23"/>
        <v/>
      </c>
    </row>
    <row r="19" spans="1:23" customFormat="1" ht="22.5" customHeight="1" x14ac:dyDescent="0.25">
      <c r="A19" t="s">
        <v>324</v>
      </c>
      <c r="B19" t="s">
        <v>325</v>
      </c>
      <c r="C19" t="s">
        <v>1</v>
      </c>
      <c r="D19" t="str">
        <f>SUBSTITUTE(PROPER(A19),"_","")</f>
        <v>IsActive</v>
      </c>
      <c r="E19" t="str">
        <f t="shared" si="13"/>
        <v>varchar</v>
      </c>
      <c r="F19" s="7"/>
      <c r="G19" t="str">
        <f t="shared" si="14"/>
        <v>1</v>
      </c>
      <c r="H19" t="str">
        <f>+VLOOKUP(E19,'Data Type Mapping'!A:B,2,)</f>
        <v>string</v>
      </c>
      <c r="I19" t="str">
        <f t="shared" si="15"/>
        <v xml:space="preserve">		public const int MaxIsActiveLength = 1;
</v>
      </c>
      <c r="J19" t="str">
        <f t="shared" si="16"/>
        <v xml:space="preserve">		[StringLength(MaxIsActiveLength)]
		public virtual string IsActive { get; set; }
</v>
      </c>
      <c r="K19" s="7" t="s">
        <v>206</v>
      </c>
      <c r="L19" t="str">
        <f>IF(K19="","",REPT(CHAR(9),1)&amp;"[Index(nameof("&amp;IF(D19="","",""&amp;D19)&amp;")"&amp;", Name="&amp;"""IX_"&amp;$B$7&amp;"_"&amp;D19&amp;""")]")</f>
        <v xml:space="preserve">	[Index(nameof(IsActive), Name="IX_MstLgaEkbUser_IsActive")]</v>
      </c>
      <c r="M19" t="str">
        <f t="shared" si="17"/>
        <v xml:space="preserve">		public virtual string IsActive { get; set; }
</v>
      </c>
      <c r="N19" t="str">
        <f t="shared" si="18"/>
        <v xml:space="preserve">		[StringLength(MstLgaEkbUserConsts.MaxIsActiveLength)]
		public virtual string IsActive { get; set; }
</v>
      </c>
      <c r="O19" t="str">
        <f t="shared" si="19"/>
        <v xml:space="preserve">		public virtual string IsActive { get; set; }
</v>
      </c>
      <c r="P19" t="str">
        <f t="shared" si="20"/>
        <v xml:space="preserve">							IsActive = o.IsActive,</v>
      </c>
      <c r="T19" s="69" t="str">
        <f t="shared" si="21"/>
        <v xml:space="preserve">								("IsActive"),</v>
      </c>
      <c r="V19" s="70" t="str">
        <f t="shared" si="22"/>
        <v xml:space="preserve">								_ =&gt; _.IsActive,</v>
      </c>
      <c r="W19" s="69" t="str">
        <f t="shared" si="23"/>
        <v xml:space="preserve">				.WhereIf(!string.IsNullOrWhiteSpace(input.IsActive), e =&gt; e.IsActive.Contains(input.IsActive))</v>
      </c>
    </row>
    <row r="21" spans="1:23" ht="45.75" customHeight="1" x14ac:dyDescent="0.25">
      <c r="H21" s="12"/>
      <c r="I21" s="34" t="str">
        <f ca="1">TEXTJOIN2("
", TRUE,INDIRECT( $H$1):INDIRECT( $H$3))</f>
        <v xml:space="preserve">		public const int MaxUserCodeLength = 50;
		public const int MaxUserNameLength = 50;
		public const int MaxProcessCodeLength = 50;
		public const int MaxProcessGroupLength = 50;
		public const int MaxProcessSubgroupLength = 50;
		public const int MaxProdLineLength = 50;
		public const int MaxUserTypeLength = 50;
		public const int MaxIsActiveLength = 1;
</v>
      </c>
      <c r="J21" s="33" t="str">
        <f ca="1">TEXTJOIN2("
", TRUE,INDIRECT( $F$1):INDIRECT( $F$3))</f>
        <v xml:space="preserve">		[StringLength(MaxUserCodeLength)]
		public virtual string UserCode { get; set; }
		[StringLength(MaxUserNameLength)]
		public virtual string UserName { get; set; }
		public virtual int ProcessId { get; set; }
		[StringLength(MaxProcessCodeLength)]
		public virtual string ProcessCode { get; set; }
		[StringLength(MaxProcessGroupLength)]
		public virtual string ProcessGroup { get; set; }
		[StringLength(MaxProcessSubgroupLength)]
		public virtual string ProcessSubgroup { get; set; }
		[StringLength(MaxProdLineLength)]
		public virtual string ProdLine { get; set; }
		[StringLength(MaxUserTypeLength)]
		public virtual string UserType { get; set; }
		public virtual int LeadTime { get; set; }
		public virtual int Sorting { get; set; }
		[StringLength(MaxIsActiveLength)]
		public virtual string IsActive { get; set; }
</v>
      </c>
      <c r="K21" s="35" t="str">
        <f ca="1">TEXTJOIN2("
", TRUE,INDIRECT( $J$1):INDIRECT( $J$3))</f>
        <v xml:space="preserve">	[Index(nameof(UserCode), Name="IX_MstLgaEkbUser_UserCode")]
	[Index(nameof(ProdLine), Name="IX_MstLgaEkbUser_ProdLine")]
	[Index(nameof(Sorting), Name="IX_MstLgaEkbUser_Sorting")]
	[Index(nameof(IsActive), Name="IX_MstLgaEkbUser_IsActive")]</v>
      </c>
      <c r="L21" s="13" t="s">
        <v>60</v>
      </c>
      <c r="M21" s="36" t="str">
        <f ca="1">TEXTJOIN2("
",TRUE,INDIRECT( $L$1):INDIRECT($L$3))</f>
        <v xml:space="preserve">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</v>
      </c>
      <c r="N21" s="33" t="str">
        <f ca="1">TEXTJOIN2("
",TRUE,INDIRECT( $M$1):INDIRECT($M$3))</f>
        <v xml:space="preserve">		[StringLength(MstLgaEkbUserConsts.MaxUserCodeLength)]
		public virtual string UserCode { get; set; }
		[StringLength(MstLgaEkbUserConsts.MaxUserNameLength)]
		public virtual string UserName { get; set; }
		public virtual int ProcessId { get; set; }
		[StringLength(MstLgaEkbUserConsts.MaxProcessCodeLength)]
		public virtual string ProcessCode { get; set; }
		[StringLength(MstLgaEkbUserConsts.MaxProcessGroupLength)]
		public virtual string ProcessGroup { get; set; }
		[StringLength(MstLgaEkbUserConsts.MaxProcessSubgroupLength)]
		public virtual string ProcessSubgroup { get; set; }
		[StringLength(MstLgaEkbUserConsts.MaxProdLineLength)]
		public virtual string ProdLine { get; set; }
		[StringLength(MstLgaEkbUserConsts.MaxUserTypeLength)]
		public virtual string UserType { get; set; }
		public virtual int LeadTime { get; set; }
		public virtual int Sorting { get; set; }
		[StringLength(MstLgaEkbUserConsts.MaxIsActiveLength)]
		public virtual string IsActive { get; set; }
</v>
      </c>
      <c r="O21" s="33" t="str">
        <f ca="1">TEXTJOIN2("
",TRUE,INDIRECT( $N$1):INDIRECT($N$3))</f>
        <v xml:space="preserve">		public virtual string UserCode { get; set; }
		public virtual string UserName { get; set; }
		public virtual int ProcessId { get; set; }
		public virtual string ProcessCode { get; set; }
		public virtual string ProcessGroup { get; set; }
		public virtual string ProcessSubgroup { get; set; }
		public virtual string ProdLine { get; set; }
		public virtual string UserType { get; set; }
		public virtual int LeadTime { get; set; }
		public virtual int Sorting { get; set; }
		public virtual string IsActive { get; set; }
</v>
      </c>
      <c r="P21" s="9" t="str">
        <f ca="1">TEXTJOIN2("
",TRUE,INDIRECT( $O$1):INDIRECT($O$3))</f>
        <v xml:space="preserve">							UserCode = o.UserCode,
							UserName = o.UserName,
							ProcessId = o.ProcessId,
							ProcessCode = o.ProcessCode,
							ProcessGroup = o.ProcessGroup,
							ProcessSubgroup = o.ProcessSubgroup,
							ProdLine = o.ProdLine,
							UserType = o.UserType,
							LeadTime = o.LeadTime,
							Sorting = o.Sorting,
							IsActive = o.IsActive,</v>
      </c>
      <c r="T21" s="9" t="str">
        <f ca="1">TEXTJOIN2("
",TRUE,INDIRECT( $T$2):INDIRECT($T$3))</f>
        <v xml:space="preserve">								("UserCode"),
								("UserName"),
								("ProcessId"),
								("ProcessCode"),
								("ProcessGroup"),
								("ProcessSubgroup"),
								("ProdLine"),
								("UserType"),
								("LeadTime"),
								("Sorting"),
								("IsActive"),</v>
      </c>
      <c r="V21" s="9" t="str">
        <f ca="1">TEXTJOIN2("
",TRUE,INDIRECT( $V$2):INDIRECT($V$3))</f>
        <v xml:space="preserve">								_ =&gt; _.UserCode,
								_ =&gt; _.UserName,
								_ =&gt; _.ProcessId,
								_ =&gt; _.ProcessCode,
								_ =&gt; _.ProcessGroup,
								_ =&gt; _.ProcessSubgroup,
								_ =&gt; _.ProdLine,
								_ =&gt; _.UserType,
								_ =&gt; _.LeadTime,
								_ =&gt; _.Sorting,
								_ =&gt; _.IsActive,</v>
      </c>
      <c r="W21" s="9" t="str">
        <f ca="1">TEXTJOIN2("
",TRUE,INDIRECT( $W$2):INDIRECT($W$3))</f>
        <v xml:space="preserve">				.WhereIf(!string.IsNullOrWhiteSpace(input.UserCode), e =&gt; e.UserCode.Contains(input.UserCode))
				.WhereIf(!string.IsNullOrWhiteSpace(input.UserName), e =&gt; e.UserName.Contains(input.UserName))
				.WhereIf(!string.IsNullOrWhiteSpace(input.ProcessCode), e =&gt; e.ProcessCode.Contains(input.ProcessCode))
				.WhereIf(!string.IsNullOrWhiteSpace(input.ProcessGroup), e =&gt; e.ProcessGroup.Contains(input.ProcessGroup))
				.WhereIf(!string.IsNullOrWhiteSpace(input.ProcessSubgroup), e =&gt; e.ProcessSubgroup.Contains(input.ProcessSubgroup))
				.WhereIf(!string.IsNullOrWhiteSpace(input.ProdLine), e =&gt; e.ProdLine.Contains(input.ProdLine))
				.WhereIf(!string.IsNullOrWhiteSpace(input.UserType), e =&gt; e.UserType.Contains(input.UserType))
				.WhereIf(!string.IsNullOrWhiteSpace(input.IsActive), e =&gt; e.IsActive.Contains(input.IsActive))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8"/>
  <sheetViews>
    <sheetView workbookViewId="0">
      <selection activeCell="E20" sqref="E20"/>
    </sheetView>
  </sheetViews>
  <sheetFormatPr defaultColWidth="8.85546875" defaultRowHeight="15" x14ac:dyDescent="0.25"/>
  <cols>
    <col min="1" max="1" width="17.7109375" customWidth="1"/>
    <col min="2" max="2" width="15.42578125" customWidth="1"/>
    <col min="3" max="3" width="16.85546875" customWidth="1"/>
    <col min="4" max="7" width="15.140625" customWidth="1"/>
    <col min="8" max="8" width="24.42578125" customWidth="1"/>
    <col min="9" max="9" width="26.140625" customWidth="1"/>
    <col min="10" max="10" width="22.28515625" customWidth="1"/>
    <col min="11" max="11" width="25.85546875" customWidth="1"/>
    <col min="12" max="12" width="23.7109375" customWidth="1"/>
    <col min="13" max="13" width="23.42578125" customWidth="1"/>
    <col min="14" max="15" width="20.42578125" customWidth="1"/>
    <col min="16" max="16" width="25.85546875" customWidth="1"/>
    <col min="17" max="18" width="25.42578125" customWidth="1"/>
    <col min="19" max="19" width="24" customWidth="1"/>
    <col min="20" max="20" width="19.140625" customWidth="1"/>
    <col min="21" max="21" width="19.85546875" customWidth="1"/>
    <col min="22" max="22" width="13.7109375" customWidth="1"/>
  </cols>
  <sheetData>
    <row r="1" spans="1:22" ht="30" x14ac:dyDescent="0.25">
      <c r="A1" s="41" t="s">
        <v>212</v>
      </c>
      <c r="B1" s="42" t="s">
        <v>339</v>
      </c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</row>
    <row r="2" spans="1:22" x14ac:dyDescent="0.25">
      <c r="A2" s="41" t="s">
        <v>237</v>
      </c>
      <c r="B2" s="42" t="str">
        <f>A.Backend!B4</f>
        <v>Master</v>
      </c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spans="1:22" x14ac:dyDescent="0.25">
      <c r="A3" s="41" t="s">
        <v>237</v>
      </c>
      <c r="B3" s="42" t="str">
        <f>LOWER(B2)</f>
        <v>master</v>
      </c>
      <c r="C3" s="31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</row>
    <row r="4" spans="1:22" x14ac:dyDescent="0.25">
      <c r="A4" s="41" t="s">
        <v>214</v>
      </c>
      <c r="B4" s="43" t="str">
        <f>A.Backend!Q3</f>
        <v>LogA</v>
      </c>
      <c r="C4" s="31"/>
      <c r="D4" s="31"/>
      <c r="E4" s="31"/>
      <c r="F4" s="31"/>
      <c r="G4" s="31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</row>
    <row r="5" spans="1:22" x14ac:dyDescent="0.25">
      <c r="A5" s="41" t="s">
        <v>214</v>
      </c>
      <c r="B5" s="43" t="str">
        <f>LOWER(B4)</f>
        <v>loga</v>
      </c>
      <c r="C5" s="31"/>
      <c r="D5" s="31"/>
      <c r="E5" s="31"/>
      <c r="F5" s="31"/>
      <c r="G5" s="31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</row>
    <row r="6" spans="1:22" x14ac:dyDescent="0.25">
      <c r="A6" s="41" t="s">
        <v>224</v>
      </c>
      <c r="B6" s="44" t="str">
        <f>A.Backend!B3</f>
        <v>MstLgaEkbUser</v>
      </c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 x14ac:dyDescent="0.25">
      <c r="A7" s="41" t="s">
        <v>215</v>
      </c>
      <c r="B7" s="43" t="str">
        <f>A.Backend!B5</f>
        <v>EkbUser</v>
      </c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x14ac:dyDescent="0.25">
      <c r="A8" s="41" t="s">
        <v>213</v>
      </c>
      <c r="B8" s="43" t="str">
        <f>LOWER(B7)</f>
        <v>ekbuser</v>
      </c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</row>
    <row r="9" spans="1:22" ht="18.75" customHeight="1" x14ac:dyDescent="0.25">
      <c r="A9" s="53" t="s">
        <v>216</v>
      </c>
      <c r="B9" s="54"/>
      <c r="C9" s="53"/>
      <c r="D9" s="53"/>
      <c r="E9" s="53"/>
      <c r="F9" s="53"/>
      <c r="G9" s="53"/>
      <c r="H9" s="45" t="s">
        <v>269</v>
      </c>
      <c r="I9" s="46" t="s">
        <v>270</v>
      </c>
      <c r="J9" s="45" t="s">
        <v>219</v>
      </c>
      <c r="K9" s="47" t="s">
        <v>256</v>
      </c>
      <c r="L9" s="46" t="s">
        <v>260</v>
      </c>
      <c r="M9" s="45" t="s">
        <v>249</v>
      </c>
      <c r="N9" s="45" t="s">
        <v>220</v>
      </c>
      <c r="O9" s="45" t="s">
        <v>221</v>
      </c>
      <c r="P9" s="46" t="s">
        <v>223</v>
      </c>
      <c r="Q9" s="45" t="s">
        <v>250</v>
      </c>
      <c r="R9" s="45" t="s">
        <v>233</v>
      </c>
      <c r="S9" s="31"/>
      <c r="T9" s="31"/>
      <c r="U9" s="31"/>
      <c r="V9" s="31"/>
    </row>
    <row r="10" spans="1:22" ht="18.75" customHeight="1" x14ac:dyDescent="0.25">
      <c r="A10" s="55" t="s">
        <v>217</v>
      </c>
      <c r="B10" s="56"/>
      <c r="C10" s="57"/>
      <c r="D10" s="57"/>
      <c r="E10" s="57"/>
      <c r="F10" s="57"/>
      <c r="G10" s="57"/>
      <c r="H10" s="48" t="str">
        <f ca="1">SUBSTITUTE(SUBSTITUTE(SUBSTITUTE(SUBSTITUTE(SUBSTITUTE(SUBSTITUTE(SUBSTITUTE(H9,"MstWptCalendar",$B$6),"Calendar",$B$7),"calendar",$B$8),"&lt;PROPERTIES&gt;",H13),"&lt;DECLARE&gt;",S13),"&lt;PARAMS&gt;",T13),"&lt;CLEARPARAMS&gt;",U13)</f>
        <v>import { GridApi, GridReadyEvent } from '@ag-grid-enterprise/all-modules';
import { Component, Injector, OnInit, ViewChild } from '@angular/core';
import { CustomColDef, GridParams, PaginationParamsModel,FrameworkComponent } from '@app/shared/common/models/base.model';
import { GridTableService } from '@app/shared/common/services/grid-table.service';
import { AppComponentBase } from '@shared/common/app-component-base';
import { MstLgaEkbUserDto, MstLgaEkbUserServiceProxy } from '@shared/service-proxies/service-proxies';
import { finalize } from 'rxjs/internal/operators/finalize';
import { CreateOrEditEkbUserModalComponent } from './create-or-edit-ekbuser-modal.component';
import { DatePipe } from '@angular/common';
import { FileDownloadService } from '@shared/utils/file-download.service';
import ceil from 'lodash-es/ceil';
import { Paginator } from 'primeng/paginator';
@Component({
    templateUrl: './ekbuser.component.html',
    styleUrls: ['./ekbuser.component.less'],
})
export class EkbUserComponent extends AppComponentBase implements OnInit {
    @ViewChild('createOrEditModalEkbUser', { static: true }) createOrEditModalEkbUser:| CreateOrEditEkbUserModalComponent| undefined;
    @ViewChild('paginator', { static: true }) paginator: Paginator;
    defaultColDefs: CustomColDef[] = [];
    paginationParams: PaginationParamsModel = {
        pageNum: 1,
        pageSize: 20,
        totalCount: 0,
        skipCount: 0,
        sorting: '',
        totalPage: 1,
    };
    selectedRow: MstLgaEkbUserDto = new MstLgaEkbUserDto();
    saveSelectedRow: MstLgaEkbUserDto = new MstLgaEkbUserDto();
    datas: MstLgaEkbUserDto = new MstLgaEkbUserDto();
    isLoading: boolean = false;
    dataParams: GridParams | undefined;
    rowData: any[] = [];
    gridApi!: GridApi;
    rowSelection = 'multiple';
    filter: string = '';
	pipe = new DatePipe('en-US');
	frameworkComponents: FrameworkComponent;
    userCode : string = '' ; 
	userName : string = '' ; 
	processId : number = 0 ;
	processCode : string = '' ; 
	processGroup : string = '' ; 
	processSubgroup : string = '' ; 
	prodLine : string = '' ; 
	userType : string = '' ; 
	leadTime : number = 0 ;
	sorting : number = 0 ;
	isActive : string = '' ; 
    defaultColDef = {
        resizable: true,
        sortable: true,
        floatingFilterComponentParams: { suppressFilterButton: true },
        filter: true,
        floatingFilter: true,
        suppressHorizontalScroll: true,
        textFormatter: function (r: any) {
            if (r == null) return null;
            return r.toLowerCase();
        },
        tooltip: (params) =&gt; params.value,
    };
    constructor(
        injector: Injector,
        private _service: MstLgaEkbUserServiceProxy,
        private gridTableService: GridTableService,
        private _fileDownloadService: FileDownloadService
    ) {
        super(injector);
        this.defaultColDefs = [
            {headerName: this.l('STT'),headerTooltip: this.l('STT'),cellRenderer: (params) =&gt;params.rowIndex + 1 + this.paginationParams.pageSize * (this.paginationParams.pageNum - 1),cellClass: ['text-center'],width: 55,},
            			{headerName: this.l('User Code'),headerTooltip: this.l('User Code'),field: 'userCode',flex: 1},
			{headerName: this.l('User Name'),headerTooltip: this.l('User Name'),field: 'userName',flex: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this.l('User Type'),headerTooltip: this.l('User Type'),field: 'userType',flex: 1},
			{headerName: this.l('Lead Time'),headerTooltip: this.l('Lead Time'),field: 'leadTime',flex: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      	  
        ];
		this.frameworkComponents = {
            agCellButtonComponent: AgCellButtonRendererComponent,
        };
    }
    ngOnInit(): void {
        this.paginationParams = { pageNum: 1, pageSize: 20, totalCount: 0 };
    }
    searchDatas(): void {
        // this.paginator.changePage(this.paginator.getPage());
        this._service.getAll(
			this.userCode,
			this.userName,
			this.processId,
			this.processCode,
			this.processGroup,
			this.processSubgroup,
			this.prodLine,
			this.userType,
			this.leadTime,
			this.sorting,
			this.isActive,
			'',
            this.paginationParams.skipCount,
            this.paginationParams.pageSize
        )
        .pipe(finalize(() =&gt; this.gridTableService.selectFirstRow(this.dataParams!.api)))
        .subscribe((result) =&gt; {
            this.paginationParams.totalCount = result.totalCount;
            this.rowData = result.items;
            this.paginationParams.totalPage = ceil(result.totalCount / (this.paginationParams.pageSize ?? 0));
        });
    }
    clearTextSearch() {
        this.userCode = '',
		this.userName = '',
		this.processId = 0,
		this.processCode = '',
		this.processGroup = '',
		this.processSubgroup = '',
		this.prodLine = '',
		this.userType = '',
		this.leadTime = 0,
		this.sorting = 0,
		this.isActive = '',
        this.searchDatas();
    }
    onSelectionMulti(params) {
        var selectedRows = this.gridApi.getSelectedRows();
        var selectedRowsString = '';
        var maxToShow = 5;
        selectedRows.forEach(function (selectedRow, index) {
            if (index &gt;= maxToShow) {
                return;
            }
            if (index &gt; 0) {
                selectedRowsString += ', ';
            }
            selectedRowsString += selectedRow.athlete;
        });
        if (selectedRows.length &gt; maxToShow) {
            var othersCount = selectedRows.length - maxToShow;
            selectedRowsString += ' and ' + othersCount + ' other' + (othersCount !== 1 ? 's' : '');
        }
        (document.querySelector('#selectedRows') as any).innerHTML = selectedRowsString;
    }
    getDatas(paginationParams?: PaginationParamsModel) {
        return this._service.getAll(
 			this.userCode,
			this.userName,
			this.processId,
			this.processCode,
			this.processGroup,
			this.processSubgroup,
			this.prodLine,
			this.userType,
			this.leadTime,
			this.sorting,
			this.isActive,
			'',
            this.paginationParams.skipCount,
            this.paginationParams.pageSize
        );
    }
    onChangeRowSelection(params: { api: { getSelectedRows: () =&gt; MstLgaEkbUserDto[] } }) {
        this.saveSelectedRow = params.api.getSelectedRows()[0] ?? new MstLgaEkbUserDto();
        this.selectedRow = Object.assign({}, this.saveSelectedRow);
    }
    changePage(paginationParams) {
        this.isLoading = true;
        this.paginationParams = paginationParams;
        this.paginationParams.skipCount = (paginationParams.pageNum - 1) * paginationParams.pageSize;
        // this.maxResultCount = paginationParams.pageSize;
        this.getDatas(this.paginationParams).subscribe((result) =&gt; {
            this.paginationParams.totalCount = result.totalCount;
            this.rowData = result.items;
            this.paginationParams.totalPage = ceil(result.totalCount / (this.paginationParams.pageSize ?? 0));
            this.isLoading = false;
        });
    }
    callBackDataGrid(params: GridParams) {
        this.isLoading = true;
        this.dataParams = params;
        params.api.paginationSetPageSize(this.paginationParams.pageSize);
        this.paginationParams.skipCount =
            ((this.paginationParams.pageNum ?? 1) - 1) * (this.paginationParams.pageSize ?? 0);
        this.paginationParams.pageSize = this.paginationParams.pageSize;
        this.getDatas(this.paginationParams)
            .pipe(finalize(() =&gt; this.gridTableService.selectFirstRow(this.dataParams!.api)))
            .subscribe((result) =&gt; {
                this.paginationParams.totalCount = result.totalCount;
                this.rowData = result.items ?? [];
                this.paginationParams.totalPage = ceil(result.totalCount / (this.paginationParams.pageSize ?? 0));
                this.isLoading = false;
            });
    }
    deleteRow(system: MstLgaEkbUserDto): void {
        this.message.confirm(this.l('AreYouSureToDelete'), 'Delete Row', (isConfirmed) =&gt; {
            if (isConfirmed) {
                this._service.delete(system.id).subscribe(() =&gt; {
                    this.callBackDataGrid(this.dataParams!);
                    this.notify.success(this.l('SuccessfullyDeleted'));
                    this.notify.info(this.l('SuccessfullyDeleted'));
                });
            }
        });
    }
    exportToExcel(): void {
        this._service.getEkbUserToExcel(
			this.userCode,
			this.userName,
			this.processId,
			this.processCode,
			this.processGroup,
			this.processSubgroup,
			this.prodLine,
			this.userType,
			this.leadTime,
			this.sorting,
			this.isActive,
            )
            .subscribe((result) =&gt; {
                this._fileDownloadService.downloadTempFile(result);
        });
    }
}</v>
      </c>
      <c r="I10" s="48" t="str">
        <f ca="1">SUBSTITUTE(SUBSTITUTE(SUBSTITUTE(SUBSTITUTE(SUBSTITUTE(I9,"MstWptCalendar",$B$6),"Calendar",$B$7),"calendar",$B$8),"&lt;PROPERTIES&gt;",I13),"&lt;FULL_TITLE&gt;",B1)</f>
        <v>&lt;div id="container" class="mt-2" [busyIf]="isLoading"&gt;
    &lt;div class="ui-g-12"&gt;
        &lt;fieldset class="fieldset-border grid-parent"&gt;
            &lt;div class="ui-g-12"&gt;
                &lt;div class="ui-g-12"&gt;
                    &lt;h6 class="card-header"&gt;
                         {{ l(' Master LA Ekanban User ') }}
                    &lt;/h6&gt;
                &lt;/div&gt;									
                &lt;div class="prod-cont"&gt;
                    &lt;div class="ui-g-12"&gt;
                        &lt;div class="form-group m-form__group align-items-center"&gt;
                            &lt;div class="input-group"&gt;
								&lt;div class='input-search'&gt;
									&lt;input [(ngModel)]='userCode' name='userCode'
									class='form-control' [placeholder]="l('User Code')"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[(ngModel)]='userType' name='userType'
									class='form-control' [placeholder]="l('User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
                                &lt;div class="btn-search"&gt;
                                    &lt;button (click)="searchDatas()"
                                        class="btn btn-primary" type="submit"&gt;
                                        &lt;i class="fas fa-search"&gt;&lt;/i&gt;
                                    &lt;/button&gt;
                                &lt;/div&gt;
                                &lt;div class="btn-search"&gt;
                                    &lt;button (click)="clearTextSearch()"
                                        class="btn btn-primary" type="submit"&gt;
                                        &lt;i class="fas fa-backspace"&gt;&lt;/i&gt;
                                    &lt;/button&gt;
                                &lt;/div&gt;
                            &lt;/div&gt;
                        &lt;/div&gt;
                    &lt;/div&gt;
                    &lt;div class="ui-g-12 ui-md-12"&gt;
                        &lt;form autocomplete="on"&gt;
                        &lt;div class="panel panel-default pt-1"&gt;
                            &lt;simple-ag-grid
                                [columnDefs]="defaultColDefs"
                                [paginationParams]="paginationParams"
                                [rowData]="rowData"
                                [defaultColDef]="defaultColDef"
                                (callBackEvent)="callBackDataGrid($event)"
                                (changePaginationParams)="changePage($event)"
                                (onChangeSelection)="onChangeRowSelection($event)"
                                [rowSelection]="rowSelection"
                                (selectionChanged)="onSelectionMulti($event)"
                                [height]="'620px'"
								[frameworkComponents]="frameworkComponents"
                            &gt;
                            &lt;/simple-ag-grid&gt;
                        &lt;/div&gt;
                        &lt;/form&gt;
                        &lt;hr&gt;
                        &lt;div class="text-right"&gt;
                            &lt;button class="btn btn-success font-weight-bold" (click)="exportToExcel()"&gt;
                                &lt;i class="fas fa-file-excel mr-1"&gt;&lt;/i&gt;{{ l('Export Excel') }}
                            &lt;/button&gt;
                            &lt;button class="btn btn-info font-weight-bold" (click)="createOrEditModalEkbUser.show()"&gt;
                                &lt;i class="fa fa-plus mr-1"&gt;&lt;/i&gt;{{ l('Add') }}
                            &lt;/button&gt;
                            &lt;button class="btn btn-warning font-weight-bold" [disabled]="!selectedRow.id" (click)="createOrEditModalEkbUser.show(selectedRow)"&gt;
                                &lt;i class="far fa-edit mr-1"&gt;&lt;/i&gt;{{'Edit'}}
                            &lt;/button&gt;
                            &lt;button class="btn btn-primary font-weight-bold" [disabled]="!selectedRow.id" (click)="deleteRow(selectedRow)"&gt;
                                &lt;i class="fas fa-trash-alt mr-1"&gt;&lt;/i&gt;{{'Delete'}}
                            &lt;/button&gt;
                        &lt;/div&gt;
                    &lt;/div&gt;
                &lt;/div&gt;
            &lt;/div&gt;
        &lt;/fieldset&gt;
    &lt;/div&gt;
&lt;/div&gt;
&lt;create-or-edit-ekbuser-modal
    #createOrEditModalEkbUser
    (modalSave)="callBackDataGrid(dataParams)"
    (modalClose)="onChangeRowSelection(dataParams)"
&gt;
&lt;/create-or-edit-ekbuser-modal&gt;</v>
      </c>
      <c r="J10" s="48" t="str">
        <f>J9</f>
        <v>.input-search{
    width: 250px;
    border-radius: 10px;
    margin-left: 10px;
}
.btn-search{
    width: 50px;
    margin-left: 10px;
}</v>
      </c>
      <c r="K10" s="48" t="str">
        <f ca="1">SUBSTITUTE(SUBSTITUTE(SUBSTITUTE(SUBSTITUTE(K9,"MstWptCalendar",$B$6),"Calendar",$B$7),"calendar",$B$8),"&lt;PROPERTIES&gt;",K13)</f>
        <v>&lt;div bsModal #createOrEditModalEkbUser="bs-modal" class="modal fade col-md-12" role="dialog" [config]="{ backdrop: 'static' }"&gt;
    &lt;div class="modal-dialog modal-lg"&gt;
        &lt;div class="modal-content col-md-12"&gt;
            &lt;div class="modal-header col-md-12"&gt;
                &lt;div class="title-form"&gt;
                    &lt;h3 *ngIf="rowdata.id"&gt;{{('Edit EkbUser')}}&lt;/h3&gt;
                    &lt;h3 *ngIf="!rowdata.id"&gt;{{('Create New EkbUser')}}&lt;/h3&gt;
                &lt;/div&gt;
            &lt;/div&gt;
        &lt;/div&gt;
        &lt;div class="modal-content col-md-12"&gt;
            &lt;form #applyBpForm="ngForm" (ngSubmit)="save()" autocomplete="off" (keyup.enter)="save()" (keyup.ESC)="close()"&gt;
            &lt;!-- Form Basic--&gt;   
                &lt;div class="form-input"&gt;                   
					&lt;div class='col-md-12 form-group row'&gt;
						&lt;label class='col-md-2 form-control title'&gt;User Code&lt;/label&gt;
						&lt;input type='text' class='col-md-10 form-control input-text' name='UserCode' [(ngModel)]='rowdata.userCode'&gt;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title'&gt;Process Id&lt;/label&gt;
						&lt;input type='number' class='col-md-10 form-control input-text' name='ProcessId' [(ngModel)]='rowdata.processId'&gt;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title'&gt;User Type&lt;/label&gt;
						&lt;input type='text' class='col-md-10 form-control input-text' name='UserType' [(ngModel)]='rowdata.userType'&gt;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              
                    &lt;div class="modal-footer"&gt;
                        &lt;button type="submit" class="btn btn-primary font-weight-bold"&gt;
                            &lt;i class="fa tmss-fa fa-save mr-1"&gt;&lt;/i&gt;
                            &lt;span&gt;{{ l('Save') }}&lt;/span&gt;
                        &lt;/button&gt;
                        &lt;button (click)="close()" type="button" class="btn btn-light-primary font-weight-bold"&gt;
                            &lt;i class="fa tmss-fa fa-times mr-1"&gt;&lt;/i&gt;
                            {{ l('Cancel') }}
                        &lt;/button&gt;
                    &lt;/div&gt;
                &lt;/div&gt;    
            &lt;/form&gt;
        &lt;/div&gt;
    &lt;/div&gt;
&lt;/div&gt;</v>
      </c>
      <c r="L10" s="48" t="str">
        <f ca="1">SUBSTITUTE(SUBSTITUTE(SUBSTITUTE(SUBSTITUTE(SUBSTITUTE(L9,"MstWptCalendar",$B$6),"Calendar",$B$7),"calendar",$B$8),"&lt;VIEWDATETIME&gt;",$L$13),"isActive",$V$13)</f>
        <v>import { Component, ViewChild, Injector, ElementRef, Output, EventEmitter, HostListener } from '@angular/core';
import { ModalDirective } from 'ngx-bootstrap/modal';
import { AppComponentBase } from '@shared/common/app-component-base';
import { finalize } from 'rxjs/operators';
import { CreateOrEditMstLgaEkbUserDto, MstLgaEkbUserServiceProxy } from '@shared/service-proxies/service-proxies';
import { BsDatepickerDirective } from 'ngx-bootstrap/datepicker';
@Component({
    selector: 'create-or-edit-ekbuser-modal',
    templateUrl: './create-or-edit-ekbuser-modal.component.html',
    styleUrls: ['./create-or-edit-ekbuser-modal.component.less']
    })
export class CreateOrEditEkbUserModalComponent extends AppComponentBase {
    @ViewChild('createOrEditModalEkbUser', { static: true }) modal: ModalDirective | undefined;
    @ViewChild('nameInput') nameInput: ElementRef;
    @ViewChild('datepicker', { static: false }) datepicker!: BsDatepickerDirective;
    @Output() modalSave: EventEmitter&lt;any&gt; = new EventEmitter&lt;any&gt;();
    @Output() modalClose: EventEmitter&lt;any&gt; = new EventEmitter&lt;any&gt;();
    rowdata: CreateOrEditMstLgaEkbUserDto = new CreateOrEditMstLgaEkbUserDto();
    active: boolean = false;
    saving: boolean = false;
    _isActive: boolean;
    constructor(
        injector: Injector,
        private _mstwptEkbUserService: MstLgaEkbUserServiceProxy,
    ) 
    {
        super(injector);
    }
    show(rowdata?: CreateOrEditMstLgaEkbUserDto): void {
        if (!rowdata) this.rowdata = new CreateOrEditMstLgaEkbUserDto();
        else this.rowdata = rowdata;
        this._isActive = (this.rowdata.isActive == "N")? false: true;
        this.active = true;
        this.modal.show();
    } 
    changeActive(event){
        this._isActive = event.target.checked;
    }
    save(): void {
    this.saving = true; 
    this.rowdata.isActive = (this._isActive == true) ? 'Y' : 'N'
    this._mstwptEkbUserService.createOrEdit(this.rowdata)
        .pipe( finalize(() =&gt;  this.saving = false))
        .subscribe(() =&gt; {
            this.notify.info(this.l('SavedSuccessfully'));
            this.close();
            this.modal?.hide();
            this.modalSave.emit(this.rowdata);
        });
    this.saving = false;
    }
    close(): void {
        this.active = false;
        this.modal?.hide();
        this.modalClose.emit(null);
    }
    @HostListener('document:keydown', ['$event']) 
        onKeydownHandler(event: KeyboardEvent) {
            if (event.key === "Escape") {
                this.close();
            }
        }
}</v>
      </c>
      <c r="M10" s="48" t="str">
        <f>M9</f>
        <v>.modal-header{
    border-bottom: none;
}
.title-form{
    margin-left: 40% !important;
}
.form-input{
    margin-left: 3%;
    margin-top: 2%;
}
.form-input .form-group .title{
    border-radius: 5px !important;
    padding-top: 1% !important;
    text-align: center;
    background-color: #b3ecec !important;
}
.form-input .form-group .input-text{
    border-radius: 5px !important;
    text-align: center;
    border: 1px solid #d8b3fb !important;
}
.form-input .form-group .checkboxActive{
    text-align: left !important;
    padding-left: 15%;
}</v>
      </c>
      <c r="N10" s="48" t="str">
        <f>SUBSTITUTE(SUBSTITUTE(SUBSTITUTE(N9,"MstWptCalendar",$B$6),"Calendar",$B$7),"calendar",$B$8)</f>
        <v>import {NgModule} from '@angular/core';
import {AppSharedModule} from '@app/shared/app-shared.module';
import { EkbUserRoutingModule } from './ekbuser-routing.module';
import { EkbUserComponent } from './ekbuser.component';
import { CreateOrEditEkbUserModalComponent } from './create-or-edit-ekbuser-modal.component';
@NgModule({
    declarations: [
       EkbUserComponent, 
        CreateOrEditEkbUserModalComponent
    ],
    imports: [
        AppSharedModule, EkbUserRoutingModule]
})
export class EkbUserModule {}</v>
      </c>
      <c r="O10" s="48" t="str">
        <f>SUBSTITUTE(SUBSTITUTE(SUBSTITUTE(O9,"MstWptCalendar",$B$6),"Calendar",$B$7),"calendar",$B$8)</f>
        <v>import {NgModule} from '@angular/core';
import {RouterModule, Routes} from '@angular/router';
import { EkbUserComponent } from './ekbuser.component';
const routes: Routes = [{
    path: '',
    component: EkbUserComponent,
    pathMatch: 'full'
}];
@NgModule({
    imports: [RouterModule.forChild(routes)],
    exports: [RouterModule],
})
export class EkbUserRoutingModule {}</v>
      </c>
      <c r="P10" s="48" t="str">
        <f>SUBSTITUTE(SUBSTITUTE(SUBSTITUTE(SUBSTITUTE(SUBSTITUTE(SUBSTITUTE(SUBSTITUTE(P9,"MstWptCalendar",$B$6),"Calendar",$B$7),"calendar",$B$8),"WorkingPattern",$B$4),"workingpattern",$B$5),"Master",$B$2),"master",$B$3)</f>
        <v xml:space="preserve"> new AppMenuItem("EkbUser", "Pages.Master.LogA.EkbUser", "flaticon-book",   "/app/main/master/loga/ekbuser"),</v>
      </c>
      <c r="Q10" s="48" t="str">
        <f>SUBSTITUTE(SUBSTITUTE(SUBSTITUTE(SUBSTITUTE(SUBSTITUTE(SUBSTITUTE(SUBSTITUTE(Q9,"MstWptCalendar",$B$6),"Calendar",$B$7),"calendar",$B$8),"WorkingPattern",$B$4),"workingpattern",$B$5),"Master",$B$2),"master",$B$3)</f>
        <v>{
    path: 'master/loga/ekbuser',
    loadChildren: () =&gt; import('./master/loga/ekbuser/ekbuser.module').then(m =&gt; m.EkbUserModule),
    data: { permission: 'Pages.Master.LogA.EkbUser' }
},</v>
      </c>
      <c r="R10" s="50" t="str">
        <f>SUBSTITUTE(R9,"MstWptCalendar",$B$6)</f>
        <v>ApiServiceProxies.MstLgaEkbUserServiceProxy,</v>
      </c>
      <c r="S10" s="31"/>
      <c r="T10" s="31"/>
      <c r="U10" s="31"/>
      <c r="V10" s="31"/>
    </row>
    <row r="11" spans="1:22" x14ac:dyDescent="0.25">
      <c r="A11" s="58">
        <v>1</v>
      </c>
      <c r="B11" s="37">
        <v>1</v>
      </c>
      <c r="C11" s="31"/>
      <c r="D11" s="31"/>
      <c r="E11" s="31"/>
      <c r="F11" s="31"/>
      <c r="G11" s="31"/>
      <c r="H11" s="31" t="s">
        <v>248</v>
      </c>
      <c r="I11" s="31" t="s">
        <v>261</v>
      </c>
      <c r="J11" s="31"/>
      <c r="K11" s="31" t="s">
        <v>259</v>
      </c>
      <c r="L11" s="31" t="s">
        <v>262</v>
      </c>
      <c r="M11" s="38"/>
      <c r="N11" s="31"/>
      <c r="O11" s="31"/>
      <c r="P11" s="31"/>
      <c r="Q11" s="31"/>
      <c r="R11" s="31"/>
      <c r="S11" s="31" t="s">
        <v>253</v>
      </c>
      <c r="T11" s="31" t="s">
        <v>254</v>
      </c>
      <c r="U11" s="31" t="s">
        <v>263</v>
      </c>
      <c r="V11" s="71" t="s">
        <v>265</v>
      </c>
    </row>
    <row r="12" spans="1:22" x14ac:dyDescent="0.25">
      <c r="A12" s="58">
        <v>2</v>
      </c>
      <c r="B12" s="37"/>
      <c r="C12" s="31"/>
      <c r="D12" s="31"/>
      <c r="E12" s="31"/>
      <c r="F12" s="31"/>
      <c r="G12" s="31"/>
      <c r="H12" s="31" t="str">
        <f>"H"&amp;COUNTA($A:$A)</f>
        <v>H25</v>
      </c>
      <c r="I12" s="31" t="str">
        <f>"I"&amp;COUNTA($A:$A)</f>
        <v>I25</v>
      </c>
      <c r="J12" s="31"/>
      <c r="K12" s="31" t="str">
        <f>"K"&amp;COUNTA($A:$A)</f>
        <v>K25</v>
      </c>
      <c r="L12" s="31" t="str">
        <f>"L"&amp;COUNTA($A:$A)</f>
        <v>L25</v>
      </c>
      <c r="M12" s="31"/>
      <c r="N12" s="31"/>
      <c r="O12" s="31"/>
      <c r="P12" s="31"/>
      <c r="Q12" s="31"/>
      <c r="R12" s="31"/>
      <c r="S12" s="31" t="str">
        <f>"S"&amp;COUNTA($A:$A)</f>
        <v>S25</v>
      </c>
      <c r="T12" s="31" t="str">
        <f>"T"&amp;COUNTA($A:$A)</f>
        <v>T25</v>
      </c>
      <c r="U12" s="31" t="str">
        <f>"U"&amp;COUNTA($A:$A)</f>
        <v>U25</v>
      </c>
      <c r="V12" s="31" t="str">
        <f>"V"&amp;COUNTA($A:$A)</f>
        <v>V25</v>
      </c>
    </row>
    <row r="13" spans="1:22" ht="17.25" customHeight="1" x14ac:dyDescent="0.25">
      <c r="A13" s="58">
        <v>3</v>
      </c>
      <c r="B13" s="31"/>
      <c r="C13" s="31"/>
      <c r="D13" s="31"/>
      <c r="E13" s="31"/>
      <c r="F13" s="31"/>
      <c r="G13" s="31"/>
      <c r="H13" s="38" t="str">
        <f ca="1">TEXTJOIN2("
",TRUE,INDIRECT(H11):INDIRECT(H12))</f>
        <v xml:space="preserve">			{headerName: this.l('User Code'),headerTooltip: this.l('User Code'),field: 'userCode',flex: 1},
			{headerName: this.l('User Name'),headerTooltip: this.l('User Name'),field: 'userName',flex: 1},
			{headerName: this.l('Process Id'),headerTooltip: this.l('Process Id'),field: 'processId',flex: 1},
			{headerName: this.l('Process Code'),headerTooltip: this.l('Process Code'),field: 'processCode',flex: 1},
			{headerName: this.l('Process Group'),headerTooltip: this.l('Process Group'),field: 'processGroup',flex: 1},
			{headerName: this.l('Process Subgroup'),headerTooltip: this.l('Process Subgroup'),field: 'processSubgroup',flex: 1},
			{headerName: this.l('Prod Line'),headerTooltip: this.l('Prod Line'),field: 'prodLine',flex: 1},
			{headerName: this.l('User Type'),headerTooltip: this.l('User Type'),field: 'userType',flex: 1},
			{headerName: this.l('Lead Time'),headerTooltip: this.l('Lead Time'),field: 'leadTime',flex: 1},
			{headerName: this.l('Sorting'),headerTooltip: this.l('Sorting'),field: 'sorting',flex: 1},
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13" s="38" t="str">
        <f ca="1">TEXTJOIN2("
",TRUE,INDIRECT(I11):INDIRECT(I12))</f>
        <v xml:space="preserve">								&lt;div class='input-search'&gt;
									&lt;input [(ngModel)]='userCode' name='userCode'
									class='form-control' [placeholder]="l('User Code')"
									type='text' (keyup.enter)='searchDatas()'&gt;
								&lt;/div&gt;
								&lt;div class='input-search'&gt;
									&lt;input [(ngModel)]='userName' name='userName'
									class='form-control' [placeholder]="l('User Name')"
									type='text' (keyup.enter)='searchDatas()'&gt;
								&lt;/div&gt;
								&lt;div class='input-search'&gt;
									&lt;input [(ngModel)]='processCode' name='processCode'
									class='form-control' [placeholder]="l('Process Code')"
									type='text' (keyup.enter)='searchDatas()'&gt;
								&lt;/div&gt;
								&lt;div class='input-search'&gt;
									&lt;input [(ngModel)]='processGroup' name='processGroup'
									class='form-control' [placeholder]="l('Process Group')"
									type='text' (keyup.enter)='searchDatas()'&gt;
								&lt;/div&gt;
								&lt;div class='input-search'&gt;
									&lt;input [(ngModel)]='processSubgroup' name='processSubgroup'
									class='form-control' [placeholder]="l('Process Subgroup')"
									type='text' (keyup.enter)='searchDatas()'&gt;
								&lt;/div&gt;
								&lt;div class='input-search'&gt;
									&lt;input [(ngModel)]='prodLine' name='prodLine'
									class='form-control' [placeholder]="l('Prod Line')"
									type='text' (keyup.enter)='searchDatas()'&gt;
								&lt;/div&gt;
								&lt;div class='input-search'&gt;
									&lt;input [(ngModel)]='userType' name='userType'
									class='form-control' [placeholder]="l('User Type')"
									type='text' (keyup.enter)='searchDatas()'&gt;
								&lt;/div&gt;
								&lt;div class='input-search'&gt;
									&lt;input [(ngModel)]='isActive' name='isActive'
									class='form-control' [placeholder]="l('Is Active')"
									type='text' (keyup.enter)='searchDatas()'&gt;
								&lt;/div&gt;</v>
      </c>
      <c r="J13" s="31"/>
      <c r="K13" s="38" t="str">
        <f ca="1">TEXTJOIN2("
",TRUE,INDIRECT(K11):INDIRECT(K12))</f>
        <v xml:space="preserve">					&lt;div class='col-md-12 form-group row'&gt;
						&lt;label class='col-md-2 form-control title'&gt;User Code&lt;/label&gt;
						&lt;input type='text' class='col-md-10 form-control input-text' name='UserCode' [(ngModel)]='rowdata.userCode'&gt;
					&lt;/div&gt;
					&lt;div class='col-md-12 form-group row'&gt;
						&lt;label class='col-md-2 form-control title'&gt;User Name&lt;/label&gt;
						&lt;input type='text' class='col-md-10 form-control input-text' name='UserName' [(ngModel)]='rowdata.userName'&gt;
					&lt;/div&gt;
					&lt;div class='col-md-12 form-group row'&gt;
						&lt;label class='col-md-2 form-control title'&gt;Process Id&lt;/label&gt;
						&lt;input type='number' class='col-md-10 form-control input-text' name='ProcessId' [(ngModel)]='rowdata.processId'&gt;
					&lt;/div&gt;
					&lt;div class='col-md-12 form-group row'&gt;
						&lt;label class='col-md-2 form-control title'&gt;Process Code&lt;/label&gt;
						&lt;input type='text' class='col-md-10 form-control input-text' name='ProcessCode' [(ngModel)]='rowdata.processCode'&gt;
					&lt;/div&gt;
					&lt;div class='col-md-12 form-group row'&gt;
						&lt;label class='col-md-2 form-control title'&gt;Process Group&lt;/label&gt;
						&lt;input type='text' class='col-md-10 form-control input-text' name='ProcessGroup' [(ngModel)]='rowdata.processGroup'&gt;
					&lt;/div&gt;
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
					&lt;div class='col-md-12 form-group row'&gt;
						&lt;label class='col-md-2 form-control title'&gt;Prod Line&lt;/label&gt;
						&lt;input type='text' class='col-md-10 form-control input-text' name='ProdLine' [(ngModel)]='rowdata.prodLine'&gt;
					&lt;/div&gt;
					&lt;div class='col-md-12 form-group row'&gt;
						&lt;label class='col-md-2 form-control title'&gt;User Type&lt;/label&gt;
						&lt;input type='text' class='col-md-10 form-control input-text' name='UserType' [(ngModel)]='rowdata.userType'&gt;
					&lt;/div&gt;
					&lt;div class='col-md-12 form-group row'&gt;
						&lt;label class='col-md-2 form-control title'&gt;Lead Time&lt;/label&gt;
						&lt;input type='number' class='col-md-10 form-control input-text' name='LeadTime' [(ngModel)]='rowdata.leadTime'&gt;
					&lt;/div&gt;
					&lt;div class='col-md-12 form-group row'&gt;
						&lt;label class='col-md-2 form-control title'&gt;Sorting&lt;/label&gt;
						&lt;input type='number' class='col-md-10 form-control input-text' name='Sorting' [(ngModel)]='rowdata.sorting'&gt;
					&lt;/div&gt;
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13" s="60" t="str">
        <f ca="1">TEXTJOIN2("
",TRUE,INDIRECT(L11):INDIRECT(L12))</f>
        <v/>
      </c>
      <c r="M13" s="31"/>
      <c r="N13" s="31"/>
      <c r="O13" s="31"/>
      <c r="P13" s="31"/>
      <c r="Q13" s="31"/>
      <c r="R13" s="31"/>
      <c r="S13" s="68" t="str">
        <f ca="1">TEXTJOIN2("
",TRUE,INDIRECT(S11):INDIRECT(S12))</f>
        <v xml:space="preserve">userCode : string = '' ; 
	userName : string = '' ; 
	processId : number = 0 ;
	processCode : string = '' ; 
	processGroup : string = '' ; 
	processSubgroup : string = '' ; 
	prodLine : string = '' ; 
	userType : string = '' ; 
	leadTime : number = 0 ;
	sorting : number = 0 ;
	isActive : string = '' ; </v>
      </c>
      <c r="T13" s="68" t="str">
        <f ca="1">TEXTJOIN2("
",TRUE,INDIRECT(T11):INDIRECT(T12))</f>
        <v xml:space="preserve">			this.userCode,
			this.userName,
			this.processId,
			this.processCode,
			this.processGroup,
			this.processSubgroup,
			this.prodLine,
			this.userType,
			this.leadTime,
			this.sorting,
			this.isActive,</v>
      </c>
      <c r="U13" s="68" t="str">
        <f ca="1">TEXTJOIN2("
",TRUE,INDIRECT(U11):INDIRECT(U12))</f>
        <v>this.userCode = '',
		this.userName = '',
		this.processId = 0,
		this.processCode = '',
		this.processGroup = '',
		this.processSubgroup = '',
		this.prodLine = '',
		this.userType = '',
		this.leadTime = 0,
		this.sorting = 0,
		this.isActive = '',</v>
      </c>
      <c r="V13" s="31" t="str">
        <f ca="1">TEXTJOIN2("
",TRUE,INDIRECT(V11):INDIRECT(V12))</f>
        <v>isActive</v>
      </c>
    </row>
    <row r="14" spans="1:22" x14ac:dyDescent="0.25">
      <c r="A14" s="41" t="s">
        <v>218</v>
      </c>
      <c r="B14" s="31"/>
      <c r="C14" s="31"/>
      <c r="D14" s="31"/>
      <c r="E14" s="31"/>
      <c r="F14" s="31"/>
      <c r="G14" s="31"/>
      <c r="H14" s="39" t="str">
        <f>B8&amp;".component.ts"</f>
        <v>ekbuser.component.ts</v>
      </c>
      <c r="I14" s="40" t="str">
        <f>B8&amp;".component.html"</f>
        <v>ekbuser.component.html</v>
      </c>
      <c r="J14" s="39" t="str">
        <f>B8&amp;".component.less"</f>
        <v>ekbuser.component.less</v>
      </c>
      <c r="K14" s="40" t="str">
        <f>"create-or-edit-"&amp;B8&amp;"-modal.component.html"</f>
        <v>create-or-edit-ekbuser-modal.component.html</v>
      </c>
      <c r="L14" s="40" t="str">
        <f>"create-or-edit-"&amp;B8&amp;"-modal.component.ts"</f>
        <v>create-or-edit-ekbuser-modal.component.ts</v>
      </c>
      <c r="M14" s="40" t="str">
        <f>"create-or-edit-"&amp;B8&amp;"-modal.component.less"</f>
        <v>create-or-edit-ekbuser-modal.component.less</v>
      </c>
      <c r="N14" s="40" t="str">
        <f>B8&amp;".module.ts"</f>
        <v>ekbuser.module.ts</v>
      </c>
      <c r="O14" s="40" t="str">
        <f>B8&amp;"-routing.module.ts"</f>
        <v>ekbuser-routing.module.ts</v>
      </c>
      <c r="P14" s="40" t="s">
        <v>222</v>
      </c>
      <c r="Q14" s="40" t="s">
        <v>225</v>
      </c>
      <c r="R14" s="41" t="s">
        <v>232</v>
      </c>
      <c r="S14" s="40" t="s">
        <v>251</v>
      </c>
      <c r="T14" s="40" t="s">
        <v>252</v>
      </c>
      <c r="U14" s="40" t="s">
        <v>255</v>
      </c>
      <c r="V14" s="40" t="s">
        <v>264</v>
      </c>
    </row>
    <row r="15" spans="1:22" ht="18" customHeight="1" x14ac:dyDescent="0.25">
      <c r="A15" s="31" t="s">
        <v>336</v>
      </c>
      <c r="B15" s="31" t="str">
        <f>SUBSTITUTE(PROPER(A15),"_","")</f>
        <v>UserCode</v>
      </c>
      <c r="C15" s="31" t="str">
        <f>SUBSTITUTE(PROPER(A15),"_"," ")</f>
        <v>User Code</v>
      </c>
      <c r="D15" s="31" t="str">
        <f>LOWER(LEFT(B15,1))&amp;RIGHT(B15,LEN(B15) - 1)</f>
        <v>userCode</v>
      </c>
      <c r="E15" s="31" t="str">
        <f>A.Backend!H9</f>
        <v>string</v>
      </c>
      <c r="F15" s="31" t="str">
        <f>A.Backend!G9</f>
        <v>50</v>
      </c>
      <c r="G15" s="31" t="str">
        <f>IF(E15="string"," : string = '' ; ",IF(OR(E15="DateTime",E15="TimeSpan")," : any ;",IF(E15="int"," : number = 0 ;","")))</f>
        <v xml:space="preserve"> : string = '' ; </v>
      </c>
      <c r="H15" s="38" t="str">
        <f>IF(E15="DateTime",
REPT(CHAR(9),3)&amp;"{headerName: this.l('"&amp;C15&amp;"'),headerTooltip: this.l('"&amp;C15&amp;"'),field: '"&amp;D15&amp;"',valueGetter: (params) =&gt; this.pipe.transform(params.data?."&amp;D15&amp;", 'dd/MM/yyyy'),flex: 1},",
IF(AND(E15="string",F15="1"),
REPT(CHAR(9),3)&amp;"{headerName: this.l('"&amp;C15&amp;"'),headerTooltip: this.l('"&amp;C15&amp;"'),field:  '"&amp;D15&amp;"', cellClass: ['text-center'], width: 120, cellRenderer: 'agCellButtonComponent',
buttonDefTwo: { text: params =&gt; (params.data?.'"&amp;D15&amp;"' == 'Y') ? 'Active' : 'Inactive',iconName: 'fa fa-circle',className: params =&gt; (params.data?.'"&amp;D15&amp;"' == 'Y') ? 'btnActive' : 'btnInActive',},}",
REPT(CHAR(9),3)&amp;"{headerName: this.l('"&amp;C15&amp;"'),headerTooltip: this.l('"&amp;C15&amp;"'),field: '"&amp;D15&amp;"',flex: 1},"))</f>
        <v xml:space="preserve">			{headerName: this.l('User Code'),headerTooltip: this.l('User Code'),field: 'userCode',flex: 1},</v>
      </c>
      <c r="I15" s="38" t="str">
        <f>IF(E15="DateTime",
REPT(CHAR(9),8)&amp;"&lt;div class='input-search'&gt;
"&amp;REPT(CHAR(9),9)&amp;"&lt;input type='text' [placeholder]=""l('"&amp;C15&amp;"')"" [(ngModel)]='"&amp;D15&amp;"' 
"&amp;REPT(CHAR(9),9)&amp;"name='"&amp;D15&amp;"'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IF(E15="string",
REPT(CHAR(9),8)&amp;"&lt;div class='input-search'&gt;
"&amp;REPT(CHAR(9),9)&amp;"&lt;input [(ngModel)]='"&amp;D15&amp;"' name='"&amp;D15&amp;"'
"&amp;REPT(CHAR(9),9)&amp;"class='form-control' [placeholder]=""l('"&amp;C15&amp;"')""
"&amp;REPT(CHAR(9),9)&amp;"type='text' (keyup.enter)='searchDatas()'&gt;
"&amp;REPT(CHAR(9),8)&amp;"&lt;/div&gt;",""))</f>
        <v xml:space="preserve">								&lt;div class='input-search'&gt;
									&lt;input [(ngModel)]='userCode' name='userCode'
									class='form-control' [placeholder]="l('User Code')"
									type='text' (keyup.enter)='searchDatas()'&gt;
								&lt;/div&gt;</v>
      </c>
      <c r="J15" s="31"/>
      <c r="K15" s="38" t="str">
        <f>IF(OR(E15="DateTime",E15="TimeSpan"),
REPT(CHAR(9),5)&amp;"&lt;div class='col-md-12 form-group row'&gt;
"&amp;REPT(CHAR(9),6)&amp;"&lt;label class='col-md-2 form-control title'&gt;"&amp;C15&amp;"&lt;/label&gt;
"&amp;REPT(CHAR(9),6)&amp;"&lt;input type='text' class='col-md-10 form-control input-text' name='"&amp;D15&amp;"' 
"&amp;REPT(CHAR(9),6)&amp;"#datepicker='bsDatepicker' [(ngModel)]='rowdata."&amp;D15&amp;"'  bsDatepicker &gt;
"&amp;REPT(CHAR(9),5)&amp;"&lt;/div&gt;",
IF(AND(E15="string",F15="1"),
REPT(CHAR(9),5)&amp;"&lt;div class='col-md-12 form-group row'&gt;
"&amp;REPT(CHAR(9),6)&amp;"&lt;label class='col-md-2 form-control title'&gt;"&amp;C15&amp;"&lt;/label&gt;
"&amp;REPT(CHAR(9),6)&amp;"&lt;new-checkbox [(ngModel)]='_"&amp;D15&amp;"' name='"&amp;D15&amp;"' className='col-md-10' &gt; &lt;/new-checkbox&gt;
"&amp;REPT(CHAR(9),5)&amp;"&lt;/div&gt;",
IF(E15="string",
REPT(CHAR(9),5)&amp;"&lt;div class='col-md-12 form-group row'&gt;
"&amp;REPT(CHAR(9),6)&amp;"&lt;label class='col-md-2 form-control title'&gt;"&amp;C15&amp;"&lt;/label&gt;
"&amp;REPT(CHAR(9),6)&amp;"&lt;input type='text' class='col-md-10 form-control input-text' name='"&amp;B15&amp;"' [(ngModel)]='rowdata."&amp;D15&amp;"'&gt;
"&amp;REPT(CHAR(9),5)&amp;"&lt;/div&gt;",
IF(E15="int",
REPT(CHAR(9),5)&amp;"&lt;div class='col-md-12 form-group row'&gt;
"&amp;REPT(CHAR(9),6)&amp;"&lt;label class='col-md-2 form-control title'&gt;"&amp;C15&amp;"&lt;/label&gt;
"&amp;REPT(CHAR(9),6)&amp;"&lt;input type='number' class='col-md-10 form-control input-text' name='"&amp;B15&amp;"' [(ngModel)]='rowdata."&amp;D15&amp;"'&gt;
"&amp;REPT(CHAR(9),5)&amp;"&lt;/div&gt;",""))))</f>
        <v xml:space="preserve">					&lt;div class='col-md-12 form-group row'&gt;
						&lt;label class='col-md-2 form-control title'&gt;User Code&lt;/label&gt;
						&lt;input type='text' class='col-md-10 form-control input-text' name='UserCode' [(ngModel)]='rowdata.userCode'&gt;
					&lt;/div&gt;</v>
      </c>
      <c r="L15" s="60" t="str">
        <f>IF(E15="DateTime",
REPT(CHAR(9),2)&amp;"const dateValue =  this.rowdata."&amp;D15&amp;" ? new Date(this.rowdata."&amp;D15&amp;"?.toString()) : new Date();
"&amp;REPT(CHAR(9),2)&amp;"this.datepicker?.bsValueChange.emit(dateValue);","")</f>
        <v/>
      </c>
      <c r="M15" s="31"/>
      <c r="N15" s="31"/>
      <c r="O15" s="31"/>
      <c r="P15" s="31"/>
      <c r="Q15" s="31"/>
      <c r="R15" s="31"/>
      <c r="S15" s="31" t="str">
        <f>D15&amp;G15</f>
        <v xml:space="preserve">userCode : string = '' ; </v>
      </c>
      <c r="T15" s="31" t="str">
        <f>REPT(CHAR(9),3)&amp;"this."&amp;D15&amp;","</f>
        <v xml:space="preserve">			this.userCode,</v>
      </c>
      <c r="U15" s="31" t="str">
        <f>IF(E15="int","this."&amp;D15&amp;" = 0,","this."&amp;D15&amp;" = '',")</f>
        <v>this.userCode = '',</v>
      </c>
      <c r="V15" s="31" t="str">
        <f>IF(AND(E15="string",F15="1"),D15,"")</f>
        <v/>
      </c>
    </row>
    <row r="16" spans="1:22" ht="15" customHeight="1" x14ac:dyDescent="0.25">
      <c r="A16" s="31" t="s">
        <v>334</v>
      </c>
      <c r="B16" s="31" t="str">
        <f t="shared" ref="B16:B20" si="0">SUBSTITUTE(PROPER(A16),"_","")</f>
        <v>UserName</v>
      </c>
      <c r="C16" s="31" t="str">
        <f t="shared" ref="C16:C20" si="1">SUBSTITUTE(PROPER(A16),"_"," ")</f>
        <v>User Name</v>
      </c>
      <c r="D16" s="31" t="str">
        <f t="shared" ref="D16:D20" si="2">LOWER(LEFT(B16,1))&amp;RIGHT(B16,LEN(B16) - 1)</f>
        <v>userName</v>
      </c>
      <c r="E16" s="31" t="str">
        <f>A.Backend!H10</f>
        <v>string</v>
      </c>
      <c r="F16" s="31" t="str">
        <f>A.Backend!G10</f>
        <v>50</v>
      </c>
      <c r="G16" s="31" t="str">
        <f t="shared" ref="G16:G20" si="3">IF(E16="string"," : string = '' ; ",IF(OR(E16="DateTime",E16="TimeSpan")," : any ;",IF(E16="int"," : number = 0 ;","")))</f>
        <v xml:space="preserve"> : string = '' ; </v>
      </c>
      <c r="H16" s="38" t="str">
        <f t="shared" ref="H16:H20" si="4">IF(E16="DateTime",
REPT(CHAR(9),3)&amp;"{headerName: this.l('"&amp;C16&amp;"'),headerTooltip: this.l('"&amp;C16&amp;"'),field: '"&amp;D16&amp;"',valueGetter: (params) =&gt; this.pipe.transform(params.data?."&amp;D16&amp;", 'dd/MM/yyyy'),flex: 1},",
IF(AND(E16="string",F16="1"),
REPT(CHAR(9),3)&amp;"{headerName: this.l('"&amp;C16&amp;"'),headerTooltip: this.l('"&amp;C16&amp;"'),field:  '"&amp;D16&amp;"', cellClass: ['text-center'], width: 120, cellRenderer: 'agCellButtonComponent',
buttonDefTwo: { text: params =&gt; (params.data?.'"&amp;D16&amp;"' == 'Y') ? 'Active' : 'Inactive',iconName: 'fa fa-circle',className: params =&gt; (params.data?.'"&amp;D16&amp;"' == 'Y') ? 'btnActive' : 'btnInActive',},}",
REPT(CHAR(9),3)&amp;"{headerName: this.l('"&amp;C16&amp;"'),headerTooltip: this.l('"&amp;C16&amp;"'),field: '"&amp;D16&amp;"',flex: 1},"))</f>
        <v xml:space="preserve">			{headerName: this.l('User Name'),headerTooltip: this.l('User Name'),field: 'userName',flex: 1},</v>
      </c>
      <c r="I16" s="38" t="str">
        <f t="shared" ref="I16:I20" si="5">IF(E16="DateTime",
REPT(CHAR(9),8)&amp;"&lt;div class='input-search'&gt;
"&amp;REPT(CHAR(9),9)&amp;"&lt;input type='text' [placeholder]=""l('"&amp;C16&amp;"')"" [(ngModel)]='"&amp;D16&amp;"' 
"&amp;REPT(CHAR(9),9)&amp;"name='"&amp;D16&amp;"'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IF(E16="string",
REPT(CHAR(9),8)&amp;"&lt;div class='input-search'&gt;
"&amp;REPT(CHAR(9),9)&amp;"&lt;input [(ngModel)]='"&amp;D16&amp;"' name='"&amp;D16&amp;"'
"&amp;REPT(CHAR(9),9)&amp;"class='form-control' [placeholder]=""l('"&amp;C16&amp;"')""
"&amp;REPT(CHAR(9),9)&amp;"type='text' (keyup.enter)='searchDatas()'&gt;
"&amp;REPT(CHAR(9),8)&amp;"&lt;/div&gt;",""))</f>
        <v xml:space="preserve">								&lt;div class='input-search'&gt;
									&lt;input [(ngModel)]='userName' name='userName'
									class='form-control' [placeholder]="l('User Name')"
									type='text' (keyup.enter)='searchDatas()'&gt;
								&lt;/div&gt;</v>
      </c>
      <c r="J16" s="31"/>
      <c r="K16" s="38" t="str">
        <f t="shared" ref="K16:K20" si="6">IF(OR(E16="DateTime",E16="TimeSpan"),
REPT(CHAR(9),5)&amp;"&lt;div class='col-md-12 form-group row'&gt;
"&amp;REPT(CHAR(9),6)&amp;"&lt;label class='col-md-2 form-control title'&gt;"&amp;C16&amp;"&lt;/label&gt;
"&amp;REPT(CHAR(9),6)&amp;"&lt;input type='text' class='col-md-10 form-control input-text' name='"&amp;D16&amp;"' 
"&amp;REPT(CHAR(9),6)&amp;"#datepicker='bsDatepicker' [(ngModel)]='rowdata."&amp;D16&amp;"'  bsDatepicker &gt;
"&amp;REPT(CHAR(9),5)&amp;"&lt;/div&gt;",
IF(AND(E16="string",F16="1"),
REPT(CHAR(9),5)&amp;"&lt;div class='col-md-12 form-group row'&gt;
"&amp;REPT(CHAR(9),6)&amp;"&lt;label class='col-md-2 form-control title'&gt;"&amp;C16&amp;"&lt;/label&gt;
"&amp;REPT(CHAR(9),6)&amp;"&lt;new-checkbox [(ngModel)]='_"&amp;D16&amp;"' name='"&amp;D16&amp;"' className='col-md-10' &gt; &lt;/new-checkbox&gt;
"&amp;REPT(CHAR(9),5)&amp;"&lt;/div&gt;",
IF(E16="string",
REPT(CHAR(9),5)&amp;"&lt;div class='col-md-12 form-group row'&gt;
"&amp;REPT(CHAR(9),6)&amp;"&lt;label class='col-md-2 form-control title'&gt;"&amp;C16&amp;"&lt;/label&gt;
"&amp;REPT(CHAR(9),6)&amp;"&lt;input type='text' class='col-md-10 form-control input-text' name='"&amp;B16&amp;"' [(ngModel)]='rowdata."&amp;D16&amp;"'&gt;
"&amp;REPT(CHAR(9),5)&amp;"&lt;/div&gt;",
IF(E16="int",
REPT(CHAR(9),5)&amp;"&lt;div class='col-md-12 form-group row'&gt;
"&amp;REPT(CHAR(9),6)&amp;"&lt;label class='col-md-2 form-control title'&gt;"&amp;C16&amp;"&lt;/label&gt;
"&amp;REPT(CHAR(9),6)&amp;"&lt;input type='number' class='col-md-10 form-control input-text' name='"&amp;B16&amp;"' [(ngModel)]='rowdata."&amp;D16&amp;"'&gt;
"&amp;REPT(CHAR(9),5)&amp;"&lt;/div&gt;",""))))</f>
        <v xml:space="preserve">					&lt;div class='col-md-12 form-group row'&gt;
						&lt;label class='col-md-2 form-control title'&gt;User Name&lt;/label&gt;
						&lt;input type='text' class='col-md-10 form-control input-text' name='UserName' [(ngModel)]='rowdata.userName'&gt;
					&lt;/div&gt;</v>
      </c>
      <c r="L16" s="60" t="str">
        <f t="shared" ref="L16:L20" si="7">IF(E16="DateTime",
REPT(CHAR(9),2)&amp;"const dateValue =  this.rowdata."&amp;D16&amp;" ? new Date(this.rowdata."&amp;D16&amp;"?.toString()) : new Date();
"&amp;REPT(CHAR(9),2)&amp;"this.datepicker?.bsValueChange.emit(dateValue);","")</f>
        <v/>
      </c>
      <c r="M16" s="31"/>
      <c r="N16" s="31"/>
      <c r="O16" s="31"/>
      <c r="P16" s="31"/>
      <c r="Q16" s="31"/>
      <c r="R16" s="31"/>
      <c r="S16" s="31" t="str">
        <f>REPT(CHAR(9),1)&amp;D16&amp;G16</f>
        <v xml:space="preserve">	userName : string = '' ; </v>
      </c>
      <c r="T16" s="31" t="str">
        <f>REPT(CHAR(9),3)&amp;"this."&amp;D16&amp;","</f>
        <v xml:space="preserve">			this.userName,</v>
      </c>
      <c r="U16" s="31" t="str">
        <f>IF(E16="int",REPT(CHAR(9),2)&amp;"this."&amp;D16&amp;" = 0,",REPT(CHAR(9),2)&amp;"this."&amp;D16&amp;" = '',")</f>
        <v xml:space="preserve">		this.userName = '',</v>
      </c>
      <c r="V16" s="31" t="str">
        <f t="shared" ref="V16:V20" si="8">IF(AND(E16="string",F16="1"),D16,"")</f>
        <v/>
      </c>
    </row>
    <row r="17" spans="1:22" ht="18" customHeight="1" x14ac:dyDescent="0.25">
      <c r="A17" s="31" t="s">
        <v>335</v>
      </c>
      <c r="B17" s="31" t="str">
        <f t="shared" si="0"/>
        <v>ProcessId</v>
      </c>
      <c r="C17" s="31" t="str">
        <f t="shared" si="1"/>
        <v>Process Id</v>
      </c>
      <c r="D17" s="31" t="str">
        <f t="shared" si="2"/>
        <v>processId</v>
      </c>
      <c r="E17" s="31" t="str">
        <f>A.Backend!H11</f>
        <v>int</v>
      </c>
      <c r="F17" s="31" t="str">
        <f>A.Backend!G11</f>
        <v/>
      </c>
      <c r="G17" s="31" t="str">
        <f t="shared" si="3"/>
        <v xml:space="preserve"> : number = 0 ;</v>
      </c>
      <c r="H17" s="38" t="str">
        <f t="shared" si="4"/>
        <v xml:space="preserve">			{headerName: this.l('Process Id'),headerTooltip: this.l('Process Id'),field: 'processId',flex: 1},</v>
      </c>
      <c r="I17" s="38" t="str">
        <f t="shared" si="5"/>
        <v/>
      </c>
      <c r="J17" s="31"/>
      <c r="K17" s="38" t="str">
        <f t="shared" si="6"/>
        <v xml:space="preserve">					&lt;div class='col-md-12 form-group row'&gt;
						&lt;label class='col-md-2 form-control title'&gt;Process Id&lt;/label&gt;
						&lt;input type='number' class='col-md-10 form-control input-text' name='ProcessId' [(ngModel)]='rowdata.processId'&gt;
					&lt;/div&gt;</v>
      </c>
      <c r="L17" s="60" t="str">
        <f t="shared" si="7"/>
        <v/>
      </c>
      <c r="M17" s="31"/>
      <c r="N17" s="31"/>
      <c r="O17" s="31"/>
      <c r="P17" s="31"/>
      <c r="Q17" s="31"/>
      <c r="R17" s="31"/>
      <c r="S17" s="31" t="str">
        <f t="shared" ref="S17:S20" si="9">REPT(CHAR(9),1)&amp;D17&amp;G17</f>
        <v xml:space="preserve">	processId : number = 0 ;</v>
      </c>
      <c r="T17" s="31" t="str">
        <f t="shared" ref="T17:T20" si="10">REPT(CHAR(9),3)&amp;"this."&amp;D17&amp;","</f>
        <v xml:space="preserve">			this.processId,</v>
      </c>
      <c r="U17" s="31" t="str">
        <f t="shared" ref="U17:U20" si="11">IF(E17="int",REPT(CHAR(9),2)&amp;"this."&amp;D17&amp;" = 0,",REPT(CHAR(9),2)&amp;"this."&amp;D17&amp;" = '',")</f>
        <v xml:space="preserve">		this.processId = 0,</v>
      </c>
      <c r="V17" s="31" t="str">
        <f t="shared" si="8"/>
        <v/>
      </c>
    </row>
    <row r="18" spans="1:22" ht="18" customHeight="1" x14ac:dyDescent="0.25">
      <c r="A18" s="31" t="s">
        <v>337</v>
      </c>
      <c r="B18" s="31" t="str">
        <f t="shared" si="0"/>
        <v>ProcessCode</v>
      </c>
      <c r="C18" s="31" t="str">
        <f t="shared" si="1"/>
        <v>Process Code</v>
      </c>
      <c r="D18" s="31" t="str">
        <f t="shared" si="2"/>
        <v>processCode</v>
      </c>
      <c r="E18" s="31" t="str">
        <f>A.Backend!H12</f>
        <v>string</v>
      </c>
      <c r="F18" s="31" t="str">
        <f>A.Backend!G12</f>
        <v>50</v>
      </c>
      <c r="G18" s="31" t="str">
        <f t="shared" si="3"/>
        <v xml:space="preserve"> : string = '' ; </v>
      </c>
      <c r="H18" s="38" t="str">
        <f t="shared" si="4"/>
        <v xml:space="preserve">			{headerName: this.l('Process Code'),headerTooltip: this.l('Process Code'),field: 'processCode',flex: 1},</v>
      </c>
      <c r="I18" s="38" t="str">
        <f t="shared" si="5"/>
        <v xml:space="preserve">								&lt;div class='input-search'&gt;
									&lt;input [(ngModel)]='processCode' name='processCode'
									class='form-control' [placeholder]="l('Process Code')"
									type='text' (keyup.enter)='searchDatas()'&gt;
								&lt;/div&gt;</v>
      </c>
      <c r="J18" s="31"/>
      <c r="K18" s="38" t="str">
        <f t="shared" si="6"/>
        <v xml:space="preserve">					&lt;div class='col-md-12 form-group row'&gt;
						&lt;label class='col-md-2 form-control title'&gt;Process Code&lt;/label&gt;
						&lt;input type='text' class='col-md-10 form-control input-text' name='ProcessCode' [(ngModel)]='rowdata.processCode'&gt;
					&lt;/div&gt;</v>
      </c>
      <c r="L18" s="60" t="str">
        <f t="shared" si="7"/>
        <v/>
      </c>
      <c r="M18" s="31"/>
      <c r="N18" s="31"/>
      <c r="O18" s="31"/>
      <c r="P18" s="31"/>
      <c r="Q18" s="31"/>
      <c r="R18" s="31"/>
      <c r="S18" s="31" t="str">
        <f t="shared" si="9"/>
        <v xml:space="preserve">	processCode : string = '' ; </v>
      </c>
      <c r="T18" s="31" t="str">
        <f t="shared" si="10"/>
        <v xml:space="preserve">			this.processCode,</v>
      </c>
      <c r="U18" s="31" t="str">
        <f t="shared" si="11"/>
        <v xml:space="preserve">		this.processCode = '',</v>
      </c>
      <c r="V18" s="31" t="str">
        <f t="shared" si="8"/>
        <v/>
      </c>
    </row>
    <row r="19" spans="1:22" ht="18" customHeight="1" x14ac:dyDescent="0.25">
      <c r="A19" s="31" t="s">
        <v>327</v>
      </c>
      <c r="B19" s="31" t="str">
        <f t="shared" si="0"/>
        <v>ProcessGroup</v>
      </c>
      <c r="C19" s="31" t="str">
        <f t="shared" si="1"/>
        <v>Process Group</v>
      </c>
      <c r="D19" s="31" t="str">
        <f t="shared" si="2"/>
        <v>processGroup</v>
      </c>
      <c r="E19" s="31" t="str">
        <f>A.Backend!H13</f>
        <v>string</v>
      </c>
      <c r="F19" s="31" t="str">
        <f>A.Backend!G13</f>
        <v>50</v>
      </c>
      <c r="G19" s="31" t="str">
        <f t="shared" si="3"/>
        <v xml:space="preserve"> : string = '' ; </v>
      </c>
      <c r="H19" s="38" t="str">
        <f t="shared" si="4"/>
        <v xml:space="preserve">			{headerName: this.l('Process Group'),headerTooltip: this.l('Process Group'),field: 'processGroup',flex: 1},</v>
      </c>
      <c r="I19" s="38" t="str">
        <f t="shared" si="5"/>
        <v xml:space="preserve">								&lt;div class='input-search'&gt;
									&lt;input [(ngModel)]='processGroup' name='processGroup'
									class='form-control' [placeholder]="l('Process Group')"
									type='text' (keyup.enter)='searchDatas()'&gt;
								&lt;/div&gt;</v>
      </c>
      <c r="J19" s="31"/>
      <c r="K19" s="38" t="str">
        <f t="shared" si="6"/>
        <v xml:space="preserve">					&lt;div class='col-md-12 form-group row'&gt;
						&lt;label class='col-md-2 form-control title'&gt;Process Group&lt;/label&gt;
						&lt;input type='text' class='col-md-10 form-control input-text' name='ProcessGroup' [(ngModel)]='rowdata.processGroup'&gt;
					&lt;/div&gt;</v>
      </c>
      <c r="L19" s="60" t="str">
        <f t="shared" si="7"/>
        <v/>
      </c>
      <c r="M19" s="31"/>
      <c r="N19" s="31"/>
      <c r="O19" s="31"/>
      <c r="P19" s="31"/>
      <c r="Q19" s="31"/>
      <c r="R19" s="31"/>
      <c r="S19" s="31" t="str">
        <f t="shared" si="9"/>
        <v xml:space="preserve">	processGroup : string = '' ; </v>
      </c>
      <c r="T19" s="31" t="str">
        <f t="shared" si="10"/>
        <v xml:space="preserve">			this.processGroup,</v>
      </c>
      <c r="U19" s="31" t="str">
        <f t="shared" si="11"/>
        <v xml:space="preserve">		this.processGroup = '',</v>
      </c>
      <c r="V19" s="31" t="str">
        <f t="shared" si="8"/>
        <v/>
      </c>
    </row>
    <row r="20" spans="1:22" ht="18" customHeight="1" x14ac:dyDescent="0.25">
      <c r="A20" s="31" t="s">
        <v>328</v>
      </c>
      <c r="B20" s="31" t="str">
        <f t="shared" si="0"/>
        <v>ProcessSubgroup</v>
      </c>
      <c r="C20" s="31" t="str">
        <f t="shared" si="1"/>
        <v>Process Subgroup</v>
      </c>
      <c r="D20" s="31" t="str">
        <f t="shared" si="2"/>
        <v>processSubgroup</v>
      </c>
      <c r="E20" s="31" t="str">
        <f>A.Backend!H14</f>
        <v>string</v>
      </c>
      <c r="F20" s="31" t="str">
        <f>A.Backend!G14</f>
        <v>50</v>
      </c>
      <c r="G20" s="31" t="str">
        <f t="shared" si="3"/>
        <v xml:space="preserve"> : string = '' ; </v>
      </c>
      <c r="H20" s="38" t="str">
        <f t="shared" si="4"/>
        <v xml:space="preserve">			{headerName: this.l('Process Subgroup'),headerTooltip: this.l('Process Subgroup'),field: 'processSubgroup',flex: 1},</v>
      </c>
      <c r="I20" s="38" t="str">
        <f t="shared" si="5"/>
        <v xml:space="preserve">								&lt;div class='input-search'&gt;
									&lt;input [(ngModel)]='processSubgroup' name='processSubgroup'
									class='form-control' [placeholder]="l('Process Subgroup')"
									type='text' (keyup.enter)='searchDatas()'&gt;
								&lt;/div&gt;</v>
      </c>
      <c r="J20" s="31"/>
      <c r="K20" s="38" t="str">
        <f t="shared" si="6"/>
        <v xml:space="preserve">					&lt;div class='col-md-12 form-group row'&gt;
						&lt;label class='col-md-2 form-control title'&gt;Process Subgroup&lt;/label&gt;
						&lt;input type='text' class='col-md-10 form-control input-text' name='ProcessSubgroup' [(ngModel)]='rowdata.processSubgroup'&gt;
					&lt;/div&gt;</v>
      </c>
      <c r="L20" s="60" t="str">
        <f t="shared" si="7"/>
        <v/>
      </c>
      <c r="M20" s="31"/>
      <c r="N20" s="31"/>
      <c r="O20" s="31"/>
      <c r="P20" s="31"/>
      <c r="Q20" s="31"/>
      <c r="R20" s="31"/>
      <c r="S20" s="31" t="str">
        <f t="shared" si="9"/>
        <v xml:space="preserve">	processSubgroup : string = '' ; </v>
      </c>
      <c r="T20" s="31" t="str">
        <f t="shared" si="10"/>
        <v xml:space="preserve">			this.processSubgroup,</v>
      </c>
      <c r="U20" s="31" t="str">
        <f t="shared" si="11"/>
        <v xml:space="preserve">		this.processSubgroup = '',</v>
      </c>
      <c r="V20" s="31" t="str">
        <f t="shared" si="8"/>
        <v/>
      </c>
    </row>
    <row r="21" spans="1:22" ht="15" customHeight="1" x14ac:dyDescent="0.25">
      <c r="A21" s="31" t="s">
        <v>322</v>
      </c>
      <c r="B21" s="31" t="str">
        <f t="shared" ref="B21:B25" si="12">SUBSTITUTE(PROPER(A21),"_","")</f>
        <v>ProdLine</v>
      </c>
      <c r="C21" s="31" t="str">
        <f t="shared" ref="C21:C25" si="13">SUBSTITUTE(PROPER(A21),"_"," ")</f>
        <v>Prod Line</v>
      </c>
      <c r="D21" s="31" t="str">
        <f t="shared" ref="D21:D25" si="14">LOWER(LEFT(B21,1))&amp;RIGHT(B21,LEN(B21) - 1)</f>
        <v>prodLine</v>
      </c>
      <c r="E21" s="31" t="str">
        <f>A.Backend!H15</f>
        <v>string</v>
      </c>
      <c r="F21" s="31" t="str">
        <f>A.Backend!G15</f>
        <v>50</v>
      </c>
      <c r="G21" s="31" t="str">
        <f t="shared" ref="G21:G25" si="15">IF(E21="string"," : string = '' ; ",IF(OR(E21="DateTime",E21="TimeSpan")," : any ;",IF(E21="int"," : number = 0 ;","")))</f>
        <v xml:space="preserve"> : string = '' ; </v>
      </c>
      <c r="H21" s="38" t="str">
        <f t="shared" ref="H21:H25" si="16">IF(E21="DateTime",
REPT(CHAR(9),3)&amp;"{headerName: this.l('"&amp;C21&amp;"'),headerTooltip: this.l('"&amp;C21&amp;"'),field: '"&amp;D21&amp;"',valueGetter: (params) =&gt; this.pipe.transform(params.data?."&amp;D21&amp;", 'dd/MM/yyyy'),flex: 1},",
IF(AND(E21="string",F21="1"),
REPT(CHAR(9),3)&amp;"{headerName: this.l('"&amp;C21&amp;"'),headerTooltip: this.l('"&amp;C21&amp;"'),field:  '"&amp;D21&amp;"', cellClass: ['text-center'], width: 120, cellRenderer: 'agCellButtonComponent',
buttonDefTwo: { text: params =&gt; (params.data?.'"&amp;D21&amp;"' == 'Y') ? 'Active' : 'Inactive',iconName: 'fa fa-circle',className: params =&gt; (params.data?.'"&amp;D21&amp;"' == 'Y') ? 'btnActive' : 'btnInActive',},}",
REPT(CHAR(9),3)&amp;"{headerName: this.l('"&amp;C21&amp;"'),headerTooltip: this.l('"&amp;C21&amp;"'),field: '"&amp;D21&amp;"',flex: 1},"))</f>
        <v xml:space="preserve">			{headerName: this.l('Prod Line'),headerTooltip: this.l('Prod Line'),field: 'prodLine',flex: 1},</v>
      </c>
      <c r="I21" s="38" t="str">
        <f t="shared" ref="I21:I25" si="17">IF(E21="DateTime",
REPT(CHAR(9),8)&amp;"&lt;div class='input-search'&gt;
"&amp;REPT(CHAR(9),9)&amp;"&lt;input type='text' [placeholder]=""l('"&amp;C21&amp;"')"" [(ngModel)]='"&amp;D21&amp;"' 
"&amp;REPT(CHAR(9),9)&amp;"name='"&amp;D21&amp;"'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IF(E21="string",
REPT(CHAR(9),8)&amp;"&lt;div class='input-search'&gt;
"&amp;REPT(CHAR(9),9)&amp;"&lt;input [(ngModel)]='"&amp;D21&amp;"' name='"&amp;D21&amp;"'
"&amp;REPT(CHAR(9),9)&amp;"class='form-control' [placeholder]=""l('"&amp;C21&amp;"')""
"&amp;REPT(CHAR(9),9)&amp;"type='text' (keyup.enter)='searchDatas()'&gt;
"&amp;REPT(CHAR(9),8)&amp;"&lt;/div&gt;",""))</f>
        <v xml:space="preserve">								&lt;div class='input-search'&gt;
									&lt;input [(ngModel)]='prodLine' name='prodLine'
									class='form-control' [placeholder]="l('Prod Line')"
									type='text' (keyup.enter)='searchDatas()'&gt;
								&lt;/div&gt;</v>
      </c>
      <c r="J21" s="31"/>
      <c r="K21" s="38" t="str">
        <f t="shared" ref="K21:K25" si="18">IF(OR(E21="DateTime",E21="TimeSpan"),
REPT(CHAR(9),5)&amp;"&lt;div class='col-md-12 form-group row'&gt;
"&amp;REPT(CHAR(9),6)&amp;"&lt;label class='col-md-2 form-control title'&gt;"&amp;C21&amp;"&lt;/label&gt;
"&amp;REPT(CHAR(9),6)&amp;"&lt;input type='text' class='col-md-10 form-control input-text' name='"&amp;D21&amp;"' 
"&amp;REPT(CHAR(9),6)&amp;"#datepicker='bsDatepicker' [(ngModel)]='rowdata."&amp;D21&amp;"'  bsDatepicker &gt;
"&amp;REPT(CHAR(9),5)&amp;"&lt;/div&gt;",
IF(AND(E21="string",F21="1"),
REPT(CHAR(9),5)&amp;"&lt;div class='col-md-12 form-group row'&gt;
"&amp;REPT(CHAR(9),6)&amp;"&lt;label class='col-md-2 form-control title'&gt;"&amp;C21&amp;"&lt;/label&gt;
"&amp;REPT(CHAR(9),6)&amp;"&lt;new-checkbox [(ngModel)]='_"&amp;D21&amp;"' name='"&amp;D21&amp;"' className='col-md-10' &gt; &lt;/new-checkbox&gt;
"&amp;REPT(CHAR(9),5)&amp;"&lt;/div&gt;",
IF(E21="string",
REPT(CHAR(9),5)&amp;"&lt;div class='col-md-12 form-group row'&gt;
"&amp;REPT(CHAR(9),6)&amp;"&lt;label class='col-md-2 form-control title'&gt;"&amp;C21&amp;"&lt;/label&gt;
"&amp;REPT(CHAR(9),6)&amp;"&lt;input type='text' class='col-md-10 form-control input-text' name='"&amp;B21&amp;"' [(ngModel)]='rowdata."&amp;D21&amp;"'&gt;
"&amp;REPT(CHAR(9),5)&amp;"&lt;/div&gt;",
IF(E21="int",
REPT(CHAR(9),5)&amp;"&lt;div class='col-md-12 form-group row'&gt;
"&amp;REPT(CHAR(9),6)&amp;"&lt;label class='col-md-2 form-control title'&gt;"&amp;C21&amp;"&lt;/label&gt;
"&amp;REPT(CHAR(9),6)&amp;"&lt;input type='number' class='col-md-10 form-control input-text' name='"&amp;B21&amp;"' [(ngModel)]='rowdata."&amp;D21&amp;"'&gt;
"&amp;REPT(CHAR(9),5)&amp;"&lt;/div&gt;",""))))</f>
        <v xml:space="preserve">					&lt;div class='col-md-12 form-group row'&gt;
						&lt;label class='col-md-2 form-control title'&gt;Prod Line&lt;/label&gt;
						&lt;input type='text' class='col-md-10 form-control input-text' name='ProdLine' [(ngModel)]='rowdata.prodLine'&gt;
					&lt;/div&gt;</v>
      </c>
      <c r="L21" s="60" t="str">
        <f t="shared" ref="L21:L25" si="19">IF(E21="DateTime",
REPT(CHAR(9),2)&amp;"const dateValue =  this.rowdata."&amp;D21&amp;" ? new Date(this.rowdata."&amp;D21&amp;"?.toString()) : new Date();
"&amp;REPT(CHAR(9),2)&amp;"this.datepicker?.bsValueChange.emit(dateValue);","")</f>
        <v/>
      </c>
      <c r="M21" s="31"/>
      <c r="N21" s="31"/>
      <c r="O21" s="31"/>
      <c r="P21" s="31"/>
      <c r="Q21" s="31"/>
      <c r="R21" s="31"/>
      <c r="S21" s="31" t="str">
        <f>REPT(CHAR(9),1)&amp;D21&amp;G21</f>
        <v xml:space="preserve">	prodLine : string = '' ; </v>
      </c>
      <c r="T21" s="31" t="str">
        <f>REPT(CHAR(9),3)&amp;"this."&amp;D21&amp;","</f>
        <v xml:space="preserve">			this.prodLine,</v>
      </c>
      <c r="U21" s="31" t="str">
        <f>IF(E21="int",REPT(CHAR(9),2)&amp;"this."&amp;D21&amp;" = 0,",REPT(CHAR(9),2)&amp;"this."&amp;D21&amp;" = '',")</f>
        <v xml:space="preserve">		this.prodLine = '',</v>
      </c>
      <c r="V21" s="31" t="str">
        <f t="shared" ref="V21:V25" si="20">IF(AND(E21="string",F21="1"),D21,"")</f>
        <v/>
      </c>
    </row>
    <row r="22" spans="1:22" ht="18" customHeight="1" x14ac:dyDescent="0.25">
      <c r="A22" s="31" t="s">
        <v>338</v>
      </c>
      <c r="B22" s="31" t="str">
        <f t="shared" ref="B22:B24" si="21">SUBSTITUTE(PROPER(A22),"_","")</f>
        <v>UserType</v>
      </c>
      <c r="C22" s="31" t="str">
        <f t="shared" ref="C22:C24" si="22">SUBSTITUTE(PROPER(A22),"_"," ")</f>
        <v>User Type</v>
      </c>
      <c r="D22" s="31" t="str">
        <f t="shared" ref="D22:D24" si="23">LOWER(LEFT(B22,1))&amp;RIGHT(B22,LEN(B22) - 1)</f>
        <v>userType</v>
      </c>
      <c r="E22" s="31" t="str">
        <f>A.Backend!H16</f>
        <v>string</v>
      </c>
      <c r="F22" s="31" t="str">
        <f>A.Backend!G16</f>
        <v>50</v>
      </c>
      <c r="G22" s="31" t="str">
        <f t="shared" ref="G22:G24" si="24">IF(E22="string"," : string = '' ; ",IF(OR(E22="DateTime",E22="TimeSpan")," : any ;",IF(E22="int"," : number = 0 ;","")))</f>
        <v xml:space="preserve"> : string = '' ; </v>
      </c>
      <c r="H22" s="38" t="str">
        <f t="shared" ref="H22:H24" si="25">IF(E22="DateTime",
REPT(CHAR(9),3)&amp;"{headerName: this.l('"&amp;C22&amp;"'),headerTooltip: this.l('"&amp;C22&amp;"'),field: '"&amp;D22&amp;"',valueGetter: (params) =&gt; this.pipe.transform(params.data?."&amp;D22&amp;", 'dd/MM/yyyy'),flex: 1},",
IF(AND(E22="string",F22="1"),
REPT(CHAR(9),3)&amp;"{headerName: this.l('"&amp;C22&amp;"'),headerTooltip: this.l('"&amp;C22&amp;"'),field:  '"&amp;D22&amp;"', cellClass: ['text-center'], width: 120, cellRenderer: 'agCellButtonComponent',
buttonDefTwo: { text: params =&gt; (params.data?.'"&amp;D22&amp;"' == 'Y') ? 'Active' : 'Inactive',iconName: 'fa fa-circle',className: params =&gt; (params.data?.'"&amp;D22&amp;"' == 'Y') ? 'btnActive' : 'btnInActive',},}",
REPT(CHAR(9),3)&amp;"{headerName: this.l('"&amp;C22&amp;"'),headerTooltip: this.l('"&amp;C22&amp;"'),field: '"&amp;D22&amp;"',flex: 1},"))</f>
        <v xml:space="preserve">			{headerName: this.l('User Type'),headerTooltip: this.l('User Type'),field: 'userType',flex: 1},</v>
      </c>
      <c r="I22" s="38" t="str">
        <f t="shared" ref="I22:I24" si="26">IF(E22="DateTime",
REPT(CHAR(9),8)&amp;"&lt;div class='input-search'&gt;
"&amp;REPT(CHAR(9),9)&amp;"&lt;input type='text' [placeholder]=""l('"&amp;C22&amp;"')"" [(ngModel)]='"&amp;D22&amp;"' 
"&amp;REPT(CHAR(9),9)&amp;"name='"&amp;D22&amp;"' (keydown)='searchDatas()' class='form-control' 
"&amp;REPT(CHAR(9),9)&amp;"bsDatepicker #d='bsDatepicker' placement='bottom left'&gt;
"&amp;REPT(CHAR(9),9)&amp;"&lt;i class='fa fa-calendar-alt' (click)='d.toggle()'&gt;&lt;/i&gt;
"&amp;REPT(CHAR(9),8)&amp;"&lt;/div&gt;",
IF(E22="string",
REPT(CHAR(9),8)&amp;"&lt;div class='input-search'&gt;
"&amp;REPT(CHAR(9),9)&amp;"&lt;input [(ngModel)]='"&amp;D22&amp;"' name='"&amp;D22&amp;"'
"&amp;REPT(CHAR(9),9)&amp;"class='form-control' [placeholder]=""l('"&amp;C22&amp;"')""
"&amp;REPT(CHAR(9),9)&amp;"type='text' (keyup.enter)='searchDatas()'&gt;
"&amp;REPT(CHAR(9),8)&amp;"&lt;/div&gt;",""))</f>
        <v xml:space="preserve">								&lt;div class='input-search'&gt;
									&lt;input [(ngModel)]='userType' name='userType'
									class='form-control' [placeholder]="l('User Type')"
									type='text' (keyup.enter)='searchDatas()'&gt;
								&lt;/div&gt;</v>
      </c>
      <c r="J22" s="31"/>
      <c r="K22" s="38" t="str">
        <f t="shared" ref="K22:K24" si="27">IF(OR(E22="DateTime",E22="TimeSpan"),
REPT(CHAR(9),5)&amp;"&lt;div class='col-md-12 form-group row'&gt;
"&amp;REPT(CHAR(9),6)&amp;"&lt;label class='col-md-2 form-control title'&gt;"&amp;C22&amp;"&lt;/label&gt;
"&amp;REPT(CHAR(9),6)&amp;"&lt;input type='text' class='col-md-10 form-control input-text' name='"&amp;D22&amp;"' 
"&amp;REPT(CHAR(9),6)&amp;"#datepicker='bsDatepicker' [(ngModel)]='rowdata."&amp;D22&amp;"'  bsDatepicker &gt;
"&amp;REPT(CHAR(9),5)&amp;"&lt;/div&gt;",
IF(AND(E22="string",F22="1"),
REPT(CHAR(9),5)&amp;"&lt;div class='col-md-12 form-group row'&gt;
"&amp;REPT(CHAR(9),6)&amp;"&lt;label class='col-md-2 form-control title'&gt;"&amp;C22&amp;"&lt;/label&gt;
"&amp;REPT(CHAR(9),6)&amp;"&lt;new-checkbox [(ngModel)]='_"&amp;D22&amp;"' name='"&amp;D22&amp;"' className='col-md-10' &gt; &lt;/new-checkbox&gt;
"&amp;REPT(CHAR(9),5)&amp;"&lt;/div&gt;",
IF(E22="string",
REPT(CHAR(9),5)&amp;"&lt;div class='col-md-12 form-group row'&gt;
"&amp;REPT(CHAR(9),6)&amp;"&lt;label class='col-md-2 form-control title'&gt;"&amp;C22&amp;"&lt;/label&gt;
"&amp;REPT(CHAR(9),6)&amp;"&lt;input type='text' class='col-md-10 form-control input-text' name='"&amp;B22&amp;"' [(ngModel)]='rowdata."&amp;D22&amp;"'&gt;
"&amp;REPT(CHAR(9),5)&amp;"&lt;/div&gt;",
IF(E22="int",
REPT(CHAR(9),5)&amp;"&lt;div class='col-md-12 form-group row'&gt;
"&amp;REPT(CHAR(9),6)&amp;"&lt;label class='col-md-2 form-control title'&gt;"&amp;C22&amp;"&lt;/label&gt;
"&amp;REPT(CHAR(9),6)&amp;"&lt;input type='number' class='col-md-10 form-control input-text' name='"&amp;B22&amp;"' [(ngModel)]='rowdata."&amp;D22&amp;"'&gt;
"&amp;REPT(CHAR(9),5)&amp;"&lt;/div&gt;",""))))</f>
        <v xml:space="preserve">					&lt;div class='col-md-12 form-group row'&gt;
						&lt;label class='col-md-2 form-control title'&gt;User Type&lt;/label&gt;
						&lt;input type='text' class='col-md-10 form-control input-text' name='UserType' [(ngModel)]='rowdata.userType'&gt;
					&lt;/div&gt;</v>
      </c>
      <c r="L22" s="60" t="str">
        <f t="shared" ref="L22:L24" si="28">IF(E22="DateTime",
REPT(CHAR(9),2)&amp;"const dateValue =  this.rowdata."&amp;D22&amp;" ? new Date(this.rowdata."&amp;D22&amp;"?.toString()) : new Date();
"&amp;REPT(CHAR(9),2)&amp;"this.datepicker?.bsValueChange.emit(dateValue);","")</f>
        <v/>
      </c>
      <c r="M22" s="31"/>
      <c r="N22" s="31"/>
      <c r="O22" s="31"/>
      <c r="P22" s="31"/>
      <c r="Q22" s="31"/>
      <c r="R22" s="31"/>
      <c r="S22" s="31" t="str">
        <f t="shared" ref="S22:S24" si="29">REPT(CHAR(9),1)&amp;D22&amp;G22</f>
        <v xml:space="preserve">	userType : string = '' ; </v>
      </c>
      <c r="T22" s="31" t="str">
        <f t="shared" ref="T22:T24" si="30">REPT(CHAR(9),3)&amp;"this."&amp;D22&amp;","</f>
        <v xml:space="preserve">			this.userType,</v>
      </c>
      <c r="U22" s="31" t="str">
        <f t="shared" ref="U22:U24" si="31">IF(E22="int",REPT(CHAR(9),2)&amp;"this."&amp;D22&amp;" = 0,",REPT(CHAR(9),2)&amp;"this."&amp;D22&amp;" = '',")</f>
        <v xml:space="preserve">		this.userType = '',</v>
      </c>
      <c r="V22" s="31" t="str">
        <f t="shared" ref="V22:V24" si="32">IF(AND(E22="string",F22="1"),D22,"")</f>
        <v/>
      </c>
    </row>
    <row r="23" spans="1:22" ht="18" customHeight="1" x14ac:dyDescent="0.25">
      <c r="A23" s="31" t="s">
        <v>326</v>
      </c>
      <c r="B23" s="31" t="str">
        <f t="shared" si="21"/>
        <v>LeadTime</v>
      </c>
      <c r="C23" s="31" t="str">
        <f t="shared" si="22"/>
        <v>Lead Time</v>
      </c>
      <c r="D23" s="31" t="str">
        <f t="shared" si="23"/>
        <v>leadTime</v>
      </c>
      <c r="E23" s="31" t="str">
        <f>A.Backend!H17</f>
        <v>int</v>
      </c>
      <c r="F23" s="31" t="str">
        <f>A.Backend!G17</f>
        <v/>
      </c>
      <c r="G23" s="31" t="str">
        <f t="shared" si="24"/>
        <v xml:space="preserve"> : number = 0 ;</v>
      </c>
      <c r="H23" s="38" t="str">
        <f t="shared" si="25"/>
        <v xml:space="preserve">			{headerName: this.l('Lead Time'),headerTooltip: this.l('Lead Time'),field: 'leadTime',flex: 1},</v>
      </c>
      <c r="I23" s="38" t="str">
        <f t="shared" si="26"/>
        <v/>
      </c>
      <c r="J23" s="31"/>
      <c r="K23" s="38" t="str">
        <f t="shared" si="27"/>
        <v xml:space="preserve">					&lt;div class='col-md-12 form-group row'&gt;
						&lt;label class='col-md-2 form-control title'&gt;Lead Time&lt;/label&gt;
						&lt;input type='number' class='col-md-10 form-control input-text' name='LeadTime' [(ngModel)]='rowdata.leadTime'&gt;
					&lt;/div&gt;</v>
      </c>
      <c r="L23" s="60" t="str">
        <f t="shared" si="28"/>
        <v/>
      </c>
      <c r="M23" s="31"/>
      <c r="N23" s="31"/>
      <c r="O23" s="31"/>
      <c r="P23" s="31"/>
      <c r="Q23" s="31"/>
      <c r="R23" s="31"/>
      <c r="S23" s="31" t="str">
        <f t="shared" si="29"/>
        <v xml:space="preserve">	leadTime : number = 0 ;</v>
      </c>
      <c r="T23" s="31" t="str">
        <f t="shared" si="30"/>
        <v xml:space="preserve">			this.leadTime,</v>
      </c>
      <c r="U23" s="31" t="str">
        <f t="shared" si="31"/>
        <v xml:space="preserve">		this.leadTime = 0,</v>
      </c>
      <c r="V23" s="31" t="str">
        <f t="shared" si="32"/>
        <v/>
      </c>
    </row>
    <row r="24" spans="1:22" ht="18" customHeight="1" x14ac:dyDescent="0.25">
      <c r="A24" s="31" t="s">
        <v>323</v>
      </c>
      <c r="B24" s="31" t="str">
        <f t="shared" si="21"/>
        <v>Sorting</v>
      </c>
      <c r="C24" s="31" t="str">
        <f t="shared" si="22"/>
        <v>Sorting</v>
      </c>
      <c r="D24" s="31" t="str">
        <f t="shared" si="23"/>
        <v>sorting</v>
      </c>
      <c r="E24" s="31" t="str">
        <f>A.Backend!H18</f>
        <v>int</v>
      </c>
      <c r="F24" s="31" t="str">
        <f>A.Backend!G18</f>
        <v/>
      </c>
      <c r="G24" s="31" t="str">
        <f t="shared" si="24"/>
        <v xml:space="preserve"> : number = 0 ;</v>
      </c>
      <c r="H24" s="38" t="str">
        <f t="shared" si="25"/>
        <v xml:space="preserve">			{headerName: this.l('Sorting'),headerTooltip: this.l('Sorting'),field: 'sorting',flex: 1},</v>
      </c>
      <c r="I24" s="38" t="str">
        <f t="shared" si="26"/>
        <v/>
      </c>
      <c r="J24" s="31"/>
      <c r="K24" s="38" t="str">
        <f t="shared" si="27"/>
        <v xml:space="preserve">					&lt;div class='col-md-12 form-group row'&gt;
						&lt;label class='col-md-2 form-control title'&gt;Sorting&lt;/label&gt;
						&lt;input type='number' class='col-md-10 form-control input-text' name='Sorting' [(ngModel)]='rowdata.sorting'&gt;
					&lt;/div&gt;</v>
      </c>
      <c r="L24" s="60" t="str">
        <f t="shared" si="28"/>
        <v/>
      </c>
      <c r="M24" s="31"/>
      <c r="N24" s="31"/>
      <c r="O24" s="31"/>
      <c r="P24" s="31"/>
      <c r="Q24" s="31"/>
      <c r="R24" s="31"/>
      <c r="S24" s="31" t="str">
        <f t="shared" si="29"/>
        <v xml:space="preserve">	sorting : number = 0 ;</v>
      </c>
      <c r="T24" s="31" t="str">
        <f t="shared" si="30"/>
        <v xml:space="preserve">			this.sorting,</v>
      </c>
      <c r="U24" s="31" t="str">
        <f t="shared" si="31"/>
        <v xml:space="preserve">		this.sorting = 0,</v>
      </c>
      <c r="V24" s="31" t="str">
        <f t="shared" si="32"/>
        <v/>
      </c>
    </row>
    <row r="25" spans="1:22" ht="15" customHeight="1" x14ac:dyDescent="0.25">
      <c r="A25" s="31" t="s">
        <v>324</v>
      </c>
      <c r="B25" s="31" t="str">
        <f t="shared" si="12"/>
        <v>IsActive</v>
      </c>
      <c r="C25" s="31" t="str">
        <f t="shared" si="13"/>
        <v>Is Active</v>
      </c>
      <c r="D25" s="31" t="str">
        <f t="shared" si="14"/>
        <v>isActive</v>
      </c>
      <c r="E25" s="31" t="str">
        <f>A.Backend!H19</f>
        <v>string</v>
      </c>
      <c r="F25" s="31" t="str">
        <f>A.Backend!G19</f>
        <v>1</v>
      </c>
      <c r="G25" s="31" t="str">
        <f t="shared" si="15"/>
        <v xml:space="preserve"> : string = '' ; </v>
      </c>
      <c r="H25" s="38" t="str">
        <f t="shared" si="16"/>
        <v xml:space="preserve">			{headerName: this.l('Is Active'),headerTooltip: this.l('Is Active'),field:  'isActive', cellClass: ['text-center'], width: 120, cellRenderer: 'agCellButtonComponent',
buttonDefTwo: { text: params =&gt; (params.data?.'isActive' == 'Y') ? 'Active' : 'Inactive',iconName: 'fa fa-circle',className: params =&gt; (params.data?.'isActive' == 'Y') ? 'btnActive' : 'btnInActive',},}</v>
      </c>
      <c r="I25" s="38" t="str">
        <f t="shared" si="17"/>
        <v xml:space="preserve">								&lt;div class='input-search'&gt;
									&lt;input [(ngModel)]='isActive' name='isActive'
									class='form-control' [placeholder]="l('Is Active')"
									type='text' (keyup.enter)='searchDatas()'&gt;
								&lt;/div&gt;</v>
      </c>
      <c r="J25" s="31"/>
      <c r="K25" s="38" t="str">
        <f t="shared" si="18"/>
        <v xml:space="preserve">					&lt;div class='col-md-12 form-group row'&gt;
						&lt;label class='col-md-2 form-control title'&gt;Is Active&lt;/label&gt;
						&lt;new-checkbox [(ngModel)]='_isActive' name='isActive' className='col-md-10' &gt; &lt;/new-checkbox&gt;
					&lt;/div&gt;</v>
      </c>
      <c r="L25" s="60" t="str">
        <f t="shared" si="19"/>
        <v/>
      </c>
      <c r="M25" s="31"/>
      <c r="N25" s="31"/>
      <c r="O25" s="31"/>
      <c r="P25" s="31"/>
      <c r="Q25" s="31"/>
      <c r="R25" s="31"/>
      <c r="S25" s="31" t="str">
        <f t="shared" ref="S25" si="33">REPT(CHAR(9),1)&amp;D25&amp;G25</f>
        <v xml:space="preserve">	isActive : string = '' ; </v>
      </c>
      <c r="T25" s="31" t="str">
        <f t="shared" ref="T25" si="34">REPT(CHAR(9),3)&amp;"this."&amp;D25&amp;","</f>
        <v xml:space="preserve">			this.isActive,</v>
      </c>
      <c r="U25" s="31" t="str">
        <f t="shared" ref="U25" si="35">IF(E25="int",REPT(CHAR(9),2)&amp;"this."&amp;D25&amp;" = 0,",REPT(CHAR(9),2)&amp;"this."&amp;D25&amp;" = '',")</f>
        <v xml:space="preserve">		this.isActive = '',</v>
      </c>
      <c r="V25" s="31" t="str">
        <f t="shared" si="20"/>
        <v>isActive</v>
      </c>
    </row>
    <row r="28" spans="1:22" ht="17.25" customHeight="1" x14ac:dyDescent="0.25"/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20"/>
  <sheetViews>
    <sheetView topLeftCell="A4" workbookViewId="0">
      <selection activeCell="E18" sqref="E18"/>
    </sheetView>
  </sheetViews>
  <sheetFormatPr defaultColWidth="8.85546875" defaultRowHeight="15" x14ac:dyDescent="0.25"/>
  <cols>
    <col min="1" max="1" width="22.42578125" bestFit="1" customWidth="1"/>
    <col min="2" max="2" width="29.85546875" bestFit="1" customWidth="1"/>
  </cols>
  <sheetData>
    <row r="1" spans="1:2" x14ac:dyDescent="0.25">
      <c r="A1" s="1" t="s">
        <v>16</v>
      </c>
      <c r="B1" s="1" t="s">
        <v>17</v>
      </c>
    </row>
    <row r="2" spans="1:2" x14ac:dyDescent="0.25">
      <c r="A2" t="s">
        <v>19</v>
      </c>
      <c r="B2" t="s">
        <v>33</v>
      </c>
    </row>
    <row r="3" spans="1:2" x14ac:dyDescent="0.25">
      <c r="A3" t="s">
        <v>18</v>
      </c>
      <c r="B3" t="s">
        <v>33</v>
      </c>
    </row>
    <row r="4" spans="1:2" x14ac:dyDescent="0.25">
      <c r="A4" t="s">
        <v>20</v>
      </c>
      <c r="B4" t="s">
        <v>21</v>
      </c>
    </row>
    <row r="5" spans="1:2" x14ac:dyDescent="0.25">
      <c r="A5" t="s">
        <v>22</v>
      </c>
      <c r="B5" t="s">
        <v>36</v>
      </c>
    </row>
    <row r="6" spans="1:2" x14ac:dyDescent="0.25">
      <c r="A6" t="s">
        <v>23</v>
      </c>
      <c r="B6" t="s">
        <v>34</v>
      </c>
    </row>
    <row r="7" spans="1:2" x14ac:dyDescent="0.25">
      <c r="A7" t="s">
        <v>24</v>
      </c>
      <c r="B7" t="s">
        <v>4</v>
      </c>
    </row>
    <row r="8" spans="1:2" x14ac:dyDescent="0.25">
      <c r="A8" t="s">
        <v>4</v>
      </c>
      <c r="B8" t="s">
        <v>4</v>
      </c>
    </row>
    <row r="9" spans="1:2" x14ac:dyDescent="0.25">
      <c r="A9" t="s">
        <v>0</v>
      </c>
      <c r="B9" t="s">
        <v>48</v>
      </c>
    </row>
    <row r="10" spans="1:2" x14ac:dyDescent="0.25">
      <c r="A10" t="s">
        <v>25</v>
      </c>
      <c r="B10" t="s">
        <v>28</v>
      </c>
    </row>
    <row r="11" spans="1:2" x14ac:dyDescent="0.25">
      <c r="A11" t="s">
        <v>26</v>
      </c>
      <c r="B11" t="s">
        <v>28</v>
      </c>
    </row>
    <row r="12" spans="1:2" x14ac:dyDescent="0.25">
      <c r="A12" t="s">
        <v>27</v>
      </c>
      <c r="B12" t="s">
        <v>28</v>
      </c>
    </row>
    <row r="13" spans="1:2" x14ac:dyDescent="0.25">
      <c r="A13" t="s">
        <v>28</v>
      </c>
      <c r="B13" t="s">
        <v>28</v>
      </c>
    </row>
    <row r="14" spans="1:2" x14ac:dyDescent="0.25">
      <c r="A14" t="s">
        <v>29</v>
      </c>
      <c r="B14" t="s">
        <v>28</v>
      </c>
    </row>
    <row r="15" spans="1:2" x14ac:dyDescent="0.25">
      <c r="A15" t="s">
        <v>30</v>
      </c>
      <c r="B15" t="s">
        <v>28</v>
      </c>
    </row>
    <row r="16" spans="1:2" x14ac:dyDescent="0.25">
      <c r="A16" t="s">
        <v>31</v>
      </c>
      <c r="B16" t="s">
        <v>32</v>
      </c>
    </row>
    <row r="17" spans="1:2" x14ac:dyDescent="0.25">
      <c r="A17" t="s">
        <v>3</v>
      </c>
      <c r="B17" t="s">
        <v>32</v>
      </c>
    </row>
    <row r="18" spans="1:2" x14ac:dyDescent="0.25">
      <c r="A18" t="s">
        <v>35</v>
      </c>
      <c r="B18" t="s">
        <v>32</v>
      </c>
    </row>
    <row r="19" spans="1:2" x14ac:dyDescent="0.25">
      <c r="A19" t="s">
        <v>2</v>
      </c>
      <c r="B19" t="s">
        <v>32</v>
      </c>
    </row>
    <row r="20" spans="1:2" x14ac:dyDescent="0.25">
      <c r="A20" t="s">
        <v>267</v>
      </c>
      <c r="B20" t="s">
        <v>268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2:C103"/>
  <sheetViews>
    <sheetView workbookViewId="0">
      <selection activeCell="B99" sqref="B99"/>
    </sheetView>
  </sheetViews>
  <sheetFormatPr defaultColWidth="8.85546875" defaultRowHeight="15.75" x14ac:dyDescent="0.25"/>
  <cols>
    <col min="1" max="1" width="14.28515625" customWidth="1"/>
    <col min="2" max="2" width="71.7109375" style="22" customWidth="1"/>
  </cols>
  <sheetData>
    <row r="2" spans="1:2" x14ac:dyDescent="0.25">
      <c r="A2" s="24" t="s">
        <v>193</v>
      </c>
      <c r="B2" s="25" t="s">
        <v>190</v>
      </c>
    </row>
    <row r="3" spans="1:2" x14ac:dyDescent="0.25">
      <c r="B3" s="22" t="s">
        <v>115</v>
      </c>
    </row>
    <row r="4" spans="1:2" x14ac:dyDescent="0.25">
      <c r="B4" s="22" t="s">
        <v>116</v>
      </c>
    </row>
    <row r="5" spans="1:2" x14ac:dyDescent="0.25">
      <c r="B5" s="22" t="s">
        <v>117</v>
      </c>
    </row>
    <row r="6" spans="1:2" x14ac:dyDescent="0.25">
      <c r="B6" s="22" t="s">
        <v>118</v>
      </c>
    </row>
    <row r="7" spans="1:2" x14ac:dyDescent="0.25">
      <c r="B7" s="22" t="s">
        <v>119</v>
      </c>
    </row>
    <row r="8" spans="1:2" x14ac:dyDescent="0.25">
      <c r="B8" s="22" t="s">
        <v>120</v>
      </c>
    </row>
    <row r="9" spans="1:2" x14ac:dyDescent="0.25">
      <c r="B9" s="22" t="s">
        <v>121</v>
      </c>
    </row>
    <row r="10" spans="1:2" x14ac:dyDescent="0.25">
      <c r="B10" s="22" t="s">
        <v>122</v>
      </c>
    </row>
    <row r="11" spans="1:2" x14ac:dyDescent="0.25">
      <c r="B11" s="22" t="s">
        <v>123</v>
      </c>
    </row>
    <row r="12" spans="1:2" x14ac:dyDescent="0.25">
      <c r="B12" s="22" t="s">
        <v>124</v>
      </c>
    </row>
    <row r="13" spans="1:2" x14ac:dyDescent="0.25">
      <c r="B13" s="22" t="s">
        <v>125</v>
      </c>
    </row>
    <row r="14" spans="1:2" x14ac:dyDescent="0.25">
      <c r="B14" s="22" t="s">
        <v>126</v>
      </c>
    </row>
    <row r="15" spans="1:2" x14ac:dyDescent="0.25">
      <c r="B15" s="22" t="s">
        <v>127</v>
      </c>
    </row>
    <row r="16" spans="1:2" x14ac:dyDescent="0.25">
      <c r="B16" s="22" t="s">
        <v>128</v>
      </c>
    </row>
    <row r="17" spans="1:3" x14ac:dyDescent="0.25">
      <c r="B17" s="22" t="s">
        <v>129</v>
      </c>
    </row>
    <row r="18" spans="1:3" x14ac:dyDescent="0.25">
      <c r="B18" s="22" t="s">
        <v>130</v>
      </c>
      <c r="C18" t="s">
        <v>192</v>
      </c>
    </row>
    <row r="19" spans="1:3" x14ac:dyDescent="0.25">
      <c r="B19" s="22" t="s">
        <v>131</v>
      </c>
    </row>
    <row r="20" spans="1:3" x14ac:dyDescent="0.25">
      <c r="B20" s="22" t="s">
        <v>132</v>
      </c>
    </row>
    <row r="21" spans="1:3" x14ac:dyDescent="0.25">
      <c r="B21" s="22" t="s">
        <v>133</v>
      </c>
    </row>
    <row r="22" spans="1:3" x14ac:dyDescent="0.25">
      <c r="B22" s="22" t="s">
        <v>134</v>
      </c>
      <c r="C22" t="s">
        <v>197</v>
      </c>
    </row>
    <row r="23" spans="1:3" x14ac:dyDescent="0.25">
      <c r="B23" s="22" t="s">
        <v>135</v>
      </c>
    </row>
    <row r="24" spans="1:3" x14ac:dyDescent="0.25">
      <c r="B24" s="22" t="s">
        <v>136</v>
      </c>
    </row>
    <row r="25" spans="1:3" x14ac:dyDescent="0.25">
      <c r="B25" s="22" t="s">
        <v>137</v>
      </c>
    </row>
    <row r="26" spans="1:3" x14ac:dyDescent="0.25">
      <c r="A26" s="24" t="s">
        <v>194</v>
      </c>
      <c r="B26" s="25" t="s">
        <v>191</v>
      </c>
    </row>
    <row r="27" spans="1:3" x14ac:dyDescent="0.25">
      <c r="B27" s="22" t="s">
        <v>138</v>
      </c>
    </row>
    <row r="28" spans="1:3" x14ac:dyDescent="0.25">
      <c r="B28" s="23" t="s">
        <v>139</v>
      </c>
    </row>
    <row r="29" spans="1:3" x14ac:dyDescent="0.25">
      <c r="B29" s="22" t="s">
        <v>140</v>
      </c>
    </row>
    <row r="30" spans="1:3" x14ac:dyDescent="0.25">
      <c r="B30" s="22" t="s">
        <v>141</v>
      </c>
    </row>
    <row r="31" spans="1:3" x14ac:dyDescent="0.25">
      <c r="B31" s="22" t="s">
        <v>142</v>
      </c>
    </row>
    <row r="32" spans="1:3" x14ac:dyDescent="0.25">
      <c r="B32" s="22" t="s">
        <v>143</v>
      </c>
    </row>
    <row r="33" spans="2:2" x14ac:dyDescent="0.25">
      <c r="B33" s="22" t="s">
        <v>144</v>
      </c>
    </row>
    <row r="34" spans="2:2" x14ac:dyDescent="0.25">
      <c r="B34" s="22" t="s">
        <v>145</v>
      </c>
    </row>
    <row r="35" spans="2:2" x14ac:dyDescent="0.25">
      <c r="B35" s="22" t="s">
        <v>146</v>
      </c>
    </row>
    <row r="36" spans="2:2" x14ac:dyDescent="0.25">
      <c r="B36" s="22" t="s">
        <v>147</v>
      </c>
    </row>
    <row r="37" spans="2:2" x14ac:dyDescent="0.25">
      <c r="B37" s="22" t="s">
        <v>148</v>
      </c>
    </row>
    <row r="38" spans="2:2" x14ac:dyDescent="0.25">
      <c r="B38" s="22" t="s">
        <v>149</v>
      </c>
    </row>
    <row r="39" spans="2:2" x14ac:dyDescent="0.25">
      <c r="B39" s="22" t="s">
        <v>150</v>
      </c>
    </row>
    <row r="40" spans="2:2" x14ac:dyDescent="0.25">
      <c r="B40" s="22" t="s">
        <v>151</v>
      </c>
    </row>
    <row r="41" spans="2:2" x14ac:dyDescent="0.25">
      <c r="B41" s="22" t="s">
        <v>152</v>
      </c>
    </row>
    <row r="42" spans="2:2" x14ac:dyDescent="0.25">
      <c r="B42" s="22" t="s">
        <v>153</v>
      </c>
    </row>
    <row r="43" spans="2:2" x14ac:dyDescent="0.25">
      <c r="B43" s="23" t="s">
        <v>154</v>
      </c>
    </row>
    <row r="44" spans="2:2" x14ac:dyDescent="0.25">
      <c r="B44" s="22" t="s">
        <v>140</v>
      </c>
    </row>
    <row r="45" spans="2:2" x14ac:dyDescent="0.25">
      <c r="B45" s="22" t="s">
        <v>155</v>
      </c>
    </row>
    <row r="46" spans="2:2" x14ac:dyDescent="0.25">
      <c r="B46" s="22" t="s">
        <v>156</v>
      </c>
    </row>
    <row r="47" spans="2:2" x14ac:dyDescent="0.25">
      <c r="B47" s="22" t="s">
        <v>157</v>
      </c>
    </row>
    <row r="48" spans="2:2" x14ac:dyDescent="0.25">
      <c r="B48" s="22" t="s">
        <v>158</v>
      </c>
    </row>
    <row r="49" spans="2:2" x14ac:dyDescent="0.25">
      <c r="B49" s="22" t="s">
        <v>141</v>
      </c>
    </row>
    <row r="50" spans="2:2" x14ac:dyDescent="0.25">
      <c r="B50" s="22" t="s">
        <v>142</v>
      </c>
    </row>
    <row r="51" spans="2:2" x14ac:dyDescent="0.25">
      <c r="B51" s="22" t="s">
        <v>143</v>
      </c>
    </row>
    <row r="52" spans="2:2" x14ac:dyDescent="0.25">
      <c r="B52" s="22" t="s">
        <v>144</v>
      </c>
    </row>
    <row r="53" spans="2:2" x14ac:dyDescent="0.25">
      <c r="B53" s="22" t="s">
        <v>145</v>
      </c>
    </row>
    <row r="54" spans="2:2" x14ac:dyDescent="0.25">
      <c r="B54" s="22" t="s">
        <v>146</v>
      </c>
    </row>
    <row r="55" spans="2:2" x14ac:dyDescent="0.25">
      <c r="B55" s="22" t="s">
        <v>147</v>
      </c>
    </row>
    <row r="56" spans="2:2" x14ac:dyDescent="0.25">
      <c r="B56" s="22" t="s">
        <v>159</v>
      </c>
    </row>
    <row r="57" spans="2:2" x14ac:dyDescent="0.25">
      <c r="B57" s="22" t="s">
        <v>160</v>
      </c>
    </row>
    <row r="58" spans="2:2" x14ac:dyDescent="0.25">
      <c r="B58" s="22" t="s">
        <v>148</v>
      </c>
    </row>
    <row r="59" spans="2:2" x14ac:dyDescent="0.25">
      <c r="B59" s="22" t="s">
        <v>149</v>
      </c>
    </row>
    <row r="60" spans="2:2" x14ac:dyDescent="0.25">
      <c r="B60" s="22" t="s">
        <v>161</v>
      </c>
    </row>
    <row r="61" spans="2:2" x14ac:dyDescent="0.25">
      <c r="B61" s="22" t="s">
        <v>162</v>
      </c>
    </row>
    <row r="62" spans="2:2" x14ac:dyDescent="0.25">
      <c r="B62" s="22" t="s">
        <v>163</v>
      </c>
    </row>
    <row r="63" spans="2:2" x14ac:dyDescent="0.25">
      <c r="B63" s="22" t="s">
        <v>158</v>
      </c>
    </row>
    <row r="64" spans="2:2" x14ac:dyDescent="0.25">
      <c r="B64" s="22" t="s">
        <v>150</v>
      </c>
    </row>
    <row r="65" spans="2:2" x14ac:dyDescent="0.25">
      <c r="B65" s="22" t="s">
        <v>151</v>
      </c>
    </row>
    <row r="66" spans="2:2" x14ac:dyDescent="0.25">
      <c r="B66" s="22" t="s">
        <v>164</v>
      </c>
    </row>
    <row r="67" spans="2:2" x14ac:dyDescent="0.25">
      <c r="B67" s="22" t="s">
        <v>158</v>
      </c>
    </row>
    <row r="68" spans="2:2" x14ac:dyDescent="0.25">
      <c r="B68" s="22" t="s">
        <v>152</v>
      </c>
    </row>
    <row r="69" spans="2:2" x14ac:dyDescent="0.25">
      <c r="B69" s="22" t="s">
        <v>165</v>
      </c>
    </row>
    <row r="70" spans="2:2" x14ac:dyDescent="0.25">
      <c r="B70" s="23" t="s">
        <v>166</v>
      </c>
    </row>
    <row r="71" spans="2:2" x14ac:dyDescent="0.25">
      <c r="B71" s="22" t="s">
        <v>140</v>
      </c>
    </row>
    <row r="72" spans="2:2" x14ac:dyDescent="0.25">
      <c r="B72" s="22" t="s">
        <v>141</v>
      </c>
    </row>
    <row r="73" spans="2:2" x14ac:dyDescent="0.25">
      <c r="B73" s="22" t="s">
        <v>142</v>
      </c>
    </row>
    <row r="74" spans="2:2" x14ac:dyDescent="0.25">
      <c r="B74" s="22" t="s">
        <v>143</v>
      </c>
    </row>
    <row r="75" spans="2:2" x14ac:dyDescent="0.25">
      <c r="B75" s="22" t="s">
        <v>147</v>
      </c>
    </row>
    <row r="76" spans="2:2" x14ac:dyDescent="0.25">
      <c r="B76" s="22" t="s">
        <v>149</v>
      </c>
    </row>
    <row r="77" spans="2:2" x14ac:dyDescent="0.25">
      <c r="B77" s="22" t="s">
        <v>150</v>
      </c>
    </row>
    <row r="78" spans="2:2" x14ac:dyDescent="0.25">
      <c r="B78" s="22" t="s">
        <v>151</v>
      </c>
    </row>
    <row r="79" spans="2:2" x14ac:dyDescent="0.25">
      <c r="B79" s="22" t="s">
        <v>152</v>
      </c>
    </row>
    <row r="80" spans="2:2" x14ac:dyDescent="0.25">
      <c r="B80" s="22" t="s">
        <v>165</v>
      </c>
    </row>
    <row r="81" spans="1:2" x14ac:dyDescent="0.25">
      <c r="B81" s="23" t="s">
        <v>167</v>
      </c>
    </row>
    <row r="82" spans="1:2" x14ac:dyDescent="0.25">
      <c r="B82" s="23" t="s">
        <v>168</v>
      </c>
    </row>
    <row r="83" spans="1:2" x14ac:dyDescent="0.25">
      <c r="B83" s="23" t="s">
        <v>169</v>
      </c>
    </row>
    <row r="84" spans="1:2" x14ac:dyDescent="0.25">
      <c r="B84" s="23" t="s">
        <v>170</v>
      </c>
    </row>
    <row r="85" spans="1:2" x14ac:dyDescent="0.25">
      <c r="B85" s="23" t="s">
        <v>171</v>
      </c>
    </row>
    <row r="86" spans="1:2" x14ac:dyDescent="0.25">
      <c r="B86" s="23" t="s">
        <v>172</v>
      </c>
    </row>
    <row r="87" spans="1:2" x14ac:dyDescent="0.25">
      <c r="B87" s="23" t="s">
        <v>173</v>
      </c>
    </row>
    <row r="88" spans="1:2" x14ac:dyDescent="0.25">
      <c r="A88" s="24" t="s">
        <v>195</v>
      </c>
      <c r="B88" s="26" t="s">
        <v>174</v>
      </c>
    </row>
    <row r="89" spans="1:2" x14ac:dyDescent="0.25">
      <c r="B89" s="22" t="s">
        <v>175</v>
      </c>
    </row>
    <row r="90" spans="1:2" x14ac:dyDescent="0.25">
      <c r="B90" s="22" t="s">
        <v>176</v>
      </c>
    </row>
    <row r="91" spans="1:2" x14ac:dyDescent="0.25">
      <c r="B91" s="22" t="s">
        <v>177</v>
      </c>
    </row>
    <row r="92" spans="1:2" x14ac:dyDescent="0.25">
      <c r="B92" s="22" t="s">
        <v>178</v>
      </c>
    </row>
    <row r="93" spans="1:2" x14ac:dyDescent="0.25">
      <c r="B93" s="22" t="s">
        <v>179</v>
      </c>
    </row>
    <row r="94" spans="1:2" x14ac:dyDescent="0.25">
      <c r="B94" s="22" t="s">
        <v>180</v>
      </c>
    </row>
    <row r="95" spans="1:2" x14ac:dyDescent="0.25">
      <c r="B95" s="22" t="s">
        <v>181</v>
      </c>
    </row>
    <row r="96" spans="1:2" x14ac:dyDescent="0.25">
      <c r="B96" s="22" t="s">
        <v>182</v>
      </c>
    </row>
    <row r="97" spans="2:2" x14ac:dyDescent="0.25">
      <c r="B97" s="22" t="s">
        <v>183</v>
      </c>
    </row>
    <row r="98" spans="2:2" x14ac:dyDescent="0.25">
      <c r="B98" s="22" t="s">
        <v>184</v>
      </c>
    </row>
    <row r="99" spans="2:2" x14ac:dyDescent="0.25">
      <c r="B99" s="22" t="s">
        <v>185</v>
      </c>
    </row>
    <row r="100" spans="2:2" x14ac:dyDescent="0.25">
      <c r="B100" s="22" t="s">
        <v>186</v>
      </c>
    </row>
    <row r="101" spans="2:2" x14ac:dyDescent="0.25">
      <c r="B101" s="22" t="s">
        <v>187</v>
      </c>
    </row>
    <row r="102" spans="2:2" x14ac:dyDescent="0.25">
      <c r="B102" s="22" t="s">
        <v>188</v>
      </c>
    </row>
    <row r="103" spans="2:2" x14ac:dyDescent="0.25">
      <c r="B103" s="22" t="s">
        <v>189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Dev Guide</vt:lpstr>
      <vt:lpstr>A.Backend</vt:lpstr>
      <vt:lpstr>B.Frontend</vt:lpstr>
      <vt:lpstr>Data Type Mapping</vt:lpstr>
      <vt:lpstr>Directory Tree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S_member</dc:creator>
  <cp:lastModifiedBy>S_member</cp:lastModifiedBy>
  <dcterms:created xsi:type="dcterms:W3CDTF">2022-04-01T07:31:40Z</dcterms:created>
  <dcterms:modified xsi:type="dcterms:W3CDTF">2023-03-09T09:33:27Z</dcterms:modified>
</cp:coreProperties>
</file>
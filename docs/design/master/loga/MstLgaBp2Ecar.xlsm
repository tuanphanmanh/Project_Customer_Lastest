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a\"/>
    </mc:Choice>
  </mc:AlternateContent>
  <bookViews>
    <workbookView xWindow="0" yWindow="495" windowWidth="28800" windowHeight="1642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1" l="1"/>
  <c r="E16" i="5"/>
  <c r="F16" i="5"/>
  <c r="E17" i="5"/>
  <c r="F17" i="5"/>
  <c r="E18" i="5"/>
  <c r="F18" i="5"/>
  <c r="E19" i="5"/>
  <c r="F19" i="5"/>
  <c r="E20" i="5"/>
  <c r="F20" i="5"/>
  <c r="B16" i="5" l="1"/>
  <c r="D16" i="5" s="1"/>
  <c r="C16" i="5"/>
  <c r="B17" i="5"/>
  <c r="D17" i="5" s="1"/>
  <c r="C17" i="5"/>
  <c r="B18" i="5"/>
  <c r="D18" i="5" s="1"/>
  <c r="C18" i="5"/>
  <c r="B19" i="5"/>
  <c r="D19" i="5" s="1"/>
  <c r="C19" i="5"/>
  <c r="B20" i="5"/>
  <c r="D20" i="5" s="1"/>
  <c r="C20" i="5"/>
  <c r="C15" i="5"/>
  <c r="B15" i="5"/>
  <c r="D15" i="5" s="1"/>
  <c r="T15" i="5" s="1"/>
  <c r="G14" i="1"/>
  <c r="E14" i="1"/>
  <c r="H14" i="1" s="1"/>
  <c r="O14" i="1" s="1"/>
  <c r="D14" i="1"/>
  <c r="V14" i="1" s="1"/>
  <c r="L13" i="1"/>
  <c r="G13" i="1"/>
  <c r="E13" i="1"/>
  <c r="H13" i="1" s="1"/>
  <c r="D13" i="1"/>
  <c r="V13" i="1" s="1"/>
  <c r="L12" i="1"/>
  <c r="G12" i="1"/>
  <c r="E12" i="1"/>
  <c r="H12" i="1" s="1"/>
  <c r="D12" i="1"/>
  <c r="V12" i="1" s="1"/>
  <c r="G11" i="1"/>
  <c r="E11" i="1"/>
  <c r="H11" i="1" s="1"/>
  <c r="D11" i="1"/>
  <c r="V11" i="1" s="1"/>
  <c r="G10" i="1"/>
  <c r="E10" i="1"/>
  <c r="H10" i="1" s="1"/>
  <c r="D10" i="1"/>
  <c r="T10" i="1" s="1"/>
  <c r="L9" i="1"/>
  <c r="G9" i="1"/>
  <c r="F15" i="5" s="1"/>
  <c r="E9" i="1"/>
  <c r="H9" i="1" s="1"/>
  <c r="E15" i="5" s="1"/>
  <c r="D9" i="1"/>
  <c r="T9" i="1" s="1"/>
  <c r="G17" i="5" l="1"/>
  <c r="L17" i="5"/>
  <c r="O13" i="1"/>
  <c r="G16" i="5"/>
  <c r="V16" i="5"/>
  <c r="G18" i="5"/>
  <c r="V18" i="5"/>
  <c r="H19" i="5"/>
  <c r="G20" i="5"/>
  <c r="L20" i="5"/>
  <c r="I20" i="5"/>
  <c r="H20" i="5"/>
  <c r="G15" i="5"/>
  <c r="V15" i="5"/>
  <c r="P11" i="1"/>
  <c r="I19" i="5"/>
  <c r="I17" i="5"/>
  <c r="H17" i="5"/>
  <c r="I18" i="5"/>
  <c r="H18" i="5"/>
  <c r="H16" i="5"/>
  <c r="I16" i="5"/>
  <c r="K20" i="5"/>
  <c r="L18" i="5"/>
  <c r="U18" i="5"/>
  <c r="U15" i="5"/>
  <c r="T19" i="5"/>
  <c r="T18" i="5"/>
  <c r="S18" i="5"/>
  <c r="K18" i="5"/>
  <c r="H15" i="5"/>
  <c r="I15" i="5"/>
  <c r="K15" i="5"/>
  <c r="L16" i="5"/>
  <c r="V20" i="5"/>
  <c r="L15" i="5"/>
  <c r="S15" i="5"/>
  <c r="V17" i="5"/>
  <c r="U20" i="5"/>
  <c r="P13" i="1"/>
  <c r="V10" i="1"/>
  <c r="T13" i="1"/>
  <c r="P14" i="1"/>
  <c r="T14" i="1"/>
  <c r="M12" i="1"/>
  <c r="W12" i="1"/>
  <c r="J12" i="1"/>
  <c r="I12" i="1"/>
  <c r="O12" i="1"/>
  <c r="N12" i="1"/>
  <c r="I10" i="1"/>
  <c r="O10" i="1"/>
  <c r="J10" i="1"/>
  <c r="N10" i="1"/>
  <c r="M10" i="1"/>
  <c r="W10" i="1"/>
  <c r="W11" i="1"/>
  <c r="J11" i="1"/>
  <c r="M11" i="1"/>
  <c r="I11" i="1"/>
  <c r="O11" i="1"/>
  <c r="N11" i="1"/>
  <c r="P12" i="1"/>
  <c r="I13" i="1"/>
  <c r="I14" i="1"/>
  <c r="T12" i="1"/>
  <c r="J13" i="1"/>
  <c r="W13" i="1"/>
  <c r="J14" i="1"/>
  <c r="W14" i="1"/>
  <c r="T11" i="1"/>
  <c r="M13" i="1"/>
  <c r="M14" i="1"/>
  <c r="P10" i="1"/>
  <c r="N13" i="1"/>
  <c r="N14" i="1"/>
  <c r="P9" i="1"/>
  <c r="V9" i="1"/>
  <c r="W9" i="1"/>
  <c r="J9" i="1"/>
  <c r="I9" i="1"/>
  <c r="O9" i="1"/>
  <c r="N9" i="1"/>
  <c r="M9" i="1"/>
  <c r="U19" i="5" l="1"/>
  <c r="L19" i="5"/>
  <c r="K19" i="5"/>
  <c r="G19" i="5"/>
  <c r="S19" i="5" s="1"/>
  <c r="V19" i="5"/>
  <c r="K17" i="5"/>
  <c r="U17" i="5"/>
  <c r="T17" i="5"/>
  <c r="S17" i="5"/>
  <c r="U16" i="5"/>
  <c r="K16" i="5"/>
  <c r="T16" i="5"/>
  <c r="S16" i="5"/>
  <c r="S20" i="5"/>
  <c r="T20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V16" i="1"/>
  <c r="K12" i="5" l="1"/>
  <c r="H12" i="5"/>
  <c r="V12" i="5"/>
  <c r="T12" i="5"/>
  <c r="U12" i="5"/>
  <c r="I12" i="5"/>
  <c r="L12" i="5"/>
  <c r="S12" i="5"/>
  <c r="R3" i="1" l="1"/>
  <c r="D1" i="1"/>
  <c r="F6" i="1"/>
  <c r="T16" i="1"/>
  <c r="T13" i="5"/>
  <c r="T7" i="1" l="1"/>
  <c r="W16" i="1"/>
  <c r="G6" i="1" l="1"/>
  <c r="K13" i="5"/>
  <c r="V13" i="5"/>
  <c r="H13" i="5"/>
  <c r="S13" i="5"/>
  <c r="U13" i="5"/>
  <c r="L13" i="5"/>
  <c r="I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11" i="1" l="1"/>
  <c r="L10" i="1"/>
  <c r="L14" i="1"/>
  <c r="C7" i="1"/>
  <c r="O16" i="1"/>
  <c r="I16" i="1"/>
  <c r="N16" i="1"/>
  <c r="J16" i="1"/>
  <c r="P16" i="1"/>
  <c r="Q7" i="1" l="1"/>
  <c r="M58" i="3" s="1"/>
  <c r="L7" i="1"/>
  <c r="G58" i="3" s="1"/>
  <c r="K58" i="3"/>
  <c r="J58" i="3"/>
  <c r="M16" i="1"/>
  <c r="K16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<sst xmlns="http://schemas.openxmlformats.org/spreadsheetml/2006/main" count="425" uniqueCount="333">
  <si>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</si>
  <si>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</si>
  <si>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</si>
  <si>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</si>
  <si>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</si>
  <si>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</si>
  <si>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</si>
  <si>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</si>
  <si>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</si>
  <si>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</si>
  <si>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</si>
  <si>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</si>
  <si>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</si>
  <si>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</si>
  <si>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</si>
  <si>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</si>
  <si>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</si>
  <si>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</si>
  <si>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</si>
  <si>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</si>
  <si>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</si>
  <si>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</si>
  <si>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</si>
  <si>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</si>
  <si>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</si>
  <si>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</si>
  <si>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</si>
  <si>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</si>
  <si>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</si>
  <si>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</si>
  <si>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</si>
  <si>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</si>
  <si>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</si>
  <si>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</si>
  <si>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</si>
  <si>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</si>
  <si>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</si>
  <si>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</si>
  <si>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</si>
  <si>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</si>
  <si>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</si>
  <si>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</si>
  <si>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</si>
  <si>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</si>
  <si>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</si>
  <si>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</si>
  <si>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</si>
  <si>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</si>
  <si>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</si>
  <si>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</si>
  <si>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</si>
  <si>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</si>
  <si>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</si>
  <si>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</si>
  <si>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</si>
  <si>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</si>
  <si>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</si>
  <si>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</si>
  <si>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</si>
  <si>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</si>
  <si>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</si>
  <si>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</si>
  <si>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</si>
  <si>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</si>
  <si>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</si>
  <si>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</si>
  <si>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</si>
  <si>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</si>
  <si>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</si>
  <si>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</si>
  <si>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</si>
  <si>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</si>
  <si>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</si>
  <si>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</si>
  <si>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</si>
  <si>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</si>
  <si>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</si>
  <si>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</si>
  <si>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</si>
  <si>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</si>
  <si>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</si>
  <si>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</si>
  <si>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</si>
  <si>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</si>
  <si>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</si>
  <si>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</si>
  <si>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</si>
  <si>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</si>
  <si>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</si>
  <si>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</si>
  <si>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</si>
  <si>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</si>
  <si>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</si>
  <si>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</si>
  <si>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</si>
  <si>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</si>
  <si>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</si>
  <si>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</si>
  <si>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</si>
  <si>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</si>
  <si>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</si>
  <si>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</si>
  <si>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</si>
  <si>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</si>
  <si>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</si>
  <si>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</si>
  <si>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</si>
  <si>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</si>
  <si>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</si>
  <si>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</si>
  <si>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</si>
  <si>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</si>
  <si>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</si>
  <si>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</si>
  <si>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</si>
  <si>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</si>
  <si>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</si>
  <si>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</si>
  <si>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</si>
  <si>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</si>
  <si>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</si>
  <si>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</si>
  <si>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</si>
  <si>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</si>
  <si>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</si>
  <si>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</si>
  <si>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</si>
  <si>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</si>
  <si>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</si>
  <si>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</si>
  <si>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</si>
  <si>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</si>
  <si>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</si>
  <si>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</si>
  <si>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</si>
  <si>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</si>
  <si>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</si>
  <si>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</si>
  <si>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</si>
  <si>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</si>
  <si>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</si>
  <si>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</si>
  <si>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</si>
  <si>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</si>
  <si>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</si>
  <si>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</si>
  <si>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</si>
  <si>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</si>
  <si>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</si>
  <si>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</si>
  <si>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</si>
  <si>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</si>
  <si>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</si>
  <si>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</si>
  <si>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</si>
  <si>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</si>
  <si>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</si>
  <si>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</si>
  <si>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</si>
  <si>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</si>
  <si>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</si>
  <si>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</si>
  <si>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</si>
  <si>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</si>
  <si>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</si>
  <si>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</si>
  <si>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</si>
  <si>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</si>
  <si>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</si>
  <si>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</si>
  <si>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</si>
  <si>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</si>
  <si>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</si>
  <si>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</si>
  <si>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</si>
  <si>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</si>
  <si>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</si>
  <si>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</si>
  <si>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</si>
  <si>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</si>
  <si>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</si>
  <si>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</si>
  <si>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</si>
  <si>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</si>
  <si>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</si>
  <si>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</si>
  <si>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</si>
  <si>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</si>
  <si>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</si>
  <si>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</si>
  <si>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</si>
  <si>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</si>
  <si>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</si>
  <si>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</si>
  <si>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</si>
  <si>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</si>
  <si>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</si>
  <si>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</si>
  <si>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</si>
  <si>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</si>
  <si>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</si>
  <si>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</si>
  <si>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</si>
  <si>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</si>
  <si>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</si>
  <si>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</si>
  <si>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</si>
  <si>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</si>
  <si>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</si>
  <si>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</si>
  <si>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</si>
  <si>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</si>
  <si>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</si>
  <si>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</si>
  <si>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</si>
  <si>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</si>
  <si>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</si>
  <si>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</si>
  <si>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</si>
  <si>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</si>
  <si>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</si>
  <si>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</si>
  <si>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</si>
  <si>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</si>
  <si>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</si>
  <si>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</si>
  <si>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</si>
  <si>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</si>
  <si>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</si>
  <si>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</si>
  <si>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</si>
  <si>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</si>
  <si>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</si>
  <si>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</si>
  <si>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</si>
  <si>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</si>
  <si>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</si>
  <si>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</si>
  <si>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</si>
  <si>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</si>
  <si>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</si>
  <si>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</si>
  <si>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</si>
  <si>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</si>
  <si>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</si>
  <si>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</si>
  <si>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</si>
  <si>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</si>
  <si>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</si>
  <si>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</si>
  <si>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</si>
  <si>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</si>
  <si>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</si>
  <si>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</si>
  <si>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</si>
  <si>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</si>
  <si>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</si>
  <si>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</si>
  <si>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</si>
  <si>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</si>
  <si>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</si>
  <si>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</si>
  <si>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</si>
  <si>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</si>
  <si>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</si>
  <si>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</si>
  <si>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</si>
  <si>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</si>
  <si>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</si>
  <si>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</si>
  <si>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</si>
  <si>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</si>
  <si>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</si>
  <si>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</si>
  <si>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</si>
  <si>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</si>
  <si>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</si>
  <si>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</si>
  <si>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</si>
  <si>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</si>
  <si>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</si>
  <si>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</si>
  <si>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</si>
  <si>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</si>
  <si>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</si>
  <si>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</si>
  <si>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</si>
  <si>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</si>
  <si>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</si>
  <si>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</si>
  <si>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</si>
  <si>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</si>
  <si>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</si>
  <si>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</si>
  <si>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</si>
  <si>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</si>
  <si>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</si>
  <si>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</si>
  <si>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</si>
  <si>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</si>
  <si>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</si>
  <si>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</si>
  <si>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</si>
  <si>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</si>
  <si>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</si>
  <si>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</si>
  <si>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</si>
  <si>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</si>
  <si>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</si>
  <si>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</si>
  <si>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</si>
  <si>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</si>
  <si>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</si>
  <si>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</si>
  <si>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</si>
  <si>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</si>
  <si>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</si>
  <si>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</si>
  <si>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</si>
  <si>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</si>
  <si>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</si>
  <si>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</si>
  <si>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Master.LogA</t>
  </si>
  <si>
    <t>Bp2Ecar</t>
  </si>
  <si>
    <t>MstLgaBp2Ecar</t>
  </si>
  <si>
    <t>CODE</t>
  </si>
  <si>
    <t>ECAR_NAME</t>
  </si>
  <si>
    <t>PROD_LINE</t>
  </si>
  <si>
    <t>ECAR_TYPE</t>
  </si>
  <si>
    <t>SORTING</t>
  </si>
  <si>
    <t>IS_ACTIVE</t>
  </si>
  <si>
    <t>varchar(1)</t>
  </si>
  <si>
    <t>LA Big Part 2x2 Ecar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</si>
</sst>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7"/>
  <sheetViews>
    <sheetView topLeftCell="A16" workbookViewId="0">
      <selection activeCell="E18" sqref="E1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5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5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5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5">
      <c r="A38" s="1"/>
      <c r="B38" s="17"/>
      <c r="C38" t="s">
        <v>320</v>
      </c>
      <c r="F38" s="1" t="s">
        <v>301</v>
      </c>
      <c r="G38" s="17" t="s">
        <v>301</v>
      </c>
    </row>
    <row r="39" spans="1:8" x14ac:dyDescent="0.25">
      <c r="A39" s="1"/>
      <c r="B39" s="17"/>
      <c r="D39" t="s">
        <v>304</v>
      </c>
      <c r="F39" s="1" t="s">
        <v>304</v>
      </c>
      <c r="G39" s="17" t="s">
        <v>305</v>
      </c>
      <c r="H39" s="17" t="s">
        <v>306</v>
      </c>
    </row>
    <row r="40" spans="1:8" x14ac:dyDescent="0.25">
      <c r="A40" s="1"/>
      <c r="B40" s="17"/>
      <c r="F40" s="1"/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[Table("MstLgaBp2Ecar")]
	[Index(nameof(Code), Name="IX_MstLgaBp2Ecar_Code")]
	[Index(nameof(ProdLine), Name="IX_MstLgaBp2Ecar_ProdLine")]
	[Index(nameof(IsActive), Name="IX_MstLgaBp2Ecar_IsActive")]	public class MstLgaBp2Ecar: FullAuditedEntity&lt;long&gt;, IEntity&lt;long&gt;	
	{
		public const int MaxCodeLength = 50;
		public const int MaxEcarNameLength = 50;
		public const int MaxProdLineLength = 50;
		public const int MaxEcarTypeLength = 50;
		public const int MaxIsActiveLength = 1;
		[StringLength(MaxCodeLength)]
		public virtual string Code { get; set; }
		[StringLength(MaxEcarNameLength)]
		public virtual string EcarName { get; set; }
		[StringLength(MaxProdLineLength)]
		public virtual string ProdLine { get; set; }
		[StringLength(MaxEcarTypeLength)]
		public virtual string EcarType { get; set; }
		public virtual int Sorting { get; set; }
		[StringLength(MaxIsActiveLength)]
		public virtual string IsActive { get; set; }
	}
}
</v>
      </c>
      <c r="D58" s="51" t="str">
        <f>A.Backend!O7</f>
        <v xml:space="preserve">		public const string Pages_Master_LogA_Bp2Ecar = "Pages.Master.LogA.Bp2Ecar";
		public const string Pages_Master_LogA_Bp2Ecar_CreateEdit = "Pages.Master.LogA.Bp2Ecar.CreateEdit";
		public const string Pages_Master_LogA_Bp2Ecar_Delete = "Pages.Master.LogA.Bp2Ecar.Delete";
</v>
      </c>
      <c r="E58" s="51" t="str">
        <f>A.Backend!N7</f>
        <v xml:space="preserve">		var perMstLgaBp2Ecar = PARENTS.CreateChildPermission(AppPermissions.Pages_Master_LogA_Bp2Ecar, L( "MasterLogABp2Ecar"), multiTenancySides: MultiTenancySides.Tenant);
		perMstLgaBp2Ecar.CreateChildPermission(AppPermissions.Pages_Master_LogA_Bp2Ecar_CreateEdit, L( "MasterLogABp2EcarCreateEdit"), multiTenancySides: MultiTenancySides.Tenant);
		perMstLgaBp2Ecar.CreateChildPermission(AppPermissions.Pages_Master_LogA_Bp2Ecar_Delete, L( "MasterLogABp2EcarDelete"), multiTenancySides: MultiTenancySides.Tenant);</v>
      </c>
      <c r="F58" s="51" t="str">
        <f>A.Backend!K7</f>
        <v>public virtual DbSet&lt;MstLgaBp2Ecar&gt; MstLgaBp2Ecars { get; set; }</v>
      </c>
      <c r="G58" s="51" t="str">
        <f ca="1">A.Backend!L7</f>
        <v xml:space="preserve">namespace vovina.Master.LogA
{
	public class MstLgaBp2EcarConsts	
	{
		public const int MaxCodeLength = 50;
		public const int MaxEcarNameLength = 50;
		public const int MaxProdLineLength = 50;
		public const int MaxEcarTypeLength = 50;
		public const int MaxIsActiveLength = 1;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vovina.Master.LogA.Dto
{
	public class MstLgaBp2EcarDto : EntityDto&lt;long?&gt;	
	{
		public virtual string Code { get; set; }
		public virtual string EcarName { get; set; }
		public virtual string ProdLine { get; set; }
		public virtual string EcarType { get; set; }
		public virtual int Sorting { get; set; }
		public virtual string IsActive { get; set; }
	}
	public class CreateOrEditMstLgaBp2EcarDto : EntityDto&lt;long?&gt;	
	{
		[StringLength(MstLgaBp2EcarConsts.MaxCodeLength)]
		public virtual string Code { get; set; }
		[StringLength(MstLgaBp2EcarConsts.MaxEcarNameLength)]
		public virtual string EcarName { get; set; }
		[StringLength(MstLgaBp2EcarConsts.MaxProdLineLength)]
		public virtual string ProdLine { get; set; }
		[StringLength(MstLgaBp2EcarConsts.MaxEcarTypeLength)]
		public virtual string EcarType { get; set; }
		public virtual int Sorting { get; set; }
		[StringLength(MstLgaBp2EcarConsts.MaxIsActiveLength)]
		public virtual string IsActive { get; set; }
	}
	public class GetMstLgaBp2EcarInput : PagedAndSortedResultRequestDto	
	{
		public virtual string Code { get; set; }
		public virtual string EcarName { get; set; }
		public virtual string ProdLine { get; set; }
		public virtual string EcarType { get; set; }
		public virtual int Sorting { get; set; }
		public virtual string IsActive { get; set; }
	}
}
</v>
      </c>
      <c r="I58" s="51" t="str">
        <f ca="1">A.Backend!R7</f>
        <v xml:space="preserve">using Abp.Application.Services.Dto;
using System;
using System.ComponentModel.DataAnnotations;
namespace vovina.Master.LogA.Dto
{
	public class MstLgaBp2EcarExportInput{
		public virtual string Code { get; set; }
		public virtual string EcarName { get; set; }
		public virtual string ProdLine { get; set; }
		public virtual string EcarType { get; set; }
		public virtual int Sorting { get; set; }
		public virtual string IsActive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vovina.Master.LogA.Dto;
namespace vovina.Master.LogA
{
	public interface IMstLgaBp2EcarAppService : IApplicationService
	{
		Task&lt;PagedResultDto&lt;MstLgaBp2EcarDto&gt;&gt; GetAll(GetMstLgaBp2EcarInput input);
		Task CreateOrEdit(CreateOrEditMstLgaBp2EcarDto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IMstLgaBp2EcarExcelExporter : IApplicationService
	{
		FileDto ExportToFile(List&lt;MstLgaBp2EcarDto&gt; mstlgabp2ecar);
	}
}
</v>
      </c>
      <c r="L58" s="51" t="str">
        <f ca="1">A.Backend!T7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MstLgaBp2EcarExcelExporter : NpoiExcelExporterBase, IMstLgaBp2EcarExcelExporter
    {
        public MstLgaBp2EcarExcelExporter(ITempFileCacheManager tempFileCacheManager) : base(tempFileCacheManager) { }
        public FileDto ExportToFile(List&lt;MstLgaBp2EcarDto&gt; bp2ecar)
        {
            return CreateExcelPackage(
				"MasterLogABp2Ecar.xlsx",
				excelPackage =&gt;
				 {
					var sheet = excelPackage.CreateSheet("Bp2Ecar");
					AddHeader(
								sheet,
								("Code"),
								("EcarName"),
								("ProdLine"),
								("EcarType"),
								("Sorting"),
								("IsActive"),
							   );
					AddObjects(
						 sheet, 1, bp2ecar,                                       
								_ =&gt; _.Code,
								_ =&gt; _.EcarName,
								_ =&gt; _.ProdLine,
								_ =&gt; _.EcarType,
								_ =&gt; _.Sorting,
								_ =&gt; _.IsActive,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[AbpAuthorize(AppPermissions.Pages_Master_LogA_Bp2Ecar)]
    public class MstLgaBp2EcarAppService : vovinaAppServiceBase, IMstLgaBp2EcarAppService
    {
        private readonly IDapperRepository&lt;MstLgaBp2Ecar, long&gt; _dapperRepo;
        private readonly IRepository&lt;MstLgaBp2Ecar, long&gt; _repo;
        private readonly IMstLgaBp2EcarExcelExporter _calendarListExcelExporter;
        public MstLgaBp2EcarAppService(IRepository&lt;MstLgaBp2Ecar,long&gt; repo, 
                                         IDapperRepository&lt;MstLgaBp2Ecar,long&gt; dapperRepo,
                                        IMstLgaBp2EcarExcelExporter calendarListExcelExporter
            )
        {
            _repo = repo;
            _dapperRepo = dapperRepo;
            _calendarListExcelExporter = calendarListExcelExporter;
        }
        [AbpAuthorize(AppPermissions.Pages_Master_LogA_Bp2Ecar_CreateEdit)]
        public async Task CreateOrEdit(CreateOrEditMstLgaBp2EcarDto input)
        {
            if (input.Id == null) await Create(input);
            else await Update(input);
        }
        //CREATE
        private async Task Create(CreateOrEditMstLgaBp2EcarDto input)
        {          
            var mainObj = ObjectMapper.Map&lt;MstLgaBp2Ecar&gt;(input);
            await CurrentUnitOfWork.GetDbContext&lt;vovinaDbContext&gt;().AddAsync(mainObj);
        }
        // EDIT
        private async Task Update(CreateOrEditMstLgaBp2EcarDto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[AbpAuthorize(AppPermissions.Pages_Master_LogA_Bp2Ecar_Delete)]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Task&lt;PagedResultDto&lt;MstLgaBp2EcarDto&gt;&gt; GetAll(GetMstLgaBp2EcarInput input)
        {
            var filtered = _repo.GetAll()
				.WhereIf(!string.IsNullOrWhiteSpace(input.Code), e =&gt; e.Code.Contains(input.Code))
				.WhereIf(!string.IsNullOrWhiteSpace(input.EcarName), e =&gt; e.EcarName.Contains(input.EcarName))
				.WhereIf(!string.IsNullOrWhiteSpace(input.ProdLine), e =&gt; e.ProdLine.Contains(input.ProdLine))
				.WhereIf(!string.IsNullOrWhiteSpace(input.EcarType), e =&gt; e.EcarType.Contains(input.EcarType))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MstLgaBp2EcarDto
                        {
							Id = o.Id,
							Code = o.Code,
							EcarName = o.EcarName,
							ProdLine = o.ProdLine,
							EcarType = o.EcarType,
							Sorting = o.Sorting,
							IsActive = o.IsActive,
                        };
            var totalCount = await filtered.CountAsync();
			var paged = system.PageBy(input);
            return new PagedResultDto&lt;MstLgaBp2EcarDto&gt;(
                totalCount,
                 await paged.ToListAsync()
            );
        }
        public async Task&lt;FileDto&gt; GetBp2EcarToExcel(MstLgaBp2EcarExportInput input)
        {
            var query = from o in _repo.GetAll()
                        select new MstLgaBp2EcarDto
                        {
							Id = o.Id,
							Code = o.Code,
							EcarName = o.EcarName,
							ProdLine = o.ProdLine,
							EcarType = o.EcarType,
							Sorting = o.Sorting,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_dapperRepo.ExecuteAsync(MstLgaBp2EcarConsts.SP_MST_WPT_CALENDAR_GENERATE);
       // }
    }
}</v>
      </c>
      <c r="N58" s="62" t="str">
        <f>A.Backend!U7</f>
        <v xml:space="preserve">  configuration.CreateMap&lt;MstLgaBp2EcarDto, MstLgaBp2Ecar&gt;();
  configuration.CreateMap&lt;MstLgaBp2Ecar, MstLgaBp2EcarDto&gt;();
  configuration.CreateMap&lt;CreateOrEditMstLgaBp2EcarDto, MstLgaBp2Ecar&gt;();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bp2ecar</v>
      </c>
      <c r="C63" s="72" t="str">
        <f>"create folder " &amp;B63</f>
        <v>create folder bp2ecar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bp2ecar.component.ts</v>
      </c>
      <c r="D64" s="31" t="str">
        <f>B.Frontend!I14</f>
        <v>bp2ecar.component.html</v>
      </c>
      <c r="E64" s="31" t="str">
        <f>B.Frontend!J14</f>
        <v>bp2ecar.component.less</v>
      </c>
      <c r="F64" s="31" t="str">
        <f>B.Frontend!K14</f>
        <v>create-or-edit-bp2ecar-modal.component.html</v>
      </c>
      <c r="G64" s="31" t="str">
        <f>B.Frontend!L14</f>
        <v>create-or-edit-bp2ecar-modal.component.ts</v>
      </c>
      <c r="H64" s="31" t="str">
        <f>B.Frontend!M14</f>
        <v>create-or-edit-bp2ecar-modal.component.less</v>
      </c>
      <c r="I64" s="31" t="str">
        <f>B.Frontend!N14</f>
        <v>bp2ecar.module.ts</v>
      </c>
      <c r="J64" s="31" t="str">
        <f>B.Frontend!O14</f>
        <v>bp2ecar-routing.module.ts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MstLgaBp2EcarDto, MstLgaBp2EcarServiceProxy } from '@shared/service-proxies/service-proxies';
import { finalize } from 'rxjs/internal/operators/finalize';
import { CreateOrEditBp2EcarModalComponent } from './create-or-edit-bp2ecar-modal.component';
import { DatePipe } from '@angular/common';
import { FileDownloadService } from '@shared/utils/file-download.service';
import ceil from 'lodash-es/ceil';
import { Paginator } from 'primeng/paginator';
@Component({
    templateUrl: './bp2ecar.component.html',
    styleUrls: ['./bp2ecar.component.less'],
})
export class Bp2EcarComponent extends AppComponentBase implements OnInit {
    @ViewChild('createOrEditModalBp2Ecar', { static: true }) createOrEditModalBp2Ecar:| CreateOrEditBp2EcarModalComponent|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MstLgaBp2EcarDto = new MstLgaBp2EcarDto();
    saveSelectedRow: MstLgaBp2EcarDto = new MstLgaBp2EcarDto();
    datas: MstLgaBp2EcarDto = new MstLgaBp2EcarDto();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ecarName : string = '' ; 
	prodLine : string = '' ; 
	ecarType : string = '' ; 
	sorting : number = 0 ;
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MstLgaBp2EcarServiceProxy,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this.l('Ecar Name'),headerTooltip: this.l('Ecar Name'),field: 'ecarName',flex: 1},
			{headerName: this.l('Prod Line'),headerTooltip: this.l('Prod Line'),field: 'prodLine',flex: 1},
			{headerName: this.l('Ecar Type'),headerTooltip: this.l('Ecar Type'),field: 'ecarType',flex: 1},
			{headerName: this.l('Sorting'),headerTooltip: this.l('Sorting'),field: 'sorting',flex: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this.ecarName,
			this.prodLine,
			this.ecarType,
			this.sorting,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this.ecarName = '',
		this.prodLine = '',
		this.ecarType = '',
		this.sorting = 0,
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this.ecarName,
			this.prodLine,
			this.ecarType,
			this.sorting,
			this.isActive,
			'',
            this.paginationParams.skipCount,
            this.paginationParams.pageSize
        );
    }
    onChangeRowSelection(params: { api: { getSelectedRows: () =&gt; MstLgaBp2EcarDto[] } }) {
        this.saveSelectedRow = params.api.getSelectedRows()[0] ?? new MstLgaBp2EcarDto();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MstLgaBp2EcarDto):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this._service.getBp2EcarToExcel(
			this.code,
			this.ecarName,
			this.prodLine,
			this.ecarType,
			this.sorting,
			this.isActive,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Big Part 2x2 Ecar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[(ngModel)]='ecarName' name='ecarName'
									class='form-control' [placeholder]="l('Ecar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[(ngModel)]='ecarType' name='ecarType'
									class='form-control' [placeholder]="l('Ecar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(click)="createOrEditModalBp2Ecar.show()"&gt;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(click)="createOrEditModalBp2Ecar.show(selectedRow)"&gt;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&lt;create-or-edit-bp2ecar-modal
    #createOrEditModalBp2Ecar
    (modalSave)="callBackDataGrid(dataParams)"
    (modalClose)="onChangeRowSelection(dataParams)"
&gt;
&lt;/create-or-edit-bp2ecar-modal&gt;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#createOrEditModalBp2Ecar="bs-modal"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Bp2Ecar')}}&lt;/h3&gt;
                    &lt;h3 *ngIf="!rowdata.id"&gt;{{('Create New Bp2Ecar')}}&lt;/h3&gt;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title'&gt;Ecar Name&lt;/label&gt;
						&lt;input type='text' class='col-md-10 form-control input-text' name='EcarName' [(ngModel)]='rowdata.ecarName'&gt;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title'&gt;Ecar Type&lt;/label&gt;
						&lt;input type='text' class='col-md-10 form-control input-text' name='EcarType' [(ngModel)]='rowdata.ecarType'&gt;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CreateOrEditMstLgaBp2EcarDto, MstLgaBp2EcarServiceProxy } from '@shared/service-proxies/service-proxies';
import { BsDatepickerDirective } from 'ngx-bootstrap/datepicker';
@Component({
    selector: 'create-or-edit-bp2ecar-modal',
    templateUrl: './create-or-edit-bp2ecar-modal.component.html',
    styleUrls: ['./create-or-edit-bp2ecar-modal.component.less']
    })
export class CreateOrEditBp2EcarModalComponent extends AppComponentBase {
    @ViewChild('createOrEditModalBp2Ecar',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CreateOrEditMstLgaBp2EcarDto = new CreateOrEditMstLgaBp2EcarDto();
    active: boolean = false;
    saving: boolean = false;
    _isActive: boolean;
    constructor(
        injector: Injector,
        private _mstwptBp2EcarService: MstLgaBp2EcarServiceProxy,
    ) 
    {
        super(injector);
    }
    show(rowdata?: CreateOrEditMstLgaBp2EcarDto): void {
        if (!rowdata) this.rowdata = new CreateOrEditMstLgaBp2EcarDto();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this._mstwptBp2EcarService.createOrEdit(this.rowdata)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Bp2EcarRoutingModule } from './bp2ecar-routing.module';
import { Bp2EcarComponent } from './bp2ecar.component';
import { CreateOrEditBp2EcarModalComponent } from './create-or-edit-bp2ecar-modal.component';
@NgModule({
    declarations: [
       Bp2EcarComponent, 
        CreateOrEditBp2EcarModalComponent
    ],
    imports: [
        AppSharedModule, Bp2EcarRoutingModule]
})
export class Bp2EcarModule {}</v>
      </c>
      <c r="J65" s="49" t="str">
        <f>B.Frontend!O10</f>
        <v>import {NgModule} from '@angular/core';
import {RouterModule, Routes} from '@angular/router';
import { Bp2EcarComponent } from './bp2ecar.component';
const routes: Routes = [{
    path: '',
    component: Bp2EcarComponent,
    pathMatch: 'full'
}];
@NgModule({
    imports: [RouterModule.forChild(routes)],
    exports: [RouterModule],
})
export class Bp2EcarRoutingModule {}</v>
      </c>
      <c r="K65" s="49" t="str">
        <f>B.Frontend!P10</f>
        <v xml:space="preserve"> new AppMenuItem("Bp2Ecar", "Pages.Master.LogA.Bp2Ecar", "flaticon-book",   "/app/main/master/loga/bp2ecar"),</v>
      </c>
      <c r="L65" s="50" t="str">
        <f>B.Frontend!Q10</f>
        <v>{
    path: 'master/loga/bp2ecar',
    loadChildren: () =&gt; import('./master/loga/bp2ecar/bp2ecar.module').then(m =&gt; m.Bp2EcarModule),
    data: { permission: 'Pages.Master.LogA.Bp2Ecar' }
},</v>
      </c>
      <c r="M65" s="48" t="str">
        <f>B.Frontend!R10</f>
        <v>ApiServiceProxies.MstLgaBp2EcarServiceProxy,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6"/>
  <sheetViews>
    <sheetView tabSelected="1" workbookViewId="0">
      <pane xSplit="1" topLeftCell="B1" activePane="topRight" state="frozen"/>
      <selection pane="topRight" activeCell="D9" sqref="D9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vovina.Master.LogA.Dto;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322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324</v>
      </c>
      <c r="C3" s="10" t="s">
        <v>43</v>
      </c>
      <c r="D3" s="10" t="s">
        <v>44</v>
      </c>
      <c r="E3" s="10" t="s">
        <v>39</v>
      </c>
      <c r="F3" s="11" t="str">
        <f>"J"&amp;COUNTA($A:$A)</f>
        <v>J14</v>
      </c>
      <c r="G3" s="4" t="s">
        <v>57</v>
      </c>
      <c r="H3" s="10" t="str">
        <f>"I"&amp;COUNTA($A:$A)</f>
        <v>I14</v>
      </c>
      <c r="I3" s="10" t="str">
        <f>REPT(CHAR(9),2)&amp;"[Required]"&amp;"
"</f>
        <v xml:space="preserve">		[Required]
</v>
      </c>
      <c r="J3" s="11" t="str">
        <f>"L"&amp;COUNTA($A:$A)</f>
        <v>L14</v>
      </c>
      <c r="K3" s="5" t="s">
        <v>56</v>
      </c>
      <c r="L3" s="11" t="str">
        <f>"M"&amp;COUNTA($A:$A)</f>
        <v>M14</v>
      </c>
      <c r="M3" s="11" t="str">
        <f>"N"&amp;COUNTA($A:$A)</f>
        <v>N14</v>
      </c>
      <c r="N3" s="11" t="str">
        <f>"O"&amp;COUNTA($A:$A)</f>
        <v>O14</v>
      </c>
      <c r="O3" s="11" t="str">
        <f>"P"&amp;COUNTA($A:$A)</f>
        <v>P14</v>
      </c>
      <c r="Q3" s="11" t="str">
        <f>RIGHT(B2,(LEN(B2)-FIND(".",B2,1)))</f>
        <v>LogA</v>
      </c>
      <c r="R3" s="32" t="str">
        <f>REPT(CHAR(9),1)&amp;"public class "&amp;B3&amp;"ExportInput"&amp;C3</f>
        <v xml:space="preserve">	public class MstLgaBp2EcarExportInput{
</v>
      </c>
      <c r="S3" s="11" t="str">
        <f>"namespace "&amp;$B$6&amp;".Exporting
"&amp;$C$3</f>
        <v xml:space="preserve">namespace vovina.Master.LogA.Exporting
{
</v>
      </c>
      <c r="T3" s="11" t="str">
        <f>"T"&amp;COUNTA($A:$A)</f>
        <v>T14</v>
      </c>
      <c r="V3" s="11" t="str">
        <f>"V"&amp;COUNTA($A:$A)</f>
        <v>V14</v>
      </c>
      <c r="W3" s="10" t="str">
        <f>"W"&amp;COUNTA($A:$A)</f>
        <v>W14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323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vovina.Master.LogA</v>
      </c>
      <c r="C6" s="11" t="str">
        <f>"namespace "&amp;$B$6&amp;"
"&amp;$C$3</f>
        <v xml:space="preserve">namespace vovina.Master.LogA
{
</v>
      </c>
      <c r="D6" s="11" t="str">
        <f>REPT(CHAR(9),1)&amp;"public class "&amp;B3&amp;G3&amp;REPT(CHAR(9),1)&amp;"
"&amp;REPT(CHAR(9),1)&amp;C3</f>
        <v xml:space="preserve">	public class MstLgaBp2Ecar: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MstLgaBp2EcarConsts	
	{
</v>
      </c>
      <c r="F6" s="11" t="str">
        <f>REPT(CHAR(9),1)&amp;"public class "&amp;B3&amp;"Dto"&amp;K3&amp;REPT(CHAR(9),1)&amp;"
"&amp;REPT(CHAR(9),1)&amp;C3</f>
        <v xml:space="preserve">	public class MstLgaBp2EcarDto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CreateOrEditMstLgaBp2EcarDto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GetMstLgaBp2EcarInput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MstLgaBp2Ecar</v>
      </c>
      <c r="C7" s="11" t="str">
        <f>REPT(CHAR(9),1)&amp;"[Table("""&amp;B7&amp;""")]"&amp;"
"</f>
        <v xml:space="preserve">	[Table("MstLgaBp2Ecar")]
</v>
      </c>
      <c r="D7" s="11"/>
      <c r="E7" s="11"/>
      <c r="F7" s="11"/>
      <c r="G7" s="11"/>
      <c r="H7" s="11"/>
      <c r="I7" s="11"/>
      <c r="J7" s="6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[Table("MstLgaBp2Ecar")]
	[Index(nameof(Code), Name="IX_MstLgaBp2Ecar_Code")]
	[Index(nameof(ProdLine), Name="IX_MstLgaBp2Ecar_ProdLine")]
	[Index(nameof(IsActive), Name="IX_MstLgaBp2Ecar_IsActive")]	public class MstLgaBp2Ecar: FullAuditedEntity&lt;long&gt;, IEntity&lt;long&gt;	
	{
		public const int MaxCodeLength = 50;
		public const int MaxEcarNameLength = 50;
		public const int MaxProdLineLength = 50;
		public const int MaxEcarTypeLength = 50;
		public const int MaxIsActiveLength = 1;
		[StringLength(MaxCodeLength)]
		public virtual string Code { get; set; }
		[StringLength(MaxEcarNameLength)]
		public virtual string EcarName { get; set; }
		[StringLength(MaxProdLineLength)]
		public virtual string ProdLine { get; set; }
		[StringLength(MaxEcarTypeLength)]
		public virtual string EcarType { get; set; }
		public virtual int Sorting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DbSet&lt;MstLgaBp2Ecar&gt; MstLgaBp2Ecars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vovina.Master.LogA
{
	public class MstLgaBp2EcarConsts	
	{
		public const int MaxCodeLength = 50;
		public const int MaxEcarNameLength = 50;
		public const int MaxProdLineLength = 50;
		public const int MaxEcarTypeLength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vovina.Master.LogA.Dto
{
	public class MstLgaBp2EcarDto : EntityDto&lt;long?&gt;	
	{
		public virtual string Code { get; set; }
		public virtual string EcarName { get; set; }
		public virtual string ProdLine { get; set; }
		public virtual string EcarType { get; set; }
		public virtual int Sorting { get; set; }
		public virtual string IsActive { get; set; }
	}
	public class CreateOrEditMstLgaBp2EcarDto : EntityDto&lt;long?&gt;	
	{
		[StringLength(MstLgaBp2EcarConsts.MaxCodeLength)]
		public virtual string Code { get; set; }
		[StringLength(MstLgaBp2EcarConsts.MaxEcarNameLength)]
		public virtual string EcarName { get; set; }
		[StringLength(MstLgaBp2EcarConsts.MaxProdLineLength)]
		public virtual string ProdLine { get; set; }
		[StringLength(MstLgaBp2EcarConsts.MaxEcarTypeLength)]
		public virtual string EcarType { get; set; }
		public virtual int Sorting { get; set; }
		[StringLength(MstLgaBp2EcarConsts.MaxIsActiveLength)]
		public virtual string IsActive { get; set; }
	}
	public class GetMstLgaBp2EcarInput : PagedAndSortedResultRequestDto	
	{
		public virtual string Code { get; set; }
		public virtual string EcarName { get; set; }
		public virtual string ProdLine { get; set; }
		public virtual string EcarType { get; set; }
		public virtual int Sorting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perMstLgaBp2Ecar = PARENTS.CreateChildPermission(AppPermissions.Pages_Master_LogA_Bp2Ecar, L( "MasterLogABp2Ecar"), multiTenancySides: MultiTenancySides.Tenant);
		perMstLgaBp2Ecar.CreateChildPermission(AppPermissions.Pages_Master_LogA_Bp2Ecar_CreateEdit, L( "MasterLogABp2EcarCreateEdit"), multiTenancySides: MultiTenancySides.Tenant);
		perMstLgaBp2Ecar.CreateChildPermission(AppPermissions.Pages_Master_LogA_Bp2Ecar_Delete, L( "MasterLogABp2EcarDelete"),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Pages_Master_LogA_Bp2Ecar = "Pages.Master.LogA.Bp2Ecar";
		public const string Pages_Master_LogA_Bp2Ecar_CreateEdit = "Pages.Master.LogA.Bp2Ecar.CreateEdit";
		public const string Pages_Master_LogA_Bp2Ecar_Delete = "Pages.Master.LogA.Bp2Ecar.Delete";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
{
	public interface IMstLgaBp2EcarAppService : IApplicationService
	{
		Task&lt;PagedResultDto&lt;MstLgaBp2EcarDto&gt;&gt; GetAll(GetMstLgaBp2EcarInput input);
		Task CreateOrEdit(CreateOrEditMstLgaBp2EcarDto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[AbpAuthorize(AppPermissions.Pages_Master_LogA_Bp2Ecar)]
    public class MstLgaBp2EcarAppService : vovinaAppServiceBase, IMstLgaBp2EcarAppService
    {
        private readonly IDapperRepository&lt;MstLgaBp2Ecar, long&gt; _dapperRepo;
        private readonly IRepository&lt;MstLgaBp2Ecar, long&gt; _repo;
        private readonly IMstLgaBp2EcarExcelExporter _calendarListExcelExporter;
        public MstLgaBp2EcarAppService(IRepository&lt;MstLgaBp2Ecar,long&gt; repo, 
                                         IDapperRepository&lt;MstLgaBp2Ecar,long&gt; dapperRepo,
                                        IMstLgaBp2EcarExcelExporter calendarListExcelExporter
            )
        {
            _repo = repo;
            _dapperRepo = dapperRepo;
            _calendarListExcelExporter = calendarListExcelExporter;
        }
        [AbpAuthorize(AppPermissions.Pages_Master_LogA_Bp2Ecar_CreateEdit)]
        public async Task CreateOrEdit(CreateOrEditMstLgaBp2EcarDto input)
        {
            if (input.Id == null) await Create(input);
            else await Update(input);
        }
        //CREATE
        private async Task Create(CreateOrEditMstLgaBp2EcarDto input)
        {          
            var mainObj = ObjectMapper.Map&lt;MstLgaBp2Ecar&gt;(input);
            await CurrentUnitOfWork.GetDbContext&lt;vovinaDbContext&gt;().AddAsync(mainObj);
        }
        // EDIT
        private async Task Update(CreateOrEditMstLgaBp2EcarDto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[AbpAuthorize(AppPermissions.Pages_Master_LogA_Bp2Ecar_Delete)]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Task&lt;PagedResultDto&lt;MstLgaBp2EcarDto&gt;&gt; GetAll(GetMstLgaBp2EcarInput input)
        {
            var filtered = _repo.GetAll()
				.WhereIf(!string.IsNullOrWhiteSpace(input.Code), e =&gt; e.Code.Contains(input.Code))
				.WhereIf(!string.IsNullOrWhiteSpace(input.EcarName), e =&gt; e.EcarName.Contains(input.EcarName))
				.WhereIf(!string.IsNullOrWhiteSpace(input.ProdLine), e =&gt; e.ProdLine.Contains(input.ProdLine))
				.WhereIf(!string.IsNullOrWhiteSpace(input.EcarType), e =&gt; e.EcarType.Contains(input.EcarType))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MstLgaBp2EcarDto
                        {
							Id = o.Id,
							Code = o.Code,
							EcarName = o.EcarName,
							ProdLine = o.ProdLine,
							EcarType = o.EcarType,
							Sorting = o.Sorting,
							IsActive = o.IsActive,
                        };
            var totalCount = await filtered.CountAsync();
			var paged = system.PageBy(input);
            return new PagedResultDto&lt;MstLgaBp2EcarDto&gt;(
                totalCount,
                 await paged.ToListAsync()
            );
        }
        public async Task&lt;FileDto&gt; GetBp2EcarToExcel(MstLgaBp2EcarExportInput input)
        {
            var query = from o in _repo.GetAll()
                        select new MstLgaBp2EcarDto
                        {
							Id = o.Id,
							Code = o.Code,
							EcarName = o.EcarName,
							ProdLine = o.ProdLine,
							EcarType = o.EcarType,
							Sorting = o.Sorting,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_dapperRepo.ExecuteAsync(MstLgaBp2EcarConsts.SP_MST_WPT_CALENDAR_GENERATE);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vovina.Master.LogA.Dto
{
	public class MstLgaBp2EcarExportInput{
		public virtual string Code { get; set; }
		public virtual string EcarName { get; set; }
		public virtual string ProdLine { get; set; }
		public virtual string EcarType { get; set; }
		public virtual int Sorting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IMstLgaBp2EcarExcelExporter : IApplicationService
	{
		FileDto ExportToFile(List&lt;MstLgaBp2EcarDto&gt; mstlgabp2ecar);
	}
}
</v>
      </c>
      <c r="T7" s="28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MstLgaBp2EcarExcelExporter : NpoiExcelExporterBase, IMstLgaBp2EcarExcelExporter
    {
        public MstLgaBp2EcarExcelExporter(ITempFileCacheManager tempFileCacheManager) : base(tempFileCacheManager) { }
        public FileDto ExportToFile(List&lt;MstLgaBp2EcarDto&gt; bp2ecar)
        {
            return CreateExcelPackage(
				"MasterLogABp2Ecar.xlsx",
				excelPackage =&gt;
				 {
					var sheet = excelPackage.CreateSheet("Bp2Ecar");
					AddHeader(
								sheet,
								("Code"),
								("EcarName"),
								("ProdLine"),
								("EcarType"),
								("Sorting"),
								("IsActive"),
							   );
					AddObjects(
						 sheet, 1, bp2ecar,                                       
								_ =&gt; _.Code,
								_ =&gt; _.EcarName,
								_ =&gt; _.ProdLine,
								_ =&gt; _.EcarType,
								_ =&gt; _.Sorting,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configuration.CreateMap&lt;MstLgaBp2EcarDto, MstLgaBp2Ecar&gt;();
  configuration.CreateMap&lt;MstLgaBp2Ecar, MstLgaBp2EcarDto&gt;();
  configuration.CreateMap&lt;CreateOrEditMstLgaBp2EcarDto, MstLgaBp2Ecar&gt;();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325</v>
      </c>
      <c r="B9" t="s">
        <v>321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Name="IX_MstLgaBp2Ecar_Code")]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[StringLength(MstLgaBp2EcarConsts.MaxCodeLength)]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9" t="str">
        <f t="shared" ref="T9" si="10">REPT(CHAR(9),8)&amp;"("""&amp;D9&amp;"""),"</f>
        <v xml:space="preserve">								("Code"),</v>
      </c>
      <c r="V9" s="70" t="str">
        <f t="shared" ref="V9" si="11">REPT(CHAR(9),8)&amp;"_ =&gt; _."&amp;D9&amp;","</f>
        <v xml:space="preserve">								_ =&gt; _.Code,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22.5" customHeight="1" x14ac:dyDescent="0.25">
      <c r="A10" t="s">
        <v>326</v>
      </c>
      <c r="B10" t="s">
        <v>321</v>
      </c>
      <c r="C10" t="s">
        <v>1</v>
      </c>
      <c r="D10" t="str">
        <f>SUBSTITUTE(PROPER(A10),"_","")</f>
        <v>EcarName</v>
      </c>
      <c r="E10" t="str">
        <f t="shared" ref="E10:E14" si="13">IFERROR(LEFT(B10, FIND("(",B10)-1),B10)</f>
        <v>varchar</v>
      </c>
      <c r="F10" s="7"/>
      <c r="G10" t="str">
        <f t="shared" ref="G10:G14" si="14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14" si="15">IF(H10="string",REPT(CHAR(9),2)&amp;"public const int Max"&amp;D10&amp;"Length = "&amp;G10&amp;";"&amp;$E$3,"" )</f>
        <v xml:space="preserve">		public const int MaxEcarNameLength = 50;
</v>
      </c>
      <c r="J10" t="str">
        <f t="shared" ref="J10:J14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[StringLength(MaxEcarNameLength)]
		public virtual string EcarName { get; set; }
</v>
      </c>
      <c r="K10" s="7"/>
      <c r="L10" t="str">
        <f>IF(K10="","",REPT(CHAR(9),1)&amp;"[Index(nameof("&amp;IF(D10="","",""&amp;D10)&amp;")"&amp;", Name="&amp;"""IX_"&amp;$B$7&amp;"_"&amp;D10&amp;""")]")</f>
        <v/>
      </c>
      <c r="M10" t="str">
        <f t="shared" ref="M10:M14" si="17">REPT(CHAR(9),2)&amp;"public virtual "&amp;IF(OR(H10="DateTime",H10="TimeSpan"),H10&amp;"?",H10)&amp;IF(C10="?","? "," ")&amp;D10&amp;" { get; set; }" &amp; "
"</f>
        <v xml:space="preserve">		public virtual string EcarName { get; set; }
</v>
      </c>
      <c r="N10" t="str">
        <f t="shared" ref="N10:N14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[StringLength(MstLgaBp2EcarConsts.MaxEcarNameLength)]
		public virtual string EcarName { get; set; }
</v>
      </c>
      <c r="O10" t="str">
        <f t="shared" ref="O10:O14" si="19">IF(OR(H10="string",H10="DateTime",H10="int"),REPT(CHAR(9),2)&amp;"public virtual "&amp;IF(OR(H10="DateTime",H10="TimeSpan"),H10&amp;"?",H10)&amp;IF(C10="?","? "," ")&amp;D10&amp;" { get; set; }"&amp;$E$3,"")</f>
        <v xml:space="preserve">		public virtual string EcarName { get; set; }
</v>
      </c>
      <c r="P10" t="str">
        <f t="shared" ref="P10:P14" si="20">REPT(CHAR(9),7)&amp;D10&amp;" = o." &amp;D10 &amp;","</f>
        <v xml:space="preserve">							EcarName = o.EcarName,</v>
      </c>
      <c r="T10" s="69" t="str">
        <f t="shared" ref="T10:T14" si="21">REPT(CHAR(9),8)&amp;"("""&amp;D10&amp;"""),"</f>
        <v xml:space="preserve">								("EcarName"),</v>
      </c>
      <c r="V10" s="70" t="str">
        <f t="shared" ref="V10:V14" si="22">REPT(CHAR(9),8)&amp;"_ =&gt; _."&amp;D10&amp;","</f>
        <v xml:space="preserve">								_ =&gt; _.EcarName,</v>
      </c>
      <c r="W10" s="69" t="str">
        <f t="shared" ref="W10:W14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.WhereIf(!string.IsNullOrWhiteSpace(input.EcarName), e =&gt; e.EcarName.Contains(input.EcarName))</v>
      </c>
    </row>
    <row r="11" spans="1:23" customFormat="1" ht="22.5" customHeight="1" x14ac:dyDescent="0.25">
      <c r="A11" t="s">
        <v>327</v>
      </c>
      <c r="B11" t="s">
        <v>321</v>
      </c>
      <c r="C11" t="s">
        <v>1</v>
      </c>
      <c r="D11" t="str">
        <f>SUBSTITUTE(PROPER(A11),"_","")</f>
        <v>ProdLine</v>
      </c>
      <c r="E11" t="str">
        <f t="shared" si="13"/>
        <v>varchar</v>
      </c>
      <c r="F11" s="7"/>
      <c r="G11" t="str">
        <f t="shared" si="14"/>
        <v>50</v>
      </c>
      <c r="H11" t="str">
        <f>+VLOOKUP(E11,'Data Type Mapping'!A:B,2,)</f>
        <v>string</v>
      </c>
      <c r="I11" t="str">
        <f t="shared" si="15"/>
        <v xml:space="preserve">		public const int MaxProdLineLength = 50;
</v>
      </c>
      <c r="J11" t="str">
        <f t="shared" si="16"/>
        <v xml:space="preserve">		[StringLength(MaxProdLineLength)]
		public virtual string ProdLine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[Index(nameof(ProdLine), Name="IX_MstLgaBp2Ecar_ProdLine")]</v>
      </c>
      <c r="M11" t="str">
        <f t="shared" si="17"/>
        <v xml:space="preserve">		public virtual string ProdLine { get; set; }
</v>
      </c>
      <c r="N11" t="str">
        <f t="shared" si="18"/>
        <v xml:space="preserve">		[StringLength(MstLgaBp2EcarConsts.MaxProdLineLength)]
		public virtual string ProdLine { get; set; }
</v>
      </c>
      <c r="O11" t="str">
        <f t="shared" si="19"/>
        <v xml:space="preserve">		public virtual string ProdLine { get; set; }
</v>
      </c>
      <c r="P11" t="str">
        <f t="shared" si="20"/>
        <v xml:space="preserve">							ProdLine = o.ProdLine,</v>
      </c>
      <c r="T11" s="69" t="str">
        <f t="shared" si="21"/>
        <v xml:space="preserve">								("ProdLine"),</v>
      </c>
      <c r="V11" s="70" t="str">
        <f t="shared" si="22"/>
        <v xml:space="preserve">								_ =&gt; _.ProdLine,</v>
      </c>
      <c r="W11" s="69" t="str">
        <f t="shared" si="23"/>
        <v xml:space="preserve">				.WhereIf(!string.IsNullOrWhiteSpace(input.ProdLine), e =&gt; e.ProdLine.Contains(input.ProdLine))</v>
      </c>
    </row>
    <row r="12" spans="1:23" customFormat="1" ht="21" customHeight="1" x14ac:dyDescent="0.25">
      <c r="A12" t="s">
        <v>328</v>
      </c>
      <c r="B12" t="s">
        <v>321</v>
      </c>
      <c r="C12" t="s">
        <v>1</v>
      </c>
      <c r="D12" t="str">
        <f t="shared" ref="D12:D13" si="24">SUBSTITUTE(PROPER(A12),"_","")</f>
        <v>EcarType</v>
      </c>
      <c r="E12" t="str">
        <f t="shared" si="13"/>
        <v>varchar</v>
      </c>
      <c r="F12" s="7"/>
      <c r="G12" t="str">
        <f t="shared" si="14"/>
        <v>50</v>
      </c>
      <c r="H12" t="str">
        <f>+VLOOKUP(E12,'Data Type Mapping'!A:B,2,)</f>
        <v>string</v>
      </c>
      <c r="I12" t="str">
        <f t="shared" si="15"/>
        <v xml:space="preserve">		public const int MaxEcarTypeLength = 50;
</v>
      </c>
      <c r="J12" t="str">
        <f t="shared" si="16"/>
        <v xml:space="preserve">		[StringLength(MaxEcarTypeLength)]
		public virtual string EcarType { get; set; }
</v>
      </c>
      <c r="K12" s="7"/>
      <c r="L12" t="str">
        <f t="shared" ref="L12:L13" si="25">IF(K12="","",REPT(CHAR(9),1)&amp;"[Index(nameof("&amp;IF(D12="","",""&amp;D12)&amp;")"&amp;", Name="&amp;"""IX_"&amp;$B$7&amp;"_"&amp;D12&amp;""")]")</f>
        <v/>
      </c>
      <c r="M12" t="str">
        <f t="shared" si="17"/>
        <v xml:space="preserve">		public virtual string EcarType { get; set; }
</v>
      </c>
      <c r="N12" t="str">
        <f t="shared" si="18"/>
        <v xml:space="preserve">		[StringLength(MstLgaBp2EcarConsts.MaxEcarTypeLength)]
		public virtual string EcarType { get; set; }
</v>
      </c>
      <c r="O12" t="str">
        <f t="shared" si="19"/>
        <v xml:space="preserve">		public virtual string EcarType { get; set; }
</v>
      </c>
      <c r="P12" t="str">
        <f t="shared" si="20"/>
        <v xml:space="preserve">							EcarType = o.EcarType,</v>
      </c>
      <c r="T12" s="69" t="str">
        <f t="shared" si="21"/>
        <v xml:space="preserve">								("EcarType"),</v>
      </c>
      <c r="V12" s="70" t="str">
        <f t="shared" si="22"/>
        <v xml:space="preserve">								_ =&gt; _.EcarType,</v>
      </c>
      <c r="W12" s="69" t="str">
        <f t="shared" si="23"/>
        <v xml:space="preserve">				.WhereIf(!string.IsNullOrWhiteSpace(input.EcarType), e =&gt; e.EcarType.Contains(input.EcarType))</v>
      </c>
    </row>
    <row r="13" spans="1:23" customFormat="1" ht="18.75" customHeight="1" x14ac:dyDescent="0.25">
      <c r="A13" t="s">
        <v>329</v>
      </c>
      <c r="B13" t="s">
        <v>4</v>
      </c>
      <c r="C13" t="s">
        <v>1</v>
      </c>
      <c r="D13" t="str">
        <f t="shared" si="24"/>
        <v>Sorting</v>
      </c>
      <c r="E13" t="str">
        <f t="shared" si="13"/>
        <v>int</v>
      </c>
      <c r="F13" s="7"/>
      <c r="G13" t="str">
        <f t="shared" si="14"/>
        <v/>
      </c>
      <c r="H13" t="str">
        <f>+VLOOKUP(E13,'Data Type Mapping'!A:B,2,)</f>
        <v>int</v>
      </c>
      <c r="I13" t="str">
        <f t="shared" si="15"/>
        <v/>
      </c>
      <c r="J13" t="str">
        <f t="shared" si="16"/>
        <v xml:space="preserve">		public virtual int Sorting { get; set; }
</v>
      </c>
      <c r="K13" s="7"/>
      <c r="L13" t="str">
        <f t="shared" si="25"/>
        <v/>
      </c>
      <c r="M13" t="str">
        <f t="shared" si="17"/>
        <v xml:space="preserve">		public virtual int Sorting { get; set; }
</v>
      </c>
      <c r="N13" t="str">
        <f t="shared" si="18"/>
        <v xml:space="preserve">		public virtual int Sorting { get; set; }
</v>
      </c>
      <c r="O13" t="str">
        <f t="shared" si="19"/>
        <v xml:space="preserve">		public virtual int Sorting { get; set; }
</v>
      </c>
      <c r="P13" t="str">
        <f t="shared" si="20"/>
        <v xml:space="preserve">							Sorting = o.Sorting,</v>
      </c>
      <c r="T13" s="69" t="str">
        <f t="shared" si="21"/>
        <v xml:space="preserve">								("Sorting"),</v>
      </c>
      <c r="V13" s="70" t="str">
        <f t="shared" si="22"/>
        <v xml:space="preserve">								_ =&gt; _.Sorting,</v>
      </c>
      <c r="W13" s="69" t="str">
        <f t="shared" si="23"/>
        <v/>
      </c>
    </row>
    <row r="14" spans="1:23" customFormat="1" ht="22.5" customHeight="1" x14ac:dyDescent="0.25">
      <c r="A14" t="s">
        <v>330</v>
      </c>
      <c r="B14" t="s">
        <v>331</v>
      </c>
      <c r="C14" t="s">
        <v>1</v>
      </c>
      <c r="D14" t="str">
        <f>SUBSTITUTE(PROPER(A14),"_","")</f>
        <v>IsActive</v>
      </c>
      <c r="E14" t="str">
        <f t="shared" si="13"/>
        <v>varchar</v>
      </c>
      <c r="F14" s="7"/>
      <c r="G14" t="str">
        <f t="shared" si="14"/>
        <v>1</v>
      </c>
      <c r="H14" t="str">
        <f>+VLOOKUP(E14,'Data Type Mapping'!A:B,2,)</f>
        <v>string</v>
      </c>
      <c r="I14" t="str">
        <f t="shared" si="15"/>
        <v xml:space="preserve">		public const int MaxIsActiveLength = 1;
</v>
      </c>
      <c r="J14" t="str">
        <f t="shared" si="16"/>
        <v xml:space="preserve">		[StringLength(MaxIsActiveLength)]
		public virtual string IsActive { get; set; }
</v>
      </c>
      <c r="K14" s="7" t="s">
        <v>206</v>
      </c>
      <c r="L14" t="str">
        <f>IF(K14="","",REPT(CHAR(9),1)&amp;"[Index(nameof("&amp;IF(D14="","",""&amp;D14)&amp;")"&amp;", Name="&amp;"""IX_"&amp;$B$7&amp;"_"&amp;D14&amp;""")]")</f>
        <v xml:space="preserve">	[Index(nameof(IsActive), Name="IX_MstLgaBp2Ecar_IsActive")]</v>
      </c>
      <c r="M14" t="str">
        <f t="shared" si="17"/>
        <v xml:space="preserve">		public virtual string IsActive { get; set; }
</v>
      </c>
      <c r="N14" t="str">
        <f t="shared" si="18"/>
        <v xml:space="preserve">		[StringLength(MstLgaBp2EcarConsts.MaxIsActiveLength)]
		public virtual string IsActive { get; set; }
</v>
      </c>
      <c r="O14" t="str">
        <f t="shared" si="19"/>
        <v xml:space="preserve">		public virtual string IsActive { get; set; }
</v>
      </c>
      <c r="P14" t="str">
        <f t="shared" si="20"/>
        <v xml:space="preserve">							IsActive = o.IsActive,</v>
      </c>
      <c r="T14" s="69" t="str">
        <f t="shared" si="21"/>
        <v xml:space="preserve">								("IsActive"),</v>
      </c>
      <c r="V14" s="70" t="str">
        <f t="shared" si="22"/>
        <v xml:space="preserve">								_ =&gt; _.IsActive,</v>
      </c>
      <c r="W14" s="69" t="str">
        <f t="shared" si="23"/>
        <v xml:space="preserve">				.WhereIf(!string.IsNullOrWhiteSpace(input.IsActive), e =&gt; e.IsActive.Contains(input.IsActive))</v>
      </c>
    </row>
    <row r="16" spans="1:23" ht="45.75" customHeight="1" x14ac:dyDescent="0.25">
      <c r="H16" s="12"/>
      <c r="I16" s="34" t="str">
        <f ca="1">TEXTJOIN2("
", TRUE,INDIRECT( $H$1):INDIRECT( $H$3))</f>
        <v xml:space="preserve">		public const int MaxCodeLength = 50;
		public const int MaxEcarNameLength = 50;
		public const int MaxProdLineLength = 50;
		public const int MaxEcarTypeLength = 50;
		public const int MaxIsActiveLength = 1;
</v>
      </c>
      <c r="J16" s="33" t="str">
        <f ca="1">TEXTJOIN2("
", TRUE,INDIRECT( $F$1):INDIRECT( $F$3))</f>
        <v xml:space="preserve">		[StringLength(MaxCodeLength)]
		public virtual string Code { get; set; }
		[StringLength(MaxEcarNameLength)]
		public virtual string EcarName { get; set; }
		[StringLength(MaxProdLineLength)]
		public virtual string ProdLine { get; set; }
		[StringLength(MaxEcarTypeLength)]
		public virtual string EcarType { get; set; }
		public virtual int Sorting { get; set; }
		[StringLength(MaxIsActiveLength)]
		public virtual string IsActive { get; set; }
</v>
      </c>
      <c r="K16" s="35" t="str">
        <f ca="1">TEXTJOIN2("
", TRUE,INDIRECT( $J$1):INDIRECT( $J$3))</f>
        <v xml:space="preserve">	[Index(nameof(Code), Name="IX_MstLgaBp2Ecar_Code")]
	[Index(nameof(ProdLine), Name="IX_MstLgaBp2Ecar_ProdLine")]
	[Index(nameof(IsActive), Name="IX_MstLgaBp2Ecar_IsActive")]</v>
      </c>
      <c r="L16" s="13" t="s">
        <v>60</v>
      </c>
      <c r="M16" s="36" t="str">
        <f ca="1">TEXTJOIN2("
",TRUE,INDIRECT( $L$1):INDIRECT($L$3))</f>
        <v xml:space="preserve">		public virtual string Code { get; set; }
		public virtual string EcarName { get; set; }
		public virtual string ProdLine { get; set; }
		public virtual string EcarType { get; set; }
		public virtual int Sorting { get; set; }
		public virtual string IsActive { get; set; }
</v>
      </c>
      <c r="N16" s="33" t="str">
        <f ca="1">TEXTJOIN2("
",TRUE,INDIRECT( $M$1):INDIRECT($M$3))</f>
        <v xml:space="preserve">		[StringLength(MstLgaBp2EcarConsts.MaxCodeLength)]
		public virtual string Code { get; set; }
		[StringLength(MstLgaBp2EcarConsts.MaxEcarNameLength)]
		public virtual string EcarName { get; set; }
		[StringLength(MstLgaBp2EcarConsts.MaxProdLineLength)]
		public virtual string ProdLine { get; set; }
		[StringLength(MstLgaBp2EcarConsts.MaxEcarTypeLength)]
		public virtual string EcarType { get; set; }
		public virtual int Sorting { get; set; }
		[StringLength(MstLgaBp2EcarConsts.MaxIsActiveLength)]
		public virtual string IsActive { get; set; }
</v>
      </c>
      <c r="O16" s="33" t="str">
        <f ca="1">TEXTJOIN2("
",TRUE,INDIRECT( $N$1):INDIRECT($N$3))</f>
        <v xml:space="preserve">		public virtual string Code { get; set; }
		public virtual string EcarName { get; set; }
		public virtual string ProdLine { get; set; }
		public virtual string EcarType { get; set; }
		public virtual int Sorting { get; set; }
		public virtual string IsActive { get; set; }
</v>
      </c>
      <c r="P16" s="9" t="str">
        <f ca="1">TEXTJOIN2("
",TRUE,INDIRECT( $O$1):INDIRECT($O$3))</f>
        <v xml:space="preserve">							Code = o.Code,
							EcarName = o.EcarName,
							ProdLine = o.ProdLine,
							EcarType = o.EcarType,
							Sorting = o.Sorting,
							IsActive = o.IsActive,</v>
      </c>
      <c r="T16" s="9" t="str">
        <f ca="1">TEXTJOIN2("
",TRUE,INDIRECT( $T$2):INDIRECT($T$3))</f>
        <v xml:space="preserve">								("Code"),
								("EcarName"),
								("ProdLine"),
								("EcarType"),
								("Sorting"),
								("IsActive"),</v>
      </c>
      <c r="V16" s="9" t="str">
        <f ca="1">TEXTJOIN2("
",TRUE,INDIRECT( $V$2):INDIRECT($V$3))</f>
        <v xml:space="preserve">								_ =&gt; _.Code,
								_ =&gt; _.EcarName,
								_ =&gt; _.ProdLine,
								_ =&gt; _.EcarType,
								_ =&gt; _.Sorting,
								_ =&gt; _.IsActive,</v>
      </c>
      <c r="W16" s="9" t="str">
        <f ca="1">TEXTJOIN2("
",TRUE,INDIRECT( $W$2):INDIRECT($W$3))</f>
        <v xml:space="preserve">				.WhereIf(!string.IsNullOrWhiteSpace(input.Code), e =&gt; e.Code.Contains(input.Code))
				.WhereIf(!string.IsNullOrWhiteSpace(input.EcarName), e =&gt; e.EcarName.Contains(input.EcarName))
				.WhereIf(!string.IsNullOrWhiteSpace(input.ProdLine), e =&gt; e.ProdLine.Contains(input.ProdLine))
				.WhereIf(!string.IsNullOrWhiteSpace(input.EcarType), e =&gt; e.EcarType.Contains(input.EcarType))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3"/>
  <sheetViews>
    <sheetView workbookViewId="0">
      <selection activeCell="C31" sqref="C31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332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LogA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loga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MstLgaBp2Ecar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Bp2Ecar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bp2ecar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MstLgaBp2EcarDto, MstLgaBp2EcarServiceProxy } from '@shared/service-proxies/service-proxies';
import { finalize } from 'rxjs/internal/operators/finalize';
import { CreateOrEditBp2EcarModalComponent } from './create-or-edit-bp2ecar-modal.component';
import { DatePipe } from '@angular/common';
import { FileDownloadService } from '@shared/utils/file-download.service';
import ceil from 'lodash-es/ceil';
import { Paginator } from 'primeng/paginator';
@Component({
    templateUrl: './bp2ecar.component.html',
    styleUrls: ['./bp2ecar.component.less'],
})
export class Bp2EcarComponent extends AppComponentBase implements OnInit {
    @ViewChild('createOrEditModalBp2Ecar', { static: true }) createOrEditModalBp2Ecar:| CreateOrEditBp2EcarModalComponent|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MstLgaBp2EcarDto = new MstLgaBp2EcarDto();
    saveSelectedRow: MstLgaBp2EcarDto = new MstLgaBp2EcarDto();
    datas: MstLgaBp2EcarDto = new MstLgaBp2EcarDto();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ecarName : string = '' ; 
	prodLine : string = '' ; 
	ecarType : string = '' ; 
	sorting : number = 0 ;
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MstLgaBp2EcarServiceProxy,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this.l('Ecar Name'),headerTooltip: this.l('Ecar Name'),field: 'ecarName',flex: 1},
			{headerName: this.l('Prod Line'),headerTooltip: this.l('Prod Line'),field: 'prodLine',flex: 1},
			{headerName: this.l('Ecar Type'),headerTooltip: this.l('Ecar Type'),field: 'ecarType',flex: 1},
			{headerName: this.l('Sorting'),headerTooltip: this.l('Sorting'),field: 'sorting',flex: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this.ecarName,
			this.prodLine,
			this.ecarType,
			this.sorting,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this.ecarName = '',
		this.prodLine = '',
		this.ecarType = '',
		this.sorting = 0,
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this.ecarName,
			this.prodLine,
			this.ecarType,
			this.sorting,
			this.isActive,
			'',
            this.paginationParams.skipCount,
            this.paginationParams.pageSize
        );
    }
    onChangeRowSelection(params: { api: { getSelectedRows: () =&gt; MstLgaBp2EcarDto[] } }) {
        this.saveSelectedRow = params.api.getSelectedRows()[0] ?? new MstLgaBp2EcarDto();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MstLgaBp2EcarDto):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this._service.getBp2EcarToExcel(
			this.code,
			this.ecarName,
			this.prodLine,
			this.ecarType,
			this.sorting,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Big Part 2x2 Ecar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[(ngModel)]='ecarName' name='ecarName'
									class='form-control' [placeholder]="l('Ecar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[(ngModel)]='ecarType' name='ecarType'
									class='form-control' [placeholder]="l('Ecar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(click)="createOrEditModalBp2Ecar.show()"&gt;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(click)="createOrEditModalBp2Ecar.show(selectedRow)"&gt;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&lt;create-or-edit-bp2ecar-modal
    #createOrEditModalBp2Ecar
    (modalSave)="callBackDataGrid(dataParams)"
    (modalClose)="onChangeRowSelection(dataParams)"
&gt;
&lt;/create-or-edit-bp2ecar-modal&gt;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#createOrEditModalBp2Ecar="bs-modal"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Bp2Ecar')}}&lt;/h3&gt;
                    &lt;h3 *ngIf="!rowdata.id"&gt;{{('Create New Bp2Ecar')}}&lt;/h3&gt;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title'&gt;Ecar Name&lt;/label&gt;
						&lt;input type='text' class='col-md-10 form-control input-text' name='EcarName' [(ngModel)]='rowdata.ecarName'&gt;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title'&gt;Ecar Type&lt;/label&gt;
						&lt;input type='text' class='col-md-10 form-control input-text' name='EcarType' [(ngModel)]='rowdata.ecarType'&gt;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CreateOrEditMstLgaBp2EcarDto, MstLgaBp2EcarServiceProxy } from '@shared/service-proxies/service-proxies';
import { BsDatepickerDirective } from 'ngx-bootstrap/datepicker';
@Component({
    selector: 'create-or-edit-bp2ecar-modal',
    templateUrl: './create-or-edit-bp2ecar-modal.component.html',
    styleUrls: ['./create-or-edit-bp2ecar-modal.component.less']
    })
export class CreateOrEditBp2EcarModalComponent extends AppComponentBase {
    @ViewChild('createOrEditModalBp2Ecar',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CreateOrEditMstLgaBp2EcarDto = new CreateOrEditMstLgaBp2EcarDto();
    active: boolean = false;
    saving: boolean = false;
    _isActive: boolean;
    constructor(
        injector: Injector,
        private _mstwptBp2EcarService: MstLgaBp2EcarServiceProxy,
    ) 
    {
        super(injector);
    }
    show(rowdata?: CreateOrEditMstLgaBp2EcarDto): void {
        if (!rowdata) this.rowdata = new CreateOrEditMstLgaBp2EcarDto();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this._mstwptBp2EcarService.createOrEdit(this.rowdata)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Bp2EcarRoutingModule } from './bp2ecar-routing.module';
import { Bp2EcarComponent } from './bp2ecar.component';
import { CreateOrEditBp2EcarModalComponent } from './create-or-edit-bp2ecar-modal.component';
@NgModule({
    declarations: [
       Bp2EcarComponent, 
        CreateOrEditBp2EcarModalComponent
    ],
    imports: [
        AppSharedModule, Bp2EcarRoutingModule]
})
export class Bp2EcarModule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Bp2EcarComponent } from './bp2ecar.component';
const routes: Routes = [{
    path: '',
    component: Bp2EcarComponent,
    pathMatch: 'full'
}];
@NgModule({
    imports: [RouterModule.forChild(routes)],
    exports: [RouterModule],
})
export class Bp2EcarRoutingModule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AppMenuItem("Bp2Ecar", "Pages.Master.LogA.Bp2Ecar", "flaticon-book",   "/app/main/master/loga/bp2ecar"),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'master/loga/bp2ecar',
    loadChildren: () =&gt; import('./master/loga/bp2ecar/bp2ecar.module').then(m =&gt; m.Bp2EcarModule),
    data: { permission: 'Pages.Master.LogA.Bp2Ecar' }
},</v>
      </c>
      <c r="R10" s="50" t="str">
        <f>SUBSTITUTE(R9,"MstWptCalendar",$B$6)</f>
        <v>ApiServiceProxies.MstLgaBp2EcarServiceProxy,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H20</v>
      </c>
      <c r="I12" s="31" t="str">
        <f>"I"&amp;COUNTA($A:$A)</f>
        <v>I20</v>
      </c>
      <c r="J12" s="31"/>
      <c r="K12" s="31" t="str">
        <f>"K"&amp;COUNTA($A:$A)</f>
        <v>K20</v>
      </c>
      <c r="L12" s="31" t="str">
        <f>"L"&amp;COUNTA($A:$A)</f>
        <v>L20</v>
      </c>
      <c r="M12" s="31"/>
      <c r="N12" s="31"/>
      <c r="O12" s="31"/>
      <c r="P12" s="31"/>
      <c r="Q12" s="31"/>
      <c r="R12" s="31"/>
      <c r="S12" s="31" t="str">
        <f>"S"&amp;COUNTA($A:$A)</f>
        <v>S20</v>
      </c>
      <c r="T12" s="31" t="str">
        <f>"T"&amp;COUNTA($A:$A)</f>
        <v>T20</v>
      </c>
      <c r="U12" s="31" t="str">
        <f>"U"&amp;COUNTA($A:$A)</f>
        <v>U20</v>
      </c>
      <c r="V12" s="31" t="str">
        <f>"V"&amp;COUNTA($A:$A)</f>
        <v>V20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this.l('Code'),headerTooltip: this.l('Code'),field: 'code',flex: 1},
			{headerName: this.l('Ecar Name'),headerTooltip: this.l('Ecar Name'),field: 'ecarName',flex: 1},
			{headerName: this.l('Prod Line'),headerTooltip: this.l('Prod Line'),field: 'prodLine',flex: 1},
			{headerName: this.l('Ecar Type'),headerTooltip: this.l('Ecar Type'),field: 'ecarType',flex: 1},
			{headerName: this.l('Sorting'),headerTooltip: this.l('Sorting'),field: 'sorting',flex: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[(ngModel)]='ecarName' name='ecarName'
									class='form-control' [placeholder]="l('Ecar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[(ngModel)]='ecarType' name='ecarType'
									class='form-control' [placeholder]="l('Ecar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title'&gt;Ecar Name&lt;/label&gt;
						&lt;input type='text' class='col-md-10 form-control input-text' name='EcarName' [(ngModel)]='rowdata.ecarName'&gt;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title'&gt;Ecar Type&lt;/label&gt;
						&lt;input type='text' class='col-md-10 form-control input-text' name='EcarType' [(ngModel)]='rowdata.ecarType'&gt;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code : string = '' ; 
	ecarName : string = '' ; 
	prodLine : string = '' ; 
	ecarType : string = '' ; 
	sorting : number = 0 ;
isActive : string = '' ; </v>
      </c>
      <c r="T13" s="68" t="str">
        <f ca="1">TEXTJOIN2("
",TRUE,INDIRECT(T11):INDIRECT(T12))</f>
        <v xml:space="preserve">			this.code,
			this.ecarName,
			this.prodLine,
			this.ecarType,
			this.sorting,
			this.isActive,</v>
      </c>
      <c r="U13" s="68" t="str">
        <f ca="1">TEXTJOIN2("
",TRUE,INDIRECT(U11):INDIRECT(U12))</f>
        <v>this.code = '',
		this.ecarName = '',
		this.prodLine = '',
		this.ecarType = '',
		this.sorting = 0,
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bp2ecar.component.ts</v>
      </c>
      <c r="I14" s="40" t="str">
        <f>B8&amp;".component.html"</f>
        <v>bp2ecar.component.html</v>
      </c>
      <c r="J14" s="39" t="str">
        <f>B8&amp;".component.less"</f>
        <v>bp2ecar.component.less</v>
      </c>
      <c r="K14" s="40" t="str">
        <f>"create-or-edit-"&amp;B8&amp;"-modal.component.html"</f>
        <v>create-or-edit-bp2ecar-modal.component.html</v>
      </c>
      <c r="L14" s="40" t="str">
        <f>"create-or-edit-"&amp;B8&amp;"-modal.component.ts"</f>
        <v>create-or-edit-bp2ecar-modal.component.ts</v>
      </c>
      <c r="M14" s="40" t="str">
        <f>"create-or-edit-"&amp;B8&amp;"-modal.component.less"</f>
        <v>create-or-edit-bp2ecar-modal.component.less</v>
      </c>
      <c r="N14" s="40" t="str">
        <f>B8&amp;".module.ts"</f>
        <v>bp2ecar.module.ts</v>
      </c>
      <c r="O14" s="40" t="str">
        <f>B8&amp;"-routing.module.ts"</f>
        <v>bp2ecar-routing.module.ts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325</v>
      </c>
      <c r="B15" s="31" t="str">
        <f>SUBSTITUTE(PROPER(A15),"_","")</f>
        <v>Code</v>
      </c>
      <c r="C15" s="31" t="str">
        <f>SUBSTITUTE(PROPER(A15),"_"," ")</f>
        <v>Code</v>
      </c>
      <c r="D15" s="31" t="str">
        <f>LOWER(LEFT(B15,1))&amp;RIGHT(B15,LEN(B15) - 1)</f>
        <v>code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code : string = '' ; </v>
      </c>
      <c r="T15" s="31" t="str">
        <f>REPT(CHAR(9),3)&amp;"this."&amp;D15&amp;","</f>
        <v xml:space="preserve">			this.code,</v>
      </c>
      <c r="U15" s="31" t="str">
        <f>IF(E15="int","this."&amp;D15&amp;" = 0,","this."&amp;D15&amp;" = '',")</f>
        <v>this.code = '',</v>
      </c>
      <c r="V15" s="31" t="str">
        <f>IF(AND(E15="string",F15="1"),D15,"")</f>
        <v/>
      </c>
    </row>
    <row r="16" spans="1:22" ht="15" customHeight="1" x14ac:dyDescent="0.25">
      <c r="A16" s="31" t="s">
        <v>326</v>
      </c>
      <c r="B16" s="31" t="str">
        <f t="shared" ref="B16:B20" si="0">SUBSTITUTE(PROPER(A16),"_","")</f>
        <v>EcarName</v>
      </c>
      <c r="C16" s="31" t="str">
        <f t="shared" ref="C16:C20" si="1">SUBSTITUTE(PROPER(A16),"_"," ")</f>
        <v>Ecar Name</v>
      </c>
      <c r="D16" s="31" t="str">
        <f t="shared" ref="D16:D20" si="2">LOWER(LEFT(B16,1))&amp;RIGHT(B16,LEN(B16) - 1)</f>
        <v>ecarName</v>
      </c>
      <c r="E16" s="31" t="str">
        <f>A.Backend!H10</f>
        <v>string</v>
      </c>
      <c r="F16" s="31" t="str">
        <f>A.Backend!G10</f>
        <v>50</v>
      </c>
      <c r="G16" s="31" t="str">
        <f t="shared" ref="G16:G20" si="3">IF(E16="string"," : string = '' ; ",IF(OR(E16="DateTime",E16="TimeSpan")," : any ;",IF(E16="int"," : number = 0 ;","")))</f>
        <v xml:space="preserve"> : string = '' ; </v>
      </c>
      <c r="H16" s="38" t="str">
        <f t="shared" ref="H16:H20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this.l('Ecar Name'),headerTooltip: this.l('Ecar Name'),field: 'ecarName',flex: 1},</v>
      </c>
      <c r="I16" s="38" t="str">
        <f t="shared" ref="I16:I20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[(ngModel)]='ecarName' name='ecarName'
									class='form-control' [placeholder]="l('Ecar Name')"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title'&gt;Ecar Name&lt;/label&gt;
						&lt;input type='text' class='col-md-10 form-control input-text' name='EcarName' [(ngModel)]='rowdata.ecarName'&gt;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ecarName : string = '' ; </v>
      </c>
      <c r="T16" s="31" t="str">
        <f>REPT(CHAR(9),3)&amp;"this."&amp;D16&amp;","</f>
        <v xml:space="preserve">			this.ecarName,</v>
      </c>
      <c r="U16" s="31" t="str">
        <f>IF(E16="int",REPT(CHAR(9),2)&amp;"this."&amp;D16&amp;" = 0,",REPT(CHAR(9),2)&amp;"this."&amp;D16&amp;" = '',")</f>
        <v xml:space="preserve">		this.ecarName = '',</v>
      </c>
      <c r="V16" s="31" t="str">
        <f t="shared" ref="V16:V19" si="8">IF(AND(E16="string",F16="1"),D16,"")</f>
        <v/>
      </c>
    </row>
    <row r="17" spans="1:22" ht="18" customHeight="1" x14ac:dyDescent="0.25">
      <c r="A17" s="31" t="s">
        <v>327</v>
      </c>
      <c r="B17" s="31" t="str">
        <f t="shared" si="0"/>
        <v>ProdLine</v>
      </c>
      <c r="C17" s="31" t="str">
        <f t="shared" si="1"/>
        <v>Prod Line</v>
      </c>
      <c r="D17" s="31" t="str">
        <f t="shared" si="2"/>
        <v>prodLine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this.l('Prod Line'),headerTooltip: this.l('Prod Line'),field: 'prodLine',flex: 1},</v>
      </c>
      <c r="I17" s="38" t="str">
        <f t="shared" si="5"/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prodLine : string = '' ; </v>
      </c>
      <c r="T17" s="31" t="str">
        <f t="shared" ref="T17:T19" si="10">REPT(CHAR(9),3)&amp;"this."&amp;D17&amp;","</f>
        <v xml:space="preserve">			this.prodLine,</v>
      </c>
      <c r="U17" s="31" t="str">
        <f t="shared" ref="U17:U19" si="11">IF(E17="int",REPT(CHAR(9),2)&amp;"this."&amp;D17&amp;" = 0,",REPT(CHAR(9),2)&amp;"this."&amp;D17&amp;" = '',")</f>
        <v xml:space="preserve">		this.prodLine = '',</v>
      </c>
      <c r="V17" s="31" t="str">
        <f t="shared" si="8"/>
        <v/>
      </c>
    </row>
    <row r="18" spans="1:22" ht="18" customHeight="1" x14ac:dyDescent="0.25">
      <c r="A18" s="31" t="s">
        <v>328</v>
      </c>
      <c r="B18" s="31" t="str">
        <f t="shared" si="0"/>
        <v>EcarType</v>
      </c>
      <c r="C18" s="31" t="str">
        <f t="shared" si="1"/>
        <v>Ecar Type</v>
      </c>
      <c r="D18" s="31" t="str">
        <f t="shared" si="2"/>
        <v>ecarType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this.l('Ecar Type'),headerTooltip: this.l('Ecar Type'),field: 'ecarType',flex: 1},</v>
      </c>
      <c r="I18" s="38" t="str">
        <f t="shared" si="5"/>
        <v xml:space="preserve">								&lt;div class='input-search'&gt;
									&lt;input [(ngModel)]='ecarType' name='ecarType'
									class='form-control' [placeholder]="l('Ecar Type')"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title'&gt;Ecar Type&lt;/label&gt;
						&lt;input type='text' class='col-md-10 form-control input-text' name='EcarType' [(ngModel)]='rowdata.ecarType'&gt;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ecarType : string = '' ; </v>
      </c>
      <c r="T18" s="31" t="str">
        <f t="shared" si="10"/>
        <v xml:space="preserve">			this.ecarType,</v>
      </c>
      <c r="U18" s="31" t="str">
        <f t="shared" si="11"/>
        <v xml:space="preserve">		this.ecarType = '',</v>
      </c>
      <c r="V18" s="31" t="str">
        <f t="shared" si="8"/>
        <v/>
      </c>
    </row>
    <row r="19" spans="1:22" ht="15" customHeight="1" x14ac:dyDescent="0.25">
      <c r="A19" s="31" t="s">
        <v>329</v>
      </c>
      <c r="B19" s="31" t="str">
        <f t="shared" si="0"/>
        <v>Sorting</v>
      </c>
      <c r="C19" s="31" t="str">
        <f t="shared" si="1"/>
        <v>Sorting</v>
      </c>
      <c r="D19" s="31" t="str">
        <f t="shared" si="2"/>
        <v>sorting</v>
      </c>
      <c r="E19" s="31" t="str">
        <f>A.Backend!H13</f>
        <v>int</v>
      </c>
      <c r="F19" s="31" t="str">
        <f>A.Backend!G13</f>
        <v/>
      </c>
      <c r="G19" s="31" t="str">
        <f t="shared" si="3"/>
        <v xml:space="preserve"> : number = 0 ;</v>
      </c>
      <c r="H19" s="38" t="str">
        <f t="shared" si="4"/>
        <v xml:space="preserve">			{headerName: this.l('Sorting'),headerTooltip: this.l('Sorting'),field: 'sorting',flex: 1},</v>
      </c>
      <c r="I19" s="38" t="str">
        <f t="shared" si="5"/>
        <v/>
      </c>
      <c r="J19" s="31"/>
      <c r="K19" s="38" t="str">
        <f t="shared" si="6"/>
        <v xml:space="preserve">					&lt;div class='col-md-12 form-group row'&gt;
						&lt;label class='col-md-2 form-control title'&gt;Sorting&lt;/label&gt;
						&lt;input type='number' class='col-md-10 form-control input-text' name='Sorting' [(ngModel)]='rowdata.sorting'&gt;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sorting : number = 0 ;</v>
      </c>
      <c r="T19" s="31" t="str">
        <f t="shared" si="10"/>
        <v xml:space="preserve">			this.sorting,</v>
      </c>
      <c r="U19" s="31" t="str">
        <f t="shared" si="11"/>
        <v xml:space="preserve">		this.sorting = 0,</v>
      </c>
      <c r="V19" s="31" t="str">
        <f t="shared" si="8"/>
        <v/>
      </c>
    </row>
    <row r="20" spans="1:22" ht="18" customHeight="1" x14ac:dyDescent="0.25">
      <c r="A20" s="31" t="s">
        <v>330</v>
      </c>
      <c r="B20" s="31" t="str">
        <f t="shared" si="0"/>
        <v>IsActive</v>
      </c>
      <c r="C20" s="31" t="str">
        <f t="shared" si="1"/>
        <v>Is Active</v>
      </c>
      <c r="D20" s="31" t="str">
        <f t="shared" si="2"/>
        <v>isActive</v>
      </c>
      <c r="E20" s="31" t="str">
        <f>A.Backend!H14</f>
        <v>string</v>
      </c>
      <c r="F20" s="31" t="str">
        <f>A.Backend!G14</f>
        <v>1</v>
      </c>
      <c r="G20" s="31" t="str">
        <f t="shared" si="3"/>
        <v xml:space="preserve"> : string = '' ; </v>
      </c>
      <c r="H20" s="38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0" s="38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D20&amp;G20</f>
        <v xml:space="preserve">isActive : string = '' ; </v>
      </c>
      <c r="T20" s="31" t="str">
        <f>REPT(CHAR(9),3)&amp;"this."&amp;D20&amp;","</f>
        <v xml:space="preserve">			this.isActive,</v>
      </c>
      <c r="U20" s="31" t="str">
        <f>IF(E20="int","this."&amp;D20&amp;" = 0,","this."&amp;D20&amp;" = '',")</f>
        <v>this.isActive = '',</v>
      </c>
      <c r="V20" s="31" t="str">
        <f>IF(AND(E20="string",F20="1"),D20,"")</f>
        <v>isActive</v>
      </c>
    </row>
    <row r="2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2022-10-11T11:40:01Z</dcterms:modified>
</cp:coreProperties>
</file>
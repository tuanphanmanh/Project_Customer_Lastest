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V20" i="5"/>
  <c r="C20" i="5"/>
  <c r="B20" i="5"/>
  <c r="D20" i="5" s="1"/>
  <c r="C19" i="5"/>
  <c r="B19" i="5"/>
  <c r="D19" i="5" s="1"/>
  <c r="T19" i="5" l="1"/>
  <c r="H19" i="5"/>
  <c r="T20" i="5"/>
  <c r="K19" i="5"/>
  <c r="U19" i="5"/>
  <c r="H20" i="5"/>
  <c r="I19" i="5"/>
  <c r="G19" i="5"/>
  <c r="L19" i="5"/>
  <c r="V19" i="5"/>
  <c r="I20" i="5"/>
  <c r="S19" i="5"/>
  <c r="K20" i="5"/>
  <c r="U20" i="5"/>
  <c r="G20" i="5"/>
  <c r="S20" i="5" s="1"/>
  <c r="L20" i="5"/>
  <c r="L14" i="1" l="1"/>
  <c r="G14" i="1"/>
  <c r="E14" i="1"/>
  <c r="H14" i="1" s="1"/>
  <c r="D14" i="1"/>
  <c r="V14" i="1" s="1"/>
  <c r="N14" i="1" l="1"/>
  <c r="I14" i="1"/>
  <c r="M14" i="1"/>
  <c r="W14" i="1"/>
  <c r="O14" i="1"/>
  <c r="J14" i="1"/>
  <c r="P14" i="1"/>
  <c r="T14" i="1"/>
  <c r="Q3" i="1"/>
  <c r="B16" i="5" l="1"/>
  <c r="D16" i="5" s="1"/>
  <c r="C16" i="5"/>
  <c r="B17" i="5"/>
  <c r="D17" i="5" s="1"/>
  <c r="C17" i="5"/>
  <c r="B18" i="5"/>
  <c r="D18" i="5" s="1"/>
  <c r="C18" i="5"/>
  <c r="B21" i="5"/>
  <c r="D21" i="5" s="1"/>
  <c r="C21" i="5"/>
  <c r="C15" i="5"/>
  <c r="B15" i="5"/>
  <c r="D15" i="5" s="1"/>
  <c r="T15" i="5" s="1"/>
  <c r="G15" i="1"/>
  <c r="E15" i="1"/>
  <c r="H15" i="1" s="1"/>
  <c r="D15" i="1"/>
  <c r="V15" i="1" s="1"/>
  <c r="L13" i="1"/>
  <c r="G13" i="1"/>
  <c r="E13" i="1"/>
  <c r="H13" i="1" s="1"/>
  <c r="D13" i="1"/>
  <c r="V13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L9" i="1"/>
  <c r="G9" i="1"/>
  <c r="F15" i="5" s="1"/>
  <c r="E9" i="1"/>
  <c r="H9" i="1" s="1"/>
  <c r="E15" i="5" s="1"/>
  <c r="D9" i="1"/>
  <c r="T9" i="1" s="1"/>
  <c r="O15" i="1" l="1"/>
  <c r="G17" i="5"/>
  <c r="L17" i="5"/>
  <c r="O13" i="1"/>
  <c r="G16" i="5"/>
  <c r="V16" i="5"/>
  <c r="G18" i="5"/>
  <c r="S18" i="5" s="1"/>
  <c r="V18" i="5"/>
  <c r="H21" i="5"/>
  <c r="G15" i="5"/>
  <c r="V15" i="5"/>
  <c r="P11" i="1"/>
  <c r="I21" i="5"/>
  <c r="I17" i="5"/>
  <c r="H17" i="5"/>
  <c r="I18" i="5"/>
  <c r="H18" i="5"/>
  <c r="H16" i="5"/>
  <c r="I16" i="5"/>
  <c r="L18" i="5"/>
  <c r="U18" i="5"/>
  <c r="U15" i="5"/>
  <c r="T21" i="5"/>
  <c r="T18" i="5"/>
  <c r="K18" i="5"/>
  <c r="H15" i="5"/>
  <c r="I15" i="5"/>
  <c r="K15" i="5"/>
  <c r="L16" i="5"/>
  <c r="L15" i="5"/>
  <c r="S15" i="5"/>
  <c r="V17" i="5"/>
  <c r="P13" i="1"/>
  <c r="V10" i="1"/>
  <c r="T13" i="1"/>
  <c r="P15" i="1"/>
  <c r="T15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3" i="1"/>
  <c r="I15" i="1"/>
  <c r="T12" i="1"/>
  <c r="J13" i="1"/>
  <c r="W13" i="1"/>
  <c r="J15" i="1"/>
  <c r="W15" i="1"/>
  <c r="T11" i="1"/>
  <c r="M13" i="1"/>
  <c r="M15" i="1"/>
  <c r="P10" i="1"/>
  <c r="N13" i="1"/>
  <c r="N15" i="1"/>
  <c r="P9" i="1"/>
  <c r="V9" i="1"/>
  <c r="W9" i="1"/>
  <c r="J9" i="1"/>
  <c r="I9" i="1"/>
  <c r="O9" i="1"/>
  <c r="N9" i="1"/>
  <c r="M9" i="1"/>
  <c r="U21" i="5" l="1"/>
  <c r="L21" i="5"/>
  <c r="K21" i="5"/>
  <c r="G21" i="5"/>
  <c r="S21" i="5" s="1"/>
  <c r="V21" i="5"/>
  <c r="K17" i="5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7" i="1"/>
  <c r="T7" i="1" l="1"/>
  <c r="W17" i="1"/>
  <c r="G6" i="1" l="1"/>
  <c r="S13" i="5"/>
  <c r="K13" i="5"/>
  <c r="U13" i="5"/>
  <c r="V13" i="5"/>
  <c r="L13" i="5"/>
  <c r="H13" i="5"/>
  <c r="I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1" i="1" l="1"/>
  <c r="L10" i="1"/>
  <c r="L15" i="1"/>
  <c r="C7" i="1"/>
  <c r="O17" i="1"/>
  <c r="I17" i="1"/>
  <c r="P17" i="1"/>
  <c r="N17" i="1"/>
  <c r="J17" i="1"/>
  <c r="Q7" i="1" l="1"/>
  <c r="M58" i="3" s="1"/>
  <c r="L7" i="1"/>
  <c r="G58" i="3" s="1"/>
  <c r="K58" i="3"/>
  <c r="J58" i="3"/>
  <c r="K17" i="1"/>
  <c r="M17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<sst xmlns="http://schemas.openxmlformats.org/spreadsheetml/2006/main" count="429" uniqueCount="334">
  <si>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</si>
  <si>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</si>
  <si>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</si>
  <si>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</si>
  <si>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</si>
  <si>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</si>
  <si>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</si>
  <si>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</si>
  <si>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</si>
  <si>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</si>
  <si>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</si>
  <si>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</si>
  <si>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</si>
  <si>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</si>
  <si>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</si>
  <si>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</si>
  <si>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</si>
  <si>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</si>
  <si>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</si>
  <si>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</si>
  <si>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</si>
  <si>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</si>
  <si>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</si>
  <si>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</si>
  <si>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</si>
  <si>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</si>
  <si>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</si>
  <si>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</si>
  <si>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</si>
  <si>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</si>
  <si>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</si>
  <si>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</si>
  <si>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</si>
  <si>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</si>
  <si>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</si>
  <si>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</si>
  <si>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</si>
  <si>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</si>
  <si>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</si>
  <si>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</si>
  <si>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</si>
  <si>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</si>
  <si>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</si>
  <si>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</si>
  <si>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</si>
  <si>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</si>
  <si>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</si>
  <si>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</si>
  <si>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</si>
  <si>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</si>
  <si>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</si>
  <si>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</si>
  <si>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</si>
  <si>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</si>
  <si>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</si>
  <si>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</si>
  <si>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</si>
  <si>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</si>
  <si>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</si>
  <si>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</si>
  <si>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</si>
  <si>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</si>
  <si>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</si>
  <si>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</si>
  <si>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</si>
  <si>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</si>
  <si>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</si>
  <si>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</si>
  <si>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</si>
  <si>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</si>
  <si>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</si>
  <si>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</si>
  <si>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</si>
  <si>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</si>
  <si>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</si>
  <si>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</si>
  <si>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</si>
  <si>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</si>
  <si>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</si>
  <si>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</si>
  <si>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</si>
  <si>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</si>
  <si>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</si>
  <si>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</si>
  <si>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</si>
  <si>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</si>
  <si>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</si>
  <si>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</si>
  <si>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</si>
  <si>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</si>
  <si>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</si>
  <si>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</si>
  <si>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</si>
  <si>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</si>
  <si>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</si>
  <si>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</si>
  <si>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</si>
  <si>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</si>
  <si>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</si>
  <si>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</si>
  <si>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</si>
  <si>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</si>
  <si>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</si>
  <si>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</si>
  <si>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</si>
  <si>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</si>
  <si>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</si>
  <si>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</si>
  <si>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</si>
  <si>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</si>
  <si>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</si>
  <si>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</si>
  <si>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</si>
  <si>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</si>
  <si>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</si>
  <si>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</si>
  <si>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</si>
  <si>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</si>
  <si>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</si>
  <si>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</si>
  <si>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</si>
  <si>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</si>
  <si>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</si>
  <si>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</si>
  <si>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</si>
  <si>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</si>
  <si>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</si>
  <si>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</si>
  <si>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</si>
  <si>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</si>
  <si>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</si>
  <si>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</si>
  <si>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</si>
  <si>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</si>
  <si>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</si>
  <si>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</si>
  <si>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</si>
  <si>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</si>
  <si>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</si>
  <si>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</si>
  <si>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</si>
  <si>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</si>
  <si>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</si>
  <si>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</si>
  <si>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</si>
  <si>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</si>
  <si>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</si>
  <si>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</si>
  <si>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</si>
  <si>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</si>
  <si>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</si>
  <si>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</si>
  <si>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</si>
  <si>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</si>
  <si>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</si>
  <si>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</si>
  <si>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</si>
  <si>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</si>
  <si>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</si>
  <si>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</si>
  <si>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</si>
  <si>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</si>
  <si>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</si>
  <si>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</si>
  <si>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</si>
  <si>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</si>
  <si>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</si>
  <si>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</si>
  <si>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</si>
  <si>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</si>
  <si>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</si>
  <si>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</si>
  <si>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</si>
  <si>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</si>
  <si>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</si>
  <si>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</si>
  <si>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</si>
  <si>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</si>
  <si>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</si>
  <si>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</si>
  <si>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</si>
  <si>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</si>
  <si>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</si>
  <si>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</si>
  <si>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</si>
  <si>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</si>
  <si>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</si>
  <si>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</si>
  <si>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</si>
  <si>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</si>
  <si>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</si>
  <si>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</si>
  <si>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</si>
  <si>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</si>
  <si>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</si>
  <si>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</si>
  <si>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</si>
  <si>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</si>
  <si>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</si>
  <si>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</si>
  <si>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</si>
  <si>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</si>
  <si>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</si>
  <si>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</si>
  <si>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</si>
  <si>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</si>
  <si>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</si>
  <si>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</si>
  <si>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</si>
  <si>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</si>
  <si>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</si>
  <si>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</si>
  <si>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</si>
  <si>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</si>
  <si>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</si>
  <si>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</si>
  <si>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</si>
  <si>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</si>
  <si>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</si>
  <si>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</si>
  <si>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</si>
  <si>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</si>
  <si>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</si>
  <si>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</si>
  <si>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</si>
  <si>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</si>
  <si>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</si>
  <si>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</si>
  <si>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</si>
  <si>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</si>
  <si>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</si>
  <si>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</si>
  <si>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</si>
  <si>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</si>
  <si>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</si>
  <si>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</si>
  <si>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</si>
  <si>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</si>
  <si>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</si>
  <si>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</si>
  <si>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</si>
  <si>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</si>
  <si>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</si>
  <si>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</si>
  <si>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</si>
  <si>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</si>
  <si>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</si>
  <si>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</si>
  <si>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</si>
  <si>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</si>
  <si>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</si>
  <si>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</si>
  <si>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</si>
  <si>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</si>
  <si>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</si>
  <si>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</si>
  <si>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</si>
  <si>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</si>
  <si>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</si>
  <si>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</si>
  <si>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</si>
  <si>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</si>
  <si>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</si>
  <si>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</si>
  <si>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</si>
  <si>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</si>
  <si>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</si>
  <si>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</si>
  <si>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</si>
  <si>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</si>
  <si>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</si>
  <si>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</si>
  <si>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</si>
  <si>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</si>
  <si>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</si>
  <si>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</si>
  <si>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</si>
  <si>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</si>
  <si>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</si>
  <si>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</si>
  <si>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</si>
  <si>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</si>
  <si>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</si>
  <si>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</si>
  <si>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</si>
  <si>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</si>
  <si>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</si>
  <si>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</si>
  <si>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</si>
  <si>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</si>
  <si>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</si>
  <si>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</si>
  <si>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</si>
  <si>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</si>
  <si>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</si>
  <si>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</si>
  <si>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</si>
  <si>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</si>
  <si>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</si>
  <si>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</si>
  <si>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</si>
  <si>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</si>
  <si>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</si>
  <si>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</si>
  <si>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</si>
  <si>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</si>
  <si>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</si>
  <si>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</si>
  <si>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</si>
  <si>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</si>
  <si>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</si>
  <si>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</si>
  <si>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</si>
  <si>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</si>
  <si>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</si>
  <si>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</si>
  <si>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</si>
  <si>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</si>
  <si>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</si>
  <si>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</si>
  <si>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</si>
  <si>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</si>
  <si>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</si>
  <si>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CODE</t>
  </si>
  <si>
    <t>PROD_LINE</t>
  </si>
  <si>
    <t>SORTING</t>
  </si>
  <si>
    <t>IS_ACTIVE</t>
  </si>
  <si>
    <t>varchar(1)</t>
  </si>
  <si>
    <t>LA Big Part 2x2 Ecar</t>
  </si>
  <si>
    <t>MstLgaBp2Process</t>
  </si>
  <si>
    <t>Bp2Process</t>
  </si>
  <si>
    <t>PROCESS_NAME</t>
  </si>
  <si>
    <t>LEAD_TIME</t>
  </si>
  <si>
    <t>PROCESS_TYPE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</si>
</sst>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workbookViewId="0">
      <selection activeCell="C48" sqref="C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[Table("MstLgaBp2Process")]
	[Index(nameof(Code), Name="IX_MstLgaBp2Process_Code")]
	[Index(nameof(ProdLine), Name="IX_MstLgaBp2Process_ProdLine")]
	[Index(nameof(IsActive), Name="IX_MstLgaBp2Process_IsActive")]	public class MstLgaBp2Process: FullAuditedEntity&lt;long&gt;, IEntity&lt;long&gt;	
	{
		public const int MaxCodeLength = 50;
		public const int MaxProcessNameLength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[StringLength(MaxProdLineLength)]
		public virtual string ProdLine { get; set; }
		public virtual int LeadTime { get; set; }
		public virtual int Sorting { get; set; }
		[StringLength(MaxProcessTypeLength)]
		public virtual string ProcessType { get; set; }
		[StringLength(MaxIsActiveLength)]
		public virtual string IsActive { get; set; }
	}
}
</v>
      </c>
      <c r="D58" s="51" t="str">
        <f>A.Backend!O7</f>
        <v xml:space="preserve">		public const string Pages_Master_LogA_Bp2Process = "Pages.Master.LogA.Bp2Process";
		public const string Pages_Master_LogA_Bp2Process_CreateEdit = "Pages.Master.LogA.Bp2Process.CreateEdit";
		public const string Pages_Master_LogA_Bp2Process_Delete = "Pages.Master.LogA.Bp2Process.Delete";
</v>
      </c>
      <c r="E58" s="51" t="str">
        <f>A.Backend!N7</f>
        <v xml:space="preserve">		var perMstLgaBp2Process = PARENTS.CreateChildPermission(AppPermissions.Pages_Master_LogA_Bp2Process, L( "MasterLogABp2Process"), multiTenancySides: MultiTenancySides.Tenant);
		perMstLgaBp2Process.CreateChildPermission(AppPermissions.Pages_Master_LogA_Bp2Process_CreateEdit, L( "MasterLogABp2ProcessCreateEdit"), multiTenancySides: MultiTenancySides.Tenant);
		perMstLgaBp2Process.CreateChildPermission(AppPermissions.Pages_Master_LogA_Bp2Process_Delete, L( "MasterLogABp2ProcessDelete"), multiTenancySides: MultiTenancySides.Tenant);</v>
      </c>
      <c r="F58" s="51" t="str">
        <f>A.Backend!K7</f>
        <v>public virtual DbSet&lt;MstLgaBp2Process&gt; MstLgaBp2Processs { get; set; }</v>
      </c>
      <c r="G58" s="51" t="str">
        <f ca="1">A.Backend!L7</f>
        <v xml:space="preserve">namespace vovina.Master.LogA
{
	public class MstLgaBp2ProcessConsts	
	{
		public const int MaxCodeLength = 50;
		public const int MaxProcessNameLength = 50;
		public const int MaxProdLineLength = 50;
		public const int MaxProcessTypeLength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MstLgaBp2ProcessDto : EntityDto&lt;long?&gt;	
	{
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	}
	public class CreateOrEditMstLgaBp2ProcessDto : EntityDto&lt;long?&gt;	
	{
		[StringLength(MstLgaBp2ProcessConsts.MaxCodeLength)]
		public virtual string Code { get; set; }
		[StringLength(MstLgaBp2ProcessConsts.MaxProcessNameLength)]
		public virtual string ProcessName { get; set; }
		[StringLength(MstLgaBp2ProcessConsts.MaxProdLineLength)]
		public virtual string ProdLine { get; set; }
		public virtual int LeadTime { get; set; }
		public virtual int Sorting { get; set; }
		[StringLength(MstLgaBp2ProcessConsts.MaxProcessTypeLength)]
		public virtual string ProcessType { get; set; }
		[StringLength(MstLgaBp2ProcessConsts.MaxIsActiveLength)]
		public virtual string IsActive { get; set; }
	}
	public class GetMstLgaBp2ProcessInput : PagedAndSortedResultRequestDto	
	{
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MstLgaBp2ProcessExportInput{
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IMstLgaBp2ProcessAppService : IApplicationService
	{
		Task&lt;PagedResultDto&lt;MstLgaBp2ProcessDto&gt;&gt; GetAll(GetMstLgaBp2ProcessInput input);
		Task CreateOrEdit(CreateOrEditMstLgaBp2ProcessDto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IMstLgaBp2ProcessExcelExporter : IApplicationService
	{
		FileDto ExportToFile(List&lt;MstLgaBp2ProcessDto&gt; mstlgabp2process);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MstLgaBp2ProcessExcelExporter : NpoiExcelExporterBase, IMstLgaBp2ProcessExcelExporter
    {
        public MstLgaBp2ProcessExcelExporter(ITempFileCacheManager tempFileCacheManager) : base(tempFileCacheManager) { }
        public FileDto ExportToFile(List&lt;MstLgaBp2ProcessDto&gt; bp2process)
        {
            return CreateExcelPackage(
				"MasterLogABp2Process.xlsx",
				excelPackage =&gt;
				 {
					var sheet = excelPackage.CreateSheet("Bp2Process");
					AddHeader(
								sheet,
								("Code"),
								("ProcessName"),
								("ProdLine"),
								("LeadTime"),
								("Sorting"),
								("ProcessType"),
								("IsActive"),
							   );
					AddObjects(
						 sheet, 1, bp2process,                                       
								_ =&gt; _.Code,
								_ =&gt; _.ProcessName,
								_ =&gt; _.ProdLine,
								_ =&gt; _.LeadTime,
								_ =&gt; _.Sorting,
								_ =&gt; _.ProcessType,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[AbpAuthorize(AppPermissions.Pages_Master_LogA_Bp2Process)]
    public class MstLgaBp2ProcessAppService : vovinaAppServiceBase, IMstLgaBp2ProcessAppService
    {
        private readonly IDapperRepository&lt;MstLgaBp2Process, long&gt; _dapperRepo;
        private readonly IRepository&lt;MstLgaBp2Process, long&gt; _repo;
        private readonly IMstLgaBp2ProcessExcelExporter _calendarListExcelExporter;
        public MstLgaBp2ProcessAppService(IRepository&lt;MstLgaBp2Process,long&gt; repo, 
                                         IDapperRepository&lt;MstLgaBp2Process,long&gt; dapperRepo,
                                        IMstLgaBp2ProcessExcelExporter calendarListExcelExporter
            )
        {
            _repo = repo;
            _dapperRepo = dapperRepo;
            _calendarListExcelExporter = calendarListExcelExporter;
        }
        [AbpAuthorize(AppPermissions.Pages_Master_LogA_Bp2Process_CreateEdit)]
        public async Task CreateOrEdit(CreateOrEditMstLgaBp2ProcessDto input)
        {
            if (input.Id == null) await Create(input);
            else await Update(input);
        }
        //CREATE
        private async Task Create(CreateOrEditMstLgaBp2ProcessDto input)
        {          
            var mainObj = ObjectMapper.Map&lt;MstLgaBp2Process&gt;(input);
            await CurrentUnitOfWork.GetDbContext&lt;vovinaDbContext&gt;().AddAsync(mainObj);
        }
        // EDIT
        private async Task Update(CreateOrEditMstLgaBp2ProcessDto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Task&lt;PagedResultDto&lt;MstLgaBp2ProcessDto&gt;&gt; GetAll(GetMstLgaBp2ProcessInput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MstLgaBp2ProcessDto
                        {
							Id = o.Id,
							Code = o.Code,
							ProcessName = o.ProcessName,
							ProdLine = o.ProdLine,
							LeadTime = o.LeadTime,
							Sorting = o.Sorting,
							ProcessType = o.ProcessType,
							IsActive = o.IsActive,
                        };
            var totalCount = await filtered.CountAsync();
			var paged = system.PageBy(input);
            return new PagedResultDto&lt;MstLgaBp2ProcessDto&gt;(
                totalCount,
                 await paged.ToListAsync()
            );
        }
        public async Task&lt;FileDto&gt; GetBp2ProcessToExcel(MstLgaBp2ProcessExportInput input)
        {
            var query = from o in _repo.GetAll()
                        select new MstLgaBp2ProcessDto
                        {
							Id = o.Id,
							Code = o.Code,
							ProcessName = o.ProcessName,
							ProdLine = o.ProdLine,
							LeadTime = o.LeadTime,
							Sorting = o.Sorting,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_dapperRepo.ExecuteAsync(MstLgaBp2ProcessConsts.SP_MST_WPT_CALENDAR_GENERATE);
       // }
    }
}</v>
      </c>
      <c r="N58" s="62" t="str">
        <f>A.Backend!U7</f>
        <v xml:space="preserve">  configuration.CreateMap&lt;MstLgaBp2ProcessDto, MstLgaBp2Process&gt;();
  configuration.CreateMap&lt;MstLgaBp2Process, MstLgaBp2ProcessDto&gt;();
  configuration.CreateMap&lt;CreateOrEditMstLgaBp2ProcessDto, MstLgaBp2Process&gt;();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bp2process</v>
      </c>
      <c r="C63" s="72" t="str">
        <f>"create folder " &amp;B63</f>
        <v>create folder bp2process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bp2process.component.ts</v>
      </c>
      <c r="D64" s="31" t="str">
        <f>B.Frontend!I14</f>
        <v>bp2process.component.html</v>
      </c>
      <c r="E64" s="31" t="str">
        <f>B.Frontend!J14</f>
        <v>bp2process.component.less</v>
      </c>
      <c r="F64" s="31" t="str">
        <f>B.Frontend!K14</f>
        <v>create-or-edit-bp2process-modal.component.html</v>
      </c>
      <c r="G64" s="31" t="str">
        <f>B.Frontend!L14</f>
        <v>create-or-edit-bp2process-modal.component.ts</v>
      </c>
      <c r="H64" s="31" t="str">
        <f>B.Frontend!M14</f>
        <v>create-or-edit-bp2process-modal.component.less</v>
      </c>
      <c r="I64" s="31" t="str">
        <f>B.Frontend!N14</f>
        <v>bp2process.module.ts</v>
      </c>
      <c r="J64" s="31" t="str">
        <f>B.Frontend!O14</f>
        <v>bp2process-routing.module.ts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MstLgaBp2ProcessDto, MstLgaBp2ProcessServiceProxy } from '@shared/service-proxies/service-proxies';
import { finalize } from 'rxjs/internal/operators/finalize';
import { CreateOrEditBp2ProcessModalComponent } from './create-or-edit-bp2process-modal.component';
import { DatePipe } from '@angular/common';
import { FileDownloadService } from '@shared/utils/file-download.service';
import ceil from 'lodash-es/ceil';
import { Paginator } from 'primeng/paginator';
@Component({
    templateUrl: './bp2process.component.html',
    styleUrls: ['./bp2process.component.less'],
})
export class Bp2ProcessComponent extends AppComponentBase implements OnInit {
    @ViewChild('createOrEditModalBp2Process', { static: true }) createOrEditModalBp2Process:| CreateOrEditBp2ProcessModalComponent|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MstLgaBp2ProcessDto = new MstLgaBp2ProcessDto();
    saveSelectedRow: MstLgaBp2ProcessDto = new MstLgaBp2ProcessDto();
    datas: MstLgaBp2ProcessDto = new MstLgaBp2ProcessDto();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prodLine : string = '' ; 
	leadTime : number = 0 ;
	sorting : number = 0 ;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this.prodLine,
			this.leadTime,
			this.sorting,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this.prodLine = '',
		this.leadTime = 0,
		this.sorting = 0,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this.prodLine,
			this.leadTime,
			this.sorting,
			this.processType,
			this.isActive,
			'',
            this.paginationParams.skipCount,
            this.paginationParams.pageSize
        );
    }
    onChangeRowSelection(params: { api: { getSelectedRows: () =&gt; MstLgaBp2ProcessDto[] } }) {
        this.saveSelectedRow = params.api.getSelectedRows()[0] ?? new MstLgaBp2ProcessDto();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this._service.getBp2ProcessToExcel(
			this.code,
			this.processName,
			this.prodLine,
			this.leadTime,
			this.sorting,
			this.processType,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Ecar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&lt;create-or-edit-bp2process-modal
    #createOrEditModalBp2Process
    (modalSave)="callBackDataGrid(dataParams)"
    (modalClose)="onChangeRowSelection(dataParams)"
&gt;
&lt;/create-or-edit-bp2process-modal&gt;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#createOrEditModalBp2Process="bs-modal"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Bp2Process')}}&lt;/h3&gt;
                    &lt;h3 *ngIf="!rowdata.id"&gt;{{('Create New Bp2Process')}}&lt;/h3&gt;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CreateOrEditMstLgaBp2ProcessDto, MstLgaBp2ProcessServiceProxy } from '@shared/service-proxies/service-proxies';
import { BsDatepickerDirective } from 'ngx-bootstrap/datepicker';
@Component({
    selector: 'create-or-edit-bp2process-modal',
    templateUrl: './create-or-edit-bp2process-modal.component.html',
    styleUrls: ['./create-or-edit-bp2process-modal.component.less']
    })
export class CreateOrEditBp2ProcessModalComponent extends AppComponentBase {
    @ViewChild('createOrEditModalBp2Process',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CreateOrEditMstLgaBp2ProcessDto = new CreateOrEditMstLgaBp2ProcessDto();
    active: boolean = false;
    saving: boolean = false;
    _isActive: boolean;
    constructor(
        injector: Injector,
        private _mstwptBp2ProcessService: MstLgaBp2ProcessServiceProxy,
    ) 
    {
        super(injector);
    }
    show(rowdata?: CreateOrEditMstLgaBp2ProcessDto): void {
        if (!rowdata) this.rowdata = new CreateOrEditMstLgaBp2ProcessDto();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Bp2ProcessRoutingModule } from './bp2process-routing.module';
import { Bp2ProcessComponent } from './bp2process.component';
import { CreateOrEditBp2ProcessModalComponent } from './create-or-edit-bp2process-modal.component';
@NgModule({
    declarations: [
       Bp2ProcessComponent, 
        CreateOrEditBp2ProcessModalComponent
    ],
    imports: [
        AppSharedModule, Bp2ProcessRoutingModule]
})
export class Bp2ProcessModule {}</v>
      </c>
      <c r="J65" s="49" t="str">
        <f>B.Frontend!O10</f>
        <v>import {NgModule} from '@angular/core';
import {RouterModule, Routes} from '@angular/router';
import { Bp2ProcessComponent } from './bp2process.component';
const routes: Routes = [{
    path: '',
    component: Bp2ProcessComponent,
    pathMatch: 'full'
}];
@NgModule({
    imports: [RouterModule.forChild(routes)],
    exports: [RouterModule],
})
export class Bp2ProcessRoutingModule {}</v>
      </c>
      <c r="K65" s="49" t="str">
        <f>B.Frontend!P10</f>
        <v xml:space="preserve"> new AppMenuItem("Bp2Process", "Pages.Master.LogA.Bp2Process", "flaticon-book",   "/app/main/master/loga/bp2process"),</v>
      </c>
      <c r="L65" s="50" t="str">
        <f>B.Frontend!Q10</f>
        <v>{
    path: 'master/loga/bp2process',
    loadChildren: () =&gt; import('./master/loga/bp2process/bp2process.module').then(m =&gt; m.Bp2ProcessModule),
    data: { permission: 'Pages.Master.LogA.Bp2Process' }
},</v>
      </c>
      <c r="M65" s="48" t="str">
        <f>B.Frontend!R10</f>
        <v>ApiServiceProxies.MstLgaBp2ProcessServiceProxy,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tabSelected="1" workbookViewId="0">
      <pane xSplit="1" topLeftCell="B1" activePane="topRight" state="frozen"/>
      <selection pane="topRight" activeCell="C14" sqref="C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329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MstLgaBp2ProcessExportInput{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MstLgaBp2Process: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MstLgaBp2ProcessConsts	
	{
</v>
      </c>
      <c r="F6" s="11" t="str">
        <f>REPT(CHAR(9),1)&amp;"public class "&amp;B3&amp;"Dto"&amp;K3&amp;REPT(CHAR(9),1)&amp;"
"&amp;REPT(CHAR(9),1)&amp;C3</f>
        <v xml:space="preserve">	public class MstLgaBp2ProcessDto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CreateOrEditMstLgaBp2ProcessDto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GetMstLgaBp2ProcessInput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MstLgaBp2Process</v>
      </c>
      <c r="C7" s="11" t="str">
        <f>REPT(CHAR(9),1)&amp;"[Table("""&amp;B7&amp;""")]"&amp;"
"</f>
        <v xml:space="preserve">	[Table("MstLgaBp2Process")]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[Table("MstLgaBp2Process")]
	[Index(nameof(Code), Name="IX_MstLgaBp2Process_Code")]
	[Index(nameof(ProdLine), Name="IX_MstLgaBp2Process_ProdLine")]
	[Index(nameof(IsActive), Name="IX_MstLgaBp2Process_IsActive")]	public class MstLgaBp2Process: FullAuditedEntity&lt;long&gt;, IEntity&lt;long&gt;	
	{
		public const int MaxCodeLength = 50;
		public const int MaxProcessNameLength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[StringLength(MaxProdLineLength)]
		public virtual string ProdLine { get; set; }
		public virtual int LeadTime { get; set; }
		public virtual int Sorting { get; set; }
		[StringLength(MaxProcessTypeLength)]
		public virtual string ProcessType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DbSet&lt;MstLgaBp2Process&gt; MstLgaBp2Processs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vovina.Master.LogA
{
	public class MstLgaBp2ProcessConsts	
	{
		public const int MaxCodeLength = 50;
		public const int MaxProcessNameLength = 50;
		public const int MaxProdLineLength = 50;
		public const int MaxProcessTypeLength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vovina.Master.LogA.Dto
{
	public class MstLgaBp2ProcessDto : EntityDto&lt;long?&gt;	
	{
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	}
	public class CreateOrEditMstLgaBp2ProcessDto : EntityDto&lt;long?&gt;	
	{
		[StringLength(MstLgaBp2ProcessConsts.MaxCodeLength)]
		public virtual string Code { get; set; }
		[StringLength(MstLgaBp2ProcessConsts.MaxProcessNameLength)]
		public virtual string ProcessName { get; set; }
		[StringLength(MstLgaBp2ProcessConsts.MaxProdLineLength)]
		public virtual string ProdLine { get; set; }
		public virtual int LeadTime { get; set; }
		public virtual int Sorting { get; set; }
		[StringLength(MstLgaBp2ProcessConsts.MaxProcessTypeLength)]
		public virtual string ProcessType { get; set; }
		[StringLength(MstLgaBp2ProcessConsts.MaxIsActiveLength)]
		public virtual string IsActive { get; set; }
	}
	public class GetMstLgaBp2ProcessInput : PagedAndSortedResultRequestDto	
	{
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perMstLgaBp2Process = PARENTS.CreateChildPermission(AppPermissions.Pages_Master_LogA_Bp2Process, L( "MasterLogABp2Process"), multiTenancySides: MultiTenancySides.Tenant);
		perMstLgaBp2Process.CreateChildPermission(AppPermissions.Pages_Master_LogA_Bp2Process_CreateEdit, L( "MasterLogABp2ProcessCreateEdit"), multiTenancySides: MultiTenancySides.Tenant);
		perMstLgaBp2Process.CreateChildPermission(AppPermissions.Pages_Master_LogA_Bp2Process_Delete, L( "MasterLogABp2ProcessDelete"),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Pages_Master_LogA_Bp2Process = "Pages.Master.LogA.Bp2Process";
		public const string Pages_Master_LogA_Bp2Process_CreateEdit = "Pages.Master.LogA.Bp2Process.CreateEdit";
		public const string Pages_Master_LogA_Bp2Process_Delete = "Pages.Master.LogA.Bp2Process.Delete";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IMstLgaBp2ProcessAppService : IApplicationService
	{
		Task&lt;PagedResultDto&lt;MstLgaBp2ProcessDto&gt;&gt; GetAll(GetMstLgaBp2ProcessInput input);
		Task CreateOrEdit(CreateOrEditMstLgaBp2ProcessDto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[AbpAuthorize(AppPermissions.Pages_Master_LogA_Bp2Process)]
    public class MstLgaBp2ProcessAppService : vovinaAppServiceBase, IMstLgaBp2ProcessAppService
    {
        private readonly IDapperRepository&lt;MstLgaBp2Process, long&gt; _dapperRepo;
        private readonly IRepository&lt;MstLgaBp2Process, long&gt; _repo;
        private readonly IMstLgaBp2ProcessExcelExporter _calendarListExcelExporter;
        public MstLgaBp2ProcessAppService(IRepository&lt;MstLgaBp2Process,long&gt; repo, 
                                         IDapperRepository&lt;MstLgaBp2Process,long&gt; dapperRepo,
                                        IMstLgaBp2ProcessExcelExporter calendarListExcelExporter
            )
        {
            _repo = repo;
            _dapperRepo = dapperRepo;
            _calendarListExcelExporter = calendarListExcelExporter;
        }
        [AbpAuthorize(AppPermissions.Pages_Master_LogA_Bp2Process_CreateEdit)]
        public async Task CreateOrEdit(CreateOrEditMstLgaBp2ProcessDto input)
        {
            if (input.Id == null) await Create(input);
            else await Update(input);
        }
        //CREATE
        private async Task Create(CreateOrEditMstLgaBp2ProcessDto input)
        {          
            var mainObj = ObjectMapper.Map&lt;MstLgaBp2Process&gt;(input);
            await CurrentUnitOfWork.GetDbContext&lt;vovinaDbContext&gt;().AddAsync(mainObj);
        }
        // EDIT
        private async Task Update(CreateOrEditMstLgaBp2ProcessDto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Task&lt;PagedResultDto&lt;MstLgaBp2ProcessDto&gt;&gt; GetAll(GetMstLgaBp2ProcessInput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MstLgaBp2ProcessDto
                        {
							Id = o.Id,
							Code = o.Code,
							ProcessName = o.ProcessName,
							ProdLine = o.ProdLine,
							LeadTime = o.LeadTime,
							Sorting = o.Sorting,
							ProcessType = o.ProcessType,
							IsActive = o.IsActive,
                        };
            var totalCount = await filtered.CountAsync();
			var paged = system.PageBy(input);
            return new PagedResultDto&lt;MstLgaBp2ProcessDto&gt;(
                totalCount,
                 await paged.ToListAsync()
            );
        }
        public async Task&lt;FileDto&gt; GetBp2ProcessToExcel(MstLgaBp2ProcessExportInput input)
        {
            var query = from o in _repo.GetAll()
                        select new MstLgaBp2ProcessDto
                        {
							Id = o.Id,
							Code = o.Code,
							ProcessName = o.ProcessName,
							ProdLine = o.ProdLine,
							LeadTime = o.LeadTime,
							Sorting = o.Sorting,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_dapperRepo.ExecuteAsync(MstLgaBp2ProcessConsts.SP_MST_WPT_CALENDAR_GENERATE);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vovina.Master.LogA.Dto
{
	public class MstLgaBp2ProcessExportInput{
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IMstLgaBp2ProcessExcelExporter : IApplicationService
	{
		FileDto ExportToFile(List&lt;MstLgaBp2ProcessDto&gt; mstlgabp2process);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MstLgaBp2ProcessExcelExporter : NpoiExcelExporterBase, IMstLgaBp2ProcessExcelExporter
    {
        public MstLgaBp2ProcessExcelExporter(ITempFileCacheManager tempFileCacheManager) : base(tempFileCacheManager) { }
        public FileDto ExportToFile(List&lt;MstLgaBp2ProcessDto&gt; bp2process)
        {
            return CreateExcelPackage(
				"MasterLogABp2Process.xlsx",
				excelPackage =&gt;
				 {
					var sheet = excelPackage.CreateSheet("Bp2Process");
					AddHeader(
								sheet,
								("Code"),
								("ProcessName"),
								("ProdLine"),
								("LeadTime"),
								("Sorting"),
								("ProcessType"),
								("IsActive"),
							   );
					AddObjects(
						 sheet, 1, bp2process,                                       
								_ =&gt; _.Code,
								_ =&gt; _.ProcessName,
								_ =&gt; _.ProdLine,
								_ =&gt; _.LeadTime,
								_ =&gt; _.Sorting,
								_ =&gt; _.ProcessType,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configuration.CreateMap&lt;MstLgaBp2ProcessDto, MstLgaBp2Process&gt;();
  configuration.CreateMap&lt;MstLgaBp2Process, MstLgaBp2ProcessDto&gt;();
  configuration.CreateMap&lt;CreateOrEditMstLgaBp2ProcessDto, MstLgaBp2Process&gt;();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323</v>
      </c>
      <c r="B9" t="s">
        <v>321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Name="IX_MstLgaBp2Process_Code")]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[StringLength(MstLgaBp2ProcessConsts.MaxCodeLength)]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331</v>
      </c>
      <c r="B10" t="s">
        <v>321</v>
      </c>
      <c r="C10" t="s">
        <v>1</v>
      </c>
      <c r="D10" t="str">
        <f>SUBSTITUTE(PROPER(A10),"_","")</f>
        <v>ProcessName</v>
      </c>
      <c r="E10" t="str">
        <f t="shared" ref="E10:E15" si="13">IFERROR(LEFT(B10, FIND("(",B10)-1),B10)</f>
        <v>varchar</v>
      </c>
      <c r="F10" s="7"/>
      <c r="G10" t="str">
        <f t="shared" ref="G10:G15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5" si="15">IF(H10="string",REPT(CHAR(9),2)&amp;"public const int Max"&amp;D10&amp;"Length = "&amp;G10&amp;";"&amp;$E$3,"" )</f>
        <v xml:space="preserve">		public const int MaxProcessNameLength = 50;
</v>
      </c>
      <c r="J10" t="str">
        <f t="shared" ref="J10:J15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[StringLength(MaxProcessNameLength)]
		public virtual string ProcessName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5" si="17">REPT(CHAR(9),2)&amp;"public virtual "&amp;IF(OR(H10="DateTime",H10="TimeSpan"),H10&amp;"?",H10)&amp;IF(C10="?","? "," ")&amp;D10&amp;" { get; set; }" &amp; "
"</f>
        <v xml:space="preserve">		public virtual string ProcessName { get; set; }
</v>
      </c>
      <c r="N10" t="str">
        <f t="shared" ref="N10:N15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[StringLength(MstLgaBp2ProcessConsts.MaxProcessNameLength)]
		public virtual string ProcessName { get; set; }
</v>
      </c>
      <c r="O10" t="str">
        <f t="shared" ref="O10:O15" si="19">IF(OR(H10="string",H10="DateTime",H10="int"),REPT(CHAR(9),2)&amp;"public virtual "&amp;IF(OR(H10="DateTime",H10="TimeSpan"),H10&amp;"?",H10)&amp;IF(C10="?","? "," ")&amp;D10&amp;" { get; set; }"&amp;$E$3,"")</f>
        <v xml:space="preserve">		public virtual string ProcessName { get; set; }
</v>
      </c>
      <c r="P10" t="str">
        <f t="shared" ref="P10:P15" si="20">REPT(CHAR(9),7)&amp;D10&amp;" = o." &amp;D10 &amp;","</f>
        <v xml:space="preserve">							ProcessName = o.ProcessName,</v>
      </c>
      <c r="T10" s="69" t="str">
        <f t="shared" ref="T10:T15" si="21">REPT(CHAR(9),8)&amp;"("""&amp;D10&amp;"""),"</f>
        <v xml:space="preserve">								("ProcessName"),</v>
      </c>
      <c r="V10" s="70" t="str">
        <f t="shared" ref="V10:V15" si="22">REPT(CHAR(9),8)&amp;"_ =&gt; _."&amp;D10&amp;","</f>
        <v xml:space="preserve">								_ =&gt; _.ProcessName,</v>
      </c>
      <c r="W10" s="69" t="str">
        <f t="shared" ref="W10:W15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.WhereIf(!string.IsNullOrWhiteSpace(input.ProcessName), e =&gt; e.ProcessName.Contains(input.ProcessName))</v>
      </c>
    </row>
    <row r="11" spans="1:23" customFormat="1" ht="22.5" customHeight="1" x14ac:dyDescent="0.25">
      <c r="A11" t="s">
        <v>324</v>
      </c>
      <c r="B11" t="s">
        <v>321</v>
      </c>
      <c r="C11" t="s">
        <v>1</v>
      </c>
      <c r="D11" t="str">
        <f>SUBSTITUTE(PROPER(A11),"_","")</f>
        <v>ProdLine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MaxProdLineLength = 50;
</v>
      </c>
      <c r="J11" t="str">
        <f t="shared" si="16"/>
        <v xml:space="preserve">		[StringLength(MaxProdLineLength)]
		public virtual string ProdLine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[Index(nameof(ProdLine), Name="IX_MstLgaBp2Process_ProdLine")]</v>
      </c>
      <c r="M11" t="str">
        <f t="shared" si="17"/>
        <v xml:space="preserve">		public virtual string ProdLine { get; set; }
</v>
      </c>
      <c r="N11" t="str">
        <f t="shared" si="18"/>
        <v xml:space="preserve">		[StringLength(MstLgaBp2ProcessConsts.MaxProdLineLength)]
		public virtual string ProdLine { get; set; }
</v>
      </c>
      <c r="O11" t="str">
        <f t="shared" si="19"/>
        <v xml:space="preserve">		public virtual string ProdLine { get; set; }
</v>
      </c>
      <c r="P11" t="str">
        <f t="shared" si="20"/>
        <v xml:space="preserve">							ProdLine = o.ProdLine,</v>
      </c>
      <c r="T11" s="69" t="str">
        <f t="shared" si="21"/>
        <v xml:space="preserve">								("ProdLine"),</v>
      </c>
      <c r="V11" s="70" t="str">
        <f t="shared" si="22"/>
        <v xml:space="preserve">								_ =&gt; _.ProdLine,</v>
      </c>
      <c r="W11" s="69" t="str">
        <f t="shared" si="23"/>
        <v xml:space="preserve">				.WhereIf(!string.IsNullOrWhiteSpace(input.ProdLine), e =&gt; e.ProdLine.Contains(input.ProdLine))</v>
      </c>
    </row>
    <row r="12" spans="1:23" customFormat="1" ht="21" customHeight="1" x14ac:dyDescent="0.25">
      <c r="A12" t="s">
        <v>332</v>
      </c>
      <c r="B12" t="s">
        <v>4</v>
      </c>
      <c r="C12" t="s">
        <v>1</v>
      </c>
      <c r="D12" t="str">
        <f t="shared" ref="D12:D13" si="24">SUBSTITUTE(PROPER(A12),"_","")</f>
        <v>LeadTime</v>
      </c>
      <c r="E12" t="str">
        <f t="shared" si="13"/>
        <v>int</v>
      </c>
      <c r="F12" s="7"/>
      <c r="G12" t="str">
        <f t="shared" si="14"/>
        <v/>
      </c>
      <c r="H12" t="str">
        <f>+VLOOKUP(E12,'Data Type Mapping'!A:B,2,)</f>
        <v>int</v>
      </c>
      <c r="I12" t="str">
        <f t="shared" si="15"/>
        <v/>
      </c>
      <c r="J12" t="str">
        <f t="shared" si="16"/>
        <v xml:space="preserve">		public virtual int LeadTime { get; set; }
</v>
      </c>
      <c r="K12" s="7"/>
      <c r="L12" t="str">
        <f t="shared" ref="L12:L13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int LeadTime { get; set; }
</v>
      </c>
      <c r="N12" t="str">
        <f t="shared" si="18"/>
        <v xml:space="preserve">		public virtual int LeadTime { get; set; }
</v>
      </c>
      <c r="O12" t="str">
        <f t="shared" si="19"/>
        <v xml:space="preserve">		public virtual int LeadTime { get; set; }
</v>
      </c>
      <c r="P12" t="str">
        <f t="shared" si="20"/>
        <v xml:space="preserve">							LeadTime = o.LeadTime,</v>
      </c>
      <c r="T12" s="69" t="str">
        <f t="shared" si="21"/>
        <v xml:space="preserve">								("LeadTime"),</v>
      </c>
      <c r="V12" s="70" t="str">
        <f t="shared" si="22"/>
        <v xml:space="preserve">								_ =&gt; _.LeadTime,</v>
      </c>
      <c r="W12" s="69" t="str">
        <f t="shared" si="23"/>
        <v/>
      </c>
    </row>
    <row r="13" spans="1:23" customFormat="1" ht="18.75" customHeight="1" x14ac:dyDescent="0.25">
      <c r="A13" t="s">
        <v>325</v>
      </c>
      <c r="B13" t="s">
        <v>4</v>
      </c>
      <c r="C13" t="s">
        <v>1</v>
      </c>
      <c r="D13" t="str">
        <f t="shared" si="24"/>
        <v>Sorting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public virtual int Sorting { get; set; }
</v>
      </c>
      <c r="K13" s="7"/>
      <c r="L13" t="str">
        <f t="shared" si="25"/>
        <v/>
      </c>
      <c r="M13" t="str">
        <f t="shared" si="17"/>
        <v xml:space="preserve">		public virtual int Sorting { get; set; }
</v>
      </c>
      <c r="N13" t="str">
        <f t="shared" si="18"/>
        <v xml:space="preserve">		public virtual int Sorting { get; set; }
</v>
      </c>
      <c r="O13" t="str">
        <f t="shared" si="19"/>
        <v xml:space="preserve">		public virtual int Sorting { get; set; }
</v>
      </c>
      <c r="P13" t="str">
        <f t="shared" si="20"/>
        <v xml:space="preserve">							Sorting = o.Sorting,</v>
      </c>
      <c r="T13" s="69" t="str">
        <f t="shared" si="21"/>
        <v xml:space="preserve">								("Sorting"),</v>
      </c>
      <c r="V13" s="70" t="str">
        <f t="shared" si="22"/>
        <v xml:space="preserve">								_ =&gt; _.Sorting,</v>
      </c>
      <c r="W13" s="69" t="str">
        <f t="shared" si="23"/>
        <v/>
      </c>
    </row>
    <row r="14" spans="1:23" customFormat="1" ht="18.75" customHeight="1" x14ac:dyDescent="0.25">
      <c r="A14" t="s">
        <v>333</v>
      </c>
      <c r="B14" t="s">
        <v>321</v>
      </c>
      <c r="C14" t="s">
        <v>1</v>
      </c>
      <c r="D14" t="str">
        <f t="shared" ref="D14" si="26">SUBSTITUTE(PROPER(A14),"_","")</f>
        <v>ProcessType</v>
      </c>
      <c r="E14" t="str">
        <f t="shared" ref="E14" si="27">IFERROR(LEFT(B14, FIND("(",B14)-1),B14)</f>
        <v>varchar</v>
      </c>
      <c r="F14" s="7"/>
      <c r="G14" t="str">
        <f t="shared" ref="G14" si="28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29">IF(H14="string",REPT(CHAR(9),2)&amp;"public const int Max"&amp;D14&amp;"Length = "&amp;G14&amp;";"&amp;$E$3,"" )</f>
        <v xml:space="preserve">		public const int MaxProcessTypeLength = 50;
</v>
      </c>
      <c r="J14" t="str">
        <f t="shared" ref="J14" si="30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[StringLength(MaxProcessTypeLength)]
		public virtual string ProcessType { get; set; }
</v>
      </c>
      <c r="K14" s="7"/>
      <c r="L14" t="str">
        <f t="shared" ref="L14" si="31">IF(K14="","",REPT(CHAR(9),1)&amp;"[Index(nameof("&amp;IF(D14="","",""&amp;D14)&amp;")"&amp;", Name="&amp;"""IX_"&amp;$B$7&amp;"_"&amp;D14&amp;""")]")</f>
        <v/>
      </c>
      <c r="M14" t="str">
        <f t="shared" ref="M14" si="32">REPT(CHAR(9),2)&amp;"public virtual "&amp;IF(OR(H14="DateTime",H14="TimeSpan"),H14&amp;"?",H14)&amp;IF(C14="?","? "," ")&amp;D14&amp;" { get; set; }" &amp; "
"</f>
        <v xml:space="preserve">		public virtual string ProcessType { get; set; }
</v>
      </c>
      <c r="N14" t="str">
        <f t="shared" ref="N14" si="33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[StringLength(MstLgaBp2ProcessConsts.MaxProcessTypeLength)]
		public virtual string ProcessType { get; set; }
</v>
      </c>
      <c r="O14" t="str">
        <f t="shared" ref="O14" si="34">IF(OR(H14="string",H14="DateTime",H14="int"),REPT(CHAR(9),2)&amp;"public virtual "&amp;IF(OR(H14="DateTime",H14="TimeSpan"),H14&amp;"?",H14)&amp;IF(C14="?","? "," ")&amp;D14&amp;" { get; set; }"&amp;$E$3,"")</f>
        <v xml:space="preserve">		public virtual string ProcessType { get; set; }
</v>
      </c>
      <c r="P14" t="str">
        <f t="shared" ref="P14" si="35">REPT(CHAR(9),7)&amp;D14&amp;" = o." &amp;D14 &amp;","</f>
        <v xml:space="preserve">							ProcessType = o.ProcessType,</v>
      </c>
      <c r="T14" s="69" t="str">
        <f t="shared" ref="T14" si="36">REPT(CHAR(9),8)&amp;"("""&amp;D14&amp;"""),"</f>
        <v xml:space="preserve">								("ProcessType"),</v>
      </c>
      <c r="V14" s="70" t="str">
        <f t="shared" ref="V14" si="37">REPT(CHAR(9),8)&amp;"_ =&gt; _."&amp;D14&amp;","</f>
        <v xml:space="preserve">								_ =&gt; _.ProcessType,</v>
      </c>
      <c r="W14" s="69" t="str">
        <f t="shared" ref="W14" si="38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.WhereIf(!string.IsNullOrWhiteSpace(input.ProcessType), e =&gt; e.ProcessType.Contains(input.ProcessType))</v>
      </c>
    </row>
    <row r="15" spans="1:23" customFormat="1" ht="22.5" customHeight="1" x14ac:dyDescent="0.25">
      <c r="A15" t="s">
        <v>326</v>
      </c>
      <c r="B15" t="s">
        <v>327</v>
      </c>
      <c r="C15" t="s">
        <v>1</v>
      </c>
      <c r="D15" t="str">
        <f>SUBSTITUTE(PROPER(A15),"_","")</f>
        <v>IsActive</v>
      </c>
      <c r="E15" t="str">
        <f t="shared" si="13"/>
        <v>varchar</v>
      </c>
      <c r="F15" s="7"/>
      <c r="G15" t="str">
        <f t="shared" si="14"/>
        <v>1</v>
      </c>
      <c r="H15" t="str">
        <f>+VLOOKUP(E15,'Data Type Mapping'!A:B,2,)</f>
        <v>string</v>
      </c>
      <c r="I15" t="str">
        <f t="shared" si="15"/>
        <v xml:space="preserve">		public const int MaxIsActiveLength = 1;
</v>
      </c>
      <c r="J15" t="str">
        <f t="shared" si="16"/>
        <v xml:space="preserve">		[StringLength(MaxIsActiveLength)]
		public virtual string IsActive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[Index(nameof(IsActive), Name="IX_MstLgaBp2Process_IsActive")]</v>
      </c>
      <c r="M15" t="str">
        <f t="shared" si="17"/>
        <v xml:space="preserve">		public virtual string IsActive { get; set; }
</v>
      </c>
      <c r="N15" t="str">
        <f t="shared" si="18"/>
        <v xml:space="preserve">		[StringLength(MstLgaBp2ProcessConsts.MaxIsActiveLength)]
		public virtual string IsActive { get; set; }
</v>
      </c>
      <c r="O15" t="str">
        <f t="shared" si="19"/>
        <v xml:space="preserve">		public virtual string IsActive { get; set; }
</v>
      </c>
      <c r="P15" t="str">
        <f t="shared" si="20"/>
        <v xml:space="preserve">							IsActive = o.IsActive,</v>
      </c>
      <c r="T15" s="69" t="str">
        <f t="shared" si="21"/>
        <v xml:space="preserve">								("IsActive"),</v>
      </c>
      <c r="V15" s="70" t="str">
        <f t="shared" si="22"/>
        <v xml:space="preserve">								_ =&gt; _.IsActive,</v>
      </c>
      <c r="W15" s="69" t="str">
        <f t="shared" si="23"/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MaxCodeLength = 50;
		public const int MaxProcessNameLength = 50;
		public const int MaxProdLineLength = 50;
		public const int MaxProcessTypeLength = 50;
		public const int MaxIsActiveLength = 1;
</v>
      </c>
      <c r="J17" s="33" t="str">
        <f ca="1">TEXTJOIN2("
", TRUE,INDIRECT( $F$1):INDIRECT( $F$3))</f>
        <v xml:space="preserve">		[StringLength(MaxCodeLength)]
		public virtual string Code { get; set; }
		[StringLength(MaxProcessNameLength)]
		public virtual string ProcessName { get; set; }
		[StringLength(MaxProdLineLength)]
		public virtual string ProdLine { get; set; }
		public virtual int LeadTime { get; set; }
		public virtual int Sorting { get; set; }
		[StringLength(MaxProcessTypeLength)]
		public virtual string ProcessType { get; set; }
		[StringLength(MaxIsActiveLength)]
		public virtual string IsActive { get; set; }
</v>
      </c>
      <c r="K17" s="35" t="str">
        <f ca="1">TEXTJOIN2("
", TRUE,INDIRECT( $J$1):INDIRECT( $J$3))</f>
        <v xml:space="preserve">	[Index(nameof(Code), Name="IX_MstLgaBp2Process_Code")]
	[Index(nameof(ProdLine), Name="IX_MstLgaBp2Process_ProdLine")]
	[Index(nameof(IsActive), Name="IX_MstLgaBp2Process_IsActive")]</v>
      </c>
      <c r="L17" s="13" t="s">
        <v>60</v>
      </c>
      <c r="M17" s="36" t="str">
        <f ca="1">TEXTJOIN2("
",TRUE,INDIRECT( $L$1):INDIRECT($L$3))</f>
        <v xml:space="preserve">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</v>
      </c>
      <c r="N17" s="33" t="str">
        <f ca="1">TEXTJOIN2("
",TRUE,INDIRECT( $M$1):INDIRECT($M$3))</f>
        <v xml:space="preserve">		[StringLength(MstLgaBp2ProcessConsts.MaxCodeLength)]
		public virtual string Code { get; set; }
		[StringLength(MstLgaBp2ProcessConsts.MaxProcessNameLength)]
		public virtual string ProcessName { get; set; }
		[StringLength(MstLgaBp2ProcessConsts.MaxProdLineLength)]
		public virtual string ProdLine { get; set; }
		public virtual int LeadTime { get; set; }
		public virtual int Sorting { get; set; }
		[StringLength(MstLgaBp2ProcessConsts.MaxProcessTypeLength)]
		public virtual string ProcessType { get; set; }
		[StringLength(MstLgaBp2ProcessConsts.MaxIsActiveLength)]
		public virtual string IsActive { get; set; }
</v>
      </c>
      <c r="O17" s="33" t="str">
        <f ca="1">TEXTJOIN2("
",TRUE,INDIRECT( $N$1):INDIRECT($N$3))</f>
        <v xml:space="preserve">		public virtual string Code { get; set; }
		public virtual string ProcessName { get; set; }
		public virtual string ProdLine { get; set; }
		public virtual int LeadTime { get; set; }
		public virtual int Sorting { get; set; }
		public virtual string ProcessType { get; set; }
		public virtual string IsActive { get; set; }
</v>
      </c>
      <c r="P17" s="9" t="str">
        <f ca="1">TEXTJOIN2("
",TRUE,INDIRECT( $O$1):INDIRECT($O$3))</f>
        <v xml:space="preserve">							Code = o.Code,
							ProcessName = o.ProcessName,
							ProdLine = o.ProdLine,
							LeadTime = o.LeadTime,
							Sorting = o.Sorting,
							ProcessType = o.ProcessType,
							IsActive = o.IsActive,</v>
      </c>
      <c r="T17" s="9" t="str">
        <f ca="1">TEXTJOIN2("
",TRUE,INDIRECT( $T$2):INDIRECT($T$3))</f>
        <v xml:space="preserve">								("Code"),
								("ProcessName"),
								("ProdLine"),
								("LeadTime"),
								("Sorting"),
								("ProcessType"),
								("IsActive"),</v>
      </c>
      <c r="V17" s="9" t="str">
        <f ca="1">TEXTJOIN2("
",TRUE,INDIRECT( $V$2):INDIRECT($V$3))</f>
        <v xml:space="preserve">								_ =&gt; _.Code,
								_ =&gt; _.ProcessName,
								_ =&gt; _.ProdLine,
								_ =&gt; _.LeadTime,
								_ =&gt; _.Sorting,
								_ =&gt; _.ProcessType,
								_ =&gt; _.IsActive,</v>
      </c>
      <c r="W17" s="9" t="str">
        <f ca="1">TEXTJOIN2("
",TRUE,INDIRECT( $W$2):INDIRECT($W$3))</f>
        <v xml:space="preserve">				.WhereIf(!string.IsNullOrWhiteSpace(input.Code), e =&gt; e.Code.Contains(input.Code))
				.WhereIf(!string.IsNullOrWhiteSpace(input.ProcessName), e =&gt; e.ProcessName.Contains(input.ProcessName))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workbookViewId="0">
      <selection activeCell="E17" sqref="E1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328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MstLgaBp2Process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Bp2Process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bp2process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MstLgaBp2ProcessDto, MstLgaBp2ProcessServiceProxy } from '@shared/service-proxies/service-proxies';
import { finalize } from 'rxjs/internal/operators/finalize';
import { CreateOrEditBp2ProcessModalComponent } from './create-or-edit-bp2process-modal.component';
import { DatePipe } from '@angular/common';
import { FileDownloadService } from '@shared/utils/file-download.service';
import ceil from 'lodash-es/ceil';
import { Paginator } from 'primeng/paginator';
@Component({
    templateUrl: './bp2process.component.html',
    styleUrls: ['./bp2process.component.less'],
})
export class Bp2ProcessComponent extends AppComponentBase implements OnInit {
    @ViewChild('createOrEditModalBp2Process', { static: true }) createOrEditModalBp2Process:| CreateOrEditBp2ProcessModalComponent|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MstLgaBp2ProcessDto = new MstLgaBp2ProcessDto();
    saveSelectedRow: MstLgaBp2ProcessDto = new MstLgaBp2ProcessDto();
    datas: MstLgaBp2ProcessDto = new MstLgaBp2ProcessDto();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prodLine : string = '' ; 
	leadTime : number = 0 ;
	sorting : number = 0 ;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this.prodLine,
			this.leadTime,
			this.sorting,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this.prodLine = '',
		this.leadTime = 0,
		this.sorting = 0,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this.prodLine,
			this.leadTime,
			this.sorting,
			this.processType,
			this.isActive,
			'',
            this.paginationParams.skipCount,
            this.paginationParams.pageSize
        );
    }
    onChangeRowSelection(params: { api: { getSelectedRows: () =&gt; MstLgaBp2ProcessDto[] } }) {
        this.saveSelectedRow = params.api.getSelectedRows()[0] ?? new MstLgaBp2ProcessDto();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this._service.getBp2ProcessToExcel(
			this.code,
			this.processName,
			this.prodLine,
			this.leadTime,
			this.sorting,
			this.processType,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Ecar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&lt;create-or-edit-bp2process-modal
    #createOrEditModalBp2Process
    (modalSave)="callBackDataGrid(dataParams)"
    (modalClose)="onChangeRowSelection(dataParams)"
&gt;
&lt;/create-or-edit-bp2process-modal&gt;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#createOrEditModalBp2Process="bs-modal"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Bp2Process')}}&lt;/h3&gt;
                    &lt;h3 *ngIf="!rowdata.id"&gt;{{('Create New Bp2Process')}}&lt;/h3&gt;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CreateOrEditMstLgaBp2ProcessDto, MstLgaBp2ProcessServiceProxy } from '@shared/service-proxies/service-proxies';
import { BsDatepickerDirective } from 'ngx-bootstrap/datepicker';
@Component({
    selector: 'create-or-edit-bp2process-modal',
    templateUrl: './create-or-edit-bp2process-modal.component.html',
    styleUrls: ['./create-or-edit-bp2process-modal.component.less']
    })
export class CreateOrEditBp2ProcessModalComponent extends AppComponentBase {
    @ViewChild('createOrEditModalBp2Process',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CreateOrEditMstLgaBp2ProcessDto = new CreateOrEditMstLgaBp2ProcessDto();
    active: boolean = false;
    saving: boolean = false;
    _isActive: boolean;
    constructor(
        injector: Injector,
        private _mstwptBp2ProcessService: MstLgaBp2ProcessServiceProxy,
    ) 
    {
        super(injector);
    }
    show(rowdata?: CreateOrEditMstLgaBp2ProcessDto): void {
        if (!rowdata) this.rowdata = new CreateOrEditMstLgaBp2ProcessDto();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Bp2ProcessRoutingModule } from './bp2process-routing.module';
import { Bp2ProcessComponent } from './bp2process.component';
import { CreateOrEditBp2ProcessModalComponent } from './create-or-edit-bp2process-modal.component';
@NgModule({
    declarations: [
       Bp2ProcessComponent, 
        CreateOrEditBp2ProcessModalComponent
    ],
    imports: [
        AppSharedModule, Bp2ProcessRoutingModule]
})
export class Bp2ProcessModule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Bp2ProcessComponent } from './bp2process.component';
const routes: Routes = [{
    path: '',
    component: Bp2ProcessComponent,
    pathMatch: 'full'
}];
@NgModule({
    imports: [RouterModule.forChild(routes)],
    exports: [RouterModule],
})
export class Bp2ProcessRoutingModule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AppMenuItem("Bp2Process", "Pages.Master.LogA.Bp2Process", "flaticon-book",   "/app/main/master/loga/bp2process"),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'master/loga/bp2process',
    loadChildren: () =&gt; import('./master/loga/bp2process/bp2process.module').then(m =&gt; m.Bp2ProcessModule),
    data: { permission: 'Pages.Master.LogA.Bp2Process' }
},</v>
      </c>
      <c r="R10" s="50" t="str">
        <f>SUBSTITUTE(R9,"MstWptCalendar",$B$6)</f>
        <v>ApiServiceProxies.MstLgaBp2ProcessServiceProxy,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this.l('Process Name'),headerTooltip: this.l('Process Name'),field: 'processName',flex: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processName : string = '' ; 
	prodLine : string = '' ; 
	leadTime : number = 0 ;
	sorting : number = 0 ;
	processType : string = '' ; 
	isActive : string = '' ; </v>
      </c>
      <c r="T13" s="68" t="str">
        <f ca="1">TEXTJOIN2("
",TRUE,INDIRECT(T11):INDIRECT(T12))</f>
        <v xml:space="preserve">			this.code,
			this.processName,
			this.prodLine,
			this.leadTime,
			this.sorting,
			this.processType,
			this.isActive,</v>
      </c>
      <c r="U13" s="68" t="str">
        <f ca="1">TEXTJOIN2("
",TRUE,INDIRECT(U11):INDIRECT(U12))</f>
        <v>this.code = '',
		this.processName = '',
		this.prodLine = '',
		this.leadTime = 0,
		this.sorting = 0,
		this.processType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bp2process.component.ts</v>
      </c>
      <c r="I14" s="40" t="str">
        <f>B8&amp;".component.html"</f>
        <v>bp2process.component.html</v>
      </c>
      <c r="J14" s="39" t="str">
        <f>B8&amp;".component.less"</f>
        <v>bp2process.component.less</v>
      </c>
      <c r="K14" s="40" t="str">
        <f>"create-or-edit-"&amp;B8&amp;"-modal.component.html"</f>
        <v>create-or-edit-bp2process-modal.component.html</v>
      </c>
      <c r="L14" s="40" t="str">
        <f>"create-or-edit-"&amp;B8&amp;"-modal.component.ts"</f>
        <v>create-or-edit-bp2process-modal.component.ts</v>
      </c>
      <c r="M14" s="40" t="str">
        <f>"create-or-edit-"&amp;B8&amp;"-modal.component.less"</f>
        <v>create-or-edit-bp2process-modal.component.less</v>
      </c>
      <c r="N14" s="40" t="str">
        <f>B8&amp;".module.ts"</f>
        <v>bp2process.module.ts</v>
      </c>
      <c r="O14" s="40" t="str">
        <f>B8&amp;"-routing.module.ts"</f>
        <v>bp2process-routing.module.ts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323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331</v>
      </c>
      <c r="B16" s="31" t="str">
        <f t="shared" ref="B16:B21" si="0">SUBSTITUTE(PROPER(A16),"_","")</f>
        <v>ProcessName</v>
      </c>
      <c r="C16" s="31" t="str">
        <f t="shared" ref="C16:C21" si="1">SUBSTITUTE(PROPER(A16),"_"," ")</f>
        <v>Process Name</v>
      </c>
      <c r="D16" s="31" t="str">
        <f t="shared" ref="D16:D21" si="2">LOWER(LEFT(B16,1))&amp;RIGHT(B16,LEN(B16) - 1)</f>
        <v>processName</v>
      </c>
      <c r="E16" s="31" t="str">
        <f>A.Backend!H10</f>
        <v>string</v>
      </c>
      <c r="F16" s="31" t="str">
        <f>A.Backend!G10</f>
        <v>50</v>
      </c>
      <c r="G16" s="31" t="str">
        <f t="shared" ref="G16:G21" si="3">IF(E16="string"," : string = '' ; ",IF(OR(E16="DateTime",E16="TimeSpan")," : any ;",IF(E16="int"," : number = 0 ;","")))</f>
        <v xml:space="preserve"> : string = '' ; </v>
      </c>
      <c r="H16" s="38" t="str">
        <f t="shared" ref="H16:H21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this.l('Process Name'),headerTooltip: this.l('Process Name'),field: 'processName',flex: 1},</v>
      </c>
      <c r="I16" s="38" t="str">
        <f t="shared" ref="I16:I21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6" s="31"/>
      <c r="K16" s="38" t="str">
        <f t="shared" ref="K16:K21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6" s="60" t="str">
        <f t="shared" ref="L16:L21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processName : string = '' ; </v>
      </c>
      <c r="T16" s="31" t="str">
        <f>REPT(CHAR(9),3)&amp;"this."&amp;D16&amp;","</f>
        <v xml:space="preserve">			this.processName,</v>
      </c>
      <c r="U16" s="31" t="str">
        <f>IF(E16="int",REPT(CHAR(9),2)&amp;"this."&amp;D16&amp;" = 0,",REPT(CHAR(9),2)&amp;"this."&amp;D16&amp;" = '',")</f>
        <v xml:space="preserve">		this.processName = '',</v>
      </c>
      <c r="V16" s="31" t="str">
        <f t="shared" ref="V16:V21" si="8">IF(AND(E16="string",F16="1"),D16,"")</f>
        <v/>
      </c>
    </row>
    <row r="17" spans="1:22" ht="18" customHeight="1" x14ac:dyDescent="0.25">
      <c r="A17" s="31" t="s">
        <v>324</v>
      </c>
      <c r="B17" s="31" t="str">
        <f t="shared" si="0"/>
        <v>ProdLine</v>
      </c>
      <c r="C17" s="31" t="str">
        <f t="shared" si="1"/>
        <v>Prod Line</v>
      </c>
      <c r="D17" s="31" t="str">
        <f t="shared" si="2"/>
        <v>prodLine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this.l('Prod Line'),headerTooltip: this.l('Prod Line'),field: 'prodLine',flex: 1},</v>
      </c>
      <c r="I17" s="38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1" si="9">REPT(CHAR(9),1)&amp;D17&amp;G17</f>
        <v xml:space="preserve">	prodLine : string = '' ; </v>
      </c>
      <c r="T17" s="31" t="str">
        <f t="shared" ref="T17:T21" si="10">REPT(CHAR(9),3)&amp;"this."&amp;D17&amp;","</f>
        <v xml:space="preserve">			this.prodLine,</v>
      </c>
      <c r="U17" s="31" t="str">
        <f t="shared" ref="U17:U21" si="11">IF(E17="int",REPT(CHAR(9),2)&amp;"this."&amp;D17&amp;" = 0,",REPT(CHAR(9),2)&amp;"this."&amp;D17&amp;" = '',")</f>
        <v xml:space="preserve">		this.prodLine = '',</v>
      </c>
      <c r="V17" s="31" t="str">
        <f t="shared" si="8"/>
        <v/>
      </c>
    </row>
    <row r="18" spans="1:22" ht="18" customHeight="1" x14ac:dyDescent="0.25">
      <c r="A18" s="31" t="s">
        <v>332</v>
      </c>
      <c r="B18" s="31" t="str">
        <f t="shared" si="0"/>
        <v>LeadTime</v>
      </c>
      <c r="C18" s="31" t="str">
        <f t="shared" si="1"/>
        <v>Lead Time</v>
      </c>
      <c r="D18" s="31" t="str">
        <f t="shared" si="2"/>
        <v>leadTime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this.l('Lead Time'),headerTooltip: this.l('Lead Time'),field: 'leadTime',flex: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title'&gt;Lead Time&lt;/label&gt;
						&lt;input type='number' class='col-md-10 form-control input-text' name='LeadTime' [(ngModel)]='rowdata.leadTime'&gt;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leadTime : number = 0 ;</v>
      </c>
      <c r="T18" s="31" t="str">
        <f t="shared" si="10"/>
        <v xml:space="preserve">			this.leadTime,</v>
      </c>
      <c r="U18" s="31" t="str">
        <f t="shared" si="11"/>
        <v xml:space="preserve">		this.leadTime = 0,</v>
      </c>
      <c r="V18" s="31" t="str">
        <f t="shared" si="8"/>
        <v/>
      </c>
    </row>
    <row r="19" spans="1:22" ht="18" customHeight="1" x14ac:dyDescent="0.25">
      <c r="A19" s="31" t="s">
        <v>325</v>
      </c>
      <c r="B19" s="31" t="str">
        <f t="shared" ref="B19:B20" si="12">SUBSTITUTE(PROPER(A19),"_","")</f>
        <v>Sorting</v>
      </c>
      <c r="C19" s="31" t="str">
        <f t="shared" ref="C19:C20" si="13">SUBSTITUTE(PROPER(A19),"_"," ")</f>
        <v>Sorting</v>
      </c>
      <c r="D19" s="31" t="str">
        <f t="shared" ref="D19:D20" si="14">LOWER(LEFT(B19,1))&amp;RIGHT(B19,LEN(B19) - 1)</f>
        <v>sorting</v>
      </c>
      <c r="E19" s="31" t="str">
        <f>A.Backend!H13</f>
        <v>int</v>
      </c>
      <c r="F19" s="31" t="str">
        <f>A.Backend!G13</f>
        <v/>
      </c>
      <c r="G19" s="31" t="str">
        <f t="shared" ref="G19:G20" si="15">IF(E19="string"," : string = '' ; ",IF(OR(E19="DateTime",E19="TimeSpan")," : any ;",IF(E19="int"," : number = 0 ;","")))</f>
        <v xml:space="preserve"> : number = 0 ;</v>
      </c>
      <c r="H19" s="38" t="str">
        <f t="shared" ref="H19:H20" si="16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this.l('Sorting'),headerTooltip: this.l('Sorting'),field: 'sorting',flex: 1},</v>
      </c>
      <c r="I19" s="38" t="str">
        <f t="shared" ref="I19:I20" si="17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31"/>
      <c r="K19" s="38" t="str">
        <f t="shared" ref="K19:K20" si="18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19" s="60" t="str">
        <f t="shared" ref="L19:L20" si="19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:S20" si="20">REPT(CHAR(9),1)&amp;D19&amp;G19</f>
        <v xml:space="preserve">	sorting : number = 0 ;</v>
      </c>
      <c r="T19" s="31" t="str">
        <f t="shared" ref="T19:T20" si="21">REPT(CHAR(9),3)&amp;"this."&amp;D19&amp;","</f>
        <v xml:space="preserve">			this.sorting,</v>
      </c>
      <c r="U19" s="31" t="str">
        <f t="shared" ref="U19:U20" si="22">IF(E19="int",REPT(CHAR(9),2)&amp;"this."&amp;D19&amp;" = 0,",REPT(CHAR(9),2)&amp;"this."&amp;D19&amp;" = '',")</f>
        <v xml:space="preserve">		this.sorting = 0,</v>
      </c>
      <c r="V19" s="31" t="str">
        <f t="shared" ref="V19:V20" si="23">IF(AND(E19="string",F19="1"),D19,"")</f>
        <v/>
      </c>
    </row>
    <row r="20" spans="1:22" ht="18" customHeight="1" x14ac:dyDescent="0.25">
      <c r="A20" s="31" t="s">
        <v>333</v>
      </c>
      <c r="B20" s="31" t="str">
        <f t="shared" si="12"/>
        <v>ProcessType</v>
      </c>
      <c r="C20" s="31" t="str">
        <f t="shared" si="13"/>
        <v>Process Type</v>
      </c>
      <c r="D20" s="31" t="str">
        <f t="shared" si="14"/>
        <v>processType</v>
      </c>
      <c r="E20" s="31" t="str">
        <f>A.Backend!H14</f>
        <v>string</v>
      </c>
      <c r="F20" s="31" t="str">
        <f>A.Backend!G14</f>
        <v>50</v>
      </c>
      <c r="G20" s="31" t="str">
        <f t="shared" si="15"/>
        <v xml:space="preserve"> : string = '' ; </v>
      </c>
      <c r="H20" s="38" t="str">
        <f t="shared" si="16"/>
        <v xml:space="preserve">			{headerName: this.l('Process Type'),headerTooltip: this.l('Process Type'),field: 'processType',flex: 1},</v>
      </c>
      <c r="I20" s="38" t="str">
        <f t="shared" si="17"/>
        <v xml:space="preserve">								&lt;div class='input-search'&gt;
									&lt;input [(ngModel)]='processType' name='processType'
									class='form-control' [placeholder]="l('Process Type')"
									type='text' (keyup.enter)='searchDatas()'&gt;
								&lt;/div&gt;</v>
      </c>
      <c r="J20" s="31"/>
      <c r="K20" s="38" t="str">
        <f t="shared" si="18"/>
        <v xml:space="preserve">					&lt;div class='col-md-12 form-group row'&gt;
						&lt;label class='col-md-2 form-control title'&gt;Process Type&lt;/label&gt;
						&lt;input type='text' class='col-md-10 form-control input-text' name='ProcessType' [(ngModel)]='rowdata.processType'&gt;
					&lt;/div&gt;</v>
      </c>
      <c r="L20" s="60" t="str">
        <f t="shared" si="19"/>
        <v/>
      </c>
      <c r="M20" s="31"/>
      <c r="N20" s="31"/>
      <c r="O20" s="31"/>
      <c r="P20" s="31"/>
      <c r="Q20" s="31"/>
      <c r="R20" s="31"/>
      <c r="S20" s="31" t="str">
        <f t="shared" si="20"/>
        <v xml:space="preserve">	processType : string = '' ; </v>
      </c>
      <c r="T20" s="31" t="str">
        <f t="shared" si="21"/>
        <v xml:space="preserve">			this.processType,</v>
      </c>
      <c r="U20" s="31" t="str">
        <f t="shared" si="22"/>
        <v xml:space="preserve">		this.processType = '',</v>
      </c>
      <c r="V20" s="31" t="str">
        <f t="shared" si="23"/>
        <v/>
      </c>
    </row>
    <row r="21" spans="1:22" ht="15" customHeight="1" x14ac:dyDescent="0.25">
      <c r="A21" s="31" t="s">
        <v>326</v>
      </c>
      <c r="B21" s="31" t="str">
        <f t="shared" si="0"/>
        <v>IsActive</v>
      </c>
      <c r="C21" s="31" t="str">
        <f t="shared" si="1"/>
        <v>Is Active</v>
      </c>
      <c r="D21" s="31" t="str">
        <f t="shared" si="2"/>
        <v>isActive</v>
      </c>
      <c r="E21" s="31" t="str">
        <f>A.Backend!H15</f>
        <v>string</v>
      </c>
      <c r="F21" s="31" t="str">
        <f>A.Backend!G15</f>
        <v>1</v>
      </c>
      <c r="G21" s="31" t="str">
        <f t="shared" si="3"/>
        <v xml:space="preserve"> : string = '' ; </v>
      </c>
      <c r="H21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9"/>
        <v xml:space="preserve">	isActive : string = '' ; </v>
      </c>
      <c r="T21" s="31" t="str">
        <f t="shared" si="10"/>
        <v xml:space="preserve">			this.isActive,</v>
      </c>
      <c r="U21" s="31" t="str">
        <f t="shared" si="11"/>
        <v xml:space="preserve">		this.isActive = '',</v>
      </c>
      <c r="V21" s="31" t="str">
        <f t="shared" si="8"/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2022-10-11T11:40:10Z</dcterms:modified>
</cp:coreProperties>
</file>
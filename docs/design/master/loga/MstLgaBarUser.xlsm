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V21" i="5" s="1"/>
  <c r="E22" i="5"/>
  <c r="F22" i="5"/>
  <c r="E23" i="5"/>
  <c r="F23" i="5"/>
  <c r="E24" i="5"/>
  <c r="F24" i="5"/>
  <c r="C21" i="5"/>
  <c r="B21" i="5"/>
  <c r="D21" i="5" s="1"/>
  <c r="L15" i="1"/>
  <c r="G15" i="1"/>
  <c r="E15" i="1"/>
  <c r="H15" i="1" s="1"/>
  <c r="D15" i="1"/>
  <c r="V15" i="1" s="1"/>
  <c r="T21" i="5" l="1"/>
  <c r="H21" i="5"/>
  <c r="I21" i="5"/>
  <c r="K21" i="5"/>
  <c r="U21" i="5"/>
  <c r="G21" i="5"/>
  <c r="S21" i="5" s="1"/>
  <c r="L21" i="5"/>
  <c r="W15" i="1"/>
  <c r="O15" i="1"/>
  <c r="J15" i="1"/>
  <c r="N15" i="1"/>
  <c r="I15" i="1"/>
  <c r="M15" i="1"/>
  <c r="P15" i="1"/>
  <c r="T15" i="1"/>
  <c r="G23" i="5" l="1"/>
  <c r="C23" i="5"/>
  <c r="B23" i="5"/>
  <c r="D23" i="5" s="1"/>
  <c r="C22" i="5"/>
  <c r="B22" i="5"/>
  <c r="D22" i="5" s="1"/>
  <c r="T22" i="5" s="1"/>
  <c r="L17" i="1"/>
  <c r="G17" i="1"/>
  <c r="E17" i="1"/>
  <c r="H17" i="1" s="1"/>
  <c r="D17" i="1"/>
  <c r="V17" i="1" s="1"/>
  <c r="L16" i="1"/>
  <c r="G16" i="1"/>
  <c r="E16" i="1"/>
  <c r="H16" i="1" s="1"/>
  <c r="D16" i="1"/>
  <c r="V16" i="1" s="1"/>
  <c r="L23" i="5" l="1"/>
  <c r="I23" i="5"/>
  <c r="V22" i="5"/>
  <c r="K23" i="5"/>
  <c r="H22" i="5"/>
  <c r="U23" i="5"/>
  <c r="T23" i="5"/>
  <c r="S23" i="5"/>
  <c r="I22" i="5"/>
  <c r="V23" i="5"/>
  <c r="K22" i="5"/>
  <c r="U22" i="5"/>
  <c r="H23" i="5"/>
  <c r="G22" i="5"/>
  <c r="L22" i="5"/>
  <c r="S22" i="5"/>
  <c r="W17" i="1"/>
  <c r="O17" i="1"/>
  <c r="J17" i="1"/>
  <c r="N17" i="1"/>
  <c r="I17" i="1"/>
  <c r="M17" i="1"/>
  <c r="P17" i="1"/>
  <c r="T17" i="1"/>
  <c r="W16" i="1"/>
  <c r="O16" i="1"/>
  <c r="J16" i="1"/>
  <c r="N16" i="1"/>
  <c r="I16" i="1"/>
  <c r="M16" i="1"/>
  <c r="P16" i="1"/>
  <c r="T16" i="1"/>
  <c r="C17" i="5"/>
  <c r="B17" i="5"/>
  <c r="D17" i="5" s="1"/>
  <c r="T17" i="5" s="1"/>
  <c r="L11" i="1"/>
  <c r="G11" i="1"/>
  <c r="E11" i="1"/>
  <c r="H11" i="1" s="1"/>
  <c r="D11" i="1"/>
  <c r="V11" i="1" s="1"/>
  <c r="H17" i="5" l="1"/>
  <c r="V17" i="5"/>
  <c r="I17" i="5"/>
  <c r="K17" i="5"/>
  <c r="U17" i="5"/>
  <c r="G17" i="5"/>
  <c r="S17" i="5" s="1"/>
  <c r="L17" i="5"/>
  <c r="N11" i="1"/>
  <c r="I11" i="1"/>
  <c r="M11" i="1"/>
  <c r="W11" i="1"/>
  <c r="O11" i="1"/>
  <c r="J11" i="1"/>
  <c r="P11" i="1"/>
  <c r="T11" i="1"/>
  <c r="L14" i="1"/>
  <c r="G14" i="1"/>
  <c r="E14" i="1"/>
  <c r="H14" i="1" s="1"/>
  <c r="D14" i="1"/>
  <c r="V14" i="1" s="1"/>
  <c r="W14" i="1" l="1"/>
  <c r="O14" i="1"/>
  <c r="J14" i="1"/>
  <c r="N14" i="1"/>
  <c r="I14" i="1"/>
  <c r="M14" i="1"/>
  <c r="P14" i="1"/>
  <c r="T14" i="1"/>
  <c r="C20" i="5" l="1"/>
  <c r="B20" i="5"/>
  <c r="D20" i="5" s="1"/>
  <c r="T20" i="5" s="1"/>
  <c r="C19" i="5"/>
  <c r="B19" i="5"/>
  <c r="D19" i="5" s="1"/>
  <c r="T19" i="5" l="1"/>
  <c r="G18" i="1" l="1"/>
  <c r="E18" i="1"/>
  <c r="H18" i="1" s="1"/>
  <c r="D18" i="1"/>
  <c r="V18" i="1" s="1"/>
  <c r="T18" i="1" l="1"/>
  <c r="P18" i="1"/>
  <c r="N18" i="1"/>
  <c r="I18" i="1"/>
  <c r="M18" i="1"/>
  <c r="W18" i="1"/>
  <c r="O18" i="1"/>
  <c r="J18" i="1"/>
  <c r="W3" i="1" l="1"/>
  <c r="V3" i="1"/>
  <c r="B2" i="5" l="1"/>
  <c r="B3" i="5" s="1"/>
  <c r="C24" i="5"/>
  <c r="G12" i="1"/>
  <c r="E12" i="1"/>
  <c r="H12" i="1" s="1"/>
  <c r="D12" i="1"/>
  <c r="V20" i="5" l="1"/>
  <c r="I20" i="5"/>
  <c r="G20" i="5"/>
  <c r="S20" i="5" s="1"/>
  <c r="L20" i="5"/>
  <c r="H20" i="5"/>
  <c r="U20" i="5"/>
  <c r="K20" i="5"/>
  <c r="N12" i="1"/>
  <c r="O12" i="1"/>
  <c r="M12" i="1"/>
  <c r="T12" i="1"/>
  <c r="V12" i="1"/>
  <c r="W12" i="1"/>
  <c r="P12" i="1"/>
  <c r="B24" i="5"/>
  <c r="D24" i="5" s="1"/>
  <c r="I12" i="1"/>
  <c r="J12" i="1"/>
  <c r="B6" i="5"/>
  <c r="L24" i="5" l="1"/>
  <c r="I24" i="5"/>
  <c r="K24" i="5"/>
  <c r="H24" i="5"/>
  <c r="G24" i="5"/>
  <c r="S24" i="5" s="1"/>
  <c r="U24" i="5"/>
  <c r="V24" i="5"/>
  <c r="T24" i="5"/>
  <c r="U7" i="1" l="1"/>
  <c r="B7" i="5" l="1"/>
  <c r="Q3" i="1" l="1"/>
  <c r="O7" i="1" s="1"/>
  <c r="T3" i="1"/>
  <c r="F3" i="1"/>
  <c r="B4" i="5" l="1"/>
  <c r="N7" i="1"/>
  <c r="E58" i="3" s="1"/>
  <c r="K7" i="1"/>
  <c r="H6" i="1"/>
  <c r="R10" i="5" l="1"/>
  <c r="M65" i="3" s="1"/>
  <c r="N58" i="3" l="1"/>
  <c r="B8" i="5"/>
  <c r="B5" i="5"/>
  <c r="D9" i="1"/>
  <c r="V9" i="1" l="1"/>
  <c r="T9" i="1"/>
  <c r="P10" i="5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D10" i="1"/>
  <c r="D13" i="1"/>
  <c r="V10" i="1" l="1"/>
  <c r="T10" i="1"/>
  <c r="V13" i="1"/>
  <c r="T13" i="1"/>
  <c r="C15" i="5"/>
  <c r="B15" i="5"/>
  <c r="D15" i="5" s="1"/>
  <c r="V20" i="1"/>
  <c r="V12" i="5" l="1"/>
  <c r="L12" i="5"/>
  <c r="U12" i="5"/>
  <c r="S12" i="5"/>
  <c r="H12" i="5"/>
  <c r="K12" i="5"/>
  <c r="T12" i="5"/>
  <c r="I12" i="5"/>
  <c r="T15" i="5"/>
  <c r="C18" i="5"/>
  <c r="B18" i="5"/>
  <c r="D18" i="5" s="1"/>
  <c r="C16" i="5"/>
  <c r="B16" i="5"/>
  <c r="D16" i="5" s="1"/>
  <c r="T16" i="5" s="1"/>
  <c r="T18" i="5" l="1"/>
  <c r="R3" i="1"/>
  <c r="D1" i="1"/>
  <c r="F6" i="1"/>
  <c r="T13" i="5"/>
  <c r="G9" i="1" l="1"/>
  <c r="F15" i="5" s="1"/>
  <c r="G10" i="1"/>
  <c r="G13" i="1"/>
  <c r="E9" i="1"/>
  <c r="H9" i="1" s="1"/>
  <c r="E10" i="1"/>
  <c r="H10" i="1" s="1"/>
  <c r="E13" i="1"/>
  <c r="H13" i="1" s="1"/>
  <c r="P9" i="1"/>
  <c r="P10" i="1"/>
  <c r="P13" i="1"/>
  <c r="T20" i="1"/>
  <c r="V19" i="5" l="1"/>
  <c r="H19" i="5"/>
  <c r="K19" i="5"/>
  <c r="G19" i="5"/>
  <c r="S19" i="5" s="1"/>
  <c r="U19" i="5"/>
  <c r="L19" i="5"/>
  <c r="I19" i="5"/>
  <c r="O13" i="1"/>
  <c r="M13" i="1"/>
  <c r="N13" i="1"/>
  <c r="O10" i="1"/>
  <c r="M10" i="1"/>
  <c r="N10" i="1"/>
  <c r="O9" i="1"/>
  <c r="M9" i="1"/>
  <c r="N9" i="1"/>
  <c r="W13" i="1"/>
  <c r="E15" i="5"/>
  <c r="W9" i="1"/>
  <c r="W10" i="1"/>
  <c r="T7" i="1"/>
  <c r="I13" i="1"/>
  <c r="I10" i="1"/>
  <c r="I9" i="1"/>
  <c r="W20" i="1"/>
  <c r="L16" i="5" l="1"/>
  <c r="H16" i="5"/>
  <c r="I16" i="5"/>
  <c r="K16" i="5"/>
  <c r="L18" i="5"/>
  <c r="H18" i="5"/>
  <c r="I18" i="5"/>
  <c r="K18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8" i="5"/>
  <c r="S18" i="5" s="1"/>
  <c r="U18" i="5"/>
  <c r="V18" i="5"/>
  <c r="G6" i="1"/>
  <c r="K13" i="5"/>
  <c r="H13" i="5"/>
  <c r="L13" i="5"/>
  <c r="V13" i="5"/>
  <c r="S13" i="5"/>
  <c r="U13" i="5"/>
  <c r="I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8" i="1" l="1"/>
  <c r="L13" i="1"/>
  <c r="L12" i="1"/>
  <c r="L9" i="1"/>
  <c r="L10" i="1"/>
  <c r="J13" i="1"/>
  <c r="J9" i="1"/>
  <c r="J10" i="1"/>
  <c r="C7" i="1"/>
  <c r="J20" i="1"/>
  <c r="O20" i="1"/>
  <c r="P20" i="1"/>
  <c r="I20" i="1"/>
  <c r="N20" i="1"/>
  <c r="Q7" i="1" l="1"/>
  <c r="M58" i="3" s="1"/>
  <c r="L7" i="1"/>
  <c r="G58" i="3" s="1"/>
  <c r="K58" i="3"/>
  <c r="J58" i="3"/>
  <c r="M20" i="1"/>
  <c r="K20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5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5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5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5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5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5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<sst xmlns="http://schemas.openxmlformats.org/spreadsheetml/2006/main" count="445" uniqueCount="341">
  <si>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</si>
  <si>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</si>
  <si>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</si>
  <si>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</si>
  <si>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</si>
  <si>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</si>
  <si>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</si>
  <si>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</si>
  <si>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</si>
  <si>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</si>
  <si>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</si>
  <si>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</si>
  <si>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</si>
  <si>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</si>
  <si>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</si>
  <si>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</si>
  <si>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</si>
  <si>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</si>
  <si>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</si>
  <si>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</si>
  <si>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</si>
  <si>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</si>
  <si>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</si>
  <si>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</si>
  <si>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</si>
  <si>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</si>
  <si>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</si>
  <si>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</si>
  <si>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</si>
  <si>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</si>
  <si>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</si>
  <si>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</si>
  <si>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</si>
  <si>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</si>
  <si>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</si>
  <si>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</si>
  <si>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</si>
  <si>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</si>
  <si>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</si>
  <si>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</si>
  <si>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</si>
  <si>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</si>
  <si>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</si>
  <si>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</si>
  <si>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</si>
  <si>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</si>
  <si>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</si>
  <si>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</si>
  <si>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</si>
  <si>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</si>
  <si>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</si>
  <si>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</si>
  <si>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</si>
  <si>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</si>
  <si>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</si>
  <si>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</si>
  <si>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</si>
  <si>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</si>
  <si>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</si>
  <si>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</si>
  <si>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</si>
  <si>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</si>
  <si>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</si>
  <si>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</si>
  <si>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</si>
  <si>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</si>
  <si>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</si>
  <si>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</si>
  <si>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</si>
  <si>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</si>
  <si>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</si>
  <si>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</si>
  <si>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</si>
  <si>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</si>
  <si>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</si>
  <si>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</si>
  <si>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</si>
  <si>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</si>
  <si>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</si>
  <si>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</si>
  <si>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</si>
  <si>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</si>
  <si>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</si>
  <si>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</si>
  <si>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</si>
  <si>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</si>
  <si>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</si>
  <si>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</si>
  <si>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</si>
  <si>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</si>
  <si>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</si>
  <si>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</si>
  <si>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</si>
  <si>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</si>
  <si>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</si>
  <si>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</si>
  <si>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</si>
  <si>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</si>
  <si>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</si>
  <si>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</si>
  <si>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</si>
  <si>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</si>
  <si>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</si>
  <si>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</si>
  <si>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</si>
  <si>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</si>
  <si>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</si>
  <si>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</si>
  <si>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</si>
  <si>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</si>
  <si>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</si>
  <si>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</si>
  <si>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</si>
  <si>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</si>
  <si>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</si>
  <si>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</si>
  <si>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</si>
  <si>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</si>
  <si>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</si>
  <si>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</si>
  <si>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</si>
  <si>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</si>
  <si>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</si>
  <si>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</si>
  <si>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</si>
  <si>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</si>
  <si>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</si>
  <si>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</si>
  <si>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</si>
  <si>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</si>
  <si>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</si>
  <si>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</si>
  <si>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</si>
  <si>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</si>
  <si>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</si>
  <si>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</si>
  <si>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</si>
  <si>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</si>
  <si>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</si>
  <si>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</si>
  <si>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</si>
  <si>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</si>
  <si>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</si>
  <si>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</si>
  <si>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</si>
  <si>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</si>
  <si>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</si>
  <si>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</si>
  <si>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</si>
  <si>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</si>
  <si>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</si>
  <si>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</si>
  <si>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</si>
  <si>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</si>
  <si>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</si>
  <si>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</si>
  <si>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</si>
  <si>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</si>
  <si>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</si>
  <si>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</si>
  <si>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</si>
  <si>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</si>
  <si>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</si>
  <si>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</si>
  <si>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</si>
  <si>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</si>
  <si>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</si>
  <si>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</si>
  <si>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</si>
  <si>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</si>
  <si>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</si>
  <si>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</si>
  <si>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</si>
  <si>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</si>
  <si>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</si>
  <si>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</si>
  <si>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</si>
  <si>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</si>
  <si>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</si>
  <si>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</si>
  <si>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</si>
  <si>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</si>
  <si>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</si>
  <si>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</si>
  <si>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</si>
  <si>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</si>
  <si>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</si>
  <si>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</si>
  <si>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</si>
  <si>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</si>
  <si>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</si>
  <si>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</si>
  <si>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</si>
  <si>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</si>
  <si>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</si>
  <si>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</si>
  <si>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</si>
  <si>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</si>
  <si>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</si>
  <si>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</si>
  <si>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</si>
  <si>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</si>
  <si>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</si>
  <si>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</si>
  <si>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</si>
  <si>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</si>
  <si>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</si>
  <si>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</si>
  <si>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</si>
  <si>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</si>
  <si>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</si>
  <si>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</si>
  <si>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</si>
  <si>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</si>
  <si>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</si>
  <si>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</si>
  <si>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</si>
  <si>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</si>
  <si>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</si>
  <si>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</si>
  <si>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</si>
  <si>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</si>
  <si>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</si>
  <si>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</si>
  <si>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</si>
  <si>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</si>
  <si>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</si>
  <si>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</si>
  <si>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</si>
  <si>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</si>
  <si>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</si>
  <si>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</si>
  <si>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</si>
  <si>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</si>
  <si>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</si>
  <si>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</si>
  <si>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</si>
  <si>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</si>
  <si>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</si>
  <si>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</si>
  <si>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</si>
  <si>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</si>
  <si>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</si>
  <si>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</si>
  <si>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</si>
  <si>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</si>
  <si>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</si>
  <si>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</si>
  <si>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</si>
  <si>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</si>
  <si>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</si>
  <si>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</si>
  <si>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</si>
  <si>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</si>
  <si>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</si>
  <si>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</si>
  <si>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</si>
  <si>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</si>
  <si>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</si>
  <si>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</si>
  <si>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</si>
  <si>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</si>
  <si>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</si>
  <si>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</si>
  <si>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</si>
  <si>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</si>
  <si>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</si>
  <si>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</si>
  <si>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</si>
  <si>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</si>
  <si>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</si>
  <si>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</si>
  <si>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</si>
  <si>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</si>
  <si>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</si>
  <si>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</si>
  <si>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</si>
  <si>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</si>
  <si>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</si>
  <si>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</si>
  <si>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</si>
  <si>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</si>
  <si>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</si>
  <si>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</si>
  <si>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</si>
  <si>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</si>
  <si>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</si>
  <si>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</si>
  <si>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</si>
  <si>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</si>
  <si>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</si>
  <si>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</si>
  <si>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</si>
  <si>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</si>
  <si>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</si>
  <si>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</si>
  <si>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</si>
  <si>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</si>
  <si>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</si>
  <si>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</si>
  <si>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</si>
  <si>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</si>
  <si>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varchar(50)</t>
  </si>
  <si>
    <t>varchar(1)</t>
  </si>
  <si>
    <t>LogA</t>
  </si>
  <si>
    <t>LotDirectSupply</t>
  </si>
  <si>
    <t>Lga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</si>
  <si>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</si>
  <si>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</si>
  <si>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</si>
  <si>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</si>
  <si>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</si>
  <si>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</si>
  <si>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</si>
  <si>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</si>
  <si>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</si>
  <si>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MstLga</t>
  </si>
  <si>
    <t>USER_NAME</t>
  </si>
  <si>
    <t>USER_ID</t>
  </si>
  <si>
    <t>PWD</t>
  </si>
  <si>
    <t>IS_NEED_PASS</t>
  </si>
  <si>
    <t>PROCESS_ID</t>
  </si>
  <si>
    <t>USER_DESCRIPTION</t>
  </si>
  <si>
    <t>varchar(200)</t>
  </si>
  <si>
    <t>Barcode</t>
  </si>
  <si>
    <t>Bar</t>
  </si>
  <si>
    <t>LgaBar</t>
  </si>
  <si>
    <t>Master LogA Barcode User</t>
  </si>
  <si>
    <t>Master.LogA</t>
  </si>
  <si>
    <t>MstLgaBarUser</t>
  </si>
  <si>
    <t>BarUser</t>
  </si>
  <si>
    <t>Plan</t>
  </si>
  <si>
    <t>Pln</t>
  </si>
  <si>
    <t>Ccr</t>
  </si>
  <si>
    <t>PlnCcr</t>
  </si>
  <si>
    <t>CCR Plan</t>
  </si>
  <si>
    <t>WldAdo</t>
  </si>
  <si>
    <t>FrmAdo</t>
  </si>
  <si>
    <t>PROCESS_GROUP</t>
  </si>
  <si>
    <t>PROCESS_SUBGROUP</t>
  </si>
  <si>
    <t>PROCESS_CODE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</si>
</sst>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11" workbookViewId="0">
      <selection activeCell="A38" sqref="A38:XFD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304</v>
      </c>
      <c r="F17" s="1" t="s">
        <v>306</v>
      </c>
      <c r="G17" s="17" t="s">
        <v>316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336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337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304</v>
      </c>
      <c r="F33" s="1" t="s">
        <v>306</v>
      </c>
      <c r="G33" s="17" t="s">
        <v>306</v>
      </c>
    </row>
    <row r="34" spans="1:8" x14ac:dyDescent="0.25">
      <c r="A34" s="1"/>
      <c r="B34" s="17"/>
      <c r="D34" t="s">
        <v>305</v>
      </c>
      <c r="F34" s="1" t="s">
        <v>307</v>
      </c>
      <c r="G34" s="17" t="s">
        <v>308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309</v>
      </c>
    </row>
    <row r="36" spans="1:8" x14ac:dyDescent="0.25">
      <c r="A36" s="1"/>
      <c r="B36" s="17"/>
      <c r="D36" t="s">
        <v>310</v>
      </c>
      <c r="F36" s="1" t="s">
        <v>311</v>
      </c>
      <c r="G36" s="17" t="s">
        <v>312</v>
      </c>
    </row>
    <row r="37" spans="1:8" x14ac:dyDescent="0.2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25">
      <c r="A38" s="1"/>
      <c r="B38" s="17"/>
      <c r="D38" t="s">
        <v>324</v>
      </c>
      <c r="F38" s="1" t="s">
        <v>325</v>
      </c>
      <c r="G38" s="17" t="s">
        <v>326</v>
      </c>
    </row>
    <row r="39" spans="1:8" x14ac:dyDescent="0.25">
      <c r="A39" s="1"/>
      <c r="B39" s="17"/>
      <c r="C39" t="s">
        <v>331</v>
      </c>
      <c r="F39" s="1" t="s">
        <v>332</v>
      </c>
      <c r="G39" s="17" t="s">
        <v>332</v>
      </c>
    </row>
    <row r="40" spans="1:8" x14ac:dyDescent="0.25">
      <c r="A40" s="1"/>
      <c r="B40" s="17"/>
      <c r="D40" t="s">
        <v>333</v>
      </c>
      <c r="F40" s="1" t="s">
        <v>333</v>
      </c>
      <c r="G40" s="17" t="s">
        <v>334</v>
      </c>
      <c r="H40" s="17" t="s">
        <v>335</v>
      </c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vovina.LogA.LogA
{
	[Table("MstLgaBarUser")]
	[Index(nameof(UserId), Name="IX_MstLgaBarUser_UserId")]
	[Index(nameof(ProcessId), Name="IX_MstLgaBarUser_ProcessId")]
	[Index(nameof(ProcessCode), Name="IX_MstLgaBarUser_ProcessCode")]
	[Index(nameof(IsActive), Name="IX_MstLgaBarUser_IsActive")]	public class MstLgaBarUser: FullAuditedEntity&lt;long&gt;, IEntity&lt;long&gt;	
	{
		public const int MaxUserIdLength = 50;
		public const int MaxUserNameLength = 50;
		public const int MaxUserDescriptionLength = 200;
		public const int MaxIsNeedPassLength = 1;
		public const int MaxPwdLength = 50;
		public const int MaxProcessCodeLength = 50;
		public const int MaxProcessGroupLength = 50;
		public const int MaxProcessSubgroupLength = 50;
		public const int MaxIsActiveLength = 1;
		[StringLength(MaxUserIdLength)]
		public virtual string UserId { get; set; }
		[StringLength(MaxUserNameLength)]
		public virtual string UserName { get; set; }
		[StringLength(MaxUserDescriptionLength)]
		public virtual string UserDescription { get; set; }
		[StringLength(MaxIsNeedPassLength)]
		public virtual string IsNeedPass { get; set; }
		[StringLength(MaxPwdLength)]
		public virtual string Pwd { get; set; }
		public virtual long ProcessId { get; set; }
		[StringLength(MaxProcessCodeLength)]
		public virtual string ProcessCode { get; set; }
		[StringLength(MaxProcessGroupLength)]
		public virtual string ProcessGroup { get; set; }
		[StringLength(MaxProcessSubgroupLength)]
		public virtual string ProcessSubgroup { get; set; }
		[StringLength(MaxIsActiveLength)]
		public virtual string IsActive { get; set; }
	}
}
</v>
      </c>
      <c r="D58" s="51" t="str">
        <f>A.Backend!O7</f>
        <v xml:space="preserve">		public const string Pages_LogA_LogA_BarUser = "Pages.LogA.LogA.BarUser";
		public const string Pages_LogA_LogA_BarUser_CreateEdit = "Pages.LogA.LogA.BarUser.CreateEdit";
		public const string Pages_LogA_LogA_BarUser_Delete = "Pages.LogA.LogA.BarUser.Delete";
</v>
      </c>
      <c r="E58" s="51" t="str">
        <f>A.Backend!N7</f>
        <v xml:space="preserve">		var perMstLgaBarUser = PARENTS.CreateChildPermission(AppPermissions.Pages_LogA_LogA_BarUser, L( "LogALogABarUser"));
		perMstLgaBarUser.CreateChildPermission(AppPermissions.Pages_LogA_LogA_BarUser_CreateEdit, L( "LogALogABarUserCreateEdit"));
		perMstLgaBarUser.CreateChildPermission(AppPermissions.Pages_LogA_LogA_BarUser_Delete, L( "LogALogABarUserDelete"));</v>
      </c>
      <c r="F58" s="51" t="str">
        <f>A.Backend!K7</f>
        <v>public virtual DbSet&lt;MstLgaBarUser&gt; MstLgaBarUsers { get; set; }</v>
      </c>
      <c r="G58" s="51" t="str">
        <f ca="1">A.Backend!L7</f>
        <v xml:space="preserve">namespace vovina.LogA.LogA
{
	public class MstLgaBarUserConsts	
	{
		public const int MaxUserIdLength = 50;
		public const int MaxUserNameLength = 50;
		public const int MaxUserDescriptionLength = 200;
		public const int MaxIsNeedPassLength = 1;
		public const int MaxPwdLength = 50;
		public const int MaxProcessCodeLength = 50;
		public const int MaxProcessGroupLength = 50;
		public const int MaxProcessSubgroupLength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vovina.LogA.LogA.Dto
{
	public class MstLgaBarUserDto : EntityDto&lt;long?&gt;	
	{
		public virtual string UserId { get; set; }
		public virtual string UserName { get; set; }
		public virtual string UserDescription { get; set; }
		public virtual string IsNeedPass { get; set; }
		public virtual string Pwd { get; set; }
		public virtual long ProcessId { get; set; }
		public virtual string ProcessCode { get; set; }
		public virtual string ProcessGroup { get; set; }
		public virtual string ProcessSubgroup { get; set; }
		public virtual string IsActive { get; set; }
	}
	public class CreateOrEditMstLgaBarUserDto : EntityDto&lt;long?&gt;	
	{
		[StringLength(MstLgaBarUserConsts.MaxUserIdLength)]
		public virtual string UserId { get; set; }
		[StringLength(MstLgaBarUserConsts.MaxUserNameLength)]
		public virtual string UserName { get; set; }
		[StringLength(MstLgaBarUserConsts.MaxUserDescriptionLength)]
		public virtual string UserDescription { get; set; }
		[StringLength(MstLgaBarUserConsts.MaxIsNeedPassLength)]
		public virtual string IsNeedPass { get; set; }
		[StringLength(MstLgaBarUserConsts.MaxPwdLength)]
		public virtual string Pwd { get; set; }
		public virtual long ProcessId { get; set; }
		[StringLength(MstLgaBarUserConsts.MaxProcessCodeLength)]
		public virtual string ProcessCode { get; set; }
		[StringLength(MstLgaBarUserConsts.MaxProcessGroupLength)]
		public virtual string ProcessGroup { get; set; }
		[StringLength(MstLgaBarUserConsts.MaxProcessSubgroupLength)]
		public virtual string ProcessSubgroup { get; set; }
		[StringLength(MstLgaBarUserConsts.MaxIsActiveLength)]
		public virtual string IsActive { get; set; }
	}
	public class GetMstLgaBarUserInput : PagedAndSortedResultRequestDto	
	{
		public virtual string UserId { get; set; }
		public virtual string UserName { get; set; }
		public virtual string UserDescription { get; set; }
		public virtual string IsNeedPass { get; set; }
		public virtual string Pwd { get; set; }
		public virtual string ProcessCode { get; set; }
		public virtual string ProcessGroup { get; set; }
		public virtual string ProcessSubgroup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vovina.LogA.LogA.Dto
{
	public class MstLgaBarUserExportInput{
		public virtual string UserId { get; set; }
		public virtual string UserName { get; set; }
		public virtual string UserDescription { get; set; }
		public virtual string IsNeedPass { get; set; }
		public virtual string Pwd { get; set; }
		public virtual long ProcessId { get; set; }
		public virtual string ProcessCode { get; set; }
		public virtual string ProcessGroup { get; set; }
		public virtual string ProcessSubgroup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vovina.LogA.LogA.Dto;
namespace vovina.LogA.LogA
{
	public interface IMstLgaBarUserAppService : IApplicationService
	{
		Task&lt;PagedResultDto&lt;MstLgaBarUserDto&gt;&gt; GetAll(GetMstLgaBarUserInput input);
		Task CreateOrEdit(CreateOrEditMstLgaBarUserDto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vovina.LogA.LogA.Dto;
namespace vovina.LogA.LogA.Exporting
{
	public interface IMstLgaBarUserExcelExporter : IApplicationService
	{
		FileDto ExportToFile(List&lt;MstLgaBarUserDto&gt; mstlgabaruser);
	}
}
</v>
      </c>
      <c r="L58" s="51" t="str">
        <f ca="1">A.Backend!T7</f>
        <v>using System.Collections.Generic;
using vovina.DataExporting.Excel.NPOI;
using vovina.Dto;
using vovina.LogA.LogA.Exporting;
using vovina.LogA.LogA.Dto;
using vovina.Storage;
using vovina.LogA.LogA.Dto;
namespace vovina.LogA.LogA.Exporting
{
    public class MstLgaBarUserExcelExporter : NpoiExcelExporterBase, IMstLgaBarUserExcelExporter
    {
        public MstLgaBarUserExcelExporter(ITempFileCacheManager tempFileCacheManager) : base(tempFileCacheManager) { }
        public FileDto ExportToFile(List&lt;MstLgaBarUserDto&gt; baruser)
        {
            return CreateExcelPackage(
				"LogALogABarUser.xlsx",
				excelPackage =&gt;
				 {
					var sheet = excelPackage.CreateSheet("BarUser");
					AddHeader(
								sheet,
								("UserId"),
								("UserName"),
								("UserDescription"),
								("IsNeedPass"),
								("Pwd"),
								("ProcessId"),
								("ProcessCode"),
								("ProcessGroup"),
								("ProcessSubgroup"),
								("IsActive"),
							   );
					AddObjects(
						 sheet, 1, baruser,                                       
								_ =&gt; _.UserId,
								_ =&gt; _.UserName,
								_ =&gt; _.UserDescription,
								_ =&gt; _.IsNeedPass,
								_ =&gt; _.Pwd,
								_ =&gt; _.ProcessId,
								_ =&gt; _.ProcessCode,
								_ =&gt; _.ProcessGroup,
								_ =&gt; _.ProcessSubgroup,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vovina.LogA.LogA.Dto;
using vovina.LogA.LogA.Exporting;
namespace vovina.LogA.LogA
{
    [AbpAuthorize(AppPermissions.Pages_LogA_LogA_BarUser)]
    public class MstLgaBarUserAppService : vovinaAppServiceBase, IMstLgaBarUserAppService
    {
        private readonly IDapperRepository&lt;MstLgaBarUser, long&gt; _dapperRepo;
        private readonly IRepository&lt;MstLgaBarUser, long&gt; _repo;
        private readonly IMstLgaBarUserExcelExporter _calendarListExcelExporter;
        public MstLgaBarUserAppService(IRepository&lt;MstLgaBarUser,long&gt; repo, 
                                         IDapperRepository&lt;MstLgaBarUser,long&gt; dapperRepo,
                                        IMstLgaBarUserExcelExporter calendarListExcelExporter
            )
        {
            _repo = repo;
            _dapperRepo = dapperRepo;
            _calendarListExcelExporter = calendarListExcelExporter;
        }
        [AbpAuthorize(AppPermissions.Pages_LogA_LogA_BarUser_CreateEdit)]
        public async Task CreateOrEdit(CreateOrEditMstLgaBarUserDto input)
        {
            if (input.Id == null) await Create(input);
            else await Update(input);
        }
        //CREATE
        private async Task Create(CreateOrEditMstLgaBarUserDto input)
        {          
            var mainObj = ObjectMapper.Map&lt;MstLgaBarUser&gt;(input);
            await CurrentUnitOfWork.GetDbContext&lt;vovinaDbContext&gt;().AddAsync(mainObj);
        }
        // EDIT
        private async Task Update(CreateOrEditMstLgaBarUserDto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[AbpAuthorize(AppPermissions.Pages_LogA_LogA_BarUser_Delete)]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Task&lt;PagedResultDto&lt;MstLgaBarUserDto&gt;&gt; GetAll(GetMstLgaBarUserInput input)
        {
            var filtered = _repo.GetAll()
				.WhereIf(!string.IsNullOrWhiteSpace(input.UserId), e =&gt; e.UserId.Contains(input.UserId))
				.WhereIf(!string.IsNullOrWhiteSpace(input.UserName), e =&gt; e.UserName.Contains(input.UserName))
				.WhereIf(!string.IsNullOrWhiteSpace(input.UserDescription), e =&gt; e.UserDescription.Contains(input.UserDescription))
				.WhereIf(!string.IsNullOrWhiteSpace(input.IsNeedPass), e =&gt; e.IsNeedPass.Contains(input.IsNeedPass))
				.WhereIf(!string.IsNullOrWhiteSpace(input.Pwd), e =&gt; e.Pwd.Contains(input.Pwd))
				.WhereIf(!string.IsNullOrWhiteSpace(input.ProcessCode), e =&gt; e.ProcessCode.Contains(input.ProcessCode))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MstLgaBarUserDto
                        {
							Id = o.Id,
							UserId = o.UserId,
							UserName = o.UserName,
							UserDescription = o.UserDescription,
							IsNeedPass = o.IsNeedPass,
							Pwd = o.Pwd,
							ProcessId = o.ProcessId,
							ProcessCode = o.ProcessCode,
							ProcessGroup = o.ProcessGroup,
							ProcessSubgroup = o.ProcessSubgroup,
							IsActive = o.IsActive,
                        };
            var totalCount = await filtered.CountAsync();
			var paged = system.PageBy(input);
            return new PagedResultDto&lt;MstLgaBarUserDto&gt;(
                totalCount,
                 await paged.ToListAsync()
            );
        }
        public async Task&lt;FileDto&gt; GetBarUserToExcel(MstLgaBarUserExportInput input)
        {
            var query = from o in _repo.GetAll()
                        select new MstLgaBarUserDto
                        {
							Id = o.Id,
							UserId = o.UserId,
							UserName = o.UserName,
							UserDescription = o.UserDescription,
							IsNeedPass = o.IsNeedPass,
							Pwd = o.Pwd,
							ProcessId = o.ProcessId,
							ProcessCode = o.ProcessCode,
							ProcessGroup = o.ProcessGroup,
							ProcessSubgroup = o.ProcessSubgroup,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_dapperRepo.ExecuteAsync(MstLgaBarUserConsts.SP_MST_WPT_CALENDAR_GENERATE);
       // }
    }
}</v>
      </c>
      <c r="N58" s="62" t="str">
        <f>A.Backend!U7</f>
        <v xml:space="preserve">  configuration.CreateMap&lt;MstLgaBarUserDto, MstLgaBarUser&gt;();
  configuration.CreateMap&lt;MstLgaBarUser, MstLgaBarUserDto&gt;();
  configuration.CreateMap&lt;CreateOrEditMstLgaBarUserDto, MstLgaBarUser&gt;();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baruser</v>
      </c>
      <c r="C63" s="72" t="str">
        <f>"create folder " &amp;B63</f>
        <v>create folder baruser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baruser.component.ts</v>
      </c>
      <c r="D64" s="31" t="str">
        <f>B.Frontend!I14</f>
        <v>baruser.component.html</v>
      </c>
      <c r="E64" s="31" t="str">
        <f>B.Frontend!J14</f>
        <v>baruser.component.less</v>
      </c>
      <c r="F64" s="31" t="str">
        <f>B.Frontend!K14</f>
        <v>create-or-edit-baruser-modal.component.html</v>
      </c>
      <c r="G64" s="31" t="str">
        <f>B.Frontend!L14</f>
        <v>create-or-edit-baruser-modal.component.ts</v>
      </c>
      <c r="H64" s="31" t="str">
        <f>B.Frontend!M14</f>
        <v>create-or-edit-baruser-modal.component.less</v>
      </c>
      <c r="I64" s="31" t="str">
        <f>B.Frontend!N14</f>
        <v>baruser.module.ts</v>
      </c>
      <c r="J64" s="31" t="str">
        <f>B.Frontend!O14</f>
        <v>baruser-routing.module.ts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MstLgaBarUserDto, MstLgaBarUserServiceProxy } from '@shared/service-proxies/service-proxies';
import { finalize } from 'rxjs/internal/operators/finalize';
import { CreateOrEditBarUserModalComponent } from './create-or-edit-baruser-modal.component';
import { DatePipe } from '@angular/common';
import { FileDownloadService } from '@shared/utils/file-download.service';
import ceil from 'lodash-es/ceil';
import { Paginator } from 'primeng/paginator';
@Component({
    templateUrl: './baruser.component.html',
    styleUrls: ['./baruser.component.less'],
})
export class BarUserComponent extends AppComponentBase implements OnInit {
    @ViewChild('createOrEditModalBarUser', { static: true }) createOrEditModalBarUser:| CreateOrEditBarUserModalComponent|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MstLgaBarUserDto = new MstLgaBarUserDto();
    saveSelectedRow: MstLgaBarUserDto = new MstLgaBarUserDto();
    datas: MstLgaBarUserDto = new MstLgaBarUserDto();
    isLoading: boolean = false;
    dataParams: GridParams | undefined;
    rowData: any[] = [];
    gridApi!: GridApi;
    rowSelection = 'multiple';
    filter: string = '';
	pipe = new DatePipe('en-US');
	frameworkComponents: FrameworkComponent;
    userId : string = '' ; 
	userName : string = '' ; 
	userDescription : string = '' ; 
	isNeedPass : string = '' ; 
	pwd : string = '' ; 
	processId
	processCode : string = '' ; 
	processGroup : string = '' ; 
	processSubgroup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MstLgaBarUserServiceProxy,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this.l('User Id'),headerTooltip: this.l('User Id'),field: 'userId',flex: 1},
			{headerName: this.l('User Name'),headerTooltip: this.l('User Name'),field: 'userName',flex: 1},
			{headerName: this.l('User Description'),headerTooltip: this.l('User Description'),field: 'userDescription',flex: 1},
			{headerName: this.l('Is Need Pass'),headerTooltip: this.l('Is Need Pass'),field:  'isNeedPass', cellClass: ['text-center'], width: 120, cellRenderer: 'agCellButtonComponent',
buttonDefTwo: { text: params =&gt; (params.data?.'isNeedPass' == 'Y') ? 'Active' : 'Inactive',iconName: 'fa fa-circle',className: params =&gt; (params.data?.'isNeedPass' == 'Y') ? 'btnActive' : 'btnInActive',},}
			{headerName: this.l('Pwd'),headerTooltip: this.l('Pwd'),field: 'pwd',flex: 1},
			{headerName: this.l('Process Id'),headerTooltip: this.l('Process Id'),field: 'processId',flex: 1},
			{headerName: this.l('Process Code'),headerTooltip: this.l('Process Code'),field: 'processCode',flex: 1},
			{headerName: this.l('Process Group'),headerTooltip: this.l('Process Group'),field: 'processGroup',flex: 1},
			{headerName: this.l('Process Subgroup'),headerTooltip: this.l('Process Subgroup'),field: 'processSubgroup',flex: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this.userId,
			this.userName,
			this.userDescription,
			this.isNeedPass,
			this.pwd,
			this.processId,
			this.processCode,
			this.processGroup,
			this.processSubgroup,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this.userId = '',
		this.userName = '',
		this.userDescription = '',
		this.isNeedPass = '',
		this.pwd = '',
		this.processId = '',
		this.processCode = '',
		this.processGroup = '',
		this.processSubgroup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this.userId,
			this.userName,
			this.userDescription,
			this.isNeedPass,
			this.pwd,
			this.processId,
			this.processCode,
			this.processGroup,
			this.processSubgroup,
			this.isActive,
			'',
            this.paginationParams.skipCount,
            this.paginationParams.pageSize
        );
    }
    onChangeRowSelection(params: { api: { getSelectedRows: () =&gt; MstLgaBarUserDto[] } }) {
        this.saveSelectedRow = params.api.getSelectedRows()[0] ?? new MstLgaBarUserDto();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MstLgaBarUserDto):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this._service.getBarUserToExcel(
			this.userId,
			this.userName,
			this.userDescription,
			this.isNeedPass,
			this.pwd,
			this.processId,
			this.processCode,
			this.processGroup,
			this.processSubgroup,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LogA Barcode User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[(ngModel)]='userId' name='userId'
									class='form-control' [placeholder]="l('User Id')"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[(ngModel)]='userDescription' name='userDescription'
									class='form-control' [placeholder]="l('User Description')"
									type='text' (keyup.enter)='searchDatas()'&gt;
								&lt;/div&gt;
								&lt;div class='input-search'&gt;
									&lt;input [(ngModel)]='isNeedPass' name='isNeedPass'
									class='form-control' [placeholder]="l('Is Need Pass')"
									type='text' (keyup.enter)='searchDatas()'&gt;
								&lt;/div&gt;
								&lt;div class='input-search'&gt;
									&lt;input [(ngModel)]='pwd' name='pwd'
									class='form-control' [placeholder]="l('Pwd')"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(click)="createOrEditModalBarUser.show()"&gt;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(click)="createOrEditModalBarUser.show(selectedRow)"&gt;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&lt;create-or-edit-baruser-modal
    #createOrEditModalBarUser
    (modalSave)="callBackDataGrid(dataParams)"
    (modalClose)="onChangeRowSelection(dataParams)"
&gt;
&lt;/create-or-edit-baruser-modal&gt;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#createOrEditModalBarUser="bs-modal"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BarUser')}}&lt;/h3&gt;
                    &lt;h3 *ngIf="!rowdata.id"&gt;{{('Create New BarUser')}}&lt;/h3&gt;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title'&gt;User Id&lt;/label&gt;
						&lt;input type='text' class='col-md-10 form-control input-text' name='UserId' [(ngModel)]='rowdata.userId'&gt;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title'&gt;User Description&lt;/label&gt;
						&lt;input type='text' class='col-md-10 form-control input-text' name='UserDescription' [(ngModel)]='rowdata.userDescription'&gt;
					&lt;/div&gt;
					&lt;div class='col-md-12 form-group row'&gt;
						&lt;label class='col-md-2 form-control title'&gt;Is Need Pass&lt;/label&gt;
						&lt;new-checkbox [(ngModel)]='_isNeedPass' name='isNeedPass' className='col-md-10' &gt; &lt;/new-checkbox&gt;
					&lt;/div&gt;
					&lt;div class='col-md-12 form-group row'&gt;
						&lt;label class='col-md-2 form-control title'&gt;Pwd&lt;/label&gt;
						&lt;input type='text' class='col-md-10 form-control input-text' name='Pwd' [(ngModel)]='rowdata.pwd'&gt;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CreateOrEditMstLgaBarUserDto, MstLgaBarUserServiceProxy } from '@shared/service-proxies/service-proxies';
import { BsDatepickerDirective } from 'ngx-bootstrap/datepicker';
@Component({
    selector: 'create-or-edit-baruser-modal',
    templateUrl: './create-or-edit-baruser-modal.component.html',
    styleUrls: ['./create-or-edit-baruser-modal.component.less']
    })
export class CreateOrEditBarUserModalComponent extends AppComponentBase {
    @ViewChild('createOrEditModalBarUser',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CreateOrEditMstLgaBarUserDto = new CreateOrEditMstLgaBarUserDto();
    active: boolean = false;
    saving: boolean = false;
    _isNeedPass
isActive: boolean;
    constructor(
        injector: Injector,
        private _mstwptBarUserService: MstLgaBarUserServiceProxy,
    ) 
    {
        super(injector);
    }
    show(rowdata?: CreateOrEditMstLgaBarUserDto): void {
        if (!rowdata) this.rowdata = new CreateOrEditMstLgaBarUserDto();
        else this.rowdata = rowdata;
        this._isNeedPass
isActive = (this.rowdata.isNeedPass
isActive == "N")? false: true;
        this.active = true;
        this.modal.show();
    } 
    changeActive(event){
        this._isNeedPass
isActive = event.target.checked;
    }
    save(): void {
    this.saving = true; 
    this.rowdata.isNeedPass
isActive = (this._isNeedPass
isActive == true) ? 'Y' : 'N'
    this._mstwptBarUserService.createOrEdit(this.rowdata)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BarUserRoutingModule } from './baruser-routing.module';
import { BarUserComponent } from './baruser.component';
import { CreateOrEditBarUserModalComponent } from './create-or-edit-baruser-modal.component';
@NgModule({
    declarations: [
       BarUserComponent, 
        CreateOrEditBarUserModalComponent
    ],
    imports: [
        AppSharedModule, BarUserRoutingModule]
})
export class BarUserModule {}</v>
      </c>
      <c r="J65" s="49" t="str">
        <f>B.Frontend!O10</f>
        <v>import {NgModule} from '@angular/core';
import {RouterModule, Routes} from '@angular/router';
import { BarUserComponent } from './baruser.component';
const routes: Routes = [{
    path: '',
    component: BarUserComponent,
    pathMatch: 'full'
}];
@NgModule({
    imports: [RouterModule.forChild(routes)],
    exports: [RouterModule],
})
export class BarUserRoutingModule {}</v>
      </c>
      <c r="K65" s="49" t="str">
        <f>B.Frontend!P10</f>
        <v xml:space="preserve"> new AppMenuItem("BarUser", "Pages.LogA.LogA.BarUser", "flaticon-book",   "/app/main/loga/loga/baruser"),</v>
      </c>
      <c r="L65" s="50" t="str">
        <f>B.Frontend!Q10</f>
        <v>{
    path: 'loga/loga/baruser',
    loadChildren: () =&gt; import('./loga/loga/baruser/baruser.module').then(m =&gt; m.BarUserModule),
    data: { permission: 'Pages.LogA.LogA.BarUser' }
},</v>
      </c>
      <c r="M65" s="48" t="str">
        <f>B.Frontend!R10</f>
        <v>ApiServiceProxies.MstLgaBarUserServiceProxy,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"/>
  <sheetViews>
    <sheetView tabSelected="1" zoomScaleNormal="100" workbookViewId="0">
      <pane xSplit="1" topLeftCell="B1" activePane="topRight" state="frozen"/>
      <selection pane="topRight" activeCell="A15" activeCellId="1" sqref="A14 A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328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329</v>
      </c>
      <c r="C3" s="10" t="s">
        <v>43</v>
      </c>
      <c r="D3" s="10" t="s">
        <v>44</v>
      </c>
      <c r="E3" s="10" t="s">
        <v>39</v>
      </c>
      <c r="F3" s="11" t="str">
        <f>"J"&amp;COUNTA($A:$A)</f>
        <v>J18</v>
      </c>
      <c r="G3" s="4" t="s">
        <v>57</v>
      </c>
      <c r="H3" s="10" t="str">
        <f>"I"&amp;COUNTA($A:$A)</f>
        <v>I18</v>
      </c>
      <c r="I3" s="10" t="str">
        <f>REPT(CHAR(9),2)&amp;"[Required]"&amp;"
"</f>
        <v xml:space="preserve">		[Required]
</v>
      </c>
      <c r="J3" s="11" t="str">
        <f>"L"&amp;COUNTA($A:$A)</f>
        <v>L18</v>
      </c>
      <c r="K3" s="5" t="s">
        <v>56</v>
      </c>
      <c r="L3" s="11" t="str">
        <f>"M"&amp;COUNTA($A:$A)</f>
        <v>M18</v>
      </c>
      <c r="M3" s="11" t="str">
        <f>"N"&amp;COUNTA($A:$A)</f>
        <v>N18</v>
      </c>
      <c r="N3" s="11" t="str">
        <f>"O"&amp;COUNTA($A:$A)</f>
        <v>O18</v>
      </c>
      <c r="O3" s="11" t="str">
        <f>"P"&amp;COUNTA($A:$A)</f>
        <v>P18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MstLgaBarUserExportInput{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T18</v>
      </c>
      <c r="V3" s="11" t="str">
        <f>"V"&amp;COUNTA($A:$A)</f>
        <v>V18</v>
      </c>
      <c r="W3" s="10" t="str">
        <f>"W"&amp;COUNTA($A:$A)</f>
        <v>W18</v>
      </c>
    </row>
    <row r="4" spans="1:23" s="11" customFormat="1" ht="33" customHeight="1" x14ac:dyDescent="0.25">
      <c r="A4" s="1" t="s">
        <v>237</v>
      </c>
      <c r="B4" s="64" t="s">
        <v>304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330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MstLgaBarUser: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MstLgaBarUserConsts	
	{
</v>
      </c>
      <c r="F6" s="11" t="str">
        <f>REPT(CHAR(9),1)&amp;"public class "&amp;B3&amp;"Dto"&amp;K3&amp;REPT(CHAR(9),1)&amp;"
"&amp;REPT(CHAR(9),1)&amp;C3</f>
        <v xml:space="preserve">	public class MstLgaBarUserDto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CreateOrEditMstLgaBarUserDto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GetMstLgaBarUserInput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MstLgaBarUser</v>
      </c>
      <c r="C7" s="11" t="str">
        <f>REPT(CHAR(9),1)&amp;"[Table("""&amp;B7&amp;""")]"&amp;"
"</f>
        <v xml:space="preserve">	[Table("MstLgaBarUser")]
</v>
      </c>
      <c r="D7" s="11"/>
      <c r="E7" s="11"/>
      <c r="F7" s="11"/>
      <c r="G7" s="11"/>
      <c r="H7" s="11"/>
      <c r="I7" s="11"/>
      <c r="J7" s="6" t="str">
        <f ca="1">SUBSTITUTE(SUBSTITUTE((B1&amp;C6&amp;C7&amp;K20&amp;D6&amp;I20&amp;E3&amp;J20&amp;""&amp;REPT(CHAR(9),1)&amp;D3&amp;D3),"WorkingPattern",$Q$3),"Master",$B$4)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vovina.LogA.LogA
{
	[Table("MstLgaBarUser")]
	[Index(nameof(UserId), Name="IX_MstLgaBarUser_UserId")]
	[Index(nameof(ProcessId), Name="IX_MstLgaBarUser_ProcessId")]
	[Index(nameof(ProcessCode), Name="IX_MstLgaBarUser_ProcessCode")]
	[Index(nameof(IsActive), Name="IX_MstLgaBarUser_IsActive")]	public class MstLgaBarUser: FullAuditedEntity&lt;long&gt;, IEntity&lt;long&gt;	
	{
		public const int MaxUserIdLength = 50;
		public const int MaxUserNameLength = 50;
		public const int MaxUserDescriptionLength = 200;
		public const int MaxIsNeedPassLength = 1;
		public const int MaxPwdLength = 50;
		public const int MaxProcessCodeLength = 50;
		public const int MaxProcessGroupLength = 50;
		public const int MaxProcessSubgroupLength = 50;
		public const int MaxIsActiveLength = 1;
		[StringLength(MaxUserIdLength)]
		public virtual string UserId { get; set; }
		[StringLength(MaxUserNameLength)]
		public virtual string UserName { get; set; }
		[StringLength(MaxUserDescriptionLength)]
		public virtual string UserDescription { get; set; }
		[StringLength(MaxIsNeedPassLength)]
		public virtual string IsNeedPass { get; set; }
		[StringLength(MaxPwdLength)]
		public virtual string Pwd { get; set; }
		public virtual long ProcessId { get; set; }
		[StringLength(MaxProcessCodeLength)]
		public virtual string ProcessCode { get; set; }
		[StringLength(MaxProcessGroupLength)]
		public virtual string ProcessGroup { get; set; }
		[StringLength(MaxProcessSubgroupLength)]
		public virtual string ProcessSubgroup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DbSet&lt;MstLgaBarUser&gt; MstLgaBarUsers { get; set; }</v>
      </c>
      <c r="L7" t="str">
        <f ca="1">SUBSTITUTE(SUBSTITUTE((C6&amp;E6&amp;I20&amp;"
"&amp;REPT(CHAR(9),2)&amp;"// Define Store Name: Format SP_ + &lt;Store Name&gt; = &lt;Store Name&gt;
"&amp;E3&amp;REPT(CHAR(9),1)&amp;D3&amp;D3),"WorkingPattern",$Q$3),"Master",$B$4)</f>
        <v xml:space="preserve">namespace vovina.LogA.LogA
{
	public class MstLgaBarUserConsts	
	{
		public const int MaxUserIdLength = 50;
		public const int MaxUserNameLength = 50;
		public const int MaxUserDescriptionLength = 200;
		public const int MaxIsNeedPassLength = 1;
		public const int MaxPwdLength = 50;
		public const int MaxProcessCodeLength = 50;
		public const int MaxProcessGroupLength = 50;
		public const int MaxProcessSubgroupLength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"&amp;B6&amp;".Dto"&amp;E3&amp;C3&amp;F6&amp;M20&amp;E3&amp;REPT(CHAR(9),1)&amp;D3&amp;G6&amp;N20&amp;REPT(CHAR(9),1)&amp;D3&amp;H6&amp;O20&amp;"
"&amp;REPT(CHAR(9),1)&amp;D3&amp;D3),"WorkingPattern",$Q$3),"Master",$B$4)</f>
        <v xml:space="preserve">using Abp.Application.Services.Dto;
using System;
using System.ComponentModel.DataAnnotations;
namespace vovina.LogA.LogA.Dto
{
	public class MstLgaBarUserDto : EntityDto&lt;long?&gt;	
	{
		public virtual string UserId { get; set; }
		public virtual string UserName { get; set; }
		public virtual string UserDescription { get; set; }
		public virtual string IsNeedPass { get; set; }
		public virtual string Pwd { get; set; }
		public virtual long ProcessId { get; set; }
		public virtual string ProcessCode { get; set; }
		public virtual string ProcessGroup { get; set; }
		public virtual string ProcessSubgroup { get; set; }
		public virtual string IsActive { get; set; }
	}
	public class CreateOrEditMstLgaBarUserDto : EntityDto&lt;long?&gt;	
	{
		[StringLength(MstLgaBarUserConsts.MaxUserIdLength)]
		public virtual string UserId { get; set; }
		[StringLength(MstLgaBarUserConsts.MaxUserNameLength)]
		public virtual string UserName { get; set; }
		[StringLength(MstLgaBarUserConsts.MaxUserDescriptionLength)]
		public virtual string UserDescription { get; set; }
		[StringLength(MstLgaBarUserConsts.MaxIsNeedPassLength)]
		public virtual string IsNeedPass { get; set; }
		[StringLength(MstLgaBarUserConsts.MaxPwdLength)]
		public virtual string Pwd { get; set; }
		public virtual long ProcessId { get; set; }
		[StringLength(MstLgaBarUserConsts.MaxProcessCodeLength)]
		public virtual string ProcessCode { get; set; }
		[StringLength(MstLgaBarUserConsts.MaxProcessGroupLength)]
		public virtual string ProcessGroup { get; set; }
		[StringLength(MstLgaBarUserConsts.MaxProcessSubgroupLength)]
		public virtual string ProcessSubgroup { get; set; }
		[StringLength(MstLgaBarUserConsts.MaxIsActiveLength)]
		public virtual string IsActive { get; set; }
	}
	public class GetMstLgaBarUserInput : PagedAndSortedResultRequestDto	
	{
		public virtual string UserId { get; set; }
		public virtual string UserName { get; set; }
		public virtual string UserDescription { get; set; }
		public virtual string IsNeedPass { get; set; }
		public virtual string Pwd { get; set; }
		public virtual string ProcessCode { get; set; }
		public virtual string ProcessGroup { get; set; }
		public virtual string ProcessSubgroup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perMstLgaBarUser = PARENTS.CreateChildPermission(AppPermissions.Pages_LogA_LogA_BarUser, L( "LogALogABarUser"));
		perMstLgaBarUser.CreateChildPermission(AppPermissions.Pages_LogA_LogA_BarUser_CreateEdit, L( "LogALogABarUserCreateEdit"));
		perMstLgaBarUser.CreateChildPermission(AppPermissions.Pages_LogA_LogA_BarUser_Delete, L( "LogALogABarUserDelete"));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Pages_LogA_LogA_BarUser = "Pages.LogA.LogA.BarUser";
		public const string Pages_LogA_LogA_BarUser_CreateEdit = "Pages.LogA.LogA.BarUser.CreateEdit";
		public const string Pages_LogA_LogA_BarUser_Delete = "Pages.LogA.LogA.BarUser.Delete";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vovina.LogA.LogA.Dto;
namespace vovina.LogA.LogA
{
	public interface IMstLgaBarUserAppService : IApplicationService
	{
		Task&lt;PagedResultDto&lt;MstLgaBarUserDto&gt;&gt; GetAll(GetMstLgaBarUserInput input);
		Task CreateOrEdit(CreateOrEditMstLgaBarUserDto input);
		Task Delete(EntityDto input);
	}
}
</v>
      </c>
      <c r="Q7" t="str">
        <f ca="1">SUBSTITUTE(SUBSTITUTE(SUBSTITUTE(SUBSTITUTE(SUBSTITUTE(SUBSTITUTE(E1,"MstWptCalendar",$B$3),"&lt;PROPERTIES&gt;",P20),"Calendar",$B$5),"WorkingPattern",$Q$3),"Master",$B$4),"&lt;PARAMS_SEARCH&gt;",$W$20)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vovina.LogA.LogA.Dto;
using vovina.LogA.LogA.Exporting;
namespace vovina.LogA.LogA
{
    [AbpAuthorize(AppPermissions.Pages_LogA_LogA_BarUser)]
    public class MstLgaBarUserAppService : vovinaAppServiceBase, IMstLgaBarUserAppService
    {
        private readonly IDapperRepository&lt;MstLgaBarUser, long&gt; _dapperRepo;
        private readonly IRepository&lt;MstLgaBarUser, long&gt; _repo;
        private readonly IMstLgaBarUserExcelExporter _calendarListExcelExporter;
        public MstLgaBarUserAppService(IRepository&lt;MstLgaBarUser,long&gt; repo, 
                                         IDapperRepository&lt;MstLgaBarUser,long&gt; dapperRepo,
                                        IMstLgaBarUserExcelExporter calendarListExcelExporter
            )
        {
            _repo = repo;
            _dapperRepo = dapperRepo;
            _calendarListExcelExporter = calendarListExcelExporter;
        }
        [AbpAuthorize(AppPermissions.Pages_LogA_LogA_BarUser_CreateEdit)]
        public async Task CreateOrEdit(CreateOrEditMstLgaBarUserDto input)
        {
            if (input.Id == null) await Create(input);
            else await Update(input);
        }
        //CREATE
        private async Task Create(CreateOrEditMstLgaBarUserDto input)
        {          
            var mainObj = ObjectMapper.Map&lt;MstLgaBarUser&gt;(input);
            await CurrentUnitOfWork.GetDbContext&lt;vovinaDbContext&gt;().AddAsync(mainObj);
        }
        // EDIT
        private async Task Update(CreateOrEditMstLgaBarUserDto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[AbpAuthorize(AppPermissions.Pages_LogA_LogA_BarUser_Delete)]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Task&lt;PagedResultDto&lt;MstLgaBarUserDto&gt;&gt; GetAll(GetMstLgaBarUserInput input)
        {
            var filtered = _repo.GetAll()
				.WhereIf(!string.IsNullOrWhiteSpace(input.UserId), e =&gt; e.UserId.Contains(input.UserId))
				.WhereIf(!string.IsNullOrWhiteSpace(input.UserName), e =&gt; e.UserName.Contains(input.UserName))
				.WhereIf(!string.IsNullOrWhiteSpace(input.UserDescription), e =&gt; e.UserDescription.Contains(input.UserDescription))
				.WhereIf(!string.IsNullOrWhiteSpace(input.IsNeedPass), e =&gt; e.IsNeedPass.Contains(input.IsNeedPass))
				.WhereIf(!string.IsNullOrWhiteSpace(input.Pwd), e =&gt; e.Pwd.Contains(input.Pwd))
				.WhereIf(!string.IsNullOrWhiteSpace(input.ProcessCode), e =&gt; e.ProcessCode.Contains(input.ProcessCode))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MstLgaBarUserDto
                        {
							Id = o.Id,
							UserId = o.UserId,
							UserName = o.UserName,
							UserDescription = o.UserDescription,
							IsNeedPass = o.IsNeedPass,
							Pwd = o.Pwd,
							ProcessId = o.ProcessId,
							ProcessCode = o.ProcessCode,
							ProcessGroup = o.ProcessGroup,
							ProcessSubgroup = o.ProcessSubgroup,
							IsActive = o.IsActive,
                        };
            var totalCount = await filtered.CountAsync();
			var paged = system.PageBy(input);
            return new PagedResultDto&lt;MstLgaBarUserDto&gt;(
                totalCount,
                 await paged.ToListAsync()
            );
        }
        public async Task&lt;FileDto&gt; GetBarUserToExcel(MstLgaBarUserExportInput input)
        {
            var query = from o in _repo.GetAll()
                        select new MstLgaBarUserDto
                        {
							Id = o.Id,
							UserId = o.UserId,
							UserName = o.UserName,
							UserDescription = o.UserDescription,
							IsNeedPass = o.IsNeedPass,
							Pwd = o.Pwd,
							ProcessId = o.ProcessId,
							ProcessCode = o.ProcessCode,
							ProcessGroup = o.ProcessGroup,
							ProcessSubgroup = o.ProcessSubgroup,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_dapperRepo.ExecuteAsync(MstLgaBarUserConsts.SP_MST_WPT_CALENDAR_GENERATE);
       // }
    }
}</v>
      </c>
      <c r="R7" t="str">
        <f ca="1">SUBSTITUTE(SUBSTITUTE((C1&amp;"namespace "&amp;B6&amp;".Dto"&amp;E3&amp;C3&amp;R3&amp;M20&amp;E3&amp;REPT(CHAR(9),1)&amp;D3&amp;D3),"WorkingPattern",$Q$3),"Master",$B$4)</f>
        <v xml:space="preserve">using Abp.Application.Services.Dto;
using System;
using System.ComponentModel.DataAnnotations;
namespace vovina.LogA.LogA.Dto
{
	public class MstLgaBarUserExportInput{
		public virtual string UserId { get; set; }
		public virtual string UserName { get; set; }
		public virtual string UserDescription { get; set; }
		public virtual string IsNeedPass { get; set; }
		public virtual string Pwd { get; set; }
		public virtual long ProcessId { get; set; }
		public virtual string ProcessCode { get; set; }
		public virtual string ProcessGroup { get; set; }
		public virtual string ProcessSubgroup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vovina.LogA.LogA.Dto;
namespace vovina.LogA.LogA.Exporting
{
	public interface IMstLgaBarUserExcelExporter : IApplicationService
	{
		FileDto ExportToFile(List&lt;MstLgaBarUserDto&gt; mstlgabaruser);
	}
}
</v>
      </c>
      <c r="T7" s="28" t="str">
        <f ca="1">SUBSTITUTE(SUBSTITUTE(SUBSTITUTE(SUBSTITUTE(SUBSTITUTE(SUBSTITUTE(SUBSTITUTE(T1,"MstWptCalendar",$B$3),"&lt;PROPERTIES1&gt;",V20),"&lt;PROPERTIES&gt;",T20),"Calendar",$B$5),"calendar",LOWER(B5)),"WorkingPattern",$Q$3),"Master",$B$4)</f>
        <v>using System.Collections.Generic;
using vovina.DataExporting.Excel.NPOI;
using vovina.Dto;
using vovina.LogA.LogA.Exporting;
using vovina.LogA.LogA.Dto;
using vovina.Storage;
using vovina.LogA.LogA.Dto;
namespace vovina.LogA.LogA.Exporting
{
    public class MstLgaBarUserExcelExporter : NpoiExcelExporterBase, IMstLgaBarUserExcelExporter
    {
        public MstLgaBarUserExcelExporter(ITempFileCacheManager tempFileCacheManager) : base(tempFileCacheManager) { }
        public FileDto ExportToFile(List&lt;MstLgaBarUserDto&gt; baruser)
        {
            return CreateExcelPackage(
				"LogALogABarUser.xlsx",
				excelPackage =&gt;
				 {
					var sheet = excelPackage.CreateSheet("BarUser");
					AddHeader(
								sheet,
								("UserId"),
								("UserName"),
								("UserDescription"),
								("IsNeedPass"),
								("Pwd"),
								("ProcessId"),
								("ProcessCode"),
								("ProcessGroup"),
								("ProcessSubgroup"),
								("IsActive"),
							   );
					AddObjects(
						 sheet, 1, baruser,                                       
								_ =&gt; _.UserId,
								_ =&gt; _.UserName,
								_ =&gt; _.UserDescription,
								_ =&gt; _.IsNeedPass,
								_ =&gt; _.Pwd,
								_ =&gt; _.ProcessId,
								_ =&gt; _.ProcessCode,
								_ =&gt; _.ProcessGroup,
								_ =&gt; _.ProcessSubgroup,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configuration.CreateMap&lt;MstLgaBarUserDto, MstLgaBarUser&gt;();
  configuration.CreateMap&lt;MstLgaBarUser, MstLgaBarUserDto&gt;();
  configuration.CreateMap&lt;CreateOrEditMstLgaBarUserDto, MstLgaBarUser&gt;();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318</v>
      </c>
      <c r="B9" t="s">
        <v>302</v>
      </c>
      <c r="C9" t="s">
        <v>1</v>
      </c>
      <c r="D9" t="str">
        <f>SUBSTITUTE(PROPER(A9),"_","")</f>
        <v>UserId</v>
      </c>
      <c r="E9" t="str">
        <f t="shared" ref="E9:E10" si="0">IFERROR(LEFT(B9, FIND("(",B9)-1),B9)</f>
        <v>varchar</v>
      </c>
      <c r="F9" s="7"/>
      <c r="G9" t="str">
        <f t="shared" ref="G9:G10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0" si="2">IF(H9="string",REPT(CHAR(9),2)&amp;"public const int Max"&amp;D9&amp;"Length = "&amp;G9&amp;";"&amp;$E$3,"" )</f>
        <v xml:space="preserve">		public const int MaxUserIdLength = 50;
</v>
      </c>
      <c r="J9" t="str">
        <f t="shared" ref="J9:J10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[StringLength(MaxUserIdLength)]
		public virtual string UserId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[Index(nameof(UserId), Name="IX_MstLgaBarUser_UserId")]</v>
      </c>
      <c r="M9" t="str">
        <f>REPT(CHAR(9),2)&amp;"public virtual "&amp;IF(OR(H9="DateTime",H9="TimeSpan"),H9&amp;"?",H9)&amp;IF(C9="?","? "," ")&amp;D9&amp;" { get; set; }" &amp; "
"</f>
        <v xml:space="preserve">		public virtual string UserId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[StringLength(MstLgaBarUserConsts.MaxUserIdLength)]
		public virtual string UserId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UserId { get; set; }
</v>
      </c>
      <c r="P9" t="str">
        <f t="shared" ref="P9:P10" si="4">REPT(CHAR(9),7)&amp;D9&amp;" = o." &amp;D9 &amp;","</f>
        <v xml:space="preserve">							UserId = o.UserId,</v>
      </c>
      <c r="T9" s="69" t="str">
        <f>REPT(CHAR(9),8)&amp;"("""&amp;D9&amp;"""),"</f>
        <v xml:space="preserve">								("UserId"),</v>
      </c>
      <c r="V9" s="70" t="str">
        <f>REPT(CHAR(9),8)&amp;"_ =&gt; _."&amp;D9&amp;","</f>
        <v xml:space="preserve">								_ =&gt; _.UserId,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.WhereIf(!string.IsNullOrWhiteSpace(input.UserId), e =&gt; e.UserId.Contains(input.UserId))</v>
      </c>
    </row>
    <row r="10" spans="1:23" customFormat="1" ht="21" customHeight="1" x14ac:dyDescent="0.25">
      <c r="A10" t="s">
        <v>317</v>
      </c>
      <c r="B10" t="s">
        <v>302</v>
      </c>
      <c r="C10" t="s">
        <v>1</v>
      </c>
      <c r="D10" t="str">
        <f t="shared" ref="D10" si="5">SUBSTITUTE(PROPER(A10),"_","")</f>
        <v>UserName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MaxUserNameLength = 50;
</v>
      </c>
      <c r="J10" t="str">
        <f t="shared" si="3"/>
        <v xml:space="preserve">		[StringLength(MaxUserNameLength)]
		public virtual string UserName { get; set; }
</v>
      </c>
      <c r="K10" s="7"/>
      <c r="L10" t="str">
        <f t="shared" ref="L10" si="6">IF(K10="","",REPT(CHAR(9),1)&amp;"[Index(nameof("&amp;IF(D10="","",""&amp;D10)&amp;")"&amp;", Name="&amp;"""IX_"&amp;$B$7&amp;"_"&amp;D10&amp;""")]")</f>
        <v/>
      </c>
      <c r="M10" t="str">
        <f t="shared" ref="M10:M15" si="7">REPT(CHAR(9),2)&amp;"public virtual "&amp;IF(OR(H10="DateTime",H10="TimeSpan"),H10&amp;"?",H10)&amp;IF(C10="?","? "," ")&amp;D10&amp;" { get; set; }" &amp; "
"</f>
        <v xml:space="preserve">		public virtual string UserName { get; set; }
</v>
      </c>
      <c r="N10" t="str">
        <f t="shared" ref="N10:N15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[StringLength(MstLgaBarUserConsts.MaxUserNameLength)]
		public virtual string UserName { get; set; }
</v>
      </c>
      <c r="O10" t="str">
        <f t="shared" ref="O10:O15" si="9">IF(OR(H10="string",H10="DateTime",H10="int"),REPT(CHAR(9),2)&amp;"public virtual "&amp;IF(OR(H10="DateTime",H10="TimeSpan"),H10&amp;"?",H10)&amp;IF(C10="?","? "," ")&amp;D10&amp;" { get; set; }"&amp;$E$3,"")</f>
        <v xml:space="preserve">		public virtual string UserName { get; set; }
</v>
      </c>
      <c r="P10" t="str">
        <f t="shared" si="4"/>
        <v xml:space="preserve">							UserName = o.UserName,</v>
      </c>
      <c r="T10" s="69" t="str">
        <f t="shared" ref="T10:T15" si="10">REPT(CHAR(9),8)&amp;"("""&amp;D10&amp;"""),"</f>
        <v xml:space="preserve">								("UserName"),</v>
      </c>
      <c r="V10" s="70" t="str">
        <f t="shared" ref="V10:V15" si="11">REPT(CHAR(9),8)&amp;"_ =&gt; _."&amp;D10&amp;","</f>
        <v xml:space="preserve">								_ =&gt; _.UserName,</v>
      </c>
      <c r="W10" s="69" t="str">
        <f t="shared" ref="W10:W15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.WhereIf(!string.IsNullOrWhiteSpace(input.UserName), e =&gt; e.UserName.Contains(input.UserName))</v>
      </c>
    </row>
    <row r="11" spans="1:23" customFormat="1" ht="21" customHeight="1" x14ac:dyDescent="0.25">
      <c r="A11" t="s">
        <v>322</v>
      </c>
      <c r="B11" t="s">
        <v>323</v>
      </c>
      <c r="C11" t="s">
        <v>1</v>
      </c>
      <c r="D11" t="str">
        <f t="shared" ref="D11" si="13">SUBSTITUTE(PROPER(A11),"_","")</f>
        <v>UserDescription</v>
      </c>
      <c r="E11" t="str">
        <f t="shared" ref="E11" si="14">IFERROR(LEFT(B11, FIND("(",B11)-1),B11)</f>
        <v>varchar</v>
      </c>
      <c r="F11" s="7"/>
      <c r="G11" t="str">
        <f t="shared" ref="G11" si="15">IFERROR(MID(B11,FIND("(",B11) +1, FIND(")",B11) - FIND("(",B11) - 1),"")</f>
        <v>200</v>
      </c>
      <c r="H11" t="str">
        <f>+VLOOKUP(E11,'Data Type Mapping'!A:B,2,)</f>
        <v>string</v>
      </c>
      <c r="I11" t="str">
        <f t="shared" ref="I11" si="16">IF(H11="string",REPT(CHAR(9),2)&amp;"public const int Max"&amp;D11&amp;"Length = "&amp;G11&amp;";"&amp;$E$3,"" )</f>
        <v xml:space="preserve">		public const int MaxUserDescriptionLength = 200;
</v>
      </c>
      <c r="J11" t="str">
        <f t="shared" ref="J11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[StringLength(MaxUserDescriptionLength)]
		public virtual string UserDescription { get; set; }
</v>
      </c>
      <c r="K11" s="7"/>
      <c r="L11" t="str">
        <f t="shared" ref="L11" si="18">IF(K11="","",REPT(CHAR(9),1)&amp;"[Index(nameof("&amp;IF(D11="","",""&amp;D11)&amp;")"&amp;", Name="&amp;"""IX_"&amp;$B$7&amp;"_"&amp;D11&amp;""")]")</f>
        <v/>
      </c>
      <c r="M11" t="str">
        <f t="shared" ref="M11" si="19">REPT(CHAR(9),2)&amp;"public virtual "&amp;IF(OR(H11="DateTime",H11="TimeSpan"),H11&amp;"?",H11)&amp;IF(C11="?","? "," ")&amp;D11&amp;" { get; set; }" &amp; "
"</f>
        <v xml:space="preserve">		public virtual string UserDescription { get; set; }
</v>
      </c>
      <c r="N11" t="str">
        <f t="shared" ref="N11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[StringLength(MstLgaBarUserConsts.MaxUserDescriptionLength)]
		public virtual string UserDescription { get; set; }
</v>
      </c>
      <c r="O11" t="str">
        <f t="shared" ref="O11" si="21">IF(OR(H11="string",H11="DateTime",H11="int"),REPT(CHAR(9),2)&amp;"public virtual "&amp;IF(OR(H11="DateTime",H11="TimeSpan"),H11&amp;"?",H11)&amp;IF(C11="?","? "," ")&amp;D11&amp;" { get; set; }"&amp;$E$3,"")</f>
        <v xml:space="preserve">		public virtual string UserDescription { get; set; }
</v>
      </c>
      <c r="P11" t="str">
        <f t="shared" ref="P11" si="22">REPT(CHAR(9),7)&amp;D11&amp;" = o." &amp;D11 &amp;","</f>
        <v xml:space="preserve">							UserDescription = o.UserDescription,</v>
      </c>
      <c r="T11" s="69" t="str">
        <f t="shared" ref="T11" si="23">REPT(CHAR(9),8)&amp;"("""&amp;D11&amp;"""),"</f>
        <v xml:space="preserve">								("UserDescription"),</v>
      </c>
      <c r="V11" s="70" t="str">
        <f t="shared" ref="V11" si="24">REPT(CHAR(9),8)&amp;"_ =&gt; _."&amp;D11&amp;","</f>
        <v xml:space="preserve">								_ =&gt; _.UserDescription,</v>
      </c>
      <c r="W11" s="69" t="str">
        <f t="shared" ref="W11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.WhereIf(!string.IsNullOrWhiteSpace(input.UserDescription), e =&gt; e.UserDescription.Contains(input.UserDescription))</v>
      </c>
    </row>
    <row r="12" spans="1:23" customFormat="1" ht="21" customHeight="1" x14ac:dyDescent="0.25">
      <c r="A12" t="s">
        <v>320</v>
      </c>
      <c r="B12" t="s">
        <v>303</v>
      </c>
      <c r="C12" t="s">
        <v>1</v>
      </c>
      <c r="D12" t="str">
        <f t="shared" ref="D12:D15" si="26">SUBSTITUTE(PROPER(A12),"_","")</f>
        <v>IsNeedPass</v>
      </c>
      <c r="E12" t="str">
        <f t="shared" ref="E12:E15" si="27">IFERROR(LEFT(B12, FIND("(",B12)-1),B12)</f>
        <v>varchar</v>
      </c>
      <c r="F12" s="7"/>
      <c r="G12" t="str">
        <f t="shared" ref="G12:G15" si="28">IFERROR(MID(B12,FIND("(",B12) +1, FIND(")",B12) - FIND("(",B12) - 1),"")</f>
        <v>1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MaxIsNeedPassLength = 1;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[StringLength(MaxIsNeedPassLength)]
		public virtual string IsNeedPass { get; set; }
</v>
      </c>
      <c r="K12" s="7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IsNeedPass { get; set; }
</v>
      </c>
      <c r="N12" t="str">
        <f t="shared" si="8"/>
        <v xml:space="preserve">		[StringLength(MstLgaBarUserConsts.MaxIsNeedPassLength)]
		public virtual string IsNeedPass { get; set; }
</v>
      </c>
      <c r="O12" t="str">
        <f t="shared" si="9"/>
        <v xml:space="preserve">		public virtual string IsNeedPass { get; set; }
</v>
      </c>
      <c r="P12" t="str">
        <f t="shared" ref="P12:P15" si="32">REPT(CHAR(9),7)&amp;D12&amp;" = o." &amp;D12 &amp;","</f>
        <v xml:space="preserve">							IsNeedPass = o.IsNeedPass,</v>
      </c>
      <c r="T12" s="69" t="str">
        <f t="shared" si="10"/>
        <v xml:space="preserve">								("IsNeedPass"),</v>
      </c>
      <c r="V12" s="70" t="str">
        <f t="shared" si="11"/>
        <v xml:space="preserve">								_ =&gt; _.IsNeedPass,</v>
      </c>
      <c r="W12" s="69" t="str">
        <f t="shared" si="12"/>
        <v xml:space="preserve">				.WhereIf(!string.IsNullOrWhiteSpace(input.IsNeedPass), e =&gt; e.IsNeedPass.Contains(input.IsNeedPass))</v>
      </c>
    </row>
    <row r="13" spans="1:23" customFormat="1" ht="18.75" customHeight="1" x14ac:dyDescent="0.25">
      <c r="A13" t="s">
        <v>319</v>
      </c>
      <c r="B13" t="s">
        <v>302</v>
      </c>
      <c r="C13" t="s">
        <v>1</v>
      </c>
      <c r="D13" t="str">
        <f>SUBSTITUTE(PROPER(A13),"_","")</f>
        <v>Pwd</v>
      </c>
      <c r="E13" t="str">
        <f>IFERROR(LEFT(B13, FIND("(",B13)-1),B13)</f>
        <v>varchar</v>
      </c>
      <c r="F13" s="7"/>
      <c r="G13" t="str">
        <f>IFERROR(MID(B13,FIND("(",B13) +1, FIND(")",B13) - FIND("(",B13) - 1),"")</f>
        <v>50</v>
      </c>
      <c r="H13" t="str">
        <f>+VLOOKUP(E13,'Data Type Mapping'!A:B,2,)</f>
        <v>string</v>
      </c>
      <c r="I13" t="str">
        <f>IF(H13="string",REPT(CHAR(9),2)&amp;"public const int Max"&amp;D13&amp;"Length = "&amp;G13&amp;";"&amp;$E$3,"" )</f>
        <v xml:space="preserve">		public const int MaxPwdLength = 50;
</v>
      </c>
      <c r="J13" t="str">
        <f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[StringLength(MaxPwdLength)]
		public virtual string Pwd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>REPT(CHAR(9),2)&amp;"public virtual "&amp;IF(OR(H13="DateTime",H13="TimeSpan"),H13&amp;"?",H13)&amp;IF(C13="?","? "," ")&amp;D13&amp;" { get; set; }" &amp; "
"</f>
        <v xml:space="preserve">		public virtual string Pwd { get; set; }
</v>
      </c>
      <c r="N13" t="str">
        <f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[StringLength(MstLgaBarUserConsts.MaxPwdLength)]
		public virtual string Pwd { get; set; }
</v>
      </c>
      <c r="O13" t="str">
        <f>IF(OR(H13="string",H13="DateTime",H13="int"),REPT(CHAR(9),2)&amp;"public virtual "&amp;IF(OR(H13="DateTime",H13="TimeSpan"),H13&amp;"?",H13)&amp;IF(C13="?","? "," ")&amp;D13&amp;" { get; set; }"&amp;$E$3,"")</f>
        <v xml:space="preserve">		public virtual string Pwd { get; set; }
</v>
      </c>
      <c r="P13" t="str">
        <f>REPT(CHAR(9),7)&amp;D13&amp;" = o." &amp;D13 &amp;","</f>
        <v xml:space="preserve">							Pwd = o.Pwd,</v>
      </c>
      <c r="T13" s="69" t="str">
        <f>REPT(CHAR(9),8)&amp;"("""&amp;D13&amp;"""),"</f>
        <v xml:space="preserve">								("Pwd"),</v>
      </c>
      <c r="V13" s="70" t="str">
        <f>REPT(CHAR(9),8)&amp;"_ =&gt; _."&amp;D13&amp;","</f>
        <v xml:space="preserve">								_ =&gt; _.Pwd,</v>
      </c>
      <c r="W13" s="69" t="str">
        <f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.WhereIf(!string.IsNullOrWhiteSpace(input.Pwd), e =&gt; e.Pwd.Contains(input.Pwd))</v>
      </c>
    </row>
    <row r="14" spans="1:23" customFormat="1" ht="21" customHeight="1" x14ac:dyDescent="0.25">
      <c r="A14" t="s">
        <v>321</v>
      </c>
      <c r="B14" t="s">
        <v>0</v>
      </c>
      <c r="C14" t="s">
        <v>1</v>
      </c>
      <c r="D14" t="str">
        <f t="shared" si="26"/>
        <v>ProcessId</v>
      </c>
      <c r="E14" t="str">
        <f t="shared" si="27"/>
        <v>bigint</v>
      </c>
      <c r="F14" s="7"/>
      <c r="G14" t="str">
        <f t="shared" si="28"/>
        <v/>
      </c>
      <c r="H14" t="str">
        <f>+VLOOKUP(E14,'Data Type Mapping'!A:B,2,)</f>
        <v>long</v>
      </c>
      <c r="I14" t="str">
        <f t="shared" si="29"/>
        <v/>
      </c>
      <c r="J14" t="str">
        <f t="shared" si="30"/>
        <v xml:space="preserve">		public virtual long ProcessId { get; set; }
</v>
      </c>
      <c r="K14" s="7" t="s">
        <v>206</v>
      </c>
      <c r="L14" t="str">
        <f t="shared" si="31"/>
        <v xml:space="preserve">	[Index(nameof(ProcessId), Name="IX_MstLgaBarUser_ProcessId")]</v>
      </c>
      <c r="M14" t="str">
        <f t="shared" si="7"/>
        <v xml:space="preserve">		public virtual long ProcessId { get; set; }
</v>
      </c>
      <c r="N14" t="str">
        <f t="shared" si="8"/>
        <v xml:space="preserve">		public virtual long ProcessId { get; set; }
</v>
      </c>
      <c r="O14" t="str">
        <f t="shared" si="9"/>
        <v/>
      </c>
      <c r="P14" t="str">
        <f t="shared" si="32"/>
        <v xml:space="preserve">							ProcessId = o.ProcessId,</v>
      </c>
      <c r="T14" s="69" t="str">
        <f t="shared" si="10"/>
        <v xml:space="preserve">								("ProcessId"),</v>
      </c>
      <c r="V14" s="70" t="str">
        <f t="shared" si="11"/>
        <v xml:space="preserve">								_ =&gt; _.ProcessId,</v>
      </c>
      <c r="W14" s="69" t="str">
        <f t="shared" si="12"/>
        <v/>
      </c>
    </row>
    <row r="15" spans="1:23" customFormat="1" ht="21" customHeight="1" x14ac:dyDescent="0.25">
      <c r="A15" t="s">
        <v>340</v>
      </c>
      <c r="B15" t="s">
        <v>302</v>
      </c>
      <c r="C15" t="s">
        <v>1</v>
      </c>
      <c r="D15" t="str">
        <f t="shared" si="26"/>
        <v>ProcessCode</v>
      </c>
      <c r="E15" t="str">
        <f t="shared" si="27"/>
        <v>varchar</v>
      </c>
      <c r="F15" s="7"/>
      <c r="G15" t="str">
        <f t="shared" si="28"/>
        <v>50</v>
      </c>
      <c r="H15" t="str">
        <f>+VLOOKUP(E15,'Data Type Mapping'!A:B,2,)</f>
        <v>string</v>
      </c>
      <c r="I15" t="str">
        <f t="shared" si="29"/>
        <v xml:space="preserve">		public const int MaxProcessCodeLength = 50;
</v>
      </c>
      <c r="J15" t="str">
        <f t="shared" si="30"/>
        <v xml:space="preserve">		[StringLength(MaxProcessCodeLength)]
		public virtual string ProcessCode { get; set; }
</v>
      </c>
      <c r="K15" s="7" t="s">
        <v>206</v>
      </c>
      <c r="L15" t="str">
        <f t="shared" si="31"/>
        <v xml:space="preserve">	[Index(nameof(ProcessCode), Name="IX_MstLgaBarUser_ProcessCode")]</v>
      </c>
      <c r="M15" t="str">
        <f t="shared" si="7"/>
        <v xml:space="preserve">		public virtual string ProcessCode { get; set; }
</v>
      </c>
      <c r="N15" t="str">
        <f t="shared" si="8"/>
        <v xml:space="preserve">		[StringLength(MstLgaBarUserConsts.MaxProcessCodeLength)]
		public virtual string ProcessCode { get; set; }
</v>
      </c>
      <c r="O15" t="str">
        <f t="shared" si="9"/>
        <v xml:space="preserve">		public virtual string ProcessCode { get; set; }
</v>
      </c>
      <c r="P15" t="str">
        <f t="shared" si="32"/>
        <v xml:space="preserve">							ProcessCode = o.ProcessCode,</v>
      </c>
      <c r="T15" s="69" t="str">
        <f t="shared" si="10"/>
        <v xml:space="preserve">								("ProcessCode"),</v>
      </c>
      <c r="V15" s="70" t="str">
        <f t="shared" si="11"/>
        <v xml:space="preserve">								_ =&gt; _.ProcessCode,</v>
      </c>
      <c r="W15" s="69" t="str">
        <f t="shared" si="12"/>
        <v xml:space="preserve">				.WhereIf(!string.IsNullOrWhiteSpace(input.ProcessCode), e =&gt; e.ProcessCode.Contains(input.ProcessCode))</v>
      </c>
    </row>
    <row r="16" spans="1:23" customFormat="1" ht="21" customHeight="1" x14ac:dyDescent="0.25">
      <c r="A16" t="s">
        <v>338</v>
      </c>
      <c r="B16" t="s">
        <v>302</v>
      </c>
      <c r="C16" t="s">
        <v>1</v>
      </c>
      <c r="D16" t="str">
        <f t="shared" ref="D16" si="33">SUBSTITUTE(PROPER(A16),"_","")</f>
        <v>ProcessGroup</v>
      </c>
      <c r="E16" t="str">
        <f t="shared" ref="E16" si="34">IFERROR(LEFT(B16, FIND("(",B16)-1),B16)</f>
        <v>varchar</v>
      </c>
      <c r="F16" s="7"/>
      <c r="G16" t="str">
        <f t="shared" ref="G16" si="35">IFERROR(MID(B16,FIND("(",B16) +1, FIND(")",B16) - FIND("(",B16) - 1),"")</f>
        <v>50</v>
      </c>
      <c r="H16" t="str">
        <f>+VLOOKUP(E16,'Data Type Mapping'!A:B,2,)</f>
        <v>string</v>
      </c>
      <c r="I16" t="str">
        <f t="shared" ref="I16" si="36">IF(H16="string",REPT(CHAR(9),2)&amp;"public const int Max"&amp;D16&amp;"Length = "&amp;G16&amp;";"&amp;$E$3,"" )</f>
        <v xml:space="preserve">		public const int MaxProcessGroupLength = 50;
</v>
      </c>
      <c r="J16" t="str">
        <f t="shared" ref="J16" si="37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[StringLength(MaxProcessGroupLength)]
		public virtual string ProcessGroup { get; set; }
</v>
      </c>
      <c r="K16" s="7"/>
      <c r="L16" t="str">
        <f t="shared" ref="L16" si="38">IF(K16="","",REPT(CHAR(9),1)&amp;"[Index(nameof("&amp;IF(D16="","",""&amp;D16)&amp;")"&amp;", Name="&amp;"""IX_"&amp;$B$7&amp;"_"&amp;D16&amp;""")]")</f>
        <v/>
      </c>
      <c r="M16" t="str">
        <f t="shared" ref="M16" si="39">REPT(CHAR(9),2)&amp;"public virtual "&amp;IF(OR(H16="DateTime",H16="TimeSpan"),H16&amp;"?",H16)&amp;IF(C16="?","? "," ")&amp;D16&amp;" { get; set; }" &amp; "
"</f>
        <v xml:space="preserve">		public virtual string ProcessGroup { get; set; }
</v>
      </c>
      <c r="N16" t="str">
        <f t="shared" ref="N16" si="40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[StringLength(MstLgaBarUserConsts.MaxProcessGroupLength)]
		public virtual string ProcessGroup { get; set; }
</v>
      </c>
      <c r="O16" t="str">
        <f t="shared" ref="O16" si="41">IF(OR(H16="string",H16="DateTime",H16="int"),REPT(CHAR(9),2)&amp;"public virtual "&amp;IF(OR(H16="DateTime",H16="TimeSpan"),H16&amp;"?",H16)&amp;IF(C16="?","? "," ")&amp;D16&amp;" { get; set; }"&amp;$E$3,"")</f>
        <v xml:space="preserve">		public virtual string ProcessGroup { get; set; }
</v>
      </c>
      <c r="P16" t="str">
        <f t="shared" ref="P16" si="42">REPT(CHAR(9),7)&amp;D16&amp;" = o." &amp;D16 &amp;","</f>
        <v xml:space="preserve">							ProcessGroup = o.ProcessGroup,</v>
      </c>
      <c r="T16" s="69" t="str">
        <f t="shared" ref="T16" si="43">REPT(CHAR(9),8)&amp;"("""&amp;D16&amp;"""),"</f>
        <v xml:space="preserve">								("ProcessGroup"),</v>
      </c>
      <c r="V16" s="70" t="str">
        <f t="shared" ref="V16" si="44">REPT(CHAR(9),8)&amp;"_ =&gt; _."&amp;D16&amp;","</f>
        <v xml:space="preserve">								_ =&gt; _.ProcessGroup,</v>
      </c>
      <c r="W16" s="69" t="str">
        <f t="shared" ref="W16" si="45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.WhereIf(!string.IsNullOrWhiteSpace(input.ProcessGroup), e =&gt; e.ProcessGroup.Contains(input.ProcessGroup))</v>
      </c>
    </row>
    <row r="17" spans="1:23" customFormat="1" ht="21" customHeight="1" x14ac:dyDescent="0.25">
      <c r="A17" t="s">
        <v>339</v>
      </c>
      <c r="B17" t="s">
        <v>302</v>
      </c>
      <c r="C17" t="s">
        <v>1</v>
      </c>
      <c r="D17" t="str">
        <f t="shared" ref="D17" si="46">SUBSTITUTE(PROPER(A17),"_","")</f>
        <v>ProcessSubgroup</v>
      </c>
      <c r="E17" t="str">
        <f t="shared" ref="E17" si="47">IFERROR(LEFT(B17, FIND("(",B17)-1),B17)</f>
        <v>varchar</v>
      </c>
      <c r="F17" s="7"/>
      <c r="G17" t="str">
        <f t="shared" ref="G17" si="48">IFERROR(MID(B17,FIND("(",B17) +1, FIND(")",B17) - FIND("(",B17) - 1),"")</f>
        <v>50</v>
      </c>
      <c r="H17" t="str">
        <f>+VLOOKUP(E17,'Data Type Mapping'!A:B,2,)</f>
        <v>string</v>
      </c>
      <c r="I17" t="str">
        <f t="shared" ref="I17" si="49">IF(H17="string",REPT(CHAR(9),2)&amp;"public const int Max"&amp;D17&amp;"Length = "&amp;G17&amp;";"&amp;$E$3,"" )</f>
        <v xml:space="preserve">		public const int MaxProcessSubgroupLength = 50;
</v>
      </c>
      <c r="J17" t="str">
        <f t="shared" ref="J17" si="5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[StringLength(MaxProcessSubgroupLength)]
		public virtual string ProcessSubgroup { get; set; }
</v>
      </c>
      <c r="K17" s="7"/>
      <c r="L17" t="str">
        <f t="shared" ref="L17" si="51">IF(K17="","",REPT(CHAR(9),1)&amp;"[Index(nameof("&amp;IF(D17="","",""&amp;D17)&amp;")"&amp;", Name="&amp;"""IX_"&amp;$B$7&amp;"_"&amp;D17&amp;""")]")</f>
        <v/>
      </c>
      <c r="M17" t="str">
        <f t="shared" ref="M17" si="52">REPT(CHAR(9),2)&amp;"public virtual "&amp;IF(OR(H17="DateTime",H17="TimeSpan"),H17&amp;"?",H17)&amp;IF(C17="?","? "," ")&amp;D17&amp;" { get; set; }" &amp; "
"</f>
        <v xml:space="preserve">		public virtual string ProcessSubgroup { get; set; }
</v>
      </c>
      <c r="N17" t="str">
        <f t="shared" ref="N17" si="5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[StringLength(MstLgaBarUserConsts.MaxProcessSubgroupLength)]
		public virtual string ProcessSubgroup { get; set; }
</v>
      </c>
      <c r="O17" t="str">
        <f t="shared" ref="O17" si="54">IF(OR(H17="string",H17="DateTime",H17="int"),REPT(CHAR(9),2)&amp;"public virtual "&amp;IF(OR(H17="DateTime",H17="TimeSpan"),H17&amp;"?",H17)&amp;IF(C17="?","? "," ")&amp;D17&amp;" { get; set; }"&amp;$E$3,"")</f>
        <v xml:space="preserve">		public virtual string ProcessSubgroup { get; set; }
</v>
      </c>
      <c r="P17" t="str">
        <f t="shared" ref="P17" si="55">REPT(CHAR(9),7)&amp;D17&amp;" = o." &amp;D17 &amp;","</f>
        <v xml:space="preserve">							ProcessSubgroup = o.ProcessSubgroup,</v>
      </c>
      <c r="T17" s="69" t="str">
        <f t="shared" ref="T17" si="56">REPT(CHAR(9),8)&amp;"("""&amp;D17&amp;"""),"</f>
        <v xml:space="preserve">								("ProcessSubgroup"),</v>
      </c>
      <c r="V17" s="70" t="str">
        <f t="shared" ref="V17" si="57">REPT(CHAR(9),8)&amp;"_ =&gt; _."&amp;D17&amp;","</f>
        <v xml:space="preserve">								_ =&gt; _.ProcessSubgroup,</v>
      </c>
      <c r="W17" s="69" t="str">
        <f t="shared" ref="W17" si="5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.WhereIf(!string.IsNullOrWhiteSpace(input.ProcessSubgroup), e =&gt; e.ProcessSubgroup.Contains(input.ProcessSubgroup))</v>
      </c>
    </row>
    <row r="18" spans="1:23" customFormat="1" ht="21" customHeight="1" x14ac:dyDescent="0.25">
      <c r="A18" t="s">
        <v>301</v>
      </c>
      <c r="B18" t="s">
        <v>303</v>
      </c>
      <c r="C18" t="s">
        <v>1</v>
      </c>
      <c r="D18" t="str">
        <f t="shared" ref="D18" si="59">SUBSTITUTE(PROPER(A18),"_","")</f>
        <v>IsActive</v>
      </c>
      <c r="E18" t="str">
        <f t="shared" ref="E18" si="60">IFERROR(LEFT(B18, FIND("(",B18)-1),B18)</f>
        <v>varchar</v>
      </c>
      <c r="F18" s="7"/>
      <c r="G18" t="str">
        <f t="shared" ref="G18" si="61">IFERROR(MID(B18,FIND("(",B18) +1, FIND(")",B18) - FIND("(",B18) - 1),"")</f>
        <v>1</v>
      </c>
      <c r="H18" t="str">
        <f>+VLOOKUP(E18,'Data Type Mapping'!A:B,2,)</f>
        <v>string</v>
      </c>
      <c r="I18" t="str">
        <f t="shared" ref="I18" si="62">IF(H18="string",REPT(CHAR(9),2)&amp;"public const int Max"&amp;D18&amp;"Length = "&amp;G18&amp;";"&amp;$E$3,"" )</f>
        <v xml:space="preserve">		public const int MaxIsActiveLength = 1;
</v>
      </c>
      <c r="J18" t="str">
        <f t="shared" ref="J18" si="63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[StringLength(MaxIsActiveLength)]
		public virtual string IsActive { get; set; }
</v>
      </c>
      <c r="K18" s="7" t="s">
        <v>206</v>
      </c>
      <c r="L18" t="str">
        <f t="shared" ref="L18" si="64">IF(K18="","",REPT(CHAR(9),1)&amp;"[Index(nameof("&amp;IF(D18="","",""&amp;D18)&amp;")"&amp;", Name="&amp;"""IX_"&amp;$B$7&amp;"_"&amp;D18&amp;""")]")</f>
        <v xml:space="preserve">	[Index(nameof(IsActive), Name="IX_MstLgaBarUser_IsActive")]</v>
      </c>
      <c r="M18" t="str">
        <f t="shared" ref="M18" si="65">REPT(CHAR(9),2)&amp;"public virtual "&amp;IF(OR(H18="DateTime",H18="TimeSpan"),H18&amp;"?",H18)&amp;IF(C18="?","? "," ")&amp;D18&amp;" { get; set; }" &amp; "
"</f>
        <v xml:space="preserve">		public virtual string IsActive { get; set; }
</v>
      </c>
      <c r="N18" t="str">
        <f t="shared" ref="N18" si="66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[StringLength(MstLgaBarUserConsts.MaxIsActiveLength)]
		public virtual string IsActive { get; set; }
</v>
      </c>
      <c r="O18" t="str">
        <f t="shared" ref="O18" si="67">IF(OR(H18="string",H18="DateTime",H18="int"),REPT(CHAR(9),2)&amp;"public virtual "&amp;IF(OR(H18="DateTime",H18="TimeSpan"),H18&amp;"?",H18)&amp;IF(C18="?","? "," ")&amp;D18&amp;" { get; set; }"&amp;$E$3,"")</f>
        <v xml:space="preserve">		public virtual string IsActive { get; set; }
</v>
      </c>
      <c r="P18" t="str">
        <f t="shared" ref="P18" si="68">REPT(CHAR(9),7)&amp;D18&amp;" = o." &amp;D18 &amp;","</f>
        <v xml:space="preserve">							IsActive = o.IsActive,</v>
      </c>
      <c r="T18" s="69" t="str">
        <f t="shared" ref="T18" si="69">REPT(CHAR(9),8)&amp;"("""&amp;D18&amp;"""),"</f>
        <v xml:space="preserve">								("IsActive"),</v>
      </c>
      <c r="V18" s="70" t="str">
        <f t="shared" ref="V18" si="70">REPT(CHAR(9),8)&amp;"_ =&gt; _."&amp;D18&amp;","</f>
        <v xml:space="preserve">								_ =&gt; _.IsActive,</v>
      </c>
      <c r="W18" s="69" t="str">
        <f t="shared" ref="W18" si="71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.WhereIf(!string.IsNullOrWhiteSpace(input.IsActive), e =&gt; e.IsActive.Contains(input.IsActive))</v>
      </c>
    </row>
    <row r="20" spans="1:23" ht="45.75" customHeight="1" x14ac:dyDescent="0.25">
      <c r="H20" s="12"/>
      <c r="I20" s="34" t="str">
        <f ca="1">TEXTJOIN2("
", TRUE,INDIRECT( $H$1):INDIRECT( $H$3))</f>
        <v xml:space="preserve">		public const int MaxUserIdLength = 50;
		public const int MaxUserNameLength = 50;
		public const int MaxUserDescriptionLength = 200;
		public const int MaxIsNeedPassLength = 1;
		public const int MaxPwdLength = 50;
		public const int MaxProcessCodeLength = 50;
		public const int MaxProcessGroupLength = 50;
		public const int MaxProcessSubgroupLength = 50;
		public const int MaxIsActiveLength = 1;
</v>
      </c>
      <c r="J20" s="33" t="str">
        <f ca="1">TEXTJOIN2("
", TRUE,INDIRECT( $F$1):INDIRECT( $F$3))</f>
        <v xml:space="preserve">		[StringLength(MaxUserIdLength)]
		public virtual string UserId { get; set; }
		[StringLength(MaxUserNameLength)]
		public virtual string UserName { get; set; }
		[StringLength(MaxUserDescriptionLength)]
		public virtual string UserDescription { get; set; }
		[StringLength(MaxIsNeedPassLength)]
		public virtual string IsNeedPass { get; set; }
		[StringLength(MaxPwdLength)]
		public virtual string Pwd { get; set; }
		public virtual long ProcessId { get; set; }
		[StringLength(MaxProcessCodeLength)]
		public virtual string ProcessCode { get; set; }
		[StringLength(MaxProcessGroupLength)]
		public virtual string ProcessGroup { get; set; }
		[StringLength(MaxProcessSubgroupLength)]
		public virtual string ProcessSubgroup { get; set; }
		[StringLength(MaxIsActiveLength)]
		public virtual string IsActive { get; set; }
</v>
      </c>
      <c r="K20" s="35" t="str">
        <f ca="1">TEXTJOIN2("
", TRUE,INDIRECT( $J$1):INDIRECT( $J$3))</f>
        <v xml:space="preserve">	[Index(nameof(UserId), Name="IX_MstLgaBarUser_UserId")]
	[Index(nameof(ProcessId), Name="IX_MstLgaBarUser_ProcessId")]
	[Index(nameof(ProcessCode), Name="IX_MstLgaBarUser_ProcessCode")]
	[Index(nameof(IsActive), Name="IX_MstLgaBarUser_IsActive")]</v>
      </c>
      <c r="L20" s="13" t="s">
        <v>60</v>
      </c>
      <c r="M20" s="36" t="str">
        <f ca="1">TEXTJOIN2("
",TRUE,INDIRECT( $L$1):INDIRECT($L$3))</f>
        <v xml:space="preserve">		public virtual string UserId { get; set; }
		public virtual string UserName { get; set; }
		public virtual string UserDescription { get; set; }
		public virtual string IsNeedPass { get; set; }
		public virtual string Pwd { get; set; }
		public virtual long ProcessId { get; set; }
		public virtual string ProcessCode { get; set; }
		public virtual string ProcessGroup { get; set; }
		public virtual string ProcessSubgroup { get; set; }
		public virtual string IsActive { get; set; }
</v>
      </c>
      <c r="N20" s="33" t="str">
        <f ca="1">TEXTJOIN2("
",TRUE,INDIRECT( $M$1):INDIRECT($M$3))</f>
        <v xml:space="preserve">		[StringLength(MstLgaBarUserConsts.MaxUserIdLength)]
		public virtual string UserId { get; set; }
		[StringLength(MstLgaBarUserConsts.MaxUserNameLength)]
		public virtual string UserName { get; set; }
		[StringLength(MstLgaBarUserConsts.MaxUserDescriptionLength)]
		public virtual string UserDescription { get; set; }
		[StringLength(MstLgaBarUserConsts.MaxIsNeedPassLength)]
		public virtual string IsNeedPass { get; set; }
		[StringLength(MstLgaBarUserConsts.MaxPwdLength)]
		public virtual string Pwd { get; set; }
		public virtual long ProcessId { get; set; }
		[StringLength(MstLgaBarUserConsts.MaxProcessCodeLength)]
		public virtual string ProcessCode { get; set; }
		[StringLength(MstLgaBarUserConsts.MaxProcessGroupLength)]
		public virtual string ProcessGroup { get; set; }
		[StringLength(MstLgaBarUserConsts.MaxProcessSubgroupLength)]
		public virtual string ProcessSubgroup { get; set; }
		[StringLength(MstLgaBarUserConsts.MaxIsActiveLength)]
		public virtual string IsActive { get; set; }
</v>
      </c>
      <c r="O20" s="33" t="str">
        <f ca="1">TEXTJOIN2("
",TRUE,INDIRECT( $N$1):INDIRECT($N$3))</f>
        <v xml:space="preserve">		public virtual string UserId { get; set; }
		public virtual string UserName { get; set; }
		public virtual string UserDescription { get; set; }
		public virtual string IsNeedPass { get; set; }
		public virtual string Pwd { get; set; }
		public virtual string ProcessCode { get; set; }
		public virtual string ProcessGroup { get; set; }
		public virtual string ProcessSubgroup { get; set; }
		public virtual string IsActive { get; set; }
</v>
      </c>
      <c r="P20" s="9" t="str">
        <f ca="1">TEXTJOIN2("
",TRUE,INDIRECT( $O$1):INDIRECT($O$3))</f>
        <v xml:space="preserve">							UserId = o.UserId,
							UserName = o.UserName,
							UserDescription = o.UserDescription,
							IsNeedPass = o.IsNeedPass,
							Pwd = o.Pwd,
							ProcessId = o.ProcessId,
							ProcessCode = o.ProcessCode,
							ProcessGroup = o.ProcessGroup,
							ProcessSubgroup = o.ProcessSubgroup,
							IsActive = o.IsActive,</v>
      </c>
      <c r="T20" s="9" t="str">
        <f ca="1">TEXTJOIN2("
",TRUE,INDIRECT( $T$2):INDIRECT($T$3))</f>
        <v xml:space="preserve">								("UserId"),
								("UserName"),
								("UserDescription"),
								("IsNeedPass"),
								("Pwd"),
								("ProcessId"),
								("ProcessCode"),
								("ProcessGroup"),
								("ProcessSubgroup"),
								("IsActive"),</v>
      </c>
      <c r="V20" s="9" t="str">
        <f ca="1">TEXTJOIN2("
",TRUE,INDIRECT( $V$2):INDIRECT($V$3))</f>
        <v xml:space="preserve">								_ =&gt; _.UserId,
								_ =&gt; _.UserName,
								_ =&gt; _.UserDescription,
								_ =&gt; _.IsNeedPass,
								_ =&gt; _.Pwd,
								_ =&gt; _.ProcessId,
								_ =&gt; _.ProcessCode,
								_ =&gt; _.ProcessGroup,
								_ =&gt; _.ProcessSubgroup,
								_ =&gt; _.IsActive,</v>
      </c>
      <c r="W20" s="9" t="str">
        <f ca="1">TEXTJOIN2("
",TRUE,INDIRECT( $W$2):INDIRECT($W$3))</f>
        <v xml:space="preserve">				.WhereIf(!string.IsNullOrWhiteSpace(input.UserId), e =&gt; e.UserId.Contains(input.UserId))
				.WhereIf(!string.IsNullOrWhiteSpace(input.UserName), e =&gt; e.UserName.Contains(input.UserName))
				.WhereIf(!string.IsNullOrWhiteSpace(input.UserDescription), e =&gt; e.UserDescription.Contains(input.UserDescription))
				.WhereIf(!string.IsNullOrWhiteSpace(input.IsNeedPass), e =&gt; e.IsNeedPass.Contains(input.IsNeedPass))
				.WhereIf(!string.IsNullOrWhiteSpace(input.Pwd), e =&gt; e.Pwd.Contains(input.Pwd))
				.WhereIf(!string.IsNullOrWhiteSpace(input.ProcessCode), e =&gt; e.ProcessCode.Contains(input.ProcessCode))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workbookViewId="0">
      <selection activeCell="B7" activeCellId="1" sqref="B6 B7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LogA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loga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MstLgaBarUser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BarUser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baruser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MstLgaBarUserDto, MstLgaBarUserServiceProxy } from '@shared/service-proxies/service-proxies';
import { finalize } from 'rxjs/internal/operators/finalize';
import { CreateOrEditBarUserModalComponent } from './create-or-edit-baruser-modal.component';
import { DatePipe } from '@angular/common';
import { FileDownloadService } from '@shared/utils/file-download.service';
import ceil from 'lodash-es/ceil';
import { Paginator } from 'primeng/paginator';
@Component({
    templateUrl: './baruser.component.html',
    styleUrls: ['./baruser.component.less'],
})
export class BarUserComponent extends AppComponentBase implements OnInit {
    @ViewChild('createOrEditModalBarUser', { static: true }) createOrEditModalBarUser:| CreateOrEditBarUserModalComponent|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MstLgaBarUserDto = new MstLgaBarUserDto();
    saveSelectedRow: MstLgaBarUserDto = new MstLgaBarUserDto();
    datas: MstLgaBarUserDto = new MstLgaBarUserDto();
    isLoading: boolean = false;
    dataParams: GridParams | undefined;
    rowData: any[] = [];
    gridApi!: GridApi;
    rowSelection = 'multiple';
    filter: string = '';
	pipe = new DatePipe('en-US');
	frameworkComponents: FrameworkComponent;
    userId : string = '' ; 
	userName : string = '' ; 
	userDescription : string = '' ; 
	isNeedPass : string = '' ; 
	pwd : string = '' ; 
	processId
	processCode : string = '' ; 
	processGroup : string = '' ; 
	processSubgroup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MstLgaBarUserServiceProxy,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this.l('User Id'),headerTooltip: this.l('User Id'),field: 'userId',flex: 1},
			{headerName: this.l('User Name'),headerTooltip: this.l('User Name'),field: 'userName',flex: 1},
			{headerName: this.l('User Description'),headerTooltip: this.l('User Description'),field: 'userDescription',flex: 1},
			{headerName: this.l('Is Need Pass'),headerTooltip: this.l('Is Need Pass'),field:  'isNeedPass', cellClass: ['text-center'], width: 120, cellRenderer: 'agCellButtonComponent',
buttonDefTwo: { text: params =&gt; (params.data?.'isNeedPass' == 'Y') ? 'Active' : 'Inactive',iconName: 'fa fa-circle',className: params =&gt; (params.data?.'isNeedPass' == 'Y') ? 'btnActive' : 'btnInActive',},}
			{headerName: this.l('Pwd'),headerTooltip: this.l('Pwd'),field: 'pwd',flex: 1},
			{headerName: this.l('Process Id'),headerTooltip: this.l('Process Id'),field: 'processId',flex: 1},
			{headerName: this.l('Process Code'),headerTooltip: this.l('Process Code'),field: 'processCode',flex: 1},
			{headerName: this.l('Process Group'),headerTooltip: this.l('Process Group'),field: 'processGroup',flex: 1},
			{headerName: this.l('Process Subgroup'),headerTooltip: this.l('Process Subgroup'),field: 'processSubgroup',flex: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this.userId,
			this.userName,
			this.userDescription,
			this.isNeedPass,
			this.pwd,
			this.processId,
			this.processCode,
			this.processGroup,
			this.processSubgroup,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this.userId = '',
		this.userName = '',
		this.userDescription = '',
		this.isNeedPass = '',
		this.pwd = '',
		this.processId = '',
		this.processCode = '',
		this.processGroup = '',
		this.processSubgroup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this.userId,
			this.userName,
			this.userDescription,
			this.isNeedPass,
			this.pwd,
			this.processId,
			this.processCode,
			this.processGroup,
			this.processSubgroup,
			this.isActive,
			'',
            this.paginationParams.skipCount,
            this.paginationParams.pageSize
        );
    }
    onChangeRowSelection(params: { api: { getSelectedRows: () =&gt; MstLgaBarUserDto[] } }) {
        this.saveSelectedRow = params.api.getSelectedRows()[0] ?? new MstLgaBarUserDto();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MstLgaBarUserDto):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this._service.getBarUserToExcel(
			this.userId,
			this.userName,
			this.userDescription,
			this.isNeedPass,
			this.pwd,
			this.processId,
			this.processCode,
			this.processGroup,
			this.processSubgroup,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LogA Barcode User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[(ngModel)]='userId' name='userId'
									class='form-control' [placeholder]="l('User Id')"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[(ngModel)]='userDescription' name='userDescription'
									class='form-control' [placeholder]="l('User Description')"
									type='text' (keyup.enter)='searchDatas()'&gt;
								&lt;/div&gt;
								&lt;div class='input-search'&gt;
									&lt;input [(ngModel)]='isNeedPass' name='isNeedPass'
									class='form-control' [placeholder]="l('Is Need Pass')"
									type='text' (keyup.enter)='searchDatas()'&gt;
								&lt;/div&gt;
								&lt;div class='input-search'&gt;
									&lt;input [(ngModel)]='pwd' name='pwd'
									class='form-control' [placeholder]="l('Pwd')"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(click)="createOrEditModalBarUser.show()"&gt;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(click)="createOrEditModalBarUser.show(selectedRow)"&gt;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&lt;create-or-edit-baruser-modal
    #createOrEditModalBarUser
    (modalSave)="callBackDataGrid(dataParams)"
    (modalClose)="onChangeRowSelection(dataParams)"
&gt;
&lt;/create-or-edit-baruser-modal&gt;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#createOrEditModalBarUser="bs-modal"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BarUser')}}&lt;/h3&gt;
                    &lt;h3 *ngIf="!rowdata.id"&gt;{{('Create New BarUser')}}&lt;/h3&gt;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title'&gt;User Id&lt;/label&gt;
						&lt;input type='text' class='col-md-10 form-control input-text' name='UserId' [(ngModel)]='rowdata.userId'&gt;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title'&gt;User Description&lt;/label&gt;
						&lt;input type='text' class='col-md-10 form-control input-text' name='UserDescription' [(ngModel)]='rowdata.userDescription'&gt;
					&lt;/div&gt;
					&lt;div class='col-md-12 form-group row'&gt;
						&lt;label class='col-md-2 form-control title'&gt;Is Need Pass&lt;/label&gt;
						&lt;new-checkbox [(ngModel)]='_isNeedPass' name='isNeedPass' className='col-md-10' &gt; &lt;/new-checkbox&gt;
					&lt;/div&gt;
					&lt;div class='col-md-12 form-group row'&gt;
						&lt;label class='col-md-2 form-control title'&gt;Pwd&lt;/label&gt;
						&lt;input type='text' class='col-md-10 form-control input-text' name='Pwd' [(ngModel)]='rowdata.pwd'&gt;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CreateOrEditMstLgaBarUserDto, MstLgaBarUserServiceProxy } from '@shared/service-proxies/service-proxies';
import { BsDatepickerDirective } from 'ngx-bootstrap/datepicker';
@Component({
    selector: 'create-or-edit-baruser-modal',
    templateUrl: './create-or-edit-baruser-modal.component.html',
    styleUrls: ['./create-or-edit-baruser-modal.component.less']
    })
export class CreateOrEditBarUserModalComponent extends AppComponentBase {
    @ViewChild('createOrEditModalBarUser',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CreateOrEditMstLgaBarUserDto = new CreateOrEditMstLgaBarUserDto();
    active: boolean = false;
    saving: boolean = false;
    _isNeedPass
isActive: boolean;
    constructor(
        injector: Injector,
        private _mstwptBarUserService: MstLgaBarUserServiceProxy,
    ) 
    {
        super(injector);
    }
    show(rowdata?: CreateOrEditMstLgaBarUserDto): void {
        if (!rowdata) this.rowdata = new CreateOrEditMstLgaBarUserDto();
        else this.rowdata = rowdata;
        this._isNeedPass
isActive = (this.rowdata.isNeedPass
isActive == "N")? false: true;
        this.active = true;
        this.modal.show();
    } 
    changeActive(event){
        this._isNeedPass
isActive = event.target.checked;
    }
    save(): void {
    this.saving = true; 
    this.rowdata.isNeedPass
isActive = (this._isNeedPass
isActive == true) ? 'Y' : 'N'
    this._mstwptBarUserService.createOrEdit(this.rowdata)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BarUserRoutingModule } from './baruser-routing.module';
import { BarUserComponent } from './baruser.component';
import { CreateOrEditBarUserModalComponent } from './create-or-edit-baruser-modal.component';
@NgModule({
    declarations: [
       BarUserComponent, 
        CreateOrEditBarUserModalComponent
    ],
    imports: [
        AppSharedModule, BarUserRoutingModule]
})
export class BarUserModule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BarUserComponent } from './baruser.component';
const routes: Routes = [{
    path: '',
    component: BarUserComponent,
    pathMatch: 'full'
}];
@NgModule({
    imports: [RouterModule.forChild(routes)],
    exports: [RouterModule],
})
export class BarUserRoutingModule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AppMenuItem("BarUser", "Pages.LogA.LogA.BarUser", "flaticon-book",   "/app/main/loga/loga/baruser"),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'loga/loga/baruser',
    loadChildren: () =&gt; import('./loga/loga/baruser/baruser.module').then(m =&gt; m.BarUserModule),
    data: { permission: 'Pages.LogA.LogA.BarUser' }
},</v>
      </c>
      <c r="R10" s="50" t="str">
        <f>SUBSTITUTE(R9,"MstWptCalendar",$B$6)</f>
        <v>ApiServiceProxies.MstLgaBarUserServiceProxy,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H24</v>
      </c>
      <c r="I12" s="31" t="str">
        <f>"I"&amp;COUNTA($A:$A)</f>
        <v>I24</v>
      </c>
      <c r="J12" s="31"/>
      <c r="K12" s="31" t="str">
        <f>"K"&amp;COUNTA($A:$A)</f>
        <v>K24</v>
      </c>
      <c r="L12" s="31" t="str">
        <f>"L"&amp;COUNTA($A:$A)</f>
        <v>L24</v>
      </c>
      <c r="M12" s="31"/>
      <c r="N12" s="31"/>
      <c r="O12" s="31"/>
      <c r="P12" s="31"/>
      <c r="Q12" s="31"/>
      <c r="R12" s="31"/>
      <c r="S12" s="31" t="str">
        <f>"S"&amp;COUNTA($A:$A)</f>
        <v>S24</v>
      </c>
      <c r="T12" s="31" t="str">
        <f>"T"&amp;COUNTA($A:$A)</f>
        <v>T24</v>
      </c>
      <c r="U12" s="31" t="str">
        <f>"U"&amp;COUNTA($A:$A)</f>
        <v>U24</v>
      </c>
      <c r="V12" s="31" t="str">
        <f>"V"&amp;COUNTA($A:$A)</f>
        <v>V24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this.l('User Id'),headerTooltip: this.l('User Id'),field: 'userId',flex: 1},
			{headerName: this.l('User Name'),headerTooltip: this.l('User Name'),field: 'userName',flex: 1},
			{headerName: this.l('User Description'),headerTooltip: this.l('User Description'),field: 'userDescription',flex: 1},
			{headerName: this.l('Is Need Pass'),headerTooltip: this.l('Is Need Pass'),field:  'isNeedPass', cellClass: ['text-center'], width: 120, cellRenderer: 'agCellButtonComponent',
buttonDefTwo: { text: params =&gt; (params.data?.'isNeedPass' == 'Y') ? 'Active' : 'Inactive',iconName: 'fa fa-circle',className: params =&gt; (params.data?.'isNeedPass' == 'Y') ? 'btnActive' : 'btnInActive',},}
			{headerName: this.l('Pwd'),headerTooltip: this.l('Pwd'),field: 'pwd',flex: 1},
			{headerName: this.l('Process Id'),headerTooltip: this.l('Process Id'),field: 'processId',flex: 1},
			{headerName: this.l('Process Code'),headerTooltip: this.l('Process Code'),field: 'processCode',flex: 1},
			{headerName: this.l('Process Group'),headerTooltip: this.l('Process Group'),field: 'processGroup',flex: 1},
			{headerName: this.l('Process Subgroup'),headerTooltip: this.l('Process Subgroup'),field: 'processSubgroup',flex: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[(ngModel)]='userId' name='userId'
									class='form-control' [placeholder]="l('User Id')"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[(ngModel)]='userDescription' name='userDescription'
									class='form-control' [placeholder]="l('User Description')"
									type='text' (keyup.enter)='searchDatas()'&gt;
								&lt;/div&gt;
								&lt;div class='input-search'&gt;
									&lt;input [(ngModel)]='isNeedPass' name='isNeedPass'
									class='form-control' [placeholder]="l('Is Need Pass')"
									type='text' (keyup.enter)='searchDatas()'&gt;
								&lt;/div&gt;
								&lt;div class='input-search'&gt;
									&lt;input [(ngModel)]='pwd' name='pwd'
									class='form-control' [placeholder]="l('Pwd')"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title'&gt;User Id&lt;/label&gt;
						&lt;input type='text' class='col-md-10 form-control input-text' name='UserId' [(ngModel)]='rowdata.userId'&gt;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title'&gt;User Description&lt;/label&gt;
						&lt;input type='text' class='col-md-10 form-control input-text' name='UserDescription' [(ngModel)]='rowdata.userDescription'&gt;
					&lt;/div&gt;
					&lt;div class='col-md-12 form-group row'&gt;
						&lt;label class='col-md-2 form-control title'&gt;Is Need Pass&lt;/label&gt;
						&lt;new-checkbox [(ngModel)]='_isNeedPass' name='isNeedPass' className='col-md-10' &gt; &lt;/new-checkbox&gt;
					&lt;/div&gt;
					&lt;div class='col-md-12 form-group row'&gt;
						&lt;label class='col-md-2 form-control title'&gt;Pwd&lt;/label&gt;
						&lt;input type='text' class='col-md-10 form-control input-text' name='Pwd' [(ngModel)]='rowdata.pwd'&gt;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userId : string = '' ; 
	userName : string = '' ; 
	userDescription : string = '' ; 
	isNeedPass : string = '' ; 
	pwd : string = '' ; 
	processId
	processCode : string = '' ; 
	processGroup : string = '' ; 
	processSubgroup : string = '' ; 
	isActive : string = '' ; </v>
      </c>
      <c r="T13" s="68" t="str">
        <f ca="1">TEXTJOIN2("
",TRUE,INDIRECT(T11):INDIRECT(T12))</f>
        <v xml:space="preserve">			this.userId,
			this.userName,
			this.userDescription,
			this.isNeedPass,
			this.pwd,
			this.processId,
			this.processCode,
			this.processGroup,
			this.processSubgroup,
			this.isActive,</v>
      </c>
      <c r="U13" s="68" t="str">
        <f ca="1">TEXTJOIN2("
",TRUE,INDIRECT(U11):INDIRECT(U12))</f>
        <v>this.userId = '',
		this.userName = '',
		this.userDescription = '',
		this.isNeedPass = '',
		this.pwd = '',
		this.processId = '',
		this.processCode = '',
		this.processGroup = '',
		this.processSubgroup = '',
		this.isActive = '',</v>
      </c>
      <c r="V13" s="31" t="str">
        <f ca="1">TEXTJOIN2("
",TRUE,INDIRECT(V11):INDIRECT(V12))</f>
        <v>isNeedPass
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baruser.component.ts</v>
      </c>
      <c r="I14" s="40" t="str">
        <f>B8&amp;".component.html"</f>
        <v>baruser.component.html</v>
      </c>
      <c r="J14" s="39" t="str">
        <f>B8&amp;".component.less"</f>
        <v>baruser.component.less</v>
      </c>
      <c r="K14" s="40" t="str">
        <f>"create-or-edit-"&amp;B8&amp;"-modal.component.html"</f>
        <v>create-or-edit-baruser-modal.component.html</v>
      </c>
      <c r="L14" s="40" t="str">
        <f>"create-or-edit-"&amp;B8&amp;"-modal.component.ts"</f>
        <v>create-or-edit-baruser-modal.component.ts</v>
      </c>
      <c r="M14" s="40" t="str">
        <f>"create-or-edit-"&amp;B8&amp;"-modal.component.less"</f>
        <v>create-or-edit-baruser-modal.component.less</v>
      </c>
      <c r="N14" s="40" t="str">
        <f>B8&amp;".module.ts"</f>
        <v>baruser.module.ts</v>
      </c>
      <c r="O14" s="40" t="str">
        <f>B8&amp;"-routing.module.ts"</f>
        <v>baruser-routing.module.ts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318</v>
      </c>
      <c r="B15" s="31" t="str">
        <f>SUBSTITUTE(PROPER(A15),"_","")</f>
        <v>UserId</v>
      </c>
      <c r="C15" s="31" t="str">
        <f>SUBSTITUTE(PROPER(A15),"_"," ")</f>
        <v>User Id</v>
      </c>
      <c r="D15" s="31" t="str">
        <f>LOWER(LEFT(B15,1))&amp;RIGHT(B15,LEN(B15) - 1)</f>
        <v>userId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this.l('User Id'),headerTooltip: this.l('User Id'),field: 'userId',flex: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[(ngModel)]='userId' name='userId'
									class='form-control' [placeholder]="l('User Id')"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title'&gt;User Id&lt;/label&gt;
						&lt;input type='text' class='col-md-10 form-control input-text' name='UserId' [(ngModel)]='rowdata.userId'&gt;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userId : string = '' ; </v>
      </c>
      <c r="T15" s="31" t="str">
        <f>REPT(CHAR(9),3)&amp;"this."&amp;D15&amp;","</f>
        <v xml:space="preserve">			this.userId,</v>
      </c>
      <c r="U15" s="31" t="str">
        <f>IF(E15="int","this."&amp;D15&amp;" = 0,","this."&amp;D15&amp;" = '',")</f>
        <v>this.userId = '',</v>
      </c>
      <c r="V15" s="31" t="str">
        <f>IF(AND(E15="string",F15="1"),D15,"")</f>
        <v/>
      </c>
    </row>
    <row r="16" spans="1:22" ht="15" customHeight="1" x14ac:dyDescent="0.25">
      <c r="A16" s="44" t="s">
        <v>317</v>
      </c>
      <c r="B16" s="31" t="str">
        <f t="shared" ref="B16:B18" si="0">SUBSTITUTE(PROPER(A16),"_","")</f>
        <v>UserName</v>
      </c>
      <c r="C16" s="31" t="str">
        <f t="shared" ref="C16:C18" si="1">SUBSTITUTE(PROPER(A16),"_"," ")</f>
        <v>User Name</v>
      </c>
      <c r="D16" s="31" t="str">
        <f t="shared" ref="D16:D18" si="2">LOWER(LEFT(B16,1))&amp;RIGHT(B16,LEN(B16) - 1)</f>
        <v>userName</v>
      </c>
      <c r="E16" s="31" t="str">
        <f>A.Backend!H10</f>
        <v>string</v>
      </c>
      <c r="F16" s="31" t="str">
        <f>A.Backend!G10</f>
        <v>50</v>
      </c>
      <c r="G16" s="31" t="str">
        <f t="shared" ref="G16:G24" si="3">IF(E16="string"," : string = '' ; ",IF(OR(E16="DateTime",E16="TimeSpan")," : any ;",IF(E16="int"," : number = 0 ;","")))</f>
        <v xml:space="preserve"> : string = '' ; </v>
      </c>
      <c r="H16" s="38" t="str">
        <f t="shared" ref="H16:H24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this.l('User Name'),headerTooltip: this.l('User Name'),field: 'userName',flex: 1},</v>
      </c>
      <c r="I16" s="38" t="str">
        <f t="shared" ref="I16:I24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[(ngModel)]='userName' name='userName'
									class='form-control' [placeholder]="l('User Name')"
									type='text' (keyup.enter)='searchDatas()'&gt;
								&lt;/div&gt;</v>
      </c>
      <c r="J16" s="31"/>
      <c r="K16" s="38" t="str">
        <f t="shared" ref="K16:K24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title'&gt;User Name&lt;/label&gt;
						&lt;input type='text' class='col-md-10 form-control input-text' name='UserName' [(ngModel)]='rowdata.userName'&gt;
					&lt;/div&gt;</v>
      </c>
      <c r="L16" s="60" t="str">
        <f t="shared" ref="L16:L24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userName : string = '' ; </v>
      </c>
      <c r="T16" s="31" t="str">
        <f>REPT(CHAR(9),3)&amp;"this."&amp;D16&amp;","</f>
        <v xml:space="preserve">			this.userName,</v>
      </c>
      <c r="U16" s="31" t="str">
        <f>IF(E16="int",REPT(CHAR(9),2)&amp;"this."&amp;D16&amp;" = 0,",REPT(CHAR(9),2)&amp;"this."&amp;D16&amp;" = '',")</f>
        <v xml:space="preserve">		this.userName = '',</v>
      </c>
      <c r="V16" s="31" t="str">
        <f t="shared" ref="V16:V24" si="8">IF(AND(E16="string",F16="1"),D16,"")</f>
        <v/>
      </c>
    </row>
    <row r="17" spans="1:22" ht="15" customHeight="1" x14ac:dyDescent="0.25">
      <c r="A17" s="44" t="s">
        <v>322</v>
      </c>
      <c r="B17" s="31" t="str">
        <f t="shared" ref="B17" si="9">SUBSTITUTE(PROPER(A17),"_","")</f>
        <v>UserDescription</v>
      </c>
      <c r="C17" s="31" t="str">
        <f t="shared" ref="C17" si="10">SUBSTITUTE(PROPER(A17),"_"," ")</f>
        <v>User Description</v>
      </c>
      <c r="D17" s="31" t="str">
        <f t="shared" ref="D17" si="11">LOWER(LEFT(B17,1))&amp;RIGHT(B17,LEN(B17) - 1)</f>
        <v>userDescription</v>
      </c>
      <c r="E17" s="31" t="str">
        <f>A.Backend!H11</f>
        <v>string</v>
      </c>
      <c r="F17" s="31" t="str">
        <f>A.Backend!G11</f>
        <v>200</v>
      </c>
      <c r="G17" s="31" t="str">
        <f t="shared" ref="G17" si="12">IF(E17="string"," : string = '' ; ",IF(OR(E17="DateTime",E17="TimeSpan")," : any ;",IF(E17="int"," : number = 0 ;","")))</f>
        <v xml:space="preserve"> : string = '' ; </v>
      </c>
      <c r="H17" s="38" t="str">
        <f t="shared" ref="H17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this.l('User Description'),headerTooltip: this.l('User Description'),field: 'userDescription',flex: 1},</v>
      </c>
      <c r="I17" s="38" t="str">
        <f t="shared" ref="I17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[(ngModel)]='userDescription' name='userDescription'
									class='form-control' [placeholder]="l('User Description')"
									type='text' (keyup.enter)='searchDatas()'&gt;
								&lt;/div&gt;</v>
      </c>
      <c r="J17" s="31"/>
      <c r="K17" s="38" t="str">
        <f t="shared" ref="K17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title'&gt;User Description&lt;/label&gt;
						&lt;input type='text' class='col-md-10 form-control input-text' name='UserDescription' [(ngModel)]='rowdata.userDescription'&gt;
					&lt;/div&gt;</v>
      </c>
      <c r="L17" s="60" t="str">
        <f t="shared" ref="L17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userDescription : string = '' ; </v>
      </c>
      <c r="T17" s="31" t="str">
        <f>REPT(CHAR(9),3)&amp;"this."&amp;D17&amp;","</f>
        <v xml:space="preserve">			this.userDescription,</v>
      </c>
      <c r="U17" s="31" t="str">
        <f>IF(E17="int",REPT(CHAR(9),2)&amp;"this."&amp;D17&amp;" = 0,",REPT(CHAR(9),2)&amp;"this."&amp;D17&amp;" = '',")</f>
        <v xml:space="preserve">		this.userDescription = '',</v>
      </c>
      <c r="V17" s="31" t="str">
        <f t="shared" ref="V17" si="17">IF(AND(E17="string",F17="1"),D17,"")</f>
        <v/>
      </c>
    </row>
    <row r="18" spans="1:22" ht="18" customHeight="1" x14ac:dyDescent="0.25">
      <c r="A18" s="44" t="s">
        <v>320</v>
      </c>
      <c r="B18" s="31" t="str">
        <f t="shared" si="0"/>
        <v>IsNeedPass</v>
      </c>
      <c r="C18" s="31" t="str">
        <f t="shared" si="1"/>
        <v>Is Need Pass</v>
      </c>
      <c r="D18" s="31" t="str">
        <f t="shared" si="2"/>
        <v>isNeedPass</v>
      </c>
      <c r="E18" s="31" t="str">
        <f>A.Backend!H12</f>
        <v>string</v>
      </c>
      <c r="F18" s="31" t="str">
        <f>A.Backend!G12</f>
        <v>1</v>
      </c>
      <c r="G18" s="31" t="str">
        <f t="shared" si="3"/>
        <v xml:space="preserve"> : string = '' ; </v>
      </c>
      <c r="H18" s="38" t="str">
        <f t="shared" si="4"/>
        <v xml:space="preserve">			{headerName: this.l('Is Need Pass'),headerTooltip: this.l('Is Need Pass'),field:  'isNeedPass', cellClass: ['text-center'], width: 120, cellRenderer: 'agCellButtonComponent',
buttonDefTwo: { text: params =&gt; (params.data?.'isNeedPass' == 'Y') ? 'Active' : 'Inactive',iconName: 'fa fa-circle',className: params =&gt; (params.data?.'isNeedPass' == 'Y') ? 'btnActive' : 'btnInActive',},}</v>
      </c>
      <c r="I18" s="38" t="str">
        <f t="shared" si="5"/>
        <v xml:space="preserve">								&lt;div class='input-search'&gt;
									&lt;input [(ngModel)]='isNeedPass' name='isNeedPass'
									class='form-control' [placeholder]="l('Is Need Pass')"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title'&gt;Is Need Pass&lt;/label&gt;
						&lt;new-checkbox [(ngModel)]='_isNeedPass' name='isNeedPass' className='col-md-10' &gt; &lt;/new-checkbox&gt;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ref="S18:S24" si="18">REPT(CHAR(9),1)&amp;D18&amp;G18</f>
        <v xml:space="preserve">	isNeedPass : string = '' ; </v>
      </c>
      <c r="T18" s="31" t="str">
        <f t="shared" ref="T18:T24" si="19">REPT(CHAR(9),3)&amp;"this."&amp;D18&amp;","</f>
        <v xml:space="preserve">			this.isNeedPass,</v>
      </c>
      <c r="U18" s="31" t="str">
        <f t="shared" ref="U18:U24" si="20">IF(E18="int",REPT(CHAR(9),2)&amp;"this."&amp;D18&amp;" = 0,",REPT(CHAR(9),2)&amp;"this."&amp;D18&amp;" = '',")</f>
        <v xml:space="preserve">		this.isNeedPass = '',</v>
      </c>
      <c r="V18" s="31" t="str">
        <f t="shared" si="8"/>
        <v>isNeedPass</v>
      </c>
    </row>
    <row r="19" spans="1:22" ht="18" customHeight="1" x14ac:dyDescent="0.25">
      <c r="A19" s="44" t="s">
        <v>319</v>
      </c>
      <c r="B19" s="31" t="str">
        <f>SUBSTITUTE(PROPER(A19),"_","")</f>
        <v>Pwd</v>
      </c>
      <c r="C19" s="31" t="str">
        <f>SUBSTITUTE(PROPER(A19),"_"," ")</f>
        <v>Pwd</v>
      </c>
      <c r="D19" s="31" t="str">
        <f>LOWER(LEFT(B19,1))&amp;RIGHT(B19,LEN(B19) - 1)</f>
        <v>pwd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this.l('Pwd'),headerTooltip: this.l('Pwd'),field: 'pwd',flex: 1},</v>
      </c>
      <c r="I19" s="38" t="str">
        <f t="shared" si="5"/>
        <v xml:space="preserve">								&lt;div class='input-search'&gt;
									&lt;input [(ngModel)]='pwd' name='pwd'
									class='form-control' [placeholder]="l('Pwd')"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title'&gt;Pwd&lt;/label&gt;
						&lt;input type='text' class='col-md-10 form-control input-text' name='Pwd' [(ngModel)]='rowdata.pwd'&gt;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18"/>
        <v xml:space="preserve">	pwd : string = '' ; </v>
      </c>
      <c r="T19" s="31" t="str">
        <f t="shared" si="19"/>
        <v xml:space="preserve">			this.pwd,</v>
      </c>
      <c r="U19" s="31" t="str">
        <f t="shared" si="20"/>
        <v xml:space="preserve">		this.pwd = '',</v>
      </c>
      <c r="V19" s="31" t="str">
        <f t="shared" si="8"/>
        <v/>
      </c>
    </row>
    <row r="20" spans="1:22" ht="15" customHeight="1" x14ac:dyDescent="0.25">
      <c r="A20" s="44" t="s">
        <v>321</v>
      </c>
      <c r="B20" s="31" t="str">
        <f t="shared" ref="B20" si="21">SUBSTITUTE(PROPER(A20),"_","")</f>
        <v>ProcessId</v>
      </c>
      <c r="C20" s="31" t="str">
        <f t="shared" ref="C20" si="22">SUBSTITUTE(PROPER(A20),"_"," ")</f>
        <v>Process Id</v>
      </c>
      <c r="D20" s="31" t="str">
        <f t="shared" ref="D20" si="23">LOWER(LEFT(B20,1))&amp;RIGHT(B20,LEN(B20) - 1)</f>
        <v>processId</v>
      </c>
      <c r="E20" s="31" t="str">
        <f>A.Backend!H14</f>
        <v>long</v>
      </c>
      <c r="F20" s="31" t="str">
        <f>A.Backend!G14</f>
        <v/>
      </c>
      <c r="G20" s="31" t="str">
        <f t="shared" si="3"/>
        <v/>
      </c>
      <c r="H20" s="38" t="str">
        <f t="shared" si="4"/>
        <v xml:space="preserve">			{headerName: this.l('Process Id'),headerTooltip: this.l('Process Id'),field: 'processId',flex: 1},</v>
      </c>
      <c r="I20" s="38" t="str">
        <f t="shared" si="5"/>
        <v/>
      </c>
      <c r="J20" s="31"/>
      <c r="K20" s="38" t="str">
        <f t="shared" si="6"/>
        <v/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18"/>
        <v xml:space="preserve">	processId</v>
      </c>
      <c r="T20" s="31" t="str">
        <f t="shared" si="19"/>
        <v xml:space="preserve">			this.processId,</v>
      </c>
      <c r="U20" s="31" t="str">
        <f t="shared" si="20"/>
        <v xml:space="preserve">		this.processId = '',</v>
      </c>
      <c r="V20" s="31" t="str">
        <f t="shared" si="8"/>
        <v/>
      </c>
    </row>
    <row r="21" spans="1:22" ht="18" customHeight="1" x14ac:dyDescent="0.25">
      <c r="A21" s="44" t="s">
        <v>340</v>
      </c>
      <c r="B21" s="31" t="str">
        <f>SUBSTITUTE(PROPER(A21),"_","")</f>
        <v>ProcessCode</v>
      </c>
      <c r="C21" s="31" t="str">
        <f>SUBSTITUTE(PROPER(A21),"_"," ")</f>
        <v>Process Code</v>
      </c>
      <c r="D21" s="31" t="str">
        <f>LOWER(LEFT(B21,1))&amp;RIGHT(B21,LEN(B21) - 1)</f>
        <v>processCode</v>
      </c>
      <c r="E21" s="31" t="str">
        <f>A.Backend!H15</f>
        <v>string</v>
      </c>
      <c r="F21" s="31" t="str">
        <f>A.Backend!G15</f>
        <v>50</v>
      </c>
      <c r="G21" s="31" t="str">
        <f t="shared" si="3"/>
        <v xml:space="preserve"> : string = '' ; </v>
      </c>
      <c r="H21" s="38" t="str">
        <f t="shared" si="4"/>
        <v xml:space="preserve">			{headerName: this.l('Process Code'),headerTooltip: this.l('Process Code'),field: 'processCode',flex: 1},</v>
      </c>
      <c r="I21" s="38" t="str">
        <f t="shared" si="5"/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18"/>
        <v xml:space="preserve">	processCode : string = '' ; </v>
      </c>
      <c r="T21" s="31" t="str">
        <f t="shared" si="19"/>
        <v xml:space="preserve">			this.processCode,</v>
      </c>
      <c r="U21" s="31" t="str">
        <f t="shared" si="20"/>
        <v xml:space="preserve">		this.processCode = '',</v>
      </c>
      <c r="V21" s="31" t="str">
        <f t="shared" si="8"/>
        <v/>
      </c>
    </row>
    <row r="22" spans="1:22" ht="18" customHeight="1" x14ac:dyDescent="0.25">
      <c r="A22" s="44" t="s">
        <v>338</v>
      </c>
      <c r="B22" s="31" t="str">
        <f>SUBSTITUTE(PROPER(A22),"_","")</f>
        <v>ProcessGroup</v>
      </c>
      <c r="C22" s="31" t="str">
        <f>SUBSTITUTE(PROPER(A22),"_"," ")</f>
        <v>Process Group</v>
      </c>
      <c r="D22" s="31" t="str">
        <f>LOWER(LEFT(B22,1))&amp;RIGHT(B22,LEN(B22) - 1)</f>
        <v>processGroup</v>
      </c>
      <c r="E22" s="31" t="str">
        <f>A.Backend!H16</f>
        <v>string</v>
      </c>
      <c r="F22" s="31" t="str">
        <f>A.Backend!G16</f>
        <v>50</v>
      </c>
      <c r="G22" s="31" t="str">
        <f t="shared" ref="G22:G23" si="24">IF(E22="string"," : string = '' ; ",IF(OR(E22="DateTime",E22="TimeSpan")," : any ;",IF(E22="int"," : number = 0 ;","")))</f>
        <v xml:space="preserve"> : string = '' ; </v>
      </c>
      <c r="H22" s="38" t="str">
        <f t="shared" ref="H22:H23" si="25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this.l('Process Group'),headerTooltip: this.l('Process Group'),field: 'processGroup',flex: 1},</v>
      </c>
      <c r="I22" s="38" t="str">
        <f t="shared" ref="I22:I23" si="26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[(ngModel)]='processGroup' name='processGroup'
									class='form-control' [placeholder]="l('Process Group')"
									type='text' (keyup.enter)='searchDatas()'&gt;
								&lt;/div&gt;</v>
      </c>
      <c r="J22" s="31"/>
      <c r="K22" s="38" t="str">
        <f t="shared" ref="K22:K23" si="27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title'&gt;Process Group&lt;/label&gt;
						&lt;input type='text' class='col-md-10 form-control input-text' name='ProcessGroup' [(ngModel)]='rowdata.processGroup'&gt;
					&lt;/div&gt;</v>
      </c>
      <c r="L22" s="60" t="str">
        <f t="shared" ref="L22:L23" si="28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3" si="29">REPT(CHAR(9),1)&amp;D22&amp;G22</f>
        <v xml:space="preserve">	processGroup : string = '' ; </v>
      </c>
      <c r="T22" s="31" t="str">
        <f t="shared" ref="T22:T23" si="30">REPT(CHAR(9),3)&amp;"this."&amp;D22&amp;","</f>
        <v xml:space="preserve">			this.processGroup,</v>
      </c>
      <c r="U22" s="31" t="str">
        <f t="shared" ref="U22:U23" si="31">IF(E22="int",REPT(CHAR(9),2)&amp;"this."&amp;D22&amp;" = 0,",REPT(CHAR(9),2)&amp;"this."&amp;D22&amp;" = '',")</f>
        <v xml:space="preserve">		this.processGroup = '',</v>
      </c>
      <c r="V22" s="31" t="str">
        <f t="shared" ref="V22:V23" si="32">IF(AND(E22="string",F22="1"),D22,"")</f>
        <v/>
      </c>
    </row>
    <row r="23" spans="1:22" ht="15" customHeight="1" x14ac:dyDescent="0.25">
      <c r="A23" s="44" t="s">
        <v>339</v>
      </c>
      <c r="B23" s="31" t="str">
        <f t="shared" ref="B23" si="33">SUBSTITUTE(PROPER(A23),"_","")</f>
        <v>ProcessSubgroup</v>
      </c>
      <c r="C23" s="31" t="str">
        <f t="shared" ref="C23" si="34">SUBSTITUTE(PROPER(A23),"_"," ")</f>
        <v>Process Subgroup</v>
      </c>
      <c r="D23" s="31" t="str">
        <f t="shared" ref="D23" si="35">LOWER(LEFT(B23,1))&amp;RIGHT(B23,LEN(B23) - 1)</f>
        <v>processSubgroup</v>
      </c>
      <c r="E23" s="31" t="str">
        <f>A.Backend!H17</f>
        <v>string</v>
      </c>
      <c r="F23" s="31" t="str">
        <f>A.Backend!G17</f>
        <v>50</v>
      </c>
      <c r="G23" s="31" t="str">
        <f t="shared" si="24"/>
        <v xml:space="preserve"> : string = '' ; </v>
      </c>
      <c r="H23" s="38" t="str">
        <f t="shared" si="25"/>
        <v xml:space="preserve">			{headerName: this.l('Process Subgroup'),headerTooltip: this.l('Process Subgroup'),field: 'processSubgroup',flex: 1},</v>
      </c>
      <c r="I23" s="38" t="str">
        <f t="shared" si="26"/>
        <v xml:space="preserve">								&lt;div class='input-search'&gt;
									&lt;input [(ngModel)]='processSubgroup' name='processSubgroup'
									class='form-control' [placeholder]="l('Process Subgroup')"
									type='text' (keyup.enter)='searchDatas()'&gt;
								&lt;/div&gt;</v>
      </c>
      <c r="J23" s="31"/>
      <c r="K23" s="38" t="str">
        <f t="shared" si="27"/>
        <v xml:space="preserve">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</v>
      </c>
      <c r="L23" s="60" t="str">
        <f t="shared" si="28"/>
        <v/>
      </c>
      <c r="M23" s="31"/>
      <c r="N23" s="31"/>
      <c r="O23" s="31"/>
      <c r="P23" s="31"/>
      <c r="Q23" s="31"/>
      <c r="R23" s="31"/>
      <c r="S23" s="31" t="str">
        <f t="shared" si="29"/>
        <v xml:space="preserve">	processSubgroup : string = '' ; </v>
      </c>
      <c r="T23" s="31" t="str">
        <f t="shared" si="30"/>
        <v xml:space="preserve">			this.processSubgroup,</v>
      </c>
      <c r="U23" s="31" t="str">
        <f t="shared" si="31"/>
        <v xml:space="preserve">		this.processSubgroup = '',</v>
      </c>
      <c r="V23" s="31" t="str">
        <f t="shared" si="32"/>
        <v/>
      </c>
    </row>
    <row r="24" spans="1:22" ht="15" customHeight="1" x14ac:dyDescent="0.25">
      <c r="A24" s="44" t="s">
        <v>301</v>
      </c>
      <c r="B24" s="31" t="str">
        <f t="shared" ref="B24" si="36">SUBSTITUTE(PROPER(A24),"_","")</f>
        <v>IsActive</v>
      </c>
      <c r="C24" s="31" t="str">
        <f t="shared" ref="C24" si="37">SUBSTITUTE(PROPER(A24),"_"," ")</f>
        <v>Is Active</v>
      </c>
      <c r="D24" s="31" t="str">
        <f t="shared" ref="D24" si="38">LOWER(LEFT(B24,1))&amp;RIGHT(B24,LEN(B24) - 1)</f>
        <v>isActive</v>
      </c>
      <c r="E24" s="31" t="str">
        <f>A.Backend!H18</f>
        <v>string</v>
      </c>
      <c r="F24" s="31" t="str">
        <f>A.Backend!G18</f>
        <v>1</v>
      </c>
      <c r="G24" s="31" t="str">
        <f t="shared" si="3"/>
        <v xml:space="preserve"> : string = '' ; </v>
      </c>
      <c r="H24" s="38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4" s="38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4" s="31"/>
      <c r="K24" s="38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4" s="60" t="str">
        <f t="shared" si="7"/>
        <v/>
      </c>
      <c r="M24" s="31"/>
      <c r="N24" s="31"/>
      <c r="O24" s="31"/>
      <c r="P24" s="31"/>
      <c r="Q24" s="31"/>
      <c r="R24" s="31"/>
      <c r="S24" s="31" t="str">
        <f t="shared" si="18"/>
        <v xml:space="preserve">	isActive : string = '' ; </v>
      </c>
      <c r="T24" s="31" t="str">
        <f t="shared" si="19"/>
        <v xml:space="preserve">			this.isActive,</v>
      </c>
      <c r="U24" s="31" t="str">
        <f t="shared" si="20"/>
        <v xml:space="preserve">		this.isActive = '',</v>
      </c>
      <c r="V24" s="31" t="str">
        <f t="shared" si="8"/>
        <v>isActive</v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2022-12-22T09:35:24Z</dcterms:modified>
</cp:coreProperties>
</file>
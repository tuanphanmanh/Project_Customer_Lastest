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V17" i="5" s="1"/>
  <c r="F17" i="5"/>
  <c r="E18" i="5"/>
  <c r="F18" i="5"/>
  <c r="E19" i="5"/>
  <c r="F19" i="5"/>
  <c r="E20" i="5"/>
  <c r="F20" i="5"/>
  <c r="E21" i="5"/>
  <c r="F21" i="5"/>
  <c r="D17" i="5"/>
  <c r="T17" i="5" s="1"/>
  <c r="C17" i="5"/>
  <c r="B17" i="5"/>
  <c r="I16" i="5"/>
  <c r="C16" i="5"/>
  <c r="B16" i="5"/>
  <c r="D16" i="5" s="1"/>
  <c r="G11" i="1"/>
  <c r="E11" i="1"/>
  <c r="H11" i="1" s="1"/>
  <c r="D11" i="1"/>
  <c r="V11" i="1" s="1"/>
  <c r="G10" i="1"/>
  <c r="E10" i="1"/>
  <c r="H10" i="1" s="1"/>
  <c r="D10" i="1"/>
  <c r="V10" i="1" s="1"/>
  <c r="H17" i="5" l="1"/>
  <c r="T16" i="5"/>
  <c r="U16" i="5"/>
  <c r="S16" i="5"/>
  <c r="K16" i="5"/>
  <c r="G16" i="5"/>
  <c r="L16" i="5"/>
  <c r="V16" i="5"/>
  <c r="I17" i="5"/>
  <c r="H16" i="5"/>
  <c r="K17" i="5"/>
  <c r="U17" i="5"/>
  <c r="G17" i="5"/>
  <c r="S17" i="5" s="1"/>
  <c r="L17" i="5"/>
  <c r="W11" i="1"/>
  <c r="O11" i="1"/>
  <c r="J11" i="1"/>
  <c r="N11" i="1"/>
  <c r="I11" i="1"/>
  <c r="M11" i="1"/>
  <c r="L11" i="1"/>
  <c r="P11" i="1"/>
  <c r="T11" i="1"/>
  <c r="W10" i="1"/>
  <c r="O10" i="1"/>
  <c r="J10" i="1"/>
  <c r="N10" i="1"/>
  <c r="I10" i="1"/>
  <c r="M10" i="1"/>
  <c r="L10" i="1"/>
  <c r="P10" i="1"/>
  <c r="T10" i="1"/>
  <c r="L12" i="1"/>
  <c r="G12" i="1"/>
  <c r="E12" i="1"/>
  <c r="H12" i="1" s="1"/>
  <c r="D12" i="1"/>
  <c r="V12" i="1" s="1"/>
  <c r="L13" i="1"/>
  <c r="G13" i="1"/>
  <c r="E13" i="1"/>
  <c r="H13" i="1" s="1"/>
  <c r="D13" i="1"/>
  <c r="V13" i="1" s="1"/>
  <c r="W12" i="1" l="1"/>
  <c r="O12" i="1"/>
  <c r="J12" i="1"/>
  <c r="N12" i="1"/>
  <c r="I12" i="1"/>
  <c r="M12" i="1"/>
  <c r="P12" i="1"/>
  <c r="T12" i="1"/>
  <c r="N13" i="1"/>
  <c r="M13" i="1"/>
  <c r="W13" i="1"/>
  <c r="O13" i="1"/>
  <c r="J13" i="1"/>
  <c r="I13" i="1"/>
  <c r="P13" i="1"/>
  <c r="T13" i="1"/>
  <c r="C19" i="5"/>
  <c r="B19" i="5"/>
  <c r="D19" i="5" s="1"/>
  <c r="V19" i="5" l="1"/>
  <c r="T19" i="5"/>
  <c r="H19" i="5"/>
  <c r="I19" i="5"/>
  <c r="K19" i="5"/>
  <c r="U19" i="5"/>
  <c r="G19" i="5"/>
  <c r="S19" i="5" s="1"/>
  <c r="L19" i="5"/>
  <c r="G14" i="1"/>
  <c r="E14" i="1"/>
  <c r="H14" i="1" s="1"/>
  <c r="D14" i="1"/>
  <c r="V14" i="1" s="1"/>
  <c r="N14" i="1" l="1"/>
  <c r="I14" i="1"/>
  <c r="M14" i="1"/>
  <c r="W14" i="1"/>
  <c r="O14" i="1"/>
  <c r="J14" i="1"/>
  <c r="P14" i="1"/>
  <c r="T14" i="1"/>
  <c r="B21" i="5" l="1"/>
  <c r="D21" i="5" s="1"/>
  <c r="G15" i="1"/>
  <c r="E15" i="1"/>
  <c r="H15" i="1" s="1"/>
  <c r="D15" i="1"/>
  <c r="V15" i="1" s="1"/>
  <c r="T21" i="5" l="1"/>
  <c r="C21" i="5"/>
  <c r="I21" i="5" s="1"/>
  <c r="V21" i="5"/>
  <c r="U21" i="5"/>
  <c r="G21" i="5"/>
  <c r="S21" i="5" s="1"/>
  <c r="L21" i="5"/>
  <c r="T15" i="1"/>
  <c r="P15" i="1"/>
  <c r="N15" i="1"/>
  <c r="I15" i="1"/>
  <c r="M15" i="1"/>
  <c r="W15" i="1"/>
  <c r="O15" i="1"/>
  <c r="J15" i="1"/>
  <c r="K21" i="5" l="1"/>
  <c r="H21" i="5"/>
  <c r="W3" i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17" i="1"/>
  <c r="V12" i="5" l="1"/>
  <c r="L12" i="5"/>
  <c r="U12" i="5"/>
  <c r="S12" i="5"/>
  <c r="H12" i="5"/>
  <c r="K12" i="5"/>
  <c r="T12" i="5"/>
  <c r="I12" i="5"/>
  <c r="T15" i="5"/>
  <c r="C20" i="5"/>
  <c r="B20" i="5"/>
  <c r="D20" i="5" s="1"/>
  <c r="C18" i="5"/>
  <c r="B18" i="5"/>
  <c r="D18" i="5" s="1"/>
  <c r="T18" i="5" s="1"/>
  <c r="T20" i="5" l="1"/>
  <c r="R3" i="1"/>
  <c r="D1" i="1"/>
  <c r="F6" i="1"/>
  <c r="T13" i="5"/>
  <c r="G9" i="1" l="1"/>
  <c r="F15" i="5" s="1"/>
  <c r="E9" i="1"/>
  <c r="H9" i="1" s="1"/>
  <c r="P9" i="1"/>
  <c r="T17" i="1"/>
  <c r="O9" i="1" l="1"/>
  <c r="M9" i="1"/>
  <c r="N9" i="1"/>
  <c r="E15" i="5"/>
  <c r="W9" i="1"/>
  <c r="T7" i="1"/>
  <c r="I9" i="1"/>
  <c r="W17" i="1"/>
  <c r="L18" i="5" l="1"/>
  <c r="H18" i="5"/>
  <c r="I18" i="5"/>
  <c r="K18" i="5"/>
  <c r="L20" i="5"/>
  <c r="H20" i="5"/>
  <c r="I20" i="5"/>
  <c r="K20" i="5"/>
  <c r="L15" i="5"/>
  <c r="K15" i="5"/>
  <c r="I15" i="5"/>
  <c r="H15" i="5"/>
  <c r="G18" i="5"/>
  <c r="S18" i="5" s="1"/>
  <c r="U18" i="5"/>
  <c r="V18" i="5"/>
  <c r="G15" i="5"/>
  <c r="S15" i="5" s="1"/>
  <c r="V15" i="5"/>
  <c r="U15" i="5"/>
  <c r="G20" i="5"/>
  <c r="S20" i="5" s="1"/>
  <c r="U20" i="5"/>
  <c r="V20" i="5"/>
  <c r="G6" i="1"/>
  <c r="S13" i="5"/>
  <c r="V13" i="5"/>
  <c r="I13" i="5"/>
  <c r="H13" i="5"/>
  <c r="U13" i="5"/>
  <c r="K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15" i="1"/>
  <c r="L9" i="1"/>
  <c r="J9" i="1"/>
  <c r="C7" i="1"/>
  <c r="N17" i="1"/>
  <c r="P17" i="1"/>
  <c r="O17" i="1"/>
  <c r="J17" i="1"/>
  <c r="I17" i="1"/>
  <c r="Q7" i="1" l="1"/>
  <c r="M47" i="3" s="1"/>
  <c r="L7" i="1"/>
  <c r="G47" i="3" s="1"/>
  <c r="K47" i="3"/>
  <c r="J47" i="3"/>
  <c r="K17" i="1"/>
  <c r="M17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<sst xmlns="http://schemas.openxmlformats.org/spreadsheetml/2006/main" count="424" uniqueCount="325">
  <si>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</si>
  <si>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</si>
  <si>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</si>
  <si>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</si>
  <si>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</si>
  <si>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</si>
  <si>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</si>
  <si>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</si>
  <si>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</si>
  <si>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</si>
  <si>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</si>
  <si>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</si>
  <si>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</si>
  <si>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</si>
  <si>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</si>
  <si>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</si>
  <si>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</si>
  <si>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</si>
  <si>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</si>
  <si>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</si>
  <si>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</si>
  <si>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</si>
  <si>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</si>
  <si>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</si>
  <si>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</si>
  <si>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</si>
  <si>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</si>
  <si>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</si>
  <si>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</si>
  <si>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</si>
  <si>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</si>
  <si>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</si>
  <si>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</si>
  <si>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</si>
  <si>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</si>
  <si>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</si>
  <si>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</si>
  <si>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</si>
  <si>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</si>
  <si>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</si>
  <si>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</si>
  <si>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</si>
  <si>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</si>
  <si>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</si>
  <si>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</si>
  <si>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</si>
  <si>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</si>
  <si>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</si>
  <si>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</si>
  <si>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</si>
  <si>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</si>
  <si>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</si>
  <si>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</si>
  <si>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</si>
  <si>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</si>
  <si>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</si>
  <si>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</si>
  <si>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</si>
  <si>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</si>
  <si>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</si>
  <si>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</si>
  <si>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</si>
  <si>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</si>
  <si>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</si>
  <si>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</si>
  <si>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</si>
  <si>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</si>
  <si>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</si>
  <si>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</si>
  <si>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</si>
  <si>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</si>
  <si>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</si>
  <si>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</si>
  <si>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</si>
  <si>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</si>
  <si>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</si>
  <si>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</si>
  <si>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</si>
  <si>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</si>
  <si>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</si>
  <si>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</si>
  <si>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</si>
  <si>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</si>
  <si>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</si>
  <si>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</si>
  <si>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</si>
  <si>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</si>
  <si>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</si>
  <si>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</si>
  <si>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</si>
  <si>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</si>
  <si>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</si>
  <si>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</si>
  <si>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</si>
  <si>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</si>
  <si>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</si>
  <si>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</si>
  <si>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</si>
  <si>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</si>
  <si>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</si>
  <si>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</si>
  <si>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</si>
  <si>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</si>
  <si>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</si>
  <si>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</si>
  <si>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</si>
  <si>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</si>
  <si>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</si>
  <si>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</si>
  <si>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</si>
  <si>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</si>
  <si>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</si>
  <si>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</si>
  <si>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</si>
  <si>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</si>
  <si>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</si>
  <si>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</si>
  <si>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</si>
  <si>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</si>
  <si>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</si>
  <si>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</si>
  <si>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</si>
  <si>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</si>
  <si>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</si>
  <si>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</si>
  <si>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</si>
  <si>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</si>
  <si>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</si>
  <si>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</si>
  <si>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</si>
  <si>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</si>
  <si>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</si>
  <si>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</si>
  <si>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</si>
  <si>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</si>
  <si>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</si>
  <si>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</si>
  <si>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</si>
  <si>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</si>
  <si>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</si>
  <si>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</si>
  <si>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</si>
  <si>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</si>
  <si>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</si>
  <si>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</si>
  <si>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</si>
  <si>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</si>
  <si>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</si>
  <si>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</si>
  <si>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</si>
  <si>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</si>
  <si>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</si>
  <si>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</si>
  <si>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</si>
  <si>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</si>
  <si>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</si>
  <si>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</si>
  <si>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</si>
  <si>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</si>
  <si>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</si>
  <si>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</si>
  <si>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</si>
  <si>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</si>
  <si>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</si>
  <si>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</si>
  <si>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</si>
  <si>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</si>
  <si>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</si>
  <si>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</si>
  <si>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</si>
  <si>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</si>
  <si>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</si>
  <si>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</si>
  <si>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</si>
  <si>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</si>
  <si>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</si>
  <si>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</si>
  <si>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</si>
  <si>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</si>
  <si>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</si>
  <si>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</si>
  <si>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</si>
  <si>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</si>
  <si>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</si>
  <si>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</si>
  <si>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</si>
  <si>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</si>
  <si>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</si>
  <si>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</si>
  <si>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</si>
  <si>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</si>
  <si>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</si>
  <si>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</si>
  <si>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</si>
  <si>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</si>
  <si>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</si>
  <si>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</si>
  <si>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</si>
  <si>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</si>
  <si>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</si>
  <si>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</si>
  <si>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</si>
  <si>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</si>
  <si>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</si>
  <si>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</si>
  <si>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</si>
  <si>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</si>
  <si>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</si>
  <si>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</si>
  <si>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</si>
  <si>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</si>
  <si>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</si>
  <si>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</si>
  <si>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</si>
  <si>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</si>
  <si>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</si>
  <si>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</si>
  <si>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</si>
  <si>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</si>
  <si>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</si>
  <si>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</si>
  <si>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</si>
  <si>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</si>
  <si>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</si>
  <si>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</si>
  <si>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</si>
  <si>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</si>
  <si>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</si>
  <si>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</si>
  <si>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</si>
  <si>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</si>
  <si>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</si>
  <si>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</si>
  <si>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</si>
  <si>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</si>
  <si>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</si>
  <si>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</si>
  <si>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</si>
  <si>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</si>
  <si>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</si>
  <si>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</si>
  <si>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</si>
  <si>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</si>
  <si>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</si>
  <si>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</si>
  <si>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</si>
  <si>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</si>
  <si>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</si>
  <si>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</si>
  <si>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</si>
  <si>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</si>
  <si>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</si>
  <si>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</si>
  <si>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</si>
  <si>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</si>
  <si>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</si>
  <si>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</si>
  <si>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</si>
  <si>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</si>
  <si>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</si>
  <si>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</si>
  <si>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</si>
  <si>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</si>
  <si>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</si>
  <si>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</si>
  <si>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</si>
  <si>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</si>
  <si>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</si>
  <si>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</si>
  <si>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</si>
  <si>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</si>
  <si>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</si>
  <si>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</si>
  <si>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</si>
  <si>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</si>
  <si>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</si>
  <si>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</si>
  <si>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</si>
  <si>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</si>
  <si>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</si>
  <si>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</si>
  <si>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</si>
  <si>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</si>
  <si>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</si>
  <si>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</si>
  <si>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</si>
  <si>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</si>
  <si>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</si>
  <si>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</si>
  <si>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</si>
  <si>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</si>
  <si>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</si>
  <si>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</si>
  <si>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</si>
  <si>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</si>
  <si>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</si>
  <si>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</si>
  <si>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</si>
  <si>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</si>
  <si>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</si>
  <si>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</si>
  <si>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</si>
  <si>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</si>
  <si>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</si>
  <si>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</si>
  <si>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</si>
  <si>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</si>
  <si>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</si>
  <si>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</si>
  <si>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</si>
  <si>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</si>
  <si>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</si>
  <si>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</si>
  <si>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varchar(1)</t>
  </si>
  <si>
    <t>varchar(250)</t>
  </si>
  <si>
    <t>PROD_LINE</t>
  </si>
  <si>
    <t>Master.LogA</t>
  </si>
  <si>
    <t>MstLgaLdsTrip</t>
  </si>
  <si>
    <t>Trip</t>
  </si>
  <si>
    <t>DOLLY_NAME</t>
  </si>
  <si>
    <t>TAKT_TIME</t>
  </si>
  <si>
    <t>TRIP_NUMBER</t>
  </si>
  <si>
    <t>LogA Lot Direct Supply Trip Master</t>
  </si>
  <si>
    <t>DELIVERY_NO</t>
  </si>
  <si>
    <t>DELIVERY_NAME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</si>
</sst>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[Table("MstLgaLdsTrip")]
	[Index(nameof(ProdLine), Name="IX_MstLgaLdsTrip_ProdLine")]
	[Index(nameof(IsActive), Name="IX_MstLgaLdsTrip_IsActive")]	public class MstLgaLdsTrip: FullAuditedEntity&lt;long&gt;, IEntity&lt;long&gt;	
	{
		public const int MaxProdLineLength = 50;
		public const int MaxDeliveryNameLength = 50;
		public const int MaxDollyNameLength = 250;
		public const int MaxIsActiveLength = 1;
		[StringLength(MaxProdLineLength)]
		public virtual string ProdLine { get; set; }
		public virtual int DeliveryNo { get; set; }
		[StringLength(MaxDeliveryNameLength)]
		public virtual string DeliveryName { get; set; }
		public virtual int TripNumber { get; set; }
		[StringLength(MaxDollyNameLength)]
		public virtual string DollyName { get; set; }
		public virtual int TaktTime { get; set; }
		[StringLength(MaxIsActiveLength)]
		public virtual string IsActive { get; set; }
	}
}
</v>
      </c>
      <c r="D47" s="51" t="str">
        <f>A.Backend!O7</f>
        <v xml:space="preserve">		public const string Pages_Master_LogA_Trip = "Pages.Master.LogA.Trip";
		public const string Pages_Master_LogA_Trip_CreateEdit = "Pages.Master.LogA.Trip.CreateEdit";
		public const string Pages_Master_LogA_Trip_Delete = "Pages.Master.LogA.Trip.Delete";
</v>
      </c>
      <c r="E47" s="51" t="str">
        <f>A.Backend!N7</f>
        <v xml:space="preserve">		var perMstLgaLdsTrip = PARENTS.CreateChildPermission(AppPermissions.Pages_Master_LogA_Trip, L( "MasterLogATrip"));
		perMstLgaLdsTrip.CreateChildPermission(AppPermissions.Pages_Master_LogA_Trip_CreateEdit, L( "MasterLogATripCreateEdit"));
		perMstLgaLdsTrip.CreateChildPermission(AppPermissions.Pages_Master_LogA_Trip_Delete, L( "MasterLogATripDelete"));</v>
      </c>
      <c r="F47" s="51" t="str">
        <f>A.Backend!K7</f>
        <v>public virtual DbSet&lt;MstLgaLdsTrip&gt; MstLgaLdsTrips { get; set; }</v>
      </c>
      <c r="G47" s="51" t="str">
        <f ca="1">A.Backend!L7</f>
        <v xml:space="preserve">namespace vovina.Master.LogA
{
	public class MstLgaLdsTripConsts	
	{
		public const int MaxProdLineLength = 50;
		public const int MaxDeliveryNameLength = 50;
		public const int MaxDollyNameLength = 250;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vovina.Master.LogA.Dto
{
	public class MstLgaLdsTripDto : EntityDto&lt;long?&gt;	
	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	public class CreateOrEditMstLgaLdsTripDto : EntityDto&lt;long?&gt;	
	{
		[StringLength(MstLgaLdsTripConsts.MaxProdLineLength)]
		public virtual string ProdLine { get; set; }
		public virtual int DeliveryNo { get; set; }
		[StringLength(MstLgaLdsTripConsts.MaxDeliveryNameLength)]
		public virtual string DeliveryName { get; set; }
		public virtual int TripNumber { get; set; }
		[StringLength(MstLgaLdsTripConsts.MaxDollyNameLength)]
		public virtual string DollyName { get; set; }
		public virtual int TaktTime { get; set; }
		[StringLength(MstLgaLdsTripConsts.MaxIsActiveLength)]
		public virtual string IsActive { get; set; }
	}
	public class GetMstLgaLdsTripInput : PagedAndSortedResultRequestDto	
	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vovina.Master.LogA.Dto
{
	public class MstLgaLdsTripExportInput{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IMstLgaLdsTripAppService : IApplicationService
	{
		Task&lt;PagedResultDto&lt;MstLgaLdsTripDto&gt;&gt; GetAll(GetMstLgaLdsTripInput input);
		Task CreateOrEdit(CreateOrEditMstLgaLdsTripDto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IMstLgaLdsTripExcelExporter : IApplicationService
	{
		FileDto ExportToFile(List&lt;MstLgaLdsTripDto&gt; mstlgaldstrip);
	}
}
</v>
      </c>
      <c r="L47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MstLgaLdsTripExcelExporter : NpoiExcelExporterBase, IMstLgaLdsTripExcelExporter
    {
        public MstLgaLdsTripExcelExporter(ITempFileCacheManager tempFileCacheManager) : base(tempFileCacheManager) { }
        public FileDto ExportToFile(List&lt;MstLgaLdsTripDto&gt; trip)
        {
            return CreateExcelPackage(
				"MasterLogATrip.xlsx",
				excelPackage =&gt;
				 {
					var sheet = excelPackage.CreateSheet("Trip");
					AddHeader(
								sheet,
								("ProdLine"),
								("DeliveryNo"),
								("DeliveryName"),
								("TripNumber"),
								("DollyName"),
								("TaktTime"),
								("IsActive"),
							   );
					AddObjects(
						 sheet, 1, trip,                                       
								_ =&gt; _.ProdLine,
								_ =&gt; _.DeliveryNo,
								_ =&gt; _.DeliveryName,
								_ =&gt; _.TripNumber,
								_ =&gt; _.DollyName,
								_ =&gt; _.TaktTime,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[AbpAuthorize(AppPermissions.Pages_Master_LogA_Trip)]
    public class MstLgaLdsTripAppService : vovinaAppServiceBase, IMstLgaLdsTripAppService
    {
        private readonly IDapperRepository&lt;MstLgaLdsTrip, long&gt; _dapperRepo;
        private readonly IRepository&lt;MstLgaLdsTrip, long&gt; _repo;
        private readonly IMstLgaLdsTripExcelExporter _calendarListExcelExporter;
        public MstLgaLdsTripAppService(IRepository&lt;MstLgaLdsTrip,long&gt; repo, 
                                         IDapperRepository&lt;MstLgaLdsTrip,long&gt; dapperRepo,
                                        IMstLgaLdsTripExcelExporter calendarListExcelExporter
            )
        {
            _repo = repo;
            _dapperRepo = dapperRepo;
            _calendarListExcelExporter = calendarListExcelExporter;
        }
        [AbpAuthorize(AppPermissions.Pages_Master_LogA_Trip_CreateEdit)]
        public async Task CreateOrEdit(CreateOrEditMstLgaLdsTripDto input)
        {
            if (input.Id == null) await Create(input);
            else await Update(input);
        }
        //CREATE
        private async Task Create(CreateOrEditMstLgaLdsTripDto input)
        {          
            var mainObj = ObjectMapper.Map&lt;MstLgaLdsTrip&gt;(input);
            await CurrentUnitOfWork.GetDbContext&lt;vovinaDbContext&gt;().AddAsync(mainObj);
        }
        // EDIT
        private async Task Update(CreateOrEditMstLgaLdsTripDto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[AbpAuthorize(AppPermissions.Pages_Master_LogA_Trip_Delete)]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Task&lt;PagedResultDto&lt;MstLgaLdsTripDto&gt;&gt; GetAll(GetMstLgaLdsTripInput input)
        {
            var filtered = _repo.GetAll()
				.WhereIf(!string.IsNullOrWhiteSpace(input.ProdLine), e =&gt; e.ProdLine.Contains(input.ProdLine))
				.WhereIf(!string.IsNullOrWhiteSpace(input.DeliveryName), e =&gt; e.DeliveryName.Contains(input.DeliveryName))
				.WhereIf(!string.IsNullOrWhiteSpace(input.DollyName), e =&gt; e.DollyName.Contains(input.DollyName))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MstLgaLdsTripDto
                        {
							Id = o.Id,
							ProdLine = o.ProdLine,
							DeliveryNo = o.DeliveryNo,
							DeliveryName = o.DeliveryName,
							TripNumber = o.TripNumber,
							DollyName = o.DollyName,
							TaktTime = o.TaktTime,
							IsActive = o.IsActive,
                        };
            var totalCount = await filtered.CountAsync();
			var paged = system.PageBy(input);
            return new PagedResultDto&lt;MstLgaLdsTripDto&gt;(
                totalCount,
                 await paged.ToListAsync()
            );
        }
        public async Task&lt;FileDto&gt; GetTripToExcel(MstLgaLdsTripExportInput input)
        {
            var query = from o in _repo.GetAll()
                        select new MstLgaLdsTripDto
                        {
							Id = o.Id,
							ProdLine = o.ProdLine,
							DeliveryNo = o.DeliveryNo,
							DeliveryName = o.DeliveryName,
							TripNumber = o.TripNumber,
							DollyName = o.DollyName,
							TaktTime = o.TaktTime,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_dapperRepo.ExecuteAsync(MstLgaLdsTripConsts.SP_MST_WPT_CALENDAR_GENERATE);
       // }
    }
}</v>
      </c>
      <c r="N47" s="62" t="str">
        <f>A.Backend!U7</f>
        <v xml:space="preserve">  configuration.CreateMap&lt;MstLgaLdsTripDto, MstLgaLdsTrip&gt;();
  configuration.CreateMap&lt;MstLgaLdsTrip, MstLgaLdsTripDto&gt;();
  configuration.CreateMap&lt;CreateOrEditMstLgaLdsTripDto, MstLgaLdsTrip&gt;();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trip</v>
      </c>
      <c r="C52" s="72" t="str">
        <f>"create folder " &amp;B52</f>
        <v>create folder trip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trip.component.ts</v>
      </c>
      <c r="D53" s="31" t="str">
        <f>B.Frontend!I14</f>
        <v>trip.component.html</v>
      </c>
      <c r="E53" s="31" t="str">
        <f>B.Frontend!J14</f>
        <v>trip.component.less</v>
      </c>
      <c r="F53" s="31" t="str">
        <f>B.Frontend!K14</f>
        <v>create-or-edit-trip-modal.component.html</v>
      </c>
      <c r="G53" s="31" t="str">
        <f>B.Frontend!L14</f>
        <v>create-or-edit-trip-modal.component.ts</v>
      </c>
      <c r="H53" s="31" t="str">
        <f>B.Frontend!M14</f>
        <v>create-or-edit-trip-modal.component.less</v>
      </c>
      <c r="I53" s="31" t="str">
        <f>B.Frontend!N14</f>
        <v>trip.module.ts</v>
      </c>
      <c r="J53" s="31" t="str">
        <f>B.Frontend!O14</f>
        <v>trip-routing.module.ts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MstLgaLdsTripDto, MstLgaLdsTripServiceProxy } from '@shared/service-proxies/service-proxies';
import { finalize } from 'rxjs/internal/operators/finalize';
import { CreateOrEditTripModalComponent } from './create-or-edit-trip-modal.component';
import { DatePipe } from '@angular/common';
import { FileDownloadService } from '@shared/utils/file-download.service';
import ceil from 'lodash-es/ceil';
import { Paginator } from 'primeng/paginator';
@Component({
    templateUrl: './trip.component.html',
    styleUrls: ['./trip.component.less'],
})
export class TripComponent extends AppComponentBase implements OnInit {
    @ViewChild('createOrEditModalTrip', { static: true }) createOrEditModalTrip:| CreateOrEditTripModalComponent|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MstLgaLdsTripDto = new MstLgaLdsTripDto();
    saveSelectedRow: MstLgaLdsTripDto = new MstLgaLdsTripDto();
    datas: MstLgaLdsTripDto = new MstLgaLdsTripDto();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deliveryNo : number = 0 ;
	deliveryName : string = '' ; 
	tripNumber : number = 0 ;
	dollyName : string = '' ; 
	taktTime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MstLgaLdsTripServiceProxy,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this.l('Delivery No'),headerTooltip: this.l('Delivery No'),field: 'deliveryNo',flex: 1},
			{headerName: this.l('Delivery Name'),headerTooltip: this.l('Delivery Name'),field: 'deliveryName',flex: 1},
			{headerName: this.l('Trip Number'),headerTooltip: this.l('Trip Number'),field: 'tripNumber',flex: 1},
			{headerName: this.l('Dolly Name'),headerTooltip: this.l('Dolly Name'),field: 'dollyName',flex: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this.deliveryNo,
			this.deliveryName,
			this.tripNumber,
			this.dollyName,
			this.taktTime,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this.deliveryNo = 0,
		this.deliveryName = '',
		this.tripNumber = 0,
		this.dollyName = '',
		this.taktTime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this.deliveryNo,
			this.deliveryName,
			this.tripNumber,
			this.dollyName,
			this.taktTime,
			this.isActive,
			'',
            this.paginationParams.skipCount,
            this.paginationParams.pageSize
        );
    }
    onChangeRowSelection(params: { api: { getSelectedRows: () =&gt; MstLgaLdsTripDto[] } }) {
        this.saveSelectedRow = params.api.getSelectedRows()[0] ?? new MstLgaLdsTripDto();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MstLgaLdsTripDto):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this._service.getTripToExcel(
			this.prodLine,
			this.deliveryNo,
			this.deliveryName,
			this.tripNumber,
			this.dollyName,
			this.taktTime,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Trip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[(ngModel)]='deliveryName' name='deliveryName'
									class='form-control' [placeholder]="l('Delivery Name')"
									type='text' (keyup.enter)='searchDatas()'&gt;
								&lt;/div&gt;
								&lt;div class='input-search'&gt;
									&lt;input [(ngModel)]='dollyName' name='dollyName'
									class='form-control' [placeholder]="l('Dolly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(click)="createOrEditModalTrip.show()"&gt;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(click)="createOrEditModalTrip.show(selectedRow)"&gt;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&lt;create-or-edit-trip-modal
    #createOrEditModalTrip
    (modalSave)="callBackDataGrid(dataParams)"
    (modalClose)="onChangeRowSelection(dataParams)"
&gt;
&lt;/create-or-edit-trip-modal&gt;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#createOrEditModalTrip="bs-modal"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Trip')}}&lt;/h3&gt;
                    &lt;h3 *ngIf="!rowdata.id"&gt;{{('Create New Trip')}}&lt;/h3&gt;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title'&gt;Delivery No&lt;/label&gt;
						&lt;input type='number' class='col-md-10 form-control input-text' name='DeliveryNo' [(ngModel)]='rowdata.deliveryNo'&gt;
					&lt;/div&gt;
					&lt;div class='col-md-12 form-group row'&gt;
						&lt;label class='col-md-2 form-control title'&gt;Delivery Name&lt;/label&gt;
						&lt;input type='text' class='col-md-10 form-control input-text' name='DeliveryName' [(ngModel)]='rowdata.deliveryName'&gt;
					&lt;/div&gt;
					&lt;div class='col-md-12 form-group row'&gt;
						&lt;label class='col-md-2 form-control title'&gt;Trip Number&lt;/label&gt;
						&lt;input type='number' class='col-md-10 form-control input-text' name='TripNumber' [(ngModel)]='rowdata.tripNumber'&gt;
					&lt;/div&gt;
					&lt;div class='col-md-12 form-group row'&gt;
						&lt;label class='col-md-2 form-control title'&gt;Dolly Name&lt;/label&gt;
						&lt;input type='text' class='col-md-10 form-control input-text' name='DollyName' [(ngModel)]='rowdata.dollyName'&gt;
					&lt;/div&gt;
					&lt;div class='col-md-12 form-group row'&gt;
						&lt;label class='col-md-2 form-control title'&gt;Takt Time&lt;/label&gt;
						&lt;input type='number'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CreateOrEditMstLgaLdsTripDto, MstLgaLdsTripServiceProxy } from '@shared/service-proxies/service-proxies';
import { BsDatepickerDirective } from 'ngx-bootstrap/datepicker';
@Component({
    selector: 'create-or-edit-trip-modal',
    templateUrl: './create-or-edit-trip-modal.component.html',
    styleUrls: ['./create-or-edit-trip-modal.component.less']
    })
export class CreateOrEditTripModalComponent extends AppComponentBase {
    @ViewChild('createOrEditModalTrip',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CreateOrEditMstLgaLdsTripDto = new CreateOrEditMstLgaLdsTripDto();
    active: boolean = false;
    saving: boolean = false;
    _isActive: boolean;
    constructor(
        injector: Injector,
        private _mstwptTripService: MstLgaLdsTripServiceProxy,
    ) 
    {
        super(injector);
    }
    show(rowdata?: CreateOrEditMstLgaLdsTripDto): void {
        if (!rowdata) this.rowdata = new CreateOrEditMstLgaLdsTripDto();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this._mstwptTripService.createOrEdit(this.rowdata)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TripRoutingModule } from './trip-routing.module';
import { TripComponent } from './trip.component';
import { CreateOrEditTripModalComponent } from './create-or-edit-trip-modal.component';
@NgModule({
    declarations: [
       TripComponent, 
        CreateOrEditTripModalComponent
    ],
    imports: [
        AppSharedModule, TripRoutingModule]
})
export class TripModule {}</v>
      </c>
      <c r="J54" s="49" t="str">
        <f>B.Frontend!O10</f>
        <v>import {NgModule} from '@angular/core';
import {RouterModule, Routes} from '@angular/router';
import { TripComponent } from './trip.component';
const routes: Routes = [{
    path: '',
    component: TripComponent,
    pathMatch: 'full'
}];
@NgModule({
    imports: [RouterModule.forChild(routes)],
    exports: [RouterModule],
})
export class TripRoutingModule {}</v>
      </c>
      <c r="K54" s="49" t="str">
        <f>B.Frontend!P10</f>
        <v xml:space="preserve"> new AppMenuItem("Trip", "Pages.Master.LogA.Trip", "flaticon-book",   "/app/main/master/loga/trip"),</v>
      </c>
      <c r="L54" s="50" t="str">
        <f>B.Frontend!Q10</f>
        <v>{
    path: 'master/loga/trip',
    loadChildren: () =&gt; import('./master/loga/trip/trip.module').then(m =&gt; m.TripModule),
    data: { permission: 'Pages.Master.LogA.Trip' }
},</v>
      </c>
      <c r="M54" s="48" t="str">
        <f>B.Frontend!R10</f>
        <v>ApiServiceProxies.MstLgaLdsTripServiceProxy,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tabSelected="1"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317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MstLgaLdsTripExportInput{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MstLgaLdsTrip: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MstLgaLdsTripConsts	
	{
</v>
      </c>
      <c r="F6" s="11" t="str">
        <f>REPT(CHAR(9),1)&amp;"public class "&amp;B3&amp;"Dto"&amp;K3&amp;REPT(CHAR(9),1)&amp;"
"&amp;REPT(CHAR(9),1)&amp;C3</f>
        <v xml:space="preserve">	public class MstLgaLdsTripDto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CreateOrEditMstLgaLdsTripDto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GetMstLgaLdsTripInput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MstLgaLdsTrip</v>
      </c>
      <c r="C7" s="11" t="str">
        <f>REPT(CHAR(9),1)&amp;"[Table("""&amp;B7&amp;""")]"&amp;"
"</f>
        <v xml:space="preserve">	[Table("MstLgaLdsTrip")]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[Table("MstLgaLdsTrip")]
	[Index(nameof(ProdLine), Name="IX_MstLgaLdsTrip_ProdLine")]
	[Index(nameof(IsActive), Name="IX_MstLgaLdsTrip_IsActive")]	public class MstLgaLdsTrip: FullAuditedEntity&lt;long&gt;, IEntity&lt;long&gt;	
	{
		public const int MaxProdLineLength = 50;
		public const int MaxDeliveryNameLength = 50;
		public const int MaxDollyNameLength = 250;
		public const int MaxIsActiveLength = 1;
		[StringLength(MaxProdLineLength)]
		public virtual string ProdLine { get; set; }
		public virtual int DeliveryNo { get; set; }
		[StringLength(MaxDeliveryNameLength)]
		public virtual string DeliveryName { get; set; }
		public virtual int TripNumber { get; set; }
		[StringLength(MaxDollyNameLength)]
		public virtual string DollyName { get; set; }
		public virtual int TaktTime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DbSet&lt;MstLgaLdsTrip&gt; MstLgaLdsTrips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vovina.Master.LogA
{
	public class MstLgaLdsTripConsts	
	{
		public const int MaxProdLineLength = 50;
		public const int MaxDeliveryNameLength = 50;
		public const int MaxDollyNameLength = 250;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vovina.Master.LogA.Dto
{
	public class MstLgaLdsTripDto : EntityDto&lt;long?&gt;	
	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	public class CreateOrEditMstLgaLdsTripDto : EntityDto&lt;long?&gt;	
	{
		[StringLength(MstLgaLdsTripConsts.MaxProdLineLength)]
		public virtual string ProdLine { get; set; }
		public virtual int DeliveryNo { get; set; }
		[StringLength(MstLgaLdsTripConsts.MaxDeliveryNameLength)]
		public virtual string DeliveryName { get; set; }
		public virtual int TripNumber { get; set; }
		[StringLength(MstLgaLdsTripConsts.MaxDollyNameLength)]
		public virtual string DollyName { get; set; }
		public virtual int TaktTime { get; set; }
		[StringLength(MstLgaLdsTripConsts.MaxIsActiveLength)]
		public virtual string IsActive { get; set; }
	}
	public class GetMstLgaLdsTripInput : PagedAndSortedResultRequestDto	
	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perMstLgaLdsTrip = PARENTS.CreateChildPermission(AppPermissions.Pages_Master_LogA_Trip, L( "MasterLogATrip"));
		perMstLgaLdsTrip.CreateChildPermission(AppPermissions.Pages_Master_LogA_Trip_CreateEdit, L( "MasterLogATripCreateEdit"));
		perMstLgaLdsTrip.CreateChildPermission(AppPermissions.Pages_Master_LogA_Trip_Delete, L( "MasterLogATripDelete"));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Pages_Master_LogA_Trip = "Pages.Master.LogA.Trip";
		public const string Pages_Master_LogA_Trip_CreateEdit = "Pages.Master.LogA.Trip.CreateEdit";
		public const string Pages_Master_LogA_Trip_Delete = "Pages.Master.LogA.Trip.Delete";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IMstLgaLdsTripAppService : IApplicationService
	{
		Task&lt;PagedResultDto&lt;MstLgaLdsTripDto&gt;&gt; GetAll(GetMstLgaLdsTripInput input);
		Task CreateOrEdit(CreateOrEditMstLgaLdsTripDto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[AbpAuthorize(AppPermissions.Pages_Master_LogA_Trip)]
    public class MstLgaLdsTripAppService : vovinaAppServiceBase, IMstLgaLdsTripAppService
    {
        private readonly IDapperRepository&lt;MstLgaLdsTrip, long&gt; _dapperRepo;
        private readonly IRepository&lt;MstLgaLdsTrip, long&gt; _repo;
        private readonly IMstLgaLdsTripExcelExporter _calendarListExcelExporter;
        public MstLgaLdsTripAppService(IRepository&lt;MstLgaLdsTrip,long&gt; repo, 
                                         IDapperRepository&lt;MstLgaLdsTrip,long&gt; dapperRepo,
                                        IMstLgaLdsTripExcelExporter calendarListExcelExporter
            )
        {
            _repo = repo;
            _dapperRepo = dapperRepo;
            _calendarListExcelExporter = calendarListExcelExporter;
        }
        [AbpAuthorize(AppPermissions.Pages_Master_LogA_Trip_CreateEdit)]
        public async Task CreateOrEdit(CreateOrEditMstLgaLdsTripDto input)
        {
            if (input.Id == null) await Create(input);
            else await Update(input);
        }
        //CREATE
        private async Task Create(CreateOrEditMstLgaLdsTripDto input)
        {          
            var mainObj = ObjectMapper.Map&lt;MstLgaLdsTrip&gt;(input);
            await CurrentUnitOfWork.GetDbContext&lt;vovinaDbContext&gt;().AddAsync(mainObj);
        }
        // EDIT
        private async Task Update(CreateOrEditMstLgaLdsTripDto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[AbpAuthorize(AppPermissions.Pages_Master_LogA_Trip_Delete)]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Task&lt;PagedResultDto&lt;MstLgaLdsTripDto&gt;&gt; GetAll(GetMstLgaLdsTripInput input)
        {
            var filtered = _repo.GetAll()
				.WhereIf(!string.IsNullOrWhiteSpace(input.ProdLine), e =&gt; e.ProdLine.Contains(input.ProdLine))
				.WhereIf(!string.IsNullOrWhiteSpace(input.DeliveryName), e =&gt; e.DeliveryName.Contains(input.DeliveryName))
				.WhereIf(!string.IsNullOrWhiteSpace(input.DollyName), e =&gt; e.DollyName.Contains(input.DollyName))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MstLgaLdsTripDto
                        {
							Id = o.Id,
							ProdLine = o.ProdLine,
							DeliveryNo = o.DeliveryNo,
							DeliveryName = o.DeliveryName,
							TripNumber = o.TripNumber,
							DollyName = o.DollyName,
							TaktTime = o.TaktTime,
							IsActive = o.IsActive,
                        };
            var totalCount = await filtered.CountAsync();
			var paged = system.PageBy(input);
            return new PagedResultDto&lt;MstLgaLdsTripDto&gt;(
                totalCount,
                 await paged.ToListAsync()
            );
        }
        public async Task&lt;FileDto&gt; GetTripToExcel(MstLgaLdsTripExportInput input)
        {
            var query = from o in _repo.GetAll()
                        select new MstLgaLdsTripDto
                        {
							Id = o.Id,
							ProdLine = o.ProdLine,
							DeliveryNo = o.DeliveryNo,
							DeliveryName = o.DeliveryName,
							TripNumber = o.TripNumber,
							DollyName = o.DollyName,
							TaktTime = o.TaktTime,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_dapperRepo.ExecuteAsync(MstLgaLdsTripConsts.SP_MST_WPT_CALENDAR_GENERATE);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vovina.Master.LogA.Dto
{
	public class MstLgaLdsTripExportInput{
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IMstLgaLdsTripExcelExporter : IApplicationService
	{
		FileDto ExportToFile(List&lt;MstLgaLdsTripDto&gt; mstlgaldstrip);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MstLgaLdsTripExcelExporter : NpoiExcelExporterBase, IMstLgaLdsTripExcelExporter
    {
        public MstLgaLdsTripExcelExporter(ITempFileCacheManager tempFileCacheManager) : base(tempFileCacheManager) { }
        public FileDto ExportToFile(List&lt;MstLgaLdsTripDto&gt; trip)
        {
            return CreateExcelPackage(
				"MasterLogATrip.xlsx",
				excelPackage =&gt;
				 {
					var sheet = excelPackage.CreateSheet("Trip");
					AddHeader(
								sheet,
								("ProdLine"),
								("DeliveryNo"),
								("DeliveryName"),
								("TripNumber"),
								("DollyName"),
								("TaktTime"),
								("IsActive"),
							   );
					AddObjects(
						 sheet, 1, trip,                                       
								_ =&gt; _.ProdLine,
								_ =&gt; _.DeliveryNo,
								_ =&gt; _.DeliveryName,
								_ =&gt; _.TripNumber,
								_ =&gt; _.DollyName,
								_ =&gt; _.TaktTime,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configuration.CreateMap&lt;MstLgaLdsTripDto, MstLgaLdsTrip&gt;();
  configuration.CreateMap&lt;MstLgaLdsTrip, MstLgaLdsTripDto&gt;();
  configuration.CreateMap&lt;CreateOrEditMstLgaLdsTripDto, MstLgaLdsTrip&gt;();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315</v>
      </c>
      <c r="B9" t="s">
        <v>303</v>
      </c>
      <c r="C9" t="s">
        <v>1</v>
      </c>
      <c r="D9" t="str">
        <f t="shared" ref="D9:D14" si="0">SUBSTITUTE(PROPER(A9),"_","")</f>
        <v>ProdLine</v>
      </c>
      <c r="E9" t="str">
        <f t="shared" ref="E9:E13" si="1">IFERROR(LEFT(B9, FIND("(",B9)-1),B9)</f>
        <v>varchar</v>
      </c>
      <c r="F9" s="7"/>
      <c r="G9" t="str">
        <f t="shared" ref="G9:G13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3" si="3">IF(H9="string",REPT(CHAR(9),2)&amp;"public const int Max"&amp;D9&amp;"Length = "&amp;G9&amp;";"&amp;$E$3,"" )</f>
        <v xml:space="preserve">		public const int MaxProdLineLength = 50;
</v>
      </c>
      <c r="J9" t="str">
        <f t="shared" ref="J9:J13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 t="shared" ref="L9:L14" si="5">IF(K9="","",REPT(CHAR(9),1)&amp;"[Index(nameof("&amp;IF(D9="","",""&amp;D9)&amp;")"&amp;", Name="&amp;"""IX_"&amp;$B$7&amp;"_"&amp;D9&amp;""")]")</f>
        <v xml:space="preserve">	[Index(nameof(ProdLine), Name="IX_MstLgaLdsTrip_ProdLine")]</v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[StringLength(MstLgaLdsTripConsts.MaxProdLineLength)]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3" si="6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2.5" customHeight="1" x14ac:dyDescent="0.25">
      <c r="A10" t="s">
        <v>323</v>
      </c>
      <c r="B10" t="s">
        <v>4</v>
      </c>
      <c r="C10" t="s">
        <v>1</v>
      </c>
      <c r="D10" t="str">
        <f t="shared" ref="D10" si="7">SUBSTITUTE(PROPER(A10),"_","")</f>
        <v>DeliveryNo</v>
      </c>
      <c r="E10" t="str">
        <f t="shared" ref="E10" si="8">IFERROR(LEFT(B10, FIND("(",B10)-1),B10)</f>
        <v>int</v>
      </c>
      <c r="F10" s="7"/>
      <c r="G10" t="str">
        <f t="shared" ref="G10" si="9">IFERROR(MID(B10,FIND("(",B10) +1, FIND(")",B10) - FIND("(",B10) - 1),"")</f>
        <v/>
      </c>
      <c r="H10" t="str">
        <f>+VLOOKUP(E10,'Data Type Mapping'!A:B,2,)</f>
        <v>int</v>
      </c>
      <c r="I10" t="str">
        <f t="shared" ref="I10" si="10">IF(H10="string",REPT(CHAR(9),2)&amp;"public const int Max"&amp;D10&amp;"Length = "&amp;G10&amp;";"&amp;$E$3,"" )</f>
        <v/>
      </c>
      <c r="J10" t="str">
        <f t="shared" ref="J10" si="11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DeliveryNo { get; set; }
</v>
      </c>
      <c r="K10" s="7"/>
      <c r="L10" t="str">
        <f t="shared" ref="L10" si="12"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int DeliveryNo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DeliveryNo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int DeliveryNo { get; set; }
</v>
      </c>
      <c r="P10" t="str">
        <f t="shared" ref="P10" si="13">REPT(CHAR(9),7)&amp;D10&amp;" = o." &amp;D10 &amp;","</f>
        <v xml:space="preserve">							DeliveryNo = o.DeliveryNo,</v>
      </c>
      <c r="T10" s="69" t="str">
        <f>REPT(CHAR(9),8)&amp;"("""&amp;D10&amp;"""),"</f>
        <v xml:space="preserve">								("DeliveryNo"),</v>
      </c>
      <c r="V10" s="70" t="str">
        <f>REPT(CHAR(9),8)&amp;"_ =&gt; _."&amp;D10&amp;","</f>
        <v xml:space="preserve">								_ =&gt; _.DeliveryNo,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2.5" customHeight="1" x14ac:dyDescent="0.25">
      <c r="A11" t="s">
        <v>324</v>
      </c>
      <c r="B11" t="s">
        <v>303</v>
      </c>
      <c r="C11" t="s">
        <v>1</v>
      </c>
      <c r="D11" t="str">
        <f t="shared" ref="D11" si="14">SUBSTITUTE(PROPER(A11),"_","")</f>
        <v>DeliveryName</v>
      </c>
      <c r="E11" t="str">
        <f t="shared" ref="E11" si="15">IFERROR(LEFT(B11, FIND("(",B11)-1),B11)</f>
        <v>varchar</v>
      </c>
      <c r="F11" s="7"/>
      <c r="G11" t="str">
        <f t="shared" ref="G11" si="16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17">IF(H11="string",REPT(CHAR(9),2)&amp;"public const int Max"&amp;D11&amp;"Length = "&amp;G11&amp;";"&amp;$E$3,"" )</f>
        <v xml:space="preserve">		public const int MaxDeliveryNameLength = 50;
</v>
      </c>
      <c r="J11" t="str">
        <f t="shared" ref="J11" si="18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[StringLength(MaxDeliveryNameLength)]
		public virtual string DeliveryName { get; set; }
</v>
      </c>
      <c r="K11" s="7"/>
      <c r="L11" t="str">
        <f t="shared" ref="L11" si="19">IF(K11="","",REPT(CHAR(9),1)&amp;"[Index(nameof("&amp;IF(D11="","",""&amp;D11)&amp;")"&amp;", Name="&amp;"""IX_"&amp;$B$7&amp;"_"&amp;D11&amp;""")]")</f>
        <v/>
      </c>
      <c r="M11" t="str">
        <f>REPT(CHAR(9),2)&amp;"public virtual "&amp;IF(OR(H11="DateTime",H11="TimeSpan"),H11&amp;"?",H11)&amp;IF(C11="?","? "," ")&amp;D11&amp;" { get; set; }" &amp; "
"</f>
        <v xml:space="preserve">		public virtual string DeliveryName { get; set; }
</v>
      </c>
      <c r="N11" t="str">
        <f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[StringLength(MstLgaLdsTripConsts.MaxDeliveryNameLength)]
		public virtual string DeliveryName { get; set; }
</v>
      </c>
      <c r="O11" t="str">
        <f>IF(OR(H11="string",H11="DateTime",H11="int"),REPT(CHAR(9),2)&amp;"public virtual "&amp;IF(OR(H11="DateTime",H11="TimeSpan"),H11&amp;"?",H11)&amp;IF(C11="?","? "," ")&amp;D11&amp;" { get; set; }"&amp;$E$3,"")</f>
        <v xml:space="preserve">		public virtual string DeliveryName { get; set; }
</v>
      </c>
      <c r="P11" t="str">
        <f t="shared" ref="P11" si="20">REPT(CHAR(9),7)&amp;D11&amp;" = o." &amp;D11 &amp;","</f>
        <v xml:space="preserve">							DeliveryName = o.DeliveryName,</v>
      </c>
      <c r="T11" s="69" t="str">
        <f>REPT(CHAR(9),8)&amp;"("""&amp;D11&amp;"""),"</f>
        <v xml:space="preserve">								("DeliveryName"),</v>
      </c>
      <c r="V11" s="70" t="str">
        <f>REPT(CHAR(9),8)&amp;"_ =&gt; _."&amp;D11&amp;","</f>
        <v xml:space="preserve">								_ =&gt; _.DeliveryName,</v>
      </c>
      <c r="W11" s="69" t="str">
        <f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.WhereIf(!string.IsNullOrWhiteSpace(input.DeliveryName), e =&gt; e.DeliveryName.Contains(input.DeliveryName))</v>
      </c>
    </row>
    <row r="12" spans="1:23" customFormat="1" ht="22.5" customHeight="1" x14ac:dyDescent="0.25">
      <c r="A12" t="s">
        <v>321</v>
      </c>
      <c r="B12" t="s">
        <v>4</v>
      </c>
      <c r="C12" t="s">
        <v>1</v>
      </c>
      <c r="D12" t="str">
        <f>SUBSTITUTE(PROPER(A12),"_","")</f>
        <v>TripNumber</v>
      </c>
      <c r="E12" t="str">
        <f>IFERROR(LEFT(B12, FIND("(",B12)-1),B12)</f>
        <v>int</v>
      </c>
      <c r="F12" s="7"/>
      <c r="G12" t="str">
        <f>IFERROR(MID(B12,FIND("(",B12) +1, FIND(")",B12) - FIND("(",B12) - 1),"")</f>
        <v/>
      </c>
      <c r="H12" t="str">
        <f>+VLOOKUP(E12,'Data Type Mapping'!A:B,2,)</f>
        <v>int</v>
      </c>
      <c r="I12" t="str">
        <f>IF(H12="string",REPT(CHAR(9),2)&amp;"public const int Max"&amp;D12&amp;"Length = "&amp;G12&amp;";"&amp;$E$3,"" )</f>
        <v/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TripNumber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>REPT(CHAR(9),2)&amp;"public virtual "&amp;IF(OR(H12="DateTime",H12="TimeSpan"),H12&amp;"?",H12)&amp;IF(C12="?","? "," ")&amp;D12&amp;" { get; set; }" &amp; "
"</f>
        <v xml:space="preserve">		public virtual int TripNumber { get; set; }
</v>
      </c>
      <c r="N12" t="str">
        <f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 TripNumber { get; set; }
</v>
      </c>
      <c r="O12" t="str">
        <f>IF(OR(H12="string",H12="DateTime",H12="int"),REPT(CHAR(9),2)&amp;"public virtual "&amp;IF(OR(H12="DateTime",H12="TimeSpan"),H12&amp;"?",H12)&amp;IF(C12="?","? "," ")&amp;D12&amp;" { get; set; }"&amp;$E$3,"")</f>
        <v xml:space="preserve">		public virtual int TripNumber { get; set; }
</v>
      </c>
      <c r="P12" t="str">
        <f>REPT(CHAR(9),7)&amp;D12&amp;" = o." &amp;D12 &amp;","</f>
        <v xml:space="preserve">							TripNumber = o.TripNumber,</v>
      </c>
      <c r="T12" s="69" t="str">
        <f>REPT(CHAR(9),8)&amp;"("""&amp;D12&amp;"""),"</f>
        <v xml:space="preserve">								("TripNumber"),</v>
      </c>
      <c r="V12" s="70" t="str">
        <f>REPT(CHAR(9),8)&amp;"_ =&gt; _."&amp;D12&amp;","</f>
        <v xml:space="preserve">								_ =&gt; _.TripNumber,</v>
      </c>
      <c r="W12" s="69" t="str">
        <f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22.5" customHeight="1" x14ac:dyDescent="0.25">
      <c r="A13" t="s">
        <v>319</v>
      </c>
      <c r="B13" t="s">
        <v>314</v>
      </c>
      <c r="C13" t="s">
        <v>1</v>
      </c>
      <c r="D13" t="str">
        <f t="shared" ref="D13" si="21">SUBSTITUTE(PROPER(A13),"_","")</f>
        <v>DollyName</v>
      </c>
      <c r="E13" t="str">
        <f t="shared" si="1"/>
        <v>varchar</v>
      </c>
      <c r="F13" s="7"/>
      <c r="G13" t="str">
        <f t="shared" si="2"/>
        <v>250</v>
      </c>
      <c r="H13" t="str">
        <f>+VLOOKUP(E13,'Data Type Mapping'!A:B,2,)</f>
        <v>string</v>
      </c>
      <c r="I13" t="str">
        <f t="shared" si="3"/>
        <v xml:space="preserve">		public const int MaxDollyNameLength = 250;
</v>
      </c>
      <c r="J13" t="str">
        <f t="shared" si="4"/>
        <v xml:space="preserve">		[StringLength(MaxDollyNameLength)]
		public virtual string DollyName { get; set; }
</v>
      </c>
      <c r="K13" s="7"/>
      <c r="L13" t="str">
        <f t="shared" ref="L13" si="22">IF(K13="","",REPT(CHAR(9),1)&amp;"[Index(nameof("&amp;IF(D13="","",""&amp;D13)&amp;")"&amp;", Name="&amp;"""IX_"&amp;$B$7&amp;"_"&amp;D13&amp;""")]")</f>
        <v/>
      </c>
      <c r="M13" t="str">
        <f t="shared" ref="M13" si="23">REPT(CHAR(9),2)&amp;"public virtual "&amp;IF(OR(H13="DateTime",H13="TimeSpan"),H13&amp;"?",H13)&amp;IF(C13="?","? "," ")&amp;D13&amp;" { get; set; }" &amp; "
"</f>
        <v xml:space="preserve">		public virtual string DollyName { get; set; }
</v>
      </c>
      <c r="N13" t="str">
        <f t="shared" ref="N13" si="24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[StringLength(MstLgaLdsTripConsts.MaxDollyNameLength)]
		public virtual string DollyName { get; set; }
</v>
      </c>
      <c r="O13" t="str">
        <f t="shared" ref="O13" si="25">IF(OR(H13="string",H13="DateTime",H13="int"),REPT(CHAR(9),2)&amp;"public virtual "&amp;IF(OR(H13="DateTime",H13="TimeSpan"),H13&amp;"?",H13)&amp;IF(C13="?","? "," ")&amp;D13&amp;" { get; set; }"&amp;$E$3,"")</f>
        <v xml:space="preserve">		public virtual string DollyName { get; set; }
</v>
      </c>
      <c r="P13" t="str">
        <f t="shared" si="6"/>
        <v xml:space="preserve">							DollyName = o.DollyName,</v>
      </c>
      <c r="T13" s="69" t="str">
        <f t="shared" ref="T13" si="26">REPT(CHAR(9),8)&amp;"("""&amp;D13&amp;"""),"</f>
        <v xml:space="preserve">								("DollyName"),</v>
      </c>
      <c r="V13" s="70" t="str">
        <f t="shared" ref="V13" si="27">REPT(CHAR(9),8)&amp;"_ =&gt; _."&amp;D13&amp;","</f>
        <v xml:space="preserve">								_ =&gt; _.DollyName,</v>
      </c>
      <c r="W13" s="69" t="str">
        <f t="shared" ref="W13" si="2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.WhereIf(!string.IsNullOrWhiteSpace(input.DollyName), e =&gt; e.DollyName.Contains(input.DollyName))</v>
      </c>
    </row>
    <row r="14" spans="1:23" customFormat="1" ht="22.5" customHeight="1" x14ac:dyDescent="0.25">
      <c r="A14" t="s">
        <v>320</v>
      </c>
      <c r="B14" t="s">
        <v>4</v>
      </c>
      <c r="C14" t="s">
        <v>1</v>
      </c>
      <c r="D14" t="str">
        <f t="shared" si="0"/>
        <v>TaktTime</v>
      </c>
      <c r="E14" t="str">
        <f t="shared" ref="E14" si="29">IFERROR(LEFT(B14, FIND("(",B14)-1),B14)</f>
        <v>int</v>
      </c>
      <c r="F14" s="7"/>
      <c r="G14" t="str">
        <f t="shared" ref="G14" si="30">IFERROR(MID(B14,FIND("(",B14) +1, FIND(")",B14) - FIND("(",B14) - 1),"")</f>
        <v/>
      </c>
      <c r="H14" t="str">
        <f>+VLOOKUP(E14,'Data Type Mapping'!A:B,2,)</f>
        <v>int</v>
      </c>
      <c r="I14" t="str">
        <f t="shared" ref="I14" si="31">IF(H14="string",REPT(CHAR(9),2)&amp;"public const int Max"&amp;D14&amp;"Length = "&amp;G14&amp;";"&amp;$E$3,"" )</f>
        <v/>
      </c>
      <c r="J14" t="str">
        <f t="shared" ref="J14" si="32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 TaktTime { get; set; }
</v>
      </c>
      <c r="K14" s="7"/>
      <c r="L14" t="str">
        <f t="shared" si="5"/>
        <v/>
      </c>
      <c r="M14" t="str">
        <f t="shared" ref="M14" si="33">REPT(CHAR(9),2)&amp;"public virtual "&amp;IF(OR(H14="DateTime",H14="TimeSpan"),H14&amp;"?",H14)&amp;IF(C14="?","? "," ")&amp;D14&amp;" { get; set; }" &amp; "
"</f>
        <v xml:space="preserve">		public virtual int TaktTime { get; set; }
</v>
      </c>
      <c r="N14" t="str">
        <f t="shared" ref="N14" si="34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 TaktTime { get; set; }
</v>
      </c>
      <c r="O14" t="str">
        <f t="shared" ref="O14" si="35">IF(OR(H14="string",H14="DateTime",H14="int"),REPT(CHAR(9),2)&amp;"public virtual "&amp;IF(OR(H14="DateTime",H14="TimeSpan"),H14&amp;"?",H14)&amp;IF(C14="?","? "," ")&amp;D14&amp;" { get; set; }"&amp;$E$3,"")</f>
        <v xml:space="preserve">		public virtual int TaktTime { get; set; }
</v>
      </c>
      <c r="P14" t="str">
        <f t="shared" ref="P14" si="36">REPT(CHAR(9),7)&amp;D14&amp;" = o." &amp;D14 &amp;","</f>
        <v xml:space="preserve">							TaktTime = o.TaktTime,</v>
      </c>
      <c r="T14" s="69" t="str">
        <f t="shared" ref="T14" si="37">REPT(CHAR(9),8)&amp;"("""&amp;D14&amp;"""),"</f>
        <v xml:space="preserve">								("TaktTime"),</v>
      </c>
      <c r="V14" s="70" t="str">
        <f t="shared" ref="V14" si="38">REPT(CHAR(9),8)&amp;"_ =&gt; _."&amp;D14&amp;","</f>
        <v xml:space="preserve">								_ =&gt; _.TaktTime,</v>
      </c>
      <c r="W14" s="69" t="str">
        <f t="shared" ref="W14" si="39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21" customHeight="1" x14ac:dyDescent="0.25">
      <c r="A15" t="s">
        <v>302</v>
      </c>
      <c r="B15" t="s">
        <v>313</v>
      </c>
      <c r="C15" t="s">
        <v>1</v>
      </c>
      <c r="D15" t="str">
        <f t="shared" ref="D15" si="40">SUBSTITUTE(PROPER(A15),"_","")</f>
        <v>IsActive</v>
      </c>
      <c r="E15" t="str">
        <f t="shared" ref="E15" si="41">IFERROR(LEFT(B15, FIND("(",B15)-1),B15)</f>
        <v>varchar</v>
      </c>
      <c r="F15" s="7"/>
      <c r="G15" t="str">
        <f t="shared" ref="G15" si="42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43">IF(H15="string",REPT(CHAR(9),2)&amp;"public const int Max"&amp;D15&amp;"Length = "&amp;G15&amp;";"&amp;$E$3,"" )</f>
        <v xml:space="preserve">		public const int MaxIsActiveLength = 1;
</v>
      </c>
      <c r="J15" t="str">
        <f t="shared" ref="J15" si="44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7" t="s">
        <v>206</v>
      </c>
      <c r="L15" t="str">
        <f t="shared" ref="L15" si="45">IF(K15="","",REPT(CHAR(9),1)&amp;"[Index(nameof("&amp;IF(D15="","",""&amp;D15)&amp;")"&amp;", Name="&amp;"""IX_"&amp;$B$7&amp;"_"&amp;D15&amp;""")]")</f>
        <v xml:space="preserve">	[Index(nameof(IsActive), Name="IX_MstLgaLdsTrip_IsActive")]</v>
      </c>
      <c r="M15" t="str">
        <f t="shared" ref="M15" si="46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47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[StringLength(MstLgaLdsTripConsts.MaxIsActiveLength)]
		public virtual string IsActive { get; set; }
</v>
      </c>
      <c r="O15" t="str">
        <f t="shared" ref="O15" si="48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49">REPT(CHAR(9),7)&amp;D15&amp;" = o." &amp;D15 &amp;","</f>
        <v xml:space="preserve">							IsActive = o.IsActive,</v>
      </c>
      <c r="T15" s="69" t="str">
        <f t="shared" ref="T15" si="50">REPT(CHAR(9),8)&amp;"("""&amp;D15&amp;"""),"</f>
        <v xml:space="preserve">								("IsActive"),</v>
      </c>
      <c r="V15" s="70" t="str">
        <f t="shared" ref="V15" si="51">REPT(CHAR(9),8)&amp;"_ =&gt; _."&amp;D15&amp;","</f>
        <v xml:space="preserve">								_ =&gt; _.IsActive,</v>
      </c>
      <c r="W15" s="69" t="str">
        <f t="shared" ref="W15" si="52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MaxProdLineLength = 50;
		public const int MaxDeliveryNameLength = 50;
		public const int MaxDollyNameLength = 250;
		public const int MaxIsActiveLength = 1;
</v>
      </c>
      <c r="J17" s="33" t="str">
        <f ca="1">TEXTJOIN2("
", TRUE,INDIRECT( $F$1):INDIRECT( $F$3))</f>
        <v xml:space="preserve">		[StringLength(MaxProdLineLength)]
		public virtual string ProdLine { get; set; }
		public virtual int DeliveryNo { get; set; }
		[StringLength(MaxDeliveryNameLength)]
		public virtual string DeliveryName { get; set; }
		public virtual int TripNumber { get; set; }
		[StringLength(MaxDollyNameLength)]
		public virtual string DollyName { get; set; }
		public virtual int TaktTime { get; set; }
		[StringLength(MaxIsActiveLength)]
		public virtual string IsActive { get; set; }
</v>
      </c>
      <c r="K17" s="35" t="str">
        <f ca="1">TEXTJOIN2("
", TRUE,INDIRECT( $J$1):INDIRECT( $J$3))</f>
        <v xml:space="preserve">	[Index(nameof(ProdLine), Name="IX_MstLgaLdsTrip_ProdLine")]
	[Index(nameof(IsActive), Name="IX_MstLgaLdsTrip_IsActive")]</v>
      </c>
      <c r="L17" s="13" t="s">
        <v>60</v>
      </c>
      <c r="M17" s="36" t="str">
        <f ca="1">TEXTJOIN2("
",TRUE,INDIRECT( $L$1):INDIRECT($L$3))</f>
        <v xml:space="preserve">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</v>
      </c>
      <c r="N17" s="33" t="str">
        <f ca="1">TEXTJOIN2("
",TRUE,INDIRECT( $M$1):INDIRECT($M$3))</f>
        <v xml:space="preserve">		[StringLength(MstLgaLdsTripConsts.MaxProdLineLength)]
		public virtual string ProdLine { get; set; }
		public virtual int DeliveryNo { get; set; }
		[StringLength(MstLgaLdsTripConsts.MaxDeliveryNameLength)]
		public virtual string DeliveryName { get; set; }
		public virtual int TripNumber { get; set; }
		[StringLength(MstLgaLdsTripConsts.MaxDollyNameLength)]
		public virtual string DollyName { get; set; }
		public virtual int TaktTime { get; set; }
		[StringLength(MstLgaLdsTripConsts.MaxIsActiveLength)]
		public virtual string IsActive { get; set; }
</v>
      </c>
      <c r="O17" s="33" t="str">
        <f ca="1">TEXTJOIN2("
",TRUE,INDIRECT( $N$1):INDIRECT($N$3))</f>
        <v xml:space="preserve">		public virtual string ProdLine { get; set; }
		public virtual int DeliveryNo { get; set; }
		public virtual string DeliveryName { get; set; }
		public virtual int TripNumber { get; set; }
		public virtual string DollyName { get; set; }
		public virtual int TaktTime { get; set; }
		public virtual string IsActive { get; set; }
</v>
      </c>
      <c r="P17" s="9" t="str">
        <f ca="1">TEXTJOIN2("
",TRUE,INDIRECT( $O$1):INDIRECT($O$3))</f>
        <v xml:space="preserve">							ProdLine = o.ProdLine,
							DeliveryNo = o.DeliveryNo,
							DeliveryName = o.DeliveryName,
							TripNumber = o.TripNumber,
							DollyName = o.DollyName,
							TaktTime = o.TaktTime,
							IsActive = o.IsActive,</v>
      </c>
      <c r="T17" s="9" t="str">
        <f ca="1">TEXTJOIN2("
",TRUE,INDIRECT( $T$2):INDIRECT($T$3))</f>
        <v xml:space="preserve">								("ProdLine"),
								("DeliveryNo"),
								("DeliveryName"),
								("TripNumber"),
								("DollyName"),
								("TaktTime"),
								("IsActive"),</v>
      </c>
      <c r="V17" s="9" t="str">
        <f ca="1">TEXTJOIN2("
",TRUE,INDIRECT( $V$2):INDIRECT($V$3))</f>
        <v xml:space="preserve">								_ =&gt; _.ProdLine,
								_ =&gt; _.DeliveryNo,
								_ =&gt; _.DeliveryName,
								_ =&gt; _.TripNumber,
								_ =&gt; _.DollyName,
								_ =&gt; _.TaktTime,
								_ =&gt; _.IsActive,</v>
      </c>
      <c r="W17" s="9" t="str">
        <f ca="1">TEXTJOIN2("
",TRUE,INDIRECT( $W$2):INDIRECT($W$3))</f>
        <v xml:space="preserve">				.WhereIf(!string.IsNullOrWhiteSpace(input.ProdLine), e =&gt; e.ProdLine.Contains(input.ProdLine))
				.WhereIf(!string.IsNullOrWhiteSpace(input.DeliveryName), e =&gt; e.DeliveryName.Contains(input.DeliveryName))
				.WhereIf(!string.IsNullOrWhiteSpace(input.DollyName), e =&gt; e.DollyName.Contains(input.DollyName))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E19" sqref="E19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322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MstLgaLdsTrip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Trip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trip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MstLgaLdsTripDto, MstLgaLdsTripServiceProxy } from '@shared/service-proxies/service-proxies';
import { finalize } from 'rxjs/internal/operators/finalize';
import { CreateOrEditTripModalComponent } from './create-or-edit-trip-modal.component';
import { DatePipe } from '@angular/common';
import { FileDownloadService } from '@shared/utils/file-download.service';
import ceil from 'lodash-es/ceil';
import { Paginator } from 'primeng/paginator';
@Component({
    templateUrl: './trip.component.html',
    styleUrls: ['./trip.component.less'],
})
export class TripComponent extends AppComponentBase implements OnInit {
    @ViewChild('createOrEditModalTrip', { static: true }) createOrEditModalTrip:| CreateOrEditTripModalComponent|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MstLgaLdsTripDto = new MstLgaLdsTripDto();
    saveSelectedRow: MstLgaLdsTripDto = new MstLgaLdsTripDto();
    datas: MstLgaLdsTripDto = new MstLgaLdsTripDto();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deliveryNo : number = 0 ;
	deliveryName : string = '' ; 
	tripNumber : number = 0 ;
	dollyName : string = '' ; 
	taktTime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MstLgaLdsTripServiceProxy,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this.l('Delivery No'),headerTooltip: this.l('Delivery No'),field: 'deliveryNo',flex: 1},
			{headerName: this.l('Delivery Name'),headerTooltip: this.l('Delivery Name'),field: 'deliveryName',flex: 1},
			{headerName: this.l('Trip Number'),headerTooltip: this.l('Trip Number'),field: 'tripNumber',flex: 1},
			{headerName: this.l('Dolly Name'),headerTooltip: this.l('Dolly Name'),field: 'dollyName',flex: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this.deliveryNo,
			this.deliveryName,
			this.tripNumber,
			this.dollyName,
			this.taktTime,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this.deliveryNo = 0,
		this.deliveryName = '',
		this.tripNumber = 0,
		this.dollyName = '',
		this.taktTime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this.deliveryNo,
			this.deliveryName,
			this.tripNumber,
			this.dollyName,
			this.taktTime,
			this.isActive,
			'',
            this.paginationParams.skipCount,
            this.paginationParams.pageSize
        );
    }
    onChangeRowSelection(params: { api: { getSelectedRows: () =&gt; MstLgaLdsTripDto[] } }) {
        this.saveSelectedRow = params.api.getSelectedRows()[0] ?? new MstLgaLdsTripDto();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MstLgaLdsTripDto):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this._service.getTripToExcel(
			this.prodLine,
			this.deliveryNo,
			this.deliveryName,
			this.tripNumber,
			this.dollyName,
			this.taktTime,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Trip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[(ngModel)]='deliveryName' name='deliveryName'
									class='form-control' [placeholder]="l('Delivery Name')"
									type='text' (keyup.enter)='searchDatas()'&gt;
								&lt;/div&gt;
								&lt;div class='input-search'&gt;
									&lt;input [(ngModel)]='dollyName' name='dollyName'
									class='form-control' [placeholder]="l('Dolly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(click)="createOrEditModalTrip.show()"&gt;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(click)="createOrEditModalTrip.show(selectedRow)"&gt;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&lt;create-or-edit-trip-modal
    #createOrEditModalTrip
    (modalSave)="callBackDataGrid(dataParams)"
    (modalClose)="onChangeRowSelection(dataParams)"
&gt;
&lt;/create-or-edit-trip-modal&gt;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#createOrEditModalTrip="bs-modal"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Trip')}}&lt;/h3&gt;
                    &lt;h3 *ngIf="!rowdata.id"&gt;{{('Create New Trip')}}&lt;/h3&gt;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title'&gt;Delivery No&lt;/label&gt;
						&lt;input type='number' class='col-md-10 form-control input-text' name='DeliveryNo' [(ngModel)]='rowdata.deliveryNo'&gt;
					&lt;/div&gt;
					&lt;div class='col-md-12 form-group row'&gt;
						&lt;label class='col-md-2 form-control title'&gt;Delivery Name&lt;/label&gt;
						&lt;input type='text' class='col-md-10 form-control input-text' name='DeliveryName' [(ngModel)]='rowdata.deliveryName'&gt;
					&lt;/div&gt;
					&lt;div class='col-md-12 form-group row'&gt;
						&lt;label class='col-md-2 form-control title'&gt;Trip Number&lt;/label&gt;
						&lt;input type='number' class='col-md-10 form-control input-text' name='TripNumber' [(ngModel)]='rowdata.tripNumber'&gt;
					&lt;/div&gt;
					&lt;div class='col-md-12 form-group row'&gt;
						&lt;label class='col-md-2 form-control title'&gt;Dolly Name&lt;/label&gt;
						&lt;input type='text' class='col-md-10 form-control input-text' name='DollyName' [(ngModel)]='rowdata.dollyName'&gt;
					&lt;/div&gt;
					&lt;div class='col-md-12 form-group row'&gt;
						&lt;label class='col-md-2 form-control title'&gt;Takt Time&lt;/label&gt;
						&lt;input type='number'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CreateOrEditMstLgaLdsTripDto, MstLgaLdsTripServiceProxy } from '@shared/service-proxies/service-proxies';
import { BsDatepickerDirective } from 'ngx-bootstrap/datepicker';
@Component({
    selector: 'create-or-edit-trip-modal',
    templateUrl: './create-or-edit-trip-modal.component.html',
    styleUrls: ['./create-or-edit-trip-modal.component.less']
    })
export class CreateOrEditTripModalComponent extends AppComponentBase {
    @ViewChild('createOrEditModalTrip',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CreateOrEditMstLgaLdsTripDto = new CreateOrEditMstLgaLdsTripDto();
    active: boolean = false;
    saving: boolean = false;
    _isActive: boolean;
    constructor(
        injector: Injector,
        private _mstwptTripService: MstLgaLdsTripServiceProxy,
    ) 
    {
        super(injector);
    }
    show(rowdata?: CreateOrEditMstLgaLdsTripDto): void {
        if (!rowdata) this.rowdata = new CreateOrEditMstLgaLdsTripDto();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this._mstwptTripService.createOrEdit(this.rowdata)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TripRoutingModule } from './trip-routing.module';
import { TripComponent } from './trip.component';
import { CreateOrEditTripModalComponent } from './create-or-edit-trip-modal.component';
@NgModule({
    declarations: [
       TripComponent, 
        CreateOrEditTripModalComponent
    ],
    imports: [
        AppSharedModule, TripRoutingModule]
})
export class TripModule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TripComponent } from './trip.component';
const routes: Routes = [{
    path: '',
    component: TripComponent,
    pathMatch: 'full'
}];
@NgModule({
    imports: [RouterModule.forChild(routes)],
    exports: [RouterModule],
})
export class TripRoutingModule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AppMenuItem("Trip", "Pages.Master.LogA.Trip", "flaticon-book",   "/app/main/master/loga/trip"),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'master/loga/trip',
    loadChildren: () =&gt; import('./master/loga/trip/trip.module').then(m =&gt; m.TripModule),
    data: { permission: 'Pages.Master.LogA.Trip' }
},</v>
      </c>
      <c r="R10" s="50" t="str">
        <f>SUBSTITUTE(R9,"MstWptCalendar",$B$6)</f>
        <v>ApiServiceProxies.MstLgaLdsTripServiceProxy,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this.l('Delivery No'),headerTooltip: this.l('Delivery No'),field: 'deliveryNo',flex: 1},
			{headerName: this.l('Delivery Name'),headerTooltip: this.l('Delivery Name'),field: 'deliveryName',flex: 1},
			{headerName: this.l('Trip Number'),headerTooltip: this.l('Trip Number'),field: 'tripNumber',flex: 1},
			{headerName: this.l('Dolly Name'),headerTooltip: this.l('Dolly Name'),field: 'dollyName',flex: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[(ngModel)]='deliveryName' name='deliveryName'
									class='form-control' [placeholder]="l('Delivery Name')"
									type='text' (keyup.enter)='searchDatas()'&gt;
								&lt;/div&gt;
								&lt;div class='input-search'&gt;
									&lt;input [(ngModel)]='dollyName' name='dollyName'
									class='form-control' [placeholder]="l('Dolly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title'&gt;Delivery No&lt;/label&gt;
						&lt;input type='number' class='col-md-10 form-control input-text' name='DeliveryNo' [(ngModel)]='rowdata.deliveryNo'&gt;
					&lt;/div&gt;
					&lt;div class='col-md-12 form-group row'&gt;
						&lt;label class='col-md-2 form-control title'&gt;Delivery Name&lt;/label&gt;
						&lt;input type='text' class='col-md-10 form-control input-text' name='DeliveryName' [(ngModel)]='rowdata.deliveryName'&gt;
					&lt;/div&gt;
					&lt;div class='col-md-12 form-group row'&gt;
						&lt;label class='col-md-2 form-control title'&gt;Trip Number&lt;/label&gt;
						&lt;input type='number' class='col-md-10 form-control input-text' name='TripNumber' [(ngModel)]='rowdata.tripNumber'&gt;
					&lt;/div&gt;
					&lt;div class='col-md-12 form-group row'&gt;
						&lt;label class='col-md-2 form-control title'&gt;Dolly Name&lt;/label&gt;
						&lt;input type='text' class='col-md-10 form-control input-text' name='DollyName' [(ngModel)]='rowdata.dollyName'&gt;
					&lt;/div&gt;
					&lt;div class='col-md-12 form-group row'&gt;
						&lt;label class='col-md-2 form-control title'&gt;Takt Time&lt;/label&gt;
						&lt;input type='number'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deliveryNo : number = 0 ;
	deliveryName : string = '' ; 
	tripNumber : number = 0 ;
	dollyName : string = '' ; 
	taktTime : number = 0 ;
	isActive : string = '' ; </v>
      </c>
      <c r="T13" s="68" t="str">
        <f ca="1">TEXTJOIN2("
",TRUE,INDIRECT(T11):INDIRECT(T12))</f>
        <v xml:space="preserve">			this.prodLine,
			this.deliveryNo,
			this.deliveryName,
			this.tripNumber,
			this.dollyName,
			this.taktTime,
			this.isActive,</v>
      </c>
      <c r="U13" s="68" t="str">
        <f ca="1">TEXTJOIN2("
",TRUE,INDIRECT(U11):INDIRECT(U12))</f>
        <v>this.prodLine = '',
		this.deliveryNo = 0,
		this.deliveryName = '',
		this.tripNumber = 0,
		this.dollyName = '',
		this.taktTime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trip.component.ts</v>
      </c>
      <c r="I14" s="40" t="str">
        <f>B8&amp;".component.html"</f>
        <v>trip.component.html</v>
      </c>
      <c r="J14" s="39" t="str">
        <f>B8&amp;".component.less"</f>
        <v>trip.component.less</v>
      </c>
      <c r="K14" s="40" t="str">
        <f>"create-or-edit-"&amp;B8&amp;"-modal.component.html"</f>
        <v>create-or-edit-trip-modal.component.html</v>
      </c>
      <c r="L14" s="40" t="str">
        <f>"create-or-edit-"&amp;B8&amp;"-modal.component.ts"</f>
        <v>create-or-edit-trip-modal.component.ts</v>
      </c>
      <c r="M14" s="40" t="str">
        <f>"create-or-edit-"&amp;B8&amp;"-modal.component.less"</f>
        <v>create-or-edit-trip-modal.component.less</v>
      </c>
      <c r="N14" s="40" t="str">
        <f>B8&amp;".module.ts"</f>
        <v>trip.module.ts</v>
      </c>
      <c r="O14" s="40" t="str">
        <f>B8&amp;"-routing.module.ts"</f>
        <v>trip-routing.module.ts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315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44" t="s">
        <v>323</v>
      </c>
      <c r="B16" s="31" t="str">
        <f t="shared" ref="B16:B17" si="0">SUBSTITUTE(PROPER(A16),"_","")</f>
        <v>DeliveryNo</v>
      </c>
      <c r="C16" s="31" t="str">
        <f t="shared" ref="C16:C17" si="1">SUBSTITUTE(PROPER(A16),"_"," ")</f>
        <v>Delivery No</v>
      </c>
      <c r="D16" s="31" t="str">
        <f t="shared" ref="D16:D17" si="2">LOWER(LEFT(B16,1))&amp;RIGHT(B16,LEN(B16) - 1)</f>
        <v>deliveryNo</v>
      </c>
      <c r="E16" s="31" t="str">
        <f>A.Backend!H10</f>
        <v>int</v>
      </c>
      <c r="F16" s="31" t="str">
        <f>A.Backend!G10</f>
        <v/>
      </c>
      <c r="G16" s="31" t="str">
        <f t="shared" ref="G16:G17" si="3">IF(E16="string"," : string = '' ; ",IF(OR(E16="DateTime",E16="TimeSpan")," : any ;",IF(E16="int"," : number = 0 ;","")))</f>
        <v xml:space="preserve"> : number = 0 ;</v>
      </c>
      <c r="H16" s="38" t="str">
        <f t="shared" ref="H16:H17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this.l('Delivery No'),headerTooltip: this.l('Delivery No'),field: 'deliveryNo',flex: 1},</v>
      </c>
      <c r="I16" s="38" t="str">
        <f t="shared" ref="I16:I17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17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title'&gt;Delivery No&lt;/label&gt;
						&lt;input type='number' class='col-md-10 form-control input-text' name='DeliveryNo' [(ngModel)]='rowdata.deliveryNo'&gt;
					&lt;/div&gt;</v>
      </c>
      <c r="L16" s="60" t="str">
        <f t="shared" ref="L16:L17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deliveryNo : number = 0 ;</v>
      </c>
      <c r="T16" s="31" t="str">
        <f>REPT(CHAR(9),3)&amp;"this."&amp;D16&amp;","</f>
        <v xml:space="preserve">			this.deliveryNo,</v>
      </c>
      <c r="U16" s="31" t="str">
        <f>IF(E16="int",REPT(CHAR(9),2)&amp;"this."&amp;D16&amp;" = 0,",REPT(CHAR(9),2)&amp;"this."&amp;D16&amp;" = '',")</f>
        <v xml:space="preserve">		this.deliveryNo = 0,</v>
      </c>
      <c r="V16" s="31" t="str">
        <f t="shared" ref="V16:V17" si="8">IF(AND(E16="string",F16="1"),D16,"")</f>
        <v/>
      </c>
    </row>
    <row r="17" spans="1:22" ht="18" customHeight="1" x14ac:dyDescent="0.25">
      <c r="A17" s="44" t="s">
        <v>324</v>
      </c>
      <c r="B17" s="31" t="str">
        <f t="shared" si="0"/>
        <v>DeliveryName</v>
      </c>
      <c r="C17" s="31" t="str">
        <f t="shared" si="1"/>
        <v>Delivery Name</v>
      </c>
      <c r="D17" s="31" t="str">
        <f t="shared" si="2"/>
        <v>deliveryName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this.l('Delivery Name'),headerTooltip: this.l('Delivery Name'),field: 'deliveryName',flex: 1},</v>
      </c>
      <c r="I17" s="38" t="str">
        <f t="shared" si="5"/>
        <v xml:space="preserve">								&lt;div class='input-search'&gt;
									&lt;input [(ngModel)]='deliveryName' name='deliveryName'
									class='form-control' [placeholder]="l('Delivery Name')"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title'&gt;Delivery Name&lt;/label&gt;
						&lt;input type='text' class='col-md-10 form-control input-text' name='DeliveryName' [(ngModel)]='rowdata.deliveryName'&gt;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" si="9">REPT(CHAR(9),1)&amp;D17&amp;G17</f>
        <v xml:space="preserve">	deliveryName : string = '' ; </v>
      </c>
      <c r="T17" s="31" t="str">
        <f t="shared" ref="T17" si="10">REPT(CHAR(9),3)&amp;"this."&amp;D17&amp;","</f>
        <v xml:space="preserve">			this.deliveryName,</v>
      </c>
      <c r="U17" s="31" t="str">
        <f t="shared" ref="U17" si="11">IF(E17="int",REPT(CHAR(9),2)&amp;"this."&amp;D17&amp;" = 0,",REPT(CHAR(9),2)&amp;"this."&amp;D17&amp;" = '',")</f>
        <v xml:space="preserve">		this.deliveryName = '',</v>
      </c>
      <c r="V17" s="31" t="str">
        <f t="shared" si="8"/>
        <v/>
      </c>
    </row>
    <row r="18" spans="1:22" ht="15" customHeight="1" x14ac:dyDescent="0.25">
      <c r="A18" s="44" t="s">
        <v>321</v>
      </c>
      <c r="B18" s="31" t="str">
        <f t="shared" ref="B18:B20" si="12">SUBSTITUTE(PROPER(A18),"_","")</f>
        <v>TripNumber</v>
      </c>
      <c r="C18" s="31" t="str">
        <f t="shared" ref="C18:C20" si="13">SUBSTITUTE(PROPER(A18),"_"," ")</f>
        <v>Trip Number</v>
      </c>
      <c r="D18" s="31" t="str">
        <f t="shared" ref="D18:D20" si="14">LOWER(LEFT(B18,1))&amp;RIGHT(B18,LEN(B18) - 1)</f>
        <v>tripNumber</v>
      </c>
      <c r="E18" s="31" t="str">
        <f>A.Backend!H12</f>
        <v>int</v>
      </c>
      <c r="F18" s="31" t="str">
        <f>A.Backend!G12</f>
        <v/>
      </c>
      <c r="G18" s="31" t="str">
        <f t="shared" ref="G18:G20" si="15">IF(E18="string"," : string = '' ; ",IF(OR(E18="DateTime",E18="TimeSpan")," : any ;",IF(E18="int"," : number = 0 ;","")))</f>
        <v xml:space="preserve"> : number = 0 ;</v>
      </c>
      <c r="H18" s="38" t="str">
        <f t="shared" ref="H18:H20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this.l('Trip Number'),headerTooltip: this.l('Trip Number'),field: 'tripNumber',flex: 1},</v>
      </c>
      <c r="I18" s="38" t="str">
        <f t="shared" ref="I18:I20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:K20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title'&gt;Trip Number&lt;/label&gt;
						&lt;input type='number' class='col-md-10 form-control input-text' name='TripNumber' [(ngModel)]='rowdata.tripNumber'&gt;
					&lt;/div&gt;</v>
      </c>
      <c r="L18" s="60" t="str">
        <f t="shared" ref="L18:L20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tripNumber : number = 0 ;</v>
      </c>
      <c r="T18" s="31" t="str">
        <f>REPT(CHAR(9),3)&amp;"this."&amp;D18&amp;","</f>
        <v xml:space="preserve">			this.tripNumber,</v>
      </c>
      <c r="U18" s="31" t="str">
        <f>IF(E18="int",REPT(CHAR(9),2)&amp;"this."&amp;D18&amp;" = 0,",REPT(CHAR(9),2)&amp;"this."&amp;D18&amp;" = '',")</f>
        <v xml:space="preserve">		this.tripNumber = 0,</v>
      </c>
      <c r="V18" s="31" t="str">
        <f t="shared" ref="V18:V20" si="20">IF(AND(E18="string",F18="1"),D18,"")</f>
        <v/>
      </c>
    </row>
    <row r="19" spans="1:22" ht="18" customHeight="1" x14ac:dyDescent="0.25">
      <c r="A19" s="44" t="s">
        <v>319</v>
      </c>
      <c r="B19" s="31" t="str">
        <f t="shared" ref="B19" si="21">SUBSTITUTE(PROPER(A19),"_","")</f>
        <v>DollyName</v>
      </c>
      <c r="C19" s="31" t="str">
        <f t="shared" ref="C19" si="22">SUBSTITUTE(PROPER(A19),"_"," ")</f>
        <v>Dolly Name</v>
      </c>
      <c r="D19" s="31" t="str">
        <f t="shared" ref="D19" si="23">LOWER(LEFT(B19,1))&amp;RIGHT(B19,LEN(B19) - 1)</f>
        <v>dollyName</v>
      </c>
      <c r="E19" s="31" t="str">
        <f>A.Backend!H13</f>
        <v>string</v>
      </c>
      <c r="F19" s="31" t="str">
        <f>A.Backend!G13</f>
        <v>250</v>
      </c>
      <c r="G19" s="31" t="str">
        <f t="shared" ref="G19" si="24">IF(E19="string"," : string = '' ; ",IF(OR(E19="DateTime",E19="TimeSpan")," : any ;",IF(E19="int"," : number = 0 ;","")))</f>
        <v xml:space="preserve"> : string = '' ; </v>
      </c>
      <c r="H19" s="38" t="str">
        <f t="shared" ref="H19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this.l('Dolly Name'),headerTooltip: this.l('Dolly Name'),field: 'dollyName',flex: 1},</v>
      </c>
      <c r="I19" s="38" t="str">
        <f t="shared" ref="I19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[(ngModel)]='dollyName' name='dollyName'
									class='form-control' [placeholder]="l('Dolly Name')"
									type='text' (keyup.enter)='searchDatas()'&gt;
								&lt;/div&gt;</v>
      </c>
      <c r="J19" s="31"/>
      <c r="K19" s="38" t="str">
        <f t="shared" ref="K19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title'&gt;Dolly Name&lt;/label&gt;
						&lt;input type='text' class='col-md-10 form-control input-text' name='DollyName' [(ngModel)]='rowdata.dollyName'&gt;
					&lt;/div&gt;</v>
      </c>
      <c r="L19" s="60" t="str">
        <f t="shared" ref="L19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29">REPT(CHAR(9),1)&amp;D19&amp;G19</f>
        <v xml:space="preserve">	dollyName : string = '' ; </v>
      </c>
      <c r="T19" s="31" t="str">
        <f t="shared" ref="T19" si="30">REPT(CHAR(9),3)&amp;"this."&amp;D19&amp;","</f>
        <v xml:space="preserve">			this.dollyName,</v>
      </c>
      <c r="U19" s="31" t="str">
        <f t="shared" ref="U19" si="31">IF(E19="int",REPT(CHAR(9),2)&amp;"this."&amp;D19&amp;" = 0,",REPT(CHAR(9),2)&amp;"this."&amp;D19&amp;" = '',")</f>
        <v xml:space="preserve">		this.dollyName = '',</v>
      </c>
      <c r="V19" s="31" t="str">
        <f t="shared" ref="V19" si="32">IF(AND(E19="string",F19="1"),D19,"")</f>
        <v/>
      </c>
    </row>
    <row r="20" spans="1:22" ht="18" customHeight="1" x14ac:dyDescent="0.25">
      <c r="A20" s="44" t="s">
        <v>320</v>
      </c>
      <c r="B20" s="31" t="str">
        <f t="shared" si="12"/>
        <v>TaktTime</v>
      </c>
      <c r="C20" s="31" t="str">
        <f t="shared" si="13"/>
        <v>Takt Time</v>
      </c>
      <c r="D20" s="31" t="str">
        <f t="shared" si="14"/>
        <v>taktTime</v>
      </c>
      <c r="E20" s="31" t="str">
        <f>A.Backend!H14</f>
        <v>int</v>
      </c>
      <c r="F20" s="31" t="str">
        <f>A.Backend!G14</f>
        <v/>
      </c>
      <c r="G20" s="31" t="str">
        <f t="shared" si="15"/>
        <v xml:space="preserve"> : number = 0 ;</v>
      </c>
      <c r="H20" s="38" t="str">
        <f t="shared" si="16"/>
        <v xml:space="preserve">			{headerName: this.l('Takt Time'),headerTooltip: this.l('Takt Time'),field: 'taktTime',flex: 1},</v>
      </c>
      <c r="I20" s="38" t="str">
        <f t="shared" si="17"/>
        <v/>
      </c>
      <c r="J20" s="31"/>
      <c r="K20" s="38" t="str">
        <f t="shared" si="18"/>
        <v xml:space="preserve">					&lt;div class='col-md-12 form-group row'&gt;
						&lt;label class='col-md-2 form-control title'&gt;Takt Time&lt;/label&gt;
						&lt;input type='number' class='col-md-10 form-control input-text' name='TaktTime' [(ngModel)]='rowdata.taktTime'&gt;
					&lt;/div&gt;</v>
      </c>
      <c r="L20" s="60" t="str">
        <f t="shared" si="19"/>
        <v/>
      </c>
      <c r="M20" s="31"/>
      <c r="N20" s="31"/>
      <c r="O20" s="31"/>
      <c r="P20" s="31"/>
      <c r="Q20" s="31"/>
      <c r="R20" s="31"/>
      <c r="S20" s="31" t="str">
        <f t="shared" ref="S20" si="33">REPT(CHAR(9),1)&amp;D20&amp;G20</f>
        <v xml:space="preserve">	taktTime : number = 0 ;</v>
      </c>
      <c r="T20" s="31" t="str">
        <f t="shared" ref="T20" si="34">REPT(CHAR(9),3)&amp;"this."&amp;D20&amp;","</f>
        <v xml:space="preserve">			this.taktTime,</v>
      </c>
      <c r="U20" s="31" t="str">
        <f t="shared" ref="U20" si="35">IF(E20="int",REPT(CHAR(9),2)&amp;"this."&amp;D20&amp;" = 0,",REPT(CHAR(9),2)&amp;"this."&amp;D20&amp;" = '',")</f>
        <v xml:space="preserve">		this.taktTime = 0,</v>
      </c>
      <c r="V20" s="31" t="str">
        <f t="shared" si="20"/>
        <v/>
      </c>
    </row>
    <row r="21" spans="1:22" ht="15" customHeight="1" x14ac:dyDescent="0.25">
      <c r="A21" s="44" t="s">
        <v>302</v>
      </c>
      <c r="B21" s="31" t="str">
        <f t="shared" ref="B21" si="36">SUBSTITUTE(PROPER(A21),"_","")</f>
        <v>IsActive</v>
      </c>
      <c r="C21" s="31" t="str">
        <f t="shared" ref="C21" si="37">SUBSTITUTE(PROPER(A21),"_"," ")</f>
        <v>Is Active</v>
      </c>
      <c r="D21" s="31" t="str">
        <f t="shared" ref="D21" si="38">LOWER(LEFT(B21,1))&amp;RIGHT(B21,LEN(B21) - 1)</f>
        <v>isActive</v>
      </c>
      <c r="E21" s="31" t="str">
        <f>A.Backend!H15</f>
        <v>string</v>
      </c>
      <c r="F21" s="31" t="str">
        <f>A.Backend!G15</f>
        <v>1</v>
      </c>
      <c r="G21" s="31" t="str">
        <f t="shared" ref="G21" si="39">IF(E21="string"," : string = '' ; ",IF(OR(E21="DateTime",E21="TimeSpan")," : any ;",IF(E21="int"," : number = 0 ;","")))</f>
        <v xml:space="preserve"> : string = '' ; </v>
      </c>
      <c r="H21" s="38" t="str">
        <f t="shared" ref="H21" si="40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ref="I21" si="41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ref="K21" si="42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ref="L21" si="43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ref="V21" si="44">IF(AND(E21="string",F21="1"),D21,"")</f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2022-08-20T04:31:43Z</dcterms:modified>
</cp:coreProperties>
</file>
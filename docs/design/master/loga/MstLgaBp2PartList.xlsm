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uangtrung/Documents/Product/docs/design/master/loga/"/>
    </mc:Choice>
  </mc:AlternateContent>
  <xr:revisionPtr revIDLastSave="0" documentId="13_ncr:1_{36D3BCBB-5085-9442-B316-8BD7B344223A}" xr6:coauthVersionLast="37" xr6:coauthVersionMax="37" xr10:uidLastSave="{00000000-0000-0000-0000-000000000000}"/>
  <bookViews>
    <workbookView xWindow="0" yWindow="500" windowWidth="28800" windowHeight="1642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5" l="1"/>
  <c r="E22" i="5"/>
  <c r="V22" i="5" s="1"/>
  <c r="D22" i="5"/>
  <c r="C22" i="5"/>
  <c r="H22" i="5" s="1"/>
  <c r="B22" i="5"/>
  <c r="L16" i="1"/>
  <c r="G16" i="1"/>
  <c r="E16" i="1"/>
  <c r="H16" i="1" s="1"/>
  <c r="W16" i="1" s="1"/>
  <c r="D16" i="1"/>
  <c r="T16" i="1" s="1"/>
  <c r="T22" i="5" l="1"/>
  <c r="K22" i="5"/>
  <c r="U22" i="5"/>
  <c r="I22" i="5"/>
  <c r="G22" i="5"/>
  <c r="S22" i="5" s="1"/>
  <c r="L22" i="5"/>
  <c r="P16" i="1"/>
  <c r="I16" i="1"/>
  <c r="N16" i="1"/>
  <c r="V16" i="1"/>
  <c r="M16" i="1"/>
  <c r="J16" i="1"/>
  <c r="O16" i="1"/>
  <c r="L13" i="1"/>
  <c r="G13" i="1"/>
  <c r="F19" i="5" s="1"/>
  <c r="E13" i="1"/>
  <c r="H13" i="1" s="1"/>
  <c r="D13" i="1"/>
  <c r="V13" i="1" s="1"/>
  <c r="C19" i="5"/>
  <c r="B19" i="5"/>
  <c r="D19" i="5" s="1"/>
  <c r="W13" i="1" l="1"/>
  <c r="E19" i="5"/>
  <c r="P13" i="1"/>
  <c r="T13" i="1"/>
  <c r="I13" i="1"/>
  <c r="N13" i="1"/>
  <c r="M13" i="1"/>
  <c r="J13" i="1"/>
  <c r="O13" i="1"/>
  <c r="T19" i="5"/>
  <c r="C23" i="5" l="1"/>
  <c r="B23" i="5"/>
  <c r="D23" i="5" s="1"/>
  <c r="T23" i="5" s="1"/>
  <c r="C21" i="5"/>
  <c r="B21" i="5"/>
  <c r="D21" i="5" s="1"/>
  <c r="L14" i="1"/>
  <c r="H14" i="1"/>
  <c r="E20" i="5" s="1"/>
  <c r="G14" i="1"/>
  <c r="F20" i="5" s="1"/>
  <c r="E14" i="1"/>
  <c r="D14" i="1"/>
  <c r="V14" i="1" s="1"/>
  <c r="L15" i="1"/>
  <c r="G15" i="1"/>
  <c r="F21" i="5" s="1"/>
  <c r="E15" i="1"/>
  <c r="H15" i="1" s="1"/>
  <c r="E21" i="5" s="1"/>
  <c r="D15" i="1"/>
  <c r="V15" i="1" s="1"/>
  <c r="P14" i="1" l="1"/>
  <c r="T14" i="1"/>
  <c r="W14" i="1"/>
  <c r="I21" i="5"/>
  <c r="T21" i="5"/>
  <c r="K21" i="5"/>
  <c r="U21" i="5"/>
  <c r="G21" i="5"/>
  <c r="S21" i="5" s="1"/>
  <c r="L21" i="5"/>
  <c r="V21" i="5"/>
  <c r="H21" i="5"/>
  <c r="M14" i="1"/>
  <c r="I14" i="1"/>
  <c r="N14" i="1"/>
  <c r="J14" i="1"/>
  <c r="O14" i="1"/>
  <c r="W15" i="1"/>
  <c r="O15" i="1"/>
  <c r="J15" i="1"/>
  <c r="N15" i="1"/>
  <c r="I15" i="1"/>
  <c r="M15" i="1"/>
  <c r="P15" i="1"/>
  <c r="T15" i="1"/>
  <c r="Q3" i="1"/>
  <c r="U19" i="5" l="1"/>
  <c r="H19" i="5"/>
  <c r="G19" i="5"/>
  <c r="S19" i="5" s="1"/>
  <c r="I19" i="5"/>
  <c r="L19" i="5"/>
  <c r="K19" i="5"/>
  <c r="V19" i="5"/>
  <c r="B16" i="5"/>
  <c r="D16" i="5" s="1"/>
  <c r="C16" i="5"/>
  <c r="B17" i="5"/>
  <c r="D17" i="5" s="1"/>
  <c r="C17" i="5"/>
  <c r="B18" i="5"/>
  <c r="D18" i="5" s="1"/>
  <c r="C18" i="5"/>
  <c r="B20" i="5"/>
  <c r="D20" i="5" s="1"/>
  <c r="C20" i="5"/>
  <c r="C15" i="5"/>
  <c r="B15" i="5"/>
  <c r="D15" i="5" s="1"/>
  <c r="T15" i="5" s="1"/>
  <c r="G17" i="1"/>
  <c r="F23" i="5" s="1"/>
  <c r="E17" i="1"/>
  <c r="H17" i="1" s="1"/>
  <c r="E23" i="5" s="1"/>
  <c r="D17" i="1"/>
  <c r="V17" i="1" s="1"/>
  <c r="L12" i="1"/>
  <c r="G12" i="1"/>
  <c r="F18" i="5" s="1"/>
  <c r="E12" i="1"/>
  <c r="H12" i="1" s="1"/>
  <c r="E18" i="5" s="1"/>
  <c r="D12" i="1"/>
  <c r="V12" i="1" s="1"/>
  <c r="L11" i="1"/>
  <c r="G11" i="1"/>
  <c r="F17" i="5" s="1"/>
  <c r="E11" i="1"/>
  <c r="H11" i="1" s="1"/>
  <c r="E17" i="5" s="1"/>
  <c r="D11" i="1"/>
  <c r="V11" i="1" s="1"/>
  <c r="G10" i="1"/>
  <c r="F16" i="5" s="1"/>
  <c r="E10" i="1"/>
  <c r="H10" i="1" s="1"/>
  <c r="E16" i="5" s="1"/>
  <c r="D10" i="1"/>
  <c r="V10" i="1" s="1"/>
  <c r="G9" i="1"/>
  <c r="F15" i="5" s="1"/>
  <c r="E9" i="1"/>
  <c r="H9" i="1" s="1"/>
  <c r="E15" i="5" s="1"/>
  <c r="D9" i="1"/>
  <c r="T9" i="1" s="1"/>
  <c r="G23" i="5" l="1"/>
  <c r="S23" i="5" s="1"/>
  <c r="U23" i="5"/>
  <c r="K23" i="5"/>
  <c r="I23" i="5"/>
  <c r="V23" i="5"/>
  <c r="H23" i="5"/>
  <c r="L23" i="5"/>
  <c r="O17" i="1"/>
  <c r="G17" i="5"/>
  <c r="L17" i="5"/>
  <c r="O12" i="1"/>
  <c r="G16" i="5"/>
  <c r="V16" i="5"/>
  <c r="G18" i="5"/>
  <c r="S18" i="5" s="1"/>
  <c r="V18" i="5"/>
  <c r="H20" i="5"/>
  <c r="G15" i="5"/>
  <c r="S15" i="5" s="1"/>
  <c r="V15" i="5"/>
  <c r="P10" i="1"/>
  <c r="I20" i="5"/>
  <c r="I17" i="5"/>
  <c r="H17" i="5"/>
  <c r="I18" i="5"/>
  <c r="H18" i="5"/>
  <c r="H16" i="5"/>
  <c r="I16" i="5"/>
  <c r="L18" i="5"/>
  <c r="U18" i="5"/>
  <c r="U15" i="5"/>
  <c r="T20" i="5"/>
  <c r="T18" i="5"/>
  <c r="K18" i="5"/>
  <c r="H15" i="5"/>
  <c r="I15" i="5"/>
  <c r="K15" i="5"/>
  <c r="L16" i="5"/>
  <c r="L15" i="5"/>
  <c r="V17" i="5"/>
  <c r="P12" i="1"/>
  <c r="V9" i="1"/>
  <c r="T12" i="1"/>
  <c r="P17" i="1"/>
  <c r="T17" i="1"/>
  <c r="M11" i="1"/>
  <c r="W11" i="1"/>
  <c r="J11" i="1"/>
  <c r="I11" i="1"/>
  <c r="O11" i="1"/>
  <c r="N11" i="1"/>
  <c r="I9" i="1"/>
  <c r="O9" i="1"/>
  <c r="J9" i="1"/>
  <c r="N9" i="1"/>
  <c r="M9" i="1"/>
  <c r="W9" i="1"/>
  <c r="W10" i="1"/>
  <c r="J10" i="1"/>
  <c r="M10" i="1"/>
  <c r="I10" i="1"/>
  <c r="O10" i="1"/>
  <c r="N10" i="1"/>
  <c r="P11" i="1"/>
  <c r="I12" i="1"/>
  <c r="I17" i="1"/>
  <c r="T11" i="1"/>
  <c r="J12" i="1"/>
  <c r="W12" i="1"/>
  <c r="J17" i="1"/>
  <c r="W17" i="1"/>
  <c r="T10" i="1"/>
  <c r="M12" i="1"/>
  <c r="M17" i="1"/>
  <c r="P9" i="1"/>
  <c r="N12" i="1"/>
  <c r="N17" i="1"/>
  <c r="U20" i="5" l="1"/>
  <c r="L20" i="5"/>
  <c r="K20" i="5"/>
  <c r="G20" i="5"/>
  <c r="S20" i="5" s="1"/>
  <c r="V20" i="5"/>
  <c r="K17" i="5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9" i="1"/>
  <c r="T13" i="5"/>
  <c r="T7" i="1" l="1"/>
  <c r="W19" i="1"/>
  <c r="G6" i="1" l="1"/>
  <c r="I13" i="5"/>
  <c r="U13" i="5"/>
  <c r="L13" i="5"/>
  <c r="K13" i="5"/>
  <c r="S13" i="5"/>
  <c r="V13" i="5"/>
  <c r="H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0" i="1" l="1"/>
  <c r="L9" i="1"/>
  <c r="L17" i="1"/>
  <c r="C7" i="1"/>
  <c r="I19" i="1"/>
  <c r="P19" i="1"/>
  <c r="O19" i="1"/>
  <c r="J19" i="1"/>
  <c r="N19" i="1"/>
  <c r="Q7" i="1" l="1"/>
  <c r="M58" i="3" s="1"/>
  <c r="L7" i="1"/>
  <c r="G58" i="3" s="1"/>
  <c r="K58" i="3"/>
  <c r="J58" i="3"/>
  <c r="K19" i="1"/>
  <c r="M19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<sst xmlns="http://schemas.openxmlformats.org/spreadsheetml/2006/main" count="435" uniqueCount="339">
  <si>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</si>
  <si>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</si>
  <si>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</si>
  <si>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</si>
  <si>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</si>
  <si>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</si>
  <si>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</si>
  <si>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</si>
  <si>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</si>
  <si>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</si>
  <si>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</si>
  <si>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</si>
  <si>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</si>
  <si>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</si>
  <si>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</si>
  <si>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</si>
  <si>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</si>
  <si>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</si>
  <si>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</si>
  <si>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</si>
  <si>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</si>
  <si>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</si>
  <si>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</si>
  <si>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</si>
  <si>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</si>
  <si>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</si>
  <si>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</si>
  <si>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</si>
  <si>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</si>
  <si>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</si>
  <si>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</si>
  <si>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</si>
  <si>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</si>
  <si>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</si>
  <si>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</si>
  <si>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</si>
  <si>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</si>
  <si>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</si>
  <si>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</si>
  <si>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</si>
  <si>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</si>
  <si>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</si>
  <si>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</si>
  <si>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</si>
  <si>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</si>
  <si>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</si>
  <si>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</si>
  <si>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</si>
  <si>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</si>
  <si>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</si>
  <si>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</si>
  <si>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</si>
  <si>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</si>
  <si>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</si>
  <si>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</si>
  <si>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</si>
  <si>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</si>
  <si>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</si>
  <si>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</si>
  <si>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</si>
  <si>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</si>
  <si>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</si>
  <si>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</si>
  <si>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</si>
  <si>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</si>
  <si>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</si>
  <si>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</si>
  <si>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</si>
  <si>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</si>
  <si>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</si>
  <si>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</si>
  <si>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</si>
  <si>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</si>
  <si>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</si>
  <si>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</si>
  <si>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</si>
  <si>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</si>
  <si>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</si>
  <si>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</si>
  <si>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</si>
  <si>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</si>
  <si>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</si>
  <si>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</si>
  <si>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</si>
  <si>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</si>
  <si>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</si>
  <si>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</si>
  <si>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</si>
  <si>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</si>
  <si>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</si>
  <si>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</si>
  <si>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</si>
  <si>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</si>
  <si>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</si>
  <si>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</si>
  <si>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</si>
  <si>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</si>
  <si>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</si>
  <si>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</si>
  <si>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</si>
  <si>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</si>
  <si>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</si>
  <si>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</si>
  <si>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</si>
  <si>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</si>
  <si>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</si>
  <si>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</si>
  <si>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</si>
  <si>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</si>
  <si>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</si>
  <si>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</si>
  <si>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</si>
  <si>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</si>
  <si>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</si>
  <si>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</si>
  <si>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</si>
  <si>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</si>
  <si>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</si>
  <si>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</si>
  <si>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</si>
  <si>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</si>
  <si>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</si>
  <si>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</si>
  <si>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</si>
  <si>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</si>
  <si>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</si>
  <si>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</si>
  <si>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</si>
  <si>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</si>
  <si>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</si>
  <si>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</si>
  <si>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</si>
  <si>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</si>
  <si>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</si>
  <si>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</si>
  <si>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</si>
  <si>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</si>
  <si>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</si>
  <si>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</si>
  <si>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</si>
  <si>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</si>
  <si>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</si>
  <si>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</si>
  <si>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</si>
  <si>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</si>
  <si>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</si>
  <si>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</si>
  <si>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</si>
  <si>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</si>
  <si>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</si>
  <si>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</si>
  <si>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</si>
  <si>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</si>
  <si>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</si>
  <si>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</si>
  <si>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</si>
  <si>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</si>
  <si>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</si>
  <si>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</si>
  <si>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</si>
  <si>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</si>
  <si>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</si>
  <si>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</si>
  <si>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</si>
  <si>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</si>
  <si>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</si>
  <si>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</si>
  <si>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</si>
  <si>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</si>
  <si>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</si>
  <si>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</si>
  <si>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</si>
  <si>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</si>
  <si>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</si>
  <si>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</si>
  <si>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</si>
  <si>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</si>
  <si>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</si>
  <si>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</si>
  <si>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</si>
  <si>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</si>
  <si>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</si>
  <si>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</si>
  <si>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</si>
  <si>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</si>
  <si>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</si>
  <si>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</si>
  <si>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</si>
  <si>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</si>
  <si>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</si>
  <si>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</si>
  <si>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</si>
  <si>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</si>
  <si>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</si>
  <si>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</si>
  <si>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</si>
  <si>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</si>
  <si>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</si>
  <si>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</si>
  <si>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</si>
  <si>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</si>
  <si>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</si>
  <si>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</si>
  <si>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</si>
  <si>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</si>
  <si>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</si>
  <si>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</si>
  <si>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</si>
  <si>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</si>
  <si>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</si>
  <si>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</si>
  <si>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</si>
  <si>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</si>
  <si>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</si>
  <si>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</si>
  <si>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</si>
  <si>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</si>
  <si>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</si>
  <si>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</si>
  <si>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</si>
  <si>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</si>
  <si>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</si>
  <si>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</si>
  <si>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</si>
  <si>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</si>
  <si>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</si>
  <si>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</si>
  <si>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</si>
  <si>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</si>
  <si>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</si>
  <si>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</si>
  <si>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</si>
  <si>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</si>
  <si>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</si>
  <si>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</si>
  <si>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</si>
  <si>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</si>
  <si>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</si>
  <si>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</si>
  <si>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</si>
  <si>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</si>
  <si>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</si>
  <si>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</si>
  <si>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</si>
  <si>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</si>
  <si>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</si>
  <si>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</si>
  <si>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</si>
  <si>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</si>
  <si>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</si>
  <si>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</si>
  <si>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</si>
  <si>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</si>
  <si>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</si>
  <si>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</si>
  <si>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</si>
  <si>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</si>
  <si>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</si>
  <si>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</si>
  <si>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</si>
  <si>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</si>
  <si>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</si>
  <si>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</si>
  <si>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</si>
  <si>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</si>
  <si>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</si>
  <si>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</si>
  <si>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</si>
  <si>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</si>
  <si>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</si>
  <si>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</si>
  <si>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</si>
  <si>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</si>
  <si>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</si>
  <si>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</si>
  <si>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</si>
  <si>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</si>
  <si>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</si>
  <si>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</si>
  <si>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</si>
  <si>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</si>
  <si>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</si>
  <si>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</si>
  <si>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</si>
  <si>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</si>
  <si>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</si>
  <si>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</si>
  <si>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</si>
  <si>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</si>
  <si>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</si>
  <si>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</si>
  <si>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</si>
  <si>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</si>
  <si>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</si>
  <si>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</si>
  <si>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</si>
  <si>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</si>
  <si>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</si>
  <si>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</si>
  <si>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</si>
  <si>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</si>
  <si>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</si>
  <si>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</si>
  <si>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</si>
  <si>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</si>
  <si>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</si>
  <si>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</si>
  <si>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</si>
  <si>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</si>
  <si>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</si>
  <si>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</si>
  <si>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</si>
  <si>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</si>
  <si>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</si>
  <si>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</si>
  <si>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</si>
  <si>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</si>
  <si>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</si>
  <si>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</si>
  <si>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</si>
  <si>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</si>
  <si>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</si>
  <si>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</si>
  <si>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PROD_LINE</t>
  </si>
  <si>
    <t>IS_ACTIVE</t>
  </si>
  <si>
    <t>varchar(1)</t>
  </si>
  <si>
    <t>MstLgaBp2PartList</t>
  </si>
  <si>
    <t>Bp2PartList</t>
  </si>
  <si>
    <t>LA Big Part 2x2 Part List</t>
  </si>
  <si>
    <t>PART_NAME</t>
  </si>
  <si>
    <t>SHORT_NAME</t>
  </si>
  <si>
    <t>PIK_PROCESS</t>
  </si>
  <si>
    <t>DEL_PROCESS</t>
  </si>
  <si>
    <t>varchar(500)</t>
  </si>
  <si>
    <t>varchar(200)</t>
  </si>
  <si>
    <t>PIK_SORTING</t>
  </si>
  <si>
    <t>DEL_SORTING</t>
  </si>
  <si>
    <t>REMARK</t>
  </si>
  <si>
    <t>nvarchar(500)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</si>
</sst>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16" workbookViewId="0">
      <selection activeCell="E18" sqref="E18"/>
    </sheetView>
  </sheetViews>
  <sheetFormatPr baseColWidth="10" defaultColWidth="8.83203125" defaultRowHeight="15" x14ac:dyDescent="0.2"/>
  <cols>
    <col min="1" max="1" width="3.5" customWidth="1"/>
    <col min="2" max="2" width="18.5" customWidth="1"/>
    <col min="3" max="5" width="26.1640625" customWidth="1"/>
    <col min="6" max="6" width="29.5" customWidth="1"/>
    <col min="7" max="10" width="26.1640625" customWidth="1"/>
    <col min="11" max="11" width="26.5" customWidth="1"/>
    <col min="12" max="12" width="27.6640625" customWidth="1"/>
    <col min="13" max="13" width="25.5" customWidth="1"/>
    <col min="14" max="18" width="18.5" customWidth="1"/>
  </cols>
  <sheetData>
    <row r="1" spans="1:7" ht="24" x14ac:dyDescent="0.3">
      <c r="A1" s="15" t="s">
        <v>74</v>
      </c>
    </row>
    <row r="2" spans="1:7" ht="16" x14ac:dyDescent="0.2">
      <c r="A2" s="1"/>
      <c r="B2" s="27" t="s">
        <v>196</v>
      </c>
    </row>
    <row r="3" spans="1:7" x14ac:dyDescent="0.2">
      <c r="A3" s="1"/>
      <c r="B3" s="1" t="s">
        <v>77</v>
      </c>
    </row>
    <row r="4" spans="1:7" x14ac:dyDescent="0.2">
      <c r="A4" s="1"/>
      <c r="B4" s="17" t="s">
        <v>76</v>
      </c>
    </row>
    <row r="5" spans="1:7" x14ac:dyDescent="0.2">
      <c r="A5" s="1"/>
      <c r="B5" s="17" t="s">
        <v>79</v>
      </c>
    </row>
    <row r="6" spans="1:7" x14ac:dyDescent="0.2">
      <c r="A6" s="1"/>
      <c r="B6" s="17" t="s">
        <v>87</v>
      </c>
    </row>
    <row r="7" spans="1:7" x14ac:dyDescent="0.2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">
      <c r="A40" s="1"/>
      <c r="B40" s="17"/>
      <c r="F40" s="1"/>
    </row>
    <row r="41" spans="1:8" x14ac:dyDescent="0.2">
      <c r="A41" s="1"/>
      <c r="B41" s="17"/>
    </row>
    <row r="42" spans="1:8" x14ac:dyDescent="0.2">
      <c r="A42" s="1"/>
      <c r="B42" s="17" t="s">
        <v>86</v>
      </c>
    </row>
    <row r="43" spans="1:8" x14ac:dyDescent="0.2">
      <c r="A43" s="1"/>
      <c r="B43" s="17" t="s">
        <v>83</v>
      </c>
    </row>
    <row r="44" spans="1:8" x14ac:dyDescent="0.2">
      <c r="A44" s="1"/>
      <c r="B44" s="17"/>
      <c r="C44" s="19" t="s">
        <v>80</v>
      </c>
    </row>
    <row r="45" spans="1:8" x14ac:dyDescent="0.2">
      <c r="A45" s="1"/>
      <c r="B45" s="17"/>
      <c r="C45" s="18" t="s">
        <v>81</v>
      </c>
    </row>
    <row r="46" spans="1:8" x14ac:dyDescent="0.2">
      <c r="A46" s="1"/>
      <c r="B46" s="17"/>
      <c r="C46" s="18" t="s">
        <v>82</v>
      </c>
    </row>
    <row r="47" spans="1:8" x14ac:dyDescent="0.2">
      <c r="A47" s="1"/>
      <c r="B47" s="17" t="s">
        <v>106</v>
      </c>
      <c r="C47" s="18"/>
    </row>
    <row r="48" spans="1:8" x14ac:dyDescent="0.2">
      <c r="A48" s="1"/>
      <c r="B48" s="17"/>
      <c r="C48" s="18" t="s">
        <v>107</v>
      </c>
    </row>
    <row r="49" spans="1:14" x14ac:dyDescent="0.2">
      <c r="A49" s="1"/>
      <c r="B49" s="17"/>
      <c r="C49" s="18" t="s">
        <v>108</v>
      </c>
    </row>
    <row r="50" spans="1:14" x14ac:dyDescent="0.2">
      <c r="A50" s="1"/>
      <c r="B50" s="17"/>
      <c r="C50" s="18" t="s">
        <v>109</v>
      </c>
    </row>
    <row r="51" spans="1:14" x14ac:dyDescent="0.2">
      <c r="A51" s="1"/>
      <c r="B51" s="17"/>
      <c r="C51" s="18" t="s">
        <v>111</v>
      </c>
    </row>
    <row r="52" spans="1:14" x14ac:dyDescent="0.2">
      <c r="A52" s="1"/>
      <c r="B52" s="17"/>
      <c r="C52" s="18" t="s">
        <v>113</v>
      </c>
    </row>
    <row r="53" spans="1:14" x14ac:dyDescent="0.2">
      <c r="A53" s="1"/>
      <c r="B53" s="17"/>
      <c r="C53" s="18" t="s">
        <v>112</v>
      </c>
    </row>
    <row r="54" spans="1:14" x14ac:dyDescent="0.2">
      <c r="A54" s="1"/>
      <c r="B54" s="17"/>
      <c r="C54" s="18" t="s">
        <v>110</v>
      </c>
    </row>
    <row r="55" spans="1:14" ht="21" customHeight="1" x14ac:dyDescent="0.2">
      <c r="B55" s="21" t="s">
        <v>78</v>
      </c>
    </row>
    <row r="56" spans="1:14" ht="21" customHeight="1" x14ac:dyDescent="0.2">
      <c r="B56" s="63" t="s">
        <v>231</v>
      </c>
    </row>
    <row r="57" spans="1:14" ht="16" thickBot="1" x14ac:dyDescent="0.25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25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[Table("MstLgaBp2PartList")]
	[Index(nameof(IsActive), Name="IX_MstLgaBp2PartList_IsActive")]	public class MstLgaBp2PartList: FullAuditedEntity&lt;long&gt;, IEntity&lt;long&gt;	
	{
		public const int MaxPartNameLength = 500;
		public const int MaxShortNameLength = 200;
		public const int MaxProdLineLength = 50;
		public const int MaxPikProcessLength = 50;
		public const int MaxDelProcessLength = 50;
		public const int MaxRemarkLength = 500;
		public const int MaxIsActiveLength = 1;
		[StringLength(MaxPartNameLength)]
		public virtual string PartName { get; set; }
		[StringLength(MaxShortNameLength)]
		public virtual string ShortName { get; set; }
		[StringLength(MaxProdLineLength)]
		public virtual string ProdLine { get; set; }
		[StringLength(MaxPikProcessLength)]
		public virtual string PikProcess { get; set; }
		public virtual int PikSorting { get; set; }
		[StringLength(MaxDelProcessLength)]
		public virtual string DelProcess { get; set; }
		public virtual int DelSorting { get; set; }
		[StringLength(MaxRemarkLength)]
		public virtual string Remark { get; set; }
		[StringLength(MaxIsActiveLength)]
		public virtual string IsActive { get; set; }
	}
}
</v>
      </c>
      <c r="D58" s="51" t="str">
        <f>A.Backend!O7</f>
        <v xml:space="preserve">		public const string Pages_Master_LogA_Bp2PartList = "Pages.Master.LogA.Bp2PartList";
		public const string Pages_Master_LogA_Bp2PartList_CreateEdit = "Pages.Master.LogA.Bp2PartList.CreateEdit";
		public const string Pages_Master_LogA_Bp2PartList_Delete = "Pages.Master.LogA.Bp2PartList.Delete";
</v>
      </c>
      <c r="E58" s="51" t="str">
        <f>A.Backend!N7</f>
        <v xml:space="preserve">		var perMstLgaBp2PartList = PARENTS.CreateChildPermission(AppPermissions.Pages_Master_LogA_Bp2PartList, L( "MasterLogABp2PartList"), multiTenancySides: MultiTenancySides.Tenant);
		perMstLgaBp2PartList.CreateChildPermission(AppPermissions.Pages_Master_LogA_Bp2PartList_CreateEdit, L( "MasterLogABp2PartListCreateEdit"), multiTenancySides: MultiTenancySides.Tenant);
		perMstLgaBp2PartList.CreateChildPermission(AppPermissions.Pages_Master_LogA_Bp2PartList_Delete, L( "MasterLogABp2PartListDelete"), multiTenancySides: MultiTenancySides.Tenant);</v>
      </c>
      <c r="F58" s="51" t="str">
        <f>A.Backend!K7</f>
        <v>public virtual DbSet&lt;MstLgaBp2PartList&gt; MstLgaBp2PartLists { get; set; }</v>
      </c>
      <c r="G58" s="51" t="str">
        <f ca="1">A.Backend!L7</f>
        <v xml:space="preserve">namespace vovina.Master.LogA
{
	public class MstLgaBp2PartListConsts	
	{
		public const int MaxPartNameLength = 500;
		public const int MaxShortNameLength = 200;
		public const int MaxProdLineLength = 50;
		public const int MaxPikProcessLength = 50;
		public const int MaxDelProcessLength = 50;
		public const int MaxRemarkLength = 500;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MstLgaBp2PartListDto : EntityDto&lt;long?&gt;	
	{
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	}
	public class CreateOrEditMstLgaBp2PartListDto : EntityDto&lt;long?&gt;	
	{
		[StringLength(MstLgaBp2PartListConsts.MaxPartNameLength)]
		public virtual string PartName { get; set; }
		[StringLength(MstLgaBp2PartListConsts.MaxShortNameLength)]
		public virtual string ShortName { get; set; }
		[StringLength(MstLgaBp2PartListConsts.MaxProdLineLength)]
		public virtual string ProdLine { get; set; }
		[StringLength(MstLgaBp2PartListConsts.MaxPikProcessLength)]
		public virtual string PikProcess { get; set; }
		public virtual int PikSorting { get; set; }
		[StringLength(MstLgaBp2PartListConsts.MaxDelProcessLength)]
		public virtual string DelProcess { get; set; }
		public virtual int DelSorting { get; set; }
		[StringLength(MstLgaBp2PartListConsts.MaxRemarkLength)]
		public virtual string Remark { get; set; }
		[StringLength(MstLgaBp2PartListConsts.MaxIsActiveLength)]
		public virtual string IsActive { get; set; }
	}
	public class GetMstLgaBp2PartListInput : PagedAndSortedResultRequestDto	
	{
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MstLgaBp2PartListExportInput{
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IMstLgaBp2PartListAppService : IApplicationService
	{
		Task&lt;PagedResultDto&lt;MstLgaBp2PartListDto&gt;&gt; GetAll(GetMstLgaBp2PartListInput input);
		Task CreateOrEdit(CreateOrEditMstLgaBp2PartListDto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IMstLgaBp2PartListExcelExporter : IApplicationService
	{
		FileDto ExportToFile(List&lt;MstLgaBp2PartListDto&gt; mstlgabp2partlist);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MstLgaBp2PartListExcelExporter : NpoiExcelExporterBase, IMstLgaBp2PartListExcelExporter
    {
        public MstLgaBp2PartListExcelExporter(ITempFileCacheManager tempFileCacheManager) : base(tempFileCacheManager) { }
        public FileDto ExportToFile(List&lt;MstLgaBp2PartListDto&gt; bp2partlist)
        {
            return CreateExcelPackage(
				"MasterLogABp2PartList.xlsx",
				excelPackage =&gt;
				 {
					var sheet = excelPackage.CreateSheet("Bp2PartList");
					AddHeader(
								sheet,
								("PartName"),
								("ShortName"),
								("ProdLine"),
								("PikProcess"),
								("PikSorting"),
								("DelProcess"),
								("DelSorting"),
								("Remark"),
								("IsActive"),
							   );
					AddObjects(
						 sheet, 1, bp2partlist,                                       
								_ =&gt; _.PartName,
								_ =&gt; _.ShortName,
								_ =&gt; _.ProdLine,
								_ =&gt; _.PikProcess,
								_ =&gt; _.PikSorting,
								_ =&gt; _.DelProcess,
								_ =&gt; _.DelSorting,
								_ =&gt; _.Remark,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[AbpAuthorize(AppPermissions.Pages_Master_LogA_Bp2PartList)]
    public class MstLgaBp2PartListAppService : vovinaAppServiceBase, IMstLgaBp2PartListAppService
    {
        private readonly IDapperRepository&lt;MstLgaBp2PartList, long&gt; _dapperRepo;
        private readonly IRepository&lt;MstLgaBp2PartList, long&gt; _repo;
        private readonly IMstLgaBp2PartListExcelExporter _calendarListExcelExporter;
        public MstLgaBp2PartListAppService(IRepository&lt;MstLgaBp2PartList,long&gt; repo, 
                                         IDapperRepository&lt;MstLgaBp2PartList,long&gt; dapperRepo,
                                        IMstLgaBp2PartListExcelExporter calendarListExcelExporter
            )
        {
            _repo = repo;
            _dapperRepo = dapperRepo;
            _calendarListExcelExporter = calendarListExcelExporter;
        }
        [AbpAuthorize(AppPermissions.Pages_Master_LogA_Bp2PartList_CreateEdit)]
        public async Task CreateOrEdit(CreateOrEditMstLgaBp2PartListDto input)
        {
            if (input.Id == null) await Create(input);
            else await Update(input);
        }
        //CREATE
        private async Task Create(CreateOrEditMstLgaBp2PartListDto input)
        {          
            var mainObj = ObjectMapper.Map&lt;MstLgaBp2PartList&gt;(input);
            await CurrentUnitOfWork.GetDbContext&lt;vovinaDbContext&gt;().AddAsync(mainObj);
        }
        // EDIT
        private async Task Update(CreateOrEditMstLgaBp2PartListDto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Task&lt;PagedResultDto&lt;MstLgaBp2PartListDto&gt;&gt; GetAll(GetMstLgaBp2PartListInput input)
        {
            var filtered = _repo.GetAll()
				.WhereIf(!string.IsNullOrWhiteSpace(input.PartName), e =&gt; e.PartName.Contains(input.PartName))
				.WhereIf(!string.IsNullOrWhiteSpace(input.ShortName), e =&gt; e.ShortName.Contains(input.ShortName))
				.WhereIf(!string.IsNullOrWhiteSpace(input.ProdLine), e =&gt; e.ProdLine.Contains(input.ProdLine))
				.WhereIf(!string.IsNullOrWhiteSpace(input.PikProcess), e =&gt; e.PikProcess.Contains(input.PikProcess))
				.WhereIf(!string.IsNullOrWhiteSpace(input.DelProcess), e =&gt; e.DelProcess.Contains(input.DelProcess))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MstLgaBp2PartListDto
                        {
							Id = o.Id,
							PartName = o.PartName,
							ShortName = o.ShortName,
							ProdLine = o.ProdLine,
							PikProcess = o.PikProcess,
							PikSorting = o.PikSorting,
							DelProcess = o.DelProcess,
							DelSorting = o.DelSorting,
							Remark = o.Remark,
							IsActive = o.IsActive,
                        };
            var totalCount = await filtered.CountAsync();
			var paged = system.PageBy(input);
            return new PagedResultDto&lt;MstLgaBp2PartListDto&gt;(
                totalCount,
                 await paged.ToListAsync()
            );
        }
        public async Task&lt;FileDto&gt; GetBp2PartListToExcel(MstLgaBp2PartListExportInput input)
        {
            var query = from o in _repo.GetAll()
                        select new MstLgaBp2PartListDto
                        {
							Id = o.Id,
							PartName = o.PartName,
							ShortName = o.ShortName,
							ProdLine = o.ProdLine,
							PikProcess = o.PikProcess,
							PikSorting = o.PikSorting,
							DelProcess = o.DelProcess,
							DelSorting = o.DelSorting,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_dapperRepo.ExecuteAsync(MstLgaBp2PartListConsts.SP_MST_WPT_CALENDAR_GENERATE);
       // }
    }
}</v>
      </c>
      <c r="N58" s="62" t="str">
        <f>A.Backend!U7</f>
        <v xml:space="preserve">  configuration.CreateMap&lt;MstLgaBp2PartListDto, MstLgaBp2PartList&gt;();
  configuration.CreateMap&lt;MstLgaBp2PartList, MstLgaBp2PartListDto&gt;();
  configuration.CreateMap&lt;CreateOrEditMstLgaBp2PartListDto, MstLgaBp2PartList&gt;();</v>
      </c>
    </row>
    <row r="59" spans="1:14" s="16" customFormat="1" ht="21.75" customHeight="1" x14ac:dyDescent="0.2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">
      <c r="C61" s="29"/>
      <c r="D61" s="29"/>
      <c r="E61" s="29"/>
      <c r="G61" s="29"/>
      <c r="H61" s="29"/>
    </row>
    <row r="62" spans="1:14" x14ac:dyDescent="0.2">
      <c r="B62" s="1" t="s">
        <v>73</v>
      </c>
    </row>
    <row r="63" spans="1:14" ht="21" x14ac:dyDescent="0.25">
      <c r="B63" t="str">
        <f>B.Frontend!B8</f>
        <v>bp2partlist</v>
      </c>
      <c r="C63" s="72" t="str">
        <f>"create folder " &amp;B63</f>
        <v>create folder bp2partlist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">
      <c r="B64" s="60" t="s">
        <v>229</v>
      </c>
      <c r="C64" s="31" t="str">
        <f>B.Frontend!H14</f>
        <v>bp2partlist.component.ts</v>
      </c>
      <c r="D64" s="31" t="str">
        <f>B.Frontend!I14</f>
        <v>bp2partlist.component.html</v>
      </c>
      <c r="E64" s="31" t="str">
        <f>B.Frontend!J14</f>
        <v>bp2partlist.component.less</v>
      </c>
      <c r="F64" s="31" t="str">
        <f>B.Frontend!K14</f>
        <v>create-or-edit-bp2partlist-modal.component.html</v>
      </c>
      <c r="G64" s="31" t="str">
        <f>B.Frontend!L14</f>
        <v>create-or-edit-bp2partlist-modal.component.ts</v>
      </c>
      <c r="H64" s="31" t="str">
        <f>B.Frontend!M14</f>
        <v>create-or-edit-bp2partlist-modal.component.less</v>
      </c>
      <c r="I64" s="31" t="str">
        <f>B.Frontend!N14</f>
        <v>bp2partlist.module.ts</v>
      </c>
      <c r="J64" s="31" t="str">
        <f>B.Frontend!O14</f>
        <v>bp2partlist-routing.module.ts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MstLgaBp2PartListDto, MstLgaBp2PartListServiceProxy } from '@shared/service-proxies/service-proxies';
import { finalize } from 'rxjs/internal/operators/finalize';
import { CreateOrEditBp2PartListModalComponent } from './create-or-edit-bp2partlist-modal.component';
import { DatePipe } from '@angular/common';
import { FileDownloadService } from '@shared/utils/file-download.service';
import ceil from 'lodash-es/ceil';
import { Paginator } from 'primeng/paginator';
@Component({
    templateUrl: './bp2partlist.component.html',
    styleUrls: ['./bp2partlist.component.less'],
})
export class Bp2PartListComponent extends AppComponentBase implements OnInit {
    @ViewChild('createOrEditModalBp2PartList', { static: true }) createOrEditModalBp2PartList:| CreateOrEditBp2PartListModalComponent|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MstLgaBp2PartListDto = new MstLgaBp2PartListDto();
    saveSelectedRow: MstLgaBp2PartListDto = new MstLgaBp2PartListDto();
    datas: MstLgaBp2PartListDto = new MstLgaBp2PartListDto();
    isLoading: boolean = false;
    dataParams: GridParams | undefined;
    rowData: any[] = [];
    gridApi!: GridApi;
    rowSelection = 'multiple';
    filter: string = '';
	pipe = new DatePipe('en-US');
	frameworkComponents: FrameworkComponent;
    partName : string = '' ; 
	shortName : string = '' ; 
	prodLine : string = '' ; 
	pikProcess : string = '' ; 
	pikSorting : number = 0 ;
	delProcess : string = '' ; 
	delSorting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Name'),headerTooltip: this.l('Part Name'),field: 'partName',flex: 1},
			{headerName: this.l('Short Name'),headerTooltip: this.l('Short Name'),field: 'shortName',flex: 1},
			{headerName: this.l('Prod Line'),headerTooltip: this.l('Prod Line'),field: 'prodLine',flex: 1},
			{headerName: this.l('Pik Process'),headerTooltip: this.l('Pik Process'),field: 'pikProcess',flex: 1},
			{headerName: this.l('Pik Sorting'),headerTooltip: this.l('Pik Sorting'),field: 'pikSorting',flex: 1},
			{headerName: this.l('Del Process'),headerTooltip: this.l('Del Process'),field: 'delProcess',flex: 1},
			{headerName: this.l('Del Sorting'),headerTooltip: this.l('Del Sorting'),field: 'delSorting',flex: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this.partName,
			this.shortName,
			this.prodLine,
			this.pikProcess,
			this.pikSorting,
			this.delProcess,
			this.delSorting,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this.partName = '',
		this.shortName = '',
		this.prodLine = '',
		this.pikProcess = '',
		this.pikSorting = 0,
		this.delProcess = '',
		this.delSorting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this.partName,
			this.shortName,
			this.prodLine,
			this.pikProcess,
			this.pikSorting,
			this.delProcess,
			this.delSorting,
			this.remark,
			this.isActive,
			'',
            this.paginationParams.skipCount,
            this.paginationParams.pageSize
        );
    }
    onChangeRowSelection(params: { api: { getSelectedRows: () =&gt; MstLgaBp2PartListDto[] } }) {
        this.saveSelectedRow = params.api.getSelectedRows()[0] ?? new MstLgaBp2PartListDto();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this._service.getBp2PartListToExcel(
			this.partName,
			this.shortName,
			this.prodLine,
			this.pikProcess,
			this.pikSorting,
			this.delProcess,
			this.delSorting,
			this.remark,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[(ngModel)]='shortName' name='shortName'
									class='form-control' [placeholder]="l('Short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[(ngModel)]='pikProcess' name='pikProcess'
									class='form-control' [placeholder]="l('Pik Process')"
									type='text' (keyup.enter)='searchDatas()'&gt;
								&lt;/div&gt;
								&lt;div class='input-search'&gt;
									&lt;input [(ngModel)]='delProcess' name='delProcess'
									class='form-control' [placeholder]="l('Del Process')"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&lt;create-or-edit-bp2partlist-modal
    #createOrEditModalBp2PartList
    (modalSave)="callBackDataGrid(dataParams)"
    (modalClose)="onChangeRowSelection(dataParams)"
&gt;
&lt;/create-or-edit-bp2partlist-modal&gt;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#createOrEditModalBp2PartList="bs-modal"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Bp2PartList')}}&lt;/h3&gt;
                    &lt;h3 *ngIf="!rowdata.id"&gt;{{('Create New Bp2PartList')}}&lt;/h3&gt;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title'&gt;Short Name&lt;/label&gt;
						&lt;input type='text' class='col-md-10 form-control input-text' name='ShortName' [(ngModel)]='rowdata.shortName'&gt;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title'&gt;Pik Process&lt;/label&gt;
						&lt;input type='text' class='col-md-10 form-control input-text' name='PikProcess' [(ngModel)]='rowdata.pikProcess'&gt;
					&lt;/div&gt;
					&lt;div class='col-md-12 form-group row'&gt;
						&lt;label class='col-md-2 form-control title'&gt;Pik Sorting&lt;/label&gt;
						&lt;input type='number' class='col-md-10 form-control input-text' name='PikSorting' [(ngModel)]='rowdata.pikSorting'&gt;
					&lt;/div&gt;
					&lt;div class='col-md-12 form-group row'&gt;
						&lt;label class='col-md-2 form-control title'&gt;Del Process&lt;/label&gt;
						&lt;input type='text' class='col-md-10 form-control input-text' name='DelProcess' [(ngModel)]='rowdata.delProcess'&gt;
					&lt;/div&gt;
					&lt;div class='col-md-12 form-group row'&gt;
						&lt;label class='col-md-2 form-control title'&gt;Del Sorting&lt;/label&gt;
						&lt;input type='number' class='col-md-10 form-control input-text' name='DelSorting' [(ngModel)]='rowdata.delSorting'&gt;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CreateOrEditMstLgaBp2PartListDto, MstLgaBp2PartListServiceProxy } from '@shared/service-proxies/service-proxies';
import { BsDatepickerDirective } from 'ngx-bootstrap/datepicker';
@Component({
    selector: 'create-or-edit-bp2partlist-modal',
    templateUrl: './create-or-edit-bp2partlist-modal.component.html',
    styleUrls: ['./create-or-edit-bp2partlist-modal.component.less']
    })
export class CreateOrEditBp2PartListModalComponent extends AppComponentBase {
    @ViewChild('createOrEditModalBp2PartList',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CreateOrEditMstLgaBp2PartListDto = new CreateOrEditMstLgaBp2PartListDto();
    active: boolean = false;
    saving: boolean = false;
    _isActive: boolean;
    constructor(
        injector: Injector,
        private _mstwptBp2PartListService: MstLgaBp2PartListServiceProxy,
    ) 
    {
        super(injector);
    }
    show(rowdata?: CreateOrEditMstLgaBp2PartListDto): void {
        if (!rowdata) this.rowdata = new CreateOrEditMstLgaBp2PartListDto();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Bp2PartListRoutingModule } from './bp2partlist-routing.module';
import { Bp2PartListComponent } from './bp2partlist.component';
import { CreateOrEditBp2PartListModalComponent } from './create-or-edit-bp2partlist-modal.component';
@NgModule({
    declarations: [
       Bp2PartListComponent, 
        CreateOrEditBp2PartListModalComponent
    ],
    imports: [
        AppSharedModule, Bp2PartListRoutingModule]
})
export class Bp2PartListModule {}</v>
      </c>
      <c r="J65" s="49" t="str">
        <f>B.Frontend!O10</f>
        <v>import {NgModule} from '@angular/core';
import {RouterModule, Routes} from '@angular/router';
import { Bp2PartListComponent } from './bp2partlist.component';
const routes: Routes = [{
    path: '',
    component: Bp2PartListComponent,
    pathMatch: 'full'
}];
@NgModule({
    imports: [RouterModule.forChild(routes)],
    exports: [RouterModule],
})
export class Bp2PartListRoutingModule {}</v>
      </c>
      <c r="K65" s="49" t="str">
        <f>B.Frontend!P10</f>
        <v xml:space="preserve"> new AppMenuItem("Bp2PartList", "Pages.Master.LogA.Bp2PartList", "flaticon-book",   "/app/main/master/loga/bp2partlist"),</v>
      </c>
      <c r="L65" s="50" t="str">
        <f>B.Frontend!Q10</f>
        <v>{
    path: 'master/loga/bp2partlist',
    loadChildren: () =&gt; import('./master/loga/bp2partlist/bp2partlist.module').then(m =&gt; m.Bp2PartListModule),
    data: { permission: 'Pages.Master.LogA.Bp2PartList' }
},</v>
      </c>
      <c r="M65" s="48" t="str">
        <f>B.Frontend!R10</f>
        <v>ApiServiceProxies.MstLgaBp2PartListServiceProxy,</v>
      </c>
    </row>
    <row r="67" spans="2:13" x14ac:dyDescent="0.2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9"/>
  <sheetViews>
    <sheetView workbookViewId="0">
      <pane xSplit="1" topLeftCell="B1" activePane="topRight" state="frozen"/>
      <selection pane="topRight" activeCell="B17" sqref="B17"/>
    </sheetView>
  </sheetViews>
  <sheetFormatPr baseColWidth="10" defaultColWidth="9.1640625" defaultRowHeight="15" x14ac:dyDescent="0.2"/>
  <cols>
    <col min="1" max="1" width="20.83203125" style="8" customWidth="1"/>
    <col min="2" max="2" width="20.5" style="9" customWidth="1"/>
    <col min="3" max="3" width="19.5" style="8" customWidth="1"/>
    <col min="4" max="4" width="23.5" style="8" customWidth="1"/>
    <col min="5" max="5" width="14.5" style="8" customWidth="1"/>
    <col min="6" max="6" width="14.83203125" style="8" customWidth="1"/>
    <col min="7" max="7" width="17.33203125" style="8" bestFit="1" customWidth="1"/>
    <col min="8" max="8" width="15" style="8" customWidth="1"/>
    <col min="9" max="9" width="16" style="8" customWidth="1"/>
    <col min="10" max="10" width="15.83203125" style="8" customWidth="1"/>
    <col min="11" max="11" width="16" style="8" customWidth="1"/>
    <col min="12" max="12" width="16.6640625" style="8" customWidth="1"/>
    <col min="13" max="13" width="17.5" style="8" customWidth="1"/>
    <col min="14" max="14" width="16.1640625" style="8" customWidth="1"/>
    <col min="15" max="15" width="14.6640625" style="8" customWidth="1"/>
    <col min="16" max="16" width="16" style="8" customWidth="1"/>
    <col min="17" max="17" width="15.6640625" style="8" customWidth="1"/>
    <col min="18" max="18" width="19.5" style="8" customWidth="1"/>
    <col min="19" max="19" width="20.5" style="8" customWidth="1"/>
    <col min="20" max="20" width="17" style="8" customWidth="1"/>
    <col min="21" max="21" width="14" style="8" customWidth="1"/>
    <col min="22" max="22" width="15.1640625" style="8" customWidth="1"/>
    <col min="23" max="23" width="27.83203125" style="9" customWidth="1"/>
    <col min="24" max="16384" width="9.1640625" style="8"/>
  </cols>
  <sheetData>
    <row r="1" spans="1:23" s="11" customFormat="1" ht="14.25" customHeight="1" x14ac:dyDescent="0.2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ht="16" x14ac:dyDescent="0.2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">
      <c r="A3" s="1" t="s">
        <v>5</v>
      </c>
      <c r="B3" s="30" t="s">
        <v>326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MstLgaBp2PartListExportInput{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">
      <c r="A5" s="1" t="s">
        <v>238</v>
      </c>
      <c r="B5" s="64" t="s">
        <v>327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MstLgaBp2PartList: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MstLgaBp2PartListConsts	
	{
</v>
      </c>
      <c r="F6" s="11" t="str">
        <f>REPT(CHAR(9),1)&amp;"public class "&amp;B3&amp;"Dto"&amp;K3&amp;REPT(CHAR(9),1)&amp;"
"&amp;REPT(CHAR(9),1)&amp;C3</f>
        <v xml:space="preserve">	public class MstLgaBp2PartListDto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CreateOrEditMstLgaBp2PartListDto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GetMstLgaBp2PartListInput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">
      <c r="A7" s="1" t="s">
        <v>13</v>
      </c>
      <c r="B7" s="10" t="str">
        <f>B3</f>
        <v>MstLgaBp2PartList</v>
      </c>
      <c r="C7" s="11" t="str">
        <f>REPT(CHAR(9),1)&amp;"[Table("""&amp;B7&amp;""")]"&amp;"
"</f>
        <v xml:space="preserve">	[Table("MstLgaBp2PartList")]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[Table("MstLgaBp2PartList")]
	[Index(nameof(IsActive), Name="IX_MstLgaBp2PartList_IsActive")]	public class MstLgaBp2PartList: FullAuditedEntity&lt;long&gt;, IEntity&lt;long&gt;	
	{
		public const int MaxPartNameLength = 500;
		public const int MaxShortNameLength = 200;
		public const int MaxProdLineLength = 50;
		public const int MaxPikProcessLength = 50;
		public const int MaxDelProcessLength = 50;
		public const int MaxRemarkLength = 500;
		public const int MaxIsActiveLength = 1;
		[StringLength(MaxPartNameLength)]
		public virtual string PartName { get; set; }
		[StringLength(MaxShortNameLength)]
		public virtual string ShortName { get; set; }
		[StringLength(MaxProdLineLength)]
		public virtual string ProdLine { get; set; }
		[StringLength(MaxPikProcessLength)]
		public virtual string PikProcess { get; set; }
		public virtual int PikSorting { get; set; }
		[StringLength(MaxDelProcessLength)]
		public virtual string DelProcess { get; set; }
		public virtual int DelSorting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DbSet&lt;MstLgaBp2PartList&gt; MstLgaBp2PartLists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vovina.Master.LogA
{
	public class MstLgaBp2PartListConsts	
	{
		public const int MaxPartNameLength = 500;
		public const int MaxShortNameLength = 200;
		public const int MaxProdLineLength = 50;
		public const int MaxPikProcessLength = 50;
		public const int MaxDelProcessLength = 50;
		public const int MaxRemarkLength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vovina.Master.LogA.Dto
{
	public class MstLgaBp2PartListDto : EntityDto&lt;long?&gt;	
	{
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	}
	public class CreateOrEditMstLgaBp2PartListDto : EntityDto&lt;long?&gt;	
	{
		[StringLength(MstLgaBp2PartListConsts.MaxPartNameLength)]
		public virtual string PartName { get; set; }
		[StringLength(MstLgaBp2PartListConsts.MaxShortNameLength)]
		public virtual string ShortName { get; set; }
		[StringLength(MstLgaBp2PartListConsts.MaxProdLineLength)]
		public virtual string ProdLine { get; set; }
		[StringLength(MstLgaBp2PartListConsts.MaxPikProcessLength)]
		public virtual string PikProcess { get; set; }
		public virtual int PikSorting { get; set; }
		[StringLength(MstLgaBp2PartListConsts.MaxDelProcessLength)]
		public virtual string DelProcess { get; set; }
		public virtual int DelSorting { get; set; }
		[StringLength(MstLgaBp2PartListConsts.MaxRemarkLength)]
		public virtual string Remark { get; set; }
		[StringLength(MstLgaBp2PartListConsts.MaxIsActiveLength)]
		public virtual string IsActive { get; set; }
	}
	public class GetMstLgaBp2PartListInput : PagedAndSortedResultRequestDto	
	{
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perMstLgaBp2PartList = PARENTS.CreateChildPermission(AppPermissions.Pages_Master_LogA_Bp2PartList, L( "MasterLogABp2PartList"), multiTenancySides: MultiTenancySides.Tenant);
		perMstLgaBp2PartList.CreateChildPermission(AppPermissions.Pages_Master_LogA_Bp2PartList_CreateEdit, L( "MasterLogABp2PartListCreateEdit"), multiTenancySides: MultiTenancySides.Tenant);
		perMstLgaBp2PartList.CreateChildPermission(AppPermissions.Pages_Master_LogA_Bp2PartList_Delete, L( "MasterLogABp2PartListDelete"),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Pages_Master_LogA_Bp2PartList = "Pages.Master.LogA.Bp2PartList";
		public const string Pages_Master_LogA_Bp2PartList_CreateEdit = "Pages.Master.LogA.Bp2PartList.CreateEdit";
		public const string Pages_Master_LogA_Bp2PartList_Delete = "Pages.Master.LogA.Bp2PartList.Delete";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IMstLgaBp2PartListAppService : IApplicationService
	{
		Task&lt;PagedResultDto&lt;MstLgaBp2PartListDto&gt;&gt; GetAll(GetMstLgaBp2PartListInput input);
		Task CreateOrEdit(CreateOrEditMstLgaBp2PartListDto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[AbpAuthorize(AppPermissions.Pages_Master_LogA_Bp2PartList)]
    public class MstLgaBp2PartListAppService : vovinaAppServiceBase, IMstLgaBp2PartListAppService
    {
        private readonly IDapperRepository&lt;MstLgaBp2PartList, long&gt; _dapperRepo;
        private readonly IRepository&lt;MstLgaBp2PartList, long&gt; _repo;
        private readonly IMstLgaBp2PartListExcelExporter _calendarListExcelExporter;
        public MstLgaBp2PartListAppService(IRepository&lt;MstLgaBp2PartList,long&gt; repo, 
                                         IDapperRepository&lt;MstLgaBp2PartList,long&gt; dapperRepo,
                                        IMstLgaBp2PartListExcelExporter calendarListExcelExporter
            )
        {
            _repo = repo;
            _dapperRepo = dapperRepo;
            _calendarListExcelExporter = calendarListExcelExporter;
        }
        [AbpAuthorize(AppPermissions.Pages_Master_LogA_Bp2PartList_CreateEdit)]
        public async Task CreateOrEdit(CreateOrEditMstLgaBp2PartListDto input)
        {
            if (input.Id == null) await Create(input);
            else await Update(input);
        }
        //CREATE
        private async Task Create(CreateOrEditMstLgaBp2PartListDto input)
        {          
            var mainObj = ObjectMapper.Map&lt;MstLgaBp2PartList&gt;(input);
            await CurrentUnitOfWork.GetDbContext&lt;vovinaDbContext&gt;().AddAsync(mainObj);
        }
        // EDIT
        private async Task Update(CreateOrEditMstLgaBp2PartListDto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Task&lt;PagedResultDto&lt;MstLgaBp2PartListDto&gt;&gt; GetAll(GetMstLgaBp2PartListInput input)
        {
            var filtered = _repo.GetAll()
				.WhereIf(!string.IsNullOrWhiteSpace(input.PartName), e =&gt; e.PartName.Contains(input.PartName))
				.WhereIf(!string.IsNullOrWhiteSpace(input.ShortName), e =&gt; e.ShortName.Contains(input.ShortName))
				.WhereIf(!string.IsNullOrWhiteSpace(input.ProdLine), e =&gt; e.ProdLine.Contains(input.ProdLine))
				.WhereIf(!string.IsNullOrWhiteSpace(input.PikProcess), e =&gt; e.PikProcess.Contains(input.PikProcess))
				.WhereIf(!string.IsNullOrWhiteSpace(input.DelProcess), e =&gt; e.DelProcess.Contains(input.DelProcess))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MstLgaBp2PartListDto
                        {
							Id = o.Id,
							PartName = o.PartName,
							ShortName = o.ShortName,
							ProdLine = o.ProdLine,
							PikProcess = o.PikProcess,
							PikSorting = o.PikSorting,
							DelProcess = o.DelProcess,
							DelSorting = o.DelSorting,
							Remark = o.Remark,
							IsActive = o.IsActive,
                        };
            var totalCount = await filtered.CountAsync();
			var paged = system.PageBy(input);
            return new PagedResultDto&lt;MstLgaBp2PartListDto&gt;(
                totalCount,
                 await paged.ToListAsync()
            );
        }
        public async Task&lt;FileDto&gt; GetBp2PartListToExcel(MstLgaBp2PartListExportInput input)
        {
            var query = from o in _repo.GetAll()
                        select new MstLgaBp2PartListDto
                        {
							Id = o.Id,
							PartName = o.PartName,
							ShortName = o.ShortName,
							ProdLine = o.ProdLine,
							PikProcess = o.PikProcess,
							PikSorting = o.PikSorting,
							DelProcess = o.DelProcess,
							DelSorting = o.DelSorting,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_dapperRepo.ExecuteAsync(MstLgaBp2PartListConsts.SP_MST_WPT_CALENDAR_GENERATE);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vovina.Master.LogA.Dto
{
	public class MstLgaBp2PartListExportInput{
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IMstLgaBp2PartListExcelExporter : IApplicationService
	{
		FileDto ExportToFile(List&lt;MstLgaBp2PartListDto&gt; mstlgabp2partlist);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MstLgaBp2PartListExcelExporter : NpoiExcelExporterBase, IMstLgaBp2PartListExcelExporter
    {
        public MstLgaBp2PartListExcelExporter(ITempFileCacheManager tempFileCacheManager) : base(tempFileCacheManager) { }
        public FileDto ExportToFile(List&lt;MstLgaBp2PartListDto&gt; bp2partlist)
        {
            return CreateExcelPackage(
				"MasterLogABp2PartList.xlsx",
				excelPackage =&gt;
				 {
					var sheet = excelPackage.CreateSheet("Bp2PartList");
					AddHeader(
								sheet,
								("PartName"),
								("ShortName"),
								("ProdLine"),
								("PikProcess"),
								("PikSorting"),
								("DelProcess"),
								("DelSorting"),
								("Remark"),
								("IsActive"),
							   );
					AddObjects(
						 sheet, 1, bp2partlist,                                       
								_ =&gt; _.PartName,
								_ =&gt; _.ShortName,
								_ =&gt; _.ProdLine,
								_ =&gt; _.PikProcess,
								_ =&gt; _.PikSorting,
								_ =&gt; _.DelProcess,
								_ =&gt; _.DelSorting,
								_ =&gt; _.Remark,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configuration.CreateMap&lt;MstLgaBp2PartListDto, MstLgaBp2PartList&gt;();
  configuration.CreateMap&lt;MstLgaBp2PartList, MstLgaBp2PartListDto&gt;();
  configuration.CreateMap&lt;CreateOrEditMstLgaBp2PartListDto, MstLgaBp2PartList&gt;();</v>
      </c>
      <c r="V7" s="28"/>
      <c r="W7" s="28"/>
    </row>
    <row r="8" spans="1:23" s="2" customFormat="1" ht="16" x14ac:dyDescent="0.2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">
      <c r="A9" t="s">
        <v>329</v>
      </c>
      <c r="B9" t="s">
        <v>333</v>
      </c>
      <c r="C9" t="s">
        <v>1</v>
      </c>
      <c r="D9" t="str">
        <f>SUBSTITUTE(PROPER(A9),"_","")</f>
        <v>PartName</v>
      </c>
      <c r="E9" t="str">
        <f t="shared" ref="E9:E17" si="0">IFERROR(LEFT(B9, FIND("(",B9)-1),B9)</f>
        <v>varchar</v>
      </c>
      <c r="F9" s="7"/>
      <c r="G9" t="str">
        <f t="shared" ref="G9:G17" si="1">IFERROR(MID(B9,FIND("(",B9) +1, FIND(")",B9) - FIND("(",B9) - 1),"")</f>
        <v>500</v>
      </c>
      <c r="H9" t="str">
        <f>+VLOOKUP(E9,'Data Type Mapping'!A:B,2,)</f>
        <v>string</v>
      </c>
      <c r="I9" t="str">
        <f t="shared" ref="I9:I17" si="2">IF(H9="string",REPT(CHAR(9),2)&amp;"public const int Max"&amp;D9&amp;"Length = "&amp;G9&amp;";"&amp;$E$3,"" )</f>
        <v xml:space="preserve">		public const int MaxPartNameLength = 500;
</v>
      </c>
      <c r="J9" t="str">
        <f t="shared" ref="J9:J17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[StringLength(MaxPartNameLength)]
		public virtual string PartName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 t="shared" ref="M9:M17" si="4">REPT(CHAR(9),2)&amp;"public virtual "&amp;IF(OR(H9="DateTime",H9="TimeSpan"),H9&amp;"?",H9)&amp;IF(C9="?","? "," ")&amp;D9&amp;" { get; set; }" &amp; "
"</f>
        <v xml:space="preserve">		public virtual string PartName { get; set; }
</v>
      </c>
      <c r="N9" t="str">
        <f t="shared" ref="N9:N17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[StringLength(MstLgaBp2PartListConsts.MaxPartNameLength)]
		public virtual string PartName { get; set; }
</v>
      </c>
      <c r="O9" t="str">
        <f t="shared" ref="O9:O17" si="6">IF(OR(H9="string",H9="DateTime",H9="int"),REPT(CHAR(9),2)&amp;"public virtual "&amp;IF(OR(H9="DateTime",H9="TimeSpan"),H9&amp;"?",H9)&amp;IF(C9="?","? "," ")&amp;D9&amp;" { get; set; }"&amp;$E$3,"")</f>
        <v xml:space="preserve">		public virtual string PartName { get; set; }
</v>
      </c>
      <c r="P9" t="str">
        <f t="shared" ref="P9:P17" si="7">REPT(CHAR(9),7)&amp;D9&amp;" = o." &amp;D9 &amp;","</f>
        <v xml:space="preserve">							PartName = o.PartName,</v>
      </c>
      <c r="T9" s="69" t="str">
        <f t="shared" ref="T9:T17" si="8">REPT(CHAR(9),8)&amp;"("""&amp;D9&amp;"""),"</f>
        <v xml:space="preserve">								("PartName"),</v>
      </c>
      <c r="V9" s="70" t="str">
        <f t="shared" ref="V9:V17" si="9">REPT(CHAR(9),8)&amp;"_ =&gt; _."&amp;D9&amp;","</f>
        <v xml:space="preserve">								_ =&gt; _.PartName,</v>
      </c>
      <c r="W9" s="69" t="str">
        <f t="shared" ref="W9:W17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.WhereIf(!string.IsNullOrWhiteSpace(input.PartName), e =&gt; e.PartName.Contains(input.PartName))</v>
      </c>
    </row>
    <row r="10" spans="1:23" customFormat="1" ht="22.5" customHeight="1" x14ac:dyDescent="0.2">
      <c r="A10" t="s">
        <v>330</v>
      </c>
      <c r="B10" t="s">
        <v>334</v>
      </c>
      <c r="C10" t="s">
        <v>1</v>
      </c>
      <c r="D10" t="str">
        <f>SUBSTITUTE(PROPER(A10),"_","")</f>
        <v>ShortName</v>
      </c>
      <c r="E10" t="str">
        <f t="shared" si="0"/>
        <v>varchar</v>
      </c>
      <c r="F10" s="7"/>
      <c r="G10" t="str">
        <f t="shared" si="1"/>
        <v>200</v>
      </c>
      <c r="H10" t="str">
        <f>+VLOOKUP(E10,'Data Type Mapping'!A:B,2,)</f>
        <v>string</v>
      </c>
      <c r="I10" t="str">
        <f t="shared" si="2"/>
        <v xml:space="preserve">		public const int MaxShortNameLength = 200;
</v>
      </c>
      <c r="J10" t="str">
        <f t="shared" si="3"/>
        <v xml:space="preserve">		[StringLength(MaxShortNameLength)]
		public virtual string ShortName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si="4"/>
        <v xml:space="preserve">		public virtual string ShortName { get; set; }
</v>
      </c>
      <c r="N10" t="str">
        <f t="shared" si="5"/>
        <v xml:space="preserve">		[StringLength(MstLgaBp2PartListConsts.MaxShortNameLength)]
		public virtual string ShortName { get; set; }
</v>
      </c>
      <c r="O10" t="str">
        <f t="shared" si="6"/>
        <v xml:space="preserve">		public virtual string ShortName { get; set; }
</v>
      </c>
      <c r="P10" t="str">
        <f t="shared" si="7"/>
        <v xml:space="preserve">							ShortName = o.ShortName,</v>
      </c>
      <c r="T10" s="69" t="str">
        <f t="shared" si="8"/>
        <v xml:space="preserve">								("ShortName"),</v>
      </c>
      <c r="V10" s="70" t="str">
        <f t="shared" si="9"/>
        <v xml:space="preserve">								_ =&gt; _.ShortName,</v>
      </c>
      <c r="W10" s="69" t="str">
        <f t="shared" si="10"/>
        <v xml:space="preserve">				.WhereIf(!string.IsNullOrWhiteSpace(input.ShortName), e =&gt; e.ShortName.Contains(input.ShortName))</v>
      </c>
    </row>
    <row r="11" spans="1:23" customFormat="1" ht="21" customHeight="1" x14ac:dyDescent="0.2">
      <c r="A11" t="s">
        <v>323</v>
      </c>
      <c r="B11" t="s">
        <v>321</v>
      </c>
      <c r="C11" t="s">
        <v>1</v>
      </c>
      <c r="D11" t="str">
        <f t="shared" ref="D11:D13" si="11">SUBSTITUTE(PROPER(A11),"_","")</f>
        <v>ProdLine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MaxProdLineLength = 50;
</v>
      </c>
      <c r="J11" t="str">
        <f t="shared" si="3"/>
        <v xml:space="preserve">		[StringLength(MaxProdLineLength)]
		public virtual string ProdLine { get; set; }
</v>
      </c>
      <c r="K11" s="7"/>
      <c r="L11" t="str">
        <f t="shared" ref="L11:L13" si="12">IF(K11="","",REPT(CHAR(9),1)&amp;"[Index(nameof("&amp;IF(D11="","",""&amp;D11)&amp;")"&amp;", Name="&amp;"""IX_"&amp;$B$7&amp;"_"&amp;D11&amp;""")]")</f>
        <v/>
      </c>
      <c r="M11" t="str">
        <f t="shared" si="4"/>
        <v xml:space="preserve">		public virtual string ProdLine { get; set; }
</v>
      </c>
      <c r="N11" t="str">
        <f t="shared" si="5"/>
        <v xml:space="preserve">		[StringLength(MstLgaBp2PartListConsts.MaxProdLineLength)]
		public virtual string ProdLine { get; set; }
</v>
      </c>
      <c r="O11" t="str">
        <f t="shared" si="6"/>
        <v xml:space="preserve">		public virtual string ProdLine { get; set; }
</v>
      </c>
      <c r="P11" t="str">
        <f t="shared" si="7"/>
        <v xml:space="preserve">							ProdLine = o.ProdLine,</v>
      </c>
      <c r="T11" s="69" t="str">
        <f t="shared" si="8"/>
        <v xml:space="preserve">								("ProdLine"),</v>
      </c>
      <c r="V11" s="70" t="str">
        <f t="shared" si="9"/>
        <v xml:space="preserve">								_ =&gt; _.ProdLine,</v>
      </c>
      <c r="W11" s="69" t="str">
        <f t="shared" si="10"/>
        <v xml:space="preserve">				.WhereIf(!string.IsNullOrWhiteSpace(input.ProdLine), e =&gt; e.ProdLine.Contains(input.ProdLine))</v>
      </c>
    </row>
    <row r="12" spans="1:23" customFormat="1" ht="18.75" customHeight="1" x14ac:dyDescent="0.2">
      <c r="A12" t="s">
        <v>331</v>
      </c>
      <c r="B12" t="s">
        <v>321</v>
      </c>
      <c r="C12" t="s">
        <v>1</v>
      </c>
      <c r="D12" t="str">
        <f t="shared" si="11"/>
        <v>PikProcess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MaxPikProcessLength = 50;
</v>
      </c>
      <c r="J12" t="str">
        <f t="shared" si="3"/>
        <v xml:space="preserve">		[StringLength(MaxPikProcessLength)]
		public virtual string PikProcess { get; set; }
</v>
      </c>
      <c r="K12" s="7"/>
      <c r="L12" t="str">
        <f t="shared" si="12"/>
        <v/>
      </c>
      <c r="M12" t="str">
        <f t="shared" si="4"/>
        <v xml:space="preserve">		public virtual string PikProcess { get; set; }
</v>
      </c>
      <c r="N12" t="str">
        <f t="shared" si="5"/>
        <v xml:space="preserve">		[StringLength(MstLgaBp2PartListConsts.MaxPikProcessLength)]
		public virtual string PikProcess { get; set; }
</v>
      </c>
      <c r="O12" t="str">
        <f t="shared" si="6"/>
        <v xml:space="preserve">		public virtual string PikProcess { get; set; }
</v>
      </c>
      <c r="P12" t="str">
        <f t="shared" si="7"/>
        <v xml:space="preserve">							PikProcess = o.PikProcess,</v>
      </c>
      <c r="T12" s="69" t="str">
        <f t="shared" si="8"/>
        <v xml:space="preserve">								("PikProcess"),</v>
      </c>
      <c r="V12" s="70" t="str">
        <f t="shared" si="9"/>
        <v xml:space="preserve">								_ =&gt; _.PikProcess,</v>
      </c>
      <c r="W12" s="69" t="str">
        <f t="shared" si="10"/>
        <v xml:space="preserve">				.WhereIf(!string.IsNullOrWhiteSpace(input.PikProcess), e =&gt; e.PikProcess.Contains(input.PikProcess))</v>
      </c>
    </row>
    <row r="13" spans="1:23" customFormat="1" ht="18.75" customHeight="1" x14ac:dyDescent="0.2">
      <c r="A13" t="s">
        <v>335</v>
      </c>
      <c r="B13" t="s">
        <v>4</v>
      </c>
      <c r="C13" t="s">
        <v>1</v>
      </c>
      <c r="D13" t="str">
        <f t="shared" si="11"/>
        <v>PikSorting</v>
      </c>
      <c r="E13" t="str">
        <f t="shared" si="0"/>
        <v>int</v>
      </c>
      <c r="F13" s="7"/>
      <c r="G13" t="str">
        <f t="shared" si="1"/>
        <v/>
      </c>
      <c r="H13" t="str">
        <f>+VLOOKUP(E13,'Data Type Mapping'!A:B,2,)</f>
        <v>int</v>
      </c>
      <c r="I13" t="str">
        <f t="shared" si="2"/>
        <v/>
      </c>
      <c r="J13" t="str">
        <f t="shared" si="3"/>
        <v xml:space="preserve">		public virtual int PikSorting { get; set; }
</v>
      </c>
      <c r="K13" s="7"/>
      <c r="L13" t="str">
        <f t="shared" si="12"/>
        <v/>
      </c>
      <c r="M13" t="str">
        <f t="shared" si="4"/>
        <v xml:space="preserve">		public virtual int PikSorting { get; set; }
</v>
      </c>
      <c r="N13" t="str">
        <f t="shared" si="5"/>
        <v xml:space="preserve">		public virtual int PikSorting { get; set; }
</v>
      </c>
      <c r="O13" t="str">
        <f t="shared" si="6"/>
        <v xml:space="preserve">		public virtual int PikSorting { get; set; }
</v>
      </c>
      <c r="P13" t="str">
        <f t="shared" si="7"/>
        <v xml:space="preserve">							PikSorting = o.PikSorting,</v>
      </c>
      <c r="T13" s="69" t="str">
        <f t="shared" si="8"/>
        <v xml:space="preserve">								("PikSorting"),</v>
      </c>
      <c r="V13" s="70" t="str">
        <f t="shared" si="9"/>
        <v xml:space="preserve">								_ =&gt; _.PikSorting,</v>
      </c>
      <c r="W13" s="69" t="str">
        <f t="shared" si="10"/>
        <v/>
      </c>
    </row>
    <row r="14" spans="1:23" customFormat="1" ht="18.75" customHeight="1" x14ac:dyDescent="0.2">
      <c r="A14" t="s">
        <v>332</v>
      </c>
      <c r="B14" t="s">
        <v>321</v>
      </c>
      <c r="C14" t="s">
        <v>1</v>
      </c>
      <c r="D14" t="str">
        <f t="shared" ref="D14" si="13">SUBSTITUTE(PROPER(A14),"_","")</f>
        <v>DelProcess</v>
      </c>
      <c r="E14" t="str">
        <f t="shared" ref="E14" si="14">IFERROR(LEFT(B14, FIND("(",B14)-1),B14)</f>
        <v>varchar</v>
      </c>
      <c r="F14" s="7"/>
      <c r="G14" t="str">
        <f t="shared" ref="G14" si="15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16">IF(H14="string",REPT(CHAR(9),2)&amp;"public const int Max"&amp;D14&amp;"Length = "&amp;G14&amp;";"&amp;$E$3,"" )</f>
        <v xml:space="preserve">		public const int MaxDelProcessLength = 50;
</v>
      </c>
      <c r="J14" t="str">
        <f t="shared" ref="J14" si="17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[StringLength(MaxDelProcessLength)]
		public virtual string DelProcess { get; set; }
</v>
      </c>
      <c r="K14" s="7"/>
      <c r="L14" t="str">
        <f t="shared" ref="L14" si="18">IF(K14="","",REPT(CHAR(9),1)&amp;"[Index(nameof("&amp;IF(D14="","",""&amp;D14)&amp;")"&amp;", Name="&amp;"""IX_"&amp;$B$7&amp;"_"&amp;D14&amp;""")]")</f>
        <v/>
      </c>
      <c r="M14" t="str">
        <f t="shared" ref="M14" si="19">REPT(CHAR(9),2)&amp;"public virtual "&amp;IF(OR(H14="DateTime",H14="TimeSpan"),H14&amp;"?",H14)&amp;IF(C14="?","? "," ")&amp;D14&amp;" { get; set; }" &amp; "
"</f>
        <v xml:space="preserve">		public virtual string DelProcess { get; set; }
</v>
      </c>
      <c r="N14" t="str">
        <f t="shared" ref="N14" si="20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[StringLength(MstLgaBp2PartListConsts.MaxDelProcessLength)]
		public virtual string DelProcess { get; set; }
</v>
      </c>
      <c r="O14" t="str">
        <f t="shared" ref="O14" si="21">IF(OR(H14="string",H14="DateTime",H14="int"),REPT(CHAR(9),2)&amp;"public virtual "&amp;IF(OR(H14="DateTime",H14="TimeSpan"),H14&amp;"?",H14)&amp;IF(C14="?","? "," ")&amp;D14&amp;" { get; set; }"&amp;$E$3,"")</f>
        <v xml:space="preserve">		public virtual string DelProcess { get; set; }
</v>
      </c>
      <c r="P14" t="str">
        <f t="shared" ref="P14" si="22">REPT(CHAR(9),7)&amp;D14&amp;" = o." &amp;D14 &amp;","</f>
        <v xml:space="preserve">							DelProcess = o.DelProcess,</v>
      </c>
      <c r="T14" s="69" t="str">
        <f t="shared" ref="T14" si="23">REPT(CHAR(9),8)&amp;"("""&amp;D14&amp;"""),"</f>
        <v xml:space="preserve">								("DelProcess"),</v>
      </c>
      <c r="V14" s="70" t="str">
        <f t="shared" ref="V14" si="24">REPT(CHAR(9),8)&amp;"_ =&gt; _."&amp;D14&amp;","</f>
        <v xml:space="preserve">								_ =&gt; _.DelProcess,</v>
      </c>
      <c r="W14" s="69" t="str">
        <f t="shared" ref="W14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.WhereIf(!string.IsNullOrWhiteSpace(input.DelProcess), e =&gt; e.DelProcess.Contains(input.DelProcess))</v>
      </c>
    </row>
    <row r="15" spans="1:23" customFormat="1" ht="18.75" customHeight="1" x14ac:dyDescent="0.2">
      <c r="A15" t="s">
        <v>336</v>
      </c>
      <c r="B15" t="s">
        <v>4</v>
      </c>
      <c r="C15" t="s">
        <v>1</v>
      </c>
      <c r="D15" t="str">
        <f t="shared" ref="D15:D16" si="26">SUBSTITUTE(PROPER(A15),"_","")</f>
        <v>DelSorting</v>
      </c>
      <c r="E15" t="str">
        <f t="shared" ref="E15:E16" si="27">IFERROR(LEFT(B15, FIND("(",B15)-1),B15)</f>
        <v>int</v>
      </c>
      <c r="F15" s="7"/>
      <c r="G15" t="str">
        <f t="shared" ref="G15:G16" si="28">IFERROR(MID(B15,FIND("(",B15) +1, FIND(")",B15) - FIND("(",B15) - 1),"")</f>
        <v/>
      </c>
      <c r="H15" t="str">
        <f>+VLOOKUP(E15,'Data Type Mapping'!A:B,2,)</f>
        <v>int</v>
      </c>
      <c r="I15" t="str">
        <f t="shared" ref="I15:I16" si="29">IF(H15="string",REPT(CHAR(9),2)&amp;"public const int Max"&amp;D15&amp;"Length = "&amp;G15&amp;";"&amp;$E$3,"" )</f>
        <v/>
      </c>
      <c r="J15" t="str">
        <f t="shared" ref="J15:J16" si="30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int DelSorting { get; set; }
</v>
      </c>
      <c r="K15" s="7"/>
      <c r="L15" t="str">
        <f t="shared" ref="L15:L16" si="31">IF(K15="","",REPT(CHAR(9),1)&amp;"[Index(nameof("&amp;IF(D15="","",""&amp;D15)&amp;")"&amp;", Name="&amp;"""IX_"&amp;$B$7&amp;"_"&amp;D15&amp;""")]")</f>
        <v/>
      </c>
      <c r="M15" t="str">
        <f t="shared" ref="M15:M16" si="32">REPT(CHAR(9),2)&amp;"public virtual "&amp;IF(OR(H15="DateTime",H15="TimeSpan"),H15&amp;"?",H15)&amp;IF(C15="?","? "," ")&amp;D15&amp;" { get; set; }" &amp; "
"</f>
        <v xml:space="preserve">		public virtual int DelSorting { get; set; }
</v>
      </c>
      <c r="N15" t="str">
        <f t="shared" ref="N15:N16" si="33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int DelSorting { get; set; }
</v>
      </c>
      <c r="O15" t="str">
        <f t="shared" ref="O15:O16" si="34">IF(OR(H15="string",H15="DateTime",H15="int"),REPT(CHAR(9),2)&amp;"public virtual "&amp;IF(OR(H15="DateTime",H15="TimeSpan"),H15&amp;"?",H15)&amp;IF(C15="?","? "," ")&amp;D15&amp;" { get; set; }"&amp;$E$3,"")</f>
        <v xml:space="preserve">		public virtual int DelSorting { get; set; }
</v>
      </c>
      <c r="P15" t="str">
        <f t="shared" ref="P15:P16" si="35">REPT(CHAR(9),7)&amp;D15&amp;" = o." &amp;D15 &amp;","</f>
        <v xml:space="preserve">							DelSorting = o.DelSorting,</v>
      </c>
      <c r="T15" s="69" t="str">
        <f t="shared" ref="T15:T16" si="36">REPT(CHAR(9),8)&amp;"("""&amp;D15&amp;"""),"</f>
        <v xml:space="preserve">								("DelSorting"),</v>
      </c>
      <c r="V15" s="70" t="str">
        <f t="shared" ref="V15:V16" si="37">REPT(CHAR(9),8)&amp;"_ =&gt; _."&amp;D15&amp;","</f>
        <v xml:space="preserve">								_ =&gt; _.DelSorting,</v>
      </c>
      <c r="W15" s="69" t="str">
        <f t="shared" ref="W15:W16" si="38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">
      <c r="A16" t="s">
        <v>337</v>
      </c>
      <c r="B16" t="s">
        <v>338</v>
      </c>
      <c r="C16" t="s">
        <v>1</v>
      </c>
      <c r="D16" t="str">
        <f t="shared" si="26"/>
        <v>Remark</v>
      </c>
      <c r="E16" t="str">
        <f t="shared" si="27"/>
        <v>nvarchar</v>
      </c>
      <c r="F16" s="7"/>
      <c r="G16" t="str">
        <f t="shared" si="28"/>
        <v>500</v>
      </c>
      <c r="H16" t="str">
        <f>+VLOOKUP(E16,'Data Type Mapping'!A:B,2,)</f>
        <v>string</v>
      </c>
      <c r="I16" t="str">
        <f t="shared" si="29"/>
        <v xml:space="preserve">		public const int MaxRemarkLength = 500;
</v>
      </c>
      <c r="J16" t="str">
        <f t="shared" si="30"/>
        <v xml:space="preserve">		[StringLength(MaxRemarkLength)]
		public virtual string Remark { get; set; }
</v>
      </c>
      <c r="K16" s="7"/>
      <c r="L16" t="str">
        <f t="shared" si="31"/>
        <v/>
      </c>
      <c r="M16" t="str">
        <f t="shared" si="32"/>
        <v xml:space="preserve">		public virtual string Remark { get; set; }
</v>
      </c>
      <c r="N16" t="str">
        <f t="shared" si="33"/>
        <v xml:space="preserve">		[StringLength(MstLgaBp2PartListConsts.MaxRemarkLength)]
		public virtual string Remark { get; set; }
</v>
      </c>
      <c r="O16" t="str">
        <f t="shared" si="34"/>
        <v xml:space="preserve">		public virtual string Remark { get; set; }
</v>
      </c>
      <c r="P16" t="str">
        <f t="shared" si="35"/>
        <v xml:space="preserve">							Remark = o.Remark,</v>
      </c>
      <c r="T16" s="69" t="str">
        <f t="shared" si="36"/>
        <v xml:space="preserve">								("Remark"),</v>
      </c>
      <c r="V16" s="70" t="str">
        <f t="shared" si="37"/>
        <v xml:space="preserve">								_ =&gt; _.Remark,</v>
      </c>
      <c r="W16" s="69" t="str">
        <f t="shared" si="38"/>
        <v xml:space="preserve">				.WhereIf(!string.IsNullOrWhiteSpace(input.Remark), e =&gt; e.Remark.Contains(input.Remark))</v>
      </c>
    </row>
    <row r="17" spans="1:23" customFormat="1" ht="22.5" customHeight="1" x14ac:dyDescent="0.2">
      <c r="A17" t="s">
        <v>324</v>
      </c>
      <c r="B17" t="s">
        <v>325</v>
      </c>
      <c r="C17" t="s">
        <v>1</v>
      </c>
      <c r="D17" t="str">
        <f>SUBSTITUTE(PROPER(A17),"_","")</f>
        <v>IsActive</v>
      </c>
      <c r="E17" t="str">
        <f t="shared" si="0"/>
        <v>varchar</v>
      </c>
      <c r="F17" s="7"/>
      <c r="G17" t="str">
        <f t="shared" si="1"/>
        <v>1</v>
      </c>
      <c r="H17" t="str">
        <f>+VLOOKUP(E17,'Data Type Mapping'!A:B,2,)</f>
        <v>string</v>
      </c>
      <c r="I17" t="str">
        <f t="shared" si="2"/>
        <v xml:space="preserve">		public const int MaxIsActiveLength = 1;
</v>
      </c>
      <c r="J17" t="str">
        <f t="shared" si="3"/>
        <v xml:space="preserve">		[StringLength(MaxIsActiveLength)]
		public virtual string IsActive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[Index(nameof(IsActive), Name="IX_MstLgaBp2PartList_IsActive")]</v>
      </c>
      <c r="M17" t="str">
        <f t="shared" si="4"/>
        <v xml:space="preserve">		public virtual string IsActive { get; set; }
</v>
      </c>
      <c r="N17" t="str">
        <f t="shared" si="5"/>
        <v xml:space="preserve">		[StringLength(MstLgaBp2PartListConsts.MaxIsActiveLength)]
		public virtual string IsActive { get; set; }
</v>
      </c>
      <c r="O17" t="str">
        <f t="shared" si="6"/>
        <v xml:space="preserve">		public virtual string IsActive { get; set; }
</v>
      </c>
      <c r="P17" t="str">
        <f t="shared" si="7"/>
        <v xml:space="preserve">							IsActive = o.IsActive,</v>
      </c>
      <c r="T17" s="69" t="str">
        <f t="shared" si="8"/>
        <v xml:space="preserve">								("IsActive"),</v>
      </c>
      <c r="V17" s="70" t="str">
        <f t="shared" si="9"/>
        <v xml:space="preserve">								_ =&gt; _.IsActive,</v>
      </c>
      <c r="W17" s="69" t="str">
        <f t="shared" si="10"/>
        <v xml:space="preserve">				.WhereIf(!string.IsNullOrWhiteSpace(input.IsActive), e =&gt; e.IsActive.Contains(input.IsActive))</v>
      </c>
    </row>
    <row r="19" spans="1:23" ht="45.75" customHeight="1" x14ac:dyDescent="0.2">
      <c r="H19" s="12"/>
      <c r="I19" s="34" t="str">
        <f ca="1">TEXTJOIN2("
", TRUE,INDIRECT( $H$1):INDIRECT( $H$3))</f>
        <v xml:space="preserve">		public const int MaxPartNameLength = 500;
		public const int MaxShortNameLength = 200;
		public const int MaxProdLineLength = 50;
		public const int MaxPikProcessLength = 50;
		public const int MaxDelProcessLength = 50;
		public const int MaxRemarkLength = 500;
		public const int MaxIsActiveLength = 1;
</v>
      </c>
      <c r="J19" s="33" t="str">
        <f ca="1">TEXTJOIN2("
", TRUE,INDIRECT( $F$1):INDIRECT( $F$3))</f>
        <v xml:space="preserve">		[StringLength(MaxPartNameLength)]
		public virtual string PartName { get; set; }
		[StringLength(MaxShortNameLength)]
		public virtual string ShortName { get; set; }
		[StringLength(MaxProdLineLength)]
		public virtual string ProdLine { get; set; }
		[StringLength(MaxPikProcessLength)]
		public virtual string PikProcess { get; set; }
		public virtual int PikSorting { get; set; }
		[StringLength(MaxDelProcessLength)]
		public virtual string DelProcess { get; set; }
		public virtual int DelSorting { get; set; }
		[StringLength(MaxRemarkLength)]
		public virtual string Remark { get; set; }
		[StringLength(MaxIsActiveLength)]
		public virtual string IsActive { get; set; }
</v>
      </c>
      <c r="K19" s="35" t="str">
        <f ca="1">TEXTJOIN2("
", TRUE,INDIRECT( $J$1):INDIRECT( $J$3))</f>
        <v xml:space="preserve">	[Index(nameof(IsActive), Name="IX_MstLgaBp2PartList_IsActive")]</v>
      </c>
      <c r="L19" s="13" t="s">
        <v>60</v>
      </c>
      <c r="M19" s="36" t="str">
        <f ca="1">TEXTJOIN2("
",TRUE,INDIRECT( $L$1):INDIRECT($L$3))</f>
        <v xml:space="preserve">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</v>
      </c>
      <c r="N19" s="33" t="str">
        <f ca="1">TEXTJOIN2("
",TRUE,INDIRECT( $M$1):INDIRECT($M$3))</f>
        <v xml:space="preserve">		[StringLength(MstLgaBp2PartListConsts.MaxPartNameLength)]
		public virtual string PartName { get; set; }
		[StringLength(MstLgaBp2PartListConsts.MaxShortNameLength)]
		public virtual string ShortName { get; set; }
		[StringLength(MstLgaBp2PartListConsts.MaxProdLineLength)]
		public virtual string ProdLine { get; set; }
		[StringLength(MstLgaBp2PartListConsts.MaxPikProcessLength)]
		public virtual string PikProcess { get; set; }
		public virtual int PikSorting { get; set; }
		[StringLength(MstLgaBp2PartListConsts.MaxDelProcessLength)]
		public virtual string DelProcess { get; set; }
		public virtual int DelSorting { get; set; }
		[StringLength(MstLgaBp2PartListConsts.MaxRemarkLength)]
		public virtual string Remark { get; set; }
		[StringLength(MstLgaBp2PartListConsts.MaxIsActiveLength)]
		public virtual string IsActive { get; set; }
</v>
      </c>
      <c r="O19" s="33" t="str">
        <f ca="1">TEXTJOIN2("
",TRUE,INDIRECT( $N$1):INDIRECT($N$3))</f>
        <v xml:space="preserve">		public virtual string PartName { get; set; }
		public virtual string ShortName { get; set; }
		public virtual string ProdLine { get; set; }
		public virtual string PikProcess { get; set; }
		public virtual int PikSorting { get; set; }
		public virtual string DelProcess { get; set; }
		public virtual int DelSorting { get; set; }
		public virtual string Remark { get; set; }
		public virtual string IsActive { get; set; }
</v>
      </c>
      <c r="P19" s="9" t="str">
        <f ca="1">TEXTJOIN2("
",TRUE,INDIRECT( $O$1):INDIRECT($O$3))</f>
        <v xml:space="preserve">							PartName = o.PartName,
							ShortName = o.ShortName,
							ProdLine = o.ProdLine,
							PikProcess = o.PikProcess,
							PikSorting = o.PikSorting,
							DelProcess = o.DelProcess,
							DelSorting = o.DelSorting,
							Remark = o.Remark,
							IsActive = o.IsActive,</v>
      </c>
      <c r="T19" s="9" t="str">
        <f ca="1">TEXTJOIN2("
",TRUE,INDIRECT( $T$2):INDIRECT($T$3))</f>
        <v xml:space="preserve">								("PartName"),
								("ShortName"),
								("ProdLine"),
								("PikProcess"),
								("PikSorting"),
								("DelProcess"),
								("DelSorting"),
								("Remark"),
								("IsActive"),</v>
      </c>
      <c r="V19" s="9" t="str">
        <f ca="1">TEXTJOIN2("
",TRUE,INDIRECT( $V$2):INDIRECT($V$3))</f>
        <v xml:space="preserve">								_ =&gt; _.PartName,
								_ =&gt; _.ShortName,
								_ =&gt; _.ProdLine,
								_ =&gt; _.PikProcess,
								_ =&gt; _.PikSorting,
								_ =&gt; _.DelProcess,
								_ =&gt; _.DelSorting,
								_ =&gt; _.Remark,
								_ =&gt; _.IsActive,</v>
      </c>
      <c r="W19" s="9" t="str">
        <f ca="1">TEXTJOIN2("
",TRUE,INDIRECT( $W$2):INDIRECT($W$3))</f>
        <v xml:space="preserve">				.WhereIf(!string.IsNullOrWhiteSpace(input.PartName), e =&gt; e.PartName.Contains(input.PartName))
				.WhereIf(!string.IsNullOrWhiteSpace(input.ShortName), e =&gt; e.ShortName.Contains(input.ShortName))
				.WhereIf(!string.IsNullOrWhiteSpace(input.ProdLine), e =&gt; e.ProdLine.Contains(input.ProdLine))
				.WhereIf(!string.IsNullOrWhiteSpace(input.PikProcess), e =&gt; e.PikProcess.Contains(input.PikProcess))
				.WhereIf(!string.IsNullOrWhiteSpace(input.DelProcess), e =&gt; e.DelProcess.Contains(input.DelProcess))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6"/>
  <sheetViews>
    <sheetView tabSelected="1" zoomScaleNormal="100" workbookViewId="0">
      <selection activeCell="A25" sqref="A25"/>
    </sheetView>
  </sheetViews>
  <sheetFormatPr baseColWidth="10" defaultColWidth="8.83203125" defaultRowHeight="15" x14ac:dyDescent="0.2"/>
  <cols>
    <col min="1" max="1" width="17.6640625" customWidth="1"/>
    <col min="2" max="2" width="15.5" customWidth="1"/>
    <col min="3" max="3" width="16.83203125" customWidth="1"/>
    <col min="4" max="7" width="15.1640625" customWidth="1"/>
    <col min="8" max="8" width="24.5" customWidth="1"/>
    <col min="9" max="9" width="26.1640625" customWidth="1"/>
    <col min="10" max="10" width="22.33203125" customWidth="1"/>
    <col min="11" max="11" width="25.83203125" customWidth="1"/>
    <col min="12" max="12" width="23.6640625" customWidth="1"/>
    <col min="13" max="13" width="23.5" customWidth="1"/>
    <col min="14" max="15" width="20.5" customWidth="1"/>
    <col min="16" max="16" width="25.83203125" customWidth="1"/>
    <col min="17" max="18" width="25.5" customWidth="1"/>
    <col min="19" max="19" width="24" customWidth="1"/>
    <col min="20" max="20" width="19.1640625" customWidth="1"/>
    <col min="21" max="21" width="19.83203125" customWidth="1"/>
    <col min="22" max="22" width="13.6640625" customWidth="1"/>
  </cols>
  <sheetData>
    <row r="1" spans="1:22" ht="32" x14ac:dyDescent="0.2">
      <c r="A1" s="41" t="s">
        <v>212</v>
      </c>
      <c r="B1" s="42" t="s">
        <v>328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ht="16" x14ac:dyDescent="0.2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ht="16" x14ac:dyDescent="0.2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">
      <c r="A6" s="41" t="s">
        <v>224</v>
      </c>
      <c r="B6" s="44" t="str">
        <f>A.Backend!B3</f>
        <v>MstLgaBp2PartList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">
      <c r="A7" s="41" t="s">
        <v>215</v>
      </c>
      <c r="B7" s="43" t="str">
        <f>A.Backend!B5</f>
        <v>Bp2PartList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">
      <c r="A8" s="41" t="s">
        <v>213</v>
      </c>
      <c r="B8" s="43" t="str">
        <f>LOWER(B7)</f>
        <v>bp2partlist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MstLgaBp2PartListDto, MstLgaBp2PartListServiceProxy } from '@shared/service-proxies/service-proxies';
import { finalize } from 'rxjs/internal/operators/finalize';
import { CreateOrEditBp2PartListModalComponent } from './create-or-edit-bp2partlist-modal.component';
import { DatePipe } from '@angular/common';
import { FileDownloadService } from '@shared/utils/file-download.service';
import ceil from 'lodash-es/ceil';
import { Paginator } from 'primeng/paginator';
@Component({
    templateUrl: './bp2partlist.component.html',
    styleUrls: ['./bp2partlist.component.less'],
})
export class Bp2PartListComponent extends AppComponentBase implements OnInit {
    @ViewChild('createOrEditModalBp2PartList', { static: true }) createOrEditModalBp2PartList:| CreateOrEditBp2PartListModalComponent|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MstLgaBp2PartListDto = new MstLgaBp2PartListDto();
    saveSelectedRow: MstLgaBp2PartListDto = new MstLgaBp2PartListDto();
    datas: MstLgaBp2PartListDto = new MstLgaBp2PartListDto();
    isLoading: boolean = false;
    dataParams: GridParams | undefined;
    rowData: any[] = [];
    gridApi!: GridApi;
    rowSelection = 'multiple';
    filter: string = '';
	pipe = new DatePipe('en-US');
	frameworkComponents: FrameworkComponent;
    partName : string = '' ; 
	shortName : string = '' ; 
	prodLine : string = '' ; 
	pikProcess : string = '' ; 
	pikSorting : number = 0 ;
	delProcess : string = '' ; 
	delSorting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Name'),headerTooltip: this.l('Part Name'),field: 'partName',flex: 1},
			{headerName: this.l('Short Name'),headerTooltip: this.l('Short Name'),field: 'shortName',flex: 1},
			{headerName: this.l('Prod Line'),headerTooltip: this.l('Prod Line'),field: 'prodLine',flex: 1},
			{headerName: this.l('Pik Process'),headerTooltip: this.l('Pik Process'),field: 'pikProcess',flex: 1},
			{headerName: this.l('Pik Sorting'),headerTooltip: this.l('Pik Sorting'),field: 'pikSorting',flex: 1},
			{headerName: this.l('Del Process'),headerTooltip: this.l('Del Process'),field: 'delProcess',flex: 1},
			{headerName: this.l('Del Sorting'),headerTooltip: this.l('Del Sorting'),field: 'delSorting',flex: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this.partName,
			this.shortName,
			this.prodLine,
			this.pikProcess,
			this.pikSorting,
			this.delProcess,
			this.delSorting,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this.partName = '',
		this.shortName = '',
		this.prodLine = '',
		this.pikProcess = '',
		this.pikSorting = 0,
		this.delProcess = '',
		this.delSorting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this.partName,
			this.shortName,
			this.prodLine,
			this.pikProcess,
			this.pikSorting,
			this.delProcess,
			this.delSorting,
			this.remark,
			this.isActive,
			'',
            this.paginationParams.skipCount,
            this.paginationParams.pageSize
        );
    }
    onChangeRowSelection(params: { api: { getSelectedRows: () =&gt; MstLgaBp2PartListDto[] } }) {
        this.saveSelectedRow = params.api.getSelectedRows()[0] ?? new MstLgaBp2PartListDto();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this._service.getBp2PartListToExcel(
			this.partName,
			this.shortName,
			this.prodLine,
			this.pikProcess,
			this.pikSorting,
			this.delProcess,
			this.delSorting,
			this.remark,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[(ngModel)]='shortName' name='shortName'
									class='form-control' [placeholder]="l('Short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[(ngModel)]='pikProcess' name='pikProcess'
									class='form-control' [placeholder]="l('Pik Process')"
									type='text' (keyup.enter)='searchDatas()'&gt;
								&lt;/div&gt;
								&lt;div class='input-search'&gt;
									&lt;input [(ngModel)]='delProcess' name='delProcess'
									class='form-control' [placeholder]="l('Del Process')"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&lt;create-or-edit-bp2partlist-modal
    #createOrEditModalBp2PartList
    (modalSave)="callBackDataGrid(dataParams)"
    (modalClose)="onChangeRowSelection(dataParams)"
&gt;
&lt;/create-or-edit-bp2partlist-modal&gt;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#createOrEditModalBp2PartList="bs-modal"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Bp2PartList')}}&lt;/h3&gt;
                    &lt;h3 *ngIf="!rowdata.id"&gt;{{('Create New Bp2PartList')}}&lt;/h3&gt;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title'&gt;Short Name&lt;/label&gt;
						&lt;input type='text' class='col-md-10 form-control input-text' name='ShortName' [(ngModel)]='rowdata.shortName'&gt;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title'&gt;Pik Process&lt;/label&gt;
						&lt;input type='text' class='col-md-10 form-control input-text' name='PikProcess' [(ngModel)]='rowdata.pikProcess'&gt;
					&lt;/div&gt;
					&lt;div class='col-md-12 form-group row'&gt;
						&lt;label class='col-md-2 form-control title'&gt;Pik Sorting&lt;/label&gt;
						&lt;input type='number' class='col-md-10 form-control input-text' name='PikSorting' [(ngModel)]='rowdata.pikSorting'&gt;
					&lt;/div&gt;
					&lt;div class='col-md-12 form-group row'&gt;
						&lt;label class='col-md-2 form-control title'&gt;Del Process&lt;/label&gt;
						&lt;input type='text' class='col-md-10 form-control input-text' name='DelProcess' [(ngModel)]='rowdata.delProcess'&gt;
					&lt;/div&gt;
					&lt;div class='col-md-12 form-group row'&gt;
						&lt;label class='col-md-2 form-control title'&gt;Del Sorting&lt;/label&gt;
						&lt;input type='number' class='col-md-10 form-control input-text' name='DelSorting' [(ngModel)]='rowdata.delSorting'&gt;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CreateOrEditMstLgaBp2PartListDto, MstLgaBp2PartListServiceProxy } from '@shared/service-proxies/service-proxies';
import { BsDatepickerDirective } from 'ngx-bootstrap/datepicker';
@Component({
    selector: 'create-or-edit-bp2partlist-modal',
    templateUrl: './create-or-edit-bp2partlist-modal.component.html',
    styleUrls: ['./create-or-edit-bp2partlist-modal.component.less']
    })
export class CreateOrEditBp2PartListModalComponent extends AppComponentBase {
    @ViewChild('createOrEditModalBp2PartList',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CreateOrEditMstLgaBp2PartListDto = new CreateOrEditMstLgaBp2PartListDto();
    active: boolean = false;
    saving: boolean = false;
    _isActive: boolean;
    constructor(
        injector: Injector,
        private _mstwptBp2PartListService: MstLgaBp2PartListServiceProxy,
    ) 
    {
        super(injector);
    }
    show(rowdata?: CreateOrEditMstLgaBp2PartListDto): void {
        if (!rowdata) this.rowdata = new CreateOrEditMstLgaBp2PartListDto();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Bp2PartListRoutingModule } from './bp2partlist-routing.module';
import { Bp2PartListComponent } from './bp2partlist.component';
import { CreateOrEditBp2PartListModalComponent } from './create-or-edit-bp2partlist-modal.component';
@NgModule({
    declarations: [
       Bp2PartListComponent, 
        CreateOrEditBp2PartListModalComponent
    ],
    imports: [
        AppSharedModule, Bp2PartListRoutingModule]
})
export class Bp2PartListModule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Bp2PartListComponent } from './bp2partlist.component';
const routes: Routes = [{
    path: '',
    component: Bp2PartListComponent,
    pathMatch: 'full'
}];
@NgModule({
    imports: [RouterModule.forChild(routes)],
    exports: [RouterModule],
})
export class Bp2PartListRoutingModule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AppMenuItem("Bp2PartList", "Pages.Master.LogA.Bp2PartList", "flaticon-book",   "/app/main/master/loga/bp2partlist"),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'master/loga/bp2partlist',
    loadChildren: () =&gt; import('./master/loga/bp2partlist/bp2partlist.module').then(m =&gt; m.Bp2PartListModule),
    data: { permission: 'Pages.Master.LogA.Bp2PartList' }
},</v>
      </c>
      <c r="R10" s="50" t="str">
        <f>SUBSTITUTE(R9,"MstWptCalendar",$B$6)</f>
        <v>ApiServiceProxies.MstLgaBp2PartListServiceProxy,</v>
      </c>
      <c r="S10" s="31"/>
      <c r="T10" s="31"/>
      <c r="U10" s="31"/>
      <c r="V10" s="31"/>
    </row>
    <row r="11" spans="1:22" x14ac:dyDescent="0.2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Name'),headerTooltip: this.l('Part Name'),field: 'partName',flex: 1},
			{headerName: this.l('Short Name'),headerTooltip: this.l('Short Name'),field: 'shortName',flex: 1},
			{headerName: this.l('Prod Line'),headerTooltip: this.l('Prod Line'),field: 'prodLine',flex: 1},
			{headerName: this.l('Pik Process'),headerTooltip: this.l('Pik Process'),field: 'pikProcess',flex: 1},
			{headerName: this.l('Pik Sorting'),headerTooltip: this.l('Pik Sorting'),field: 'pikSorting',flex: 1},
			{headerName: this.l('Del Process'),headerTooltip: this.l('Del Process'),field: 'delProcess',flex: 1},
			{headerName: this.l('Del Sorting'),headerTooltip: this.l('Del Sorting'),field: 'delSorting',flex: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[(ngModel)]='shortName' name='shortName'
									class='form-control' [placeholder]="l('Short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[(ngModel)]='pikProcess' name='pikProcess'
									class='form-control' [placeholder]="l('Pik Process')"
									type='text' (keyup.enter)='searchDatas()'&gt;
								&lt;/div&gt;
								&lt;div class='input-search'&gt;
									&lt;input [(ngModel)]='delProcess' name='delProcess'
									class='form-control' [placeholder]="l('Del Process')"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title'&gt;Short Name&lt;/label&gt;
						&lt;input type='text' class='col-md-10 form-control input-text' name='ShortName' [(ngModel)]='rowdata.shortName'&gt;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title'&gt;Pik Process&lt;/label&gt;
						&lt;input type='text' class='col-md-10 form-control input-text' name='PikProcess' [(ngModel)]='rowdata.pikProcess'&gt;
					&lt;/div&gt;
					&lt;div class='col-md-12 form-group row'&gt;
						&lt;label class='col-md-2 form-control title'&gt;Pik Sorting&lt;/label&gt;
						&lt;input type='number' class='col-md-10 form-control input-text' name='PikSorting' [(ngModel)]='rowdata.pikSorting'&gt;
					&lt;/div&gt;
					&lt;div class='col-md-12 form-group row'&gt;
						&lt;label class='col-md-2 form-control title'&gt;Del Process&lt;/label&gt;
						&lt;input type='text' class='col-md-10 form-control input-text' name='DelProcess' [(ngModel)]='rowdata.delProcess'&gt;
					&lt;/div&gt;
					&lt;div class='col-md-12 form-group row'&gt;
						&lt;label class='col-md-2 form-control title'&gt;Del Sorting&lt;/label&gt;
						&lt;input type='number' class='col-md-10 form-control input-text' name='DelSorting' [(ngModel)]='rowdata.delSorting'&gt;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partName : string = '' ; 
	shortName : string = '' ; 
	prodLine : string = '' ; 
	pikProcess : string = '' ; 
	pikSorting : number = 0 ;
	delProcess : string = '' ; 
	delSorting : number = 0 ;
	remark : string = '' ; 
	isActive : string = '' ; </v>
      </c>
      <c r="T13" s="68" t="str">
        <f ca="1">TEXTJOIN2("
",TRUE,INDIRECT(T11):INDIRECT(T12))</f>
        <v xml:space="preserve">			this.partName,
			this.shortName,
			this.prodLine,
			this.pikProcess,
			this.pikSorting,
			this.delProcess,
			this.delSorting,
			this.remark,
			this.isActive,</v>
      </c>
      <c r="U13" s="68" t="str">
        <f ca="1">TEXTJOIN2("
",TRUE,INDIRECT(U11):INDIRECT(U12))</f>
        <v>this.partName = '',
		this.shortName = '',
		this.prodLine = '',
		this.pikProcess = '',
		this.pikSorting = 0,
		this.delProcess = '',
		this.delSorting = 0,
		this.remark = '',
		this.isActive = '',</v>
      </c>
      <c r="V13" s="31" t="str">
        <f ca="1">TEXTJOIN2("
",TRUE,INDIRECT(V11):INDIRECT(V12))</f>
        <v>isActive</v>
      </c>
    </row>
    <row r="14" spans="1:22" x14ac:dyDescent="0.2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bp2partlist.component.ts</v>
      </c>
      <c r="I14" s="40" t="str">
        <f>B8&amp;".component.html"</f>
        <v>bp2partlist.component.html</v>
      </c>
      <c r="J14" s="39" t="str">
        <f>B8&amp;".component.less"</f>
        <v>bp2partlist.component.less</v>
      </c>
      <c r="K14" s="40" t="str">
        <f>"create-or-edit-"&amp;B8&amp;"-modal.component.html"</f>
        <v>create-or-edit-bp2partlist-modal.component.html</v>
      </c>
      <c r="L14" s="40" t="str">
        <f>"create-or-edit-"&amp;B8&amp;"-modal.component.ts"</f>
        <v>create-or-edit-bp2partlist-modal.component.ts</v>
      </c>
      <c r="M14" s="40" t="str">
        <f>"create-or-edit-"&amp;B8&amp;"-modal.component.less"</f>
        <v>create-or-edit-bp2partlist-modal.component.less</v>
      </c>
      <c r="N14" s="40" t="str">
        <f>B8&amp;".module.ts"</f>
        <v>bp2partlist.module.ts</v>
      </c>
      <c r="O14" s="40" t="str">
        <f>B8&amp;"-routing.module.ts"</f>
        <v>bp2partlist-routing.module.ts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">
      <c r="A15" s="31" t="s">
        <v>329</v>
      </c>
      <c r="B15" s="31" t="str">
        <f>SUBSTITUTE(PROPER(A15),"_","")</f>
        <v>PartName</v>
      </c>
      <c r="C15" s="31" t="str">
        <f>SUBSTITUTE(PROPER(A15),"_"," ")</f>
        <v>Part Name</v>
      </c>
      <c r="D15" s="31" t="str">
        <f>LOWER(LEFT(B15,1))&amp;RIGHT(B15,LEN(B15) - 1)</f>
        <v>partName</v>
      </c>
      <c r="E15" s="31" t="str">
        <f>A.Backend!H9</f>
        <v>string</v>
      </c>
      <c r="F15" s="31" t="str">
        <f>A.Backend!G9</f>
        <v>500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Name'),headerTooltip: this.l('Part Name'),field: 'partName',flex: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partName : string = '' ; </v>
      </c>
      <c r="T15" s="31" t="str">
        <f>REPT(CHAR(9),3)&amp;"this."&amp;D15&amp;","</f>
        <v xml:space="preserve">			this.partName,</v>
      </c>
      <c r="U15" s="31" t="str">
        <f>IF(E15="int","this."&amp;D15&amp;" = 0,","this."&amp;D15&amp;" = '',")</f>
        <v>this.partName = '',</v>
      </c>
      <c r="V15" s="31" t="str">
        <f>IF(AND(E15="string",F15="1"),D15,"")</f>
        <v/>
      </c>
    </row>
    <row r="16" spans="1:22" ht="15" customHeight="1" x14ac:dyDescent="0.2">
      <c r="A16" s="31" t="s">
        <v>330</v>
      </c>
      <c r="B16" s="31" t="str">
        <f t="shared" ref="B16:B20" si="0">SUBSTITUTE(PROPER(A16),"_","")</f>
        <v>ShortName</v>
      </c>
      <c r="C16" s="31" t="str">
        <f t="shared" ref="C16:C20" si="1">SUBSTITUTE(PROPER(A16),"_"," ")</f>
        <v>Short Name</v>
      </c>
      <c r="D16" s="31" t="str">
        <f t="shared" ref="D16:D20" si="2">LOWER(LEFT(B16,1))&amp;RIGHT(B16,LEN(B16) - 1)</f>
        <v>shortName</v>
      </c>
      <c r="E16" s="31" t="str">
        <f>A.Backend!H10</f>
        <v>string</v>
      </c>
      <c r="F16" s="31" t="str">
        <f>A.Backend!G10</f>
        <v>200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this.l('Short Name'),headerTooltip: this.l('Short Name'),field: 'shortName',flex: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[(ngModel)]='shortName' name='shortName'
									class='form-control' [placeholder]="l('Short Name')"
									type='text' (keyup.enter)='searchDatas()'&gt;
								&lt;/div&gt;</v>
      </c>
      <c r="J16" s="31"/>
      <c r="K16" s="38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title'&gt;Short Name&lt;/label&gt;
						&lt;input type='text' class='col-md-10 form-control input-text' name='ShortName' [(ngModel)]='rowdata.shortName'&gt;
					&lt;/div&gt;</v>
      </c>
      <c r="L16" s="60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shortName : string = '' ; </v>
      </c>
      <c r="T16" s="31" t="str">
        <f>REPT(CHAR(9),3)&amp;"this."&amp;D16&amp;","</f>
        <v xml:space="preserve">			this.shortName,</v>
      </c>
      <c r="U16" s="31" t="str">
        <f>IF(E16="int",REPT(CHAR(9),2)&amp;"this."&amp;D16&amp;" = 0,",REPT(CHAR(9),2)&amp;"this."&amp;D16&amp;" = '',")</f>
        <v xml:space="preserve">		this.shortName = '',</v>
      </c>
      <c r="V16" s="31" t="str">
        <f t="shared" ref="V16:V20" si="8">IF(AND(E16="string",F16="1"),D16,"")</f>
        <v/>
      </c>
    </row>
    <row r="17" spans="1:22" ht="18" customHeight="1" x14ac:dyDescent="0.2">
      <c r="A17" s="31" t="s">
        <v>323</v>
      </c>
      <c r="B17" s="31" t="str">
        <f t="shared" si="0"/>
        <v>ProdLine</v>
      </c>
      <c r="C17" s="31" t="str">
        <f t="shared" si="1"/>
        <v>Prod Line</v>
      </c>
      <c r="D17" s="31" t="str">
        <f t="shared" si="2"/>
        <v>prodLine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this.l('Prod Line'),headerTooltip: this.l('Prod Line'),field: 'prodLine',flex: 1},</v>
      </c>
      <c r="I17" s="38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prodLine : string = '' ; </v>
      </c>
      <c r="T17" s="31" t="str">
        <f t="shared" ref="T17:T20" si="10">REPT(CHAR(9),3)&amp;"this."&amp;D17&amp;","</f>
        <v xml:space="preserve">			this.prodLine,</v>
      </c>
      <c r="U17" s="31" t="str">
        <f t="shared" ref="U17:U20" si="11">IF(E17="int",REPT(CHAR(9),2)&amp;"this."&amp;D17&amp;" = 0,",REPT(CHAR(9),2)&amp;"this."&amp;D17&amp;" = '',")</f>
        <v xml:space="preserve">		this.prodLine = '',</v>
      </c>
      <c r="V17" s="31" t="str">
        <f t="shared" si="8"/>
        <v/>
      </c>
    </row>
    <row r="18" spans="1:22" ht="18" customHeight="1" x14ac:dyDescent="0.2">
      <c r="A18" s="31" t="s">
        <v>331</v>
      </c>
      <c r="B18" s="31" t="str">
        <f t="shared" si="0"/>
        <v>PikProcess</v>
      </c>
      <c r="C18" s="31" t="str">
        <f t="shared" si="1"/>
        <v>Pik Process</v>
      </c>
      <c r="D18" s="31" t="str">
        <f t="shared" si="2"/>
        <v>pikProcess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this.l('Pik Process'),headerTooltip: this.l('Pik Process'),field: 'pikProcess',flex: 1},</v>
      </c>
      <c r="I18" s="38" t="str">
        <f t="shared" si="5"/>
        <v xml:space="preserve">								&lt;div class='input-search'&gt;
									&lt;input [(ngModel)]='pikProcess' name='pikProcess'
									class='form-control' [placeholder]="l('Pik Process')"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title'&gt;Pik Process&lt;/label&gt;
						&lt;input type='text' class='col-md-10 form-control input-text' name='PikProcess' [(ngModel)]='rowdata.pikProcess'&gt;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pikProcess : string = '' ; </v>
      </c>
      <c r="T18" s="31" t="str">
        <f t="shared" si="10"/>
        <v xml:space="preserve">			this.pikProcess,</v>
      </c>
      <c r="U18" s="31" t="str">
        <f t="shared" si="11"/>
        <v xml:space="preserve">		this.pikProcess = '',</v>
      </c>
      <c r="V18" s="31" t="str">
        <f t="shared" si="8"/>
        <v/>
      </c>
    </row>
    <row r="19" spans="1:22" ht="15" customHeight="1" x14ac:dyDescent="0.2">
      <c r="A19" s="31" t="s">
        <v>335</v>
      </c>
      <c r="B19" s="31" t="str">
        <f>SUBSTITUTE(PROPER(A19),"_","")</f>
        <v>PikSorting</v>
      </c>
      <c r="C19" s="31" t="str">
        <f>SUBSTITUTE(PROPER(A19),"_"," ")</f>
        <v>Pik Sorting</v>
      </c>
      <c r="D19" s="31" t="str">
        <f>LOWER(LEFT(B19,1))&amp;RIGHT(B19,LEN(B19) - 1)</f>
        <v>pikSorting</v>
      </c>
      <c r="E19" s="31" t="str">
        <f>A.Backend!H13</f>
        <v>int</v>
      </c>
      <c r="F19" s="31" t="str">
        <f>A.Backend!G13</f>
        <v/>
      </c>
      <c r="G19" s="31" t="str">
        <f>IF(E19="string"," : string = '' ; ",IF(OR(E19="DateTime",E19="TimeSpan")," : any ;",IF(E19="int"," : number = 0 ;","")))</f>
        <v xml:space="preserve"> : number = 0 ;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this.l('Pik Sorting'),headerTooltip: this.l('Pik Sorting'),field: 'pikSorting',flex: 1},</v>
      </c>
      <c r="I19" s="38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31"/>
      <c r="K19" s="38" t="str">
        <f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title'&gt;Pik Sorting&lt;/label&gt;
						&lt;input type='number' class='col-md-10 form-control input-text' name='PikSorting' [(ngModel)]='rowdata.pikSorting'&gt;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pikSorting : number = 0 ;</v>
      </c>
      <c r="T19" s="31" t="str">
        <f>REPT(CHAR(9),3)&amp;"this."&amp;D19&amp;","</f>
        <v xml:space="preserve">			this.pikSorting,</v>
      </c>
      <c r="U19" s="31" t="str">
        <f>IF(E19="int",REPT(CHAR(9),2)&amp;"this."&amp;D19&amp;" = 0,",REPT(CHAR(9),2)&amp;"this."&amp;D19&amp;" = '',")</f>
        <v xml:space="preserve">		this.pikSorting = 0,</v>
      </c>
      <c r="V19" s="31" t="str">
        <f>IF(AND(E19="string",F19="1"),D19,"")</f>
        <v/>
      </c>
    </row>
    <row r="20" spans="1:22" ht="15" customHeight="1" x14ac:dyDescent="0.2">
      <c r="A20" s="31" t="s">
        <v>332</v>
      </c>
      <c r="B20" s="31" t="str">
        <f t="shared" si="0"/>
        <v>DelProcess</v>
      </c>
      <c r="C20" s="31" t="str">
        <f t="shared" si="1"/>
        <v>Del Process</v>
      </c>
      <c r="D20" s="31" t="str">
        <f t="shared" si="2"/>
        <v>delProcess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 t="shared" si="4"/>
        <v xml:space="preserve">			{headerName: this.l('Del Process'),headerTooltip: this.l('Del Process'),field: 'delProcess',flex: 1},</v>
      </c>
      <c r="I20" s="38" t="str">
        <f t="shared" si="5"/>
        <v xml:space="preserve">								&lt;div class='input-search'&gt;
									&lt;input [(ngModel)]='delProcess' name='delProcess'
									class='form-control' [placeholder]="l('Del Process')"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title'&gt;Del Process&lt;/label&gt;
						&lt;input type='text' class='col-md-10 form-control input-text' name='DelProcess' [(ngModel)]='rowdata.delProcess'&gt;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delProcess : string = '' ; </v>
      </c>
      <c r="T20" s="31" t="str">
        <f t="shared" si="10"/>
        <v xml:space="preserve">			this.delProcess,</v>
      </c>
      <c r="U20" s="31" t="str">
        <f t="shared" si="11"/>
        <v xml:space="preserve">		this.delProcess = '',</v>
      </c>
      <c r="V20" s="31" t="str">
        <f t="shared" si="8"/>
        <v/>
      </c>
    </row>
    <row r="21" spans="1:22" ht="15" customHeight="1" x14ac:dyDescent="0.2">
      <c r="A21" s="31" t="s">
        <v>336</v>
      </c>
      <c r="B21" s="31" t="str">
        <f t="shared" ref="B21:B23" si="12">SUBSTITUTE(PROPER(A21),"_","")</f>
        <v>DelSorting</v>
      </c>
      <c r="C21" s="31" t="str">
        <f t="shared" ref="C21:C23" si="13">SUBSTITUTE(PROPER(A21),"_"," ")</f>
        <v>Del Sorting</v>
      </c>
      <c r="D21" s="31" t="str">
        <f t="shared" ref="D21:D23" si="14">LOWER(LEFT(B21,1))&amp;RIGHT(B21,LEN(B21) - 1)</f>
        <v>delSorting</v>
      </c>
      <c r="E21" s="31" t="str">
        <f>A.Backend!H15</f>
        <v>int</v>
      </c>
      <c r="F21" s="31" t="str">
        <f>A.Backend!G15</f>
        <v/>
      </c>
      <c r="G21" s="31" t="str">
        <f t="shared" ref="G21:G23" si="15">IF(E21="string"," : string = '' ; ",IF(OR(E21="DateTime",E21="TimeSpan")," : any ;",IF(E21="int"," : number = 0 ;","")))</f>
        <v xml:space="preserve"> : number = 0 ;</v>
      </c>
      <c r="H21" s="38" t="str">
        <f t="shared" ref="H21:H23" si="16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this.l('Del Sorting'),headerTooltip: this.l('Del Sorting'),field: 'delSorting',flex: 1},</v>
      </c>
      <c r="I21" s="38" t="str">
        <f t="shared" ref="I21:I23" si="17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31"/>
      <c r="K21" s="38" t="str">
        <f t="shared" ref="K21:K23" si="18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title'&gt;Del Sorting&lt;/label&gt;
						&lt;input type='number' class='col-md-10 form-control input-text' name='DelSorting' [(ngModel)]='rowdata.delSorting'&gt;
					&lt;/div&gt;</v>
      </c>
      <c r="L21" s="60" t="str">
        <f t="shared" ref="L21:L23" si="19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delSorting : number = 0 ;</v>
      </c>
      <c r="T21" s="31" t="str">
        <f>REPT(CHAR(9),3)&amp;"this."&amp;D21&amp;","</f>
        <v xml:space="preserve">			this.delSorting,</v>
      </c>
      <c r="U21" s="31" t="str">
        <f>IF(E21="int",REPT(CHAR(9),2)&amp;"this."&amp;D21&amp;" = 0,",REPT(CHAR(9),2)&amp;"this."&amp;D21&amp;" = '',")</f>
        <v xml:space="preserve">		this.delSorting = 0,</v>
      </c>
      <c r="V21" s="31" t="str">
        <f t="shared" ref="V21:V23" si="20">IF(AND(E21="string",F21="1"),D21,"")</f>
        <v/>
      </c>
    </row>
    <row r="22" spans="1:22" ht="15" customHeight="1" x14ac:dyDescent="0.2">
      <c r="A22" s="31" t="s">
        <v>337</v>
      </c>
      <c r="B22" s="31" t="str">
        <f t="shared" si="12"/>
        <v>Remark</v>
      </c>
      <c r="C22" s="31" t="str">
        <f t="shared" si="13"/>
        <v>Remark</v>
      </c>
      <c r="D22" s="31" t="str">
        <f t="shared" si="14"/>
        <v>remark</v>
      </c>
      <c r="E22" s="31" t="str">
        <f>A.Backend!H16</f>
        <v>string</v>
      </c>
      <c r="F22" s="31" t="str">
        <f>A.Backend!G16</f>
        <v>500</v>
      </c>
      <c r="G22" s="31" t="str">
        <f t="shared" si="15"/>
        <v xml:space="preserve"> : string = '' ; </v>
      </c>
      <c r="H22" s="38" t="str">
        <f t="shared" si="16"/>
        <v xml:space="preserve">			{headerName: this.l('Remark'),headerTooltip: this.l('Remark'),field: 'remark',flex: 1},</v>
      </c>
      <c r="I22" s="38" t="str">
        <f t="shared" si="17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2" s="31"/>
      <c r="K22" s="38" t="str">
        <f t="shared" si="18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2" s="60" t="str">
        <f t="shared" si="19"/>
        <v/>
      </c>
      <c r="M22" s="31"/>
      <c r="N22" s="31"/>
      <c r="O22" s="31"/>
      <c r="P22" s="31"/>
      <c r="Q22" s="31"/>
      <c r="R22" s="31"/>
      <c r="S22" s="31" t="str">
        <f t="shared" ref="S22" si="21">REPT(CHAR(9),1)&amp;D22&amp;G22</f>
        <v xml:space="preserve">	remark : string = '' ; </v>
      </c>
      <c r="T22" s="31" t="str">
        <f t="shared" ref="T22" si="22">REPT(CHAR(9),3)&amp;"this."&amp;D22&amp;","</f>
        <v xml:space="preserve">			this.remark,</v>
      </c>
      <c r="U22" s="31" t="str">
        <f t="shared" ref="U22" si="23">IF(E22="int",REPT(CHAR(9),2)&amp;"this."&amp;D22&amp;" = 0,",REPT(CHAR(9),2)&amp;"this."&amp;D22&amp;" = '',")</f>
        <v xml:space="preserve">		this.remark = '',</v>
      </c>
      <c r="V22" s="31" t="str">
        <f t="shared" si="20"/>
        <v/>
      </c>
    </row>
    <row r="23" spans="1:22" ht="18" customHeight="1" x14ac:dyDescent="0.2">
      <c r="A23" s="31" t="s">
        <v>324</v>
      </c>
      <c r="B23" s="31" t="str">
        <f t="shared" si="12"/>
        <v>IsActive</v>
      </c>
      <c r="C23" s="31" t="str">
        <f t="shared" si="13"/>
        <v>Is Active</v>
      </c>
      <c r="D23" s="31" t="str">
        <f t="shared" si="14"/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15"/>
        <v xml:space="preserve"> : string = '' ; </v>
      </c>
      <c r="H23" s="38" t="str">
        <f t="shared" si="16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1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18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si="19"/>
        <v/>
      </c>
      <c r="M23" s="31"/>
      <c r="N23" s="31"/>
      <c r="O23" s="31"/>
      <c r="P23" s="31"/>
      <c r="Q23" s="31"/>
      <c r="R23" s="31"/>
      <c r="S23" s="31" t="str">
        <f t="shared" ref="S23" si="24">REPT(CHAR(9),1)&amp;D23&amp;G23</f>
        <v xml:space="preserve">	isActive : string = '' ; </v>
      </c>
      <c r="T23" s="31" t="str">
        <f t="shared" ref="T23" si="25">REPT(CHAR(9),3)&amp;"this."&amp;D23&amp;","</f>
        <v xml:space="preserve">			this.isActive,</v>
      </c>
      <c r="U23" s="31" t="str">
        <f t="shared" ref="U23" si="26">IF(E23="int",REPT(CHAR(9),2)&amp;"this."&amp;D23&amp;" = 0,",REPT(CHAR(9),2)&amp;"this."&amp;D23&amp;" = '',")</f>
        <v xml:space="preserve">		this.isActive = '',</v>
      </c>
      <c r="V23" s="31" t="str">
        <f t="shared" si="20"/>
        <v>isActive</v>
      </c>
    </row>
    <row r="26" spans="1:22" ht="17.2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baseColWidth="10" defaultColWidth="8.83203125" defaultRowHeight="15" x14ac:dyDescent="0.2"/>
  <cols>
    <col min="1" max="1" width="22.5" bestFit="1" customWidth="1"/>
    <col min="2" max="2" width="29.83203125" bestFit="1" customWidth="1"/>
  </cols>
  <sheetData>
    <row r="1" spans="1:2" x14ac:dyDescent="0.2">
      <c r="A1" s="1" t="s">
        <v>16</v>
      </c>
      <c r="B1" s="1" t="s">
        <v>17</v>
      </c>
    </row>
    <row r="2" spans="1:2" x14ac:dyDescent="0.2">
      <c r="A2" t="s">
        <v>19</v>
      </c>
      <c r="B2" t="s">
        <v>33</v>
      </c>
    </row>
    <row r="3" spans="1:2" x14ac:dyDescent="0.2">
      <c r="A3" t="s">
        <v>18</v>
      </c>
      <c r="B3" t="s">
        <v>33</v>
      </c>
    </row>
    <row r="4" spans="1:2" x14ac:dyDescent="0.2">
      <c r="A4" t="s">
        <v>20</v>
      </c>
      <c r="B4" t="s">
        <v>21</v>
      </c>
    </row>
    <row r="5" spans="1:2" x14ac:dyDescent="0.2">
      <c r="A5" t="s">
        <v>22</v>
      </c>
      <c r="B5" t="s">
        <v>36</v>
      </c>
    </row>
    <row r="6" spans="1:2" x14ac:dyDescent="0.2">
      <c r="A6" t="s">
        <v>23</v>
      </c>
      <c r="B6" t="s">
        <v>34</v>
      </c>
    </row>
    <row r="7" spans="1:2" x14ac:dyDescent="0.2">
      <c r="A7" t="s">
        <v>24</v>
      </c>
      <c r="B7" t="s">
        <v>4</v>
      </c>
    </row>
    <row r="8" spans="1:2" x14ac:dyDescent="0.2">
      <c r="A8" t="s">
        <v>4</v>
      </c>
      <c r="B8" t="s">
        <v>4</v>
      </c>
    </row>
    <row r="9" spans="1:2" x14ac:dyDescent="0.2">
      <c r="A9" t="s">
        <v>0</v>
      </c>
      <c r="B9" t="s">
        <v>48</v>
      </c>
    </row>
    <row r="10" spans="1:2" x14ac:dyDescent="0.2">
      <c r="A10" t="s">
        <v>25</v>
      </c>
      <c r="B10" t="s">
        <v>28</v>
      </c>
    </row>
    <row r="11" spans="1:2" x14ac:dyDescent="0.2">
      <c r="A11" t="s">
        <v>26</v>
      </c>
      <c r="B11" t="s">
        <v>28</v>
      </c>
    </row>
    <row r="12" spans="1:2" x14ac:dyDescent="0.2">
      <c r="A12" t="s">
        <v>27</v>
      </c>
      <c r="B12" t="s">
        <v>28</v>
      </c>
    </row>
    <row r="13" spans="1:2" x14ac:dyDescent="0.2">
      <c r="A13" t="s">
        <v>28</v>
      </c>
      <c r="B13" t="s">
        <v>28</v>
      </c>
    </row>
    <row r="14" spans="1:2" x14ac:dyDescent="0.2">
      <c r="A14" t="s">
        <v>29</v>
      </c>
      <c r="B14" t="s">
        <v>28</v>
      </c>
    </row>
    <row r="15" spans="1:2" x14ac:dyDescent="0.2">
      <c r="A15" t="s">
        <v>30</v>
      </c>
      <c r="B15" t="s">
        <v>28</v>
      </c>
    </row>
    <row r="16" spans="1:2" x14ac:dyDescent="0.2">
      <c r="A16" t="s">
        <v>31</v>
      </c>
      <c r="B16" t="s">
        <v>32</v>
      </c>
    </row>
    <row r="17" spans="1:2" x14ac:dyDescent="0.2">
      <c r="A17" t="s">
        <v>3</v>
      </c>
      <c r="B17" t="s">
        <v>32</v>
      </c>
    </row>
    <row r="18" spans="1:2" x14ac:dyDescent="0.2">
      <c r="A18" t="s">
        <v>35</v>
      </c>
      <c r="B18" t="s">
        <v>32</v>
      </c>
    </row>
    <row r="19" spans="1:2" x14ac:dyDescent="0.2">
      <c r="A19" t="s">
        <v>2</v>
      </c>
      <c r="B19" t="s">
        <v>32</v>
      </c>
    </row>
    <row r="20" spans="1:2" x14ac:dyDescent="0.2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baseColWidth="10" defaultColWidth="8.83203125" defaultRowHeight="16" x14ac:dyDescent="0.2"/>
  <cols>
    <col min="1" max="1" width="14.33203125" customWidth="1"/>
    <col min="2" max="2" width="71.6640625" style="22" customWidth="1"/>
  </cols>
  <sheetData>
    <row r="2" spans="1:2" x14ac:dyDescent="0.2">
      <c r="A2" s="24" t="s">
        <v>193</v>
      </c>
      <c r="B2" s="25" t="s">
        <v>190</v>
      </c>
    </row>
    <row r="3" spans="1:2" x14ac:dyDescent="0.2">
      <c r="B3" s="22" t="s">
        <v>115</v>
      </c>
    </row>
    <row r="4" spans="1:2" x14ac:dyDescent="0.2">
      <c r="B4" s="22" t="s">
        <v>116</v>
      </c>
    </row>
    <row r="5" spans="1:2" x14ac:dyDescent="0.2">
      <c r="B5" s="22" t="s">
        <v>117</v>
      </c>
    </row>
    <row r="6" spans="1:2" x14ac:dyDescent="0.2">
      <c r="B6" s="22" t="s">
        <v>118</v>
      </c>
    </row>
    <row r="7" spans="1:2" x14ac:dyDescent="0.2">
      <c r="B7" s="22" t="s">
        <v>119</v>
      </c>
    </row>
    <row r="8" spans="1:2" x14ac:dyDescent="0.2">
      <c r="B8" s="22" t="s">
        <v>120</v>
      </c>
    </row>
    <row r="9" spans="1:2" x14ac:dyDescent="0.2">
      <c r="B9" s="22" t="s">
        <v>121</v>
      </c>
    </row>
    <row r="10" spans="1:2" x14ac:dyDescent="0.2">
      <c r="B10" s="22" t="s">
        <v>122</v>
      </c>
    </row>
    <row r="11" spans="1:2" x14ac:dyDescent="0.2">
      <c r="B11" s="22" t="s">
        <v>123</v>
      </c>
    </row>
    <row r="12" spans="1:2" x14ac:dyDescent="0.2">
      <c r="B12" s="22" t="s">
        <v>124</v>
      </c>
    </row>
    <row r="13" spans="1:2" x14ac:dyDescent="0.2">
      <c r="B13" s="22" t="s">
        <v>125</v>
      </c>
    </row>
    <row r="14" spans="1:2" x14ac:dyDescent="0.2">
      <c r="B14" s="22" t="s">
        <v>126</v>
      </c>
    </row>
    <row r="15" spans="1:2" x14ac:dyDescent="0.2">
      <c r="B15" s="22" t="s">
        <v>127</v>
      </c>
    </row>
    <row r="16" spans="1:2" x14ac:dyDescent="0.2">
      <c r="B16" s="22" t="s">
        <v>128</v>
      </c>
    </row>
    <row r="17" spans="1:3" x14ac:dyDescent="0.2">
      <c r="B17" s="22" t="s">
        <v>129</v>
      </c>
    </row>
    <row r="18" spans="1:3" x14ac:dyDescent="0.2">
      <c r="B18" s="22" t="s">
        <v>130</v>
      </c>
      <c r="C18" t="s">
        <v>192</v>
      </c>
    </row>
    <row r="19" spans="1:3" x14ac:dyDescent="0.2">
      <c r="B19" s="22" t="s">
        <v>131</v>
      </c>
    </row>
    <row r="20" spans="1:3" x14ac:dyDescent="0.2">
      <c r="B20" s="22" t="s">
        <v>132</v>
      </c>
    </row>
    <row r="21" spans="1:3" x14ac:dyDescent="0.2">
      <c r="B21" s="22" t="s">
        <v>133</v>
      </c>
    </row>
    <row r="22" spans="1:3" x14ac:dyDescent="0.2">
      <c r="B22" s="22" t="s">
        <v>134</v>
      </c>
      <c r="C22" t="s">
        <v>197</v>
      </c>
    </row>
    <row r="23" spans="1:3" x14ac:dyDescent="0.2">
      <c r="B23" s="22" t="s">
        <v>135</v>
      </c>
    </row>
    <row r="24" spans="1:3" x14ac:dyDescent="0.2">
      <c r="B24" s="22" t="s">
        <v>136</v>
      </c>
    </row>
    <row r="25" spans="1:3" x14ac:dyDescent="0.2">
      <c r="B25" s="22" t="s">
        <v>137</v>
      </c>
    </row>
    <row r="26" spans="1:3" x14ac:dyDescent="0.2">
      <c r="A26" s="24" t="s">
        <v>194</v>
      </c>
      <c r="B26" s="25" t="s">
        <v>191</v>
      </c>
    </row>
    <row r="27" spans="1:3" x14ac:dyDescent="0.2">
      <c r="B27" s="22" t="s">
        <v>138</v>
      </c>
    </row>
    <row r="28" spans="1:3" x14ac:dyDescent="0.2">
      <c r="B28" s="23" t="s">
        <v>139</v>
      </c>
    </row>
    <row r="29" spans="1:3" x14ac:dyDescent="0.2">
      <c r="B29" s="22" t="s">
        <v>140</v>
      </c>
    </row>
    <row r="30" spans="1:3" x14ac:dyDescent="0.2">
      <c r="B30" s="22" t="s">
        <v>141</v>
      </c>
    </row>
    <row r="31" spans="1:3" x14ac:dyDescent="0.2">
      <c r="B31" s="22" t="s">
        <v>142</v>
      </c>
    </row>
    <row r="32" spans="1:3" x14ac:dyDescent="0.2">
      <c r="B32" s="22" t="s">
        <v>143</v>
      </c>
    </row>
    <row r="33" spans="2:2" x14ac:dyDescent="0.2">
      <c r="B33" s="22" t="s">
        <v>144</v>
      </c>
    </row>
    <row r="34" spans="2:2" x14ac:dyDescent="0.2">
      <c r="B34" s="22" t="s">
        <v>145</v>
      </c>
    </row>
    <row r="35" spans="2:2" x14ac:dyDescent="0.2">
      <c r="B35" s="22" t="s">
        <v>146</v>
      </c>
    </row>
    <row r="36" spans="2:2" x14ac:dyDescent="0.2">
      <c r="B36" s="22" t="s">
        <v>147</v>
      </c>
    </row>
    <row r="37" spans="2:2" x14ac:dyDescent="0.2">
      <c r="B37" s="22" t="s">
        <v>148</v>
      </c>
    </row>
    <row r="38" spans="2:2" x14ac:dyDescent="0.2">
      <c r="B38" s="22" t="s">
        <v>149</v>
      </c>
    </row>
    <row r="39" spans="2:2" x14ac:dyDescent="0.2">
      <c r="B39" s="22" t="s">
        <v>150</v>
      </c>
    </row>
    <row r="40" spans="2:2" x14ac:dyDescent="0.2">
      <c r="B40" s="22" t="s">
        <v>151</v>
      </c>
    </row>
    <row r="41" spans="2:2" x14ac:dyDescent="0.2">
      <c r="B41" s="22" t="s">
        <v>152</v>
      </c>
    </row>
    <row r="42" spans="2:2" x14ac:dyDescent="0.2">
      <c r="B42" s="22" t="s">
        <v>153</v>
      </c>
    </row>
    <row r="43" spans="2:2" x14ac:dyDescent="0.2">
      <c r="B43" s="23" t="s">
        <v>154</v>
      </c>
    </row>
    <row r="44" spans="2:2" x14ac:dyDescent="0.2">
      <c r="B44" s="22" t="s">
        <v>140</v>
      </c>
    </row>
    <row r="45" spans="2:2" x14ac:dyDescent="0.2">
      <c r="B45" s="22" t="s">
        <v>155</v>
      </c>
    </row>
    <row r="46" spans="2:2" x14ac:dyDescent="0.2">
      <c r="B46" s="22" t="s">
        <v>156</v>
      </c>
    </row>
    <row r="47" spans="2:2" x14ac:dyDescent="0.2">
      <c r="B47" s="22" t="s">
        <v>157</v>
      </c>
    </row>
    <row r="48" spans="2:2" x14ac:dyDescent="0.2">
      <c r="B48" s="22" t="s">
        <v>158</v>
      </c>
    </row>
    <row r="49" spans="2:2" x14ac:dyDescent="0.2">
      <c r="B49" s="22" t="s">
        <v>141</v>
      </c>
    </row>
    <row r="50" spans="2:2" x14ac:dyDescent="0.2">
      <c r="B50" s="22" t="s">
        <v>142</v>
      </c>
    </row>
    <row r="51" spans="2:2" x14ac:dyDescent="0.2">
      <c r="B51" s="22" t="s">
        <v>143</v>
      </c>
    </row>
    <row r="52" spans="2:2" x14ac:dyDescent="0.2">
      <c r="B52" s="22" t="s">
        <v>144</v>
      </c>
    </row>
    <row r="53" spans="2:2" x14ac:dyDescent="0.2">
      <c r="B53" s="22" t="s">
        <v>145</v>
      </c>
    </row>
    <row r="54" spans="2:2" x14ac:dyDescent="0.2">
      <c r="B54" s="22" t="s">
        <v>146</v>
      </c>
    </row>
    <row r="55" spans="2:2" x14ac:dyDescent="0.2">
      <c r="B55" s="22" t="s">
        <v>147</v>
      </c>
    </row>
    <row r="56" spans="2:2" x14ac:dyDescent="0.2">
      <c r="B56" s="22" t="s">
        <v>159</v>
      </c>
    </row>
    <row r="57" spans="2:2" x14ac:dyDescent="0.2">
      <c r="B57" s="22" t="s">
        <v>160</v>
      </c>
    </row>
    <row r="58" spans="2:2" x14ac:dyDescent="0.2">
      <c r="B58" s="22" t="s">
        <v>148</v>
      </c>
    </row>
    <row r="59" spans="2:2" x14ac:dyDescent="0.2">
      <c r="B59" s="22" t="s">
        <v>149</v>
      </c>
    </row>
    <row r="60" spans="2:2" x14ac:dyDescent="0.2">
      <c r="B60" s="22" t="s">
        <v>161</v>
      </c>
    </row>
    <row r="61" spans="2:2" x14ac:dyDescent="0.2">
      <c r="B61" s="22" t="s">
        <v>162</v>
      </c>
    </row>
    <row r="62" spans="2:2" x14ac:dyDescent="0.2">
      <c r="B62" s="22" t="s">
        <v>163</v>
      </c>
    </row>
    <row r="63" spans="2:2" x14ac:dyDescent="0.2">
      <c r="B63" s="22" t="s">
        <v>158</v>
      </c>
    </row>
    <row r="64" spans="2:2" x14ac:dyDescent="0.2">
      <c r="B64" s="22" t="s">
        <v>150</v>
      </c>
    </row>
    <row r="65" spans="2:2" x14ac:dyDescent="0.2">
      <c r="B65" s="22" t="s">
        <v>151</v>
      </c>
    </row>
    <row r="66" spans="2:2" x14ac:dyDescent="0.2">
      <c r="B66" s="22" t="s">
        <v>164</v>
      </c>
    </row>
    <row r="67" spans="2:2" x14ac:dyDescent="0.2">
      <c r="B67" s="22" t="s">
        <v>158</v>
      </c>
    </row>
    <row r="68" spans="2:2" x14ac:dyDescent="0.2">
      <c r="B68" s="22" t="s">
        <v>152</v>
      </c>
    </row>
    <row r="69" spans="2:2" x14ac:dyDescent="0.2">
      <c r="B69" s="22" t="s">
        <v>165</v>
      </c>
    </row>
    <row r="70" spans="2:2" x14ac:dyDescent="0.2">
      <c r="B70" s="23" t="s">
        <v>166</v>
      </c>
    </row>
    <row r="71" spans="2:2" x14ac:dyDescent="0.2">
      <c r="B71" s="22" t="s">
        <v>140</v>
      </c>
    </row>
    <row r="72" spans="2:2" x14ac:dyDescent="0.2">
      <c r="B72" s="22" t="s">
        <v>141</v>
      </c>
    </row>
    <row r="73" spans="2:2" x14ac:dyDescent="0.2">
      <c r="B73" s="22" t="s">
        <v>142</v>
      </c>
    </row>
    <row r="74" spans="2:2" x14ac:dyDescent="0.2">
      <c r="B74" s="22" t="s">
        <v>143</v>
      </c>
    </row>
    <row r="75" spans="2:2" x14ac:dyDescent="0.2">
      <c r="B75" s="22" t="s">
        <v>147</v>
      </c>
    </row>
    <row r="76" spans="2:2" x14ac:dyDescent="0.2">
      <c r="B76" s="22" t="s">
        <v>149</v>
      </c>
    </row>
    <row r="77" spans="2:2" x14ac:dyDescent="0.2">
      <c r="B77" s="22" t="s">
        <v>150</v>
      </c>
    </row>
    <row r="78" spans="2:2" x14ac:dyDescent="0.2">
      <c r="B78" s="22" t="s">
        <v>151</v>
      </c>
    </row>
    <row r="79" spans="2:2" x14ac:dyDescent="0.2">
      <c r="B79" s="22" t="s">
        <v>152</v>
      </c>
    </row>
    <row r="80" spans="2:2" x14ac:dyDescent="0.2">
      <c r="B80" s="22" t="s">
        <v>165</v>
      </c>
    </row>
    <row r="81" spans="1:2" x14ac:dyDescent="0.2">
      <c r="B81" s="23" t="s">
        <v>167</v>
      </c>
    </row>
    <row r="82" spans="1:2" x14ac:dyDescent="0.2">
      <c r="B82" s="23" t="s">
        <v>168</v>
      </c>
    </row>
    <row r="83" spans="1:2" x14ac:dyDescent="0.2">
      <c r="B83" s="23" t="s">
        <v>169</v>
      </c>
    </row>
    <row r="84" spans="1:2" x14ac:dyDescent="0.2">
      <c r="B84" s="23" t="s">
        <v>170</v>
      </c>
    </row>
    <row r="85" spans="1:2" x14ac:dyDescent="0.2">
      <c r="B85" s="23" t="s">
        <v>171</v>
      </c>
    </row>
    <row r="86" spans="1:2" x14ac:dyDescent="0.2">
      <c r="B86" s="23" t="s">
        <v>172</v>
      </c>
    </row>
    <row r="87" spans="1:2" x14ac:dyDescent="0.2">
      <c r="B87" s="23" t="s">
        <v>173</v>
      </c>
    </row>
    <row r="88" spans="1:2" x14ac:dyDescent="0.2">
      <c r="A88" s="24" t="s">
        <v>195</v>
      </c>
      <c r="B88" s="26" t="s">
        <v>174</v>
      </c>
    </row>
    <row r="89" spans="1:2" x14ac:dyDescent="0.2">
      <c r="B89" s="22" t="s">
        <v>175</v>
      </c>
    </row>
    <row r="90" spans="1:2" x14ac:dyDescent="0.2">
      <c r="B90" s="22" t="s">
        <v>176</v>
      </c>
    </row>
    <row r="91" spans="1:2" x14ac:dyDescent="0.2">
      <c r="B91" s="22" t="s">
        <v>177</v>
      </c>
    </row>
    <row r="92" spans="1:2" x14ac:dyDescent="0.2">
      <c r="B92" s="22" t="s">
        <v>178</v>
      </c>
    </row>
    <row r="93" spans="1:2" x14ac:dyDescent="0.2">
      <c r="B93" s="22" t="s">
        <v>179</v>
      </c>
    </row>
    <row r="94" spans="1:2" x14ac:dyDescent="0.2">
      <c r="B94" s="22" t="s">
        <v>180</v>
      </c>
    </row>
    <row r="95" spans="1:2" x14ac:dyDescent="0.2">
      <c r="B95" s="22" t="s">
        <v>181</v>
      </c>
    </row>
    <row r="96" spans="1:2" x14ac:dyDescent="0.2">
      <c r="B96" s="22" t="s">
        <v>182</v>
      </c>
    </row>
    <row r="97" spans="2:2" x14ac:dyDescent="0.2">
      <c r="B97" s="22" t="s">
        <v>183</v>
      </c>
    </row>
    <row r="98" spans="2:2" x14ac:dyDescent="0.2">
      <c r="B98" s="22" t="s">
        <v>184</v>
      </c>
    </row>
    <row r="99" spans="2:2" x14ac:dyDescent="0.2">
      <c r="B99" s="22" t="s">
        <v>185</v>
      </c>
    </row>
    <row r="100" spans="2:2" x14ac:dyDescent="0.2">
      <c r="B100" s="22" t="s">
        <v>186</v>
      </c>
    </row>
    <row r="101" spans="2:2" x14ac:dyDescent="0.2">
      <c r="B101" s="22" t="s">
        <v>187</v>
      </c>
    </row>
    <row r="102" spans="2:2" x14ac:dyDescent="0.2">
      <c r="B102" s="22" t="s">
        <v>188</v>
      </c>
    </row>
    <row r="103" spans="2:2" x14ac:dyDescent="0.2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Microsoft Office User</cp:lastModifiedBy>
  <dcterms:created xsi:type="dcterms:W3CDTF">2022-04-01T07:31:40Z</dcterms:created>
  <dcterms:modified xsi:type="dcterms:W3CDTF">2022-10-24T02:31:43Z</dcterms:modified>
</cp:coreProperties>
</file>
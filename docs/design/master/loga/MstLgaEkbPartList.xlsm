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master\loga\"/>
    </mc:Choice>
  </mc:AlternateContent>
  <bookViews>
    <workbookView xWindow="0" yWindow="495" windowWidth="28800" windowHeight="16425" activeTab="2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G20" i="5"/>
  <c r="V20" i="5"/>
  <c r="D20" i="5"/>
  <c r="T20" i="5" s="1"/>
  <c r="C20" i="5"/>
  <c r="B20" i="5"/>
  <c r="L14" i="1"/>
  <c r="G14" i="1"/>
  <c r="E14" i="1"/>
  <c r="H14" i="1" s="1"/>
  <c r="D14" i="1"/>
  <c r="V14" i="1" s="1"/>
  <c r="H20" i="5" l="1"/>
  <c r="S20" i="5"/>
  <c r="I20" i="5"/>
  <c r="K20" i="5"/>
  <c r="U20" i="5"/>
  <c r="L20" i="5"/>
  <c r="W14" i="1"/>
  <c r="O14" i="1"/>
  <c r="J14" i="1"/>
  <c r="N14" i="1"/>
  <c r="I14" i="1"/>
  <c r="M14" i="1"/>
  <c r="P14" i="1"/>
  <c r="T14" i="1"/>
  <c r="C22" i="5" l="1"/>
  <c r="B22" i="5"/>
  <c r="D22" i="5" s="1"/>
  <c r="C21" i="5"/>
  <c r="B21" i="5"/>
  <c r="D21" i="5" s="1"/>
  <c r="L17" i="1"/>
  <c r="G17" i="1"/>
  <c r="E17" i="1"/>
  <c r="H17" i="1" s="1"/>
  <c r="D17" i="1"/>
  <c r="V17" i="1" s="1"/>
  <c r="L16" i="1"/>
  <c r="G16" i="1"/>
  <c r="E16" i="1"/>
  <c r="H16" i="1" s="1"/>
  <c r="D16" i="1"/>
  <c r="V16" i="1" s="1"/>
  <c r="C27" i="5"/>
  <c r="B27" i="5"/>
  <c r="D27" i="5" s="1"/>
  <c r="C26" i="5"/>
  <c r="B26" i="5"/>
  <c r="D26" i="5" s="1"/>
  <c r="C23" i="5"/>
  <c r="B23" i="5"/>
  <c r="D23" i="5" s="1"/>
  <c r="C19" i="5"/>
  <c r="B19" i="5"/>
  <c r="D19" i="5" s="1"/>
  <c r="C18" i="5"/>
  <c r="B18" i="5"/>
  <c r="D18" i="5" s="1"/>
  <c r="L19" i="1"/>
  <c r="G19" i="1"/>
  <c r="E19" i="1"/>
  <c r="H19" i="1" s="1"/>
  <c r="D19" i="1"/>
  <c r="V19" i="1" s="1"/>
  <c r="L18" i="1"/>
  <c r="G18" i="1"/>
  <c r="E18" i="1"/>
  <c r="H18" i="1" s="1"/>
  <c r="D18" i="1"/>
  <c r="V18" i="1" s="1"/>
  <c r="L15" i="1"/>
  <c r="H15" i="1"/>
  <c r="G15" i="1"/>
  <c r="E15" i="1"/>
  <c r="D15" i="1"/>
  <c r="V15" i="1" s="1"/>
  <c r="G10" i="1"/>
  <c r="E10" i="1"/>
  <c r="H10" i="1" s="1"/>
  <c r="D10" i="1"/>
  <c r="V10" i="1" s="1"/>
  <c r="W16" i="1" l="1"/>
  <c r="V22" i="5"/>
  <c r="W17" i="1"/>
  <c r="W15" i="1"/>
  <c r="V21" i="5"/>
  <c r="P16" i="1"/>
  <c r="I21" i="5"/>
  <c r="T21" i="5"/>
  <c r="U21" i="5"/>
  <c r="K21" i="5"/>
  <c r="I22" i="5"/>
  <c r="T22" i="5"/>
  <c r="K22" i="5"/>
  <c r="G22" i="5"/>
  <c r="S22" i="5" s="1"/>
  <c r="L22" i="5"/>
  <c r="P17" i="1"/>
  <c r="T17" i="1"/>
  <c r="I17" i="1"/>
  <c r="N17" i="1"/>
  <c r="M17" i="1"/>
  <c r="J17" i="1"/>
  <c r="O17" i="1"/>
  <c r="T16" i="1"/>
  <c r="I23" i="5"/>
  <c r="M16" i="1"/>
  <c r="I16" i="1"/>
  <c r="N16" i="1"/>
  <c r="J16" i="1"/>
  <c r="O16" i="1"/>
  <c r="T23" i="5"/>
  <c r="T18" i="5"/>
  <c r="U23" i="5"/>
  <c r="T19" i="5"/>
  <c r="T26" i="5"/>
  <c r="T27" i="5"/>
  <c r="H23" i="5"/>
  <c r="W19" i="1"/>
  <c r="O19" i="1"/>
  <c r="J19" i="1"/>
  <c r="N19" i="1"/>
  <c r="I19" i="1"/>
  <c r="M19" i="1"/>
  <c r="P19" i="1"/>
  <c r="T19" i="1"/>
  <c r="O18" i="1"/>
  <c r="N18" i="1"/>
  <c r="I18" i="1"/>
  <c r="W18" i="1"/>
  <c r="J18" i="1"/>
  <c r="M18" i="1"/>
  <c r="P18" i="1"/>
  <c r="T18" i="1"/>
  <c r="P15" i="1"/>
  <c r="T15" i="1"/>
  <c r="M15" i="1"/>
  <c r="I15" i="1"/>
  <c r="N15" i="1"/>
  <c r="J15" i="1"/>
  <c r="O15" i="1"/>
  <c r="N10" i="1"/>
  <c r="I10" i="1"/>
  <c r="M10" i="1"/>
  <c r="W10" i="1"/>
  <c r="O10" i="1"/>
  <c r="J10" i="1"/>
  <c r="P10" i="1"/>
  <c r="T10" i="1"/>
  <c r="L21" i="1"/>
  <c r="G21" i="1"/>
  <c r="E21" i="1"/>
  <c r="H21" i="1" s="1"/>
  <c r="D21" i="1"/>
  <c r="V21" i="1" s="1"/>
  <c r="L20" i="1"/>
  <c r="G20" i="1"/>
  <c r="E20" i="1"/>
  <c r="H20" i="1" s="1"/>
  <c r="D20" i="1"/>
  <c r="T20" i="1" s="1"/>
  <c r="U22" i="5" l="1"/>
  <c r="H22" i="5"/>
  <c r="H21" i="5"/>
  <c r="L21" i="5"/>
  <c r="G21" i="5"/>
  <c r="S21" i="5" s="1"/>
  <c r="K26" i="5"/>
  <c r="K27" i="5"/>
  <c r="K23" i="5"/>
  <c r="I26" i="5"/>
  <c r="V26" i="5"/>
  <c r="H27" i="5"/>
  <c r="G27" i="5"/>
  <c r="S27" i="5" s="1"/>
  <c r="G26" i="5"/>
  <c r="S26" i="5" s="1"/>
  <c r="U26" i="5"/>
  <c r="H26" i="5"/>
  <c r="G23" i="5"/>
  <c r="S23" i="5" s="1"/>
  <c r="V23" i="5"/>
  <c r="L23" i="5"/>
  <c r="P21" i="1"/>
  <c r="M20" i="1"/>
  <c r="W21" i="1"/>
  <c r="O21" i="1"/>
  <c r="J21" i="1"/>
  <c r="N21" i="1"/>
  <c r="I21" i="1"/>
  <c r="M21" i="1"/>
  <c r="I20" i="1"/>
  <c r="N20" i="1"/>
  <c r="V20" i="1"/>
  <c r="J20" i="1"/>
  <c r="O20" i="1"/>
  <c r="W20" i="1"/>
  <c r="T21" i="1"/>
  <c r="P20" i="1"/>
  <c r="C30" i="5"/>
  <c r="B30" i="5"/>
  <c r="D30" i="5" s="1"/>
  <c r="L24" i="1"/>
  <c r="G24" i="1"/>
  <c r="E24" i="1"/>
  <c r="H24" i="1" s="1"/>
  <c r="D24" i="1"/>
  <c r="T24" i="1" s="1"/>
  <c r="L27" i="5" l="1"/>
  <c r="U27" i="5"/>
  <c r="I27" i="5"/>
  <c r="V27" i="5"/>
  <c r="L26" i="5"/>
  <c r="W24" i="1"/>
  <c r="U30" i="5"/>
  <c r="T30" i="5"/>
  <c r="P24" i="1"/>
  <c r="I24" i="1"/>
  <c r="N24" i="1"/>
  <c r="V24" i="1"/>
  <c r="M24" i="1"/>
  <c r="J24" i="1"/>
  <c r="O24" i="1"/>
  <c r="C29" i="5"/>
  <c r="B29" i="5"/>
  <c r="D29" i="5" s="1"/>
  <c r="V30" i="5" l="1"/>
  <c r="I30" i="5"/>
  <c r="K30" i="5"/>
  <c r="L30" i="5"/>
  <c r="G30" i="5"/>
  <c r="S30" i="5" s="1"/>
  <c r="H30" i="5"/>
  <c r="T29" i="5"/>
  <c r="C31" i="5" l="1"/>
  <c r="B31" i="5"/>
  <c r="D31" i="5" s="1"/>
  <c r="T31" i="5" s="1"/>
  <c r="C25" i="5"/>
  <c r="B25" i="5"/>
  <c r="D25" i="5" s="1"/>
  <c r="L22" i="1"/>
  <c r="G22" i="1"/>
  <c r="E22" i="1"/>
  <c r="H22" i="1" s="1"/>
  <c r="D22" i="1"/>
  <c r="V22" i="1" s="1"/>
  <c r="L23" i="1"/>
  <c r="G23" i="1"/>
  <c r="E23" i="1"/>
  <c r="H23" i="1" s="1"/>
  <c r="D23" i="1"/>
  <c r="V23" i="1" s="1"/>
  <c r="P22" i="1" l="1"/>
  <c r="T22" i="1"/>
  <c r="W22" i="1"/>
  <c r="I25" i="5"/>
  <c r="T25" i="5"/>
  <c r="K25" i="5"/>
  <c r="U25" i="5"/>
  <c r="G25" i="5"/>
  <c r="S25" i="5" s="1"/>
  <c r="L25" i="5"/>
  <c r="V25" i="5"/>
  <c r="H25" i="5"/>
  <c r="M22" i="1"/>
  <c r="I22" i="1"/>
  <c r="N22" i="1"/>
  <c r="J22" i="1"/>
  <c r="O22" i="1"/>
  <c r="W23" i="1"/>
  <c r="O23" i="1"/>
  <c r="J23" i="1"/>
  <c r="N23" i="1"/>
  <c r="I23" i="1"/>
  <c r="M23" i="1"/>
  <c r="P23" i="1"/>
  <c r="T23" i="1"/>
  <c r="Q3" i="1"/>
  <c r="U29" i="5" l="1"/>
  <c r="H29" i="5"/>
  <c r="G29" i="5"/>
  <c r="S29" i="5" s="1"/>
  <c r="I29" i="5"/>
  <c r="L29" i="5"/>
  <c r="K29" i="5"/>
  <c r="V29" i="5"/>
  <c r="B16" i="5"/>
  <c r="D16" i="5" s="1"/>
  <c r="C16" i="5"/>
  <c r="B17" i="5"/>
  <c r="D17" i="5" s="1"/>
  <c r="C17" i="5"/>
  <c r="B28" i="5"/>
  <c r="D28" i="5" s="1"/>
  <c r="C28" i="5"/>
  <c r="B24" i="5"/>
  <c r="D24" i="5" s="1"/>
  <c r="C24" i="5"/>
  <c r="C15" i="5"/>
  <c r="B15" i="5"/>
  <c r="D15" i="5" s="1"/>
  <c r="T15" i="5" s="1"/>
  <c r="G25" i="1"/>
  <c r="E25" i="1"/>
  <c r="H25" i="1" s="1"/>
  <c r="D25" i="1"/>
  <c r="V25" i="1" s="1"/>
  <c r="G13" i="1"/>
  <c r="E13" i="1"/>
  <c r="H13" i="1" s="1"/>
  <c r="D13" i="1"/>
  <c r="V13" i="1" s="1"/>
  <c r="G12" i="1"/>
  <c r="E12" i="1"/>
  <c r="H12" i="1" s="1"/>
  <c r="D12" i="1"/>
  <c r="V12" i="1" s="1"/>
  <c r="G11" i="1"/>
  <c r="E11" i="1"/>
  <c r="H11" i="1" s="1"/>
  <c r="D11" i="1"/>
  <c r="V11" i="1" s="1"/>
  <c r="G9" i="1"/>
  <c r="F15" i="5" s="1"/>
  <c r="E9" i="1"/>
  <c r="H9" i="1" s="1"/>
  <c r="E15" i="5" s="1"/>
  <c r="D9" i="1"/>
  <c r="T9" i="1" s="1"/>
  <c r="K19" i="5" l="1"/>
  <c r="G19" i="5"/>
  <c r="S19" i="5" s="1"/>
  <c r="V19" i="5"/>
  <c r="H19" i="5"/>
  <c r="U19" i="5"/>
  <c r="L19" i="5"/>
  <c r="I19" i="5"/>
  <c r="V18" i="5"/>
  <c r="L18" i="5"/>
  <c r="G18" i="5"/>
  <c r="S18" i="5" s="1"/>
  <c r="H18" i="5"/>
  <c r="I18" i="5"/>
  <c r="K18" i="5"/>
  <c r="U18" i="5"/>
  <c r="G31" i="5"/>
  <c r="S31" i="5" s="1"/>
  <c r="U31" i="5"/>
  <c r="K31" i="5"/>
  <c r="I31" i="5"/>
  <c r="V31" i="5"/>
  <c r="H31" i="5"/>
  <c r="L31" i="5"/>
  <c r="O25" i="1"/>
  <c r="G17" i="5"/>
  <c r="L17" i="5"/>
  <c r="O13" i="1"/>
  <c r="G16" i="5"/>
  <c r="V16" i="5"/>
  <c r="G28" i="5"/>
  <c r="S28" i="5" s="1"/>
  <c r="V28" i="5"/>
  <c r="H24" i="5"/>
  <c r="G15" i="5"/>
  <c r="S15" i="5" s="1"/>
  <c r="V15" i="5"/>
  <c r="P11" i="1"/>
  <c r="I24" i="5"/>
  <c r="I17" i="5"/>
  <c r="H17" i="5"/>
  <c r="I28" i="5"/>
  <c r="H28" i="5"/>
  <c r="H16" i="5"/>
  <c r="I16" i="5"/>
  <c r="L28" i="5"/>
  <c r="U28" i="5"/>
  <c r="U15" i="5"/>
  <c r="T24" i="5"/>
  <c r="T28" i="5"/>
  <c r="K28" i="5"/>
  <c r="H15" i="5"/>
  <c r="I15" i="5"/>
  <c r="K15" i="5"/>
  <c r="L16" i="5"/>
  <c r="L15" i="5"/>
  <c r="V17" i="5"/>
  <c r="P13" i="1"/>
  <c r="V9" i="1"/>
  <c r="T13" i="1"/>
  <c r="P25" i="1"/>
  <c r="T25" i="1"/>
  <c r="M12" i="1"/>
  <c r="W12" i="1"/>
  <c r="J12" i="1"/>
  <c r="I12" i="1"/>
  <c r="O12" i="1"/>
  <c r="N12" i="1"/>
  <c r="I9" i="1"/>
  <c r="O9" i="1"/>
  <c r="J9" i="1"/>
  <c r="N9" i="1"/>
  <c r="M9" i="1"/>
  <c r="W9" i="1"/>
  <c r="W11" i="1"/>
  <c r="J11" i="1"/>
  <c r="M11" i="1"/>
  <c r="I11" i="1"/>
  <c r="O11" i="1"/>
  <c r="N11" i="1"/>
  <c r="P12" i="1"/>
  <c r="I13" i="1"/>
  <c r="I25" i="1"/>
  <c r="T12" i="1"/>
  <c r="J13" i="1"/>
  <c r="W13" i="1"/>
  <c r="J25" i="1"/>
  <c r="W25" i="1"/>
  <c r="T11" i="1"/>
  <c r="M13" i="1"/>
  <c r="M25" i="1"/>
  <c r="P9" i="1"/>
  <c r="N13" i="1"/>
  <c r="N25" i="1"/>
  <c r="U24" i="5" l="1"/>
  <c r="L24" i="5"/>
  <c r="K24" i="5"/>
  <c r="G24" i="5"/>
  <c r="S24" i="5" s="1"/>
  <c r="V24" i="5"/>
  <c r="K17" i="5"/>
  <c r="U17" i="5"/>
  <c r="T17" i="5"/>
  <c r="S17" i="5"/>
  <c r="U16" i="5"/>
  <c r="K16" i="5"/>
  <c r="T16" i="5"/>
  <c r="S16" i="5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58" i="3" s="1"/>
  <c r="B4" i="5"/>
  <c r="K7" i="1"/>
  <c r="H6" i="1"/>
  <c r="R10" i="5" l="1"/>
  <c r="M65" i="3" s="1"/>
  <c r="N58" i="3" l="1"/>
  <c r="B8" i="5"/>
  <c r="B5" i="5"/>
  <c r="P10" i="5" l="1"/>
  <c r="K65" i="3" s="1"/>
  <c r="Q10" i="5"/>
  <c r="L65" i="3" s="1"/>
  <c r="B63" i="3"/>
  <c r="C63" i="3" s="1"/>
  <c r="M14" i="5"/>
  <c r="H64" i="3" s="1"/>
  <c r="L14" i="5"/>
  <c r="G64" i="3" s="1"/>
  <c r="K14" i="5"/>
  <c r="F64" i="3" s="1"/>
  <c r="L64" i="3"/>
  <c r="K64" i="3"/>
  <c r="O14" i="5"/>
  <c r="J64" i="3" s="1"/>
  <c r="N14" i="5"/>
  <c r="I64" i="3" s="1"/>
  <c r="J14" i="5"/>
  <c r="E64" i="3" s="1"/>
  <c r="I14" i="5"/>
  <c r="D64" i="3" s="1"/>
  <c r="H14" i="5"/>
  <c r="C64" i="3" s="1"/>
  <c r="O10" i="5"/>
  <c r="J65" i="3" s="1"/>
  <c r="N10" i="5"/>
  <c r="I65" i="3" s="1"/>
  <c r="M10" i="5"/>
  <c r="H65" i="3" s="1"/>
  <c r="J10" i="5"/>
  <c r="E65" i="3" s="1"/>
  <c r="N3" i="1" l="1"/>
  <c r="M3" i="1"/>
  <c r="O3" i="1"/>
  <c r="V27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27" i="1"/>
  <c r="T7" i="1" l="1"/>
  <c r="W27" i="1"/>
  <c r="G6" i="1" l="1"/>
  <c r="U13" i="5"/>
  <c r="K13" i="5"/>
  <c r="I13" i="5"/>
  <c r="L13" i="5"/>
  <c r="H13" i="5"/>
  <c r="S13" i="5"/>
  <c r="V13" i="5"/>
  <c r="K10" i="5" l="1"/>
  <c r="F65" i="3" s="1"/>
  <c r="I10" i="5"/>
  <c r="D65" i="3" s="1"/>
  <c r="H10" i="5"/>
  <c r="C65" i="3" s="1"/>
  <c r="L10" i="5"/>
  <c r="G65" i="3" s="1"/>
  <c r="L58" i="3"/>
  <c r="D58" i="3"/>
  <c r="D6" i="1"/>
  <c r="B6" i="1" l="1"/>
  <c r="L3" i="1"/>
  <c r="J3" i="1"/>
  <c r="H3" i="1"/>
  <c r="C6" i="1" l="1"/>
  <c r="P7" i="1" s="1"/>
  <c r="S3" i="1"/>
  <c r="S7" i="1" s="1"/>
  <c r="E6" i="1"/>
  <c r="F58" i="3"/>
  <c r="I3" i="1" l="1"/>
  <c r="B7" i="1"/>
  <c r="L13" i="1" s="1"/>
  <c r="L10" i="1" l="1"/>
  <c r="L12" i="1"/>
  <c r="L11" i="1"/>
  <c r="L9" i="1"/>
  <c r="L25" i="1"/>
  <c r="C7" i="1"/>
  <c r="J27" i="1"/>
  <c r="I27" i="1"/>
  <c r="N27" i="1"/>
  <c r="O27" i="1"/>
  <c r="P27" i="1"/>
  <c r="Q7" i="1" l="1"/>
  <c r="M58" i="3" s="1"/>
  <c r="L7" i="1"/>
  <c r="G58" i="3" s="1"/>
  <c r="K58" i="3"/>
  <c r="J58" i="3"/>
  <c r="M27" i="1"/>
  <c r="K27" i="1"/>
  <c r="R7" i="1" l="1"/>
  <c r="I58" i="3" s="1"/>
  <c r="M7" i="1"/>
  <c r="H58" i="3" s="1"/>
  <c r="J7" i="1"/>
  <c r="C5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5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<sst xmlns="http://schemas.openxmlformats.org/spreadsheetml/2006/main" count="471" uniqueCount="346">
  <si>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</si>
  <si>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</si>
  <si>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</si>
  <si>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</si>
  <si>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</si>
  <si>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</si>
  <si>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</si>
  <si>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</si>
  <si>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</si>
  <si>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</si>
  <si>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</si>
  <si>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</si>
  <si>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</si>
  <si>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</si>
  <si>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</si>
  <si>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</si>
  <si>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</si>
  <si>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</si>
  <si>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</si>
  <si>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</si>
  <si>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</si>
  <si>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</si>
  <si>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</si>
  <si>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</si>
  <si>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</si>
  <si>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</si>
  <si>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</si>
  <si>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</si>
  <si>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</si>
  <si>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</si>
  <si>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</si>
  <si>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</si>
  <si>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</si>
  <si>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</si>
  <si>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</si>
  <si>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</si>
  <si>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</si>
  <si>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</si>
  <si>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</si>
  <si>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</si>
  <si>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</si>
  <si>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</si>
  <si>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</si>
  <si>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</si>
  <si>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</si>
  <si>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</si>
  <si>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</si>
  <si>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</si>
  <si>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</si>
  <si>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</si>
  <si>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</si>
  <si>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</si>
  <si>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</si>
  <si>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</si>
  <si>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</si>
  <si>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</si>
  <si>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</si>
  <si>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</si>
  <si>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</si>
  <si>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</si>
  <si>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</si>
  <si>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</si>
  <si>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</si>
  <si>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</si>
  <si>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</si>
  <si>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</si>
  <si>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</si>
  <si>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</si>
  <si>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</si>
  <si>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</si>
  <si>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</si>
  <si>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</si>
  <si>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</si>
  <si>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</si>
  <si>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</si>
  <si>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</si>
  <si>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</si>
  <si>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</si>
  <si>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</si>
  <si>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</si>
  <si>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</si>
  <si>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</si>
  <si>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</si>
  <si>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</si>
  <si>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</si>
  <si>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</si>
  <si>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</si>
  <si>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</si>
  <si>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</si>
  <si>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</si>
  <si>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</si>
  <si>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</si>
  <si>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</si>
  <si>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</si>
  <si>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</si>
  <si>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</si>
  <si>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</si>
  <si>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</si>
  <si>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</si>
  <si>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</si>
  <si>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</si>
  <si>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</si>
  <si>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</si>
  <si>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</si>
  <si>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</si>
  <si>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</si>
  <si>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</si>
  <si>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</si>
  <si>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</si>
  <si>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</si>
  <si>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</si>
  <si>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</si>
  <si>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</si>
  <si>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</si>
  <si>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</si>
  <si>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</si>
  <si>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</si>
  <si>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</si>
  <si>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</si>
  <si>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</si>
  <si>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</si>
  <si>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</si>
  <si>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</si>
  <si>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</si>
  <si>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</si>
  <si>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</si>
  <si>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</si>
  <si>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</si>
  <si>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</si>
  <si>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</si>
  <si>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</si>
  <si>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</si>
  <si>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</si>
  <si>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</si>
  <si>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</si>
  <si>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</si>
  <si>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</si>
  <si>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</si>
  <si>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</si>
  <si>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</si>
  <si>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</si>
  <si>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</si>
  <si>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</si>
  <si>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</si>
  <si>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</si>
  <si>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</si>
  <si>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</si>
  <si>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</si>
  <si>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</si>
  <si>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</si>
  <si>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</si>
  <si>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</si>
  <si>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</si>
  <si>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</si>
  <si>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</si>
  <si>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</si>
  <si>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</si>
  <si>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</si>
  <si>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</si>
  <si>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</si>
  <si>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</si>
  <si>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</si>
  <si>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</si>
  <si>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</si>
  <si>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</si>
  <si>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</si>
  <si>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</si>
  <si>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</si>
  <si>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</si>
  <si>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</si>
  <si>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</si>
  <si>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</si>
  <si>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</si>
  <si>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</si>
  <si>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</si>
  <si>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</si>
  <si>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</si>
  <si>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</si>
  <si>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</si>
  <si>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</si>
  <si>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</si>
  <si>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</si>
  <si>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</si>
  <si>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</si>
  <si>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</si>
  <si>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</si>
  <si>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</si>
  <si>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</si>
  <si>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</si>
  <si>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</si>
  <si>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</si>
  <si>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</si>
  <si>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</si>
  <si>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</si>
  <si>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</si>
  <si>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</si>
  <si>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</si>
  <si>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</si>
  <si>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</si>
  <si>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</si>
  <si>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</si>
  <si>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</si>
  <si>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</si>
  <si>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</si>
  <si>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</si>
  <si>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</si>
  <si>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</si>
  <si>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</si>
  <si>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</si>
  <si>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</si>
  <si>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</si>
  <si>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</si>
  <si>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</si>
  <si>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</si>
  <si>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</si>
  <si>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</si>
  <si>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</si>
  <si>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</si>
  <si>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</si>
  <si>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</si>
  <si>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</si>
  <si>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</si>
  <si>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</si>
  <si>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</si>
  <si>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</si>
  <si>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</si>
  <si>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</si>
  <si>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</si>
  <si>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</si>
  <si>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</si>
  <si>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</si>
  <si>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</si>
  <si>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</si>
  <si>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</si>
  <si>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</si>
  <si>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</si>
  <si>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</si>
  <si>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</si>
  <si>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</si>
  <si>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</si>
  <si>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</si>
  <si>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</si>
  <si>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</si>
  <si>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</si>
  <si>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</si>
  <si>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</si>
  <si>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</si>
  <si>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</si>
  <si>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</si>
  <si>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</si>
  <si>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</si>
  <si>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</si>
  <si>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</si>
  <si>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</si>
  <si>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</si>
  <si>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</si>
  <si>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</si>
  <si>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</si>
  <si>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</si>
  <si>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</si>
  <si>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</si>
  <si>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</si>
  <si>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</si>
  <si>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</si>
  <si>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</si>
  <si>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</si>
  <si>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</si>
  <si>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</si>
  <si>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</si>
  <si>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</si>
  <si>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</si>
  <si>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</si>
  <si>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</si>
  <si>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</si>
  <si>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</si>
  <si>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</si>
  <si>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</si>
  <si>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</si>
  <si>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</si>
  <si>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</si>
  <si>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</si>
  <si>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</si>
  <si>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</si>
  <si>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</si>
  <si>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</si>
  <si>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</si>
  <si>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</si>
  <si>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</si>
  <si>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</si>
  <si>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</si>
  <si>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</si>
  <si>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</si>
  <si>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</si>
  <si>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</si>
  <si>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</si>
  <si>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</si>
  <si>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</si>
  <si>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</si>
  <si>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</si>
  <si>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</si>
  <si>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</si>
  <si>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</si>
  <si>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</si>
  <si>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</si>
  <si>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</si>
  <si>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</si>
  <si>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CCR Plan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</si>
  <si>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</si>
  <si>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</si>
  <si>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</si>
  <si>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</si>
  <si>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</si>
  <si>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</si>
  <si>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</si>
  <si>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</si>
  <si>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</si>
  <si>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</si>
  <si>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</si>
  <si>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</si>
  <si>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</si>
  <si>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</si>
  <si>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varchar(50)</t>
  </si>
  <si>
    <t>Master.LogA</t>
  </si>
  <si>
    <t>PROD_LINE</t>
  </si>
  <si>
    <t>IS_ACTIVE</t>
  </si>
  <si>
    <t>varchar(1)</t>
  </si>
  <si>
    <t>PART_NAME</t>
  </si>
  <si>
    <t>varchar(200)</t>
  </si>
  <si>
    <t>REMARK</t>
  </si>
  <si>
    <t>nvarchar(500)</t>
  </si>
  <si>
    <t>PART_NO</t>
  </si>
  <si>
    <t>BACK_NO</t>
  </si>
  <si>
    <t>PC_ADDRESS</t>
  </si>
  <si>
    <t>PC_SORTING</t>
  </si>
  <si>
    <t>SPS_ADDRESS</t>
  </si>
  <si>
    <t>SPS_SORTING</t>
  </si>
  <si>
    <t>PART_NO_NORMANLIZED</t>
  </si>
  <si>
    <t>MODEL</t>
  </si>
  <si>
    <t>USAGE_QTY</t>
  </si>
  <si>
    <t>BOX_QTY</t>
  </si>
  <si>
    <t>PROCESS_ID</t>
  </si>
  <si>
    <t>PROCESS_CODE</t>
  </si>
  <si>
    <t>MstLgaEkbPartList</t>
  </si>
  <si>
    <t>EkbPartList</t>
  </si>
  <si>
    <t>LA Ekanban Part List</t>
  </si>
  <si>
    <t>SUPPLIER_NO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</si>
</sst>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67"/>
  <sheetViews>
    <sheetView topLeftCell="A16" workbookViewId="0">
      <selection activeCell="G36" sqref="G36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25">
      <c r="A17" s="1"/>
      <c r="B17" s="17"/>
      <c r="D17" t="s">
        <v>307</v>
      </c>
      <c r="F17" s="1" t="s">
        <v>308</v>
      </c>
      <c r="G17" s="17" t="s">
        <v>309</v>
      </c>
    </row>
    <row r="18" spans="1:7" x14ac:dyDescent="0.25">
      <c r="A18" s="1"/>
      <c r="B18" s="17"/>
      <c r="C18" t="s">
        <v>91</v>
      </c>
      <c r="F18" s="1" t="s">
        <v>100</v>
      </c>
      <c r="G18" s="17" t="s">
        <v>100</v>
      </c>
    </row>
    <row r="19" spans="1:7" x14ac:dyDescent="0.25">
      <c r="A19" s="1"/>
      <c r="B19" s="17"/>
      <c r="D19" t="s">
        <v>95</v>
      </c>
      <c r="F19" s="1" t="s">
        <v>114</v>
      </c>
      <c r="G19" s="17" t="s">
        <v>293</v>
      </c>
    </row>
    <row r="20" spans="1:7" x14ac:dyDescent="0.25">
      <c r="A20" s="1"/>
      <c r="B20" s="17"/>
      <c r="D20" t="s">
        <v>96</v>
      </c>
      <c r="F20" s="1" t="s">
        <v>104</v>
      </c>
      <c r="G20" s="17" t="s">
        <v>294</v>
      </c>
    </row>
    <row r="21" spans="1:7" x14ac:dyDescent="0.25">
      <c r="A21" s="1"/>
      <c r="B21" s="17"/>
      <c r="C21" t="s">
        <v>92</v>
      </c>
      <c r="F21" s="1" t="s">
        <v>101</v>
      </c>
      <c r="G21" s="17" t="s">
        <v>101</v>
      </c>
    </row>
    <row r="22" spans="1:7" x14ac:dyDescent="0.25">
      <c r="A22" s="1"/>
      <c r="B22" s="17"/>
      <c r="D22" t="s">
        <v>95</v>
      </c>
      <c r="F22" s="1" t="s">
        <v>114</v>
      </c>
      <c r="G22" s="17" t="s">
        <v>303</v>
      </c>
    </row>
    <row r="23" spans="1:7" x14ac:dyDescent="0.25">
      <c r="A23" s="1"/>
      <c r="B23" s="17"/>
      <c r="C23" t="s">
        <v>90</v>
      </c>
      <c r="F23" s="1" t="s">
        <v>99</v>
      </c>
      <c r="G23" s="17" t="s">
        <v>99</v>
      </c>
    </row>
    <row r="24" spans="1:7" x14ac:dyDescent="0.25">
      <c r="A24" s="1"/>
      <c r="B24" s="17"/>
      <c r="D24" t="s">
        <v>95</v>
      </c>
      <c r="F24" s="1" t="s">
        <v>114</v>
      </c>
      <c r="G24" s="17" t="s">
        <v>302</v>
      </c>
    </row>
    <row r="25" spans="1:7" x14ac:dyDescent="0.25">
      <c r="A25" s="1"/>
      <c r="B25" s="17"/>
      <c r="C25" t="s">
        <v>93</v>
      </c>
      <c r="F25" s="1" t="s">
        <v>102</v>
      </c>
      <c r="G25" s="17" t="s">
        <v>102</v>
      </c>
    </row>
    <row r="26" spans="1:7" x14ac:dyDescent="0.25">
      <c r="A26" s="1"/>
      <c r="B26" s="17"/>
      <c r="C26" t="s">
        <v>271</v>
      </c>
      <c r="F26" s="1" t="s">
        <v>272</v>
      </c>
      <c r="G26" s="17" t="s">
        <v>272</v>
      </c>
    </row>
    <row r="27" spans="1:7" x14ac:dyDescent="0.25">
      <c r="A27" s="1"/>
      <c r="B27" s="17"/>
      <c r="D27" t="s">
        <v>273</v>
      </c>
      <c r="F27" s="1" t="s">
        <v>275</v>
      </c>
      <c r="G27" s="17" t="s">
        <v>295</v>
      </c>
    </row>
    <row r="28" spans="1:7" x14ac:dyDescent="0.25">
      <c r="A28" s="1"/>
      <c r="B28" s="17"/>
      <c r="D28" t="s">
        <v>276</v>
      </c>
      <c r="F28" s="1" t="s">
        <v>274</v>
      </c>
      <c r="G28" s="17" t="s">
        <v>296</v>
      </c>
    </row>
    <row r="29" spans="1:7" x14ac:dyDescent="0.25">
      <c r="A29" s="1"/>
      <c r="B29" s="17"/>
      <c r="D29" t="s">
        <v>277</v>
      </c>
      <c r="F29" s="1" t="s">
        <v>280</v>
      </c>
      <c r="G29" s="17" t="s">
        <v>297</v>
      </c>
    </row>
    <row r="30" spans="1:7" x14ac:dyDescent="0.25">
      <c r="A30" s="1"/>
      <c r="B30" s="17"/>
      <c r="D30" t="s">
        <v>278</v>
      </c>
      <c r="F30" s="1" t="s">
        <v>281</v>
      </c>
      <c r="G30" s="17" t="s">
        <v>298</v>
      </c>
    </row>
    <row r="31" spans="1:7" x14ac:dyDescent="0.25">
      <c r="A31" s="1"/>
      <c r="B31" s="17"/>
      <c r="D31" t="s">
        <v>279</v>
      </c>
      <c r="F31" s="1" t="s">
        <v>282</v>
      </c>
      <c r="G31" s="17" t="s">
        <v>299</v>
      </c>
    </row>
    <row r="32" spans="1:7" x14ac:dyDescent="0.25">
      <c r="A32" s="1"/>
      <c r="B32" s="17"/>
      <c r="D32" t="s">
        <v>284</v>
      </c>
      <c r="F32" s="1" t="s">
        <v>283</v>
      </c>
      <c r="G32" s="17" t="s">
        <v>300</v>
      </c>
    </row>
    <row r="33" spans="1:8" x14ac:dyDescent="0.25">
      <c r="A33" s="1"/>
      <c r="B33" s="17"/>
      <c r="C33" t="s">
        <v>307</v>
      </c>
      <c r="F33" s="1" t="s">
        <v>308</v>
      </c>
      <c r="G33" s="17" t="s">
        <v>308</v>
      </c>
    </row>
    <row r="34" spans="1:8" x14ac:dyDescent="0.25">
      <c r="A34" s="1"/>
      <c r="B34" s="17"/>
      <c r="D34" t="s">
        <v>310</v>
      </c>
      <c r="F34" s="1" t="s">
        <v>311</v>
      </c>
      <c r="G34" s="17" t="s">
        <v>312</v>
      </c>
    </row>
    <row r="35" spans="1:8" x14ac:dyDescent="0.25">
      <c r="A35" s="1"/>
      <c r="B35" s="17"/>
      <c r="D35" t="s">
        <v>96</v>
      </c>
      <c r="F35" s="1" t="s">
        <v>104</v>
      </c>
      <c r="G35" s="17" t="s">
        <v>313</v>
      </c>
    </row>
    <row r="36" spans="1:8" x14ac:dyDescent="0.25">
      <c r="A36" s="1"/>
      <c r="B36" s="17"/>
      <c r="D36" t="s">
        <v>314</v>
      </c>
      <c r="F36" s="1" t="s">
        <v>315</v>
      </c>
      <c r="G36" s="17" t="s">
        <v>316</v>
      </c>
    </row>
    <row r="37" spans="1:8" x14ac:dyDescent="0.25">
      <c r="A37" s="1"/>
      <c r="B37" s="17"/>
      <c r="D37" t="s">
        <v>317</v>
      </c>
      <c r="F37" s="1" t="s">
        <v>318</v>
      </c>
      <c r="G37" s="17" t="s">
        <v>319</v>
      </c>
    </row>
    <row r="38" spans="1:8" x14ac:dyDescent="0.25">
      <c r="A38" s="1"/>
      <c r="B38" s="17"/>
      <c r="C38" t="s">
        <v>320</v>
      </c>
      <c r="F38" s="1" t="s">
        <v>301</v>
      </c>
      <c r="G38" s="17" t="s">
        <v>301</v>
      </c>
    </row>
    <row r="39" spans="1:8" x14ac:dyDescent="0.25">
      <c r="A39" s="1"/>
      <c r="B39" s="17"/>
      <c r="D39" t="s">
        <v>304</v>
      </c>
      <c r="F39" s="1" t="s">
        <v>304</v>
      </c>
      <c r="G39" s="17" t="s">
        <v>305</v>
      </c>
      <c r="H39" s="17" t="s">
        <v>306</v>
      </c>
    </row>
    <row r="40" spans="1:8" x14ac:dyDescent="0.25">
      <c r="A40" s="1"/>
      <c r="B40" s="17"/>
      <c r="F40" s="1"/>
    </row>
    <row r="41" spans="1:8" x14ac:dyDescent="0.25">
      <c r="A41" s="1"/>
      <c r="B41" s="17"/>
    </row>
    <row r="42" spans="1:8" x14ac:dyDescent="0.25">
      <c r="A42" s="1"/>
      <c r="B42" s="17" t="s">
        <v>86</v>
      </c>
    </row>
    <row r="43" spans="1:8" x14ac:dyDescent="0.25">
      <c r="A43" s="1"/>
      <c r="B43" s="17" t="s">
        <v>83</v>
      </c>
    </row>
    <row r="44" spans="1:8" x14ac:dyDescent="0.25">
      <c r="A44" s="1"/>
      <c r="B44" s="17"/>
      <c r="C44" s="19" t="s">
        <v>80</v>
      </c>
    </row>
    <row r="45" spans="1:8" x14ac:dyDescent="0.25">
      <c r="A45" s="1"/>
      <c r="B45" s="17"/>
      <c r="C45" s="18" t="s">
        <v>81</v>
      </c>
    </row>
    <row r="46" spans="1:8" x14ac:dyDescent="0.25">
      <c r="A46" s="1"/>
      <c r="B46" s="17"/>
      <c r="C46" s="18" t="s">
        <v>82</v>
      </c>
    </row>
    <row r="47" spans="1:8" x14ac:dyDescent="0.25">
      <c r="A47" s="1"/>
      <c r="B47" s="17" t="s">
        <v>106</v>
      </c>
      <c r="C47" s="18"/>
    </row>
    <row r="48" spans="1:8" x14ac:dyDescent="0.25">
      <c r="A48" s="1"/>
      <c r="B48" s="17"/>
      <c r="C48" s="18" t="s">
        <v>107</v>
      </c>
    </row>
    <row r="49" spans="1:14" x14ac:dyDescent="0.25">
      <c r="A49" s="1"/>
      <c r="B49" s="17"/>
      <c r="C49" s="18" t="s">
        <v>108</v>
      </c>
    </row>
    <row r="50" spans="1:14" x14ac:dyDescent="0.25">
      <c r="A50" s="1"/>
      <c r="B50" s="17"/>
      <c r="C50" s="18" t="s">
        <v>109</v>
      </c>
    </row>
    <row r="51" spans="1:14" x14ac:dyDescent="0.25">
      <c r="A51" s="1"/>
      <c r="B51" s="17"/>
      <c r="C51" s="18" t="s">
        <v>111</v>
      </c>
    </row>
    <row r="52" spans="1:14" x14ac:dyDescent="0.25">
      <c r="A52" s="1"/>
      <c r="B52" s="17"/>
      <c r="C52" s="18" t="s">
        <v>113</v>
      </c>
    </row>
    <row r="53" spans="1:14" x14ac:dyDescent="0.25">
      <c r="A53" s="1"/>
      <c r="B53" s="17"/>
      <c r="C53" s="18" t="s">
        <v>112</v>
      </c>
    </row>
    <row r="54" spans="1:14" x14ac:dyDescent="0.25">
      <c r="A54" s="1"/>
      <c r="B54" s="17"/>
      <c r="C54" s="18" t="s">
        <v>110</v>
      </c>
    </row>
    <row r="55" spans="1:14" ht="21" customHeight="1" x14ac:dyDescent="0.25">
      <c r="B55" s="21" t="s">
        <v>78</v>
      </c>
    </row>
    <row r="56" spans="1:14" ht="21" customHeight="1" x14ac:dyDescent="0.25">
      <c r="B56" s="63" t="s">
        <v>231</v>
      </c>
    </row>
    <row r="57" spans="1:14" ht="15.75" thickBot="1" x14ac:dyDescent="0.3">
      <c r="C57" s="1" t="s">
        <v>72</v>
      </c>
      <c r="D57" s="1" t="s">
        <v>207</v>
      </c>
      <c r="E57" s="1" t="s">
        <v>208</v>
      </c>
      <c r="F57" s="1" t="s">
        <v>198</v>
      </c>
      <c r="G57" s="1" t="s">
        <v>199</v>
      </c>
      <c r="H57" s="1" t="s">
        <v>200</v>
      </c>
      <c r="I57" s="1" t="s">
        <v>201</v>
      </c>
      <c r="J57" s="1" t="s">
        <v>205</v>
      </c>
      <c r="K57" s="1" t="s">
        <v>209</v>
      </c>
      <c r="L57" s="1" t="s">
        <v>210</v>
      </c>
      <c r="M57" s="1" t="s">
        <v>211</v>
      </c>
      <c r="N57" s="1" t="s">
        <v>227</v>
      </c>
    </row>
    <row r="58" spans="1:14" s="16" customFormat="1" ht="21.75" customHeight="1" thickBot="1" x14ac:dyDescent="0.3">
      <c r="B58" s="52" t="s">
        <v>226</v>
      </c>
      <c r="C5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vovina.Master.LogA
{
	[Table("MstLgaEkbPartList")]
	[Index(nameof(PartNo), Name="IX_MstLgaEkbPartList_PartNo")]
	[Index(nameof(PartNoNormanlized), Name="IX_MstLgaEkbPartList_PartNoNormanlized")]
	[Index(nameof(BackNo), Name="IX_MstLgaEkbPartList_BackNo")]
	[Index(nameof(ProdLine), Name="IX_MstLgaEkbPartList_ProdLine")]
	[Index(nameof(IsActive), Name="IX_MstLgaEkbPartList_IsActive")]	public class MstLgaEkbPartList: FullAuditedEntity&lt;long&gt;, IEntity&lt;long&gt;	
	{
		public const int MaxPartNoLength = 50;
		public const int MaxPartNoNormanlizedLength = 50;
		public const int MaxPartNameLength = 200;
		public const int MaxBackNoLength = 50;
		public const int MaxProdLineLength = 50;
		public const int MaxSupplierNoLength = 50;
		public const int MaxModelLength = 50;
		public const int MaxProcessCodeLength = 50;
		public const int MaxPcAddressLength = 50;
		public const int MaxSpsAddressLength = 50;
		public const int MaxRemarkLength = 500;
		public const int MaxIsActiveLength = 1;
		[StringLength(MaxPartNoLength)]
		public virtual string PartNo { get; set; }
		[StringLength(MaxPartNoNormanlizedLength)]
		public virtual string PartNoNormanlized { get; set; }
		[StringLength(MaxPartNameLength)]
		public virtual string PartName { get; set; }
		[StringLength(MaxBackNoLength)]
		public virtual string BackNo { get; set; }
		[StringLength(MaxProdLineLength)]
		public virtual string ProdLine { get; set; }
		[StringLength(MaxSupplierNoLength)]
		public virtual string SupplierNo { get; set; }
		[StringLength(MaxModelLength)]
		public virtual string Model { get; set; }
		public virtual long ProcessId { get; set; }
		[StringLength(MaxProcessCodeLength)]
		public virtual string ProcessCode { get; set; }
		public virtual int UsageQty { get; set; }
		public virtual int BoxQty { get; set; }
		[StringLength(MaxPcAddressLength)]
		public virtual string PcAddress { get; set; }
		public virtual int PcSorting { get; set; }
		[StringLength(MaxSpsAddressLength)]
		public virtual string SpsAddress { get; set; }
		public virtual int SpsSorting { get; set; }
		[StringLength(MaxRemarkLength)]
		public virtual string Remark { get; set; }
		[StringLength(MaxIsActiveLength)]
		public virtual string IsActive { get; set; }
	}
}
</v>
      </c>
      <c r="D58" s="51" t="str">
        <f>A.Backend!O7</f>
        <v xml:space="preserve">		public const string Pages_Master_LogA_EkbPartList = "Pages.Master.LogA.EkbPartList";
		public const string Pages_Master_LogA_EkbPartList_CreateEdit = "Pages.Master.LogA.EkbPartList.CreateEdit";
		public const string Pages_Master_LogA_EkbPartList_Delete = "Pages.Master.LogA.EkbPartList.Delete";
</v>
      </c>
      <c r="E58" s="51" t="str">
        <f>A.Backend!N7</f>
        <v xml:space="preserve">		var perMstLgaEkbPartList = PARENTS.CreateChildPermission(AppPermissions.Pages_Master_LogA_EkbPartList, L( "MasterLogAEkbPartList"), multiTenancySides: MultiTenancySides.Tenant);
		perMstLgaEkbPartList.CreateChildPermission(AppPermissions.Pages_Master_LogA_EkbPartList_CreateEdit, L( "MasterLogAEkbPartListCreateEdit"), multiTenancySides: MultiTenancySides.Tenant);
		perMstLgaEkbPartList.CreateChildPermission(AppPermissions.Pages_Master_LogA_EkbPartList_Delete, L( "MasterLogAEkbPartListDelete"), multiTenancySides: MultiTenancySides.Tenant);</v>
      </c>
      <c r="F58" s="51" t="str">
        <f>A.Backend!K7</f>
        <v>public virtual DbSet&lt;MstLgaEkbPartList&gt; MstLgaEkbPartLists { get; set; }</v>
      </c>
      <c r="G58" s="51" t="str">
        <f ca="1">A.Backend!L7</f>
        <v xml:space="preserve">namespace vovina.Master.LogA
{
	public class MstLgaEkbPartListConsts	
	{
		public const int MaxPartNoLength = 50;
		public const int MaxPartNoNormanlizedLength = 50;
		public const int MaxPartNameLength = 200;
		public const int MaxBackNoLength = 50;
		public const int MaxProdLineLength = 50;
		public const int MaxSupplierNoLength = 50;
		public const int MaxModelLength = 50;
		public const int MaxProcessCodeLength = 50;
		public const int MaxPcAddressLength = 50;
		public const int MaxSpsAddressLength = 50;
		public const int MaxRemarkLength = 500;
		public const int MaxIsActiveLength = 1;
		// Define Store Name: Format SP_ + &lt;Store Name&gt; = &lt;Store Name&gt;
	}
}
</v>
      </c>
      <c r="H58" s="51" t="str">
        <f ca="1">A.Backend!M7</f>
        <v xml:space="preserve">using Abp.Application.Services.Dto;
using System;
using System.ComponentModel.DataAnnotations;
namespace vovina.Master.LogA.Dto
{
	public class MstLgaEkbPartListDto : EntityDto&lt;long?&gt;	
	{
		public virtual string PartNo { get; set; }
		public virtual string PartNoNormanlized { get; set; }
		public virtual string PartName { get; set; }
		public virtual string BackNo { get; set; }
		public virtual string ProdLine { get; set; }
		public virtual string SupplierNo { get; set; }
		public virtual string Model { get; set; }
		public virtual long ProcessId { get; set; }
		public virtual string ProcessCode { get; set; }
		public virtual int UsageQty { get; set; }
		public virtual int BoxQty { get; set; }
		public virtual string PcAddress { get; set; }
		public virtual int PcSorting { get; set; }
		public virtual string SpsAddress { get; set; }
		public virtual int SpsSorting { get; set; }
		public virtual string Remark { get; set; }
		public virtual string IsActive { get; set; }
	}
	public class CreateOrEditMstLgaEkbPartListDto : EntityDto&lt;long?&gt;	
	{
		[StringLength(MstLgaEkbPartListConsts.MaxPartNoLength)]
		public virtual string PartNo { get; set; }
		[StringLength(MstLgaEkbPartListConsts.MaxPartNoNormanlizedLength)]
		public virtual string PartNoNormanlized { get; set; }
		[StringLength(MstLgaEkbPartListConsts.MaxPartNameLength)]
		public virtual string PartName { get; set; }
		[StringLength(MstLgaEkbPartListConsts.MaxBackNoLength)]
		public virtual string BackNo { get; set; }
		[StringLength(MstLgaEkbPartListConsts.MaxProdLineLength)]
		public virtual string ProdLine { get; set; }
		[StringLength(MstLgaEkbPartListConsts.MaxSupplierNoLength)]
		public virtual string SupplierNo { get; set; }
		[StringLength(MstLgaEkbPartListConsts.MaxModelLength)]
		public virtual string Model { get; set; }
		public virtual long ProcessId { get; set; }
		[StringLength(MstLgaEkbPartListConsts.MaxProcessCodeLength)]
		public virtual string ProcessCode { get; set; }
		public virtual int UsageQty { get; set; }
		public virtual int BoxQty { get; set; }
		[StringLength(MstLgaEkbPartListConsts.MaxPcAddressLength)]
		public virtual string PcAddress { get; set; }
		public virtual int PcSorting { get; set; }
		[StringLength(MstLgaEkbPartListConsts.MaxSpsAddressLength)]
		public virtual string SpsAddress { get; set; }
		public virtual int SpsSorting { get; set; }
		[StringLength(MstLgaEkbPartListConsts.MaxRemarkLength)]
		public virtual string Remark { get; set; }
		[StringLength(MstLgaEkbPartListConsts.MaxIsActiveLength)]
		public virtual string IsActive { get; set; }
	}
	public class GetMstLgaEkbPartListInput : PagedAndSortedResultRequestDto	
	{
		public virtual string PartNo { get; set; }
		public virtual string PartNoNormanlized { get; set; }
		public virtual string PartName { get; set; }
		public virtual string BackNo { get; set; }
		public virtual string ProdLine { get; set; }
		public virtual string SupplierNo { get; set; }
		public virtual string Model { get; set; }
		public virtual string ProcessCode { get; set; }
		public virtual int UsageQty { get; set; }
		public virtual int BoxQty { get; set; }
		public virtual string PcAddress { get; set; }
		public virtual int PcSorting { get; set; }
		public virtual string SpsAddress { get; set; }
		public virtual int SpsSorting { get; set; }
		public virtual string Remark { get; set; }
		public virtual string IsActive { get; set; }
	}
}
</v>
      </c>
      <c r="I58" s="51" t="str">
        <f ca="1">A.Backend!R7</f>
        <v xml:space="preserve">using Abp.Application.Services.Dto;
using System;
using System.ComponentModel.DataAnnotations;
namespace vovina.Master.LogA.Dto
{
	public class MstLgaEkbPartListExportInput{
		public virtual string PartNo { get; set; }
		public virtual string PartNoNormanlized { get; set; }
		public virtual string PartName { get; set; }
		public virtual string BackNo { get; set; }
		public virtual string ProdLine { get; set; }
		public virtual string SupplierNo { get; set; }
		public virtual string Model { get; set; }
		public virtual long ProcessId { get; set; }
		public virtual string ProcessCode { get; set; }
		public virtual int UsageQty { get; set; }
		public virtual int BoxQty { get; set; }
		public virtual string PcAddress { get; set; }
		public virtual int PcSorting { get; set; }
		public virtual string SpsAddress { get; set; }
		public virtual int SpsSorting { get; set; }
		public virtual string Remark { get; set; }
		public virtual string IsActive { get; set; }
	}
}
</v>
      </c>
      <c r="J58" s="51" t="str">
        <f>A.Backend!P7</f>
        <v xml:space="preserve">using Abp.Application.Services;
using Abp.Application.Services.Dto;
using System.Collections.Generic;using vovina.Dto;
using System.Threading.Tasks;
using vovina.Master.LogA.Dto;
namespace vovina.Master.LogA
{
	public interface IMstLgaEkbPartListAppService : IApplicationService
	{
		Task&lt;PagedResultDto&lt;MstLgaEkbPartListDto&gt;&gt; GetAll(GetMstLgaEkbPartListInput input);
		Task CreateOrEdit(CreateOrEditMstLgaEkbPartListDto input);
		Task Delete(EntityDto input);
	}
}
</v>
      </c>
      <c r="K58" s="51" t="str">
        <f>A.Backend!S7</f>
        <v xml:space="preserve">using Abp.Application.Services;
using Abp.Application.Services.Dto;
using System.Collections.Generic;using vovina.Dto;
using System.Threading.Tasks;
using vovina.Master.LogA.Dto;
namespace vovina.Master.LogA.Exporting
{
	public interface IMstLgaEkbPartListExcelExporter : IApplicationService
	{
		FileDto ExportToFile(List&lt;MstLgaEkbPartListDto&gt; mstlgaekbpartlist);
	}
}
</v>
      </c>
      <c r="L58" s="51" t="str">
        <f ca="1">A.Backend!T7</f>
        <v>using System.Collections.Generic;
using vovina.DataExporting.Excel.NPOI;
using vovina.Dto;
using vovina.Master.LogA.Exporting;
using vovina.Master.LogA.Dto;
using vovina.Storage;
using vovina.Master.LogA.Dto;
namespace vovina.Master.LogA.Exporting
{
    public class MstLgaEkbPartListExcelExporter : NpoiExcelExporterBase, IMstLgaEkbPartListExcelExporter
    {
        public MstLgaEkbPartListExcelExporter(ITempFileCacheManager tempFileCacheManager) : base(tempFileCacheManager) { }
        public FileDto ExportToFile(List&lt;MstLgaEkbPartListDto&gt; ekbpartlist)
        {
            return CreateExcelPackage(
				"MasterLogAEkbPartList.xlsx",
				excelPackage =&gt;
				 {
					var sheet = excelPackage.CreateSheet("EkbPartList");
					AddHeader(
								sheet,
								("PartNo"),
								("PartNoNormanlized"),
								("PartName"),
								("BackNo"),
								("ProdLine"),
								("SupplierNo"),
								("Model"),
								("ProcessId"),
								("ProcessCode"),
								("UsageQty"),
								("BoxQty"),
								("PcAddress"),
								("PcSorting"),
								("SpsAddress"),
								("SpsSorting"),
								("Remark"),
								("IsActive"),
							   );
					AddObjects(
						 sheet, 1, ekbpartlist,                                       
								_ =&gt; _.PartNo,
								_ =&gt; _.PartNoNormanlized,
								_ =&gt; _.PartName,
								_ =&gt; _.BackNo,
								_ =&gt; _.ProdLine,
								_ =&gt; _.SupplierNo,
								_ =&gt; _.Model,
								_ =&gt; _.ProcessId,
								_ =&gt; _.ProcessCode,
								_ =&gt; _.UsageQty,
								_ =&gt; _.BoxQty,
								_ =&gt; _.PcAddress,
								_ =&gt; _.PcSorting,
								_ =&gt; _.SpsAddress,
								_ =&gt; _.SpsSorting,
								_ =&gt; _.Remark,
								_ =&gt; _.IsActive,
								);
			for (var i = 0; i &lt; 8; i++)
				{
					sheet.AutoSizeColumn(i);
				}
			});
        }
    }
}</v>
      </c>
      <c r="M5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vovina.Master.LogA.Dto;
using vovina.Master.LogA.Exporting;
namespace vovina.Master.LogA
{
    [AbpAuthorize(AppPermissions.Pages_Master_LogA_EkbPartList)]
    public class MstLgaEkbPartListAppService : vovinaAppServiceBase, IMstLgaEkbPartListAppService
    {
        private readonly IDapperRepository&lt;MstLgaEkbPartList, long&gt; _dapperRepo;
        private readonly IRepository&lt;MstLgaEkbPartList, long&gt; _repo;
        private readonly IMstLgaEkbPartListExcelExporter _calendarListExcelExporter;
        public MstLgaEkbPartListAppService(IRepository&lt;MstLgaEkbPartList,long&gt; repo, 
                                         IDapperRepository&lt;MstLgaEkbPartList,long&gt; dapperRepo,
                                        IMstLgaEkbPartListExcelExporter calendarListExcelExporter
            )
        {
            _repo = repo;
            _dapperRepo = dapperRepo;
            _calendarListExcelExporter = calendarListExcelExporter;
        }
        [AbpAuthorize(AppPermissions.Pages_Master_LogA_EkbPartList_CreateEdit)]
        public async Task CreateOrEdit(CreateOrEditMstLgaEkbPartListDto input)
        {
            if (input.Id == null) await Create(input);
            else await Update(input);
        }
        //CREATE
        private async Task Create(CreateOrEditMstLgaEkbPartListDto input)
        {          
            var mainObj = ObjectMapper.Map&lt;MstLgaEkbPartList&gt;(input);
            await CurrentUnitOfWork.GetDbContext&lt;vovinaDbContext&gt;().AddAsync(mainObj);
        }
        // EDIT
        private async Task Update(CreateOrEditMstLgaEkbPartListDto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[AbpAuthorize(AppPermissions.Pages_Master_LogA_EkbPartList_Delete)]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Task&lt;PagedResultDto&lt;MstLgaEkbPartListDto&gt;&gt; GetAll(GetMstLgaEkbPartListInput input)
        {
            var filtered = _repo.GetAll()
				.WhereIf(!string.IsNullOrWhiteSpace(input.PartNo), e =&gt; e.PartNo.Contains(input.PartNo))
				.WhereIf(!string.IsNullOrWhiteSpace(input.PartNoNormanlized), e =&gt; e.PartNoNormanlized.Contains(input.PartNoNormanlized))
				.WhereIf(!string.IsNullOrWhiteSpace(input.PartName), e =&gt; e.PartName.Contains(input.PartName))
				.WhereIf(!string.IsNullOrWhiteSpace(input.BackNo), e =&gt; e.BackNo.Contains(input.BackNo))
				.WhereIf(!string.IsNullOrWhiteSpace(input.ProdLine), e =&gt; e.ProdLine.Contains(input.ProdLine))
				.WhereIf(!string.IsNullOrWhiteSpace(input.SupplierNo), e =&gt; e.SupplierNo.Contains(input.SupplierNo))
				.WhereIf(!string.IsNullOrWhiteSpace(input.Model), e =&gt; e.Model.Contains(input.Model))
				.WhereIf(!string.IsNullOrWhiteSpace(input.ProcessCode), e =&gt; e.ProcessCode.Contains(input.ProcessCode))
				.WhereIf(!string.IsNullOrWhiteSpace(input.PcAddress), e =&gt; e.PcAddress.Contains(input.PcAddress))
				.WhereIf(!string.IsNullOrWhiteSpace(input.SpsAddress), e =&gt; e.SpsAddress.Contains(input.SpsAddress))
				.WhereIf(!string.IsNullOrWhiteSpace(input.Remark), e =&gt; e.Remark.Contains(input.Remark))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MstLgaEkbPartListDto
                        {
							Id = o.Id,
							PartNo = o.PartNo,
							PartNoNormanlized = o.PartNoNormanlized,
							PartName = o.PartName,
							BackNo = o.BackNo,
							ProdLine = o.ProdLine,
							SupplierNo = o.SupplierNo,
							Model = o.Model,
							ProcessId = o.ProcessId,
							ProcessCode = o.ProcessCode,
							UsageQty = o.UsageQty,
							BoxQty = o.BoxQty,
							PcAddress = o.PcAddress,
							PcSorting = o.PcSorting,
							SpsAddress = o.SpsAddress,
							SpsSorting = o.SpsSorting,
							Remark = o.Remark,
							IsActive = o.IsActive,
                        };
            var totalCount = await filtered.CountAsync();
			var paged = system.PageBy(input);
            return new PagedResultDto&lt;MstLgaEkbPartListDto&gt;(
                totalCount,
                 await paged.ToListAsync()
            );
        }
        public async Task&lt;FileDto&gt; GetEkbPartListToExcel(MstLgaEkbPartListExportInput input)
        {
            var query = from o in _repo.GetAll()
                        select new MstLgaEkbPartListDto
                        {
							Id = o.Id,
							PartNo = o.PartNo,
							PartNoNormanlized = o.PartNoNormanlized,
							PartName = o.PartName,
							BackNo = o.BackNo,
							ProdLine = o.ProdLine,
							SupplierNo = o.SupplierNo,
							Model = o.Model,
							ProcessId = o.ProcessId,
							ProcessCode = o.ProcessCode,
							UsageQty = o.UsageQty,
							BoxQty = o.BoxQty,
							PcAddress = o.PcAddress,
							PcSorting = o.PcSorting,
							SpsAddress = o.SpsAddress,
							SpsSorting = o.SpsSorting,
							Remark = o.Remark,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_dapperRepo.ExecuteAsync(MstLgaEkbPartListConsts.SP_MST_WPT_CALENDAR_GENERATE);
       // }
    }
}</v>
      </c>
      <c r="N58" s="62" t="str">
        <f>A.Backend!U7</f>
        <v xml:space="preserve">  configuration.CreateMap&lt;MstLgaEkbPartListDto, MstLgaEkbPartList&gt;();
  configuration.CreateMap&lt;MstLgaEkbPartList, MstLgaEkbPartListDto&gt;();
  configuration.CreateMap&lt;CreateOrEditMstLgaEkbPartListDto, MstLgaEkbPartList&gt;();</v>
      </c>
    </row>
    <row r="59" spans="1:14" s="16" customFormat="1" ht="21.75" customHeight="1" x14ac:dyDescent="0.25">
      <c r="C59" s="65"/>
      <c r="D59" s="29"/>
      <c r="E59" s="29"/>
      <c r="F59" s="29"/>
      <c r="G59" s="29"/>
      <c r="H59" s="66"/>
      <c r="I59" s="67"/>
      <c r="J59" s="29"/>
      <c r="K59" s="29"/>
      <c r="M59" s="66"/>
    </row>
    <row r="60" spans="1:14" s="16" customFormat="1" ht="21.75" customHeight="1" x14ac:dyDescent="0.25">
      <c r="C60" s="29"/>
      <c r="D60" s="29"/>
      <c r="E60" s="29"/>
      <c r="F60" s="29"/>
      <c r="G60" s="29"/>
      <c r="H60" s="29"/>
      <c r="J60" s="29"/>
      <c r="K60" s="29"/>
      <c r="M60" s="29"/>
    </row>
    <row r="61" spans="1:14" s="16" customFormat="1" ht="21.75" customHeight="1" x14ac:dyDescent="0.25">
      <c r="C61" s="29"/>
      <c r="D61" s="29"/>
      <c r="E61" s="29"/>
      <c r="G61" s="29"/>
      <c r="H61" s="29"/>
    </row>
    <row r="62" spans="1:14" x14ac:dyDescent="0.25">
      <c r="B62" s="1" t="s">
        <v>73</v>
      </c>
    </row>
    <row r="63" spans="1:14" ht="21" x14ac:dyDescent="0.35">
      <c r="B63" t="str">
        <f>B.Frontend!B8</f>
        <v>ekbpartlist</v>
      </c>
      <c r="C63" s="72" t="str">
        <f>"create folder " &amp;B63</f>
        <v>create folder ekbpartlist</v>
      </c>
      <c r="D63" s="72"/>
      <c r="E63" s="72"/>
      <c r="F63" s="72"/>
      <c r="G63" s="72"/>
      <c r="H63" s="72"/>
      <c r="I63" s="72"/>
      <c r="J63" s="72"/>
      <c r="K63" s="73" t="s">
        <v>228</v>
      </c>
      <c r="L63" s="73"/>
      <c r="M63" s="31"/>
    </row>
    <row r="64" spans="1:14" s="28" customFormat="1" ht="18" customHeight="1" x14ac:dyDescent="0.25">
      <c r="B64" s="60" t="s">
        <v>229</v>
      </c>
      <c r="C64" s="31" t="str">
        <f>B.Frontend!H14</f>
        <v>ekbpartlist.component.ts</v>
      </c>
      <c r="D64" s="31" t="str">
        <f>B.Frontend!I14</f>
        <v>ekbpartlist.component.html</v>
      </c>
      <c r="E64" s="31" t="str">
        <f>B.Frontend!J14</f>
        <v>ekbpartlist.component.less</v>
      </c>
      <c r="F64" s="31" t="str">
        <f>B.Frontend!K14</f>
        <v>create-or-edit-ekbpartlist-modal.component.html</v>
      </c>
      <c r="G64" s="31" t="str">
        <f>B.Frontend!L14</f>
        <v>create-or-edit-ekbpartlist-modal.component.ts</v>
      </c>
      <c r="H64" s="31" t="str">
        <f>B.Frontend!M14</f>
        <v>create-or-edit-ekbpartlist-modal.component.less</v>
      </c>
      <c r="I64" s="31" t="str">
        <f>B.Frontend!N14</f>
        <v>ekbpartlist.module.ts</v>
      </c>
      <c r="J64" s="31" t="str">
        <f>B.Frontend!O14</f>
        <v>ekbpartlist-routing.module.ts</v>
      </c>
      <c r="K64" s="31" t="str">
        <f>B.Frontend!P14</f>
        <v>app.navigation.service.ts</v>
      </c>
      <c r="L64" s="31" t="str">
        <f>B.Frontend!Q14</f>
        <v>main.routing.module.ts</v>
      </c>
      <c r="M64" s="60" t="s">
        <v>232</v>
      </c>
    </row>
    <row r="65" spans="2:13" ht="21.75" customHeight="1" x14ac:dyDescent="0.25">
      <c r="B65" s="61" t="s">
        <v>226</v>
      </c>
      <c r="C6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MstLgaEkbPartListDto, MstLgaEkbPartListServiceProxy } from '@shared/service-proxies/service-proxies';
import { finalize } from 'rxjs/internal/operators/finalize';
import { CreateOrEditEkbPartListModalComponent } from './create-or-edit-ekbpartlist-modal.component';
import { DatePipe } from '@angular/common';
import { FileDownloadService } from '@shared/utils/file-download.service';
import ceil from 'lodash-es/ceil';
import { Paginator } from 'primeng/paginator';
@Component({
    templateUrl: './ekbpartlist.component.html',
    styleUrls: ['./ekbpartlist.component.less'],
})
export class EkbPartListComponent extends AppComponentBase implements OnInit {
    @ViewChild('createOrEditModalEkbPartList', { static: true }) createOrEditModalEkbPartList:| CreateOrEditEkbPartListModalComponent|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MstLgaEkbPartListDto = new MstLgaEkbPartListDto();
    saveSelectedRow: MstLgaEkbPartListDto = new MstLgaEkbPartListDto();
    datas: MstLgaEkbPartListDto = new MstLgaEkbPartListDto();
    isLoading: boolean = false;
    dataParams: GridParams | undefined;
    rowData: any[] = [];
    gridApi!: GridApi;
    rowSelection = 'multiple';
    filter: string = '';
	pipe = new DatePipe('en-US');
	frameworkComponents: FrameworkComponent;
    partNo : string = '' ; 
	partNoNormanlized : string = '' ; 
	partName : string = '' ; 
	backNo : string = '' ; 
	prodLine : string = '' ; 
	supplierNo : string = '' ; 
	model : string = '' ; 
	processId
	processCode : string = '' ; 
	usageQty : number = 0 ;
	boxQty : number = 0 ;
	pcAddress : string = '' ; 
	pcSorting : number = 0 ;
	spsAddress : string = '' ; 
	spsSorting : number = 0 ;
	remark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MstLgaEkbPartListServiceProxy,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No Normanlized'),headerTooltip: this.l('Part No Normanlized'),field: 'partNoNormanlized',flex: 1},
			{headerName: this.l('Part Name'),headerTooltip: this.l('Part Name'),field: 'partName',flex: 1},
			{headerName: this.l('Back No'),headerTooltip: this.l('Back No'),field: 'backNo',flex: 1},
			{headerName: this.l('Prod Line'),headerTooltip: this.l('Prod Line'),field: 'prodLine',flex: 1},
			{headerName: this.l('Supplier No'),headerTooltip: this.l('Supplier No'),field: 'supplierNo',flex: 1},
			{headerName: this.l('Model'),headerTooltip: this.l('Model'),field: 'model',flex: 1},
			{headerName: this.l('Process Id'),headerTooltip: this.l('Process Id'),field: 'processId',flex: 1},
			{headerName: this.l('Process Code'),headerTooltip: this.l('Process Code'),field: 'processCode',flex: 1},
			{headerName: this.l('Usage Qty'),headerTooltip: this.l('Usage Qty'),field: 'usageQty',flex: 1},
			{headerName: this.l('Box Qty'),headerTooltip: this.l('Box Qty'),field: 'boxQty',flex: 1},
			{headerName: this.l('Pc Address'),headerTooltip: this.l('Pc Address'),field: 'pcAddress',flex: 1},
			{headerName: this.l('Pc Sorting'),headerTooltip: this.l('Pc Sorting'),field: 'pcSorting',flex: 1},
			{headerName: this.l('Sps Address'),headerTooltip: this.l('Sps Address'),field: 'spsAddress',flex: 1},
			{headerName: this.l('Sps Sorting'),headerTooltip: this.l('Sps Sorting'),field: 'spsSorting',flex: 1},
			{headerName: this.l('Remark'),headerTooltip: this.l('Remark'),field: 'remark',flex: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this.partNoNormanlized,
			this.partName,
			this.backNo,
			this.prodLine,
			this.supplierNo,
			this.model,
			this.processId,
			this.processCode,
			this.usageQty,
			this.boxQty,
			this.pcAddress,
			this.pcSorting,
			this.spsAddress,
			this.spsSorting,
			this.remark,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this.partNo = '',
		this.partNoNormanlized = '',
		this.partName = '',
		this.backNo = '',
		this.prodLine = '',
		this.supplierNo = '',
		this.model = '',
		this.processId = '',
		this.processCode = '',
		this.usageQty = 0,
		this.boxQty = 0,
		this.pcAddress = '',
		this.pcSorting = 0,
		this.spsAddress = '',
		this.spsSorting = 0,
		this.remark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this.partNoNormanlized,
			this.partName,
			this.backNo,
			this.prodLine,
			this.supplierNo,
			this.model,
			this.processId,
			this.processCode,
			this.usageQty,
			this.boxQty,
			this.pcAddress,
			this.pcSorting,
			this.spsAddress,
			this.spsSorting,
			this.remark,
			this.isActive,
			'',
            this.paginationParams.skipCount,
            this.paginationParams.pageSize
        );
    }
    onChangeRowSelection(params: { api: { getSelectedRows: () =&gt; MstLgaEkbPartListDto[] } }) {
        this.saveSelectedRow = params.api.getSelectedRows()[0] ?? new MstLgaEkbPartListDto();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MstLgaEkbPartListDto):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this._service.getEkbPartListToExcel(
			this.partNo,
			this.partNoNormanlized,
			this.partName,
			this.backNo,
			this.prodLine,
			this.supplierNo,
			this.model,
			this.processId,
			this.processCode,
			this.usageQty,
			this.boxQty,
			this.pcAddress,
			this.pcSorting,
			this.spsAddress,
			this.spsSorting,
			this.remark,
			this.isActive,
            )
            .subscribe((result) =&gt; {
                this._fileDownloadService.downloadTempFile(result);
        });
    }
}</v>
      </c>
      <c r="D6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LA Ekanban Part List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[(ngModel)]='partNoNormanlized' name='partNoNormanlized'
									class='form-control' [placeholder]="l('Part No Normanlized')"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[(ngModel)]='backNo' name='backNo'
									class='form-control' [placeholder]="l('Back No')"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[(ngModel)]='processCode' name='processCode'
									class='form-control' [placeholder]="l('Process Code')"
									type='text' (keyup.enter)='searchDatas()'&gt;
								&lt;/div&gt;
								&lt;div class='input-search'&gt;
									&lt;input [(ngModel)]='pcAddress' name='pcAddress'
									class='form-control' [placeholder]="l('Pc Address')"
									type='text' (keyup.enter)='searchDatas()'&gt;
								&lt;/div&gt;
								&lt;div class='input-search'&gt;
									&lt;input [(ngModel)]='spsAddress' name='spsAddress'
									class='form-control' [placeholder]="l('Sps Address')"
									type='text' (keyup.enter)='searchDatas()'&gt;
								&lt;/div&gt;
								&lt;div class='input-search'&gt;
									&lt;input [(ngModel)]='remark' name='remark'
									class='form-control' [placeholder]="l('Remark')"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(click)="createOrEditModalEkbPartList.show()"&gt;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(click)="createOrEditModalEkbPartList.show(selectedRow)"&gt;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&lt;create-or-edit-ekbpartlist-modal
    #createOrEditModalEkbPartList
    (modalSave)="callBackDataGrid(dataParams)"
    (modalClose)="onChangeRowSelection(dataParams)"
&gt;
&lt;/create-or-edit-ekbpartlist-modal&gt;</v>
      </c>
      <c r="E65" s="49" t="str">
        <f>B.Frontend!J10</f>
        <v>.input-search{
    width: 250px;
    border-radius: 10px;
    margin-left: 10px;
}
.btn-search{
    width: 50px;
    margin-left: 10px;
}</v>
      </c>
      <c r="F65" s="49" t="str">
        <f ca="1">B.Frontend!K10</f>
        <v>&lt;div bsModal #createOrEditModalEkbPartList="bs-modal"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EkbPartList')}}&lt;/h3&gt;
                    &lt;h3 *ngIf="!rowdata.id"&gt;{{('Create New EkbPartList')}}&lt;/h3&gt;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No Normanlized&lt;/label&gt;
						&lt;input type='text' class='col-md-10 form-control input-text' name='PartNoNormanlized' [(ngModel)]='rowdata.partNoNormanlized'&gt;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title'&gt;Back No&lt;/label&gt;
						&lt;input type='text' class='col-md-10 form-control input-text' name='BackNo' [(ngModel)]='rowdata.backNo'&gt;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title'&gt;Process Code&lt;/label&gt;
						&lt;input type='text' class='col-md-10 form-control input-text' name='ProcessCode' [(ngModel)]='rowdata.processCode'&gt;
					&lt;/div&gt;
					&lt;div class='col-md-12 form-group row'&gt;
						&lt;label class='col-md-2 form-control title'&gt;Usage Qty&lt;/label&gt;
						&lt;input type='number' class='col-md-10 form-control input-text' name='UsageQty' [(ngModel)]='rowdata.usageQty'&gt;
					&lt;/div&gt;
					&lt;div class='col-md-12 form-group row'&gt;
						&lt;label class='col-md-2 form-control title'&gt;Box Qty&lt;/label&gt;
						&lt;input type='number' class='col-md-10 form-control input-text' name='BoxQty' [(ngModel)]='rowdata.boxQty'&gt;
					&lt;/div&gt;
					&lt;div class='col-md-12 form-group row'&gt;
						&lt;label class='col-md-2 form-control title'&gt;Pc Address&lt;/label&gt;
						&lt;input type='text' class='col-md-10 form-control input-text' name='PcAddress' [(ngModel)]='rowdata.pcAddress'&gt;
					&lt;/div&gt;
					&lt;div class='col-md-12 form-group row'&gt;
						&lt;label class='col-md-2 form-control title'&gt;Pc Sorting&lt;/label&gt;
						&lt;input type='number' class='col-md-10 form-control input-text' name='PcSorting' [(ngModel)]='rowdata.pcSorting'&gt;
					&lt;/div&gt;
					&lt;div class='col-md-12 form-group row'&gt;
						&lt;label class='col-md-2 form-control title'&gt;Sps Address&lt;/label&gt;
						&lt;input type='text' class='col-md-10 form-control input-text' name='SpsAddress' [(ngModel)]='rowdata.spsAddress'&gt;
					&lt;/div&gt;
					&lt;div class='col-md-12 form-group row'&gt;
						&lt;label class='col-md-2 form-control title'&gt;Sps Sorting&lt;/label&gt;
						&lt;input type='number' class='col-md-10 form-control input-text' name='SpsSorting' [(ngModel)]='rowdata.spsSorting'&gt;
					&lt;/div&gt;
					&lt;div class='col-md-12 form-group row'&gt;
						&lt;label class='col-md-2 form-control title'&gt;Remark&lt;/label&gt;
						&lt;input type='text' class='col-md-10 form-control input-text' name='Remark' [(ngModel)]='rowdata.remark'&gt;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6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CreateOrEditMstLgaEkbPartListDto, MstLgaEkbPartListServiceProxy } from '@shared/service-proxies/service-proxies';
import { BsDatepickerDirective } from 'ngx-bootstrap/datepicker';
@Component({
    selector: 'create-or-edit-ekbpartlist-modal',
    templateUrl: './create-or-edit-ekbpartlist-modal.component.html',
    styleUrls: ['./create-or-edit-ekbpartlist-modal.component.less']
    })
export class CreateOrEditEkbPartListModalComponent extends AppComponentBase {
    @ViewChild('createOrEditModalEkbPartList',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CreateOrEditMstLgaEkbPartListDto = new CreateOrEditMstLgaEkbPartListDto();
    active: boolean = false;
    saving: boolean = false;
    _isActive: boolean;
    constructor(
        injector: Injector,
        private _mstwptEkbPartListService: MstLgaEkbPartListServiceProxy,
    ) 
    {
        super(injector);
    }
    show(rowdata?: CreateOrEditMstLgaEkbPartListDto): void {
        if (!rowdata) this.rowdata = new CreateOrEditMstLgaEkbPartListDto();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this._mstwptEkbPartListService.createOrEdit(this.rowdata)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6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65" s="49" t="str">
        <f>B.Frontend!N10</f>
        <v>import {NgModule} from '@angular/core';
import {AppSharedModule} from '@app/shared/app-shared.module';
import { EkbPartListRoutingModule } from './ekbpartlist-routing.module';
import { EkbPartListComponent } from './ekbpartlist.component';
import { CreateOrEditEkbPartListModalComponent } from './create-or-edit-ekbpartlist-modal.component';
@NgModule({
    declarations: [
       EkbPartListComponent, 
        CreateOrEditEkbPartListModalComponent
    ],
    imports: [
        AppSharedModule, EkbPartListRoutingModule]
})
export class EkbPartListModule {}</v>
      </c>
      <c r="J65" s="49" t="str">
        <f>B.Frontend!O10</f>
        <v>import {NgModule} from '@angular/core';
import {RouterModule, Routes} from '@angular/router';
import { EkbPartListComponent } from './ekbpartlist.component';
const routes: Routes = [{
    path: '',
    component: EkbPartListComponent,
    pathMatch: 'full'
}];
@NgModule({
    imports: [RouterModule.forChild(routes)],
    exports: [RouterModule],
})
export class EkbPartListRoutingModule {}</v>
      </c>
      <c r="K65" s="49" t="str">
        <f>B.Frontend!P10</f>
        <v xml:space="preserve"> new AppMenuItem("EkbPartList", "Pages.Master.LogA.EkbPartList", "flaticon-book",   "/app/main/master/loga/ekbpartlist"),</v>
      </c>
      <c r="L65" s="50" t="str">
        <f>B.Frontend!Q10</f>
        <v>{
    path: 'master/loga/ekbpartlist',
    loadChildren: () =&gt; import('./master/loga/ekbpartlist/ekbpartlist.module').then(m =&gt; m.EkbPartListModule),
    data: { permission: 'Pages.Master.LogA.EkbPartList' }
},</v>
      </c>
      <c r="M65" s="48" t="str">
        <f>B.Frontend!R10</f>
        <v>ApiServiceProxies.MstLgaEkbPartListServiceProxy,</v>
      </c>
    </row>
    <row r="67" spans="2:13" x14ac:dyDescent="0.25">
      <c r="B67" s="1" t="s">
        <v>75</v>
      </c>
    </row>
  </sheetData>
  <mergeCells count="2">
    <mergeCell ref="C63:J63"/>
    <mergeCell ref="K63:L6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7"/>
  <sheetViews>
    <sheetView topLeftCell="A6" workbookViewId="0">
      <pane xSplit="1" topLeftCell="B1" activePane="topRight" state="frozen"/>
      <selection pane="topRight" activeCell="A9" sqref="A9:A25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42578125" style="8" customWidth="1"/>
    <col min="19" max="19" width="20.42578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vovina.Master.LogA.Dto;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322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342</v>
      </c>
      <c r="C3" s="10" t="s">
        <v>43</v>
      </c>
      <c r="D3" s="10" t="s">
        <v>44</v>
      </c>
      <c r="E3" s="10" t="s">
        <v>39</v>
      </c>
      <c r="F3" s="11" t="str">
        <f>"J"&amp;COUNTA($A:$A)</f>
        <v>J25</v>
      </c>
      <c r="G3" s="4" t="s">
        <v>57</v>
      </c>
      <c r="H3" s="10" t="str">
        <f>"I"&amp;COUNTA($A:$A)</f>
        <v>I25</v>
      </c>
      <c r="I3" s="10" t="str">
        <f>REPT(CHAR(9),2)&amp;"[Required]"&amp;"
"</f>
        <v xml:space="preserve">		[Required]
</v>
      </c>
      <c r="J3" s="11" t="str">
        <f>"L"&amp;COUNTA($A:$A)</f>
        <v>L25</v>
      </c>
      <c r="K3" s="5" t="s">
        <v>56</v>
      </c>
      <c r="L3" s="11" t="str">
        <f>"M"&amp;COUNTA($A:$A)</f>
        <v>M25</v>
      </c>
      <c r="M3" s="11" t="str">
        <f>"N"&amp;COUNTA($A:$A)</f>
        <v>N25</v>
      </c>
      <c r="N3" s="11" t="str">
        <f>"O"&amp;COUNTA($A:$A)</f>
        <v>O25</v>
      </c>
      <c r="O3" s="11" t="str">
        <f>"P"&amp;COUNTA($A:$A)</f>
        <v>P25</v>
      </c>
      <c r="Q3" s="11" t="str">
        <f>RIGHT(B2,(LEN(B2)-FIND(".",B2,1)))</f>
        <v>LogA</v>
      </c>
      <c r="R3" s="32" t="str">
        <f>REPT(CHAR(9),1)&amp;"public class "&amp;B3&amp;"ExportInput"&amp;C3</f>
        <v xml:space="preserve">	public class MstLgaEkbPartListExportInput{
</v>
      </c>
      <c r="S3" s="11" t="str">
        <f>"namespace "&amp;$B$6&amp;".Exporting
"&amp;$C$3</f>
        <v xml:space="preserve">namespace vovina.Master.LogA.Exporting
{
</v>
      </c>
      <c r="T3" s="11" t="str">
        <f>"T"&amp;COUNTA($A:$A)</f>
        <v>T25</v>
      </c>
      <c r="V3" s="11" t="str">
        <f>"V"&amp;COUNTA($A:$A)</f>
        <v>V25</v>
      </c>
      <c r="W3" s="10" t="str">
        <f>"W"&amp;COUNTA($A:$A)</f>
        <v>W25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343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vovina.Master.LogA</v>
      </c>
      <c r="C6" s="11" t="str">
        <f>"namespace "&amp;$B$6&amp;"
"&amp;$C$3</f>
        <v xml:space="preserve">namespace vovina.Master.LogA
{
</v>
      </c>
      <c r="D6" s="11" t="str">
        <f>REPT(CHAR(9),1)&amp;"public class "&amp;B3&amp;G3&amp;REPT(CHAR(9),1)&amp;"
"&amp;REPT(CHAR(9),1)&amp;C3</f>
        <v xml:space="preserve">	public class MstLgaEkbPartList: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MstLgaEkbPartListConsts	
	{
</v>
      </c>
      <c r="F6" s="11" t="str">
        <f>REPT(CHAR(9),1)&amp;"public class "&amp;B3&amp;"Dto"&amp;K3&amp;REPT(CHAR(9),1)&amp;"
"&amp;REPT(CHAR(9),1)&amp;C3</f>
        <v xml:space="preserve">	public class MstLgaEkbPartListDto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CreateOrEditMstLgaEkbPartListDto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GetMstLgaEkbPartListInput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MstLgaEkbPartList</v>
      </c>
      <c r="C7" s="11" t="str">
        <f>REPT(CHAR(9),1)&amp;"[Table("""&amp;B7&amp;""")]"&amp;"
"</f>
        <v xml:space="preserve">	[Table("MstLgaEkbPartList")]
</v>
      </c>
      <c r="D7" s="11"/>
      <c r="E7" s="11"/>
      <c r="F7" s="11"/>
      <c r="G7" s="11"/>
      <c r="H7" s="11"/>
      <c r="I7" s="11"/>
      <c r="J7" s="6" t="str">
        <f ca="1">SUBSTITUTE(SUBSTITUTE((B1&amp;C6&amp;C7&amp;K27&amp;D6&amp;I27&amp;E3&amp;J27&amp;""&amp;REPT(CHAR(9),1)&amp;D3&amp;D3),"WorkingPattern",$Q$3),"Master",$B$4)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vovina.Master.LogA
{
	[Table("MstLgaEkbPartList")]
	[Index(nameof(PartNo), Name="IX_MstLgaEkbPartList_PartNo")]
	[Index(nameof(PartNoNormanlized), Name="IX_MstLgaEkbPartList_PartNoNormanlized")]
	[Index(nameof(BackNo), Name="IX_MstLgaEkbPartList_BackNo")]
	[Index(nameof(ProdLine), Name="IX_MstLgaEkbPartList_ProdLine")]
	[Index(nameof(IsActive), Name="IX_MstLgaEkbPartList_IsActive")]	public class MstLgaEkbPartList: FullAuditedEntity&lt;long&gt;, IEntity&lt;long&gt;	
	{
		public const int MaxPartNoLength = 50;
		public const int MaxPartNoNormanlizedLength = 50;
		public const int MaxPartNameLength = 200;
		public const int MaxBackNoLength = 50;
		public const int MaxProdLineLength = 50;
		public const int MaxSupplierNoLength = 50;
		public const int MaxModelLength = 50;
		public const int MaxProcessCodeLength = 50;
		public const int MaxPcAddressLength = 50;
		public const int MaxSpsAddressLength = 50;
		public const int MaxRemarkLength = 500;
		public const int MaxIsActiveLength = 1;
		[StringLength(MaxPartNoLength)]
		public virtual string PartNo { get; set; }
		[StringLength(MaxPartNoNormanlizedLength)]
		public virtual string PartNoNormanlized { get; set; }
		[StringLength(MaxPartNameLength)]
		public virtual string PartName { get; set; }
		[StringLength(MaxBackNoLength)]
		public virtual string BackNo { get; set; }
		[StringLength(MaxProdLineLength)]
		public virtual string ProdLine { get; set; }
		[StringLength(MaxSupplierNoLength)]
		public virtual string SupplierNo { get; set; }
		[StringLength(MaxModelLength)]
		public virtual string Model { get; set; }
		public virtual long ProcessId { get; set; }
		[StringLength(MaxProcessCodeLength)]
		public virtual string ProcessCode { get; set; }
		public virtual int UsageQty { get; set; }
		public virtual int BoxQty { get; set; }
		[StringLength(MaxPcAddressLength)]
		public virtual string PcAddress { get; set; }
		public virtual int PcSorting { get; set; }
		[StringLength(MaxSpsAddressLength)]
		public virtual string SpsAddress { get; set; }
		public virtual int SpsSorting { get; set; }
		[StringLength(MaxRemarkLength)]
		public virtual string Remark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DbSet&lt;MstLgaEkbPartList&gt; MstLgaEkbPartLists { get; set; }</v>
      </c>
      <c r="L7" t="str">
        <f ca="1">SUBSTITUTE(SUBSTITUTE((C6&amp;E6&amp;I27&amp;"
"&amp;REPT(CHAR(9),2)&amp;"// Define Store Name: Format SP_ + &lt;Store Name&gt; = &lt;Store Name&gt;
"&amp;E3&amp;REPT(CHAR(9),1)&amp;D3&amp;D3),"WorkingPattern",$Q$3),"Master",$B$4)</f>
        <v xml:space="preserve">namespace vovina.Master.LogA
{
	public class MstLgaEkbPartListConsts	
	{
		public const int MaxPartNoLength = 50;
		public const int MaxPartNoNormanlizedLength = 50;
		public const int MaxPartNameLength = 200;
		public const int MaxBackNoLength = 50;
		public const int MaxProdLineLength = 50;
		public const int MaxSupplierNoLength = 50;
		public const int MaxModelLength = 50;
		public const int MaxProcessCodeLength = 50;
		public const int MaxPcAddressLength = 50;
		public const int MaxSpsAddressLength = 50;
		public const int MaxRemarkLength = 500;
		public const int MaxIsActiveLength = 1;
		// Define Store Name: Format SP_ + &lt;Store Name&gt; = &lt;Store Name&gt;
	}
}
</v>
      </c>
      <c r="M7" t="str">
        <f ca="1">SUBSTITUTE(SUBSTITUTE((C1&amp;"namespace "&amp;B6&amp;".Dto"&amp;E3&amp;C3&amp;F6&amp;M27&amp;E3&amp;REPT(CHAR(9),1)&amp;D3&amp;G6&amp;N27&amp;REPT(CHAR(9),1)&amp;D3&amp;H6&amp;O27&amp;"
"&amp;REPT(CHAR(9),1)&amp;D3&amp;D3),"WorkingPattern",$Q$3),"Master",$B$4)</f>
        <v xml:space="preserve">using Abp.Application.Services.Dto;
using System;
using System.ComponentModel.DataAnnotations;
namespace vovina.Master.LogA.Dto
{
	public class MstLgaEkbPartListDto : EntityDto&lt;long?&gt;	
	{
		public virtual string PartNo { get; set; }
		public virtual string PartNoNormanlized { get; set; }
		public virtual string PartName { get; set; }
		public virtual string BackNo { get; set; }
		public virtual string ProdLine { get; set; }
		public virtual string SupplierNo { get; set; }
		public virtual string Model { get; set; }
		public virtual long ProcessId { get; set; }
		public virtual string ProcessCode { get; set; }
		public virtual int UsageQty { get; set; }
		public virtual int BoxQty { get; set; }
		public virtual string PcAddress { get; set; }
		public virtual int PcSorting { get; set; }
		public virtual string SpsAddress { get; set; }
		public virtual int SpsSorting { get; set; }
		public virtual string Remark { get; set; }
		public virtual string IsActive { get; set; }
	}
	public class CreateOrEditMstLgaEkbPartListDto : EntityDto&lt;long?&gt;	
	{
		[StringLength(MstLgaEkbPartListConsts.MaxPartNoLength)]
		public virtual string PartNo { get; set; }
		[StringLength(MstLgaEkbPartListConsts.MaxPartNoNormanlizedLength)]
		public virtual string PartNoNormanlized { get; set; }
		[StringLength(MstLgaEkbPartListConsts.MaxPartNameLength)]
		public virtual string PartName { get; set; }
		[StringLength(MstLgaEkbPartListConsts.MaxBackNoLength)]
		public virtual string BackNo { get; set; }
		[StringLength(MstLgaEkbPartListConsts.MaxProdLineLength)]
		public virtual string ProdLine { get; set; }
		[StringLength(MstLgaEkbPartListConsts.MaxSupplierNoLength)]
		public virtual string SupplierNo { get; set; }
		[StringLength(MstLgaEkbPartListConsts.MaxModelLength)]
		public virtual string Model { get; set; }
		public virtual long ProcessId { get; set; }
		[StringLength(MstLgaEkbPartListConsts.MaxProcessCodeLength)]
		public virtual string ProcessCode { get; set; }
		public virtual int UsageQty { get; set; }
		public virtual int BoxQty { get; set; }
		[StringLength(MstLgaEkbPartListConsts.MaxPcAddressLength)]
		public virtual string PcAddress { get; set; }
		public virtual int PcSorting { get; set; }
		[StringLength(MstLgaEkbPartListConsts.MaxSpsAddressLength)]
		public virtual string SpsAddress { get; set; }
		public virtual int SpsSorting { get; set; }
		[StringLength(MstLgaEkbPartListConsts.MaxRemarkLength)]
		public virtual string Remark { get; set; }
		[StringLength(MstLgaEkbPartListConsts.MaxIsActiveLength)]
		public virtual string IsActive { get; set; }
	}
	public class GetMstLgaEkbPartListInput : PagedAndSortedResultRequestDto	
	{
		public virtual string PartNo { get; set; }
		public virtual string PartNoNormanlized { get; set; }
		public virtual string PartName { get; set; }
		public virtual string BackNo { get; set; }
		public virtual string ProdLine { get; set; }
		public virtual string SupplierNo { get; set; }
		public virtual string Model { get; set; }
		public virtual string ProcessCode { get; set; }
		public virtual int UsageQty { get; set; }
		public virtual int BoxQty { get; set; }
		public virtual string PcAddress { get; set; }
		public virtual int PcSorting { get; set; }
		public virtual string SpsAddress { get; set; }
		public virtual int SpsSorting { get; set; }
		public virtual string Remark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perMstLgaEkbPartList = PARENTS.CreateChildPermission(AppPermissions.Pages_Master_LogA_EkbPartList, L( "MasterLogAEkbPartList"), multiTenancySides: MultiTenancySides.Tenant);
		perMstLgaEkbPartList.CreateChildPermission(AppPermissions.Pages_Master_LogA_EkbPartList_CreateEdit, L( "MasterLogAEkbPartListCreateEdit"), multiTenancySides: MultiTenancySides.Tenant);
		perMstLgaEkbPartList.CreateChildPermission(AppPermissions.Pages_Master_LogA_EkbPartList_Delete, L( "MasterLogAEkbPartListDelete"),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Pages_Master_LogA_EkbPartList = "Pages.Master.LogA.EkbPartList";
		public const string Pages_Master_LogA_EkbPartList_CreateEdit = "Pages.Master.LogA.EkbPartList.CreateEdit";
		public const string Pages_Master_LogA_EkbPartList_Delete = "Pages.Master.LogA.EkbPartList.Delete";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vovina.Master.LogA.Dto;
namespace vovina.Master.LogA
{
	public interface IMstLgaEkbPartListAppService : IApplicationService
	{
		Task&lt;PagedResultDto&lt;MstLgaEkbPartListDto&gt;&gt; GetAll(GetMstLgaEkbPartListInput input);
		Task CreateOrEdit(CreateOrEditMstLgaEkbPartListDto input);
		Task Delete(EntityDto input);
	}
}
</v>
      </c>
      <c r="Q7" t="str">
        <f ca="1">SUBSTITUTE(SUBSTITUTE(SUBSTITUTE(SUBSTITUTE(SUBSTITUTE(SUBSTITUTE(E1,"MstWptCalendar",$B$3),"&lt;PROPERTIES&gt;",P27),"Calendar",$B$5),"WorkingPattern",$Q$3),"Master",$B$4),"&lt;PARAMS_SEARCH&gt;",$W$27)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vovina.Master.LogA.Dto;
using vovina.Master.LogA.Exporting;
namespace vovina.Master.LogA
{
    [AbpAuthorize(AppPermissions.Pages_Master_LogA_EkbPartList)]
    public class MstLgaEkbPartListAppService : vovinaAppServiceBase, IMstLgaEkbPartListAppService
    {
        private readonly IDapperRepository&lt;MstLgaEkbPartList, long&gt; _dapperRepo;
        private readonly IRepository&lt;MstLgaEkbPartList, long&gt; _repo;
        private readonly IMstLgaEkbPartListExcelExporter _calendarListExcelExporter;
        public MstLgaEkbPartListAppService(IRepository&lt;MstLgaEkbPartList,long&gt; repo, 
                                         IDapperRepository&lt;MstLgaEkbPartList,long&gt; dapperRepo,
                                        IMstLgaEkbPartListExcelExporter calendarListExcelExporter
            )
        {
            _repo = repo;
            _dapperRepo = dapperRepo;
            _calendarListExcelExporter = calendarListExcelExporter;
        }
        [AbpAuthorize(AppPermissions.Pages_Master_LogA_EkbPartList_CreateEdit)]
        public async Task CreateOrEdit(CreateOrEditMstLgaEkbPartListDto input)
        {
            if (input.Id == null) await Create(input);
            else await Update(input);
        }
        //CREATE
        private async Task Create(CreateOrEditMstLgaEkbPartListDto input)
        {          
            var mainObj = ObjectMapper.Map&lt;MstLgaEkbPartList&gt;(input);
            await CurrentUnitOfWork.GetDbContext&lt;vovinaDbContext&gt;().AddAsync(mainObj);
        }
        // EDIT
        private async Task Update(CreateOrEditMstLgaEkbPartListDto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[AbpAuthorize(AppPermissions.Pages_Master_LogA_EkbPartList_Delete)]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Task&lt;PagedResultDto&lt;MstLgaEkbPartListDto&gt;&gt; GetAll(GetMstLgaEkbPartListInput input)
        {
            var filtered = _repo.GetAll()
				.WhereIf(!string.IsNullOrWhiteSpace(input.PartNo), e =&gt; e.PartNo.Contains(input.PartNo))
				.WhereIf(!string.IsNullOrWhiteSpace(input.PartNoNormanlized), e =&gt; e.PartNoNormanlized.Contains(input.PartNoNormanlized))
				.WhereIf(!string.IsNullOrWhiteSpace(input.PartName), e =&gt; e.PartName.Contains(input.PartName))
				.WhereIf(!string.IsNullOrWhiteSpace(input.BackNo), e =&gt; e.BackNo.Contains(input.BackNo))
				.WhereIf(!string.IsNullOrWhiteSpace(input.ProdLine), e =&gt; e.ProdLine.Contains(input.ProdLine))
				.WhereIf(!string.IsNullOrWhiteSpace(input.SupplierNo), e =&gt; e.SupplierNo.Contains(input.SupplierNo))
				.WhereIf(!string.IsNullOrWhiteSpace(input.Model), e =&gt; e.Model.Contains(input.Model))
				.WhereIf(!string.IsNullOrWhiteSpace(input.ProcessCode), e =&gt; e.ProcessCode.Contains(input.ProcessCode))
				.WhereIf(!string.IsNullOrWhiteSpace(input.PcAddress), e =&gt; e.PcAddress.Contains(input.PcAddress))
				.WhereIf(!string.IsNullOrWhiteSpace(input.SpsAddress), e =&gt; e.SpsAddress.Contains(input.SpsAddress))
				.WhereIf(!string.IsNullOrWhiteSpace(input.Remark), e =&gt; e.Remark.Contains(input.Remark))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MstLgaEkbPartListDto
                        {
							Id = o.Id,
							PartNo = o.PartNo,
							PartNoNormanlized = o.PartNoNormanlized,
							PartName = o.PartName,
							BackNo = o.BackNo,
							ProdLine = o.ProdLine,
							SupplierNo = o.SupplierNo,
							Model = o.Model,
							ProcessId = o.ProcessId,
							ProcessCode = o.ProcessCode,
							UsageQty = o.UsageQty,
							BoxQty = o.BoxQty,
							PcAddress = o.PcAddress,
							PcSorting = o.PcSorting,
							SpsAddress = o.SpsAddress,
							SpsSorting = o.SpsSorting,
							Remark = o.Remark,
							IsActive = o.IsActive,
                        };
            var totalCount = await filtered.CountAsync();
			var paged = system.PageBy(input);
            return new PagedResultDto&lt;MstLgaEkbPartListDto&gt;(
                totalCount,
                 await paged.ToListAsync()
            );
        }
        public async Task&lt;FileDto&gt; GetEkbPartListToExcel(MstLgaEkbPartListExportInput input)
        {
            var query = from o in _repo.GetAll()
                        select new MstLgaEkbPartListDto
                        {
							Id = o.Id,
							PartNo = o.PartNo,
							PartNoNormanlized = o.PartNoNormanlized,
							PartName = o.PartName,
							BackNo = o.BackNo,
							ProdLine = o.ProdLine,
							SupplierNo = o.SupplierNo,
							Model = o.Model,
							ProcessId = o.ProcessId,
							ProcessCode = o.ProcessCode,
							UsageQty = o.UsageQty,
							BoxQty = o.BoxQty,
							PcAddress = o.PcAddress,
							PcSorting = o.PcSorting,
							SpsAddress = o.SpsAddress,
							SpsSorting = o.SpsSorting,
							Remark = o.Remark,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_dapperRepo.ExecuteAsync(MstLgaEkbPartListConsts.SP_MST_WPT_CALENDAR_GENERATE);
       // }
    }
}</v>
      </c>
      <c r="R7" t="str">
        <f ca="1">SUBSTITUTE(SUBSTITUTE((C1&amp;"namespace "&amp;B6&amp;".Dto"&amp;E3&amp;C3&amp;R3&amp;M27&amp;E3&amp;REPT(CHAR(9),1)&amp;D3&amp;D3),"WorkingPattern",$Q$3),"Master",$B$4)</f>
        <v xml:space="preserve">using Abp.Application.Services.Dto;
using System;
using System.ComponentModel.DataAnnotations;
namespace vovina.Master.LogA.Dto
{
	public class MstLgaEkbPartListExportInput{
		public virtual string PartNo { get; set; }
		public virtual string PartNoNormanlized { get; set; }
		public virtual string PartName { get; set; }
		public virtual string BackNo { get; set; }
		public virtual string ProdLine { get; set; }
		public virtual string SupplierNo { get; set; }
		public virtual string Model { get; set; }
		public virtual long ProcessId { get; set; }
		public virtual string ProcessCode { get; set; }
		public virtual int UsageQty { get; set; }
		public virtual int BoxQty { get; set; }
		public virtual string PcAddress { get; set; }
		public virtual int PcSorting { get; set; }
		public virtual string SpsAddress { get; set; }
		public virtual int SpsSorting { get; set; }
		public virtual string Remark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vovina.Master.LogA.Dto;
namespace vovina.Master.LogA.Exporting
{
	public interface IMstLgaEkbPartListExcelExporter : IApplicationService
	{
		FileDto ExportToFile(List&lt;MstLgaEkbPartListDto&gt; mstlgaekbpartlist);
	}
}
</v>
      </c>
      <c r="T7" s="28" t="str">
        <f ca="1">SUBSTITUTE(SUBSTITUTE(SUBSTITUTE(SUBSTITUTE(SUBSTITUTE(SUBSTITUTE(SUBSTITUTE(T1,"MstWptCalendar",$B$3),"&lt;PROPERTIES1&gt;",V27),"&lt;PROPERTIES&gt;",T27),"Calendar",$B$5),"calendar",LOWER(B5)),"WorkingPattern",$Q$3),"Master",$B$4)</f>
        <v>using System.Collections.Generic;
using vovina.DataExporting.Excel.NPOI;
using vovina.Dto;
using vovina.Master.LogA.Exporting;
using vovina.Master.LogA.Dto;
using vovina.Storage;
using vovina.Master.LogA.Dto;
namespace vovina.Master.LogA.Exporting
{
    public class MstLgaEkbPartListExcelExporter : NpoiExcelExporterBase, IMstLgaEkbPartListExcelExporter
    {
        public MstLgaEkbPartListExcelExporter(ITempFileCacheManager tempFileCacheManager) : base(tempFileCacheManager) { }
        public FileDto ExportToFile(List&lt;MstLgaEkbPartListDto&gt; ekbpartlist)
        {
            return CreateExcelPackage(
				"MasterLogAEkbPartList.xlsx",
				excelPackage =&gt;
				 {
					var sheet = excelPackage.CreateSheet("EkbPartList");
					AddHeader(
								sheet,
								("PartNo"),
								("PartNoNormanlized"),
								("PartName"),
								("BackNo"),
								("ProdLine"),
								("SupplierNo"),
								("Model"),
								("ProcessId"),
								("ProcessCode"),
								("UsageQty"),
								("BoxQty"),
								("PcAddress"),
								("PcSorting"),
								("SpsAddress"),
								("SpsSorting"),
								("Remark"),
								("IsActive"),
							   );
					AddObjects(
						 sheet, 1, ekbpartlist,                                       
								_ =&gt; _.PartNo,
								_ =&gt; _.PartNoNormanlized,
								_ =&gt; _.PartName,
								_ =&gt; _.BackNo,
								_ =&gt; _.ProdLine,
								_ =&gt; _.SupplierNo,
								_ =&gt; _.Model,
								_ =&gt; _.ProcessId,
								_ =&gt; _.ProcessCode,
								_ =&gt; _.UsageQty,
								_ =&gt; _.BoxQty,
								_ =&gt; _.PcAddress,
								_ =&gt; _.PcSorting,
								_ =&gt; _.SpsAddress,
								_ =&gt; _.SpsSorting,
								_ =&gt; _.Remark,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configuration.CreateMap&lt;MstLgaEkbPartListDto, MstLgaEkbPartList&gt;();
  configuration.CreateMap&lt;MstLgaEkbPartList, MstLgaEkbPartListDto&gt;();
  configuration.CreateMap&lt;CreateOrEditMstLgaEkbPartListDto, MstLgaEkbPartList&gt;();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330</v>
      </c>
      <c r="B9" t="s">
        <v>321</v>
      </c>
      <c r="C9" t="s">
        <v>1</v>
      </c>
      <c r="D9" t="str">
        <f>SUBSTITUTE(PROPER(A9),"_","")</f>
        <v>PartNo</v>
      </c>
      <c r="E9" t="str">
        <f t="shared" ref="E9:E25" si="0">IFERROR(LEFT(B9, FIND("(",B9)-1),B9)</f>
        <v>varchar</v>
      </c>
      <c r="F9" s="7"/>
      <c r="G9" t="str">
        <f t="shared" ref="G9:G25" si="1">IFERROR(MID(B9,FIND("(",B9) +1, FIND(")",B9) - FIND("(",B9) - 1),"")</f>
        <v>50</v>
      </c>
      <c r="H9" t="str">
        <f>+VLOOKUP(E9,'Data Type Mapping'!A:B,2,)</f>
        <v>string</v>
      </c>
      <c r="I9" t="str">
        <f t="shared" ref="I9:I25" si="2">IF(H9="string",REPT(CHAR(9),2)&amp;"public const int Max"&amp;D9&amp;"Length = "&amp;G9&amp;";"&amp;$E$3,"" )</f>
        <v xml:space="preserve">		public const int MaxPartNoLength = 50;
</v>
      </c>
      <c r="J9" t="str">
        <f t="shared" ref="J9:J25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[StringLength(MaxPartNoLength)]
		public virtual string PartNo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[Index(nameof(PartNo), Name="IX_MstLgaEkbPartList_PartNo")]</v>
      </c>
      <c r="M9" t="str">
        <f t="shared" ref="M9:M25" si="4">REPT(CHAR(9),2)&amp;"public virtual "&amp;IF(OR(H9="DateTime",H9="TimeSpan"),H9&amp;"?",H9)&amp;IF(C9="?","? "," ")&amp;D9&amp;" { get; set; }" &amp; "
"</f>
        <v xml:space="preserve">		public virtual string PartNo { get; set; }
</v>
      </c>
      <c r="N9" t="str">
        <f t="shared" ref="N9:N25" si="5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[StringLength(MstLgaEkbPartListConsts.MaxPartNoLength)]
		public virtual string PartNo { get; set; }
</v>
      </c>
      <c r="O9" t="str">
        <f t="shared" ref="O9:O25" si="6">IF(OR(H9="string",H9="DateTime",H9="int"),REPT(CHAR(9),2)&amp;"public virtual "&amp;IF(OR(H9="DateTime",H9="TimeSpan"),H9&amp;"?",H9)&amp;IF(C9="?","? "," ")&amp;D9&amp;" { get; set; }"&amp;$E$3,"")</f>
        <v xml:space="preserve">		public virtual string PartNo { get; set; }
</v>
      </c>
      <c r="P9" t="str">
        <f t="shared" ref="P9:P25" si="7">REPT(CHAR(9),7)&amp;D9&amp;" = o." &amp;D9 &amp;","</f>
        <v xml:space="preserve">							PartNo = o.PartNo,</v>
      </c>
      <c r="T9" s="69" t="str">
        <f t="shared" ref="T9:T25" si="8">REPT(CHAR(9),8)&amp;"("""&amp;D9&amp;"""),"</f>
        <v xml:space="preserve">								("PartNo"),</v>
      </c>
      <c r="V9" s="70" t="str">
        <f t="shared" ref="V9:V25" si="9">REPT(CHAR(9),8)&amp;"_ =&gt; _."&amp;D9&amp;","</f>
        <v xml:space="preserve">								_ =&gt; _.PartNo,</v>
      </c>
      <c r="W9" s="69" t="str">
        <f t="shared" ref="W9:W25" si="10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.WhereIf(!string.IsNullOrWhiteSpace(input.PartNo), e =&gt; e.PartNo.Contains(input.PartNo))</v>
      </c>
    </row>
    <row r="10" spans="1:23" customFormat="1" ht="22.5" customHeight="1" x14ac:dyDescent="0.25">
      <c r="A10" t="s">
        <v>336</v>
      </c>
      <c r="B10" t="s">
        <v>321</v>
      </c>
      <c r="C10" t="s">
        <v>1</v>
      </c>
      <c r="D10" t="str">
        <f>SUBSTITUTE(PROPER(A10),"_","")</f>
        <v>PartNoNormanlized</v>
      </c>
      <c r="E10" t="str">
        <f t="shared" ref="E10" si="11">IFERROR(LEFT(B10, FIND("(",B10)-1),B10)</f>
        <v>varchar</v>
      </c>
      <c r="F10" s="7"/>
      <c r="G10" t="str">
        <f t="shared" ref="G10" si="12">IFERROR(MID(B10,FIND("(",B10) +1, FIND(")",B10) - FIND("(",B10) - 1),"")</f>
        <v>50</v>
      </c>
      <c r="H10" t="str">
        <f>+VLOOKUP(E10,'Data Type Mapping'!A:B,2,)</f>
        <v>string</v>
      </c>
      <c r="I10" t="str">
        <f t="shared" ref="I10" si="13">IF(H10="string",REPT(CHAR(9),2)&amp;"public const int Max"&amp;D10&amp;"Length = "&amp;G10&amp;";"&amp;$E$3,"" )</f>
        <v xml:space="preserve">		public const int MaxPartNoNormanlizedLength = 50;
</v>
      </c>
      <c r="J10" t="str">
        <f t="shared" ref="J10" si="14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[StringLength(MaxPartNoNormanlizedLength)]
		public virtual string PartNoNormanlized { get; set; }
</v>
      </c>
      <c r="K10" s="7" t="s">
        <v>206</v>
      </c>
      <c r="L10" t="str">
        <f>IF(K10="","",REPT(CHAR(9),1)&amp;"[Index(nameof("&amp;IF(D10="","",""&amp;D10)&amp;")"&amp;", Name="&amp;"""IX_"&amp;$B$7&amp;"_"&amp;D10&amp;""")]")</f>
        <v xml:space="preserve">	[Index(nameof(PartNoNormanlized), Name="IX_MstLgaEkbPartList_PartNoNormanlized")]</v>
      </c>
      <c r="M10" t="str">
        <f t="shared" ref="M10" si="15">REPT(CHAR(9),2)&amp;"public virtual "&amp;IF(OR(H10="DateTime",H10="TimeSpan"),H10&amp;"?",H10)&amp;IF(C10="?","? "," ")&amp;D10&amp;" { get; set; }" &amp; "
"</f>
        <v xml:space="preserve">		public virtual string PartNoNormanlized { get; set; }
</v>
      </c>
      <c r="N10" t="str">
        <f t="shared" ref="N10" si="16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[StringLength(MstLgaEkbPartListConsts.MaxPartNoNormanlizedLength)]
		public virtual string PartNoNormanlized { get; set; }
</v>
      </c>
      <c r="O10" t="str">
        <f t="shared" ref="O10" si="17">IF(OR(H10="string",H10="DateTime",H10="int"),REPT(CHAR(9),2)&amp;"public virtual "&amp;IF(OR(H10="DateTime",H10="TimeSpan"),H10&amp;"?",H10)&amp;IF(C10="?","? "," ")&amp;D10&amp;" { get; set; }"&amp;$E$3,"")</f>
        <v xml:space="preserve">		public virtual string PartNoNormanlized { get; set; }
</v>
      </c>
      <c r="P10" t="str">
        <f t="shared" ref="P10" si="18">REPT(CHAR(9),7)&amp;D10&amp;" = o." &amp;D10 &amp;","</f>
        <v xml:space="preserve">							PartNoNormanlized = o.PartNoNormanlized,</v>
      </c>
      <c r="T10" s="69" t="str">
        <f t="shared" ref="T10" si="19">REPT(CHAR(9),8)&amp;"("""&amp;D10&amp;"""),"</f>
        <v xml:space="preserve">								("PartNoNormanlized"),</v>
      </c>
      <c r="V10" s="70" t="str">
        <f t="shared" ref="V10" si="20">REPT(CHAR(9),8)&amp;"_ =&gt; _."&amp;D10&amp;","</f>
        <v xml:space="preserve">								_ =&gt; _.PartNoNormanlized,</v>
      </c>
      <c r="W10" s="69" t="str">
        <f t="shared" ref="W10" si="21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.WhereIf(!string.IsNullOrWhiteSpace(input.PartNoNormanlized), e =&gt; e.PartNoNormanlized.Contains(input.PartNoNormanlized))</v>
      </c>
    </row>
    <row r="11" spans="1:23" customFormat="1" ht="22.5" customHeight="1" x14ac:dyDescent="0.25">
      <c r="A11" t="s">
        <v>326</v>
      </c>
      <c r="B11" t="s">
        <v>327</v>
      </c>
      <c r="C11" t="s">
        <v>1</v>
      </c>
      <c r="D11" t="str">
        <f>SUBSTITUTE(PROPER(A11),"_","")</f>
        <v>PartName</v>
      </c>
      <c r="E11" t="str">
        <f t="shared" si="0"/>
        <v>varchar</v>
      </c>
      <c r="F11" s="7"/>
      <c r="G11" t="str">
        <f t="shared" si="1"/>
        <v>200</v>
      </c>
      <c r="H11" t="str">
        <f>+VLOOKUP(E11,'Data Type Mapping'!A:B,2,)</f>
        <v>string</v>
      </c>
      <c r="I11" t="str">
        <f t="shared" si="2"/>
        <v xml:space="preserve">		public const int MaxPartNameLength = 200;
</v>
      </c>
      <c r="J11" t="str">
        <f t="shared" si="3"/>
        <v xml:space="preserve">		[StringLength(MaxPartNameLength)]
		public virtual string PartName { get; set; }
</v>
      </c>
      <c r="K11" s="7"/>
      <c r="L11" t="str">
        <f>IF(K11="","",REPT(CHAR(9),1)&amp;"[Index(nameof("&amp;IF(D11="","",""&amp;D11)&amp;")"&amp;", Name="&amp;"""IX_"&amp;$B$7&amp;"_"&amp;D11&amp;""")]")</f>
        <v/>
      </c>
      <c r="M11" t="str">
        <f t="shared" si="4"/>
        <v xml:space="preserve">		public virtual string PartName { get; set; }
</v>
      </c>
      <c r="N11" t="str">
        <f t="shared" si="5"/>
        <v xml:space="preserve">		[StringLength(MstLgaEkbPartListConsts.MaxPartNameLength)]
		public virtual string PartName { get; set; }
</v>
      </c>
      <c r="O11" t="str">
        <f t="shared" si="6"/>
        <v xml:space="preserve">		public virtual string PartName { get; set; }
</v>
      </c>
      <c r="P11" t="str">
        <f t="shared" si="7"/>
        <v xml:space="preserve">							PartName = o.PartName,</v>
      </c>
      <c r="T11" s="69" t="str">
        <f t="shared" si="8"/>
        <v xml:space="preserve">								("PartName"),</v>
      </c>
      <c r="V11" s="70" t="str">
        <f t="shared" si="9"/>
        <v xml:space="preserve">								_ =&gt; _.PartName,</v>
      </c>
      <c r="W11" s="69" t="str">
        <f t="shared" si="10"/>
        <v xml:space="preserve">				.WhereIf(!string.IsNullOrWhiteSpace(input.PartName), e =&gt; e.PartName.Contains(input.PartName))</v>
      </c>
    </row>
    <row r="12" spans="1:23" customFormat="1" ht="21" customHeight="1" x14ac:dyDescent="0.25">
      <c r="A12" t="s">
        <v>331</v>
      </c>
      <c r="B12" t="s">
        <v>321</v>
      </c>
      <c r="C12" t="s">
        <v>1</v>
      </c>
      <c r="D12" t="str">
        <f t="shared" ref="D12:D14" si="22">SUBSTITUTE(PROPER(A12),"_","")</f>
        <v>BackNo</v>
      </c>
      <c r="E12" t="str">
        <f t="shared" si="0"/>
        <v>varchar</v>
      </c>
      <c r="F12" s="7"/>
      <c r="G12" t="str">
        <f t="shared" si="1"/>
        <v>50</v>
      </c>
      <c r="H12" t="str">
        <f>+VLOOKUP(E12,'Data Type Mapping'!A:B,2,)</f>
        <v>string</v>
      </c>
      <c r="I12" t="str">
        <f t="shared" si="2"/>
        <v xml:space="preserve">		public const int MaxBackNoLength = 50;
</v>
      </c>
      <c r="J12" t="str">
        <f t="shared" si="3"/>
        <v xml:space="preserve">		[StringLength(MaxBackNoLength)]
		public virtual string BackNo { get; set; }
</v>
      </c>
      <c r="K12" s="7" t="s">
        <v>206</v>
      </c>
      <c r="L12" t="str">
        <f t="shared" ref="L12:L14" si="23">IF(K12="","",REPT(CHAR(9),1)&amp;"[Index(nameof("&amp;IF(D12="","",""&amp;D12)&amp;")"&amp;", Name="&amp;"""IX_"&amp;$B$7&amp;"_"&amp;D12&amp;""")]")</f>
        <v xml:space="preserve">	[Index(nameof(BackNo), Name="IX_MstLgaEkbPartList_BackNo")]</v>
      </c>
      <c r="M12" t="str">
        <f t="shared" si="4"/>
        <v xml:space="preserve">		public virtual string BackNo { get; set; }
</v>
      </c>
      <c r="N12" t="str">
        <f t="shared" si="5"/>
        <v xml:space="preserve">		[StringLength(MstLgaEkbPartListConsts.MaxBackNoLength)]
		public virtual string BackNo { get; set; }
</v>
      </c>
      <c r="O12" t="str">
        <f t="shared" si="6"/>
        <v xml:space="preserve">		public virtual string BackNo { get; set; }
</v>
      </c>
      <c r="P12" t="str">
        <f t="shared" si="7"/>
        <v xml:space="preserve">							BackNo = o.BackNo,</v>
      </c>
      <c r="T12" s="69" t="str">
        <f t="shared" si="8"/>
        <v xml:space="preserve">								("BackNo"),</v>
      </c>
      <c r="V12" s="70" t="str">
        <f t="shared" si="9"/>
        <v xml:space="preserve">								_ =&gt; _.BackNo,</v>
      </c>
      <c r="W12" s="69" t="str">
        <f t="shared" si="10"/>
        <v xml:space="preserve">				.WhereIf(!string.IsNullOrWhiteSpace(input.BackNo), e =&gt; e.BackNo.Contains(input.BackNo))</v>
      </c>
    </row>
    <row r="13" spans="1:23" customFormat="1" ht="18.75" customHeight="1" x14ac:dyDescent="0.25">
      <c r="A13" t="s">
        <v>323</v>
      </c>
      <c r="B13" t="s">
        <v>321</v>
      </c>
      <c r="C13" t="s">
        <v>1</v>
      </c>
      <c r="D13" t="str">
        <f t="shared" si="22"/>
        <v>ProdLine</v>
      </c>
      <c r="E13" t="str">
        <f t="shared" si="0"/>
        <v>varchar</v>
      </c>
      <c r="F13" s="7"/>
      <c r="G13" t="str">
        <f t="shared" si="1"/>
        <v>50</v>
      </c>
      <c r="H13" t="str">
        <f>+VLOOKUP(E13,'Data Type Mapping'!A:B,2,)</f>
        <v>string</v>
      </c>
      <c r="I13" t="str">
        <f t="shared" si="2"/>
        <v xml:space="preserve">		public const int MaxProdLineLength = 50;
</v>
      </c>
      <c r="J13" t="str">
        <f t="shared" si="3"/>
        <v xml:space="preserve">		[StringLength(MaxProdLineLength)]
		public virtual string ProdLine { get; set; }
</v>
      </c>
      <c r="K13" s="7" t="s">
        <v>206</v>
      </c>
      <c r="L13" t="str">
        <f t="shared" si="23"/>
        <v xml:space="preserve">	[Index(nameof(ProdLine), Name="IX_MstLgaEkbPartList_ProdLine")]</v>
      </c>
      <c r="M13" t="str">
        <f t="shared" si="4"/>
        <v xml:space="preserve">		public virtual string ProdLine { get; set; }
</v>
      </c>
      <c r="N13" t="str">
        <f t="shared" si="5"/>
        <v xml:space="preserve">		[StringLength(MstLgaEkbPartListConsts.MaxProdLineLength)]
		public virtual string ProdLine { get; set; }
</v>
      </c>
      <c r="O13" t="str">
        <f t="shared" si="6"/>
        <v xml:space="preserve">		public virtual string ProdLine { get; set; }
</v>
      </c>
      <c r="P13" t="str">
        <f t="shared" si="7"/>
        <v xml:space="preserve">							ProdLine = o.ProdLine,</v>
      </c>
      <c r="T13" s="69" t="str">
        <f t="shared" si="8"/>
        <v xml:space="preserve">								("ProdLine"),</v>
      </c>
      <c r="V13" s="70" t="str">
        <f t="shared" si="9"/>
        <v xml:space="preserve">								_ =&gt; _.ProdLine,</v>
      </c>
      <c r="W13" s="69" t="str">
        <f t="shared" si="10"/>
        <v xml:space="preserve">				.WhereIf(!string.IsNullOrWhiteSpace(input.ProdLine), e =&gt; e.ProdLine.Contains(input.ProdLine))</v>
      </c>
    </row>
    <row r="14" spans="1:23" customFormat="1" ht="18.75" customHeight="1" x14ac:dyDescent="0.25">
      <c r="A14" t="s">
        <v>345</v>
      </c>
      <c r="B14" t="s">
        <v>321</v>
      </c>
      <c r="C14" t="s">
        <v>1</v>
      </c>
      <c r="D14" t="str">
        <f t="shared" si="22"/>
        <v>SupplierNo</v>
      </c>
      <c r="E14" t="str">
        <f t="shared" si="0"/>
        <v>varchar</v>
      </c>
      <c r="F14" s="7"/>
      <c r="G14" t="str">
        <f t="shared" si="1"/>
        <v>50</v>
      </c>
      <c r="H14" t="str">
        <f>+VLOOKUP(E14,'Data Type Mapping'!A:B,2,)</f>
        <v>string</v>
      </c>
      <c r="I14" t="str">
        <f t="shared" si="2"/>
        <v xml:space="preserve">		public const int MaxSupplierNoLength = 50;
</v>
      </c>
      <c r="J14" t="str">
        <f t="shared" si="3"/>
        <v xml:space="preserve">		[StringLength(MaxSupplierNoLength)]
		public virtual string SupplierNo { get; set; }
</v>
      </c>
      <c r="K14" s="7"/>
      <c r="L14" t="str">
        <f t="shared" si="23"/>
        <v/>
      </c>
      <c r="M14" t="str">
        <f t="shared" si="4"/>
        <v xml:space="preserve">		public virtual string SupplierNo { get; set; }
</v>
      </c>
      <c r="N14" t="str">
        <f t="shared" si="5"/>
        <v xml:space="preserve">		[StringLength(MstLgaEkbPartListConsts.MaxSupplierNoLength)]
		public virtual string SupplierNo { get; set; }
</v>
      </c>
      <c r="O14" t="str">
        <f t="shared" si="6"/>
        <v xml:space="preserve">		public virtual string SupplierNo { get; set; }
</v>
      </c>
      <c r="P14" t="str">
        <f t="shared" si="7"/>
        <v xml:space="preserve">							SupplierNo = o.SupplierNo,</v>
      </c>
      <c r="T14" s="69" t="str">
        <f t="shared" si="8"/>
        <v xml:space="preserve">								("SupplierNo"),</v>
      </c>
      <c r="V14" s="70" t="str">
        <f t="shared" si="9"/>
        <v xml:space="preserve">								_ =&gt; _.SupplierNo,</v>
      </c>
      <c r="W14" s="69" t="str">
        <f t="shared" si="10"/>
        <v xml:space="preserve">				.WhereIf(!string.IsNullOrWhiteSpace(input.SupplierNo), e =&gt; e.SupplierNo.Contains(input.SupplierNo))</v>
      </c>
    </row>
    <row r="15" spans="1:23" customFormat="1" ht="18.75" customHeight="1" x14ac:dyDescent="0.25">
      <c r="A15" t="s">
        <v>337</v>
      </c>
      <c r="B15" t="s">
        <v>321</v>
      </c>
      <c r="C15" t="s">
        <v>1</v>
      </c>
      <c r="D15" t="str">
        <f t="shared" ref="D15:D16" si="24">SUBSTITUTE(PROPER(A15),"_","")</f>
        <v>Model</v>
      </c>
      <c r="E15" t="str">
        <f t="shared" ref="E15:E16" si="25">IFERROR(LEFT(B15, FIND("(",B15)-1),B15)</f>
        <v>varchar</v>
      </c>
      <c r="F15" s="7"/>
      <c r="G15" t="str">
        <f t="shared" ref="G15:G16" si="26">IFERROR(MID(B15,FIND("(",B15) +1, FIND(")",B15) - FIND("(",B15) - 1),"")</f>
        <v>50</v>
      </c>
      <c r="H15" t="str">
        <f>+VLOOKUP(E15,'Data Type Mapping'!A:B,2,)</f>
        <v>string</v>
      </c>
      <c r="I15" t="str">
        <f t="shared" ref="I15:I16" si="27">IF(H15="string",REPT(CHAR(9),2)&amp;"public const int Max"&amp;D15&amp;"Length = "&amp;G15&amp;";"&amp;$E$3,"" )</f>
        <v xml:space="preserve">		public const int MaxModelLength = 50;
</v>
      </c>
      <c r="J15" t="str">
        <f t="shared" ref="J15:J16" si="28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[StringLength(MaxModelLength)]
		public virtual string Model { get; set; }
</v>
      </c>
      <c r="K15" s="7"/>
      <c r="L15" t="str">
        <f t="shared" ref="L15:L16" si="29">IF(K15="","",REPT(CHAR(9),1)&amp;"[Index(nameof("&amp;IF(D15="","",""&amp;D15)&amp;")"&amp;", Name="&amp;"""IX_"&amp;$B$7&amp;"_"&amp;D15&amp;""")]")</f>
        <v/>
      </c>
      <c r="M15" t="str">
        <f t="shared" ref="M15:M16" si="30">REPT(CHAR(9),2)&amp;"public virtual "&amp;IF(OR(H15="DateTime",H15="TimeSpan"),H15&amp;"?",H15)&amp;IF(C15="?","? "," ")&amp;D15&amp;" { get; set; }" &amp; "
"</f>
        <v xml:space="preserve">		public virtual string Model { get; set; }
</v>
      </c>
      <c r="N15" t="str">
        <f t="shared" ref="N15:N16" si="31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[StringLength(MstLgaEkbPartListConsts.MaxModelLength)]
		public virtual string Model { get; set; }
</v>
      </c>
      <c r="O15" t="str">
        <f t="shared" ref="O15:O16" si="32">IF(OR(H15="string",H15="DateTime",H15="int"),REPT(CHAR(9),2)&amp;"public virtual "&amp;IF(OR(H15="DateTime",H15="TimeSpan"),H15&amp;"?",H15)&amp;IF(C15="?","? "," ")&amp;D15&amp;" { get; set; }"&amp;$E$3,"")</f>
        <v xml:space="preserve">		public virtual string Model { get; set; }
</v>
      </c>
      <c r="P15" t="str">
        <f t="shared" ref="P15:P16" si="33">REPT(CHAR(9),7)&amp;D15&amp;" = o." &amp;D15 &amp;","</f>
        <v xml:space="preserve">							Model = o.Model,</v>
      </c>
      <c r="T15" s="69" t="str">
        <f t="shared" ref="T15:T16" si="34">REPT(CHAR(9),8)&amp;"("""&amp;D15&amp;"""),"</f>
        <v xml:space="preserve">								("Model"),</v>
      </c>
      <c r="V15" s="70" t="str">
        <f t="shared" ref="V15:V16" si="35">REPT(CHAR(9),8)&amp;"_ =&gt; _."&amp;D15&amp;","</f>
        <v xml:space="preserve">								_ =&gt; _.Model,</v>
      </c>
      <c r="W15" s="69" t="str">
        <f t="shared" ref="W15:W16" si="36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 xml:space="preserve">				.WhereIf(!string.IsNullOrWhiteSpace(input.Model), e =&gt; e.Model.Contains(input.Model))</v>
      </c>
    </row>
    <row r="16" spans="1:23" customFormat="1" ht="18.75" customHeight="1" x14ac:dyDescent="0.25">
      <c r="A16" t="s">
        <v>340</v>
      </c>
      <c r="B16" t="s">
        <v>0</v>
      </c>
      <c r="C16" t="s">
        <v>1</v>
      </c>
      <c r="D16" t="str">
        <f t="shared" si="24"/>
        <v>ProcessId</v>
      </c>
      <c r="E16" t="str">
        <f t="shared" si="25"/>
        <v>bigint</v>
      </c>
      <c r="F16" s="7"/>
      <c r="G16" t="str">
        <f t="shared" si="26"/>
        <v/>
      </c>
      <c r="H16" t="str">
        <f>+VLOOKUP(E16,'Data Type Mapping'!A:B,2,)</f>
        <v>long</v>
      </c>
      <c r="I16" t="str">
        <f t="shared" si="27"/>
        <v/>
      </c>
      <c r="J16" t="str">
        <f t="shared" si="28"/>
        <v xml:space="preserve">		public virtual long ProcessId { get; set; }
</v>
      </c>
      <c r="K16" s="7"/>
      <c r="L16" t="str">
        <f t="shared" si="29"/>
        <v/>
      </c>
      <c r="M16" t="str">
        <f t="shared" si="30"/>
        <v xml:space="preserve">		public virtual long ProcessId { get; set; }
</v>
      </c>
      <c r="N16" t="str">
        <f t="shared" si="31"/>
        <v xml:space="preserve">		public virtual long ProcessId { get; set; }
</v>
      </c>
      <c r="O16" t="str">
        <f t="shared" si="32"/>
        <v/>
      </c>
      <c r="P16" t="str">
        <f t="shared" si="33"/>
        <v xml:space="preserve">							ProcessId = o.ProcessId,</v>
      </c>
      <c r="T16" s="69" t="str">
        <f t="shared" si="34"/>
        <v xml:space="preserve">								("ProcessId"),</v>
      </c>
      <c r="V16" s="70" t="str">
        <f t="shared" si="35"/>
        <v xml:space="preserve">								_ =&gt; _.ProcessId,</v>
      </c>
      <c r="W16" s="69" t="str">
        <f t="shared" si="36"/>
        <v/>
      </c>
    </row>
    <row r="17" spans="1:23" customFormat="1" ht="18.75" customHeight="1" x14ac:dyDescent="0.25">
      <c r="A17" t="s">
        <v>341</v>
      </c>
      <c r="B17" t="s">
        <v>321</v>
      </c>
      <c r="C17" t="s">
        <v>1</v>
      </c>
      <c r="D17" t="str">
        <f t="shared" ref="D17" si="37">SUBSTITUTE(PROPER(A17),"_","")</f>
        <v>ProcessCode</v>
      </c>
      <c r="E17" t="str">
        <f t="shared" ref="E17" si="38">IFERROR(LEFT(B17, FIND("(",B17)-1),B17)</f>
        <v>varchar</v>
      </c>
      <c r="F17" s="7"/>
      <c r="G17" t="str">
        <f t="shared" ref="G17" si="39">IFERROR(MID(B17,FIND("(",B17) +1, FIND(")",B17) - FIND("(",B17) - 1),"")</f>
        <v>50</v>
      </c>
      <c r="H17" t="str">
        <f>+VLOOKUP(E17,'Data Type Mapping'!A:B,2,)</f>
        <v>string</v>
      </c>
      <c r="I17" t="str">
        <f t="shared" ref="I17" si="40">IF(H17="string",REPT(CHAR(9),2)&amp;"public const int Max"&amp;D17&amp;"Length = "&amp;G17&amp;";"&amp;$E$3,"" )</f>
        <v xml:space="preserve">		public const int MaxProcessCodeLength = 50;
</v>
      </c>
      <c r="J17" t="str">
        <f t="shared" ref="J17" si="41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[StringLength(MaxProcessCodeLength)]
		public virtual string ProcessCode { get; set; }
</v>
      </c>
      <c r="K17" s="7"/>
      <c r="L17" t="str">
        <f t="shared" ref="L17" si="42">IF(K17="","",REPT(CHAR(9),1)&amp;"[Index(nameof("&amp;IF(D17="","",""&amp;D17)&amp;")"&amp;", Name="&amp;"""IX_"&amp;$B$7&amp;"_"&amp;D17&amp;""")]")</f>
        <v/>
      </c>
      <c r="M17" t="str">
        <f t="shared" ref="M17" si="43">REPT(CHAR(9),2)&amp;"public virtual "&amp;IF(OR(H17="DateTime",H17="TimeSpan"),H17&amp;"?",H17)&amp;IF(C17="?","? "," ")&amp;D17&amp;" { get; set; }" &amp; "
"</f>
        <v xml:space="preserve">		public virtual string ProcessCode { get; set; }
</v>
      </c>
      <c r="N17" t="str">
        <f t="shared" ref="N17" si="44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[StringLength(MstLgaEkbPartListConsts.MaxProcessCodeLength)]
		public virtual string ProcessCode { get; set; }
</v>
      </c>
      <c r="O17" t="str">
        <f t="shared" ref="O17" si="45">IF(OR(H17="string",H17="DateTime",H17="int"),REPT(CHAR(9),2)&amp;"public virtual "&amp;IF(OR(H17="DateTime",H17="TimeSpan"),H17&amp;"?",H17)&amp;IF(C17="?","? "," ")&amp;D17&amp;" { get; set; }"&amp;$E$3,"")</f>
        <v xml:space="preserve">		public virtual string ProcessCode { get; set; }
</v>
      </c>
      <c r="P17" t="str">
        <f t="shared" ref="P17" si="46">REPT(CHAR(9),7)&amp;D17&amp;" = o." &amp;D17 &amp;","</f>
        <v xml:space="preserve">							ProcessCode = o.ProcessCode,</v>
      </c>
      <c r="T17" s="69" t="str">
        <f t="shared" ref="T17" si="47">REPT(CHAR(9),8)&amp;"("""&amp;D17&amp;"""),"</f>
        <v xml:space="preserve">								("ProcessCode"),</v>
      </c>
      <c r="V17" s="70" t="str">
        <f t="shared" ref="V17" si="48">REPT(CHAR(9),8)&amp;"_ =&gt; _."&amp;D17&amp;","</f>
        <v xml:space="preserve">								_ =&gt; _.ProcessCode,</v>
      </c>
      <c r="W17" s="69" t="str">
        <f t="shared" ref="W17" si="49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 xml:space="preserve">				.WhereIf(!string.IsNullOrWhiteSpace(input.ProcessCode), e =&gt; e.ProcessCode.Contains(input.ProcessCode))</v>
      </c>
    </row>
    <row r="18" spans="1:23" customFormat="1" ht="18.75" customHeight="1" x14ac:dyDescent="0.25">
      <c r="A18" t="s">
        <v>338</v>
      </c>
      <c r="B18" t="s">
        <v>4</v>
      </c>
      <c r="C18" t="s">
        <v>1</v>
      </c>
      <c r="D18" t="str">
        <f>SUBSTITUTE(PROPER(A18),"_","")</f>
        <v>UsageQty</v>
      </c>
      <c r="E18" t="str">
        <f>IFERROR(LEFT(B18, FIND("(",B18)-1),B18)</f>
        <v>int</v>
      </c>
      <c r="F18" s="7"/>
      <c r="G18" t="str">
        <f>IFERROR(MID(B18,FIND("(",B18) +1, FIND(")",B18) - FIND("(",B18) - 1),"")</f>
        <v/>
      </c>
      <c r="H18" t="str">
        <f>+VLOOKUP(E18,'Data Type Mapping'!A:B,2,)</f>
        <v>int</v>
      </c>
      <c r="I18" t="str">
        <f>IF(H18="string",REPT(CHAR(9),2)&amp;"public const int Max"&amp;D18&amp;"Length = "&amp;G18&amp;";"&amp;$E$3,"" )</f>
        <v/>
      </c>
      <c r="J18" t="str">
        <f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public virtual int UsageQty { get; set; }
</v>
      </c>
      <c r="K18" s="7"/>
      <c r="L18" t="str">
        <f>IF(K18="","",REPT(CHAR(9),1)&amp;"[Index(nameof("&amp;IF(D18="","",""&amp;D18)&amp;")"&amp;", Name="&amp;"""IX_"&amp;$B$7&amp;"_"&amp;D18&amp;""")]")</f>
        <v/>
      </c>
      <c r="M18" t="str">
        <f>REPT(CHAR(9),2)&amp;"public virtual "&amp;IF(OR(H18="DateTime",H18="TimeSpan"),H18&amp;"?",H18)&amp;IF(C18="?","? "," ")&amp;D18&amp;" { get; set; }" &amp; "
"</f>
        <v xml:space="preserve">		public virtual int UsageQty { get; set; }
</v>
      </c>
      <c r="N18" t="str">
        <f>IF(C18="Checked","",$I$3)&amp;IF(H18="string",REPT(CHAR(9),2)&amp;"[StringLength("&amp;$B$3&amp;"Consts.Max"&amp;D18&amp;"Length"&amp;")]"&amp;$E$3,"")&amp;REPT(CHAR(9),2)&amp;"public virtual "&amp;IF(OR(H18="DateTime",H18="TimeSpan"),H18&amp;"?",H18)&amp;IF(C18="?","? "," ")&amp;D18&amp;" { get; set; }" &amp; "
"</f>
        <v xml:space="preserve">		public virtual int UsageQty { get; set; }
</v>
      </c>
      <c r="O18" t="str">
        <f>IF(OR(H18="string",H18="DateTime",H18="int"),REPT(CHAR(9),2)&amp;"public virtual "&amp;IF(OR(H18="DateTime",H18="TimeSpan"),H18&amp;"?",H18)&amp;IF(C18="?","? "," ")&amp;D18&amp;" { get; set; }"&amp;$E$3,"")</f>
        <v xml:space="preserve">		public virtual int UsageQty { get; set; }
</v>
      </c>
      <c r="P18" t="str">
        <f>REPT(CHAR(9),7)&amp;D18&amp;" = o." &amp;D18 &amp;","</f>
        <v xml:space="preserve">							UsageQty = o.UsageQty,</v>
      </c>
      <c r="T18" s="69" t="str">
        <f>REPT(CHAR(9),8)&amp;"("""&amp;D18&amp;"""),"</f>
        <v xml:space="preserve">								("UsageQty"),</v>
      </c>
      <c r="V18" s="70" t="str">
        <f>REPT(CHAR(9),8)&amp;"_ =&gt; _."&amp;D18&amp;","</f>
        <v xml:space="preserve">								_ =&gt; _.UsageQty,</v>
      </c>
      <c r="W18" s="69" t="str">
        <f>IF(H18="string",REPT(CHAR(9),4)&amp;".WhereIf(!string.IsNullOrWhiteSpace(input."&amp;D18&amp;"), e =&gt; e."&amp;D18&amp;".Contains(input."&amp;D18&amp;"))",IF(H18="DateTime",REPT(CHAR(9),4)&amp;".WhereIf(input."&amp;D18&amp;".HasValue, t =&gt; t."&amp;D18&amp;" == input."&amp;D18&amp;".Value)",""))</f>
        <v/>
      </c>
    </row>
    <row r="19" spans="1:23" customFormat="1" ht="18.75" customHeight="1" x14ac:dyDescent="0.25">
      <c r="A19" t="s">
        <v>339</v>
      </c>
      <c r="B19" t="s">
        <v>4</v>
      </c>
      <c r="C19" t="s">
        <v>1</v>
      </c>
      <c r="D19" t="str">
        <f t="shared" ref="D19" si="50">SUBSTITUTE(PROPER(A19),"_","")</f>
        <v>BoxQty</v>
      </c>
      <c r="E19" t="str">
        <f t="shared" ref="E19" si="51">IFERROR(LEFT(B19, FIND("(",B19)-1),B19)</f>
        <v>int</v>
      </c>
      <c r="F19" s="7"/>
      <c r="G19" t="str">
        <f t="shared" ref="G19" si="52">IFERROR(MID(B19,FIND("(",B19) +1, FIND(")",B19) - FIND("(",B19) - 1),"")</f>
        <v/>
      </c>
      <c r="H19" t="str">
        <f>+VLOOKUP(E19,'Data Type Mapping'!A:B,2,)</f>
        <v>int</v>
      </c>
      <c r="I19" t="str">
        <f t="shared" ref="I19" si="53">IF(H19="string",REPT(CHAR(9),2)&amp;"public const int Max"&amp;D19&amp;"Length = "&amp;G19&amp;";"&amp;$E$3,"" )</f>
        <v/>
      </c>
      <c r="J19" t="str">
        <f t="shared" ref="J19" si="54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public virtual int BoxQty { get; set; }
</v>
      </c>
      <c r="K19" s="7"/>
      <c r="L19" t="str">
        <f t="shared" ref="L19" si="55">IF(K19="","",REPT(CHAR(9),1)&amp;"[Index(nameof("&amp;IF(D19="","",""&amp;D19)&amp;")"&amp;", Name="&amp;"""IX_"&amp;$B$7&amp;"_"&amp;D19&amp;""")]")</f>
        <v/>
      </c>
      <c r="M19" t="str">
        <f t="shared" ref="M19" si="56">REPT(CHAR(9),2)&amp;"public virtual "&amp;IF(OR(H19="DateTime",H19="TimeSpan"),H19&amp;"?",H19)&amp;IF(C19="?","? "," ")&amp;D19&amp;" { get; set; }" &amp; "
"</f>
        <v xml:space="preserve">		public virtual int BoxQty { get; set; }
</v>
      </c>
      <c r="N19" t="str">
        <f t="shared" ref="N19" si="57"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public virtual int BoxQty { get; set; }
</v>
      </c>
      <c r="O19" t="str">
        <f t="shared" ref="O19" si="58">IF(OR(H19="string",H19="DateTime",H19="int"),REPT(CHAR(9),2)&amp;"public virtual "&amp;IF(OR(H19="DateTime",H19="TimeSpan"),H19&amp;"?",H19)&amp;IF(C19="?","? "," ")&amp;D19&amp;" { get; set; }"&amp;$E$3,"")</f>
        <v xml:space="preserve">		public virtual int BoxQty { get; set; }
</v>
      </c>
      <c r="P19" t="str">
        <f t="shared" ref="P19" si="59">REPT(CHAR(9),7)&amp;D19&amp;" = o." &amp;D19 &amp;","</f>
        <v xml:space="preserve">							BoxQty = o.BoxQty,</v>
      </c>
      <c r="T19" s="69" t="str">
        <f t="shared" ref="T19" si="60">REPT(CHAR(9),8)&amp;"("""&amp;D19&amp;"""),"</f>
        <v xml:space="preserve">								("BoxQty"),</v>
      </c>
      <c r="V19" s="70" t="str">
        <f t="shared" ref="V19" si="61">REPT(CHAR(9),8)&amp;"_ =&gt; _."&amp;D19&amp;","</f>
        <v xml:space="preserve">								_ =&gt; _.BoxQty,</v>
      </c>
      <c r="W19" s="69" t="str">
        <f t="shared" ref="W19" si="62"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/>
      </c>
    </row>
    <row r="20" spans="1:23" customFormat="1" ht="18.75" customHeight="1" x14ac:dyDescent="0.25">
      <c r="A20" t="s">
        <v>332</v>
      </c>
      <c r="B20" t="s">
        <v>321</v>
      </c>
      <c r="C20" t="s">
        <v>1</v>
      </c>
      <c r="D20" t="str">
        <f t="shared" ref="D20:D21" si="63">SUBSTITUTE(PROPER(A20),"_","")</f>
        <v>PcAddress</v>
      </c>
      <c r="E20" t="str">
        <f t="shared" ref="E20:E21" si="64">IFERROR(LEFT(B20, FIND("(",B20)-1),B20)</f>
        <v>varchar</v>
      </c>
      <c r="F20" s="7"/>
      <c r="G20" t="str">
        <f t="shared" ref="G20:G21" si="65">IFERROR(MID(B20,FIND("(",B20) +1, FIND(")",B20) - FIND("(",B20) - 1),"")</f>
        <v>50</v>
      </c>
      <c r="H20" t="str">
        <f>+VLOOKUP(E20,'Data Type Mapping'!A:B,2,)</f>
        <v>string</v>
      </c>
      <c r="I20" t="str">
        <f t="shared" ref="I20:I21" si="66">IF(H20="string",REPT(CHAR(9),2)&amp;"public const int Max"&amp;D20&amp;"Length = "&amp;G20&amp;";"&amp;$E$3,"" )</f>
        <v xml:space="preserve">		public const int MaxPcAddressLength = 50;
</v>
      </c>
      <c r="J20" t="str">
        <f t="shared" ref="J20:J21" si="67">IF(F20="","",REPT(CHAR(9),2)&amp;"[Column(TypeName="""&amp;F20&amp;""")]"&amp;$E$3)&amp;IF(C20="Checked","",$I$3)&amp;IF(H20="string",REPT(CHAR(9),2)&amp;"[StringLength(Max"&amp;D20&amp;"Length"&amp;")]"&amp;$E$3,"")&amp;REPT(CHAR(9),2)&amp;"public virtual "&amp;H20&amp;IF(C20="?","? "," ")&amp;D20&amp;" { get; set; }" &amp; "
"</f>
        <v xml:space="preserve">		[StringLength(MaxPcAddressLength)]
		public virtual string PcAddress { get; set; }
</v>
      </c>
      <c r="K20" s="7"/>
      <c r="L20" t="str">
        <f t="shared" ref="L20:L21" si="68">IF(K20="","",REPT(CHAR(9),1)&amp;"[Index(nameof("&amp;IF(D20="","",""&amp;D20)&amp;")"&amp;", Name="&amp;"""IX_"&amp;$B$7&amp;"_"&amp;D20&amp;""")]")</f>
        <v/>
      </c>
      <c r="M20" t="str">
        <f t="shared" ref="M20:M21" si="69">REPT(CHAR(9),2)&amp;"public virtual "&amp;IF(OR(H20="DateTime",H20="TimeSpan"),H20&amp;"?",H20)&amp;IF(C20="?","? "," ")&amp;D20&amp;" { get; set; }" &amp; "
"</f>
        <v xml:space="preserve">		public virtual string PcAddress { get; set; }
</v>
      </c>
      <c r="N20" t="str">
        <f t="shared" ref="N20:N21" si="70"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[StringLength(MstLgaEkbPartListConsts.MaxPcAddressLength)]
		public virtual string PcAddress { get; set; }
</v>
      </c>
      <c r="O20" t="str">
        <f t="shared" ref="O20:O21" si="71">IF(OR(H20="string",H20="DateTime",H20="int"),REPT(CHAR(9),2)&amp;"public virtual "&amp;IF(OR(H20="DateTime",H20="TimeSpan"),H20&amp;"?",H20)&amp;IF(C20="?","? "," ")&amp;D20&amp;" { get; set; }"&amp;$E$3,"")</f>
        <v xml:space="preserve">		public virtual string PcAddress { get; set; }
</v>
      </c>
      <c r="P20" t="str">
        <f t="shared" ref="P20:P21" si="72">REPT(CHAR(9),7)&amp;D20&amp;" = o." &amp;D20 &amp;","</f>
        <v xml:space="preserve">							PcAddress = o.PcAddress,</v>
      </c>
      <c r="T20" s="69" t="str">
        <f t="shared" ref="T20:T21" si="73">REPT(CHAR(9),8)&amp;"("""&amp;D20&amp;"""),"</f>
        <v xml:space="preserve">								("PcAddress"),</v>
      </c>
      <c r="V20" s="70" t="str">
        <f t="shared" ref="V20:V21" si="74">REPT(CHAR(9),8)&amp;"_ =&gt; _."&amp;D20&amp;","</f>
        <v xml:space="preserve">								_ =&gt; _.PcAddress,</v>
      </c>
      <c r="W20" s="69" t="str">
        <f t="shared" ref="W20:W21" si="75"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 xml:space="preserve">				.WhereIf(!string.IsNullOrWhiteSpace(input.PcAddress), e =&gt; e.PcAddress.Contains(input.PcAddress))</v>
      </c>
    </row>
    <row r="21" spans="1:23" customFormat="1" ht="18.75" customHeight="1" x14ac:dyDescent="0.25">
      <c r="A21" t="s">
        <v>333</v>
      </c>
      <c r="B21" t="s">
        <v>4</v>
      </c>
      <c r="C21" t="s">
        <v>1</v>
      </c>
      <c r="D21" t="str">
        <f t="shared" si="63"/>
        <v>PcSorting</v>
      </c>
      <c r="E21" t="str">
        <f t="shared" si="64"/>
        <v>int</v>
      </c>
      <c r="F21" s="7"/>
      <c r="G21" t="str">
        <f t="shared" si="65"/>
        <v/>
      </c>
      <c r="H21" t="str">
        <f>+VLOOKUP(E21,'Data Type Mapping'!A:B,2,)</f>
        <v>int</v>
      </c>
      <c r="I21" t="str">
        <f t="shared" si="66"/>
        <v/>
      </c>
      <c r="J21" t="str">
        <f t="shared" si="67"/>
        <v xml:space="preserve">		public virtual int PcSorting { get; set; }
</v>
      </c>
      <c r="K21" s="7"/>
      <c r="L21" t="str">
        <f t="shared" si="68"/>
        <v/>
      </c>
      <c r="M21" t="str">
        <f t="shared" si="69"/>
        <v xml:space="preserve">		public virtual int PcSorting { get; set; }
</v>
      </c>
      <c r="N21" t="str">
        <f t="shared" si="70"/>
        <v xml:space="preserve">		public virtual int PcSorting { get; set; }
</v>
      </c>
      <c r="O21" t="str">
        <f t="shared" si="71"/>
        <v xml:space="preserve">		public virtual int PcSorting { get; set; }
</v>
      </c>
      <c r="P21" t="str">
        <f t="shared" si="72"/>
        <v xml:space="preserve">							PcSorting = o.PcSorting,</v>
      </c>
      <c r="T21" s="69" t="str">
        <f t="shared" si="73"/>
        <v xml:space="preserve">								("PcSorting"),</v>
      </c>
      <c r="V21" s="70" t="str">
        <f t="shared" si="74"/>
        <v xml:space="preserve">								_ =&gt; _.PcSorting,</v>
      </c>
      <c r="W21" s="69" t="str">
        <f t="shared" si="75"/>
        <v/>
      </c>
    </row>
    <row r="22" spans="1:23" customFormat="1" ht="18.75" customHeight="1" x14ac:dyDescent="0.25">
      <c r="A22" t="s">
        <v>334</v>
      </c>
      <c r="B22" t="s">
        <v>321</v>
      </c>
      <c r="C22" t="s">
        <v>1</v>
      </c>
      <c r="D22" t="str">
        <f t="shared" ref="D22" si="76">SUBSTITUTE(PROPER(A22),"_","")</f>
        <v>SpsAddress</v>
      </c>
      <c r="E22" t="str">
        <f t="shared" ref="E22" si="77">IFERROR(LEFT(B22, FIND("(",B22)-1),B22)</f>
        <v>varchar</v>
      </c>
      <c r="F22" s="7"/>
      <c r="G22" t="str">
        <f t="shared" ref="G22" si="78">IFERROR(MID(B22,FIND("(",B22) +1, FIND(")",B22) - FIND("(",B22) - 1),"")</f>
        <v>50</v>
      </c>
      <c r="H22" t="str">
        <f>+VLOOKUP(E22,'Data Type Mapping'!A:B,2,)</f>
        <v>string</v>
      </c>
      <c r="I22" t="str">
        <f t="shared" ref="I22" si="79">IF(H22="string",REPT(CHAR(9),2)&amp;"public const int Max"&amp;D22&amp;"Length = "&amp;G22&amp;";"&amp;$E$3,"" )</f>
        <v xml:space="preserve">		public const int MaxSpsAddressLength = 50;
</v>
      </c>
      <c r="J22" t="str">
        <f t="shared" ref="J22" si="80">IF(F22="","",REPT(CHAR(9),2)&amp;"[Column(TypeName="""&amp;F22&amp;""")]"&amp;$E$3)&amp;IF(C22="Checked","",$I$3)&amp;IF(H22="string",REPT(CHAR(9),2)&amp;"[StringLength(Max"&amp;D22&amp;"Length"&amp;")]"&amp;$E$3,"")&amp;REPT(CHAR(9),2)&amp;"public virtual "&amp;H22&amp;IF(C22="?","? "," ")&amp;D22&amp;" { get; set; }" &amp; "
"</f>
        <v xml:space="preserve">		[StringLength(MaxSpsAddressLength)]
		public virtual string SpsAddress { get; set; }
</v>
      </c>
      <c r="K22" s="7"/>
      <c r="L22" t="str">
        <f t="shared" ref="L22" si="81">IF(K22="","",REPT(CHAR(9),1)&amp;"[Index(nameof("&amp;IF(D22="","",""&amp;D22)&amp;")"&amp;", Name="&amp;"""IX_"&amp;$B$7&amp;"_"&amp;D22&amp;""")]")</f>
        <v/>
      </c>
      <c r="M22" t="str">
        <f t="shared" ref="M22" si="82">REPT(CHAR(9),2)&amp;"public virtual "&amp;IF(OR(H22="DateTime",H22="TimeSpan"),H22&amp;"?",H22)&amp;IF(C22="?","? "," ")&amp;D22&amp;" { get; set; }" &amp; "
"</f>
        <v xml:space="preserve">		public virtual string SpsAddress { get; set; }
</v>
      </c>
      <c r="N22" t="str">
        <f t="shared" ref="N22" si="83">IF(C22="Checked","",$I$3)&amp;IF(H22="string",REPT(CHAR(9),2)&amp;"[StringLength("&amp;$B$3&amp;"Consts.Max"&amp;D22&amp;"Length"&amp;")]"&amp;$E$3,"")&amp;REPT(CHAR(9),2)&amp;"public virtual "&amp;IF(OR(H22="DateTime",H22="TimeSpan"),H22&amp;"?",H22)&amp;IF(C22="?","? "," ")&amp;D22&amp;" { get; set; }" &amp; "
"</f>
        <v xml:space="preserve">		[StringLength(MstLgaEkbPartListConsts.MaxSpsAddressLength)]
		public virtual string SpsAddress { get; set; }
</v>
      </c>
      <c r="O22" t="str">
        <f t="shared" ref="O22" si="84">IF(OR(H22="string",H22="DateTime",H22="int"),REPT(CHAR(9),2)&amp;"public virtual "&amp;IF(OR(H22="DateTime",H22="TimeSpan"),H22&amp;"?",H22)&amp;IF(C22="?","? "," ")&amp;D22&amp;" { get; set; }"&amp;$E$3,"")</f>
        <v xml:space="preserve">		public virtual string SpsAddress { get; set; }
</v>
      </c>
      <c r="P22" t="str">
        <f t="shared" ref="P22" si="85">REPT(CHAR(9),7)&amp;D22&amp;" = o." &amp;D22 &amp;","</f>
        <v xml:space="preserve">							SpsAddress = o.SpsAddress,</v>
      </c>
      <c r="T22" s="69" t="str">
        <f t="shared" ref="T22" si="86">REPT(CHAR(9),8)&amp;"("""&amp;D22&amp;"""),"</f>
        <v xml:space="preserve">								("SpsAddress"),</v>
      </c>
      <c r="V22" s="70" t="str">
        <f t="shared" ref="V22" si="87">REPT(CHAR(9),8)&amp;"_ =&gt; _."&amp;D22&amp;","</f>
        <v xml:space="preserve">								_ =&gt; _.SpsAddress,</v>
      </c>
      <c r="W22" s="69" t="str">
        <f t="shared" ref="W22" si="88">IF(H22="string",REPT(CHAR(9),4)&amp;".WhereIf(!string.IsNullOrWhiteSpace(input."&amp;D22&amp;"), e =&gt; e."&amp;D22&amp;".Contains(input."&amp;D22&amp;"))",IF(H22="DateTime",REPT(CHAR(9),4)&amp;".WhereIf(input."&amp;D22&amp;".HasValue, t =&gt; t."&amp;D22&amp;" == input."&amp;D22&amp;".Value)",""))</f>
        <v xml:space="preserve">				.WhereIf(!string.IsNullOrWhiteSpace(input.SpsAddress), e =&gt; e.SpsAddress.Contains(input.SpsAddress))</v>
      </c>
    </row>
    <row r="23" spans="1:23" customFormat="1" ht="18.75" customHeight="1" x14ac:dyDescent="0.25">
      <c r="A23" t="s">
        <v>335</v>
      </c>
      <c r="B23" t="s">
        <v>4</v>
      </c>
      <c r="C23" t="s">
        <v>1</v>
      </c>
      <c r="D23" t="str">
        <f t="shared" ref="D23:D24" si="89">SUBSTITUTE(PROPER(A23),"_","")</f>
        <v>SpsSorting</v>
      </c>
      <c r="E23" t="str">
        <f t="shared" ref="E23:E24" si="90">IFERROR(LEFT(B23, FIND("(",B23)-1),B23)</f>
        <v>int</v>
      </c>
      <c r="F23" s="7"/>
      <c r="G23" t="str">
        <f t="shared" ref="G23:G24" si="91">IFERROR(MID(B23,FIND("(",B23) +1, FIND(")",B23) - FIND("(",B23) - 1),"")</f>
        <v/>
      </c>
      <c r="H23" t="str">
        <f>+VLOOKUP(E23,'Data Type Mapping'!A:B,2,)</f>
        <v>int</v>
      </c>
      <c r="I23" t="str">
        <f t="shared" ref="I23:I24" si="92">IF(H23="string",REPT(CHAR(9),2)&amp;"public const int Max"&amp;D23&amp;"Length = "&amp;G23&amp;";"&amp;$E$3,"" )</f>
        <v/>
      </c>
      <c r="J23" t="str">
        <f t="shared" ref="J23:J24" si="93">IF(F23="","",REPT(CHAR(9),2)&amp;"[Column(TypeName="""&amp;F23&amp;""")]"&amp;$E$3)&amp;IF(C23="Checked","",$I$3)&amp;IF(H23="string",REPT(CHAR(9),2)&amp;"[StringLength(Max"&amp;D23&amp;"Length"&amp;")]"&amp;$E$3,"")&amp;REPT(CHAR(9),2)&amp;"public virtual "&amp;H23&amp;IF(C23="?","? "," ")&amp;D23&amp;" { get; set; }" &amp; "
"</f>
        <v xml:space="preserve">		public virtual int SpsSorting { get; set; }
</v>
      </c>
      <c r="K23" s="7"/>
      <c r="L23" t="str">
        <f t="shared" ref="L23:L24" si="94">IF(K23="","",REPT(CHAR(9),1)&amp;"[Index(nameof("&amp;IF(D23="","",""&amp;D23)&amp;")"&amp;", Name="&amp;"""IX_"&amp;$B$7&amp;"_"&amp;D23&amp;""")]")</f>
        <v/>
      </c>
      <c r="M23" t="str">
        <f t="shared" ref="M23:M24" si="95">REPT(CHAR(9),2)&amp;"public virtual "&amp;IF(OR(H23="DateTime",H23="TimeSpan"),H23&amp;"?",H23)&amp;IF(C23="?","? "," ")&amp;D23&amp;" { get; set; }" &amp; "
"</f>
        <v xml:space="preserve">		public virtual int SpsSorting { get; set; }
</v>
      </c>
      <c r="N23" t="str">
        <f t="shared" ref="N23:N24" si="96">IF(C23="Checked","",$I$3)&amp;IF(H23="string",REPT(CHAR(9),2)&amp;"[StringLength("&amp;$B$3&amp;"Consts.Max"&amp;D23&amp;"Length"&amp;")]"&amp;$E$3,"")&amp;REPT(CHAR(9),2)&amp;"public virtual "&amp;IF(OR(H23="DateTime",H23="TimeSpan"),H23&amp;"?",H23)&amp;IF(C23="?","? "," ")&amp;D23&amp;" { get; set; }" &amp; "
"</f>
        <v xml:space="preserve">		public virtual int SpsSorting { get; set; }
</v>
      </c>
      <c r="O23" t="str">
        <f t="shared" ref="O23:O24" si="97">IF(OR(H23="string",H23="DateTime",H23="int"),REPT(CHAR(9),2)&amp;"public virtual "&amp;IF(OR(H23="DateTime",H23="TimeSpan"),H23&amp;"?",H23)&amp;IF(C23="?","? "," ")&amp;D23&amp;" { get; set; }"&amp;$E$3,"")</f>
        <v xml:space="preserve">		public virtual int SpsSorting { get; set; }
</v>
      </c>
      <c r="P23" t="str">
        <f t="shared" ref="P23:P24" si="98">REPT(CHAR(9),7)&amp;D23&amp;" = o." &amp;D23 &amp;","</f>
        <v xml:space="preserve">							SpsSorting = o.SpsSorting,</v>
      </c>
      <c r="T23" s="69" t="str">
        <f t="shared" ref="T23:T24" si="99">REPT(CHAR(9),8)&amp;"("""&amp;D23&amp;"""),"</f>
        <v xml:space="preserve">								("SpsSorting"),</v>
      </c>
      <c r="V23" s="70" t="str">
        <f t="shared" ref="V23:V24" si="100">REPT(CHAR(9),8)&amp;"_ =&gt; _."&amp;D23&amp;","</f>
        <v xml:space="preserve">								_ =&gt; _.SpsSorting,</v>
      </c>
      <c r="W23" s="69" t="str">
        <f t="shared" ref="W23:W24" si="101">IF(H23="string",REPT(CHAR(9),4)&amp;".WhereIf(!string.IsNullOrWhiteSpace(input."&amp;D23&amp;"), e =&gt; e."&amp;D23&amp;".Contains(input."&amp;D23&amp;"))",IF(H23="DateTime",REPT(CHAR(9),4)&amp;".WhereIf(input."&amp;D23&amp;".HasValue, t =&gt; t."&amp;D23&amp;" == input."&amp;D23&amp;".Value)",""))</f>
        <v/>
      </c>
    </row>
    <row r="24" spans="1:23" customFormat="1" ht="18.75" customHeight="1" x14ac:dyDescent="0.25">
      <c r="A24" t="s">
        <v>328</v>
      </c>
      <c r="B24" t="s">
        <v>329</v>
      </c>
      <c r="C24" t="s">
        <v>1</v>
      </c>
      <c r="D24" t="str">
        <f t="shared" si="89"/>
        <v>Remark</v>
      </c>
      <c r="E24" t="str">
        <f t="shared" si="90"/>
        <v>nvarchar</v>
      </c>
      <c r="F24" s="7"/>
      <c r="G24" t="str">
        <f t="shared" si="91"/>
        <v>500</v>
      </c>
      <c r="H24" t="str">
        <f>+VLOOKUP(E24,'Data Type Mapping'!A:B,2,)</f>
        <v>string</v>
      </c>
      <c r="I24" t="str">
        <f t="shared" si="92"/>
        <v xml:space="preserve">		public const int MaxRemarkLength = 500;
</v>
      </c>
      <c r="J24" t="str">
        <f t="shared" si="93"/>
        <v xml:space="preserve">		[StringLength(MaxRemarkLength)]
		public virtual string Remark { get; set; }
</v>
      </c>
      <c r="K24" s="7"/>
      <c r="L24" t="str">
        <f t="shared" si="94"/>
        <v/>
      </c>
      <c r="M24" t="str">
        <f t="shared" si="95"/>
        <v xml:space="preserve">		public virtual string Remark { get; set; }
</v>
      </c>
      <c r="N24" t="str">
        <f t="shared" si="96"/>
        <v xml:space="preserve">		[StringLength(MstLgaEkbPartListConsts.MaxRemarkLength)]
		public virtual string Remark { get; set; }
</v>
      </c>
      <c r="O24" t="str">
        <f t="shared" si="97"/>
        <v xml:space="preserve">		public virtual string Remark { get; set; }
</v>
      </c>
      <c r="P24" t="str">
        <f t="shared" si="98"/>
        <v xml:space="preserve">							Remark = o.Remark,</v>
      </c>
      <c r="T24" s="69" t="str">
        <f t="shared" si="99"/>
        <v xml:space="preserve">								("Remark"),</v>
      </c>
      <c r="V24" s="70" t="str">
        <f t="shared" si="100"/>
        <v xml:space="preserve">								_ =&gt; _.Remark,</v>
      </c>
      <c r="W24" s="69" t="str">
        <f t="shared" si="101"/>
        <v xml:space="preserve">				.WhereIf(!string.IsNullOrWhiteSpace(input.Remark), e =&gt; e.Remark.Contains(input.Remark))</v>
      </c>
    </row>
    <row r="25" spans="1:23" customFormat="1" ht="22.5" customHeight="1" x14ac:dyDescent="0.25">
      <c r="A25" t="s">
        <v>324</v>
      </c>
      <c r="B25" t="s">
        <v>325</v>
      </c>
      <c r="C25" t="s">
        <v>1</v>
      </c>
      <c r="D25" t="str">
        <f>SUBSTITUTE(PROPER(A25),"_","")</f>
        <v>IsActive</v>
      </c>
      <c r="E25" t="str">
        <f t="shared" si="0"/>
        <v>varchar</v>
      </c>
      <c r="F25" s="7"/>
      <c r="G25" t="str">
        <f t="shared" si="1"/>
        <v>1</v>
      </c>
      <c r="H25" t="str">
        <f>+VLOOKUP(E25,'Data Type Mapping'!A:B,2,)</f>
        <v>string</v>
      </c>
      <c r="I25" t="str">
        <f t="shared" si="2"/>
        <v xml:space="preserve">		public const int MaxIsActiveLength = 1;
</v>
      </c>
      <c r="J25" t="str">
        <f t="shared" si="3"/>
        <v xml:space="preserve">		[StringLength(MaxIsActiveLength)]
		public virtual string IsActive { get; set; }
</v>
      </c>
      <c r="K25" s="7" t="s">
        <v>206</v>
      </c>
      <c r="L25" t="str">
        <f>IF(K25="","",REPT(CHAR(9),1)&amp;"[Index(nameof("&amp;IF(D25="","",""&amp;D25)&amp;")"&amp;", Name="&amp;"""IX_"&amp;$B$7&amp;"_"&amp;D25&amp;""")]")</f>
        <v xml:space="preserve">	[Index(nameof(IsActive), Name="IX_MstLgaEkbPartList_IsActive")]</v>
      </c>
      <c r="M25" t="str">
        <f t="shared" si="4"/>
        <v xml:space="preserve">		public virtual string IsActive { get; set; }
</v>
      </c>
      <c r="N25" t="str">
        <f t="shared" si="5"/>
        <v xml:space="preserve">		[StringLength(MstLgaEkbPartListConsts.MaxIsActiveLength)]
		public virtual string IsActive { get; set; }
</v>
      </c>
      <c r="O25" t="str">
        <f t="shared" si="6"/>
        <v xml:space="preserve">		public virtual string IsActive { get; set; }
</v>
      </c>
      <c r="P25" t="str">
        <f t="shared" si="7"/>
        <v xml:space="preserve">							IsActive = o.IsActive,</v>
      </c>
      <c r="T25" s="69" t="str">
        <f t="shared" si="8"/>
        <v xml:space="preserve">								("IsActive"),</v>
      </c>
      <c r="V25" s="70" t="str">
        <f t="shared" si="9"/>
        <v xml:space="preserve">								_ =&gt; _.IsActive,</v>
      </c>
      <c r="W25" s="69" t="str">
        <f t="shared" si="10"/>
        <v xml:space="preserve">				.WhereIf(!string.IsNullOrWhiteSpace(input.IsActive), e =&gt; e.IsActive.Contains(input.IsActive))</v>
      </c>
    </row>
    <row r="27" spans="1:23" ht="45.75" customHeight="1" x14ac:dyDescent="0.25">
      <c r="H27" s="12"/>
      <c r="I27" s="34" t="str">
        <f ca="1">TEXTJOIN2("
", TRUE,INDIRECT( $H$1):INDIRECT( $H$3))</f>
        <v xml:space="preserve">		public const int MaxPartNoLength = 50;
		public const int MaxPartNoNormanlizedLength = 50;
		public const int MaxPartNameLength = 200;
		public const int MaxBackNoLength = 50;
		public const int MaxProdLineLength = 50;
		public const int MaxSupplierNoLength = 50;
		public const int MaxModelLength = 50;
		public const int MaxProcessCodeLength = 50;
		public const int MaxPcAddressLength = 50;
		public const int MaxSpsAddressLength = 50;
		public const int MaxRemarkLength = 500;
		public const int MaxIsActiveLength = 1;
</v>
      </c>
      <c r="J27" s="33" t="str">
        <f ca="1">TEXTJOIN2("
", TRUE,INDIRECT( $F$1):INDIRECT( $F$3))</f>
        <v xml:space="preserve">		[StringLength(MaxPartNoLength)]
		public virtual string PartNo { get; set; }
		[StringLength(MaxPartNoNormanlizedLength)]
		public virtual string PartNoNormanlized { get; set; }
		[StringLength(MaxPartNameLength)]
		public virtual string PartName { get; set; }
		[StringLength(MaxBackNoLength)]
		public virtual string BackNo { get; set; }
		[StringLength(MaxProdLineLength)]
		public virtual string ProdLine { get; set; }
		[StringLength(MaxSupplierNoLength)]
		public virtual string SupplierNo { get; set; }
		[StringLength(MaxModelLength)]
		public virtual string Model { get; set; }
		public virtual long ProcessId { get; set; }
		[StringLength(MaxProcessCodeLength)]
		public virtual string ProcessCode { get; set; }
		public virtual int UsageQty { get; set; }
		public virtual int BoxQty { get; set; }
		[StringLength(MaxPcAddressLength)]
		public virtual string PcAddress { get; set; }
		public virtual int PcSorting { get; set; }
		[StringLength(MaxSpsAddressLength)]
		public virtual string SpsAddress { get; set; }
		public virtual int SpsSorting { get; set; }
		[StringLength(MaxRemarkLength)]
		public virtual string Remark { get; set; }
		[StringLength(MaxIsActiveLength)]
		public virtual string IsActive { get; set; }
</v>
      </c>
      <c r="K27" s="35" t="str">
        <f ca="1">TEXTJOIN2("
", TRUE,INDIRECT( $J$1):INDIRECT( $J$3))</f>
        <v xml:space="preserve">	[Index(nameof(PartNo), Name="IX_MstLgaEkbPartList_PartNo")]
	[Index(nameof(PartNoNormanlized), Name="IX_MstLgaEkbPartList_PartNoNormanlized")]
	[Index(nameof(BackNo), Name="IX_MstLgaEkbPartList_BackNo")]
	[Index(nameof(ProdLine), Name="IX_MstLgaEkbPartList_ProdLine")]
	[Index(nameof(IsActive), Name="IX_MstLgaEkbPartList_IsActive")]</v>
      </c>
      <c r="L27" s="13" t="s">
        <v>60</v>
      </c>
      <c r="M27" s="36" t="str">
        <f ca="1">TEXTJOIN2("
",TRUE,INDIRECT( $L$1):INDIRECT($L$3))</f>
        <v xml:space="preserve">		public virtual string PartNo { get; set; }
		public virtual string PartNoNormanlized { get; set; }
		public virtual string PartName { get; set; }
		public virtual string BackNo { get; set; }
		public virtual string ProdLine { get; set; }
		public virtual string SupplierNo { get; set; }
		public virtual string Model { get; set; }
		public virtual long ProcessId { get; set; }
		public virtual string ProcessCode { get; set; }
		public virtual int UsageQty { get; set; }
		public virtual int BoxQty { get; set; }
		public virtual string PcAddress { get; set; }
		public virtual int PcSorting { get; set; }
		public virtual string SpsAddress { get; set; }
		public virtual int SpsSorting { get; set; }
		public virtual string Remark { get; set; }
		public virtual string IsActive { get; set; }
</v>
      </c>
      <c r="N27" s="33" t="str">
        <f ca="1">TEXTJOIN2("
",TRUE,INDIRECT( $M$1):INDIRECT($M$3))</f>
        <v xml:space="preserve">		[StringLength(MstLgaEkbPartListConsts.MaxPartNoLength)]
		public virtual string PartNo { get; set; }
		[StringLength(MstLgaEkbPartListConsts.MaxPartNoNormanlizedLength)]
		public virtual string PartNoNormanlized { get; set; }
		[StringLength(MstLgaEkbPartListConsts.MaxPartNameLength)]
		public virtual string PartName { get; set; }
		[StringLength(MstLgaEkbPartListConsts.MaxBackNoLength)]
		public virtual string BackNo { get; set; }
		[StringLength(MstLgaEkbPartListConsts.MaxProdLineLength)]
		public virtual string ProdLine { get; set; }
		[StringLength(MstLgaEkbPartListConsts.MaxSupplierNoLength)]
		public virtual string SupplierNo { get; set; }
		[StringLength(MstLgaEkbPartListConsts.MaxModelLength)]
		public virtual string Model { get; set; }
		public virtual long ProcessId { get; set; }
		[StringLength(MstLgaEkbPartListConsts.MaxProcessCodeLength)]
		public virtual string ProcessCode { get; set; }
		public virtual int UsageQty { get; set; }
		public virtual int BoxQty { get; set; }
		[StringLength(MstLgaEkbPartListConsts.MaxPcAddressLength)]
		public virtual string PcAddress { get; set; }
		public virtual int PcSorting { get; set; }
		[StringLength(MstLgaEkbPartListConsts.MaxSpsAddressLength)]
		public virtual string SpsAddress { get; set; }
		public virtual int SpsSorting { get; set; }
		[StringLength(MstLgaEkbPartListConsts.MaxRemarkLength)]
		public virtual string Remark { get; set; }
		[StringLength(MstLgaEkbPartListConsts.MaxIsActiveLength)]
		public virtual string IsActive { get; set; }
</v>
      </c>
      <c r="O27" s="33" t="str">
        <f ca="1">TEXTJOIN2("
",TRUE,INDIRECT( $N$1):INDIRECT($N$3))</f>
        <v xml:space="preserve">		public virtual string PartNo { get; set; }
		public virtual string PartNoNormanlized { get; set; }
		public virtual string PartName { get; set; }
		public virtual string BackNo { get; set; }
		public virtual string ProdLine { get; set; }
		public virtual string SupplierNo { get; set; }
		public virtual string Model { get; set; }
		public virtual string ProcessCode { get; set; }
		public virtual int UsageQty { get; set; }
		public virtual int BoxQty { get; set; }
		public virtual string PcAddress { get; set; }
		public virtual int PcSorting { get; set; }
		public virtual string SpsAddress { get; set; }
		public virtual int SpsSorting { get; set; }
		public virtual string Remark { get; set; }
		public virtual string IsActive { get; set; }
</v>
      </c>
      <c r="P27" s="9" t="str">
        <f ca="1">TEXTJOIN2("
",TRUE,INDIRECT( $O$1):INDIRECT($O$3))</f>
        <v xml:space="preserve">							PartNo = o.PartNo,
							PartNoNormanlized = o.PartNoNormanlized,
							PartName = o.PartName,
							BackNo = o.BackNo,
							ProdLine = o.ProdLine,
							SupplierNo = o.SupplierNo,
							Model = o.Model,
							ProcessId = o.ProcessId,
							ProcessCode = o.ProcessCode,
							UsageQty = o.UsageQty,
							BoxQty = o.BoxQty,
							PcAddress = o.PcAddress,
							PcSorting = o.PcSorting,
							SpsAddress = o.SpsAddress,
							SpsSorting = o.SpsSorting,
							Remark = o.Remark,
							IsActive = o.IsActive,</v>
      </c>
      <c r="T27" s="9" t="str">
        <f ca="1">TEXTJOIN2("
",TRUE,INDIRECT( $T$2):INDIRECT($T$3))</f>
        <v xml:space="preserve">								("PartNo"),
								("PartNoNormanlized"),
								("PartName"),
								("BackNo"),
								("ProdLine"),
								("SupplierNo"),
								("Model"),
								("ProcessId"),
								("ProcessCode"),
								("UsageQty"),
								("BoxQty"),
								("PcAddress"),
								("PcSorting"),
								("SpsAddress"),
								("SpsSorting"),
								("Remark"),
								("IsActive"),</v>
      </c>
      <c r="V27" s="9" t="str">
        <f ca="1">TEXTJOIN2("
",TRUE,INDIRECT( $V$2):INDIRECT($V$3))</f>
        <v xml:space="preserve">								_ =&gt; _.PartNo,
								_ =&gt; _.PartNoNormanlized,
								_ =&gt; _.PartName,
								_ =&gt; _.BackNo,
								_ =&gt; _.ProdLine,
								_ =&gt; _.SupplierNo,
								_ =&gt; _.Model,
								_ =&gt; _.ProcessId,
								_ =&gt; _.ProcessCode,
								_ =&gt; _.UsageQty,
								_ =&gt; _.BoxQty,
								_ =&gt; _.PcAddress,
								_ =&gt; _.PcSorting,
								_ =&gt; _.SpsAddress,
								_ =&gt; _.SpsSorting,
								_ =&gt; _.Remark,
								_ =&gt; _.IsActive,</v>
      </c>
      <c r="W27" s="9" t="str">
        <f ca="1">TEXTJOIN2("
",TRUE,INDIRECT( $W$2):INDIRECT($W$3))</f>
        <v xml:space="preserve">				.WhereIf(!string.IsNullOrWhiteSpace(input.PartNo), e =&gt; e.PartNo.Contains(input.PartNo))
				.WhereIf(!string.IsNullOrWhiteSpace(input.PartNoNormanlized), e =&gt; e.PartNoNormanlized.Contains(input.PartNoNormanlized))
				.WhereIf(!string.IsNullOrWhiteSpace(input.PartName), e =&gt; e.PartName.Contains(input.PartName))
				.WhereIf(!string.IsNullOrWhiteSpace(input.BackNo), e =&gt; e.BackNo.Contains(input.BackNo))
				.WhereIf(!string.IsNullOrWhiteSpace(input.ProdLine), e =&gt; e.ProdLine.Contains(input.ProdLine))
				.WhereIf(!string.IsNullOrWhiteSpace(input.SupplierNo), e =&gt; e.SupplierNo.Contains(input.SupplierNo))
				.WhereIf(!string.IsNullOrWhiteSpace(input.Model), e =&gt; e.Model.Contains(input.Model))
				.WhereIf(!string.IsNullOrWhiteSpace(input.ProcessCode), e =&gt; e.ProcessCode.Contains(input.ProcessCode))
				.WhereIf(!string.IsNullOrWhiteSpace(input.PcAddress), e =&gt; e.PcAddress.Contains(input.PcAddress))
				.WhereIf(!string.IsNullOrWhiteSpace(input.SpsAddress), e =&gt; e.SpsAddress.Contains(input.SpsAddress))
				.WhereIf(!string.IsNullOrWhiteSpace(input.Remark), e =&gt; e.Remark.Contains(input.Remark))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4"/>
  <sheetViews>
    <sheetView tabSelected="1" topLeftCell="A6" zoomScaleNormal="100" workbookViewId="0">
      <selection activeCell="A19" sqref="A19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344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LogA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loga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MstLgaEkbPartList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EkbPartList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ekbpartlist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MstLgaEkbPartListDto, MstLgaEkbPartListServiceProxy } from '@shared/service-proxies/service-proxies';
import { finalize } from 'rxjs/internal/operators/finalize';
import { CreateOrEditEkbPartListModalComponent } from './create-or-edit-ekbpartlist-modal.component';
import { DatePipe } from '@angular/common';
import { FileDownloadService } from '@shared/utils/file-download.service';
import ceil from 'lodash-es/ceil';
import { Paginator } from 'primeng/paginator';
@Component({
    templateUrl: './ekbpartlist.component.html',
    styleUrls: ['./ekbpartlist.component.less'],
})
export class EkbPartListComponent extends AppComponentBase implements OnInit {
    @ViewChild('createOrEditModalEkbPartList', { static: true }) createOrEditModalEkbPartList:| CreateOrEditEkbPartListModalComponent|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MstLgaEkbPartListDto = new MstLgaEkbPartListDto();
    saveSelectedRow: MstLgaEkbPartListDto = new MstLgaEkbPartListDto();
    datas: MstLgaEkbPartListDto = new MstLgaEkbPartListDto();
    isLoading: boolean = false;
    dataParams: GridParams | undefined;
    rowData: any[] = [];
    gridApi!: GridApi;
    rowSelection = 'multiple';
    filter: string = '';
	pipe = new DatePipe('en-US');
	frameworkComponents: FrameworkComponent;
    partNo : string = '' ; 
	partNoNormanlized : string = '' ; 
	partName : string = '' ; 
	backNo : string = '' ; 
	prodLine : string = '' ; 
	supplierNo : string = '' ; 
	model : string = '' ; 
	processId
	processCode : string = '' ; 
	usageQty : number = 0 ;
	boxQty : number = 0 ;
	pcAddress : string = '' ; 
	pcSorting : number = 0 ;
	spsAddress : string = '' ; 
	spsSorting : number = 0 ;
	remark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MstLgaEkbPartListServiceProxy,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No Normanlized'),headerTooltip: this.l('Part No Normanlized'),field: 'partNoNormanlized',flex: 1},
			{headerName: this.l('Part Name'),headerTooltip: this.l('Part Name'),field: 'partName',flex: 1},
			{headerName: this.l('Back No'),headerTooltip: this.l('Back No'),field: 'backNo',flex: 1},
			{headerName: this.l('Prod Line'),headerTooltip: this.l('Prod Line'),field: 'prodLine',flex: 1},
			{headerName: this.l('Supplier No'),headerTooltip: this.l('Supplier No'),field: 'supplierNo',flex: 1},
			{headerName: this.l('Model'),headerTooltip: this.l('Model'),field: 'model',flex: 1},
			{headerName: this.l('Process Id'),headerTooltip: this.l('Process Id'),field: 'processId',flex: 1},
			{headerName: this.l('Process Code'),headerTooltip: this.l('Process Code'),field: 'processCode',flex: 1},
			{headerName: this.l('Usage Qty'),headerTooltip: this.l('Usage Qty'),field: 'usageQty',flex: 1},
			{headerName: this.l('Box Qty'),headerTooltip: this.l('Box Qty'),field: 'boxQty',flex: 1},
			{headerName: this.l('Pc Address'),headerTooltip: this.l('Pc Address'),field: 'pcAddress',flex: 1},
			{headerName: this.l('Pc Sorting'),headerTooltip: this.l('Pc Sorting'),field: 'pcSorting',flex: 1},
			{headerName: this.l('Sps Address'),headerTooltip: this.l('Sps Address'),field: 'spsAddress',flex: 1},
			{headerName: this.l('Sps Sorting'),headerTooltip: this.l('Sps Sorting'),field: 'spsSorting',flex: 1},
			{headerName: this.l('Remark'),headerTooltip: this.l('Remark'),field: 'remark',flex: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this.partNoNormanlized,
			this.partName,
			this.backNo,
			this.prodLine,
			this.supplierNo,
			this.model,
			this.processId,
			this.processCode,
			this.usageQty,
			this.boxQty,
			this.pcAddress,
			this.pcSorting,
			this.spsAddress,
			this.spsSorting,
			this.remark,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this.partNo = '',
		this.partNoNormanlized = '',
		this.partName = '',
		this.backNo = '',
		this.prodLine = '',
		this.supplierNo = '',
		this.model = '',
		this.processId = '',
		this.processCode = '',
		this.usageQty = 0,
		this.boxQty = 0,
		this.pcAddress = '',
		this.pcSorting = 0,
		this.spsAddress = '',
		this.spsSorting = 0,
		this.remark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this.partNoNormanlized,
			this.partName,
			this.backNo,
			this.prodLine,
			this.supplierNo,
			this.model,
			this.processId,
			this.processCode,
			this.usageQty,
			this.boxQty,
			this.pcAddress,
			this.pcSorting,
			this.spsAddress,
			this.spsSorting,
			this.remark,
			this.isActive,
			'',
            this.paginationParams.skipCount,
            this.paginationParams.pageSize
        );
    }
    onChangeRowSelection(params: { api: { getSelectedRows: () =&gt; MstLgaEkbPartListDto[] } }) {
        this.saveSelectedRow = params.api.getSelectedRows()[0] ?? new MstLgaEkbPartListDto();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MstLgaEkbPartListDto):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this._service.getEkbPartListToExcel(
			this.partNo,
			this.partNoNormanlized,
			this.partName,
			this.backNo,
			this.prodLine,
			this.supplierNo,
			this.model,
			this.processId,
			this.processCode,
			this.usageQty,
			this.boxQty,
			this.pcAddress,
			this.pcSorting,
			this.spsAddress,
			this.spsSorting,
			this.remark,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LA Ekanban Part List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[(ngModel)]='partNoNormanlized' name='partNoNormanlized'
									class='form-control' [placeholder]="l('Part No Normanlized')"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[(ngModel)]='backNo' name='backNo'
									class='form-control' [placeholder]="l('Back No')"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[(ngModel)]='processCode' name='processCode'
									class='form-control' [placeholder]="l('Process Code')"
									type='text' (keyup.enter)='searchDatas()'&gt;
								&lt;/div&gt;
								&lt;div class='input-search'&gt;
									&lt;input [(ngModel)]='pcAddress' name='pcAddress'
									class='form-control' [placeholder]="l('Pc Address')"
									type='text' (keyup.enter)='searchDatas()'&gt;
								&lt;/div&gt;
								&lt;div class='input-search'&gt;
									&lt;input [(ngModel)]='spsAddress' name='spsAddress'
									class='form-control' [placeholder]="l('Sps Address')"
									type='text' (keyup.enter)='searchDatas()'&gt;
								&lt;/div&gt;
								&lt;div class='input-search'&gt;
									&lt;input [(ngModel)]='remark' name='remark'
									class='form-control' [placeholder]="l('Remark')"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(click)="createOrEditModalEkbPartList.show()"&gt;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(click)="createOrEditModalEkbPartList.show(selectedRow)"&gt;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&lt;create-or-edit-ekbpartlist-modal
    #createOrEditModalEkbPartList
    (modalSave)="callBackDataGrid(dataParams)"
    (modalClose)="onChangeRowSelection(dataParams)"
&gt;
&lt;/create-or-edit-ekbpartlist-modal&gt;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#createOrEditModalEkbPartList="bs-modal"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EkbPartList')}}&lt;/h3&gt;
                    &lt;h3 *ngIf="!rowdata.id"&gt;{{('Create New EkbPartList')}}&lt;/h3&gt;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No Normanlized&lt;/label&gt;
						&lt;input type='text' class='col-md-10 form-control input-text' name='PartNoNormanlized' [(ngModel)]='rowdata.partNoNormanlized'&gt;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title'&gt;Back No&lt;/label&gt;
						&lt;input type='text' class='col-md-10 form-control input-text' name='BackNo' [(ngModel)]='rowdata.backNo'&gt;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title'&gt;Process Code&lt;/label&gt;
						&lt;input type='text' class='col-md-10 form-control input-text' name='ProcessCode' [(ngModel)]='rowdata.processCode'&gt;
					&lt;/div&gt;
					&lt;div class='col-md-12 form-group row'&gt;
						&lt;label class='col-md-2 form-control title'&gt;Usage Qty&lt;/label&gt;
						&lt;input type='number' class='col-md-10 form-control input-text' name='UsageQty' [(ngModel)]='rowdata.usageQty'&gt;
					&lt;/div&gt;
					&lt;div class='col-md-12 form-group row'&gt;
						&lt;label class='col-md-2 form-control title'&gt;Box Qty&lt;/label&gt;
						&lt;input type='number' class='col-md-10 form-control input-text' name='BoxQty' [(ngModel)]='rowdata.boxQty'&gt;
					&lt;/div&gt;
					&lt;div class='col-md-12 form-group row'&gt;
						&lt;label class='col-md-2 form-control title'&gt;Pc Address&lt;/label&gt;
						&lt;input type='text' class='col-md-10 form-control input-text' name='PcAddress' [(ngModel)]='rowdata.pcAddress'&gt;
					&lt;/div&gt;
					&lt;div class='col-md-12 form-group row'&gt;
						&lt;label class='col-md-2 form-control title'&gt;Pc Sorting&lt;/label&gt;
						&lt;input type='number' class='col-md-10 form-control input-text' name='PcSorting' [(ngModel)]='rowdata.pcSorting'&gt;
					&lt;/div&gt;
					&lt;div class='col-md-12 form-group row'&gt;
						&lt;label class='col-md-2 form-control title'&gt;Sps Address&lt;/label&gt;
						&lt;input type='text' class='col-md-10 form-control input-text' name='SpsAddress' [(ngModel)]='rowdata.spsAddress'&gt;
					&lt;/div&gt;
					&lt;div class='col-md-12 form-group row'&gt;
						&lt;label class='col-md-2 form-control title'&gt;Sps Sorting&lt;/label&gt;
						&lt;input type='number' class='col-md-10 form-control input-text' name='SpsSorting' [(ngModel)]='rowdata.spsSorting'&gt;
					&lt;/div&gt;
					&lt;div class='col-md-12 form-group row'&gt;
						&lt;label class='col-md-2 form-control title'&gt;Remark&lt;/label&gt;
						&lt;input type='text' class='col-md-10 form-control input-text' name='Remark' [(ngModel)]='rowdata.remark'&gt;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CreateOrEditMstLgaEkbPartListDto, MstLgaEkbPartListServiceProxy } from '@shared/service-proxies/service-proxies';
import { BsDatepickerDirective } from 'ngx-bootstrap/datepicker';
@Component({
    selector: 'create-or-edit-ekbpartlist-modal',
    templateUrl: './create-or-edit-ekbpartlist-modal.component.html',
    styleUrls: ['./create-or-edit-ekbpartlist-modal.component.less']
    })
export class CreateOrEditEkbPartListModalComponent extends AppComponentBase {
    @ViewChild('createOrEditModalEkbPartList',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CreateOrEditMstLgaEkbPartListDto = new CreateOrEditMstLgaEkbPartListDto();
    active: boolean = false;
    saving: boolean = false;
    _isActive: boolean;
    constructor(
        injector: Injector,
        private _mstwptEkbPartListService: MstLgaEkbPartListServiceProxy,
    ) 
    {
        super(injector);
    }
    show(rowdata?: CreateOrEditMstLgaEkbPartListDto): void {
        if (!rowdata) this.rowdata = new CreateOrEditMstLgaEkbPartListDto();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this._mstwptEkbPartListService.createOrEdit(this.rowdata)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EkbPartListRoutingModule } from './ekbpartlist-routing.module';
import { EkbPartListComponent } from './ekbpartlist.component';
import { CreateOrEditEkbPartListModalComponent } from './create-or-edit-ekbpartlist-modal.component';
@NgModule({
    declarations: [
       EkbPartListComponent, 
        CreateOrEditEkbPartListModalComponent
    ],
    imports: [
        AppSharedModule, EkbPartListRoutingModule]
})
export class EkbPartListModule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EkbPartListComponent } from './ekbpartlist.component';
const routes: Routes = [{
    path: '',
    component: EkbPartListComponent,
    pathMatch: 'full'
}];
@NgModule({
    imports: [RouterModule.forChild(routes)],
    exports: [RouterModule],
})
export class EkbPartListRoutingModule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AppMenuItem("EkbPartList", "Pages.Master.LogA.EkbPartList", "flaticon-book",   "/app/main/master/loga/ekbpartlist"),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'master/loga/ekbpartlist',
    loadChildren: () =&gt; import('./master/loga/ekbpartlist/ekbpartlist.module').then(m =&gt; m.EkbPartListModule),
    data: { permission: 'Pages.Master.LogA.EkbPartList' }
},</v>
      </c>
      <c r="R10" s="50" t="str">
        <f>SUBSTITUTE(R9,"MstWptCalendar",$B$6)</f>
        <v>ApiServiceProxies.MstLgaEkbPartListServiceProxy,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H31</v>
      </c>
      <c r="I12" s="31" t="str">
        <f>"I"&amp;COUNTA($A:$A)</f>
        <v>I31</v>
      </c>
      <c r="J12" s="31"/>
      <c r="K12" s="31" t="str">
        <f>"K"&amp;COUNTA($A:$A)</f>
        <v>K31</v>
      </c>
      <c r="L12" s="31" t="str">
        <f>"L"&amp;COUNTA($A:$A)</f>
        <v>L31</v>
      </c>
      <c r="M12" s="31"/>
      <c r="N12" s="31"/>
      <c r="O12" s="31"/>
      <c r="P12" s="31"/>
      <c r="Q12" s="31"/>
      <c r="R12" s="31"/>
      <c r="S12" s="31" t="str">
        <f>"S"&amp;COUNTA($A:$A)</f>
        <v>S31</v>
      </c>
      <c r="T12" s="31" t="str">
        <f>"T"&amp;COUNTA($A:$A)</f>
        <v>T31</v>
      </c>
      <c r="U12" s="31" t="str">
        <f>"U"&amp;COUNTA($A:$A)</f>
        <v>U31</v>
      </c>
      <c r="V12" s="31" t="str">
        <f>"V"&amp;COUNTA($A:$A)</f>
        <v>V31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this.l('Part No'),headerTooltip: this.l('Part No'),field: 'partNo',flex: 1},
			{headerName: this.l('Part No Normanlized'),headerTooltip: this.l('Part No Normanlized'),field: 'partNoNormanlized',flex: 1},
			{headerName: this.l('Part Name'),headerTooltip: this.l('Part Name'),field: 'partName',flex: 1},
			{headerName: this.l('Back No'),headerTooltip: this.l('Back No'),field: 'backNo',flex: 1},
			{headerName: this.l('Prod Line'),headerTooltip: this.l('Prod Line'),field: 'prodLine',flex: 1},
			{headerName: this.l('Supplier No'),headerTooltip: this.l('Supplier No'),field: 'supplierNo',flex: 1},
			{headerName: this.l('Model'),headerTooltip: this.l('Model'),field: 'model',flex: 1},
			{headerName: this.l('Process Id'),headerTooltip: this.l('Process Id'),field: 'processId',flex: 1},
			{headerName: this.l('Process Code'),headerTooltip: this.l('Process Code'),field: 'processCode',flex: 1},
			{headerName: this.l('Usage Qty'),headerTooltip: this.l('Usage Qty'),field: 'usageQty',flex: 1},
			{headerName: this.l('Box Qty'),headerTooltip: this.l('Box Qty'),field: 'boxQty',flex: 1},
			{headerName: this.l('Pc Address'),headerTooltip: this.l('Pc Address'),field: 'pcAddress',flex: 1},
			{headerName: this.l('Pc Sorting'),headerTooltip: this.l('Pc Sorting'),field: 'pcSorting',flex: 1},
			{headerName: this.l('Sps Address'),headerTooltip: this.l('Sps Address'),field: 'spsAddress',flex: 1},
			{headerName: this.l('Sps Sorting'),headerTooltip: this.l('Sps Sorting'),field: 'spsSorting',flex: 1},
			{headerName: this.l('Remark'),headerTooltip: this.l('Remark'),field: 'remark',flex: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[(ngModel)]='partNoNormanlized' name='partNoNormanlized'
									class='form-control' [placeholder]="l('Part No Normanlized')"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[(ngModel)]='backNo' name='backNo'
									class='form-control' [placeholder]="l('Back No')"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[(ngModel)]='processCode' name='processCode'
									class='form-control' [placeholder]="l('Process Code')"
									type='text' (keyup.enter)='searchDatas()'&gt;
								&lt;/div&gt;
								&lt;div class='input-search'&gt;
									&lt;input [(ngModel)]='pcAddress' name='pcAddress'
									class='form-control' [placeholder]="l('Pc Address')"
									type='text' (keyup.enter)='searchDatas()'&gt;
								&lt;/div&gt;
								&lt;div class='input-search'&gt;
									&lt;input [(ngModel)]='spsAddress' name='spsAddress'
									class='form-control' [placeholder]="l('Sps Address')"
									type='text' (keyup.enter)='searchDatas()'&gt;
								&lt;/div&gt;
								&lt;div class='input-search'&gt;
									&lt;input [(ngModel)]='remark' name='remark'
									class='form-control' [placeholder]="l('Remark')"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No Normanlized&lt;/label&gt;
						&lt;input type='text' class='col-md-10 form-control input-text' name='PartNoNormanlized' [(ngModel)]='rowdata.partNoNormanlized'&gt;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title'&gt;Back No&lt;/label&gt;
						&lt;input type='text' class='col-md-10 form-control input-text' name='BackNo' [(ngModel)]='rowdata.backNo'&gt;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title'&gt;Process Code&lt;/label&gt;
						&lt;input type='text' class='col-md-10 form-control input-text' name='ProcessCode' [(ngModel)]='rowdata.processCode'&gt;
					&lt;/div&gt;
					&lt;div class='col-md-12 form-group row'&gt;
						&lt;label class='col-md-2 form-control title'&gt;Usage Qty&lt;/label&gt;
						&lt;input type='number' class='col-md-10 form-control input-text' name='UsageQty' [(ngModel)]='rowdata.usageQty'&gt;
					&lt;/div&gt;
					&lt;div class='col-md-12 form-group row'&gt;
						&lt;label class='col-md-2 form-control title'&gt;Box Qty&lt;/label&gt;
						&lt;input type='number' class='col-md-10 form-control input-text' name='BoxQty' [(ngModel)]='rowdata.boxQty'&gt;
					&lt;/div&gt;
					&lt;div class='col-md-12 form-group row'&gt;
						&lt;label class='col-md-2 form-control title'&gt;Pc Address&lt;/label&gt;
						&lt;input type='text' class='col-md-10 form-control input-text' name='PcAddress' [(ngModel)]='rowdata.pcAddress'&gt;
					&lt;/div&gt;
					&lt;div class='col-md-12 form-group row'&gt;
						&lt;label class='col-md-2 form-control title'&gt;Pc Sorting&lt;/label&gt;
						&lt;input type='number' class='col-md-10 form-control input-text' name='PcSorting' [(ngModel)]='rowdata.pcSorting'&gt;
					&lt;/div&gt;
					&lt;div class='col-md-12 form-group row'&gt;
						&lt;label class='col-md-2 form-control title'&gt;Sps Address&lt;/label&gt;
						&lt;input type='text' class='col-md-10 form-control input-text' name='SpsAddress' [(ngModel)]='rowdata.spsAddress'&gt;
					&lt;/div&gt;
					&lt;div class='col-md-12 form-group row'&gt;
						&lt;label class='col-md-2 form-control title'&gt;Sps Sorting&lt;/label&gt;
						&lt;input type='number' class='col-md-10 form-control input-text' name='SpsSorting' [(ngModel)]='rowdata.spsSorting'&gt;
					&lt;/div&gt;
					&lt;div class='col-md-12 form-group row'&gt;
						&lt;label class='col-md-2 form-control title'&gt;Remark&lt;/label&gt;
						&lt;input type='text' class='col-md-10 form-control input-text' name='Remark' [(ngModel)]='rowdata.remark'&gt;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partNo : string = '' ; 
	partNoNormanlized : string = '' ; 
	partName : string = '' ; 
	backNo : string = '' ; 
	prodLine : string = '' ; 
	supplierNo : string = '' ; 
	model : string = '' ; 
	processId
	processCode : string = '' ; 
	usageQty : number = 0 ;
	boxQty : number = 0 ;
	pcAddress : string = '' ; 
	pcSorting : number = 0 ;
	spsAddress : string = '' ; 
	spsSorting : number = 0 ;
	remark : string = '' ; 
	isActive : string = '' ; </v>
      </c>
      <c r="T13" s="68" t="str">
        <f ca="1">TEXTJOIN2("
",TRUE,INDIRECT(T11):INDIRECT(T12))</f>
        <v xml:space="preserve">			this.partNo,
			this.partNoNormanlized,
			this.partName,
			this.backNo,
			this.prodLine,
			this.supplierNo,
			this.model,
			this.processId,
			this.processCode,
			this.usageQty,
			this.boxQty,
			this.pcAddress,
			this.pcSorting,
			this.spsAddress,
			this.spsSorting,
			this.remark,
			this.isActive,</v>
      </c>
      <c r="U13" s="68" t="str">
        <f ca="1">TEXTJOIN2("
",TRUE,INDIRECT(U11):INDIRECT(U12))</f>
        <v>this.partNo = '',
		this.partNoNormanlized = '',
		this.partName = '',
		this.backNo = '',
		this.prodLine = '',
		this.supplierNo = '',
		this.model = '',
		this.processId = '',
		this.processCode = '',
		this.usageQty = 0,
		this.boxQty = 0,
		this.pcAddress = '',
		this.pcSorting = 0,
		this.spsAddress = '',
		this.spsSorting = 0,
		this.remark = '',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ekbpartlist.component.ts</v>
      </c>
      <c r="I14" s="40" t="str">
        <f>B8&amp;".component.html"</f>
        <v>ekbpartlist.component.html</v>
      </c>
      <c r="J14" s="39" t="str">
        <f>B8&amp;".component.less"</f>
        <v>ekbpartlist.component.less</v>
      </c>
      <c r="K14" s="40" t="str">
        <f>"create-or-edit-"&amp;B8&amp;"-modal.component.html"</f>
        <v>create-or-edit-ekbpartlist-modal.component.html</v>
      </c>
      <c r="L14" s="40" t="str">
        <f>"create-or-edit-"&amp;B8&amp;"-modal.component.ts"</f>
        <v>create-or-edit-ekbpartlist-modal.component.ts</v>
      </c>
      <c r="M14" s="40" t="str">
        <f>"create-or-edit-"&amp;B8&amp;"-modal.component.less"</f>
        <v>create-or-edit-ekbpartlist-modal.component.less</v>
      </c>
      <c r="N14" s="40" t="str">
        <f>B8&amp;".module.ts"</f>
        <v>ekbpartlist.module.ts</v>
      </c>
      <c r="O14" s="40" t="str">
        <f>B8&amp;"-routing.module.ts"</f>
        <v>ekbpartlist-routing.module.ts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t="s">
        <v>330</v>
      </c>
      <c r="B15" s="31" t="str">
        <f>SUBSTITUTE(PROPER(A15),"_","")</f>
        <v>PartNo</v>
      </c>
      <c r="C15" s="31" t="str">
        <f>SUBSTITUTE(PROPER(A15),"_"," ")</f>
        <v>Part No</v>
      </c>
      <c r="D15" s="31" t="str">
        <f>LOWER(LEFT(B15,1))&amp;RIGHT(B15,LEN(B15) - 1)</f>
        <v>partNo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this.l('Part No'),headerTooltip: this.l('Part No'),field: 'partNo',flex: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partNo : string = '' ; </v>
      </c>
      <c r="T15" s="31" t="str">
        <f>REPT(CHAR(9),3)&amp;"this."&amp;D15&amp;","</f>
        <v xml:space="preserve">			this.partNo,</v>
      </c>
      <c r="U15" s="31" t="str">
        <f>IF(E15="int","this."&amp;D15&amp;" = 0,","this."&amp;D15&amp;" = '',")</f>
        <v>this.partNo = '',</v>
      </c>
      <c r="V15" s="31" t="str">
        <f>IF(AND(E15="string",F15="1"),D15,"")</f>
        <v/>
      </c>
    </row>
    <row r="16" spans="1:22" ht="15" customHeight="1" x14ac:dyDescent="0.25">
      <c r="A16" t="s">
        <v>336</v>
      </c>
      <c r="B16" s="31" t="str">
        <f t="shared" ref="B16:B28" si="0">SUBSTITUTE(PROPER(A16),"_","")</f>
        <v>PartNoNormanlized</v>
      </c>
      <c r="C16" s="31" t="str">
        <f t="shared" ref="C16:C28" si="1">SUBSTITUTE(PROPER(A16),"_"," ")</f>
        <v>Part No Normanlized</v>
      </c>
      <c r="D16" s="31" t="str">
        <f t="shared" ref="D16:D28" si="2">LOWER(LEFT(B16,1))&amp;RIGHT(B16,LEN(B16) - 1)</f>
        <v>partNoNormanlized</v>
      </c>
      <c r="E16" s="31" t="str">
        <f>A.Backend!H10</f>
        <v>string</v>
      </c>
      <c r="F16" s="31" t="str">
        <f>A.Backend!G10</f>
        <v>50</v>
      </c>
      <c r="G16" s="31" t="str">
        <f t="shared" ref="G16:G28" si="3">IF(E16="string"," : string = '' ; ",IF(OR(E16="DateTime",E16="TimeSpan")," : any ;",IF(E16="int"," : number = 0 ;","")))</f>
        <v xml:space="preserve"> : string = '' ; </v>
      </c>
      <c r="H16" s="38" t="str">
        <f t="shared" ref="H16:H28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this.l('Part No Normanlized'),headerTooltip: this.l('Part No Normanlized'),field: 'partNoNormanlized',flex: 1},</v>
      </c>
      <c r="I16" s="38" t="str">
        <f t="shared" ref="I16:I28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[(ngModel)]='partNoNormanlized' name='partNoNormanlized'
									class='form-control' [placeholder]="l('Part No Normanlized')"
									type='text' (keyup.enter)='searchDatas()'&gt;
								&lt;/div&gt;</v>
      </c>
      <c r="J16" s="31"/>
      <c r="K16" s="38" t="str">
        <f t="shared" ref="K16:K28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title'&gt;Part No Normanlized&lt;/label&gt;
						&lt;input type='text' class='col-md-10 form-control input-text' name='PartNoNormanlized' [(ngModel)]='rowdata.partNoNormanlized'&gt;
					&lt;/div&gt;</v>
      </c>
      <c r="L16" s="60" t="str">
        <f t="shared" ref="L16:L28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partNoNormanlized : string = '' ; </v>
      </c>
      <c r="T16" s="31" t="str">
        <f>REPT(CHAR(9),3)&amp;"this."&amp;D16&amp;","</f>
        <v xml:space="preserve">			this.partNoNormanlized,</v>
      </c>
      <c r="U16" s="31" t="str">
        <f>IF(E16="int",REPT(CHAR(9),2)&amp;"this."&amp;D16&amp;" = 0,",REPT(CHAR(9),2)&amp;"this."&amp;D16&amp;" = '',")</f>
        <v xml:space="preserve">		this.partNoNormanlized = '',</v>
      </c>
      <c r="V16" s="31" t="str">
        <f t="shared" ref="V16:V28" si="8">IF(AND(E16="string",F16="1"),D16,"")</f>
        <v/>
      </c>
    </row>
    <row r="17" spans="1:22" ht="18" customHeight="1" x14ac:dyDescent="0.25">
      <c r="A17" t="s">
        <v>326</v>
      </c>
      <c r="B17" s="31" t="str">
        <f t="shared" si="0"/>
        <v>PartName</v>
      </c>
      <c r="C17" s="31" t="str">
        <f t="shared" si="1"/>
        <v>Part Name</v>
      </c>
      <c r="D17" s="31" t="str">
        <f t="shared" si="2"/>
        <v>partName</v>
      </c>
      <c r="E17" s="31" t="str">
        <f>A.Backend!H11</f>
        <v>string</v>
      </c>
      <c r="F17" s="31" t="str">
        <f>A.Backend!G11</f>
        <v>200</v>
      </c>
      <c r="G17" s="31" t="str">
        <f t="shared" si="3"/>
        <v xml:space="preserve"> : string = '' ; </v>
      </c>
      <c r="H17" s="38" t="str">
        <f t="shared" si="4"/>
        <v xml:space="preserve">			{headerName: this.l('Part Name'),headerTooltip: this.l('Part Name'),field: 'partName',flex: 1},</v>
      </c>
      <c r="I17" s="38" t="str">
        <f t="shared" si="5"/>
        <v xml:space="preserve">								&lt;div class='input-search'&gt;
									&lt;input [(ngModel)]='partName' name='partName'
									class='form-control' [placeholder]="l('Part Name')"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28" si="9">REPT(CHAR(9),1)&amp;D17&amp;G17</f>
        <v xml:space="preserve">	partName : string = '' ; </v>
      </c>
      <c r="T17" s="31" t="str">
        <f t="shared" ref="T17:T28" si="10">REPT(CHAR(9),3)&amp;"this."&amp;D17&amp;","</f>
        <v xml:space="preserve">			this.partName,</v>
      </c>
      <c r="U17" s="31" t="str">
        <f t="shared" ref="U17:U28" si="11">IF(E17="int",REPT(CHAR(9),2)&amp;"this."&amp;D17&amp;" = 0,",REPT(CHAR(9),2)&amp;"this."&amp;D17&amp;" = '',")</f>
        <v xml:space="preserve">		this.partName = '',</v>
      </c>
      <c r="V17" s="31" t="str">
        <f t="shared" si="8"/>
        <v/>
      </c>
    </row>
    <row r="18" spans="1:22" ht="18" customHeight="1" x14ac:dyDescent="0.25">
      <c r="A18" t="s">
        <v>331</v>
      </c>
      <c r="B18" s="31" t="str">
        <f t="shared" ref="B18" si="12">SUBSTITUTE(PROPER(A18),"_","")</f>
        <v>BackNo</v>
      </c>
      <c r="C18" s="31" t="str">
        <f t="shared" ref="C18" si="13">SUBSTITUTE(PROPER(A18),"_"," ")</f>
        <v>Back No</v>
      </c>
      <c r="D18" s="31" t="str">
        <f t="shared" ref="D18" si="14">LOWER(LEFT(B18,1))&amp;RIGHT(B18,LEN(B18) - 1)</f>
        <v>backNo</v>
      </c>
      <c r="E18" s="31" t="str">
        <f>A.Backend!H12</f>
        <v>string</v>
      </c>
      <c r="F18" s="31" t="str">
        <f>A.Backend!G12</f>
        <v>50</v>
      </c>
      <c r="G18" s="31" t="str">
        <f t="shared" ref="G18" si="15">IF(E18="string"," : string = '' ; ",IF(OR(E18="DateTime",E18="TimeSpan")," : any ;",IF(E18="int"," : number = 0 ;","")))</f>
        <v xml:space="preserve"> : string = '' ; </v>
      </c>
      <c r="H18" s="38" t="str">
        <f t="shared" ref="H18" si="16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this.l('Back No'),headerTooltip: this.l('Back No'),field: 'backNo',flex: 1},</v>
      </c>
      <c r="I18" s="38" t="str">
        <f t="shared" ref="I18" si="17"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IF(E18="string",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 xml:space="preserve">								&lt;div class='input-search'&gt;
									&lt;input [(ngModel)]='backNo' name='backNo'
									class='form-control' [placeholder]="l('Back No')"
									type='text' (keyup.enter)='searchDatas()'&gt;
								&lt;/div&gt;</v>
      </c>
      <c r="J18" s="31"/>
      <c r="K18" s="38" t="str">
        <f t="shared" ref="K18" si="18">IF(OR(E18="DateTime",E18="TimeSpan"),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IF(E18="int",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 xml:space="preserve">					&lt;div class='col-md-12 form-group row'&gt;
						&lt;label class='col-md-2 form-control title'&gt;Back No&lt;/label&gt;
						&lt;input type='text' class='col-md-10 form-control input-text' name='BackNo' [(ngModel)]='rowdata.backNo'&gt;
					&lt;/div&gt;</v>
      </c>
      <c r="L18" s="60" t="str">
        <f t="shared" ref="L18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31"/>
      <c r="N18" s="31"/>
      <c r="O18" s="31"/>
      <c r="P18" s="31"/>
      <c r="Q18" s="31"/>
      <c r="R18" s="31"/>
      <c r="S18" s="31" t="str">
        <f t="shared" ref="S18" si="20">REPT(CHAR(9),1)&amp;D18&amp;G18</f>
        <v xml:space="preserve">	backNo : string = '' ; </v>
      </c>
      <c r="T18" s="31" t="str">
        <f t="shared" ref="T18" si="21">REPT(CHAR(9),3)&amp;"this."&amp;D18&amp;","</f>
        <v xml:space="preserve">			this.backNo,</v>
      </c>
      <c r="U18" s="31" t="str">
        <f t="shared" ref="U18" si="22">IF(E18="int",REPT(CHAR(9),2)&amp;"this."&amp;D18&amp;" = 0,",REPT(CHAR(9),2)&amp;"this."&amp;D18&amp;" = '',")</f>
        <v xml:space="preserve">		this.backNo = '',</v>
      </c>
      <c r="V18" s="31" t="str">
        <f t="shared" ref="V18" si="23">IF(AND(E18="string",F18="1"),D18,"")</f>
        <v/>
      </c>
    </row>
    <row r="19" spans="1:22" ht="15" customHeight="1" x14ac:dyDescent="0.25">
      <c r="A19" t="s">
        <v>323</v>
      </c>
      <c r="B19" s="31" t="str">
        <f>SUBSTITUTE(PROPER(A19),"_","")</f>
        <v>ProdLine</v>
      </c>
      <c r="C19" s="31" t="str">
        <f>SUBSTITUTE(PROPER(A19),"_"," ")</f>
        <v>Prod Line</v>
      </c>
      <c r="D19" s="31" t="str">
        <f>LOWER(LEFT(B19,1))&amp;RIGHT(B19,LEN(B19) - 1)</f>
        <v>prodLine</v>
      </c>
      <c r="E19" s="31" t="str">
        <f>A.Backend!H13</f>
        <v>string</v>
      </c>
      <c r="F19" s="31" t="str">
        <f>A.Backend!G13</f>
        <v>50</v>
      </c>
      <c r="G19" s="31" t="str">
        <f>IF(E19="string"," : string = '' ; ",IF(OR(E19="DateTime",E19="TimeSpan")," : any ;",IF(E19="int"," : number = 0 ;","")))</f>
        <v xml:space="preserve"> : string = '' ; </v>
      </c>
      <c r="H19" s="38" t="str">
        <f>IF(E19="DateTime",
REPT(CHAR(9),3)&amp;"{headerName: this.l('"&amp;C19&amp;"'),headerTooltip: this.l('"&amp;C19&amp;"'),field: '"&amp;D19&amp;"',valueGetter: (params) =&gt; this.pipe.transform(params.data?."&amp;D19&amp;", 'dd/MM/yyyy'),flex: 1},",
IF(AND(E19="string",F19="1"),
REPT(CHAR(9),3)&amp;"{headerName: this.l('"&amp;C19&amp;"'),headerTooltip: this.l('"&amp;C19&amp;"'),field:  '"&amp;D19&amp;"', cellClass: ['text-center'], width: 120, cellRenderer: 'agCellButtonComponent',
buttonDefTwo: { text: params =&gt; (params.data?.'"&amp;D19&amp;"' == 'Y') ? 'Active' : 'Inactive',iconName: 'fa fa-circle',className: params =&gt; (params.data?.'"&amp;D19&amp;"' == 'Y') ? 'btnActive' : 'btnInActive',},}",
REPT(CHAR(9),3)&amp;"{headerName: this.l('"&amp;C19&amp;"'),headerTooltip: this.l('"&amp;C19&amp;"'),field: '"&amp;D19&amp;"',flex: 1},"))</f>
        <v xml:space="preserve">			{headerName: this.l('Prod Line'),headerTooltip: this.l('Prod Line'),field: 'prodLine',flex: 1},</v>
      </c>
      <c r="I19" s="38" t="str">
        <f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IF(E19="string",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[(ngModel)]='prodLine' name='prodLine'
									class='form-control' [placeholder]="l('Prod Line')"
									type='text' (keyup.enter)='searchDatas()'&gt;
								&lt;/div&gt;</v>
      </c>
      <c r="J19" s="31"/>
      <c r="K19" s="38" t="str">
        <f>IF(OR(E19="DateTime",E19="TimeSpan"),
REPT(CHAR(9),5)&amp;"&lt;div class='col-md-12 form-group row'&gt;
"&amp;REPT(CHAR(9),6)&amp;"&lt;label class='col-md-2 form-control title'&gt;"&amp;C19&amp;"&lt;/label&gt;
"&amp;REPT(CHAR(9),6)&amp;"&lt;input type='text' class='col-md-10 form-control input-text' name='"&amp;D19&amp;"' 
"&amp;REPT(CHAR(9),6)&amp;"#datepicker='bsDatepicker' [(ngModel)]='rowdata."&amp;D19&amp;"'  bsDatepicker &gt;
"&amp;REPT(CHAR(9),5)&amp;"&lt;/div&gt;",
IF(AND(E19="string",F19="1"),
REPT(CHAR(9),5)&amp;"&lt;div class='col-md-12 form-group row'&gt;
"&amp;REPT(CHAR(9),6)&amp;"&lt;label class='col-md-2 form-control title'&gt;"&amp;C19&amp;"&lt;/label&gt;
"&amp;REPT(CHAR(9),6)&amp;"&lt;new-checkbox [(ngModel)]='_"&amp;D19&amp;"' name='"&amp;D19&amp;"' className='col-md-10' &gt; &lt;/new-checkbox&gt;
"&amp;REPT(CHAR(9),5)&amp;"&lt;/div&gt;",
IF(E19="string",
REPT(CHAR(9),5)&amp;"&lt;div class='col-md-12 form-group row'&gt;
"&amp;REPT(CHAR(9),6)&amp;"&lt;label class='col-md-2 form-control title'&gt;"&amp;C19&amp;"&lt;/label&gt;
"&amp;REPT(CHAR(9),6)&amp;"&lt;input type='text' class='col-md-10 form-control input-text' name='"&amp;B19&amp;"' [(ngModel)]='rowdata."&amp;D19&amp;"'&gt;
"&amp;REPT(CHAR(9),5)&amp;"&lt;/div&gt;",
IF(E19="int",
REPT(CHAR(9),5)&amp;"&lt;div class='col-md-12 form-group row'&gt;
"&amp;REPT(CHAR(9),6)&amp;"&lt;label class='col-md-2 form-control title'&gt;"&amp;C19&amp;"&lt;/label&gt;
"&amp;REPT(CHAR(9),6)&amp;"&lt;input type='number' class='col-md-10 form-control input-text' name='"&amp;B19&amp;"' [(ngModel)]='rowdata."&amp;D19&amp;"'&gt;
"&amp;REPT(CHAR(9),5)&amp;"&lt;/div&gt;",""))))</f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</v>
      </c>
      <c r="L19" s="60" t="str">
        <f>IF(E19="DateTime",
REPT(CHAR(9),2)&amp;"const dateValue =  this.rowdata."&amp;D19&amp;" ? new Date(this.rowdata."&amp;D19&amp;"?.toString()) : new Date();
"&amp;REPT(CHAR(9),2)&amp;"this.datepicker?.bsValueChange.emit(dateValue);","")</f>
        <v/>
      </c>
      <c r="M19" s="31"/>
      <c r="N19" s="31"/>
      <c r="O19" s="31"/>
      <c r="P19" s="31"/>
      <c r="Q19" s="31"/>
      <c r="R19" s="31"/>
      <c r="S19" s="31" t="str">
        <f>REPT(CHAR(9),1)&amp;D19&amp;G19</f>
        <v xml:space="preserve">	prodLine : string = '' ; </v>
      </c>
      <c r="T19" s="31" t="str">
        <f>REPT(CHAR(9),3)&amp;"this."&amp;D19&amp;","</f>
        <v xml:space="preserve">			this.prodLine,</v>
      </c>
      <c r="U19" s="31" t="str">
        <f>IF(E19="int",REPT(CHAR(9),2)&amp;"this."&amp;D19&amp;" = 0,",REPT(CHAR(9),2)&amp;"this."&amp;D19&amp;" = '',")</f>
        <v xml:space="preserve">		this.prodLine = '',</v>
      </c>
      <c r="V19" s="31" t="str">
        <f>IF(AND(E19="string",F19="1"),D19,"")</f>
        <v/>
      </c>
    </row>
    <row r="20" spans="1:22" ht="15" customHeight="1" x14ac:dyDescent="0.25">
      <c r="A20" t="s">
        <v>345</v>
      </c>
      <c r="B20" s="31" t="str">
        <f t="shared" ref="B20" si="24">SUBSTITUTE(PROPER(A20),"_","")</f>
        <v>SupplierNo</v>
      </c>
      <c r="C20" s="31" t="str">
        <f t="shared" ref="C20" si="25">SUBSTITUTE(PROPER(A20),"_"," ")</f>
        <v>Supplier No</v>
      </c>
      <c r="D20" s="31" t="str">
        <f t="shared" ref="D20" si="26">LOWER(LEFT(B20,1))&amp;RIGHT(B20,LEN(B20) - 1)</f>
        <v>supplierNo</v>
      </c>
      <c r="E20" s="31" t="str">
        <f>A.Backend!H14</f>
        <v>string</v>
      </c>
      <c r="F20" s="31" t="str">
        <f>A.Backend!G14</f>
        <v>50</v>
      </c>
      <c r="G20" s="31" t="str">
        <f t="shared" ref="G20" si="27">IF(E20="string"," : string = '' ; ",IF(OR(E20="DateTime",E20="TimeSpan")," : any ;",IF(E20="int"," : number = 0 ;","")))</f>
        <v xml:space="preserve"> : string = '' ; </v>
      </c>
      <c r="H20" s="38" t="str">
        <f t="shared" ref="H20" si="28"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this.l('Supplier No'),headerTooltip: this.l('Supplier No'),field: 'supplierNo',flex: 1},</v>
      </c>
      <c r="I20" s="38" t="str">
        <f t="shared" ref="I20" si="29"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20" s="31"/>
      <c r="K20" s="38" t="str">
        <f t="shared" ref="K20" si="30"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20" s="60" t="str">
        <f t="shared" ref="L20" si="31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 t="shared" ref="S20" si="32">REPT(CHAR(9),1)&amp;D20&amp;G20</f>
        <v xml:space="preserve">	supplierNo : string = '' ; </v>
      </c>
      <c r="T20" s="31" t="str">
        <f t="shared" ref="T20" si="33">REPT(CHAR(9),3)&amp;"this."&amp;D20&amp;","</f>
        <v xml:space="preserve">			this.supplierNo,</v>
      </c>
      <c r="U20" s="31" t="str">
        <f t="shared" ref="U20" si="34">IF(E20="int",REPT(CHAR(9),2)&amp;"this."&amp;D20&amp;" = 0,",REPT(CHAR(9),2)&amp;"this."&amp;D20&amp;" = '',")</f>
        <v xml:space="preserve">		this.supplierNo = '',</v>
      </c>
      <c r="V20" s="31" t="str">
        <f t="shared" ref="V20" si="35">IF(AND(E20="string",F20="1"),D20,"")</f>
        <v/>
      </c>
    </row>
    <row r="21" spans="1:22" ht="15" customHeight="1" x14ac:dyDescent="0.25">
      <c r="A21" t="s">
        <v>337</v>
      </c>
      <c r="B21" s="31" t="str">
        <f t="shared" ref="B21:B22" si="36">SUBSTITUTE(PROPER(A21),"_","")</f>
        <v>Model</v>
      </c>
      <c r="C21" s="31" t="str">
        <f t="shared" ref="C21:C22" si="37">SUBSTITUTE(PROPER(A21),"_"," ")</f>
        <v>Model</v>
      </c>
      <c r="D21" s="31" t="str">
        <f t="shared" ref="D21:D22" si="38">LOWER(LEFT(B21,1))&amp;RIGHT(B21,LEN(B21) - 1)</f>
        <v>model</v>
      </c>
      <c r="E21" s="31" t="str">
        <f>A.Backend!H15</f>
        <v>string</v>
      </c>
      <c r="F21" s="31" t="str">
        <f>A.Backend!G15</f>
        <v>50</v>
      </c>
      <c r="G21" s="31" t="str">
        <f t="shared" ref="G21:G22" si="39">IF(E21="string"," : string = '' ; ",IF(OR(E21="DateTime",E21="TimeSpan")," : any ;",IF(E21="int"," : number = 0 ;","")))</f>
        <v xml:space="preserve"> : string = '' ; </v>
      </c>
      <c r="H21" s="38" t="str">
        <f t="shared" ref="H21:H22" si="40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this.l('Model'),headerTooltip: this.l('Model'),field: 'model',flex: 1},</v>
      </c>
      <c r="I21" s="38" t="str">
        <f t="shared" ref="I21:I22" si="41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[(ngModel)]='model' name='model'
									class='form-control' [placeholder]="l('Model')"
									type='text' (keyup.enter)='searchDatas()'&gt;
								&lt;/div&gt;</v>
      </c>
      <c r="J21" s="31"/>
      <c r="K21" s="38" t="str">
        <f t="shared" ref="K21:K22" si="42"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title'&gt;Model&lt;/label&gt;
						&lt;input type='text' class='col-md-10 form-control input-text' name='Model' [(ngModel)]='rowdata.model'&gt;
					&lt;/div&gt;</v>
      </c>
      <c r="L21" s="60" t="str">
        <f t="shared" ref="L21:L22" si="43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 t="shared" ref="S21" si="44">REPT(CHAR(9),1)&amp;D21&amp;G21</f>
        <v xml:space="preserve">	model : string = '' ; </v>
      </c>
      <c r="T21" s="31" t="str">
        <f t="shared" ref="T21" si="45">REPT(CHAR(9),3)&amp;"this."&amp;D21&amp;","</f>
        <v xml:space="preserve">			this.model,</v>
      </c>
      <c r="U21" s="31" t="str">
        <f t="shared" ref="U21" si="46">IF(E21="int",REPT(CHAR(9),2)&amp;"this."&amp;D21&amp;" = 0,",REPT(CHAR(9),2)&amp;"this."&amp;D21&amp;" = '',")</f>
        <v xml:space="preserve">		this.model = '',</v>
      </c>
      <c r="V21" s="31" t="str">
        <f t="shared" ref="V21:V22" si="47">IF(AND(E21="string",F21="1"),D21,"")</f>
        <v/>
      </c>
    </row>
    <row r="22" spans="1:22" ht="15" customHeight="1" x14ac:dyDescent="0.25">
      <c r="A22" t="s">
        <v>340</v>
      </c>
      <c r="B22" s="31" t="str">
        <f t="shared" si="36"/>
        <v>ProcessId</v>
      </c>
      <c r="C22" s="31" t="str">
        <f t="shared" si="37"/>
        <v>Process Id</v>
      </c>
      <c r="D22" s="31" t="str">
        <f t="shared" si="38"/>
        <v>processId</v>
      </c>
      <c r="E22" s="31" t="str">
        <f>A.Backend!H16</f>
        <v>long</v>
      </c>
      <c r="F22" s="31" t="str">
        <f>A.Backend!G16</f>
        <v/>
      </c>
      <c r="G22" s="31" t="str">
        <f t="shared" si="39"/>
        <v/>
      </c>
      <c r="H22" s="38" t="str">
        <f t="shared" si="40"/>
        <v xml:space="preserve">			{headerName: this.l('Process Id'),headerTooltip: this.l('Process Id'),field: 'processId',flex: 1},</v>
      </c>
      <c r="I22" s="38" t="str">
        <f t="shared" si="41"/>
        <v/>
      </c>
      <c r="J22" s="31"/>
      <c r="K22" s="38" t="str">
        <f t="shared" si="42"/>
        <v/>
      </c>
      <c r="L22" s="60" t="str">
        <f t="shared" si="43"/>
        <v/>
      </c>
      <c r="M22" s="31"/>
      <c r="N22" s="31"/>
      <c r="O22" s="31"/>
      <c r="P22" s="31"/>
      <c r="Q22" s="31"/>
      <c r="R22" s="31"/>
      <c r="S22" s="31" t="str">
        <f>REPT(CHAR(9),1)&amp;D22&amp;G22</f>
        <v xml:space="preserve">	processId</v>
      </c>
      <c r="T22" s="31" t="str">
        <f>REPT(CHAR(9),3)&amp;"this."&amp;D22&amp;","</f>
        <v xml:space="preserve">			this.processId,</v>
      </c>
      <c r="U22" s="31" t="str">
        <f>IF(E22="int",REPT(CHAR(9),2)&amp;"this."&amp;D22&amp;" = 0,",REPT(CHAR(9),2)&amp;"this."&amp;D22&amp;" = '',")</f>
        <v xml:space="preserve">		this.processId = '',</v>
      </c>
      <c r="V22" s="31" t="str">
        <f t="shared" si="47"/>
        <v/>
      </c>
    </row>
    <row r="23" spans="1:22" ht="15" customHeight="1" x14ac:dyDescent="0.25">
      <c r="A23" t="s">
        <v>341</v>
      </c>
      <c r="B23" s="31" t="str">
        <f t="shared" ref="B23:B27" si="48">SUBSTITUTE(PROPER(A23),"_","")</f>
        <v>ProcessCode</v>
      </c>
      <c r="C23" s="31" t="str">
        <f t="shared" ref="C23:C27" si="49">SUBSTITUTE(PROPER(A23),"_"," ")</f>
        <v>Process Code</v>
      </c>
      <c r="D23" s="31" t="str">
        <f t="shared" ref="D23:D27" si="50">LOWER(LEFT(B23,1))&amp;RIGHT(B23,LEN(B23) - 1)</f>
        <v>processCode</v>
      </c>
      <c r="E23" s="31" t="str">
        <f>A.Backend!H17</f>
        <v>string</v>
      </c>
      <c r="F23" s="31" t="str">
        <f>A.Backend!G17</f>
        <v>50</v>
      </c>
      <c r="G23" s="31" t="str">
        <f t="shared" ref="G23:G27" si="51">IF(E23="string"," : string = '' ; ",IF(OR(E23="DateTime",E23="TimeSpan")," : any ;",IF(E23="int"," : number = 0 ;","")))</f>
        <v xml:space="preserve"> : string = '' ; </v>
      </c>
      <c r="H23" s="38" t="str">
        <f t="shared" ref="H23:H27" si="52">IF(E23="DateTime",
REPT(CHAR(9),3)&amp;"{headerName: this.l('"&amp;C23&amp;"'),headerTooltip: this.l('"&amp;C23&amp;"'),field: '"&amp;D23&amp;"',valueGetter: (params) =&gt; this.pipe.transform(params.data?."&amp;D23&amp;", 'dd/MM/yyyy'),flex: 1},",
IF(AND(E23="string",F23="1"),
REPT(CHAR(9),3)&amp;"{headerName: this.l('"&amp;C23&amp;"'),headerTooltip: this.l('"&amp;C23&amp;"'),field:  '"&amp;D23&amp;"', cellClass: ['text-center'], width: 120, cellRenderer: 'agCellButtonComponent',
buttonDefTwo: { text: params =&gt; (params.data?.'"&amp;D23&amp;"' == 'Y') ? 'Active' : 'Inactive',iconName: 'fa fa-circle',className: params =&gt; (params.data?.'"&amp;D23&amp;"' == 'Y') ? 'btnActive' : 'btnInActive',},}",
REPT(CHAR(9),3)&amp;"{headerName: this.l('"&amp;C23&amp;"'),headerTooltip: this.l('"&amp;C23&amp;"'),field: '"&amp;D23&amp;"',flex: 1},"))</f>
        <v xml:space="preserve">			{headerName: this.l('Process Code'),headerTooltip: this.l('Process Code'),field: 'processCode',flex: 1},</v>
      </c>
      <c r="I23" s="38" t="str">
        <f t="shared" ref="I23:I27" si="53">IF(E23="DateTime",
REPT(CHAR(9),8)&amp;"&lt;div class='input-search'&gt;
"&amp;REPT(CHAR(9),9)&amp;"&lt;input type='text' [placeholder]=""l('"&amp;C23&amp;"')"" [(ngModel)]='"&amp;D23&amp;"' 
"&amp;REPT(CHAR(9),9)&amp;"name='"&amp;D23&amp;"'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IF(E23="string",
REPT(CHAR(9),8)&amp;"&lt;div class='input-search'&gt;
"&amp;REPT(CHAR(9),9)&amp;"&lt;input [(ngModel)]='"&amp;D23&amp;"' name='"&amp;D23&amp;"'
"&amp;REPT(CHAR(9),9)&amp;"class='form-control' [placeholder]=""l('"&amp;C23&amp;"')""
"&amp;REPT(CHAR(9),9)&amp;"type='text' (keyup.enter)='searchDatas()'&gt;
"&amp;REPT(CHAR(9),8)&amp;"&lt;/div&gt;",""))</f>
        <v xml:space="preserve">								&lt;div class='input-search'&gt;
									&lt;input [(ngModel)]='processCode' name='processCode'
									class='form-control' [placeholder]="l('Process Code')"
									type='text' (keyup.enter)='searchDatas()'&gt;
								&lt;/div&gt;</v>
      </c>
      <c r="J23" s="31"/>
      <c r="K23" s="38" t="str">
        <f t="shared" ref="K23:K27" si="54">IF(OR(E23="DateTime",E23="TimeSpan"),
REPT(CHAR(9),5)&amp;"&lt;div class='col-md-12 form-group row'&gt;
"&amp;REPT(CHAR(9),6)&amp;"&lt;label class='col-md-2 form-control title'&gt;"&amp;C23&amp;"&lt;/label&gt;
"&amp;REPT(CHAR(9),6)&amp;"&lt;input type='text' class='col-md-10 form-control input-text' name='"&amp;D23&amp;"' 
"&amp;REPT(CHAR(9),6)&amp;"#datepicker='bsDatepicker' [(ngModel)]='rowdata."&amp;D23&amp;"'  bsDatepicker &gt;
"&amp;REPT(CHAR(9),5)&amp;"&lt;/div&gt;",
IF(AND(E23="string",F23="1"),
REPT(CHAR(9),5)&amp;"&lt;div class='col-md-12 form-group row'&gt;
"&amp;REPT(CHAR(9),6)&amp;"&lt;label class='col-md-2 form-control title'&gt;"&amp;C23&amp;"&lt;/label&gt;
"&amp;REPT(CHAR(9),6)&amp;"&lt;new-checkbox [(ngModel)]='_"&amp;D23&amp;"' name='"&amp;D23&amp;"' className='col-md-10' &gt; &lt;/new-checkbox&gt;
"&amp;REPT(CHAR(9),5)&amp;"&lt;/div&gt;",
IF(E23="string",
REPT(CHAR(9),5)&amp;"&lt;div class='col-md-12 form-group row'&gt;
"&amp;REPT(CHAR(9),6)&amp;"&lt;label class='col-md-2 form-control title'&gt;"&amp;C23&amp;"&lt;/label&gt;
"&amp;REPT(CHAR(9),6)&amp;"&lt;input type='text' class='col-md-10 form-control input-text' name='"&amp;B23&amp;"' [(ngModel)]='rowdata."&amp;D23&amp;"'&gt;
"&amp;REPT(CHAR(9),5)&amp;"&lt;/div&gt;",
IF(E23="int",
REPT(CHAR(9),5)&amp;"&lt;div class='col-md-12 form-group row'&gt;
"&amp;REPT(CHAR(9),6)&amp;"&lt;label class='col-md-2 form-control title'&gt;"&amp;C23&amp;"&lt;/label&gt;
"&amp;REPT(CHAR(9),6)&amp;"&lt;input type='number' class='col-md-10 form-control input-text' name='"&amp;B23&amp;"' [(ngModel)]='rowdata."&amp;D23&amp;"'&gt;
"&amp;REPT(CHAR(9),5)&amp;"&lt;/div&gt;",""))))</f>
        <v xml:space="preserve">					&lt;div class='col-md-12 form-group row'&gt;
						&lt;label class='col-md-2 form-control title'&gt;Process Code&lt;/label&gt;
						&lt;input type='text' class='col-md-10 form-control input-text' name='ProcessCode' [(ngModel)]='rowdata.processCode'&gt;
					&lt;/div&gt;</v>
      </c>
      <c r="L23" s="60" t="str">
        <f t="shared" ref="L23:L27" si="55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31"/>
      <c r="N23" s="31"/>
      <c r="O23" s="31"/>
      <c r="P23" s="31"/>
      <c r="Q23" s="31"/>
      <c r="R23" s="31"/>
      <c r="S23" s="31" t="str">
        <f t="shared" ref="S23" si="56">REPT(CHAR(9),1)&amp;D23&amp;G23</f>
        <v xml:space="preserve">	processCode : string = '' ; </v>
      </c>
      <c r="T23" s="31" t="str">
        <f t="shared" ref="T23" si="57">REPT(CHAR(9),3)&amp;"this."&amp;D23&amp;","</f>
        <v xml:space="preserve">			this.processCode,</v>
      </c>
      <c r="U23" s="31" t="str">
        <f t="shared" ref="U23" si="58">IF(E23="int",REPT(CHAR(9),2)&amp;"this."&amp;D23&amp;" = 0,",REPT(CHAR(9),2)&amp;"this."&amp;D23&amp;" = '',")</f>
        <v xml:space="preserve">		this.processCode = '',</v>
      </c>
      <c r="V23" s="31" t="str">
        <f t="shared" ref="V23:V27" si="59">IF(AND(E23="string",F23="1"),D23,"")</f>
        <v/>
      </c>
    </row>
    <row r="24" spans="1:22" ht="15" customHeight="1" x14ac:dyDescent="0.25">
      <c r="A24" t="s">
        <v>338</v>
      </c>
      <c r="B24" s="31" t="str">
        <f>SUBSTITUTE(PROPER(A24),"_","")</f>
        <v>UsageQty</v>
      </c>
      <c r="C24" s="31" t="str">
        <f>SUBSTITUTE(PROPER(A24),"_"," ")</f>
        <v>Usage Qty</v>
      </c>
      <c r="D24" s="31" t="str">
        <f>LOWER(LEFT(B24,1))&amp;RIGHT(B24,LEN(B24) - 1)</f>
        <v>usageQty</v>
      </c>
      <c r="E24" s="31" t="str">
        <f>A.Backend!H18</f>
        <v>int</v>
      </c>
      <c r="F24" s="31" t="str">
        <f>A.Backend!G18</f>
        <v/>
      </c>
      <c r="G24" s="31" t="str">
        <f>IF(E24="string"," : string = '' ; ",IF(OR(E24="DateTime",E24="TimeSpan")," : any ;",IF(E24="int"," : number = 0 ;","")))</f>
        <v xml:space="preserve"> : number = 0 ;</v>
      </c>
      <c r="H24" s="38" t="str">
        <f>IF(E24="DateTime",
REPT(CHAR(9),3)&amp;"{headerName: this.l('"&amp;C24&amp;"'),headerTooltip: this.l('"&amp;C24&amp;"'),field: '"&amp;D24&amp;"',valueGetter: (params) =&gt; this.pipe.transform(params.data?."&amp;D24&amp;", 'dd/MM/yyyy'),flex: 1},",
IF(AND(E24="string",F24="1"),
REPT(CHAR(9),3)&amp;"{headerName: this.l('"&amp;C24&amp;"'),headerTooltip: this.l('"&amp;C24&amp;"'),field:  '"&amp;D24&amp;"', cellClass: ['text-center'], width: 120, cellRenderer: 'agCellButtonComponent',
buttonDefTwo: { text: params =&gt; (params.data?.'"&amp;D24&amp;"' == 'Y') ? 'Active' : 'Inactive',iconName: 'fa fa-circle',className: params =&gt; (params.data?.'"&amp;D24&amp;"' == 'Y') ? 'btnActive' : 'btnInActive',},}",
REPT(CHAR(9),3)&amp;"{headerName: this.l('"&amp;C24&amp;"'),headerTooltip: this.l('"&amp;C24&amp;"'),field: '"&amp;D24&amp;"',flex: 1},"))</f>
        <v xml:space="preserve">			{headerName: this.l('Usage Qty'),headerTooltip: this.l('Usage Qty'),field: 'usageQty',flex: 1},</v>
      </c>
      <c r="I24" s="38" t="str">
        <f>IF(E24="DateTime",
REPT(CHAR(9),8)&amp;"&lt;div class='input-search'&gt;
"&amp;REPT(CHAR(9),9)&amp;"&lt;input type='text' [placeholder]=""l('"&amp;C24&amp;"')"" [(ngModel)]='"&amp;D24&amp;"' 
"&amp;REPT(CHAR(9),9)&amp;"name='"&amp;D24&amp;"'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IF(E24="string",
REPT(CHAR(9),8)&amp;"&lt;div class='input-search'&gt;
"&amp;REPT(CHAR(9),9)&amp;"&lt;input [(ngModel)]='"&amp;D24&amp;"' name='"&amp;D24&amp;"'
"&amp;REPT(CHAR(9),9)&amp;"class='form-control' [placeholder]=""l('"&amp;C24&amp;"')""
"&amp;REPT(CHAR(9),9)&amp;"type='text' (keyup.enter)='searchDatas()'&gt;
"&amp;REPT(CHAR(9),8)&amp;"&lt;/div&gt;",""))</f>
        <v/>
      </c>
      <c r="J24" s="31"/>
      <c r="K24" s="38" t="str">
        <f>IF(OR(E24="DateTime",E24="TimeSpan"),
REPT(CHAR(9),5)&amp;"&lt;div class='col-md-12 form-group row'&gt;
"&amp;REPT(CHAR(9),6)&amp;"&lt;label class='col-md-2 form-control title'&gt;"&amp;C24&amp;"&lt;/label&gt;
"&amp;REPT(CHAR(9),6)&amp;"&lt;input type='text' class='col-md-10 form-control input-text' name='"&amp;D24&amp;"' 
"&amp;REPT(CHAR(9),6)&amp;"#datepicker='bsDatepicker' [(ngModel)]='rowdata."&amp;D24&amp;"'  bsDatepicker &gt;
"&amp;REPT(CHAR(9),5)&amp;"&lt;/div&gt;",
IF(AND(E24="string",F24="1"),
REPT(CHAR(9),5)&amp;"&lt;div class='col-md-12 form-group row'&gt;
"&amp;REPT(CHAR(9),6)&amp;"&lt;label class='col-md-2 form-control title'&gt;"&amp;C24&amp;"&lt;/label&gt;
"&amp;REPT(CHAR(9),6)&amp;"&lt;new-checkbox [(ngModel)]='_"&amp;D24&amp;"' name='"&amp;D24&amp;"' className='col-md-10' &gt; &lt;/new-checkbox&gt;
"&amp;REPT(CHAR(9),5)&amp;"&lt;/div&gt;",
IF(E24="string",
REPT(CHAR(9),5)&amp;"&lt;div class='col-md-12 form-group row'&gt;
"&amp;REPT(CHAR(9),6)&amp;"&lt;label class='col-md-2 form-control title'&gt;"&amp;C24&amp;"&lt;/label&gt;
"&amp;REPT(CHAR(9),6)&amp;"&lt;input type='text' class='col-md-10 form-control input-text' name='"&amp;B24&amp;"' [(ngModel)]='rowdata."&amp;D24&amp;"'&gt;
"&amp;REPT(CHAR(9),5)&amp;"&lt;/div&gt;",
IF(E24="int",
REPT(CHAR(9),5)&amp;"&lt;div class='col-md-12 form-group row'&gt;
"&amp;REPT(CHAR(9),6)&amp;"&lt;label class='col-md-2 form-control title'&gt;"&amp;C24&amp;"&lt;/label&gt;
"&amp;REPT(CHAR(9),6)&amp;"&lt;input type='number' class='col-md-10 form-control input-text' name='"&amp;B24&amp;"' [(ngModel)]='rowdata."&amp;D24&amp;"'&gt;
"&amp;REPT(CHAR(9),5)&amp;"&lt;/div&gt;",""))))</f>
        <v xml:space="preserve">					&lt;div class='col-md-12 form-group row'&gt;
						&lt;label class='col-md-2 form-control title'&gt;Usage Qty&lt;/label&gt;
						&lt;input type='number' class='col-md-10 form-control input-text' name='UsageQty' [(ngModel)]='rowdata.usageQty'&gt;
					&lt;/div&gt;</v>
      </c>
      <c r="L24" s="60" t="str">
        <f>IF(E24="DateTime",
REPT(CHAR(9),2)&amp;"const dateValue =  this.rowdata."&amp;D24&amp;" ? new Date(this.rowdata."&amp;D24&amp;"?.toString()) : new Date();
"&amp;REPT(CHAR(9),2)&amp;"this.datepicker?.bsValueChange.emit(dateValue);","")</f>
        <v/>
      </c>
      <c r="M24" s="31"/>
      <c r="N24" s="31"/>
      <c r="O24" s="31"/>
      <c r="P24" s="31"/>
      <c r="Q24" s="31"/>
      <c r="R24" s="31"/>
      <c r="S24" s="31" t="str">
        <f>REPT(CHAR(9),1)&amp;D24&amp;G24</f>
        <v xml:space="preserve">	usageQty : number = 0 ;</v>
      </c>
      <c r="T24" s="31" t="str">
        <f>REPT(CHAR(9),3)&amp;"this."&amp;D24&amp;","</f>
        <v xml:space="preserve">			this.usageQty,</v>
      </c>
      <c r="U24" s="31" t="str">
        <f>IF(E24="int",REPT(CHAR(9),2)&amp;"this."&amp;D24&amp;" = 0,",REPT(CHAR(9),2)&amp;"this."&amp;D24&amp;" = '',")</f>
        <v xml:space="preserve">		this.usageQty = 0,</v>
      </c>
      <c r="V24" s="31" t="str">
        <f>IF(AND(E24="string",F24="1"),D24,"")</f>
        <v/>
      </c>
    </row>
    <row r="25" spans="1:22" ht="15" customHeight="1" x14ac:dyDescent="0.25">
      <c r="A25" t="s">
        <v>339</v>
      </c>
      <c r="B25" s="31" t="str">
        <f>SUBSTITUTE(PROPER(A25),"_","")</f>
        <v>BoxQty</v>
      </c>
      <c r="C25" s="31" t="str">
        <f>SUBSTITUTE(PROPER(A25),"_"," ")</f>
        <v>Box Qty</v>
      </c>
      <c r="D25" s="31" t="str">
        <f>LOWER(LEFT(B25,1))&amp;RIGHT(B25,LEN(B25) - 1)</f>
        <v>boxQty</v>
      </c>
      <c r="E25" s="31" t="str">
        <f>A.Backend!H19</f>
        <v>int</v>
      </c>
      <c r="F25" s="31" t="str">
        <f>A.Backend!G19</f>
        <v/>
      </c>
      <c r="G25" s="31" t="str">
        <f>IF(E25="string"," : string = '' ; ",IF(OR(E25="DateTime",E25="TimeSpan")," : any ;",IF(E25="int"," : number = 0 ;","")))</f>
        <v xml:space="preserve"> : number = 0 ;</v>
      </c>
      <c r="H25" s="38" t="str">
        <f>IF(E25="DateTime",
REPT(CHAR(9),3)&amp;"{headerName: this.l('"&amp;C25&amp;"'),headerTooltip: this.l('"&amp;C25&amp;"'),field: '"&amp;D25&amp;"',valueGetter: (params) =&gt; this.pipe.transform(params.data?."&amp;D25&amp;", 'dd/MM/yyyy'),flex: 1},",
IF(AND(E25="string",F25="1"),
REPT(CHAR(9),3)&amp;"{headerName: this.l('"&amp;C25&amp;"'),headerTooltip: this.l('"&amp;C25&amp;"'),field:  '"&amp;D25&amp;"', cellClass: ['text-center'], width: 120, cellRenderer: 'agCellButtonComponent',
buttonDefTwo: { text: params =&gt; (params.data?.'"&amp;D25&amp;"' == 'Y') ? 'Active' : 'Inactive',iconName: 'fa fa-circle',className: params =&gt; (params.data?.'"&amp;D25&amp;"' == 'Y') ? 'btnActive' : 'btnInActive',},}",
REPT(CHAR(9),3)&amp;"{headerName: this.l('"&amp;C25&amp;"'),headerTooltip: this.l('"&amp;C25&amp;"'),field: '"&amp;D25&amp;"',flex: 1},"))</f>
        <v xml:space="preserve">			{headerName: this.l('Box Qty'),headerTooltip: this.l('Box Qty'),field: 'boxQty',flex: 1},</v>
      </c>
      <c r="I25" s="38" t="str">
        <f>IF(E25="DateTime",
REPT(CHAR(9),8)&amp;"&lt;div class='input-search'&gt;
"&amp;REPT(CHAR(9),9)&amp;"&lt;input type='text' [placeholder]=""l('"&amp;C25&amp;"')"" [(ngModel)]='"&amp;D25&amp;"' 
"&amp;REPT(CHAR(9),9)&amp;"name='"&amp;D25&amp;"'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IF(E25="string",
REPT(CHAR(9),8)&amp;"&lt;div class='input-search'&gt;
"&amp;REPT(CHAR(9),9)&amp;"&lt;input [(ngModel)]='"&amp;D25&amp;"' name='"&amp;D25&amp;"'
"&amp;REPT(CHAR(9),9)&amp;"class='form-control' [placeholder]=""l('"&amp;C25&amp;"')""
"&amp;REPT(CHAR(9),9)&amp;"type='text' (keyup.enter)='searchDatas()'&gt;
"&amp;REPT(CHAR(9),8)&amp;"&lt;/div&gt;",""))</f>
        <v/>
      </c>
      <c r="J25" s="31"/>
      <c r="K25" s="38" t="str">
        <f>IF(OR(E25="DateTime",E25="TimeSpan"),
REPT(CHAR(9),5)&amp;"&lt;div class='col-md-12 form-group row'&gt;
"&amp;REPT(CHAR(9),6)&amp;"&lt;label class='col-md-2 form-control title'&gt;"&amp;C25&amp;"&lt;/label&gt;
"&amp;REPT(CHAR(9),6)&amp;"&lt;input type='text' class='col-md-10 form-control input-text' name='"&amp;D25&amp;"' 
"&amp;REPT(CHAR(9),6)&amp;"#datepicker='bsDatepicker' [(ngModel)]='rowdata."&amp;D25&amp;"'  bsDatepicker &gt;
"&amp;REPT(CHAR(9),5)&amp;"&lt;/div&gt;",
IF(AND(E25="string",F25="1"),
REPT(CHAR(9),5)&amp;"&lt;div class='col-md-12 form-group row'&gt;
"&amp;REPT(CHAR(9),6)&amp;"&lt;label class='col-md-2 form-control title'&gt;"&amp;C25&amp;"&lt;/label&gt;
"&amp;REPT(CHAR(9),6)&amp;"&lt;new-checkbox [(ngModel)]='_"&amp;D25&amp;"' name='"&amp;D25&amp;"' className='col-md-10' &gt; &lt;/new-checkbox&gt;
"&amp;REPT(CHAR(9),5)&amp;"&lt;/div&gt;",
IF(E25="string",
REPT(CHAR(9),5)&amp;"&lt;div class='col-md-12 form-group row'&gt;
"&amp;REPT(CHAR(9),6)&amp;"&lt;label class='col-md-2 form-control title'&gt;"&amp;C25&amp;"&lt;/label&gt;
"&amp;REPT(CHAR(9),6)&amp;"&lt;input type='text' class='col-md-10 form-control input-text' name='"&amp;B25&amp;"' [(ngModel)]='rowdata."&amp;D25&amp;"'&gt;
"&amp;REPT(CHAR(9),5)&amp;"&lt;/div&gt;",
IF(E25="int",
REPT(CHAR(9),5)&amp;"&lt;div class='col-md-12 form-group row'&gt;
"&amp;REPT(CHAR(9),6)&amp;"&lt;label class='col-md-2 form-control title'&gt;"&amp;C25&amp;"&lt;/label&gt;
"&amp;REPT(CHAR(9),6)&amp;"&lt;input type='number' class='col-md-10 form-control input-text' name='"&amp;B25&amp;"' [(ngModel)]='rowdata."&amp;D25&amp;"'&gt;
"&amp;REPT(CHAR(9),5)&amp;"&lt;/div&gt;",""))))</f>
        <v xml:space="preserve">					&lt;div class='col-md-12 form-group row'&gt;
						&lt;label class='col-md-2 form-control title'&gt;Box Qty&lt;/label&gt;
						&lt;input type='number' class='col-md-10 form-control input-text' name='BoxQty' [(ngModel)]='rowdata.boxQty'&gt;
					&lt;/div&gt;</v>
      </c>
      <c r="L25" s="60" t="str">
        <f>IF(E25="DateTime",
REPT(CHAR(9),2)&amp;"const dateValue =  this.rowdata."&amp;D25&amp;" ? new Date(this.rowdata."&amp;D25&amp;"?.toString()) : new Date();
"&amp;REPT(CHAR(9),2)&amp;"this.datepicker?.bsValueChange.emit(dateValue);","")</f>
        <v/>
      </c>
      <c r="M25" s="31"/>
      <c r="N25" s="31"/>
      <c r="O25" s="31"/>
      <c r="P25" s="31"/>
      <c r="Q25" s="31"/>
      <c r="R25" s="31"/>
      <c r="S25" s="31" t="str">
        <f>REPT(CHAR(9),1)&amp;D25&amp;G25</f>
        <v xml:space="preserve">	boxQty : number = 0 ;</v>
      </c>
      <c r="T25" s="31" t="str">
        <f>REPT(CHAR(9),3)&amp;"this."&amp;D25&amp;","</f>
        <v xml:space="preserve">			this.boxQty,</v>
      </c>
      <c r="U25" s="31" t="str">
        <f>IF(E25="int",REPT(CHAR(9),2)&amp;"this."&amp;D25&amp;" = 0,",REPT(CHAR(9),2)&amp;"this."&amp;D25&amp;" = '',")</f>
        <v xml:space="preserve">		this.boxQty = 0,</v>
      </c>
      <c r="V25" s="31" t="str">
        <f>IF(AND(E25="string",F25="1"),D25,"")</f>
        <v/>
      </c>
    </row>
    <row r="26" spans="1:22" ht="15" customHeight="1" x14ac:dyDescent="0.25">
      <c r="A26" t="s">
        <v>332</v>
      </c>
      <c r="B26" s="31" t="str">
        <f t="shared" si="48"/>
        <v>PcAddress</v>
      </c>
      <c r="C26" s="31" t="str">
        <f t="shared" si="49"/>
        <v>Pc Address</v>
      </c>
      <c r="D26" s="31" t="str">
        <f t="shared" si="50"/>
        <v>pcAddress</v>
      </c>
      <c r="E26" s="31" t="str">
        <f>A.Backend!H20</f>
        <v>string</v>
      </c>
      <c r="F26" s="31" t="str">
        <f>A.Backend!G20</f>
        <v>50</v>
      </c>
      <c r="G26" s="31" t="str">
        <f t="shared" si="51"/>
        <v xml:space="preserve"> : string = '' ; </v>
      </c>
      <c r="H26" s="38" t="str">
        <f t="shared" si="52"/>
        <v xml:space="preserve">			{headerName: this.l('Pc Address'),headerTooltip: this.l('Pc Address'),field: 'pcAddress',flex: 1},</v>
      </c>
      <c r="I26" s="38" t="str">
        <f t="shared" si="53"/>
        <v xml:space="preserve">								&lt;div class='input-search'&gt;
									&lt;input [(ngModel)]='pcAddress' name='pcAddress'
									class='form-control' [placeholder]="l('Pc Address')"
									type='text' (keyup.enter)='searchDatas()'&gt;
								&lt;/div&gt;</v>
      </c>
      <c r="J26" s="31"/>
      <c r="K26" s="38" t="str">
        <f t="shared" si="54"/>
        <v xml:space="preserve">					&lt;div class='col-md-12 form-group row'&gt;
						&lt;label class='col-md-2 form-control title'&gt;Pc Address&lt;/label&gt;
						&lt;input type='text' class='col-md-10 form-control input-text' name='PcAddress' [(ngModel)]='rowdata.pcAddress'&gt;
					&lt;/div&gt;</v>
      </c>
      <c r="L26" s="60" t="str">
        <f t="shared" si="55"/>
        <v/>
      </c>
      <c r="M26" s="31"/>
      <c r="N26" s="31"/>
      <c r="O26" s="31"/>
      <c r="P26" s="31"/>
      <c r="Q26" s="31"/>
      <c r="R26" s="31"/>
      <c r="S26" s="31" t="str">
        <f>REPT(CHAR(9),1)&amp;D26&amp;G26</f>
        <v xml:space="preserve">	pcAddress : string = '' ; </v>
      </c>
      <c r="T26" s="31" t="str">
        <f>REPT(CHAR(9),3)&amp;"this."&amp;D26&amp;","</f>
        <v xml:space="preserve">			this.pcAddress,</v>
      </c>
      <c r="U26" s="31" t="str">
        <f>IF(E26="int",REPT(CHAR(9),2)&amp;"this."&amp;D26&amp;" = 0,",REPT(CHAR(9),2)&amp;"this."&amp;D26&amp;" = '',")</f>
        <v xml:space="preserve">		this.pcAddress = '',</v>
      </c>
      <c r="V26" s="31" t="str">
        <f t="shared" si="59"/>
        <v/>
      </c>
    </row>
    <row r="27" spans="1:22" ht="15" customHeight="1" x14ac:dyDescent="0.25">
      <c r="A27" t="s">
        <v>333</v>
      </c>
      <c r="B27" s="31" t="str">
        <f t="shared" si="48"/>
        <v>PcSorting</v>
      </c>
      <c r="C27" s="31" t="str">
        <f t="shared" si="49"/>
        <v>Pc Sorting</v>
      </c>
      <c r="D27" s="31" t="str">
        <f t="shared" si="50"/>
        <v>pcSorting</v>
      </c>
      <c r="E27" s="31" t="str">
        <f>A.Backend!H21</f>
        <v>int</v>
      </c>
      <c r="F27" s="31" t="str">
        <f>A.Backend!G21</f>
        <v/>
      </c>
      <c r="G27" s="31" t="str">
        <f t="shared" si="51"/>
        <v xml:space="preserve"> : number = 0 ;</v>
      </c>
      <c r="H27" s="38" t="str">
        <f t="shared" si="52"/>
        <v xml:space="preserve">			{headerName: this.l('Pc Sorting'),headerTooltip: this.l('Pc Sorting'),field: 'pcSorting',flex: 1},</v>
      </c>
      <c r="I27" s="38" t="str">
        <f t="shared" si="53"/>
        <v/>
      </c>
      <c r="J27" s="31"/>
      <c r="K27" s="38" t="str">
        <f t="shared" si="54"/>
        <v xml:space="preserve">					&lt;div class='col-md-12 form-group row'&gt;
						&lt;label class='col-md-2 form-control title'&gt;Pc Sorting&lt;/label&gt;
						&lt;input type='number' class='col-md-10 form-control input-text' name='PcSorting' [(ngModel)]='rowdata.pcSorting'&gt;
					&lt;/div&gt;</v>
      </c>
      <c r="L27" s="60" t="str">
        <f t="shared" si="55"/>
        <v/>
      </c>
      <c r="M27" s="31"/>
      <c r="N27" s="31"/>
      <c r="O27" s="31"/>
      <c r="P27" s="31"/>
      <c r="Q27" s="31"/>
      <c r="R27" s="31"/>
      <c r="S27" s="31" t="str">
        <f t="shared" ref="S27" si="60">REPT(CHAR(9),1)&amp;D27&amp;G27</f>
        <v xml:space="preserve">	pcSorting : number = 0 ;</v>
      </c>
      <c r="T27" s="31" t="str">
        <f t="shared" ref="T27" si="61">REPT(CHAR(9),3)&amp;"this."&amp;D27&amp;","</f>
        <v xml:space="preserve">			this.pcSorting,</v>
      </c>
      <c r="U27" s="31" t="str">
        <f t="shared" ref="U27" si="62">IF(E27="int",REPT(CHAR(9),2)&amp;"this."&amp;D27&amp;" = 0,",REPT(CHAR(9),2)&amp;"this."&amp;D27&amp;" = '',")</f>
        <v xml:space="preserve">		this.pcSorting = 0,</v>
      </c>
      <c r="V27" s="31" t="str">
        <f t="shared" si="59"/>
        <v/>
      </c>
    </row>
    <row r="28" spans="1:22" ht="18" customHeight="1" x14ac:dyDescent="0.25">
      <c r="A28" t="s">
        <v>334</v>
      </c>
      <c r="B28" s="31" t="str">
        <f t="shared" si="0"/>
        <v>SpsAddress</v>
      </c>
      <c r="C28" s="31" t="str">
        <f t="shared" si="1"/>
        <v>Sps Address</v>
      </c>
      <c r="D28" s="31" t="str">
        <f t="shared" si="2"/>
        <v>spsAddress</v>
      </c>
      <c r="E28" s="31" t="str">
        <f>A.Backend!H22</f>
        <v>string</v>
      </c>
      <c r="F28" s="31" t="str">
        <f>A.Backend!G22</f>
        <v>50</v>
      </c>
      <c r="G28" s="31" t="str">
        <f t="shared" si="3"/>
        <v xml:space="preserve"> : string = '' ; </v>
      </c>
      <c r="H28" s="38" t="str">
        <f t="shared" si="4"/>
        <v xml:space="preserve">			{headerName: this.l('Sps Address'),headerTooltip: this.l('Sps Address'),field: 'spsAddress',flex: 1},</v>
      </c>
      <c r="I28" s="38" t="str">
        <f t="shared" si="5"/>
        <v xml:space="preserve">								&lt;div class='input-search'&gt;
									&lt;input [(ngModel)]='spsAddress' name='spsAddress'
									class='form-control' [placeholder]="l('Sps Address')"
									type='text' (keyup.enter)='searchDatas()'&gt;
								&lt;/div&gt;</v>
      </c>
      <c r="J28" s="31"/>
      <c r="K28" s="38" t="str">
        <f t="shared" si="6"/>
        <v xml:space="preserve">					&lt;div class='col-md-12 form-group row'&gt;
						&lt;label class='col-md-2 form-control title'&gt;Sps Address&lt;/label&gt;
						&lt;input type='text' class='col-md-10 form-control input-text' name='SpsAddress' [(ngModel)]='rowdata.spsAddress'&gt;
					&lt;/div&gt;</v>
      </c>
      <c r="L28" s="60" t="str">
        <f t="shared" si="7"/>
        <v/>
      </c>
      <c r="M28" s="31"/>
      <c r="N28" s="31"/>
      <c r="O28" s="31"/>
      <c r="P28" s="31"/>
      <c r="Q28" s="31"/>
      <c r="R28" s="31"/>
      <c r="S28" s="31" t="str">
        <f t="shared" si="9"/>
        <v xml:space="preserve">	spsAddress : string = '' ; </v>
      </c>
      <c r="T28" s="31" t="str">
        <f t="shared" si="10"/>
        <v xml:space="preserve">			this.spsAddress,</v>
      </c>
      <c r="U28" s="31" t="str">
        <f t="shared" si="11"/>
        <v xml:space="preserve">		this.spsAddress = '',</v>
      </c>
      <c r="V28" s="31" t="str">
        <f t="shared" si="8"/>
        <v/>
      </c>
    </row>
    <row r="29" spans="1:22" ht="15" customHeight="1" x14ac:dyDescent="0.25">
      <c r="A29" t="s">
        <v>335</v>
      </c>
      <c r="B29" s="31" t="str">
        <f>SUBSTITUTE(PROPER(A29),"_","")</f>
        <v>SpsSorting</v>
      </c>
      <c r="C29" s="31" t="str">
        <f>SUBSTITUTE(PROPER(A29),"_"," ")</f>
        <v>Sps Sorting</v>
      </c>
      <c r="D29" s="31" t="str">
        <f>LOWER(LEFT(B29,1))&amp;RIGHT(B29,LEN(B29) - 1)</f>
        <v>spsSorting</v>
      </c>
      <c r="E29" s="31" t="str">
        <f>A.Backend!H23</f>
        <v>int</v>
      </c>
      <c r="F29" s="31" t="str">
        <f>A.Backend!G23</f>
        <v/>
      </c>
      <c r="G29" s="31" t="str">
        <f>IF(E29="string"," : string = '' ; ",IF(OR(E29="DateTime",E29="TimeSpan")," : any ;",IF(E29="int"," : number = 0 ;","")))</f>
        <v xml:space="preserve"> : number = 0 ;</v>
      </c>
      <c r="H29" s="38" t="str">
        <f>IF(E29="DateTime",
REPT(CHAR(9),3)&amp;"{headerName: this.l('"&amp;C29&amp;"'),headerTooltip: this.l('"&amp;C29&amp;"'),field: '"&amp;D29&amp;"',valueGetter: (params) =&gt; this.pipe.transform(params.data?."&amp;D29&amp;", 'dd/MM/yyyy'),flex: 1},",
IF(AND(E29="string",F29="1"),
REPT(CHAR(9),3)&amp;"{headerName: this.l('"&amp;C29&amp;"'),headerTooltip: this.l('"&amp;C29&amp;"'),field:  '"&amp;D29&amp;"', cellClass: ['text-center'], width: 120, cellRenderer: 'agCellButtonComponent',
buttonDefTwo: { text: params =&gt; (params.data?.'"&amp;D29&amp;"' == 'Y') ? 'Active' : 'Inactive',iconName: 'fa fa-circle',className: params =&gt; (params.data?.'"&amp;D29&amp;"' == 'Y') ? 'btnActive' : 'btnInActive',},}",
REPT(CHAR(9),3)&amp;"{headerName: this.l('"&amp;C29&amp;"'),headerTooltip: this.l('"&amp;C29&amp;"'),field: '"&amp;D29&amp;"',flex: 1},"))</f>
        <v xml:space="preserve">			{headerName: this.l('Sps Sorting'),headerTooltip: this.l('Sps Sorting'),field: 'spsSorting',flex: 1},</v>
      </c>
      <c r="I29" s="38" t="str">
        <f>IF(E29="DateTime",
REPT(CHAR(9),8)&amp;"&lt;div class='input-search'&gt;
"&amp;REPT(CHAR(9),9)&amp;"&lt;input type='text' [placeholder]=""l('"&amp;C29&amp;"')"" [(ngModel)]='"&amp;D29&amp;"' 
"&amp;REPT(CHAR(9),9)&amp;"name='"&amp;D29&amp;"'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IF(E29="string",
REPT(CHAR(9),8)&amp;"&lt;div class='input-search'&gt;
"&amp;REPT(CHAR(9),9)&amp;"&lt;input [(ngModel)]='"&amp;D29&amp;"' name='"&amp;D29&amp;"'
"&amp;REPT(CHAR(9),9)&amp;"class='form-control' [placeholder]=""l('"&amp;C29&amp;"')""
"&amp;REPT(CHAR(9),9)&amp;"type='text' (keyup.enter)='searchDatas()'&gt;
"&amp;REPT(CHAR(9),8)&amp;"&lt;/div&gt;",""))</f>
        <v/>
      </c>
      <c r="J29" s="31"/>
      <c r="K29" s="38" t="str">
        <f>IF(OR(E29="DateTime",E29="TimeSpan"),
REPT(CHAR(9),5)&amp;"&lt;div class='col-md-12 form-group row'&gt;
"&amp;REPT(CHAR(9),6)&amp;"&lt;label class='col-md-2 form-control title'&gt;"&amp;C29&amp;"&lt;/label&gt;
"&amp;REPT(CHAR(9),6)&amp;"&lt;input type='text' class='col-md-10 form-control input-text' name='"&amp;D29&amp;"' 
"&amp;REPT(CHAR(9),6)&amp;"#datepicker='bsDatepicker' [(ngModel)]='rowdata."&amp;D29&amp;"'  bsDatepicker &gt;
"&amp;REPT(CHAR(9),5)&amp;"&lt;/div&gt;",
IF(AND(E29="string",F29="1"),
REPT(CHAR(9),5)&amp;"&lt;div class='col-md-12 form-group row'&gt;
"&amp;REPT(CHAR(9),6)&amp;"&lt;label class='col-md-2 form-control title'&gt;"&amp;C29&amp;"&lt;/label&gt;
"&amp;REPT(CHAR(9),6)&amp;"&lt;new-checkbox [(ngModel)]='_"&amp;D29&amp;"' name='"&amp;D29&amp;"' className='col-md-10' &gt; &lt;/new-checkbox&gt;
"&amp;REPT(CHAR(9),5)&amp;"&lt;/div&gt;",
IF(E29="string",
REPT(CHAR(9),5)&amp;"&lt;div class='col-md-12 form-group row'&gt;
"&amp;REPT(CHAR(9),6)&amp;"&lt;label class='col-md-2 form-control title'&gt;"&amp;C29&amp;"&lt;/label&gt;
"&amp;REPT(CHAR(9),6)&amp;"&lt;input type='text' class='col-md-10 form-control input-text' name='"&amp;B29&amp;"' [(ngModel)]='rowdata."&amp;D29&amp;"'&gt;
"&amp;REPT(CHAR(9),5)&amp;"&lt;/div&gt;",
IF(E29="int",
REPT(CHAR(9),5)&amp;"&lt;div class='col-md-12 form-group row'&gt;
"&amp;REPT(CHAR(9),6)&amp;"&lt;label class='col-md-2 form-control title'&gt;"&amp;C29&amp;"&lt;/label&gt;
"&amp;REPT(CHAR(9),6)&amp;"&lt;input type='number' class='col-md-10 form-control input-text' name='"&amp;B29&amp;"' [(ngModel)]='rowdata."&amp;D29&amp;"'&gt;
"&amp;REPT(CHAR(9),5)&amp;"&lt;/div&gt;",""))))</f>
        <v xml:space="preserve">					&lt;div class='col-md-12 form-group row'&gt;
						&lt;label class='col-md-2 form-control title'&gt;Sps Sorting&lt;/label&gt;
						&lt;input type='number' class='col-md-10 form-control input-text' name='SpsSorting' [(ngModel)]='rowdata.spsSorting'&gt;
					&lt;/div&gt;</v>
      </c>
      <c r="L29" s="60" t="str">
        <f>IF(E29="DateTime",
REPT(CHAR(9),2)&amp;"const dateValue =  this.rowdata."&amp;D29&amp;" ? new Date(this.rowdata."&amp;D29&amp;"?.toString()) : new Date();
"&amp;REPT(CHAR(9),2)&amp;"this.datepicker?.bsValueChange.emit(dateValue);","")</f>
        <v/>
      </c>
      <c r="M29" s="31"/>
      <c r="N29" s="31"/>
      <c r="O29" s="31"/>
      <c r="P29" s="31"/>
      <c r="Q29" s="31"/>
      <c r="R29" s="31"/>
      <c r="S29" s="31" t="str">
        <f>REPT(CHAR(9),1)&amp;D29&amp;G29</f>
        <v xml:space="preserve">	spsSorting : number = 0 ;</v>
      </c>
      <c r="T29" s="31" t="str">
        <f>REPT(CHAR(9),3)&amp;"this."&amp;D29&amp;","</f>
        <v xml:space="preserve">			this.spsSorting,</v>
      </c>
      <c r="U29" s="31" t="str">
        <f>IF(E29="int",REPT(CHAR(9),2)&amp;"this."&amp;D29&amp;" = 0,",REPT(CHAR(9),2)&amp;"this."&amp;D29&amp;" = '',")</f>
        <v xml:space="preserve">		this.spsSorting = 0,</v>
      </c>
      <c r="V29" s="31" t="str">
        <f>IF(AND(E29="string",F29="1"),D29,"")</f>
        <v/>
      </c>
    </row>
    <row r="30" spans="1:22" ht="15" customHeight="1" x14ac:dyDescent="0.25">
      <c r="A30" t="s">
        <v>328</v>
      </c>
      <c r="B30" s="31" t="str">
        <f t="shared" ref="B30:B31" si="63">SUBSTITUTE(PROPER(A30),"_","")</f>
        <v>Remark</v>
      </c>
      <c r="C30" s="31" t="str">
        <f t="shared" ref="C30:C31" si="64">SUBSTITUTE(PROPER(A30),"_"," ")</f>
        <v>Remark</v>
      </c>
      <c r="D30" s="31" t="str">
        <f t="shared" ref="D30:D31" si="65">LOWER(LEFT(B30,1))&amp;RIGHT(B30,LEN(B30) - 1)</f>
        <v>remark</v>
      </c>
      <c r="E30" s="31" t="str">
        <f>A.Backend!H24</f>
        <v>string</v>
      </c>
      <c r="F30" s="31" t="str">
        <f>A.Backend!G24</f>
        <v>500</v>
      </c>
      <c r="G30" s="31" t="str">
        <f t="shared" ref="G30:G31" si="66">IF(E30="string"," : string = '' ; ",IF(OR(E30="DateTime",E30="TimeSpan")," : any ;",IF(E30="int"," : number = 0 ;","")))</f>
        <v xml:space="preserve"> : string = '' ; </v>
      </c>
      <c r="H30" s="38" t="str">
        <f t="shared" ref="H30:H31" si="67">IF(E30="DateTime",
REPT(CHAR(9),3)&amp;"{headerName: this.l('"&amp;C30&amp;"'),headerTooltip: this.l('"&amp;C30&amp;"'),field: '"&amp;D30&amp;"',valueGetter: (params) =&gt; this.pipe.transform(params.data?."&amp;D30&amp;", 'dd/MM/yyyy'),flex: 1},",
IF(AND(E30="string",F30="1"),
REPT(CHAR(9),3)&amp;"{headerName: this.l('"&amp;C30&amp;"'),headerTooltip: this.l('"&amp;C30&amp;"'),field:  '"&amp;D30&amp;"', cellClass: ['text-center'], width: 120, cellRenderer: 'agCellButtonComponent',
buttonDefTwo: { text: params =&gt; (params.data?.'"&amp;D30&amp;"' == 'Y') ? 'Active' : 'Inactive',iconName: 'fa fa-circle',className: params =&gt; (params.data?.'"&amp;D30&amp;"' == 'Y') ? 'btnActive' : 'btnInActive',},}",
REPT(CHAR(9),3)&amp;"{headerName: this.l('"&amp;C30&amp;"'),headerTooltip: this.l('"&amp;C30&amp;"'),field: '"&amp;D30&amp;"',flex: 1},"))</f>
        <v xml:space="preserve">			{headerName: this.l('Remark'),headerTooltip: this.l('Remark'),field: 'remark',flex: 1},</v>
      </c>
      <c r="I30" s="38" t="str">
        <f t="shared" ref="I30:I31" si="68">IF(E30="DateTime",
REPT(CHAR(9),8)&amp;"&lt;div class='input-search'&gt;
"&amp;REPT(CHAR(9),9)&amp;"&lt;input type='text' [placeholder]=""l('"&amp;C30&amp;"')"" [(ngModel)]='"&amp;D30&amp;"' 
"&amp;REPT(CHAR(9),9)&amp;"name='"&amp;D30&amp;"'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IF(E30="string",
REPT(CHAR(9),8)&amp;"&lt;div class='input-search'&gt;
"&amp;REPT(CHAR(9),9)&amp;"&lt;input [(ngModel)]='"&amp;D30&amp;"' name='"&amp;D30&amp;"'
"&amp;REPT(CHAR(9),9)&amp;"class='form-control' [placeholder]=""l('"&amp;C30&amp;"')""
"&amp;REPT(CHAR(9),9)&amp;"type='text' (keyup.enter)='searchDatas()'&gt;
"&amp;REPT(CHAR(9),8)&amp;"&lt;/div&gt;",""))</f>
        <v xml:space="preserve">								&lt;div class='input-search'&gt;
									&lt;input [(ngModel)]='remark' name='remark'
									class='form-control' [placeholder]="l('Remark')"
									type='text' (keyup.enter)='searchDatas()'&gt;
								&lt;/div&gt;</v>
      </c>
      <c r="J30" s="31"/>
      <c r="K30" s="38" t="str">
        <f t="shared" ref="K30:K31" si="69">IF(OR(E30="DateTime",E30="TimeSpan"),
REPT(CHAR(9),5)&amp;"&lt;div class='col-md-12 form-group row'&gt;
"&amp;REPT(CHAR(9),6)&amp;"&lt;label class='col-md-2 form-control title'&gt;"&amp;C30&amp;"&lt;/label&gt;
"&amp;REPT(CHAR(9),6)&amp;"&lt;input type='text' class='col-md-10 form-control input-text' name='"&amp;D30&amp;"' 
"&amp;REPT(CHAR(9),6)&amp;"#datepicker='bsDatepicker' [(ngModel)]='rowdata."&amp;D30&amp;"'  bsDatepicker &gt;
"&amp;REPT(CHAR(9),5)&amp;"&lt;/div&gt;",
IF(AND(E30="string",F30="1"),
REPT(CHAR(9),5)&amp;"&lt;div class='col-md-12 form-group row'&gt;
"&amp;REPT(CHAR(9),6)&amp;"&lt;label class='col-md-2 form-control title'&gt;"&amp;C30&amp;"&lt;/label&gt;
"&amp;REPT(CHAR(9),6)&amp;"&lt;new-checkbox [(ngModel)]='_"&amp;D30&amp;"' name='"&amp;D30&amp;"' className='col-md-10' &gt; &lt;/new-checkbox&gt;
"&amp;REPT(CHAR(9),5)&amp;"&lt;/div&gt;",
IF(E30="string",
REPT(CHAR(9),5)&amp;"&lt;div class='col-md-12 form-group row'&gt;
"&amp;REPT(CHAR(9),6)&amp;"&lt;label class='col-md-2 form-control title'&gt;"&amp;C30&amp;"&lt;/label&gt;
"&amp;REPT(CHAR(9),6)&amp;"&lt;input type='text' class='col-md-10 form-control input-text' name='"&amp;B30&amp;"' [(ngModel)]='rowdata."&amp;D30&amp;"'&gt;
"&amp;REPT(CHAR(9),5)&amp;"&lt;/div&gt;",
IF(E30="int",
REPT(CHAR(9),5)&amp;"&lt;div class='col-md-12 form-group row'&gt;
"&amp;REPT(CHAR(9),6)&amp;"&lt;label class='col-md-2 form-control title'&gt;"&amp;C30&amp;"&lt;/label&gt;
"&amp;REPT(CHAR(9),6)&amp;"&lt;input type='number' class='col-md-10 form-control input-text' name='"&amp;B30&amp;"' [(ngModel)]='rowdata."&amp;D30&amp;"'&gt;
"&amp;REPT(CHAR(9),5)&amp;"&lt;/div&gt;",""))))</f>
        <v xml:space="preserve">					&lt;div class='col-md-12 form-group row'&gt;
						&lt;label class='col-md-2 form-control title'&gt;Remark&lt;/label&gt;
						&lt;input type='text' class='col-md-10 form-control input-text' name='Remark' [(ngModel)]='rowdata.remark'&gt;
					&lt;/div&gt;</v>
      </c>
      <c r="L30" s="60" t="str">
        <f t="shared" ref="L30:L31" si="70">IF(E30="DateTime",
REPT(CHAR(9),2)&amp;"const dateValue =  this.rowdata."&amp;D30&amp;" ? new Date(this.rowdata."&amp;D30&amp;"?.toString()) : new Date();
"&amp;REPT(CHAR(9),2)&amp;"this.datepicker?.bsValueChange.emit(dateValue);","")</f>
        <v/>
      </c>
      <c r="M30" s="31"/>
      <c r="N30" s="31"/>
      <c r="O30" s="31"/>
      <c r="P30" s="31"/>
      <c r="Q30" s="31"/>
      <c r="R30" s="31"/>
      <c r="S30" s="31" t="str">
        <f t="shared" ref="S30" si="71">REPT(CHAR(9),1)&amp;D30&amp;G30</f>
        <v xml:space="preserve">	remark : string = '' ; </v>
      </c>
      <c r="T30" s="31" t="str">
        <f t="shared" ref="T30" si="72">REPT(CHAR(9),3)&amp;"this."&amp;D30&amp;","</f>
        <v xml:space="preserve">			this.remark,</v>
      </c>
      <c r="U30" s="31" t="str">
        <f t="shared" ref="U30" si="73">IF(E30="int",REPT(CHAR(9),2)&amp;"this."&amp;D30&amp;" = 0,",REPT(CHAR(9),2)&amp;"this."&amp;D30&amp;" = '',")</f>
        <v xml:space="preserve">		this.remark = '',</v>
      </c>
      <c r="V30" s="31" t="str">
        <f t="shared" ref="V30:V31" si="74">IF(AND(E30="string",F30="1"),D30,"")</f>
        <v/>
      </c>
    </row>
    <row r="31" spans="1:22" ht="18" customHeight="1" x14ac:dyDescent="0.25">
      <c r="A31" t="s">
        <v>324</v>
      </c>
      <c r="B31" s="31" t="str">
        <f t="shared" si="63"/>
        <v>IsActive</v>
      </c>
      <c r="C31" s="31" t="str">
        <f t="shared" si="64"/>
        <v>Is Active</v>
      </c>
      <c r="D31" s="31" t="str">
        <f t="shared" si="65"/>
        <v>isActive</v>
      </c>
      <c r="E31" s="31" t="str">
        <f>A.Backend!H25</f>
        <v>string</v>
      </c>
      <c r="F31" s="31" t="str">
        <f>A.Backend!G25</f>
        <v>1</v>
      </c>
      <c r="G31" s="31" t="str">
        <f t="shared" si="66"/>
        <v xml:space="preserve"> : string = '' ; </v>
      </c>
      <c r="H31" s="38" t="str">
        <f t="shared" si="67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31" s="38" t="str">
        <f t="shared" si="68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31" s="31"/>
      <c r="K31" s="38" t="str">
        <f t="shared" si="69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31" s="60" t="str">
        <f t="shared" si="70"/>
        <v/>
      </c>
      <c r="M31" s="31"/>
      <c r="N31" s="31"/>
      <c r="O31" s="31"/>
      <c r="P31" s="31"/>
      <c r="Q31" s="31"/>
      <c r="R31" s="31"/>
      <c r="S31" s="31" t="str">
        <f t="shared" ref="S31" si="75">REPT(CHAR(9),1)&amp;D31&amp;G31</f>
        <v xml:space="preserve">	isActive : string = '' ; </v>
      </c>
      <c r="T31" s="31" t="str">
        <f t="shared" ref="T31" si="76">REPT(CHAR(9),3)&amp;"this."&amp;D31&amp;","</f>
        <v xml:space="preserve">			this.isActive,</v>
      </c>
      <c r="U31" s="31" t="str">
        <f t="shared" ref="U31" si="77">IF(E31="int",REPT(CHAR(9),2)&amp;"this."&amp;D31&amp;" = 0,",REPT(CHAR(9),2)&amp;"this."&amp;D31&amp;" = '',")</f>
        <v xml:space="preserve">		this.isActive = '',</v>
      </c>
      <c r="V31" s="31" t="str">
        <f t="shared" si="74"/>
        <v>isActive</v>
      </c>
    </row>
    <row r="34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ColWidth="8.85546875"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2022-12-22T09:39:12Z</dcterms:modified>
</cp:coreProperties>
</file>
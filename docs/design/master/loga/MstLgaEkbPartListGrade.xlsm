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V21" i="5"/>
  <c r="C21" i="5"/>
  <c r="B21" i="5"/>
  <c r="D21" i="5" s="1"/>
  <c r="T21" i="5" s="1"/>
  <c r="L15" i="1"/>
  <c r="G15" i="1"/>
  <c r="E15" i="1"/>
  <c r="H15" i="1" s="1"/>
  <c r="D15" i="1"/>
  <c r="V15" i="1" s="1"/>
  <c r="H21" i="5" l="1"/>
  <c r="I21" i="5"/>
  <c r="K21" i="5"/>
  <c r="U21" i="5"/>
  <c r="G21" i="5"/>
  <c r="S21" i="5" s="1"/>
  <c r="L21" i="5"/>
  <c r="N15" i="1"/>
  <c r="I15" i="1"/>
  <c r="W15" i="1"/>
  <c r="O15" i="1"/>
  <c r="J15" i="1"/>
  <c r="M15" i="1"/>
  <c r="P15" i="1"/>
  <c r="T15" i="1"/>
  <c r="L26" i="1"/>
  <c r="G26" i="1"/>
  <c r="E26" i="1"/>
  <c r="H26" i="1" s="1"/>
  <c r="D26" i="1"/>
  <c r="V26" i="1" s="1"/>
  <c r="L25" i="1"/>
  <c r="G25" i="1"/>
  <c r="E25" i="1"/>
  <c r="H25" i="1" s="1"/>
  <c r="M25" i="1" s="1"/>
  <c r="D25" i="1"/>
  <c r="T25" i="1" s="1"/>
  <c r="L24" i="1"/>
  <c r="G24" i="1"/>
  <c r="E24" i="1"/>
  <c r="H24" i="1" s="1"/>
  <c r="D24" i="1"/>
  <c r="V24" i="1" s="1"/>
  <c r="L23" i="1"/>
  <c r="G23" i="1"/>
  <c r="E23" i="1"/>
  <c r="H23" i="1" s="1"/>
  <c r="D23" i="1"/>
  <c r="T23" i="1" s="1"/>
  <c r="C27" i="5"/>
  <c r="B27" i="5"/>
  <c r="D27" i="5" s="1"/>
  <c r="L21" i="1"/>
  <c r="G21" i="1"/>
  <c r="E21" i="1"/>
  <c r="H21" i="1" s="1"/>
  <c r="D21" i="1"/>
  <c r="V21" i="1" s="1"/>
  <c r="C31" i="5"/>
  <c r="B31" i="5"/>
  <c r="D31" i="5" s="1"/>
  <c r="T31" i="5" s="1"/>
  <c r="C30" i="5"/>
  <c r="B30" i="5"/>
  <c r="D30" i="5" s="1"/>
  <c r="C29" i="5"/>
  <c r="B29" i="5"/>
  <c r="D29" i="5" s="1"/>
  <c r="C28" i="5"/>
  <c r="B28" i="5"/>
  <c r="D28" i="5" s="1"/>
  <c r="L18" i="1"/>
  <c r="G18" i="1"/>
  <c r="E18" i="1"/>
  <c r="H18" i="1" s="1"/>
  <c r="D18" i="1"/>
  <c r="V18" i="1" s="1"/>
  <c r="G17" i="1"/>
  <c r="E17" i="1"/>
  <c r="H17" i="1" s="1"/>
  <c r="D17" i="1"/>
  <c r="T17" i="1" s="1"/>
  <c r="L16" i="1"/>
  <c r="G16" i="1"/>
  <c r="E16" i="1"/>
  <c r="H16" i="1" s="1"/>
  <c r="D16" i="1"/>
  <c r="V16" i="1" s="1"/>
  <c r="G14" i="1"/>
  <c r="E14" i="1"/>
  <c r="H14" i="1" s="1"/>
  <c r="D14" i="1"/>
  <c r="T14" i="1" s="1"/>
  <c r="G12" i="1"/>
  <c r="E12" i="1"/>
  <c r="H12" i="1" s="1"/>
  <c r="D12" i="1"/>
  <c r="V12" i="1" s="1"/>
  <c r="L11" i="1"/>
  <c r="G11" i="1"/>
  <c r="E11" i="1"/>
  <c r="H11" i="1" s="1"/>
  <c r="D11" i="1"/>
  <c r="T11" i="1" s="1"/>
  <c r="G10" i="1"/>
  <c r="E10" i="1"/>
  <c r="H10" i="1" s="1"/>
  <c r="D10" i="1"/>
  <c r="T10" i="1" s="1"/>
  <c r="W21" i="1" l="1"/>
  <c r="V27" i="5"/>
  <c r="M23" i="1"/>
  <c r="I23" i="1"/>
  <c r="P24" i="1"/>
  <c r="H27" i="5"/>
  <c r="P26" i="1"/>
  <c r="W24" i="1"/>
  <c r="O24" i="1"/>
  <c r="J24" i="1"/>
  <c r="N24" i="1"/>
  <c r="I24" i="1"/>
  <c r="M24" i="1"/>
  <c r="W26" i="1"/>
  <c r="O26" i="1"/>
  <c r="J26" i="1"/>
  <c r="N26" i="1"/>
  <c r="I26" i="1"/>
  <c r="M26" i="1"/>
  <c r="N23" i="1"/>
  <c r="N25" i="1"/>
  <c r="J23" i="1"/>
  <c r="O23" i="1"/>
  <c r="W23" i="1"/>
  <c r="T24" i="1"/>
  <c r="J25" i="1"/>
  <c r="O25" i="1"/>
  <c r="W25" i="1"/>
  <c r="T26" i="1"/>
  <c r="I25" i="1"/>
  <c r="P23" i="1"/>
  <c r="P25" i="1"/>
  <c r="V23" i="1"/>
  <c r="V25" i="1"/>
  <c r="T27" i="5"/>
  <c r="K27" i="5"/>
  <c r="I27" i="5"/>
  <c r="G27" i="5"/>
  <c r="S27" i="5" s="1"/>
  <c r="L27" i="5"/>
  <c r="P21" i="1"/>
  <c r="T21" i="1"/>
  <c r="M21" i="1"/>
  <c r="I21" i="1"/>
  <c r="N21" i="1"/>
  <c r="J21" i="1"/>
  <c r="O21" i="1"/>
  <c r="T28" i="5"/>
  <c r="T30" i="5"/>
  <c r="T29" i="5"/>
  <c r="M17" i="1"/>
  <c r="M14" i="1"/>
  <c r="P11" i="1"/>
  <c r="M11" i="1"/>
  <c r="P16" i="1"/>
  <c r="I17" i="1"/>
  <c r="P18" i="1"/>
  <c r="W16" i="1"/>
  <c r="O16" i="1"/>
  <c r="J16" i="1"/>
  <c r="N16" i="1"/>
  <c r="I16" i="1"/>
  <c r="M16" i="1"/>
  <c r="W18" i="1"/>
  <c r="O18" i="1"/>
  <c r="J18" i="1"/>
  <c r="N18" i="1"/>
  <c r="I18" i="1"/>
  <c r="M18" i="1"/>
  <c r="N14" i="1"/>
  <c r="J14" i="1"/>
  <c r="O14" i="1"/>
  <c r="W14" i="1"/>
  <c r="T16" i="1"/>
  <c r="J17" i="1"/>
  <c r="O17" i="1"/>
  <c r="W17" i="1"/>
  <c r="T18" i="1"/>
  <c r="I14" i="1"/>
  <c r="V14" i="1"/>
  <c r="N17" i="1"/>
  <c r="V17" i="1"/>
  <c r="P14" i="1"/>
  <c r="P17" i="1"/>
  <c r="M10" i="1"/>
  <c r="W10" i="1"/>
  <c r="O10" i="1"/>
  <c r="J10" i="1"/>
  <c r="N10" i="1"/>
  <c r="I10" i="1"/>
  <c r="W12" i="1"/>
  <c r="O12" i="1"/>
  <c r="J12" i="1"/>
  <c r="N12" i="1"/>
  <c r="I12" i="1"/>
  <c r="M12" i="1"/>
  <c r="V10" i="1"/>
  <c r="P10" i="1"/>
  <c r="I11" i="1"/>
  <c r="N11" i="1"/>
  <c r="V11" i="1"/>
  <c r="P12" i="1"/>
  <c r="J11" i="1"/>
  <c r="O11" i="1"/>
  <c r="W11" i="1"/>
  <c r="T12" i="1"/>
  <c r="C20" i="5"/>
  <c r="B20" i="5"/>
  <c r="D20" i="5" s="1"/>
  <c r="T20" i="5" s="1"/>
  <c r="L20" i="1"/>
  <c r="G20" i="1"/>
  <c r="E20" i="1"/>
  <c r="H20" i="1" s="1"/>
  <c r="D20" i="1"/>
  <c r="V20" i="1" s="1"/>
  <c r="U27" i="5" l="1"/>
  <c r="V20" i="5"/>
  <c r="H20" i="5"/>
  <c r="I20" i="5"/>
  <c r="K20" i="5"/>
  <c r="U20" i="5"/>
  <c r="G20" i="5"/>
  <c r="S20" i="5" s="1"/>
  <c r="L20" i="5"/>
  <c r="W20" i="1"/>
  <c r="N20" i="1"/>
  <c r="I20" i="1"/>
  <c r="M20" i="1"/>
  <c r="O20" i="1"/>
  <c r="J20" i="1"/>
  <c r="P20" i="1"/>
  <c r="T20" i="1"/>
  <c r="L27" i="1"/>
  <c r="G27" i="1"/>
  <c r="E27" i="1"/>
  <c r="H27" i="1" s="1"/>
  <c r="D27" i="1"/>
  <c r="T27" i="1" s="1"/>
  <c r="W27" i="1" l="1"/>
  <c r="P27" i="1"/>
  <c r="I27" i="1"/>
  <c r="N27" i="1"/>
  <c r="V27" i="1"/>
  <c r="M27" i="1"/>
  <c r="J27" i="1"/>
  <c r="O27" i="1"/>
  <c r="C23" i="5"/>
  <c r="B23" i="5"/>
  <c r="D23" i="5" s="1"/>
  <c r="T23" i="5" s="1"/>
  <c r="L22" i="1"/>
  <c r="G22" i="1"/>
  <c r="E22" i="1"/>
  <c r="H22" i="1" s="1"/>
  <c r="D22" i="1"/>
  <c r="V22" i="1" s="1"/>
  <c r="H28" i="5" l="1"/>
  <c r="I28" i="5"/>
  <c r="U28" i="5"/>
  <c r="G28" i="5"/>
  <c r="S28" i="5" s="1"/>
  <c r="K28" i="5"/>
  <c r="L28" i="5"/>
  <c r="V28" i="5"/>
  <c r="V23" i="5"/>
  <c r="L23" i="5"/>
  <c r="G23" i="5"/>
  <c r="S23" i="5" s="1"/>
  <c r="U23" i="5"/>
  <c r="H23" i="5"/>
  <c r="I23" i="5"/>
  <c r="K23" i="5"/>
  <c r="J22" i="1"/>
  <c r="N22" i="1"/>
  <c r="I22" i="1"/>
  <c r="M22" i="1"/>
  <c r="W22" i="1"/>
  <c r="O22" i="1"/>
  <c r="P22" i="1"/>
  <c r="T22" i="1"/>
  <c r="C22" i="5"/>
  <c r="B22" i="5"/>
  <c r="D22" i="5" s="1"/>
  <c r="T22" i="5" s="1"/>
  <c r="U22" i="5" l="1"/>
  <c r="C33" i="5"/>
  <c r="B33" i="5"/>
  <c r="D33" i="5" s="1"/>
  <c r="C34" i="5"/>
  <c r="B34" i="5"/>
  <c r="D34" i="5" s="1"/>
  <c r="C32" i="5"/>
  <c r="B32" i="5"/>
  <c r="D32" i="5" s="1"/>
  <c r="T32" i="5" s="1"/>
  <c r="C26" i="5"/>
  <c r="B26" i="5"/>
  <c r="D26" i="5" s="1"/>
  <c r="C25" i="5"/>
  <c r="B25" i="5"/>
  <c r="D25" i="5" s="1"/>
  <c r="G13" i="1"/>
  <c r="E13" i="1"/>
  <c r="H13" i="1" s="1"/>
  <c r="D13" i="1"/>
  <c r="V13" i="1" s="1"/>
  <c r="G9" i="1"/>
  <c r="F15" i="5" s="1"/>
  <c r="E9" i="1"/>
  <c r="H9" i="1" s="1"/>
  <c r="D9" i="1"/>
  <c r="V9" i="1" s="1"/>
  <c r="H31" i="5" l="1"/>
  <c r="U31" i="5"/>
  <c r="V31" i="5"/>
  <c r="I31" i="5"/>
  <c r="K31" i="5"/>
  <c r="G31" i="5"/>
  <c r="S31" i="5" s="1"/>
  <c r="L31" i="5"/>
  <c r="K30" i="5"/>
  <c r="I30" i="5"/>
  <c r="G30" i="5"/>
  <c r="S30" i="5" s="1"/>
  <c r="U30" i="5"/>
  <c r="L30" i="5"/>
  <c r="V30" i="5"/>
  <c r="H30" i="5"/>
  <c r="I22" i="5"/>
  <c r="G22" i="5"/>
  <c r="S22" i="5" s="1"/>
  <c r="L22" i="5"/>
  <c r="T9" i="1"/>
  <c r="H22" i="5"/>
  <c r="P9" i="1"/>
  <c r="V33" i="5"/>
  <c r="W9" i="1"/>
  <c r="E15" i="5"/>
  <c r="W13" i="1"/>
  <c r="K22" i="5"/>
  <c r="V22" i="5"/>
  <c r="T33" i="5"/>
  <c r="H33" i="5"/>
  <c r="G33" i="5"/>
  <c r="S33" i="5" s="1"/>
  <c r="T34" i="5"/>
  <c r="T26" i="5"/>
  <c r="T25" i="5"/>
  <c r="P13" i="1"/>
  <c r="T13" i="1"/>
  <c r="I13" i="1"/>
  <c r="N13" i="1"/>
  <c r="M13" i="1"/>
  <c r="J13" i="1"/>
  <c r="O13" i="1"/>
  <c r="M9" i="1"/>
  <c r="I9" i="1"/>
  <c r="N9" i="1"/>
  <c r="J9" i="1"/>
  <c r="O9" i="1"/>
  <c r="C24" i="5"/>
  <c r="B24" i="5"/>
  <c r="D24" i="5" s="1"/>
  <c r="L29" i="5" l="1"/>
  <c r="G29" i="5"/>
  <c r="S29" i="5" s="1"/>
  <c r="K29" i="5"/>
  <c r="I29" i="5"/>
  <c r="V29" i="5"/>
  <c r="H29" i="5"/>
  <c r="U29" i="5"/>
  <c r="U33" i="5"/>
  <c r="K33" i="5"/>
  <c r="L33" i="5"/>
  <c r="I33" i="5"/>
  <c r="I26" i="5"/>
  <c r="V26" i="5"/>
  <c r="H26" i="5"/>
  <c r="G26" i="5"/>
  <c r="S26" i="5" s="1"/>
  <c r="U26" i="5"/>
  <c r="L26" i="5"/>
  <c r="K26" i="5"/>
  <c r="I24" i="5"/>
  <c r="T24" i="5"/>
  <c r="K24" i="5"/>
  <c r="U24" i="5"/>
  <c r="G24" i="5"/>
  <c r="S24" i="5" s="1"/>
  <c r="L24" i="5"/>
  <c r="V24" i="5"/>
  <c r="H24" i="5"/>
  <c r="Q3" i="1"/>
  <c r="I34" i="5" l="1"/>
  <c r="L34" i="5"/>
  <c r="G34" i="5"/>
  <c r="S34" i="5" s="1"/>
  <c r="V34" i="5"/>
  <c r="U34" i="5"/>
  <c r="H34" i="5"/>
  <c r="K34" i="5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C15" i="5"/>
  <c r="B15" i="5"/>
  <c r="D15" i="5" s="1"/>
  <c r="T15" i="5" s="1"/>
  <c r="G28" i="1"/>
  <c r="E28" i="1"/>
  <c r="H28" i="1" s="1"/>
  <c r="D28" i="1"/>
  <c r="V28" i="1" s="1"/>
  <c r="L19" i="1"/>
  <c r="G19" i="1"/>
  <c r="E19" i="1"/>
  <c r="H19" i="1" s="1"/>
  <c r="D19" i="1"/>
  <c r="V19" i="1" s="1"/>
  <c r="K25" i="5" l="1"/>
  <c r="V25" i="5"/>
  <c r="H25" i="5"/>
  <c r="G25" i="5"/>
  <c r="S25" i="5" s="1"/>
  <c r="I25" i="5"/>
  <c r="U25" i="5"/>
  <c r="L25" i="5"/>
  <c r="O28" i="1"/>
  <c r="G17" i="5"/>
  <c r="L17" i="5"/>
  <c r="O19" i="1"/>
  <c r="G16" i="5"/>
  <c r="V16" i="5"/>
  <c r="G18" i="5"/>
  <c r="S18" i="5" s="1"/>
  <c r="V18" i="5"/>
  <c r="H19" i="5"/>
  <c r="G15" i="5"/>
  <c r="S15" i="5" s="1"/>
  <c r="V15" i="5"/>
  <c r="I19" i="5"/>
  <c r="I17" i="5"/>
  <c r="H17" i="5"/>
  <c r="I18" i="5"/>
  <c r="H18" i="5"/>
  <c r="H16" i="5"/>
  <c r="I16" i="5"/>
  <c r="L18" i="5"/>
  <c r="U18" i="5"/>
  <c r="U15" i="5"/>
  <c r="T19" i="5"/>
  <c r="T18" i="5"/>
  <c r="K18" i="5"/>
  <c r="H15" i="5"/>
  <c r="I15" i="5"/>
  <c r="K15" i="5"/>
  <c r="L16" i="5"/>
  <c r="L15" i="5"/>
  <c r="V17" i="5"/>
  <c r="P19" i="1"/>
  <c r="T19" i="1"/>
  <c r="P28" i="1"/>
  <c r="T28" i="1"/>
  <c r="I19" i="1"/>
  <c r="I28" i="1"/>
  <c r="J19" i="1"/>
  <c r="W19" i="1"/>
  <c r="J28" i="1"/>
  <c r="W28" i="1"/>
  <c r="M19" i="1"/>
  <c r="M28" i="1"/>
  <c r="N19" i="1"/>
  <c r="N28" i="1"/>
  <c r="H32" i="5" l="1"/>
  <c r="V32" i="5"/>
  <c r="L32" i="5"/>
  <c r="G32" i="5"/>
  <c r="S32" i="5" s="1"/>
  <c r="I32" i="5"/>
  <c r="U32" i="5"/>
  <c r="K32" i="5"/>
  <c r="U19" i="5"/>
  <c r="L19" i="5"/>
  <c r="K19" i="5"/>
  <c r="G19" i="5"/>
  <c r="S19" i="5" s="1"/>
  <c r="V19" i="5"/>
  <c r="K17" i="5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3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30" i="1"/>
  <c r="T7" i="1" l="1"/>
  <c r="W30" i="1"/>
  <c r="G6" i="1" l="1"/>
  <c r="K13" i="5"/>
  <c r="L13" i="5"/>
  <c r="I13" i="5"/>
  <c r="U13" i="5"/>
  <c r="H13" i="5"/>
  <c r="S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7" i="1" l="1"/>
  <c r="L9" i="1"/>
  <c r="L13" i="1"/>
  <c r="L14" i="1"/>
  <c r="L10" i="1"/>
  <c r="L12" i="1"/>
  <c r="L28" i="1"/>
  <c r="C7" i="1"/>
  <c r="O30" i="1"/>
  <c r="J30" i="1"/>
  <c r="I30" i="1"/>
  <c r="P30" i="1"/>
  <c r="N30" i="1"/>
  <c r="Q7" i="1" l="1"/>
  <c r="M58" i="3" s="1"/>
  <c r="L7" i="1"/>
  <c r="G58" i="3" s="1"/>
  <c r="K58" i="3"/>
  <c r="J58" i="3"/>
  <c r="M30" i="1"/>
  <c r="K30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<sst xmlns="http://schemas.openxmlformats.org/spreadsheetml/2006/main" count="486" uniqueCount="349">
  <si>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</si>
  <si>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</si>
  <si>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</si>
  <si>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</si>
  <si>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</si>
  <si>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</si>
  <si>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</si>
  <si>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</si>
  <si>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</si>
  <si>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</si>
  <si>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</si>
  <si>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</si>
  <si>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</si>
  <si>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</si>
  <si>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</si>
  <si>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</si>
  <si>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</si>
  <si>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</si>
  <si>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</si>
  <si>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</si>
  <si>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</si>
  <si>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</si>
  <si>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</si>
  <si>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</si>
  <si>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</si>
  <si>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</si>
  <si>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</si>
  <si>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</si>
  <si>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</si>
  <si>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</si>
  <si>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</si>
  <si>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</si>
  <si>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</si>
  <si>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</si>
  <si>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</si>
  <si>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</si>
  <si>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</si>
  <si>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</si>
  <si>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</si>
  <si>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</si>
  <si>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</si>
  <si>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</si>
  <si>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</si>
  <si>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</si>
  <si>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</si>
  <si>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</si>
  <si>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</si>
  <si>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</si>
  <si>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</si>
  <si>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</si>
  <si>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</si>
  <si>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</si>
  <si>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</si>
  <si>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</si>
  <si>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</si>
  <si>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</si>
  <si>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</si>
  <si>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</si>
  <si>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</si>
  <si>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</si>
  <si>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</si>
  <si>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</si>
  <si>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</si>
  <si>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</si>
  <si>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</si>
  <si>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</si>
  <si>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</si>
  <si>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</si>
  <si>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</si>
  <si>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</si>
  <si>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</si>
  <si>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</si>
  <si>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</si>
  <si>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</si>
  <si>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</si>
  <si>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</si>
  <si>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</si>
  <si>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</si>
  <si>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</si>
  <si>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</si>
  <si>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</si>
  <si>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</si>
  <si>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</si>
  <si>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</si>
  <si>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</si>
  <si>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</si>
  <si>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</si>
  <si>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</si>
  <si>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</si>
  <si>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</si>
  <si>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</si>
  <si>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</si>
  <si>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</si>
  <si>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</si>
  <si>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</si>
  <si>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</si>
  <si>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</si>
  <si>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</si>
  <si>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</si>
  <si>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</si>
  <si>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</si>
  <si>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</si>
  <si>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</si>
  <si>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</si>
  <si>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</si>
  <si>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</si>
  <si>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</si>
  <si>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</si>
  <si>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</si>
  <si>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</si>
  <si>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</si>
  <si>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</si>
  <si>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</si>
  <si>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</si>
  <si>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</si>
  <si>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</si>
  <si>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</si>
  <si>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</si>
  <si>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</si>
  <si>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</si>
  <si>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</si>
  <si>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</si>
  <si>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</si>
  <si>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</si>
  <si>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</si>
  <si>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</si>
  <si>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</si>
  <si>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</si>
  <si>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</si>
  <si>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</si>
  <si>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</si>
  <si>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</si>
  <si>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</si>
  <si>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</si>
  <si>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</si>
  <si>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</si>
  <si>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</si>
  <si>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</si>
  <si>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</si>
  <si>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</si>
  <si>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</si>
  <si>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</si>
  <si>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</si>
  <si>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</si>
  <si>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</si>
  <si>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</si>
  <si>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</si>
  <si>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</si>
  <si>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</si>
  <si>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</si>
  <si>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</si>
  <si>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</si>
  <si>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</si>
  <si>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</si>
  <si>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</si>
  <si>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</si>
  <si>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</si>
  <si>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</si>
  <si>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</si>
  <si>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</si>
  <si>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</si>
  <si>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</si>
  <si>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</si>
  <si>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</si>
  <si>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</si>
  <si>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</si>
  <si>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</si>
  <si>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</si>
  <si>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</si>
  <si>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</si>
  <si>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</si>
  <si>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</si>
  <si>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</si>
  <si>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</si>
  <si>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</si>
  <si>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</si>
  <si>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</si>
  <si>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</si>
  <si>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</si>
  <si>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</si>
  <si>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</si>
  <si>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</si>
  <si>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</si>
  <si>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</si>
  <si>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</si>
  <si>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</si>
  <si>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</si>
  <si>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</si>
  <si>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</si>
  <si>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</si>
  <si>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</si>
  <si>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</si>
  <si>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</si>
  <si>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</si>
  <si>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</si>
  <si>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</si>
  <si>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</si>
  <si>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</si>
  <si>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</si>
  <si>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</si>
  <si>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</si>
  <si>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</si>
  <si>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</si>
  <si>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</si>
  <si>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</si>
  <si>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</si>
  <si>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</si>
  <si>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</si>
  <si>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</si>
  <si>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</si>
  <si>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</si>
  <si>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</si>
  <si>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</si>
  <si>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</si>
  <si>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</si>
  <si>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</si>
  <si>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</si>
  <si>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</si>
  <si>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</si>
  <si>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</si>
  <si>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</si>
  <si>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</si>
  <si>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</si>
  <si>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</si>
  <si>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</si>
  <si>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</si>
  <si>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</si>
  <si>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</si>
  <si>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</si>
  <si>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</si>
  <si>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</si>
  <si>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</si>
  <si>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</si>
  <si>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</si>
  <si>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</si>
  <si>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</si>
  <si>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</si>
  <si>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</si>
  <si>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</si>
  <si>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</si>
  <si>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</si>
  <si>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</si>
  <si>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</si>
  <si>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</si>
  <si>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</si>
  <si>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</si>
  <si>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</si>
  <si>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</si>
  <si>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</si>
  <si>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</si>
  <si>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</si>
  <si>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</si>
  <si>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</si>
  <si>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</si>
  <si>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</si>
  <si>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</si>
  <si>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</si>
  <si>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</si>
  <si>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</si>
  <si>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</si>
  <si>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</si>
  <si>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</si>
  <si>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</si>
  <si>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</si>
  <si>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</si>
  <si>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</si>
  <si>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</si>
  <si>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</si>
  <si>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</si>
  <si>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</si>
  <si>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</si>
  <si>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</si>
  <si>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</si>
  <si>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</si>
  <si>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</si>
  <si>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</si>
  <si>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</si>
  <si>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</si>
  <si>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</si>
  <si>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</si>
  <si>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</si>
  <si>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</si>
  <si>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</si>
  <si>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</si>
  <si>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</si>
  <si>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</si>
  <si>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</si>
  <si>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</si>
  <si>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</si>
  <si>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</si>
  <si>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</si>
  <si>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</si>
  <si>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</si>
  <si>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</si>
  <si>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</si>
  <si>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</si>
  <si>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</si>
  <si>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</si>
  <si>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</si>
  <si>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</si>
  <si>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</si>
  <si>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</si>
  <si>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</si>
  <si>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</si>
  <si>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</si>
  <si>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</si>
  <si>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</si>
  <si>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</si>
  <si>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</si>
  <si>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</si>
  <si>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</si>
  <si>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</si>
  <si>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</si>
  <si>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</si>
  <si>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</si>
  <si>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</si>
  <si>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</si>
  <si>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</si>
  <si>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</si>
  <si>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</si>
  <si>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</si>
  <si>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</si>
  <si>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</si>
  <si>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PROD_LINE</t>
  </si>
  <si>
    <t>IS_ACTIVE</t>
  </si>
  <si>
    <t>varchar(1)</t>
  </si>
  <si>
    <t>PART_NAME</t>
  </si>
  <si>
    <t>PART_NO</t>
  </si>
  <si>
    <t>PART_LIST_ID</t>
  </si>
  <si>
    <t>GRADE</t>
  </si>
  <si>
    <t>MODEL</t>
  </si>
  <si>
    <t>MODULE</t>
  </si>
  <si>
    <t>REMARK</t>
  </si>
  <si>
    <t>nvarchar(500)</t>
  </si>
  <si>
    <t>USAGE_QTY</t>
  </si>
  <si>
    <t>PART_NO_NORMANLIZED</t>
  </si>
  <si>
    <t>varchar(200)</t>
  </si>
  <si>
    <t>BACK_NO</t>
  </si>
  <si>
    <t>PROCESS_ID</t>
  </si>
  <si>
    <t>PROCESS_CODE</t>
  </si>
  <si>
    <t>MstLgaEkbPartListGrade</t>
  </si>
  <si>
    <t>EkbPartListGrade</t>
  </si>
  <si>
    <t>LA Ekanban Part List Grade</t>
  </si>
  <si>
    <t>BOX_QTY</t>
  </si>
  <si>
    <t>PC_ADDRESS</t>
  </si>
  <si>
    <t>PC_SORTING</t>
  </si>
  <si>
    <t>SPS_ADDRESS</t>
  </si>
  <si>
    <t>SPS_SORTING</t>
  </si>
  <si>
    <t>SUPPLIER_NO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</si>
</sst>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stLgaEkbPart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workbookViewId="0">
      <selection activeCell="E18" sqref="E1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[Table("MstLgaEkbPartListGrade")]
	[Index(nameof(PartNo), Name="IX_MstLgaEkbPartListGrade_PartNo")]
	[Index(nameof(PartNoNormanlized), Name="IX_MstLgaEkbPartListGrade_PartNoNormanlized")]
	[Index(nameof(BackNo), Name="IX_MstLgaEkbPartListGrade_BackNo")]
	[Index(nameof(PartListId), Name="IX_MstLgaEkbPartListGrade_PartListId")]
	[Index(nameof(ProdLine), Name="IX_MstLgaEkbPartListGrade_ProdLine")]
	[Index(nameof(ProcessId), Name="IX_MstLgaEkbPartListGrade_ProcessId")]
	[Index(nameof(IsActive), Name="IX_MstLgaEkbPartListGrade_IsActive")]	public class MstLgaEkbPartListGrade: FullAuditedEntity&lt;long&gt;, IEntity&lt;long&gt;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MaxGradeLength = 50;
		public const int MaxModuleLength = 50;
		public const int MaxPcAddressLength = 50;
		public const int MaxSpsAddressLength = 50;
		public const int MaxRemarkLength = 500;
		public const int MaxIsActiveLength = 1;
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[Column(TypeName="bigint")]
		public virtual long PartListId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[StringLength(MaxGradeLength)]
		public virtual string Grade { get; set; }
		public virtual int UsageQty { get; set; }
		public virtual int BoxQty { get; set; }
		[StringLength(MaxModuleLength)]
		public virtual string Module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	}
}
</v>
      </c>
      <c r="D58" s="51" t="str">
        <f>A.Backend!O7</f>
        <v xml:space="preserve">		public const string Pages_Master_LogA_EkbPartListGrade = "Pages.Master.LogA.EkbPartListGrade";
		public const string Pages_Master_LogA_EkbPartListGrade_CreateEdit = "Pages.Master.LogA.EkbPartListGrade.CreateEdit";
		public const string Pages_Master_LogA_EkbPartListGrade_Delete = "Pages.Master.LogA.EkbPartListGrade.Delete";
</v>
      </c>
      <c r="E58" s="51" t="str">
        <f>A.Backend!N7</f>
        <v xml:space="preserve">		var perMstLgaEkbPartListGrade = PARENTS.CreateChildPermission(AppPermissions.Pages_Master_LogA_EkbPartListGrade, L( "MasterLogAEkbPartListGrade"), multiTenancySides: MultiTenancySides.Tenant);
		perMstLgaEkbPartListGrade.CreateChildPermission(AppPermissions.Pages_Master_LogA_EkbPartListGrade_CreateEdit, L( "MasterLogAEkbPartListGradeCreateEdit"), multiTenancySides: MultiTenancySides.Tenant);
		perMstLgaEkbPartListGrade.CreateChildPermission(AppPermissions.Pages_Master_LogA_EkbPartListGrade_Delete, L( "MasterLogAEkbPartListGradeDelete"), multiTenancySides: MultiTenancySides.Tenant);</v>
      </c>
      <c r="F58" s="51" t="str">
        <f>A.Backend!K7</f>
        <v>public virtual DbSet&lt;MstLgaEkbPartListGrade&gt; MstLgaEkbPartListGrades { get; set; }</v>
      </c>
      <c r="G58" s="51" t="str">
        <f ca="1">A.Backend!L7</f>
        <v xml:space="preserve">namespace vovina.Master.LogA
{
	public class MstLgaEkbPartListGradeConsts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MaxGradeLength = 50;
		public const int MaxModuleLength = 50;
		public const int MaxPcAddressLength = 50;
		public const int MaxSpsAddressLength = 50;
		public const int MaxRemarkLength = 500;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MstLgaEkbPartListGradeDto : EntityDto&lt;long?&gt;	
	{
		public virtual string PartNo { get; set; }
		public virtual string PartNoNormanlized { get; set; }
		public virtual string PartName { get; set; }
		public virtual string BackNo { get; set; }
		public virtual long PartListId { get; set; }
		public virtual string ProdLine { get; set; }
		public virtual string SupplierNo { get; set; }
		public virtual string Model { get; set; }
		public virtual long ProcessId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	public class CreateOrEditMstLgaEkbPartListGradeDto : EntityDto&lt;long?&gt;	
	{
		[StringLength(MstLgaEkbPartListGradeConsts.MaxPartNoLength)]
		public virtual string PartNo { get; set; }
		[StringLength(MstLgaEkbPartListGradeConsts.MaxPartNoNormanlizedLength)]
		public virtual string PartNoNormanlized { get; set; }
		[StringLength(MstLgaEkbPartListGradeConsts.MaxPartNameLength)]
		public virtual string PartName { get; set; }
		[StringLength(MstLgaEkbPartListGradeConsts.MaxBackNoLength)]
		public virtual string BackNo { get; set; }
		public virtual long PartListId { get; set; }
		[StringLength(MstLgaEkbPartListGradeConsts.MaxProdLineLength)]
		public virtual string ProdLine { get; set; }
		[StringLength(MstLgaEkbPartListGradeConsts.MaxSupplierNoLength)]
		public virtual string SupplierNo { get; set; }
		[StringLength(MstLgaEkbPartListGradeConsts.MaxModelLength)]
		public virtual string Model { get; set; }
		public virtual long ProcessId { get; set; }
		[StringLength(MstLgaEkbPartListGradeConsts.MaxProcessCodeLength)]
		public virtual string ProcessCode { get; set; }
		[StringLength(MstLgaEkbPartListGradeConsts.MaxGradeLength)]
		public virtual string Grade { get; set; }
		public virtual int UsageQty { get; set; }
		public virtual int BoxQty { get; set; }
		[StringLength(MstLgaEkbPartListGradeConsts.MaxModuleLength)]
		public virtual string Module { get; set; }
		[StringLength(MstLgaEkbPartListGradeConsts.MaxPcAddressLength)]
		public virtual string PcAddress { get; set; }
		public virtual int PcSorting { get; set; }
		[StringLength(MstLgaEkbPartListGradeConsts.MaxSpsAddressLength)]
		public virtual string SpsAddress { get; set; }
		public virtual int SpsSorting { get; set; }
		[StringLength(MstLgaEkbPartListGradeConsts.MaxRemarkLength)]
		public virtual string Remark { get; set; }
		[StringLength(MstLgaEkbPartListGradeConsts.MaxIsActiveLength)]
		public virtual string IsActive { get; set; }
	}
	public class GetMstLgaEkbPartListGradeInput : PagedAndSortedResultRequestDto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MstLgaEkbPartListGradeExportInput{
		public virtual string PartNo { get; set; }
		public virtual string PartNoNormanlized { get; set; }
		public virtual string PartName { get; set; }
		public virtual string BackNo { get; set; }
		public virtual long PartListId { get; set; }
		public virtual string ProdLine { get; set; }
		public virtual string SupplierNo { get; set; }
		public virtual string Model { get; set; }
		public virtual long ProcessId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IMstLgaEkbPartListGradeAppService : IApplicationService
	{
		Task&lt;PagedResultDto&lt;MstLgaEkbPartListGradeDto&gt;&gt; GetAll(GetMstLgaEkbPartListGradeInput input);
		Task CreateOrEdit(CreateOrEditMstLgaEkbPartListGradeDto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IMstLgaEkbPartListGradeExcelExporter : IApplicationService
	{
		FileDto ExportToFile(List&lt;MstLgaEkbPartListGradeDto&gt; mstlgaekbpartlistgrade);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MstLgaEkbPartListGradeExcelExporter : NpoiExcelExporterBase, IMstLgaEkbPartListGradeExcelExporter
    {
        public MstLgaEkbPartListGradeExcelExporter(ITempFileCacheManager tempFileCacheManager) : base(tempFileCacheManager) { }
        public FileDto ExportToFile(List&lt;MstLgaEkbPartListGradeDto&gt; ekbpartlistgrade)
        {
            return CreateExcelPackage(
				"MasterLogAEkbPartListGrade.xlsx",
				excelPackage =&gt;
				 {
					var sheet = excelPackage.CreateSheet("EkbPartListGrade");
					AddHeader(
								sheet,
								("PartNo"),
								("PartNoNormanlized"),
								("PartName"),
								("BackNo"),
								("PartListId"),
								("ProdLine"),
								("SupplierNo"),
								("Model"),
								("ProcessId"),
								("ProcessCode"),
								("Grade"),
								("UsageQty"),
								("BoxQty"),
								("Module"),
								("PcAddress"),
								("PcSorting"),
								("SpsAddress"),
								("SpsSorting"),
								("Remark"),
								("IsActive"),
							   );
					AddObjects(
						 sheet, 1, ekbpartlistgrade,                                       
								_ =&gt; _.PartNo,
								_ =&gt; _.PartNoNormanlized,
								_ =&gt; _.PartName,
								_ =&gt; _.BackNo,
								_ =&gt; _.PartListId,
								_ =&gt; _.ProdLine,
								_ =&gt; _.SupplierNo,
								_ =&gt; _.Model,
								_ =&gt; _.ProcessId,
								_ =&gt; _.ProcessCode,
								_ =&gt; _.Grade,
								_ =&gt; _.UsageQty,
								_ =&gt; _.BoxQty,
								_ =&gt; _.Module,
								_ =&gt; _.PcAddress,
								_ =&gt; _.PcSorting,
								_ =&gt; _.SpsAddress,
								_ =&gt; _.SpsSorting,
								_ =&gt; _.Remark,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[AbpAuthorize(AppPermissions.Pages_Master_LogA_EkbPartListGrade)]
    public class MstLgaEkbPartListGradeAppService : vovinaAppServiceBase, IMstLgaEkbPartListGradeAppService
    {
        private readonly IDapperRepository&lt;MstLgaEkbPartListGrade, long&gt; _dapperRepo;
        private readonly IRepository&lt;MstLgaEkbPartListGrade, long&gt; _repo;
        private readonly IMstLgaEkbPartListGradeExcelExporter _calendarListExcelExporter;
        public MstLgaEkbPartListGradeAppService(IRepository&lt;MstLgaEkbPartListGrade,long&gt; repo, 
                                         IDapperRepository&lt;MstLgaEkbPartListGrade,long&gt; dapperRepo,
                                        IMstLgaEkbPartListGradeExcelExporter calendarListExcelExporter
            )
        {
            _repo = repo;
            _dapperRepo = dapperRepo;
            _calendarListExcelExporter = calendarListExcelExporter;
        }
        [AbpAuthorize(AppPermissions.Pages_Master_LogA_EkbPartListGrade_CreateEdit)]
        public async Task CreateOrEdit(CreateOrEditMstLgaEkbPartListGradeDto input)
        {
            if (input.Id == null) await Create(input);
            else await Update(input);
        }
        //CREATE
        private async Task Create(CreateOrEditMstLgaEkbPartListGradeDto input)
        {          
            var mainObj = ObjectMapper.Map&lt;MstLgaEkbPartListGrade&gt;(input);
            await CurrentUnitOfWork.GetDbContext&lt;vovinaDbContext&gt;().AddAsync(mainObj);
        }
        // EDIT
        private async Task Update(CreateOrEditMstLgaEkbPartListGradeDto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[AbpAuthorize(AppPermissions.Pages_Master_LogA_EkbPartListGrade_Delete)]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Task&lt;PagedResultDto&lt;MstLgaEkbPartListGradeDto&gt;&gt; GetAll(GetMstLgaEkbPartListGradeInput input)
        {
            var filtered = _repo.GetAll()
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.WhereIf(!string.IsNullOrWhiteSpace(input.Grade), e =&gt; e.Grade.Contains(input.Grade))
				.WhereIf(!string.IsNullOrWhiteSpace(input.Module), e =&gt; e.Module.Contains(input.Module))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MstLgaEkbPartListGradeDto
                        {
							Id = o.Id,
							PartNo = o.PartNo,
							PartNoNormanlized = o.PartNoNormanlized,
							PartName = o.PartName,
							BackNo = o.BackNo,
							PartListId = o.PartListId,
							ProdLine = o.ProdLine,
							SupplierNo = o.SupplierNo,
							Model = o.Model,
							ProcessId = o.ProcessId,
							ProcessCode = o.ProcessCode,
							Grade = o.Grade,
							UsageQty = o.UsageQty,
							BoxQty = o.BoxQty,
							Module = o.Module,
							PcAddress = o.PcAddress,
							PcSorting = o.PcSorting,
							SpsAddress = o.SpsAddress,
							SpsSorting = o.SpsSorting,
							Remark = o.Remark,
							IsActive = o.IsActive,
                        };
            var totalCount = await filtered.CountAsync();
			var paged = system.PageBy(input);
            return new PagedResultDto&lt;MstLgaEkbPartListGradeDto&gt;(
                totalCount,
                 await paged.ToListAsync()
            );
        }
        public async Task&lt;FileDto&gt; GetEkbPartListGradeToExcel(MstLgaEkbPartListGradeExportInput input)
        {
            var query = from o in _repo.GetAll()
                        select new MstLgaEkbPartListGradeDto
                        {
							Id = o.Id,
							PartNo = o.PartNo,
							PartNoNormanlized = o.PartNoNormanlized,
							PartName = o.PartName,
							BackNo = o.BackNo,
							PartListId = o.PartListId,
							ProdLine = o.ProdLine,
							SupplierNo = o.SupplierNo,
							Model = o.Model,
							ProcessId = o.ProcessId,
							ProcessCode = o.ProcessCode,
							Grade = o.Grade,
							UsageQty = o.UsageQty,
							BoxQty = o.BoxQty,
							Module = o.Module,
							PcAddress = o.PcAddress,
							PcSorting = o.PcSorting,
							SpsAddress = o.SpsAddress,
							SpsSorting = o.SpsSorting,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_dapperRepo.ExecuteAsync(MstLgaEkbPartListGradeConsts.SP_MST_WPT_CALENDAR_GENERATE);
       // }
    }
}</v>
      </c>
      <c r="N58" s="62" t="str">
        <f>A.Backend!U7</f>
        <v xml:space="preserve">  configuration.CreateMap&lt;MstLgaEkbPartListGradeDto, MstLgaEkbPartListGrade&gt;();
  configuration.CreateMap&lt;MstLgaEkbPartListGrade, MstLgaEkbPartListGradeDto&gt;();
  configuration.CreateMap&lt;CreateOrEditMstLgaEkbPartListGradeDto, MstLgaEkbPartListGrade&gt;();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ekbpartlistgrade</v>
      </c>
      <c r="C63" s="72" t="str">
        <f>"create folder " &amp;B63</f>
        <v>create folder ekbpartlistgrade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ekbpartlistgrade.component.ts</v>
      </c>
      <c r="D64" s="31" t="str">
        <f>B.Frontend!I14</f>
        <v>ekbpartlistgrade.component.html</v>
      </c>
      <c r="E64" s="31" t="str">
        <f>B.Frontend!J14</f>
        <v>ekbpartlistgrade.component.less</v>
      </c>
      <c r="F64" s="31" t="str">
        <f>B.Frontend!K14</f>
        <v>create-or-edit-ekbpartlistgrade-modal.component.html</v>
      </c>
      <c r="G64" s="31" t="str">
        <f>B.Frontend!L14</f>
        <v>create-or-edit-ekbpartlistgrade-modal.component.ts</v>
      </c>
      <c r="H64" s="31" t="str">
        <f>B.Frontend!M14</f>
        <v>create-or-edit-ekbpartlistgrade-modal.component.less</v>
      </c>
      <c r="I64" s="31" t="str">
        <f>B.Frontend!N14</f>
        <v>ekbpartlistgrade.module.ts</v>
      </c>
      <c r="J64" s="31" t="str">
        <f>B.Frontend!O14</f>
        <v>ekbpartlistgrade-routing.module.ts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MstLgaEkbPartListGradeDto, MstLgaEkbPartListGradeServiceProxy } from '@shared/service-proxies/service-proxies';
import { finalize } from 'rxjs/internal/operators/finalize';
import { CreateOrEditEkbPartListGradeModalComponent } from './create-or-edit-ekbpartlistgrade-modal.component';
import { DatePipe } from '@angular/common';
import { FileDownloadService } from '@shared/utils/file-download.service';
import ceil from 'lodash-es/ceil';
import { Paginator } from 'primeng/paginator';
@Component({
    templateUrl: './ekbpartlistgrade.component.html',
    styleUrls: ['./ekbpartlistgrade.component.less'],
})
export class EkbPartListGradeComponent extends AppComponentBase implements OnInit {
    @ViewChild('createOrEditModalEkbPartListGrade', { static: true }) createOrEditModalEkbPartListGrade:| CreateOrEditEkbPartListGradeModalComponent|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MstLgaEkbPartListGradeDto = new MstLgaEkbPartListGradeDto();
    saveSelectedRow: MstLgaEkbPartListGradeDto = new MstLgaEkbPartListGradeDto();
    datas: MstLgaEkbPartListGradeDto = new MstLgaEkbPartListGradeDto();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partNoNormanlized : string = '' ; 
	partName : string = '' ; 
	backNo : string = '' ; 
	partListId
	prodLine : string = '' ; 
	supplierNo : string = '' ; 
	model : string = '' ; 
	processId
	processCode : string = '' ; 
	grade : string = '' ; 
	usageQty : number = 0 ;
	boxQty : number = 0 ;
	module : string = '' ; 
	pcAddress : string = '' ; 
	pcSorting : number = 0 ;
	spsAddress : string = '' ; 
	spsSorting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MstLgaEkbPartListGradeServiceProxy,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this.l('Part List Id'),headerTooltip: this.l('Part List Id'),field: 'partListId',flex: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this.l('Grade'),headerTooltip: this.l('Grade'),field: 'grade',flex: 1},
			{headerName: this.l('Usage Qty'),headerTooltip: this.l('Usage Qty'),field: 'usageQty',flex: 1},
			{headerName: this.l('Box Qty'),headerTooltip: this.l('Box Qty'),field: 'boxQty',flex: 1},
			{headerName: this.l('Module'),headerTooltip: this.l('Module'),field: 'module',flex: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this.partNoNormanlized = '',
		this.partName = '',
		this.backNo = '',
		this.partListId = '',
		this.prodLine = '',
		this.supplierNo = '',
		this.model = '',
		this.processId = '',
		this.processCode = '',
		this.grade = '',
		this.usageQty = 0,
		this.boxQty = 0,
		this.module = '',
		this.pcAddress = '',
		this.pcSorting = 0,
		this.spsAddress = '',
		this.spsSorting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			'',
            this.paginationParams.skipCount,
            this.paginationParams.pageSize
        );
    }
    onChangeRowSelection(params: { api: { getSelectedRows: () =&gt; MstLgaEkbPartListGradeDto[] } }) {
        this.saveSelectedRow = params.api.getSelectedRows()[0] ?? new MstLgaEkbPartListGradeDto();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MstLgaEkbPartListGradeDto):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this._service.getEkbPartListGradeToExcel(
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Part List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(click)="createOrEditModalEkbPartListGrade.show()"&gt;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(click)="createOrEditModalEkbPartListGrade.show(selectedRow)"&gt;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&lt;create-or-edit-ekbpartlistgrade-modal
    #createOrEditModalEkbPartListGrade
    (modalSave)="callBackDataGrid(dataParams)"
    (modalClose)="onChangeRowSelection(dataParams)"
&gt;
&lt;/create-or-edit-ekbpartlistgrade-modal&gt;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#createOrEditModalEkbPartListGrade="bs-modal"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EkbPartListGrade')}}&lt;/h3&gt;
                    &lt;h3 *ngIf="!rowdata.id"&gt;{{('Create New EkbPartListGrade')}}&lt;/h3&gt;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CreateOrEditMstLgaEkbPartListGradeDto, MstLgaEkbPartListGradeServiceProxy } from '@shared/service-proxies/service-proxies';
import { BsDatepickerDirective } from 'ngx-bootstrap/datepicker';
@Component({
    selector: 'create-or-edit-ekbpartlistgrade-modal',
    templateUrl: './create-or-edit-ekbpartlistgrade-modal.component.html',
    styleUrls: ['./create-or-edit-ekbpartlistgrade-modal.component.less']
    })
export class CreateOrEditEkbPartListGradeModalComponent extends AppComponentBase {
    @ViewChild('createOrEditModalEkbPartListGrade',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CreateOrEditMstLgaEkbPartListGradeDto = new CreateOrEditMstLgaEkbPartListGradeDto();
    active: boolean = false;
    saving: boolean = false;
    _isActive: boolean;
    constructor(
        injector: Injector,
        private _mstwptEkbPartListGradeService: MstLgaEkbPartListGradeServiceProxy,
    ) 
    {
        super(injector);
    }
    show(rowdata?: CreateOrEditMstLgaEkbPartListGradeDto): void {
        if (!rowdata) this.rowdata = new CreateOrEditMstLgaEkbPartListGradeDto();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this._mstwptEkbPartListGradeService.createOrEdit(this.rowdata)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EkbPartListGradeRoutingModule } from './ekbpartlistgrade-routing.module';
import { EkbPartListGradeComponent } from './ekbpartlistgrade.component';
import { CreateOrEditEkbPartListGradeModalComponent } from './create-or-edit-ekbpartlistgrade-modal.component';
@NgModule({
    declarations: [
       EkbPartListGradeComponent, 
        CreateOrEditEkbPartListGradeModalComponent
    ],
    imports: [
        AppSharedModule, EkbPartListGradeRoutingModule]
})
export class EkbPartListGradeModule {}</v>
      </c>
      <c r="J65" s="49" t="str">
        <f>B.Frontend!O10</f>
        <v>import {NgModule} from '@angular/core';
import {RouterModule, Routes} from '@angular/router';
import { EkbPartListGradeComponent } from './ekbpartlistgrade.component';
const routes: Routes = [{
    path: '',
    component: EkbPartListGradeComponent,
    pathMatch: 'full'
}];
@NgModule({
    imports: [RouterModule.forChild(routes)],
    exports: [RouterModule],
})
export class EkbPartListGradeRoutingModule {}</v>
      </c>
      <c r="K65" s="49" t="str">
        <f>B.Frontend!P10</f>
        <v xml:space="preserve"> new AppMenuItem("EkbPartListGrade", "Pages.Master.LogA.EkbPartListGrade", "flaticon-book",   "/app/main/master/loga/ekbpartlistgrade"),</v>
      </c>
      <c r="L65" s="50" t="str">
        <f>B.Frontend!Q10</f>
        <v>{
    path: 'master/loga/ekbpartlistgrade',
    loadChildren: () =&gt; import('./master/loga/ekbpartlistgrade/ekbpartlistgrade.module').then(m =&gt; m.EkbPartListGradeModule),
    data: { permission: 'Pages.Master.LogA.EkbPartListGrade' }
},</v>
      </c>
      <c r="M65" s="48" t="str">
        <f>B.Frontend!R10</f>
        <v>ApiServiceProxies.MstLgaEkbPartListGradeServiceProxy,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0"/>
  <sheetViews>
    <sheetView topLeftCell="A6" workbookViewId="0">
      <pane xSplit="1" topLeftCell="B1" activePane="topRight" state="frozen"/>
      <selection pane="topRight" activeCell="A9" sqref="A9:A28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340</v>
      </c>
      <c r="C3" s="10" t="s">
        <v>43</v>
      </c>
      <c r="D3" s="10" t="s">
        <v>44</v>
      </c>
      <c r="E3" s="10" t="s">
        <v>39</v>
      </c>
      <c r="F3" s="11" t="str">
        <f>"J"&amp;COUNTA($A:$A)</f>
        <v>J28</v>
      </c>
      <c r="G3" s="4" t="s">
        <v>57</v>
      </c>
      <c r="H3" s="10" t="str">
        <f>"I"&amp;COUNTA($A:$A)</f>
        <v>I28</v>
      </c>
      <c r="I3" s="10" t="str">
        <f>REPT(CHAR(9),2)&amp;"[Required]"&amp;"
"</f>
        <v xml:space="preserve">		[Required]
</v>
      </c>
      <c r="J3" s="11" t="str">
        <f>"L"&amp;COUNTA($A:$A)</f>
        <v>L28</v>
      </c>
      <c r="K3" s="5" t="s">
        <v>56</v>
      </c>
      <c r="L3" s="11" t="str">
        <f>"M"&amp;COUNTA($A:$A)</f>
        <v>M28</v>
      </c>
      <c r="M3" s="11" t="str">
        <f>"N"&amp;COUNTA($A:$A)</f>
        <v>N28</v>
      </c>
      <c r="N3" s="11" t="str">
        <f>"O"&amp;COUNTA($A:$A)</f>
        <v>O28</v>
      </c>
      <c r="O3" s="11" t="str">
        <f>"P"&amp;COUNTA($A:$A)</f>
        <v>P28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MstLgaEkbPartListGradeExportInput{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T28</v>
      </c>
      <c r="V3" s="11" t="str">
        <f>"V"&amp;COUNTA($A:$A)</f>
        <v>V28</v>
      </c>
      <c r="W3" s="10" t="str">
        <f>"W"&amp;COUNTA($A:$A)</f>
        <v>W28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MstLgaEkbPartListGrade: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MstLgaEkbPartListGradeConsts	
	{
</v>
      </c>
      <c r="F6" s="11" t="str">
        <f>REPT(CHAR(9),1)&amp;"public class "&amp;B3&amp;"Dto"&amp;K3&amp;REPT(CHAR(9),1)&amp;"
"&amp;REPT(CHAR(9),1)&amp;C3</f>
        <v xml:space="preserve">	public class MstLgaEkbPartListGradeDto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CreateOrEditMstLgaEkbPartListGradeDto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GetMstLgaEkbPartListGradeInput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MstLgaEkbPartListGrade</v>
      </c>
      <c r="C7" s="11" t="str">
        <f>REPT(CHAR(9),1)&amp;"[Table("""&amp;B7&amp;""")]"&amp;"
"</f>
        <v xml:space="preserve">	[Table("MstLgaEkbPartListGrade")]
</v>
      </c>
      <c r="D7" s="11"/>
      <c r="E7" s="11"/>
      <c r="F7" s="11"/>
      <c r="G7" s="11"/>
      <c r="H7" s="11"/>
      <c r="I7" s="11"/>
      <c r="J7" s="6" t="str">
        <f ca="1">SUBSTITUTE(SUBSTITUTE((B1&amp;C6&amp;C7&amp;K30&amp;D6&amp;I30&amp;E3&amp;J30&amp;""&amp;REPT(CHAR(9),1)&amp;D3&amp;D3),"WorkingPattern",$Q$3),"Master",$B$4)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[Table("MstLgaEkbPartListGrade")]
	[Index(nameof(PartNo), Name="IX_MstLgaEkbPartListGrade_PartNo")]
	[Index(nameof(PartNoNormanlized), Name="IX_MstLgaEkbPartListGrade_PartNoNormanlized")]
	[Index(nameof(BackNo), Name="IX_MstLgaEkbPartListGrade_BackNo")]
	[Index(nameof(PartListId), Name="IX_MstLgaEkbPartListGrade_PartListId")]
	[Index(nameof(ProdLine), Name="IX_MstLgaEkbPartListGrade_ProdLine")]
	[Index(nameof(ProcessId), Name="IX_MstLgaEkbPartListGrade_ProcessId")]
	[Index(nameof(IsActive), Name="IX_MstLgaEkbPartListGrade_IsActive")]	public class MstLgaEkbPartListGrade: FullAuditedEntity&lt;long&gt;, IEntity&lt;long&gt;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MaxGradeLength = 50;
		public const int MaxModuleLength = 50;
		public const int MaxPcAddressLength = 50;
		public const int MaxSpsAddressLength = 50;
		public const int MaxRemarkLength = 500;
		public const int MaxIsActiveLength = 1;
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[Column(TypeName="bigint")]
		public virtual long PartListId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[StringLength(MaxGradeLength)]
		public virtual string Grade { get; set; }
		public virtual int UsageQty { get; set; }
		public virtual int BoxQty { get; set; }
		[StringLength(MaxModuleLength)]
		public virtual string Module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DbSet&lt;MstLgaEkbPartListGrade&gt; MstLgaEkbPartListGrades { get; set; }</v>
      </c>
      <c r="L7" t="str">
        <f ca="1">SUBSTITUTE(SUBSTITUTE((C6&amp;E6&amp;I30&amp;"
"&amp;REPT(CHAR(9),2)&amp;"// Define Store Name: Format SP_ + &lt;Store Name&gt; = &lt;Store Name&gt;
"&amp;E3&amp;REPT(CHAR(9),1)&amp;D3&amp;D3),"WorkingPattern",$Q$3),"Master",$B$4)</f>
        <v xml:space="preserve">namespace vovina.Master.LogA
{
	public class MstLgaEkbPartListGradeConsts	
	{
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MaxGradeLength = 50;
		public const int MaxModuleLength = 50;
		public const int MaxPcAddressLength = 50;
		public const int MaxSpsAddressLength = 50;
		public const int MaxRemarkLength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"&amp;B6&amp;".Dto"&amp;E3&amp;C3&amp;F6&amp;M30&amp;E3&amp;REPT(CHAR(9),1)&amp;D3&amp;G6&amp;N30&amp;REPT(CHAR(9),1)&amp;D3&amp;H6&amp;O30&amp;"
"&amp;REPT(CHAR(9),1)&amp;D3&amp;D3),"WorkingPattern",$Q$3),"Master",$B$4)</f>
        <v xml:space="preserve">using Abp.Application.Services.Dto;
using System;
using System.ComponentModel.DataAnnotations;
namespace vovina.Master.LogA.Dto
{
	public class MstLgaEkbPartListGradeDto : EntityDto&lt;long?&gt;	
	{
		public virtual string PartNo { get; set; }
		public virtual string PartNoNormanlized { get; set; }
		public virtual string PartName { get; set; }
		public virtual string BackNo { get; set; }
		public virtual long PartListId { get; set; }
		public virtual string ProdLine { get; set; }
		public virtual string SupplierNo { get; set; }
		public virtual string Model { get; set; }
		public virtual long ProcessId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	public class CreateOrEditMstLgaEkbPartListGradeDto : EntityDto&lt;long?&gt;	
	{
		[StringLength(MstLgaEkbPartListGradeConsts.MaxPartNoLength)]
		public virtual string PartNo { get; set; }
		[StringLength(MstLgaEkbPartListGradeConsts.MaxPartNoNormanlizedLength)]
		public virtual string PartNoNormanlized { get; set; }
		[StringLength(MstLgaEkbPartListGradeConsts.MaxPartNameLength)]
		public virtual string PartName { get; set; }
		[StringLength(MstLgaEkbPartListGradeConsts.MaxBackNoLength)]
		public virtual string BackNo { get; set; }
		public virtual long PartListId { get; set; }
		[StringLength(MstLgaEkbPartListGradeConsts.MaxProdLineLength)]
		public virtual string ProdLine { get; set; }
		[StringLength(MstLgaEkbPartListGradeConsts.MaxSupplierNoLength)]
		public virtual string SupplierNo { get; set; }
		[StringLength(MstLgaEkbPartListGradeConsts.MaxModelLength)]
		public virtual string Model { get; set; }
		public virtual long ProcessId { get; set; }
		[StringLength(MstLgaEkbPartListGradeConsts.MaxProcessCodeLength)]
		public virtual string ProcessCode { get; set; }
		[StringLength(MstLgaEkbPartListGradeConsts.MaxGradeLength)]
		public virtual string Grade { get; set; }
		public virtual int UsageQty { get; set; }
		public virtual int BoxQty { get; set; }
		[StringLength(MstLgaEkbPartListGradeConsts.MaxModuleLength)]
		public virtual string Module { get; set; }
		[StringLength(MstLgaEkbPartListGradeConsts.MaxPcAddressLength)]
		public virtual string PcAddress { get; set; }
		public virtual int PcSorting { get; set; }
		[StringLength(MstLgaEkbPartListGradeConsts.MaxSpsAddressLength)]
		public virtual string SpsAddress { get; set; }
		public virtual int SpsSorting { get; set; }
		[StringLength(MstLgaEkbPartListGradeConsts.MaxRemarkLength)]
		public virtual string Remark { get; set; }
		[StringLength(MstLgaEkbPartListGradeConsts.MaxIsActiveLength)]
		public virtual string IsActive { get; set; }
	}
	public class GetMstLgaEkbPartListGradeInput : PagedAndSortedResultRequestDto	
	{
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perMstLgaEkbPartListGrade = PARENTS.CreateChildPermission(AppPermissions.Pages_Master_LogA_EkbPartListGrade, L( "MasterLogAEkbPartListGrade"), multiTenancySides: MultiTenancySides.Tenant);
		perMstLgaEkbPartListGrade.CreateChildPermission(AppPermissions.Pages_Master_LogA_EkbPartListGrade_CreateEdit, L( "MasterLogAEkbPartListGradeCreateEdit"), multiTenancySides: MultiTenancySides.Tenant);
		perMstLgaEkbPartListGrade.CreateChildPermission(AppPermissions.Pages_Master_LogA_EkbPartListGrade_Delete, L( "MasterLogAEkbPartListGradeDelete"),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Pages_Master_LogA_EkbPartListGrade = "Pages.Master.LogA.EkbPartListGrade";
		public const string Pages_Master_LogA_EkbPartListGrade_CreateEdit = "Pages.Master.LogA.EkbPartListGrade.CreateEdit";
		public const string Pages_Master_LogA_EkbPartListGrade_Delete = "Pages.Master.LogA.EkbPartListGrade.Delete";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IMstLgaEkbPartListGradeAppService : IApplicationService
	{
		Task&lt;PagedResultDto&lt;MstLgaEkbPartListGradeDto&gt;&gt; GetAll(GetMstLgaEkbPartListGradeInput input);
		Task CreateOrEdit(CreateOrEditMstLgaEkbPartListGradeDto input);
		Task Delete(EntityDto input);
	}
}
</v>
      </c>
      <c r="Q7" t="str">
        <f ca="1">SUBSTITUTE(SUBSTITUTE(SUBSTITUTE(SUBSTITUTE(SUBSTITUTE(SUBSTITUTE(E1,"MstWptCalendar",$B$3),"&lt;PROPERTIES&gt;",P30),"Calendar",$B$5),"WorkingPattern",$Q$3),"Master",$B$4),"&lt;PARAMS_SEARCH&gt;",$W$30)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[AbpAuthorize(AppPermissions.Pages_Master_LogA_EkbPartListGrade)]
    public class MstLgaEkbPartListGradeAppService : vovinaAppServiceBase, IMstLgaEkbPartListGradeAppService
    {
        private readonly IDapperRepository&lt;MstLgaEkbPartListGrade, long&gt; _dapperRepo;
        private readonly IRepository&lt;MstLgaEkbPartListGrade, long&gt; _repo;
        private readonly IMstLgaEkbPartListGradeExcelExporter _calendarListExcelExporter;
        public MstLgaEkbPartListGradeAppService(IRepository&lt;MstLgaEkbPartListGrade,long&gt; repo, 
                                         IDapperRepository&lt;MstLgaEkbPartListGrade,long&gt; dapperRepo,
                                        IMstLgaEkbPartListGradeExcelExporter calendarListExcelExporter
            )
        {
            _repo = repo;
            _dapperRepo = dapperRepo;
            _calendarListExcelExporter = calendarListExcelExporter;
        }
        [AbpAuthorize(AppPermissions.Pages_Master_LogA_EkbPartListGrade_CreateEdit)]
        public async Task CreateOrEdit(CreateOrEditMstLgaEkbPartListGradeDto input)
        {
            if (input.Id == null) await Create(input);
            else await Update(input);
        }
        //CREATE
        private async Task Create(CreateOrEditMstLgaEkbPartListGradeDto input)
        {          
            var mainObj = ObjectMapper.Map&lt;MstLgaEkbPartListGrade&gt;(input);
            await CurrentUnitOfWork.GetDbContext&lt;vovinaDbContext&gt;().AddAsync(mainObj);
        }
        // EDIT
        private async Task Update(CreateOrEditMstLgaEkbPartListGradeDto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[AbpAuthorize(AppPermissions.Pages_Master_LogA_EkbPartListGrade_Delete)]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Task&lt;PagedResultDto&lt;MstLgaEkbPartListGradeDto&gt;&gt; GetAll(GetMstLgaEkbPartListGradeInput input)
        {
            var filtered = _repo.GetAll()
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.WhereIf(!string.IsNullOrWhiteSpace(input.Grade), e =&gt; e.Grade.Contains(input.Grade))
				.WhereIf(!string.IsNullOrWhiteSpace(input.Module), e =&gt; e.Module.Contains(input.Module))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MstLgaEkbPartListGradeDto
                        {
							Id = o.Id,
							PartNo = o.PartNo,
							PartNoNormanlized = o.PartNoNormanlized,
							PartName = o.PartName,
							BackNo = o.BackNo,
							PartListId = o.PartListId,
							ProdLine = o.ProdLine,
							SupplierNo = o.SupplierNo,
							Model = o.Model,
							ProcessId = o.ProcessId,
							ProcessCode = o.ProcessCode,
							Grade = o.Grade,
							UsageQty = o.UsageQty,
							BoxQty = o.BoxQty,
							Module = o.Module,
							PcAddress = o.PcAddress,
							PcSorting = o.PcSorting,
							SpsAddress = o.SpsAddress,
							SpsSorting = o.SpsSorting,
							Remark = o.Remark,
							IsActive = o.IsActive,
                        };
            var totalCount = await filtered.CountAsync();
			var paged = system.PageBy(input);
            return new PagedResultDto&lt;MstLgaEkbPartListGradeDto&gt;(
                totalCount,
                 await paged.ToListAsync()
            );
        }
        public async Task&lt;FileDto&gt; GetEkbPartListGradeToExcel(MstLgaEkbPartListGradeExportInput input)
        {
            var query = from o in _repo.GetAll()
                        select new MstLgaEkbPartListGradeDto
                        {
							Id = o.Id,
							PartNo = o.PartNo,
							PartNoNormanlized = o.PartNoNormanlized,
							PartName = o.PartName,
							BackNo = o.BackNo,
							PartListId = o.PartListId,
							ProdLine = o.ProdLine,
							SupplierNo = o.SupplierNo,
							Model = o.Model,
							ProcessId = o.ProcessId,
							ProcessCode = o.ProcessCode,
							Grade = o.Grade,
							UsageQty = o.UsageQty,
							BoxQty = o.BoxQty,
							Module = o.Module,
							PcAddress = o.PcAddress,
							PcSorting = o.PcSorting,
							SpsAddress = o.SpsAddress,
							SpsSorting = o.SpsSorting,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_dapperRepo.ExecuteAsync(MstLgaEkbPartListGradeConsts.SP_MST_WPT_CALENDAR_GENERATE);
       // }
    }
}</v>
      </c>
      <c r="R7" t="str">
        <f ca="1">SUBSTITUTE(SUBSTITUTE((C1&amp;"namespace "&amp;B6&amp;".Dto"&amp;E3&amp;C3&amp;R3&amp;M30&amp;E3&amp;REPT(CHAR(9),1)&amp;D3&amp;D3),"WorkingPattern",$Q$3),"Master",$B$4)</f>
        <v xml:space="preserve">using Abp.Application.Services.Dto;
using System;
using System.ComponentModel.DataAnnotations;
namespace vovina.Master.LogA.Dto
{
	public class MstLgaEkbPartListGradeExportInput{
		public virtual string PartNo { get; set; }
		public virtual string PartNoNormanlized { get; set; }
		public virtual string PartName { get; set; }
		public virtual string BackNo { get; set; }
		public virtual long PartListId { get; set; }
		public virtual string ProdLine { get; set; }
		public virtual string SupplierNo { get; set; }
		public virtual string Model { get; set; }
		public virtual long ProcessId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IMstLgaEkbPartListGradeExcelExporter : IApplicationService
	{
		FileDto ExportToFile(List&lt;MstLgaEkbPartListGradeDto&gt; mstlgaekbpartlistgrade);
	}
}
</v>
      </c>
      <c r="T7" s="28" t="str">
        <f ca="1">SUBSTITUTE(SUBSTITUTE(SUBSTITUTE(SUBSTITUTE(SUBSTITUTE(SUBSTITUTE(SUBSTITUTE(T1,"MstWptCalendar",$B$3),"&lt;PROPERTIES1&gt;",V30),"&lt;PROPERTIES&gt;",T30),"Calendar",$B$5),"calendar",LOWER(B5)),"WorkingPattern",$Q$3),"Master",$B$4)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MstLgaEkbPartListGradeExcelExporter : NpoiExcelExporterBase, IMstLgaEkbPartListGradeExcelExporter
    {
        public MstLgaEkbPartListGradeExcelExporter(ITempFileCacheManager tempFileCacheManager) : base(tempFileCacheManager) { }
        public FileDto ExportToFile(List&lt;MstLgaEkbPartListGradeDto&gt; ekbpartlistgrade)
        {
            return CreateExcelPackage(
				"MasterLogAEkbPartListGrade.xlsx",
				excelPackage =&gt;
				 {
					var sheet = excelPackage.CreateSheet("EkbPartListGrade");
					AddHeader(
								sheet,
								("PartNo"),
								("PartNoNormanlized"),
								("PartName"),
								("BackNo"),
								("PartListId"),
								("ProdLine"),
								("SupplierNo"),
								("Model"),
								("ProcessId"),
								("ProcessCode"),
								("Grade"),
								("UsageQty"),
								("BoxQty"),
								("Module"),
								("PcAddress"),
								("PcSorting"),
								("SpsAddress"),
								("SpsSorting"),
								("Remark"),
								("IsActive"),
							   );
					AddObjects(
						 sheet, 1, ekbpartlistgrade,                                       
								_ =&gt; _.PartNo,
								_ =&gt; _.PartNoNormanlized,
								_ =&gt; _.PartName,
								_ =&gt; _.BackNo,
								_ =&gt; _.PartListId,
								_ =&gt; _.ProdLine,
								_ =&gt; _.SupplierNo,
								_ =&gt; _.Model,
								_ =&gt; _.ProcessId,
								_ =&gt; _.ProcessCode,
								_ =&gt; _.Grade,
								_ =&gt; _.UsageQty,
								_ =&gt; _.BoxQty,
								_ =&gt; _.Module,
								_ =&gt; _.PcAddress,
								_ =&gt; _.PcSorting,
								_ =&gt; _.SpsAddress,
								_ =&gt; _.SpsSorting,
								_ =&gt; _.Remark,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configuration.CreateMap&lt;MstLgaEkbPartListGradeDto, MstLgaEkbPartListGrade&gt;();
  configuration.CreateMap&lt;MstLgaEkbPartListGrade, MstLgaEkbPartListGradeDto&gt;();
  configuration.CreateMap&lt;CreateOrEditMstLgaEkbPartListGradeDto, MstLgaEkbPartListGrade&gt;();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327</v>
      </c>
      <c r="B9" t="s">
        <v>321</v>
      </c>
      <c r="C9" t="s">
        <v>1</v>
      </c>
      <c r="D9" t="str">
        <f>SUBSTITUTE(PROPER(A9),"_","")</f>
        <v>PartNo</v>
      </c>
      <c r="E9" t="str">
        <f t="shared" ref="E9:E12" si="0">IFERROR(LEFT(B9, FIND("(",B9)-1),B9)</f>
        <v>varchar</v>
      </c>
      <c r="F9" s="7"/>
      <c r="G9" t="str">
        <f t="shared" ref="G9:G12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2" si="2">IF(H9="string",REPT(CHAR(9),2)&amp;"public const int Max"&amp;D9&amp;"Length = "&amp;G9&amp;";"&amp;$E$3,"" )</f>
        <v xml:space="preserve">		public const int MaxPartNoLength = 50;
</v>
      </c>
      <c r="J9" t="str">
        <f t="shared" ref="J9:J12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[Index(nameof(PartNo), Name="IX_MstLgaEkbPartListGrade_PartNo")]</v>
      </c>
      <c r="M9" t="str">
        <f t="shared" ref="M9:M12" si="4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2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[StringLength(MstLgaEkbPartListGradeConsts.MaxPartNoLength)]
		public virtual string PartNo { get; set; }
</v>
      </c>
      <c r="O9" t="str">
        <f t="shared" ref="O9:O12" si="6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2" si="7">REPT(CHAR(9),7)&amp;D9&amp;" = o." &amp;D9 &amp;","</f>
        <v xml:space="preserve">							PartNo = o.PartNo,</v>
      </c>
      <c r="T9" s="69" t="str">
        <f t="shared" ref="T9:T12" si="8">REPT(CHAR(9),8)&amp;"("""&amp;D9&amp;"""),"</f>
        <v xml:space="preserve">								("PartNo"),</v>
      </c>
      <c r="V9" s="70" t="str">
        <f t="shared" ref="V9:V12" si="9">REPT(CHAR(9),8)&amp;"_ =&gt; _."&amp;D9&amp;","</f>
        <v xml:space="preserve">								_ =&gt; _.PartNo,</v>
      </c>
      <c r="W9" s="69" t="str">
        <f t="shared" ref="W9:W12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2.5" customHeight="1" x14ac:dyDescent="0.25">
      <c r="A10" t="s">
        <v>335</v>
      </c>
      <c r="B10" t="s">
        <v>321</v>
      </c>
      <c r="C10" t="s">
        <v>1</v>
      </c>
      <c r="D10" t="str">
        <f>SUBSTITUTE(PROPER(A10),"_","")</f>
        <v>PartNoNormanlized</v>
      </c>
      <c r="E10" t="str">
        <f t="shared" si="0"/>
        <v>varchar</v>
      </c>
      <c r="F10" s="7"/>
      <c r="G10" t="str">
        <f t="shared" si="1"/>
        <v>50</v>
      </c>
      <c r="H10" t="str">
        <f>+VLOOKUP(E10,'[1]Data Type Mapping'!A:B,2,)</f>
        <v>string</v>
      </c>
      <c r="I10" t="str">
        <f t="shared" si="2"/>
        <v xml:space="preserve">		public const int MaxPartNoNormanlizedLength = 50;
</v>
      </c>
      <c r="J10" t="str">
        <f t="shared" si="3"/>
        <v xml:space="preserve">		[StringLength(MaxPartNoNormanlizedLength)]
		public virtual string PartNoNormanlized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[Index(nameof(PartNoNormanlized), Name="IX_MstLgaEkbPartListGrade_PartNoNormanlized")]</v>
      </c>
      <c r="M10" t="str">
        <f t="shared" si="4"/>
        <v xml:space="preserve">		public virtual string PartNoNormanlized { get; set; }
</v>
      </c>
      <c r="N10" t="str">
        <f t="shared" si="5"/>
        <v xml:space="preserve">		[StringLength(MstLgaEkbPartListGradeConsts.MaxPartNoNormanlizedLength)]
		public virtual string PartNoNormanlized { get; set; }
</v>
      </c>
      <c r="O10" t="str">
        <f t="shared" si="6"/>
        <v xml:space="preserve">		public virtual string PartNoNormanlized { get; set; }
</v>
      </c>
      <c r="P10" t="str">
        <f t="shared" si="7"/>
        <v xml:space="preserve">							PartNoNormanlized = o.PartNoNormanlized,</v>
      </c>
      <c r="T10" s="69" t="str">
        <f t="shared" si="8"/>
        <v xml:space="preserve">								("PartNoNormanlized"),</v>
      </c>
      <c r="V10" s="70" t="str">
        <f t="shared" si="9"/>
        <v xml:space="preserve">								_ =&gt; _.PartNoNormanlized,</v>
      </c>
      <c r="W10" s="69" t="str">
        <f t="shared" si="10"/>
        <v xml:space="preserve">				.WhereIf(!string.IsNullOrWhiteSpace(input.PartNoNormanlized), e =&gt; e.PartNoNormanlized.Contains(input.PartNoNormanlized))</v>
      </c>
    </row>
    <row r="11" spans="1:23" customFormat="1" ht="22.5" customHeight="1" x14ac:dyDescent="0.25">
      <c r="A11" t="s">
        <v>326</v>
      </c>
      <c r="B11" t="s">
        <v>336</v>
      </c>
      <c r="C11" t="s">
        <v>1</v>
      </c>
      <c r="D11" t="str">
        <f>SUBSTITUTE(PROPER(A11),"_","")</f>
        <v>PartName</v>
      </c>
      <c r="E11" t="str">
        <f t="shared" si="0"/>
        <v>varchar</v>
      </c>
      <c r="F11" s="7"/>
      <c r="G11" t="str">
        <f t="shared" si="1"/>
        <v>200</v>
      </c>
      <c r="H11" t="str">
        <f>+VLOOKUP(E11,'[1]Data Type Mapping'!A:B,2,)</f>
        <v>string</v>
      </c>
      <c r="I11" t="str">
        <f t="shared" si="2"/>
        <v xml:space="preserve">		public const int MaxPartNameLength = 200;
</v>
      </c>
      <c r="J11" t="str">
        <f t="shared" si="3"/>
        <v xml:space="preserve">		[StringLength(MaxPartNameLength)]
		public virtual string PartName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si="4"/>
        <v xml:space="preserve">		public virtual string PartName { get; set; }
</v>
      </c>
      <c r="N11" t="str">
        <f t="shared" si="5"/>
        <v xml:space="preserve">		[StringLength(MstLgaEkbPartListGradeConsts.MaxPartNameLength)]
		public virtual string PartName { get; set; }
</v>
      </c>
      <c r="O11" t="str">
        <f t="shared" si="6"/>
        <v xml:space="preserve">		public virtual string PartName { get; set; }
</v>
      </c>
      <c r="P11" t="str">
        <f t="shared" si="7"/>
        <v xml:space="preserve">							PartName = o.PartName,</v>
      </c>
      <c r="T11" s="69" t="str">
        <f t="shared" si="8"/>
        <v xml:space="preserve">								("PartName"),</v>
      </c>
      <c r="V11" s="70" t="str">
        <f t="shared" si="9"/>
        <v xml:space="preserve">								_ =&gt; _.PartName,</v>
      </c>
      <c r="W11" s="69" t="str">
        <f t="shared" si="10"/>
        <v xml:space="preserve">				.WhereIf(!string.IsNullOrWhiteSpace(input.PartName), e =&gt; e.PartName.Contains(input.PartName))</v>
      </c>
    </row>
    <row r="12" spans="1:23" customFormat="1" ht="21" customHeight="1" x14ac:dyDescent="0.25">
      <c r="A12" t="s">
        <v>337</v>
      </c>
      <c r="B12" t="s">
        <v>321</v>
      </c>
      <c r="C12" t="s">
        <v>1</v>
      </c>
      <c r="D12" t="str">
        <f t="shared" ref="D12" si="11">SUBSTITUTE(PROPER(A12),"_","")</f>
        <v>BackNo</v>
      </c>
      <c r="E12" t="str">
        <f t="shared" si="0"/>
        <v>varchar</v>
      </c>
      <c r="F12" s="7"/>
      <c r="G12" t="str">
        <f t="shared" si="1"/>
        <v>50</v>
      </c>
      <c r="H12" t="str">
        <f>+VLOOKUP(E12,'[1]Data Type Mapping'!A:B,2,)</f>
        <v>string</v>
      </c>
      <c r="I12" t="str">
        <f t="shared" si="2"/>
        <v xml:space="preserve">		public const int MaxBackNoLength = 50;
</v>
      </c>
      <c r="J12" t="str">
        <f t="shared" si="3"/>
        <v xml:space="preserve">		[StringLength(MaxBackNoLength)]
		public virtual string BackNo { get; set; }
</v>
      </c>
      <c r="K12" s="7" t="s">
        <v>206</v>
      </c>
      <c r="L12" t="str">
        <f t="shared" ref="L12" si="12">IF(K12="","",REPT(CHAR(9),1)&amp;"[Index(nameof("&amp;IF(D12="","",""&amp;D12)&amp;")"&amp;", Name="&amp;"""IX_"&amp;$B$7&amp;"_"&amp;D12&amp;""")]")</f>
        <v xml:space="preserve">	[Index(nameof(BackNo), Name="IX_MstLgaEkbPartListGrade_BackNo")]</v>
      </c>
      <c r="M12" t="str">
        <f t="shared" si="4"/>
        <v xml:space="preserve">		public virtual string BackNo { get; set; }
</v>
      </c>
      <c r="N12" t="str">
        <f t="shared" si="5"/>
        <v xml:space="preserve">		[StringLength(MstLgaEkbPartListGradeConsts.MaxBackNoLength)]
		public virtual string BackNo { get; set; }
</v>
      </c>
      <c r="O12" t="str">
        <f t="shared" si="6"/>
        <v xml:space="preserve">		public virtual string BackNo { get; set; }
</v>
      </c>
      <c r="P12" t="str">
        <f t="shared" si="7"/>
        <v xml:space="preserve">							BackNo = o.BackNo,</v>
      </c>
      <c r="T12" s="69" t="str">
        <f t="shared" si="8"/>
        <v xml:space="preserve">								("BackNo"),</v>
      </c>
      <c r="V12" s="70" t="str">
        <f t="shared" si="9"/>
        <v xml:space="preserve">								_ =&gt; _.BackNo,</v>
      </c>
      <c r="W12" s="69" t="str">
        <f t="shared" si="10"/>
        <v xml:space="preserve">				.WhereIf(!string.IsNullOrWhiteSpace(input.BackNo), e =&gt; e.BackNo.Contains(input.BackNo))</v>
      </c>
    </row>
    <row r="13" spans="1:23" customFormat="1" ht="22.5" customHeight="1" x14ac:dyDescent="0.25">
      <c r="A13" t="s">
        <v>328</v>
      </c>
      <c r="B13" t="s">
        <v>0</v>
      </c>
      <c r="C13" t="s">
        <v>1</v>
      </c>
      <c r="D13" t="str">
        <f>SUBSTITUTE(PROPER(A13),"_","")</f>
        <v>PartListId</v>
      </c>
      <c r="E13" t="str">
        <f t="shared" ref="E13" si="13">IFERROR(LEFT(B13, FIND("(",B13)-1),B13)</f>
        <v>bigint</v>
      </c>
      <c r="F13" s="7" t="s">
        <v>0</v>
      </c>
      <c r="G13" t="str">
        <f t="shared" ref="G13" si="14">IFERROR(MID(B13,FIND("(",B13) +1, FIND(")",B13) - FIND("(",B13) - 1),"")</f>
        <v/>
      </c>
      <c r="H13" t="str">
        <f>+VLOOKUP(E13,'Data Type Mapping'!A:B,2,)</f>
        <v>long</v>
      </c>
      <c r="I13" t="str">
        <f t="shared" ref="I13" si="15">IF(H13="string",REPT(CHAR(9),2)&amp;"public const int Max"&amp;D13&amp;"Length = "&amp;G13&amp;";"&amp;$E$3,"" )</f>
        <v/>
      </c>
      <c r="J13" t="str">
        <f t="shared" ref="J13" si="16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[Column(TypeName="bigint")]
		public virtual long PartListId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[Index(nameof(PartListId), Name="IX_MstLgaEkbPartListGrade_PartListId")]</v>
      </c>
      <c r="M13" t="str">
        <f t="shared" ref="M13" si="17">REPT(CHAR(9),2)&amp;"public virtual "&amp;IF(OR(H13="DateTime",H13="TimeSpan"),H13&amp;"?",H13)&amp;IF(C13="?","? "," ")&amp;D13&amp;" { get; set; }" &amp; "
"</f>
        <v xml:space="preserve">		public virtual long PartListId { get; set; }
</v>
      </c>
      <c r="N13" t="str">
        <f t="shared" ref="N13" si="18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long PartListId { get; set; }
</v>
      </c>
      <c r="O13" t="str">
        <f t="shared" ref="O13" si="19">IF(OR(H13="string",H13="DateTime",H13="int"),REPT(CHAR(9),2)&amp;"public virtual "&amp;IF(OR(H13="DateTime",H13="TimeSpan"),H13&amp;"?",H13)&amp;IF(C13="?","? "," ")&amp;D13&amp;" { get; set; }"&amp;$E$3,"")</f>
        <v/>
      </c>
      <c r="P13" t="str">
        <f t="shared" ref="P13" si="20">REPT(CHAR(9),7)&amp;D13&amp;" = o." &amp;D13 &amp;","</f>
        <v xml:space="preserve">							PartListId = o.PartListId,</v>
      </c>
      <c r="T13" s="69" t="str">
        <f t="shared" ref="T13" si="21">REPT(CHAR(9),8)&amp;"("""&amp;D13&amp;"""),"</f>
        <v xml:space="preserve">								("PartListId"),</v>
      </c>
      <c r="V13" s="70" t="str">
        <f t="shared" ref="V13" si="22">REPT(CHAR(9),8)&amp;"_ =&gt; _."&amp;D13&amp;","</f>
        <v xml:space="preserve">								_ =&gt; _.PartListId,</v>
      </c>
      <c r="W13" s="69" t="str">
        <f t="shared" ref="W13" si="23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t="s">
        <v>323</v>
      </c>
      <c r="B14" t="s">
        <v>321</v>
      </c>
      <c r="C14" t="s">
        <v>1</v>
      </c>
      <c r="D14" t="str">
        <f t="shared" ref="D14:D26" si="24">SUBSTITUTE(PROPER(A14),"_","")</f>
        <v>ProdLine</v>
      </c>
      <c r="E14" t="str">
        <f t="shared" ref="E14:E28" si="25">IFERROR(LEFT(B14, FIND("(",B14)-1),B14)</f>
        <v>varchar</v>
      </c>
      <c r="F14" s="7"/>
      <c r="G14" t="str">
        <f t="shared" ref="G14:G28" si="26">IFERROR(MID(B14,FIND("(",B14) +1, FIND(")",B14) - FIND("(",B14) - 1),"")</f>
        <v>50</v>
      </c>
      <c r="H14" t="str">
        <f>+VLOOKUP(E14,'[1]Data Type Mapping'!A:B,2,)</f>
        <v>string</v>
      </c>
      <c r="I14" t="str">
        <f t="shared" ref="I14:I28" si="27">IF(H14="string",REPT(CHAR(9),2)&amp;"public const int Max"&amp;D14&amp;"Length = "&amp;G14&amp;";"&amp;$E$3,"" )</f>
        <v xml:space="preserve">		public const int MaxProdLineLength = 50;
</v>
      </c>
      <c r="J14" t="str">
        <f t="shared" ref="J14:J28" si="2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[StringLength(MaxProdLineLength)]
		public virtual string ProdLine { get; set; }
</v>
      </c>
      <c r="K14" s="7" t="s">
        <v>206</v>
      </c>
      <c r="L14" t="str">
        <f t="shared" ref="L14:L26" si="29">IF(K14="","",REPT(CHAR(9),1)&amp;"[Index(nameof("&amp;IF(D14="","",""&amp;D14)&amp;")"&amp;", Name="&amp;"""IX_"&amp;$B$7&amp;"_"&amp;D14&amp;""")]")</f>
        <v xml:space="preserve">	[Index(nameof(ProdLine), Name="IX_MstLgaEkbPartListGrade_ProdLine")]</v>
      </c>
      <c r="M14" t="str">
        <f t="shared" ref="M14:M28" si="30">REPT(CHAR(9),2)&amp;"public virtual "&amp;IF(OR(H14="DateTime",H14="TimeSpan"),H14&amp;"?",H14)&amp;IF(C14="?","? "," ")&amp;D14&amp;" { get; set; }" &amp; "
"</f>
        <v xml:space="preserve">		public virtual string ProdLine { get; set; }
</v>
      </c>
      <c r="N14" t="str">
        <f t="shared" ref="N14:N28" si="3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[StringLength(MstLgaEkbPartListGradeConsts.MaxProdLineLength)]
		public virtual string ProdLine { get; set; }
</v>
      </c>
      <c r="O14" t="str">
        <f t="shared" ref="O14:O28" si="32">IF(OR(H14="string",H14="DateTime",H14="int"),REPT(CHAR(9),2)&amp;"public virtual "&amp;IF(OR(H14="DateTime",H14="TimeSpan"),H14&amp;"?",H14)&amp;IF(C14="?","? "," ")&amp;D14&amp;" { get; set; }"&amp;$E$3,"")</f>
        <v xml:space="preserve">		public virtual string ProdLine { get; set; }
</v>
      </c>
      <c r="P14" t="str">
        <f t="shared" ref="P14:P28" si="33">REPT(CHAR(9),7)&amp;D14&amp;" = o." &amp;D14 &amp;","</f>
        <v xml:space="preserve">							ProdLine = o.ProdLine,</v>
      </c>
      <c r="T14" s="69" t="str">
        <f t="shared" ref="T14:T28" si="34">REPT(CHAR(9),8)&amp;"("""&amp;D14&amp;"""),"</f>
        <v xml:space="preserve">								("ProdLine"),</v>
      </c>
      <c r="V14" s="70" t="str">
        <f t="shared" ref="V14:V28" si="35">REPT(CHAR(9),8)&amp;"_ =&gt; _."&amp;D14&amp;","</f>
        <v xml:space="preserve">								_ =&gt; _.ProdLine,</v>
      </c>
      <c r="W14" s="69" t="str">
        <f t="shared" ref="W14:W28" si="36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.WhereIf(!string.IsNullOrWhiteSpace(input.ProdLine), e =&gt; e.ProdLine.Contains(input.ProdLine))</v>
      </c>
    </row>
    <row r="15" spans="1:23" customFormat="1" ht="18.75" customHeight="1" x14ac:dyDescent="0.25">
      <c r="A15" t="s">
        <v>348</v>
      </c>
      <c r="B15" t="s">
        <v>321</v>
      </c>
      <c r="C15" t="s">
        <v>1</v>
      </c>
      <c r="D15" t="str">
        <f t="shared" ref="D15" si="37">SUBSTITUTE(PROPER(A15),"_","")</f>
        <v>SupplierNo</v>
      </c>
      <c r="E15" t="str">
        <f t="shared" ref="E15" si="38">IFERROR(LEFT(B15, FIND("(",B15)-1),B15)</f>
        <v>varchar</v>
      </c>
      <c r="F15" s="7"/>
      <c r="G15" t="str">
        <f t="shared" ref="G15" si="39">IFERROR(MID(B15,FIND("(",B15) +1, FIND(")",B15) - FIND("(",B15) - 1),"")</f>
        <v>50</v>
      </c>
      <c r="H15" t="str">
        <f>+VLOOKUP(E15,'[1]Data Type Mapping'!A:B,2,)</f>
        <v>string</v>
      </c>
      <c r="I15" t="str">
        <f t="shared" ref="I15" si="40">IF(H15="string",REPT(CHAR(9),2)&amp;"public const int Max"&amp;D15&amp;"Length = "&amp;G15&amp;";"&amp;$E$3,"" )</f>
        <v xml:space="preserve">		public const int MaxSupplierNoLength = 50;
</v>
      </c>
      <c r="J15" t="str">
        <f t="shared" ref="J15" si="41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[StringLength(MaxSupplierNoLength)]
		public virtual string SupplierNo { get; set; }
</v>
      </c>
      <c r="K15" s="7"/>
      <c r="L15" t="str">
        <f t="shared" ref="L15" si="42">IF(K15="","",REPT(CHAR(9),1)&amp;"[Index(nameof("&amp;IF(D15="","",""&amp;D15)&amp;")"&amp;", Name="&amp;"""IX_"&amp;$B$7&amp;"_"&amp;D15&amp;""")]")</f>
        <v/>
      </c>
      <c r="M15" t="str">
        <f t="shared" ref="M15" si="43">REPT(CHAR(9),2)&amp;"public virtual "&amp;IF(OR(H15="DateTime",H15="TimeSpan"),H15&amp;"?",H15)&amp;IF(C15="?","? "," ")&amp;D15&amp;" { get; set; }" &amp; "
"</f>
        <v xml:space="preserve">		public virtual string SupplierNo { get; set; }
</v>
      </c>
      <c r="N15" t="str">
        <f t="shared" ref="N15" si="44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[StringLength(MstLgaEkbPartListGradeConsts.MaxSupplierNoLength)]
		public virtual string SupplierNo { get; set; }
</v>
      </c>
      <c r="O15" t="str">
        <f t="shared" ref="O15" si="45">IF(OR(H15="string",H15="DateTime",H15="int"),REPT(CHAR(9),2)&amp;"public virtual "&amp;IF(OR(H15="DateTime",H15="TimeSpan"),H15&amp;"?",H15)&amp;IF(C15="?","? "," ")&amp;D15&amp;" { get; set; }"&amp;$E$3,"")</f>
        <v xml:space="preserve">		public virtual string SupplierNo { get; set; }
</v>
      </c>
      <c r="P15" t="str">
        <f t="shared" ref="P15" si="46">REPT(CHAR(9),7)&amp;D15&amp;" = o." &amp;D15 &amp;","</f>
        <v xml:space="preserve">							SupplierNo = o.SupplierNo,</v>
      </c>
      <c r="T15" s="69" t="str">
        <f t="shared" ref="T15" si="47">REPT(CHAR(9),8)&amp;"("""&amp;D15&amp;"""),"</f>
        <v xml:space="preserve">								("SupplierNo"),</v>
      </c>
      <c r="V15" s="70" t="str">
        <f t="shared" ref="V15" si="48">REPT(CHAR(9),8)&amp;"_ =&gt; _."&amp;D15&amp;","</f>
        <v xml:space="preserve">								_ =&gt; _.SupplierNo,</v>
      </c>
      <c r="W15" s="69" t="str">
        <f t="shared" ref="W15" si="49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.WhereIf(!string.IsNullOrWhiteSpace(input.SupplierNo), e =&gt; e.SupplierNo.Contains(input.SupplierNo))</v>
      </c>
    </row>
    <row r="16" spans="1:23" customFormat="1" ht="18.75" customHeight="1" x14ac:dyDescent="0.25">
      <c r="A16" t="s">
        <v>330</v>
      </c>
      <c r="B16" t="s">
        <v>321</v>
      </c>
      <c r="C16" t="s">
        <v>1</v>
      </c>
      <c r="D16" t="str">
        <f t="shared" si="24"/>
        <v>Model</v>
      </c>
      <c r="E16" t="str">
        <f t="shared" si="25"/>
        <v>varchar</v>
      </c>
      <c r="F16" s="7"/>
      <c r="G16" t="str">
        <f t="shared" si="26"/>
        <v>50</v>
      </c>
      <c r="H16" t="str">
        <f>+VLOOKUP(E16,'[1]Data Type Mapping'!A:B,2,)</f>
        <v>string</v>
      </c>
      <c r="I16" t="str">
        <f t="shared" si="27"/>
        <v xml:space="preserve">		public const int MaxModelLength = 50;
</v>
      </c>
      <c r="J16" t="str">
        <f t="shared" si="28"/>
        <v xml:space="preserve">		[StringLength(MaxModelLength)]
		public virtual string Model { get; set; }
</v>
      </c>
      <c r="K16" s="7"/>
      <c r="L16" t="str">
        <f t="shared" si="29"/>
        <v/>
      </c>
      <c r="M16" t="str">
        <f t="shared" si="30"/>
        <v xml:space="preserve">		public virtual string Model { get; set; }
</v>
      </c>
      <c r="N16" t="str">
        <f t="shared" si="31"/>
        <v xml:space="preserve">		[StringLength(MstLgaEkbPartListGradeConsts.MaxModelLength)]
		public virtual string Model { get; set; }
</v>
      </c>
      <c r="O16" t="str">
        <f t="shared" si="32"/>
        <v xml:space="preserve">		public virtual string Model { get; set; }
</v>
      </c>
      <c r="P16" t="str">
        <f t="shared" si="33"/>
        <v xml:space="preserve">							Model = o.Model,</v>
      </c>
      <c r="T16" s="69" t="str">
        <f t="shared" si="34"/>
        <v xml:space="preserve">								("Model"),</v>
      </c>
      <c r="V16" s="70" t="str">
        <f t="shared" si="35"/>
        <v xml:space="preserve">								_ =&gt; _.Model,</v>
      </c>
      <c r="W16" s="69" t="str">
        <f t="shared" si="36"/>
        <v xml:space="preserve">				.WhereIf(!string.IsNullOrWhiteSpace(input.Model), e =&gt; e.Model.Contains(input.Model))</v>
      </c>
    </row>
    <row r="17" spans="1:23" customFormat="1" ht="18.75" customHeight="1" x14ac:dyDescent="0.25">
      <c r="A17" t="s">
        <v>338</v>
      </c>
      <c r="B17" t="s">
        <v>0</v>
      </c>
      <c r="C17" t="s">
        <v>1</v>
      </c>
      <c r="D17" t="str">
        <f t="shared" si="24"/>
        <v>ProcessId</v>
      </c>
      <c r="E17" t="str">
        <f t="shared" si="25"/>
        <v>bigint</v>
      </c>
      <c r="F17" s="7"/>
      <c r="G17" t="str">
        <f t="shared" si="26"/>
        <v/>
      </c>
      <c r="H17" t="str">
        <f>+VLOOKUP(E17,'[1]Data Type Mapping'!A:B,2,)</f>
        <v>long</v>
      </c>
      <c r="I17" t="str">
        <f t="shared" si="27"/>
        <v/>
      </c>
      <c r="J17" t="str">
        <f t="shared" si="28"/>
        <v xml:space="preserve">		public virtual long ProcessId { get; set; }
</v>
      </c>
      <c r="K17" s="7" t="s">
        <v>206</v>
      </c>
      <c r="L17" t="str">
        <f t="shared" si="29"/>
        <v xml:space="preserve">	[Index(nameof(ProcessId), Name="IX_MstLgaEkbPartListGrade_ProcessId")]</v>
      </c>
      <c r="M17" t="str">
        <f t="shared" si="30"/>
        <v xml:space="preserve">		public virtual long ProcessId { get; set; }
</v>
      </c>
      <c r="N17" t="str">
        <f t="shared" si="31"/>
        <v xml:space="preserve">		public virtual long ProcessId { get; set; }
</v>
      </c>
      <c r="O17" t="str">
        <f t="shared" si="32"/>
        <v/>
      </c>
      <c r="P17" t="str">
        <f t="shared" si="33"/>
        <v xml:space="preserve">							ProcessId = o.ProcessId,</v>
      </c>
      <c r="T17" s="69" t="str">
        <f t="shared" si="34"/>
        <v xml:space="preserve">								("ProcessId"),</v>
      </c>
      <c r="V17" s="70" t="str">
        <f t="shared" si="35"/>
        <v xml:space="preserve">								_ =&gt; _.ProcessId,</v>
      </c>
      <c r="W17" s="69" t="str">
        <f t="shared" si="36"/>
        <v/>
      </c>
    </row>
    <row r="18" spans="1:23" customFormat="1" ht="18.75" customHeight="1" x14ac:dyDescent="0.25">
      <c r="A18" t="s">
        <v>339</v>
      </c>
      <c r="B18" t="s">
        <v>321</v>
      </c>
      <c r="C18" t="s">
        <v>1</v>
      </c>
      <c r="D18" t="str">
        <f t="shared" si="24"/>
        <v>ProcessCode</v>
      </c>
      <c r="E18" t="str">
        <f t="shared" si="25"/>
        <v>varchar</v>
      </c>
      <c r="F18" s="7"/>
      <c r="G18" t="str">
        <f t="shared" si="26"/>
        <v>50</v>
      </c>
      <c r="H18" t="str">
        <f>+VLOOKUP(E18,'[1]Data Type Mapping'!A:B,2,)</f>
        <v>string</v>
      </c>
      <c r="I18" t="str">
        <f t="shared" si="27"/>
        <v xml:space="preserve">		public const int MaxProcessCodeLength = 50;
</v>
      </c>
      <c r="J18" t="str">
        <f t="shared" si="28"/>
        <v xml:space="preserve">		[StringLength(MaxProcessCodeLength)]
		public virtual string ProcessCode { get; set; }
</v>
      </c>
      <c r="K18" s="7"/>
      <c r="L18" t="str">
        <f t="shared" si="29"/>
        <v/>
      </c>
      <c r="M18" t="str">
        <f t="shared" si="30"/>
        <v xml:space="preserve">		public virtual string ProcessCode { get; set; }
</v>
      </c>
      <c r="N18" t="str">
        <f t="shared" si="31"/>
        <v xml:space="preserve">		[StringLength(MstLgaEkbPartListGradeConsts.MaxProcessCodeLength)]
		public virtual string ProcessCode { get; set; }
</v>
      </c>
      <c r="O18" t="str">
        <f t="shared" si="32"/>
        <v xml:space="preserve">		public virtual string ProcessCode { get; set; }
</v>
      </c>
      <c r="P18" t="str">
        <f t="shared" si="33"/>
        <v xml:space="preserve">							ProcessCode = o.ProcessCode,</v>
      </c>
      <c r="T18" s="69" t="str">
        <f t="shared" si="34"/>
        <v xml:space="preserve">								("ProcessCode"),</v>
      </c>
      <c r="V18" s="70" t="str">
        <f t="shared" si="35"/>
        <v xml:space="preserve">								_ =&gt; _.ProcessCode,</v>
      </c>
      <c r="W18" s="69" t="str">
        <f t="shared" si="36"/>
        <v xml:space="preserve">				.WhereIf(!string.IsNullOrWhiteSpace(input.ProcessCode), e =&gt; e.ProcessCode.Contains(input.ProcessCode))</v>
      </c>
    </row>
    <row r="19" spans="1:23" customFormat="1" ht="18.75" customHeight="1" x14ac:dyDescent="0.25">
      <c r="A19" t="s">
        <v>329</v>
      </c>
      <c r="B19" t="s">
        <v>321</v>
      </c>
      <c r="C19" t="s">
        <v>1</v>
      </c>
      <c r="D19" t="str">
        <f t="shared" si="24"/>
        <v>Grade</v>
      </c>
      <c r="E19" t="str">
        <f t="shared" si="25"/>
        <v>varchar</v>
      </c>
      <c r="F19" s="7"/>
      <c r="G19" t="str">
        <f t="shared" si="26"/>
        <v>50</v>
      </c>
      <c r="H19" t="str">
        <f>+VLOOKUP(E19,'Data Type Mapping'!A:B,2,)</f>
        <v>string</v>
      </c>
      <c r="I19" t="str">
        <f t="shared" si="27"/>
        <v xml:space="preserve">		public const int MaxGradeLength = 50;
</v>
      </c>
      <c r="J19" t="str">
        <f t="shared" si="28"/>
        <v xml:space="preserve">		[StringLength(MaxGradeLength)]
		public virtual string Grade { get; set; }
</v>
      </c>
      <c r="K19" s="7"/>
      <c r="L19" t="str">
        <f t="shared" si="29"/>
        <v/>
      </c>
      <c r="M19" t="str">
        <f t="shared" si="30"/>
        <v xml:space="preserve">		public virtual string Grade { get; set; }
</v>
      </c>
      <c r="N19" t="str">
        <f t="shared" si="31"/>
        <v xml:space="preserve">		[StringLength(MstLgaEkbPartListGradeConsts.MaxGradeLength)]
		public virtual string Grade { get; set; }
</v>
      </c>
      <c r="O19" t="str">
        <f t="shared" si="32"/>
        <v xml:space="preserve">		public virtual string Grade { get; set; }
</v>
      </c>
      <c r="P19" t="str">
        <f t="shared" si="33"/>
        <v xml:space="preserve">							Grade = o.Grade,</v>
      </c>
      <c r="T19" s="69" t="str">
        <f t="shared" si="34"/>
        <v xml:space="preserve">								("Grade"),</v>
      </c>
      <c r="V19" s="70" t="str">
        <f t="shared" si="35"/>
        <v xml:space="preserve">								_ =&gt; _.Grade,</v>
      </c>
      <c r="W19" s="69" t="str">
        <f t="shared" si="36"/>
        <v xml:space="preserve">				.WhereIf(!string.IsNullOrWhiteSpace(input.Grade), e =&gt; e.Grade.Contains(input.Grade))</v>
      </c>
    </row>
    <row r="20" spans="1:23" customFormat="1" ht="18.75" customHeight="1" x14ac:dyDescent="0.25">
      <c r="A20" t="s">
        <v>334</v>
      </c>
      <c r="B20" t="s">
        <v>4</v>
      </c>
      <c r="C20" t="s">
        <v>1</v>
      </c>
      <c r="D20" t="str">
        <f t="shared" ref="D20" si="50">SUBSTITUTE(PROPER(A20),"_","")</f>
        <v>UsageQty</v>
      </c>
      <c r="E20" t="str">
        <f t="shared" ref="E20" si="51">IFERROR(LEFT(B20, FIND("(",B20)-1),B20)</f>
        <v>int</v>
      </c>
      <c r="F20" s="7"/>
      <c r="G20" t="str">
        <f t="shared" ref="G20" si="52">IFERROR(MID(B20,FIND("(",B20) +1, FIND(")",B20) - FIND("(",B20) - 1),"")</f>
        <v/>
      </c>
      <c r="H20" t="str">
        <f>+VLOOKUP(E20,'Data Type Mapping'!A:B,2,)</f>
        <v>int</v>
      </c>
      <c r="I20" t="str">
        <f t="shared" ref="I20" si="53">IF(H20="string",REPT(CHAR(9),2)&amp;"public const int Max"&amp;D20&amp;"Length = "&amp;G20&amp;";"&amp;$E$3,"" )</f>
        <v/>
      </c>
      <c r="J20" t="str">
        <f t="shared" ref="J20" si="54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int UsageQty { get; set; }
</v>
      </c>
      <c r="K20" s="7"/>
      <c r="L20" t="str">
        <f t="shared" ref="L20" si="55">IF(K20="","",REPT(CHAR(9),1)&amp;"[Index(nameof("&amp;IF(D20="","",""&amp;D20)&amp;")"&amp;", Name="&amp;"""IX_"&amp;$B$7&amp;"_"&amp;D20&amp;""")]")</f>
        <v/>
      </c>
      <c r="M20" t="str">
        <f t="shared" ref="M20" si="56">REPT(CHAR(9),2)&amp;"public virtual "&amp;IF(OR(H20="DateTime",H20="TimeSpan"),H20&amp;"?",H20)&amp;IF(C20="?","? "," ")&amp;D20&amp;" { get; set; }" &amp; "
"</f>
        <v xml:space="preserve">		public virtual int UsageQty { get; set; }
</v>
      </c>
      <c r="N20" t="str">
        <f t="shared" ref="N20" si="57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UsageQty { get; set; }
</v>
      </c>
      <c r="O20" t="str">
        <f t="shared" ref="O20" si="58">IF(OR(H20="string",H20="DateTime",H20="int"),REPT(CHAR(9),2)&amp;"public virtual "&amp;IF(OR(H20="DateTime",H20="TimeSpan"),H20&amp;"?",H20)&amp;IF(C20="?","? "," ")&amp;D20&amp;" { get; set; }"&amp;$E$3,"")</f>
        <v xml:space="preserve">		public virtual int UsageQty { get; set; }
</v>
      </c>
      <c r="P20" t="str">
        <f t="shared" ref="P20" si="59">REPT(CHAR(9),7)&amp;D20&amp;" = o." &amp;D20 &amp;","</f>
        <v xml:space="preserve">							UsageQty = o.UsageQty,</v>
      </c>
      <c r="T20" s="69" t="str">
        <f t="shared" ref="T20" si="60">REPT(CHAR(9),8)&amp;"("""&amp;D20&amp;"""),"</f>
        <v xml:space="preserve">								("UsageQty"),</v>
      </c>
      <c r="V20" s="70" t="str">
        <f t="shared" ref="V20" si="61">REPT(CHAR(9),8)&amp;"_ =&gt; _."&amp;D20&amp;","</f>
        <v xml:space="preserve">								_ =&gt; _.UsageQty,</v>
      </c>
      <c r="W20" s="69" t="str">
        <f t="shared" ref="W20" si="62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t="s">
        <v>343</v>
      </c>
      <c r="B21" t="s">
        <v>4</v>
      </c>
      <c r="C21" t="s">
        <v>1</v>
      </c>
      <c r="D21" t="str">
        <f t="shared" ref="D21" si="63">SUBSTITUTE(PROPER(A21),"_","")</f>
        <v>BoxQty</v>
      </c>
      <c r="E21" t="str">
        <f t="shared" ref="E21" si="64">IFERROR(LEFT(B21, FIND("(",B21)-1),B21)</f>
        <v>int</v>
      </c>
      <c r="F21" s="7"/>
      <c r="G21" t="str">
        <f t="shared" ref="G21" si="65">IFERROR(MID(B21,FIND("(",B21) +1, FIND(")",B21) - FIND("(",B21) - 1),"")</f>
        <v/>
      </c>
      <c r="H21" t="str">
        <f>+VLOOKUP(E21,'Data Type Mapping'!A:B,2,)</f>
        <v>int</v>
      </c>
      <c r="I21" t="str">
        <f t="shared" ref="I21" si="66">IF(H21="string",REPT(CHAR(9),2)&amp;"public const int Max"&amp;D21&amp;"Length = "&amp;G21&amp;";"&amp;$E$3,"" )</f>
        <v/>
      </c>
      <c r="J21" t="str">
        <f t="shared" ref="J21" si="67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int BoxQty { get; set; }
</v>
      </c>
      <c r="K21" s="7"/>
      <c r="L21" t="str">
        <f t="shared" ref="L21" si="68">IF(K21="","",REPT(CHAR(9),1)&amp;"[Index(nameof("&amp;IF(D21="","",""&amp;D21)&amp;")"&amp;", Name="&amp;"""IX_"&amp;$B$7&amp;"_"&amp;D21&amp;""")]")</f>
        <v/>
      </c>
      <c r="M21" t="str">
        <f t="shared" ref="M21" si="69">REPT(CHAR(9),2)&amp;"public virtual "&amp;IF(OR(H21="DateTime",H21="TimeSpan"),H21&amp;"?",H21)&amp;IF(C21="?","? "," ")&amp;D21&amp;" { get; set; }" &amp; "
"</f>
        <v xml:space="preserve">		public virtual int BoxQty { get; set; }
</v>
      </c>
      <c r="N21" t="str">
        <f t="shared" ref="N21" si="70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int BoxQty { get; set; }
</v>
      </c>
      <c r="O21" t="str">
        <f t="shared" ref="O21" si="71">IF(OR(H21="string",H21="DateTime",H21="int"),REPT(CHAR(9),2)&amp;"public virtual "&amp;IF(OR(H21="DateTime",H21="TimeSpan"),H21&amp;"?",H21)&amp;IF(C21="?","? "," ")&amp;D21&amp;" { get; set; }"&amp;$E$3,"")</f>
        <v xml:space="preserve">		public virtual int BoxQty { get; set; }
</v>
      </c>
      <c r="P21" t="str">
        <f t="shared" ref="P21" si="72">REPT(CHAR(9),7)&amp;D21&amp;" = o." &amp;D21 &amp;","</f>
        <v xml:space="preserve">							BoxQty = o.BoxQty,</v>
      </c>
      <c r="T21" s="69" t="str">
        <f t="shared" ref="T21" si="73">REPT(CHAR(9),8)&amp;"("""&amp;D21&amp;"""),"</f>
        <v xml:space="preserve">								("BoxQty"),</v>
      </c>
      <c r="V21" s="70" t="str">
        <f t="shared" ref="V21" si="74">REPT(CHAR(9),8)&amp;"_ =&gt; _."&amp;D21&amp;","</f>
        <v xml:space="preserve">								_ =&gt; _.BoxQty,</v>
      </c>
      <c r="W21" s="69" t="str">
        <f t="shared" ref="W21" si="75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6" t="s">
        <v>331</v>
      </c>
      <c r="B22" t="s">
        <v>321</v>
      </c>
      <c r="C22" t="s">
        <v>1</v>
      </c>
      <c r="D22" t="str">
        <f t="shared" si="24"/>
        <v>Module</v>
      </c>
      <c r="E22" t="str">
        <f t="shared" si="25"/>
        <v>varchar</v>
      </c>
      <c r="F22" s="7"/>
      <c r="G22" t="str">
        <f t="shared" si="26"/>
        <v>50</v>
      </c>
      <c r="H22" t="str">
        <f>+VLOOKUP(E22,'Data Type Mapping'!A:B,2,)</f>
        <v>string</v>
      </c>
      <c r="I22" t="str">
        <f t="shared" si="27"/>
        <v xml:space="preserve">		public const int MaxModuleLength = 50;
</v>
      </c>
      <c r="J22" t="str">
        <f t="shared" si="28"/>
        <v xml:space="preserve">		[StringLength(MaxModuleLength)]
		public virtual string Module { get; set; }
</v>
      </c>
      <c r="K22" s="7"/>
      <c r="L22" t="str">
        <f t="shared" si="29"/>
        <v/>
      </c>
      <c r="M22" t="str">
        <f t="shared" si="30"/>
        <v xml:space="preserve">		public virtual string Module { get; set; }
</v>
      </c>
      <c r="N22" t="str">
        <f t="shared" si="31"/>
        <v xml:space="preserve">		[StringLength(MstLgaEkbPartListGradeConsts.MaxModuleLength)]
		public virtual string Module { get; set; }
</v>
      </c>
      <c r="O22" t="str">
        <f t="shared" si="32"/>
        <v xml:space="preserve">		public virtual string Module { get; set; }
</v>
      </c>
      <c r="P22" t="str">
        <f t="shared" si="33"/>
        <v xml:space="preserve">							Module = o.Module,</v>
      </c>
      <c r="T22" s="69" t="str">
        <f t="shared" si="34"/>
        <v xml:space="preserve">								("Module"),</v>
      </c>
      <c r="V22" s="70" t="str">
        <f t="shared" si="35"/>
        <v xml:space="preserve">								_ =&gt; _.Module,</v>
      </c>
      <c r="W22" s="69" t="str">
        <f t="shared" si="36"/>
        <v xml:space="preserve">				.WhereIf(!string.IsNullOrWhiteSpace(input.Module), e =&gt; e.Module.Contains(input.Module))</v>
      </c>
    </row>
    <row r="23" spans="1:23" customFormat="1" ht="18.75" customHeight="1" x14ac:dyDescent="0.25">
      <c r="A23" t="s">
        <v>344</v>
      </c>
      <c r="B23" t="s">
        <v>321</v>
      </c>
      <c r="C23" t="s">
        <v>1</v>
      </c>
      <c r="D23" t="str">
        <f t="shared" si="24"/>
        <v>PcAddress</v>
      </c>
      <c r="E23" t="str">
        <f t="shared" si="25"/>
        <v>varchar</v>
      </c>
      <c r="F23" s="7"/>
      <c r="G23" t="str">
        <f t="shared" si="26"/>
        <v>50</v>
      </c>
      <c r="H23" t="str">
        <f>+VLOOKUP(E23,'[1]Data Type Mapping'!A:B,2,)</f>
        <v>string</v>
      </c>
      <c r="I23" t="str">
        <f t="shared" si="27"/>
        <v xml:space="preserve">		public const int MaxPcAddressLength = 50;
</v>
      </c>
      <c r="J23" t="str">
        <f t="shared" si="28"/>
        <v xml:space="preserve">		[StringLength(MaxPcAddressLength)]
		public virtual string PcAddress { get; set; }
</v>
      </c>
      <c r="K23" s="7"/>
      <c r="L23" t="str">
        <f t="shared" si="29"/>
        <v/>
      </c>
      <c r="M23" t="str">
        <f t="shared" si="30"/>
        <v xml:space="preserve">		public virtual string PcAddress { get; set; }
</v>
      </c>
      <c r="N23" t="str">
        <f t="shared" si="31"/>
        <v xml:space="preserve">		[StringLength(MstLgaEkbPartListGradeConsts.MaxPcAddressLength)]
		public virtual string PcAddress { get; set; }
</v>
      </c>
      <c r="O23" t="str">
        <f t="shared" si="32"/>
        <v xml:space="preserve">		public virtual string PcAddress { get; set; }
</v>
      </c>
      <c r="P23" t="str">
        <f t="shared" si="33"/>
        <v xml:space="preserve">							PcAddress = o.PcAddress,</v>
      </c>
      <c r="T23" s="69" t="str">
        <f t="shared" si="34"/>
        <v xml:space="preserve">								("PcAddress"),</v>
      </c>
      <c r="V23" s="70" t="str">
        <f t="shared" si="35"/>
        <v xml:space="preserve">								_ =&gt; _.PcAddress,</v>
      </c>
      <c r="W23" s="69" t="str">
        <f t="shared" si="36"/>
        <v xml:space="preserve">				.WhereIf(!string.IsNullOrWhiteSpace(input.PcAddress), e =&gt; e.PcAddress.Contains(input.PcAddress))</v>
      </c>
    </row>
    <row r="24" spans="1:23" customFormat="1" ht="18.75" customHeight="1" x14ac:dyDescent="0.25">
      <c r="A24" t="s">
        <v>345</v>
      </c>
      <c r="B24" t="s">
        <v>4</v>
      </c>
      <c r="C24" t="s">
        <v>1</v>
      </c>
      <c r="D24" t="str">
        <f t="shared" si="24"/>
        <v>PcSorting</v>
      </c>
      <c r="E24" t="str">
        <f t="shared" si="25"/>
        <v>int</v>
      </c>
      <c r="F24" s="7"/>
      <c r="G24" t="str">
        <f t="shared" si="26"/>
        <v/>
      </c>
      <c r="H24" t="str">
        <f>+VLOOKUP(E24,'[1]Data Type Mapping'!A:B,2,)</f>
        <v>int</v>
      </c>
      <c r="I24" t="str">
        <f t="shared" si="27"/>
        <v/>
      </c>
      <c r="J24" t="str">
        <f t="shared" si="28"/>
        <v xml:space="preserve">		public virtual int PcSorting { get; set; }
</v>
      </c>
      <c r="K24" s="7"/>
      <c r="L24" t="str">
        <f t="shared" si="29"/>
        <v/>
      </c>
      <c r="M24" t="str">
        <f t="shared" si="30"/>
        <v xml:space="preserve">		public virtual int PcSorting { get; set; }
</v>
      </c>
      <c r="N24" t="str">
        <f t="shared" si="31"/>
        <v xml:space="preserve">		public virtual int PcSorting { get; set; }
</v>
      </c>
      <c r="O24" t="str">
        <f t="shared" si="32"/>
        <v xml:space="preserve">		public virtual int PcSorting { get; set; }
</v>
      </c>
      <c r="P24" t="str">
        <f t="shared" si="33"/>
        <v xml:space="preserve">							PcSorting = o.PcSorting,</v>
      </c>
      <c r="T24" s="69" t="str">
        <f t="shared" si="34"/>
        <v xml:space="preserve">								("PcSorting"),</v>
      </c>
      <c r="V24" s="70" t="str">
        <f t="shared" si="35"/>
        <v xml:space="preserve">								_ =&gt; _.PcSorting,</v>
      </c>
      <c r="W24" s="69" t="str">
        <f t="shared" si="36"/>
        <v/>
      </c>
    </row>
    <row r="25" spans="1:23" customFormat="1" ht="18.75" customHeight="1" x14ac:dyDescent="0.25">
      <c r="A25" t="s">
        <v>346</v>
      </c>
      <c r="B25" t="s">
        <v>321</v>
      </c>
      <c r="C25" t="s">
        <v>1</v>
      </c>
      <c r="D25" t="str">
        <f t="shared" si="24"/>
        <v>SpsAddress</v>
      </c>
      <c r="E25" t="str">
        <f t="shared" si="25"/>
        <v>varchar</v>
      </c>
      <c r="F25" s="7"/>
      <c r="G25" t="str">
        <f t="shared" si="26"/>
        <v>50</v>
      </c>
      <c r="H25" t="str">
        <f>+VLOOKUP(E25,'[1]Data Type Mapping'!A:B,2,)</f>
        <v>string</v>
      </c>
      <c r="I25" t="str">
        <f t="shared" si="27"/>
        <v xml:space="preserve">		public const int MaxSpsAddressLength = 50;
</v>
      </c>
      <c r="J25" t="str">
        <f t="shared" si="28"/>
        <v xml:space="preserve">		[StringLength(MaxSpsAddressLength)]
		public virtual string SpsAddress { get; set; }
</v>
      </c>
      <c r="K25" s="7"/>
      <c r="L25" t="str">
        <f t="shared" si="29"/>
        <v/>
      </c>
      <c r="M25" t="str">
        <f t="shared" si="30"/>
        <v xml:space="preserve">		public virtual string SpsAddress { get; set; }
</v>
      </c>
      <c r="N25" t="str">
        <f t="shared" si="31"/>
        <v xml:space="preserve">		[StringLength(MstLgaEkbPartListGradeConsts.MaxSpsAddressLength)]
		public virtual string SpsAddress { get; set; }
</v>
      </c>
      <c r="O25" t="str">
        <f t="shared" si="32"/>
        <v xml:space="preserve">		public virtual string SpsAddress { get; set; }
</v>
      </c>
      <c r="P25" t="str">
        <f t="shared" si="33"/>
        <v xml:space="preserve">							SpsAddress = o.SpsAddress,</v>
      </c>
      <c r="T25" s="69" t="str">
        <f t="shared" si="34"/>
        <v xml:space="preserve">								("SpsAddress"),</v>
      </c>
      <c r="V25" s="70" t="str">
        <f t="shared" si="35"/>
        <v xml:space="preserve">								_ =&gt; _.SpsAddress,</v>
      </c>
      <c r="W25" s="69" t="str">
        <f t="shared" si="36"/>
        <v xml:space="preserve">				.WhereIf(!string.IsNullOrWhiteSpace(input.SpsAddress), e =&gt; e.SpsAddress.Contains(input.SpsAddress))</v>
      </c>
    </row>
    <row r="26" spans="1:23" customFormat="1" ht="18.75" customHeight="1" x14ac:dyDescent="0.25">
      <c r="A26" t="s">
        <v>347</v>
      </c>
      <c r="B26" t="s">
        <v>4</v>
      </c>
      <c r="C26" t="s">
        <v>1</v>
      </c>
      <c r="D26" t="str">
        <f t="shared" si="24"/>
        <v>SpsSorting</v>
      </c>
      <c r="E26" t="str">
        <f t="shared" si="25"/>
        <v>int</v>
      </c>
      <c r="F26" s="7"/>
      <c r="G26" t="str">
        <f t="shared" si="26"/>
        <v/>
      </c>
      <c r="H26" t="str">
        <f>+VLOOKUP(E26,'[1]Data Type Mapping'!A:B,2,)</f>
        <v>int</v>
      </c>
      <c r="I26" t="str">
        <f t="shared" si="27"/>
        <v/>
      </c>
      <c r="J26" t="str">
        <f t="shared" si="28"/>
        <v xml:space="preserve">		public virtual int SpsSorting { get; set; }
</v>
      </c>
      <c r="K26" s="7"/>
      <c r="L26" t="str">
        <f t="shared" si="29"/>
        <v/>
      </c>
      <c r="M26" t="str">
        <f t="shared" si="30"/>
        <v xml:space="preserve">		public virtual int SpsSorting { get; set; }
</v>
      </c>
      <c r="N26" t="str">
        <f t="shared" si="31"/>
        <v xml:space="preserve">		public virtual int SpsSorting { get; set; }
</v>
      </c>
      <c r="O26" t="str">
        <f t="shared" si="32"/>
        <v xml:space="preserve">		public virtual int SpsSorting { get; set; }
</v>
      </c>
      <c r="P26" t="str">
        <f t="shared" si="33"/>
        <v xml:space="preserve">							SpsSorting = o.SpsSorting,</v>
      </c>
      <c r="T26" s="69" t="str">
        <f t="shared" si="34"/>
        <v xml:space="preserve">								("SpsSorting"),</v>
      </c>
      <c r="V26" s="70" t="str">
        <f t="shared" si="35"/>
        <v xml:space="preserve">								_ =&gt; _.SpsSorting,</v>
      </c>
      <c r="W26" s="69" t="str">
        <f t="shared" si="36"/>
        <v/>
      </c>
    </row>
    <row r="27" spans="1:23" customFormat="1" ht="18.75" customHeight="1" x14ac:dyDescent="0.25">
      <c r="A27" t="s">
        <v>332</v>
      </c>
      <c r="B27" t="s">
        <v>333</v>
      </c>
      <c r="C27" t="s">
        <v>1</v>
      </c>
      <c r="D27" t="str">
        <f t="shared" ref="D27" si="76">SUBSTITUTE(PROPER(A27),"_","")</f>
        <v>Remark</v>
      </c>
      <c r="E27" t="str">
        <f t="shared" ref="E27" si="77">IFERROR(LEFT(B27, FIND("(",B27)-1),B27)</f>
        <v>nvarchar</v>
      </c>
      <c r="F27" s="7"/>
      <c r="G27" t="str">
        <f t="shared" ref="G27" si="78">IFERROR(MID(B27,FIND("(",B27) +1, FIND(")",B27) - FIND("(",B27) - 1),"")</f>
        <v>500</v>
      </c>
      <c r="H27" t="str">
        <f>+VLOOKUP(E27,'Data Type Mapping'!A:B,2,)</f>
        <v>string</v>
      </c>
      <c r="I27" t="str">
        <f t="shared" ref="I27" si="79">IF(H27="string",REPT(CHAR(9),2)&amp;"public const int Max"&amp;D27&amp;"Length = "&amp;G27&amp;";"&amp;$E$3,"" )</f>
        <v xml:space="preserve">		public const int MaxRemarkLength = 500;
</v>
      </c>
      <c r="J27" t="str">
        <f t="shared" ref="J27" si="80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[StringLength(MaxRemarkLength)]
		public virtual string Remark { get; set; }
</v>
      </c>
      <c r="K27" s="7"/>
      <c r="L27" t="str">
        <f t="shared" ref="L27" si="81">IF(K27="","",REPT(CHAR(9),1)&amp;"[Index(nameof("&amp;IF(D27="","",""&amp;D27)&amp;")"&amp;", Name="&amp;"""IX_"&amp;$B$7&amp;"_"&amp;D27&amp;""")]")</f>
        <v/>
      </c>
      <c r="M27" t="str">
        <f t="shared" ref="M27" si="82">REPT(CHAR(9),2)&amp;"public virtual "&amp;IF(OR(H27="DateTime",H27="TimeSpan"),H27&amp;"?",H27)&amp;IF(C27="?","? "," ")&amp;D27&amp;" { get; set; }" &amp; "
"</f>
        <v xml:space="preserve">		public virtual string Remark { get; set; }
</v>
      </c>
      <c r="N27" t="str">
        <f t="shared" ref="N27" si="83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[StringLength(MstLgaEkbPartListGradeConsts.MaxRemarkLength)]
		public virtual string Remark { get; set; }
</v>
      </c>
      <c r="O27" t="str">
        <f t="shared" ref="O27" si="84">IF(OR(H27="string",H27="DateTime",H27="int"),REPT(CHAR(9),2)&amp;"public virtual "&amp;IF(OR(H27="DateTime",H27="TimeSpan"),H27&amp;"?",H27)&amp;IF(C27="?","? "," ")&amp;D27&amp;" { get; set; }"&amp;$E$3,"")</f>
        <v xml:space="preserve">		public virtual string Remark { get; set; }
</v>
      </c>
      <c r="P27" t="str">
        <f t="shared" ref="P27" si="85">REPT(CHAR(9),7)&amp;D27&amp;" = o." &amp;D27 &amp;","</f>
        <v xml:space="preserve">							Remark = o.Remark,</v>
      </c>
      <c r="T27" s="69" t="str">
        <f t="shared" ref="T27" si="86">REPT(CHAR(9),8)&amp;"("""&amp;D27&amp;"""),"</f>
        <v xml:space="preserve">								("Remark"),</v>
      </c>
      <c r="V27" s="70" t="str">
        <f t="shared" ref="V27" si="87">REPT(CHAR(9),8)&amp;"_ =&gt; _."&amp;D27&amp;","</f>
        <v xml:space="preserve">								_ =&gt; _.Remark,</v>
      </c>
      <c r="W27" s="69" t="str">
        <f t="shared" ref="W27" si="88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.WhereIf(!string.IsNullOrWhiteSpace(input.Remark), e =&gt; e.Remark.Contains(input.Remark))</v>
      </c>
    </row>
    <row r="28" spans="1:23" customFormat="1" ht="22.5" customHeight="1" x14ac:dyDescent="0.25">
      <c r="A28" t="s">
        <v>324</v>
      </c>
      <c r="B28" t="s">
        <v>325</v>
      </c>
      <c r="C28" t="s">
        <v>1</v>
      </c>
      <c r="D28" t="str">
        <f>SUBSTITUTE(PROPER(A28),"_","")</f>
        <v>IsActive</v>
      </c>
      <c r="E28" t="str">
        <f t="shared" si="25"/>
        <v>varchar</v>
      </c>
      <c r="F28" s="7"/>
      <c r="G28" t="str">
        <f t="shared" si="26"/>
        <v>1</v>
      </c>
      <c r="H28" t="str">
        <f>+VLOOKUP(E28,'Data Type Mapping'!A:B,2,)</f>
        <v>string</v>
      </c>
      <c r="I28" t="str">
        <f t="shared" si="27"/>
        <v xml:space="preserve">		public const int MaxIsActiveLength = 1;
</v>
      </c>
      <c r="J28" t="str">
        <f t="shared" si="28"/>
        <v xml:space="preserve">		[StringLength(MaxIsActiveLength)]
		public virtual string IsActive { get; set; }
</v>
      </c>
      <c r="K28" s="7" t="s">
        <v>206</v>
      </c>
      <c r="L28" t="str">
        <f>IF(K28="","",REPT(CHAR(9),1)&amp;"[Index(nameof("&amp;IF(D28="","",""&amp;D28)&amp;")"&amp;", Name="&amp;"""IX_"&amp;$B$7&amp;"_"&amp;D28&amp;""")]")</f>
        <v xml:space="preserve">	[Index(nameof(IsActive), Name="IX_MstLgaEkbPartListGrade_IsActive")]</v>
      </c>
      <c r="M28" t="str">
        <f t="shared" si="30"/>
        <v xml:space="preserve">		public virtual string IsActive { get; set; }
</v>
      </c>
      <c r="N28" t="str">
        <f t="shared" si="31"/>
        <v xml:space="preserve">		[StringLength(MstLgaEkbPartListGradeConsts.MaxIsActiveLength)]
		public virtual string IsActive { get; set; }
</v>
      </c>
      <c r="O28" t="str">
        <f t="shared" si="32"/>
        <v xml:space="preserve">		public virtual string IsActive { get; set; }
</v>
      </c>
      <c r="P28" t="str">
        <f t="shared" si="33"/>
        <v xml:space="preserve">							IsActive = o.IsActive,</v>
      </c>
      <c r="T28" s="69" t="str">
        <f t="shared" si="34"/>
        <v xml:space="preserve">								("IsActive"),</v>
      </c>
      <c r="V28" s="70" t="str">
        <f t="shared" si="35"/>
        <v xml:space="preserve">								_ =&gt; _.IsActive,</v>
      </c>
      <c r="W28" s="69" t="str">
        <f t="shared" si="36"/>
        <v xml:space="preserve">				.WhereIf(!string.IsNullOrWhiteSpace(input.IsActive), e =&gt; e.IsActive.Contains(input.IsActive))</v>
      </c>
    </row>
    <row r="30" spans="1:23" ht="45.75" customHeight="1" x14ac:dyDescent="0.25">
      <c r="H30" s="12"/>
      <c r="I30" s="34" t="str">
        <f ca="1">TEXTJOIN2("
", TRUE,INDIRECT( $H$1):INDIRECT( $H$3))</f>
        <v xml:space="preserve">		public const int MaxPartNoLength = 50;
		public const int MaxPartNoNormanlizedLength = 50;
		public const int MaxPartNameLength = 200;
		public const int MaxBackNoLength = 50;
		public const int MaxProdLineLength = 50;
		public const int MaxSupplierNoLength = 50;
		public const int MaxModelLength = 50;
		public const int MaxProcessCodeLength = 50;
		public const int MaxGradeLength = 50;
		public const int MaxModuleLength = 50;
		public const int MaxPcAddressLength = 50;
		public const int MaxSpsAddressLength = 50;
		public const int MaxRemarkLength = 500;
		public const int MaxIsActiveLength = 1;
</v>
      </c>
      <c r="J30" s="33" t="str">
        <f ca="1">TEXTJOIN2("
", TRUE,INDIRECT( $F$1):INDIRECT( $F$3))</f>
        <v xml:space="preserve">		[StringLength(MaxPartNoLength)]
		public virtual string PartNo { get; set; }
		[StringLength(MaxPartNoNormanlizedLength)]
		public virtual string PartNoNormanlized { get; set; }
		[StringLength(MaxPartNameLength)]
		public virtual string PartName { get; set; }
		[StringLength(MaxBackNoLength)]
		public virtual string BackNo { get; set; }
		[Column(TypeName="bigint")]
		public virtual long PartListId { get; set; }
		[StringLength(MaxProdLineLength)]
		public virtual string ProdLine { get; set; }
		[StringLength(MaxSupplierNoLength)]
		public virtual string SupplierNo { get; set; }
		[StringLength(MaxModelLength)]
		public virtual string Model { get; set; }
		public virtual long ProcessId { get; set; }
		[StringLength(MaxProcessCodeLength)]
		public virtual string ProcessCode { get; set; }
		[StringLength(MaxGradeLength)]
		public virtual string Grade { get; set; }
		public virtual int UsageQty { get; set; }
		public virtual int BoxQty { get; set; }
		[StringLength(MaxModuleLength)]
		public virtual string Module { get; set; }
		[StringLength(MaxPcAddressLength)]
		public virtual string PcAddress { get; set; }
		public virtual int PcSorting { get; set; }
		[StringLength(MaxSpsAddressLength)]
		public virtual string SpsAddress { get; set; }
		public virtual int SpsSorting { get; set; }
		[StringLength(MaxRemarkLength)]
		public virtual string Remark { get; set; }
		[StringLength(MaxIsActiveLength)]
		public virtual string IsActive { get; set; }
</v>
      </c>
      <c r="K30" s="35" t="str">
        <f ca="1">TEXTJOIN2("
", TRUE,INDIRECT( $J$1):INDIRECT( $J$3))</f>
        <v xml:space="preserve">	[Index(nameof(PartNo), Name="IX_MstLgaEkbPartListGrade_PartNo")]
	[Index(nameof(PartNoNormanlized), Name="IX_MstLgaEkbPartListGrade_PartNoNormanlized")]
	[Index(nameof(BackNo), Name="IX_MstLgaEkbPartListGrade_BackNo")]
	[Index(nameof(PartListId), Name="IX_MstLgaEkbPartListGrade_PartListId")]
	[Index(nameof(ProdLine), Name="IX_MstLgaEkbPartListGrade_ProdLine")]
	[Index(nameof(ProcessId), Name="IX_MstLgaEkbPartListGrade_ProcessId")]
	[Index(nameof(IsActive), Name="IX_MstLgaEkbPartListGrade_IsActive")]</v>
      </c>
      <c r="L30" s="13" t="s">
        <v>60</v>
      </c>
      <c r="M30" s="36" t="str">
        <f ca="1">TEXTJOIN2("
",TRUE,INDIRECT( $L$1):INDIRECT($L$3))</f>
        <v xml:space="preserve">		public virtual string PartNo { get; set; }
		public virtual string PartNoNormanlized { get; set; }
		public virtual string PartName { get; set; }
		public virtual string BackNo { get; set; }
		public virtual long PartListId { get; set; }
		public virtual string ProdLine { get; set; }
		public virtual string SupplierNo { get; set; }
		public virtual string Model { get; set; }
		public virtual long ProcessId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</v>
      </c>
      <c r="N30" s="33" t="str">
        <f ca="1">TEXTJOIN2("
",TRUE,INDIRECT( $M$1):INDIRECT($M$3))</f>
        <v xml:space="preserve">		[StringLength(MstLgaEkbPartListGradeConsts.MaxPartNoLength)]
		public virtual string PartNo { get; set; }
		[StringLength(MstLgaEkbPartListGradeConsts.MaxPartNoNormanlizedLength)]
		public virtual string PartNoNormanlized { get; set; }
		[StringLength(MstLgaEkbPartListGradeConsts.MaxPartNameLength)]
		public virtual string PartName { get; set; }
		[StringLength(MstLgaEkbPartListGradeConsts.MaxBackNoLength)]
		public virtual string BackNo { get; set; }
		public virtual long PartListId { get; set; }
		[StringLength(MstLgaEkbPartListGradeConsts.MaxProdLineLength)]
		public virtual string ProdLine { get; set; }
		[StringLength(MstLgaEkbPartListGradeConsts.MaxSupplierNoLength)]
		public virtual string SupplierNo { get; set; }
		[StringLength(MstLgaEkbPartListGradeConsts.MaxModelLength)]
		public virtual string Model { get; set; }
		public virtual long ProcessId { get; set; }
		[StringLength(MstLgaEkbPartListGradeConsts.MaxProcessCodeLength)]
		public virtual string ProcessCode { get; set; }
		[StringLength(MstLgaEkbPartListGradeConsts.MaxGradeLength)]
		public virtual string Grade { get; set; }
		public virtual int UsageQty { get; set; }
		public virtual int BoxQty { get; set; }
		[StringLength(MstLgaEkbPartListGradeConsts.MaxModuleLength)]
		public virtual string Module { get; set; }
		[StringLength(MstLgaEkbPartListGradeConsts.MaxPcAddressLength)]
		public virtual string PcAddress { get; set; }
		public virtual int PcSorting { get; set; }
		[StringLength(MstLgaEkbPartListGradeConsts.MaxSpsAddressLength)]
		public virtual string SpsAddress { get; set; }
		public virtual int SpsSorting { get; set; }
		[StringLength(MstLgaEkbPartListGradeConsts.MaxRemarkLength)]
		public virtual string Remark { get; set; }
		[StringLength(MstLgaEkbPartListGradeConsts.MaxIsActiveLength)]
		public virtual string IsActive { get; set; }
</v>
      </c>
      <c r="O30" s="33" t="str">
        <f ca="1">TEXTJOIN2("
",TRUE,INDIRECT( $N$1):INDIRECT($N$3))</f>
        <v xml:space="preserve">		public virtual string PartNo { get; set; }
		public virtual string PartNoNormanlized { get; set; }
		public virtual string PartName { get; set; }
		public virtual string BackNo { get; set; }
		public virtual string ProdLine { get; set; }
		public virtual string SupplierNo { get; set; }
		public virtual string Model { get; set; }
		public virtual string ProcessCode { get; set; }
		public virtual string Grade { get; set; }
		public virtual int UsageQty { get; set; }
		public virtual int BoxQty { get; set; }
		public virtual string Module { get; set; }
		public virtual string PcAddress { get; set; }
		public virtual int PcSorting { get; set; }
		public virtual string SpsAddress { get; set; }
		public virtual int SpsSorting { get; set; }
		public virtual string Remark { get; set; }
		public virtual string IsActive { get; set; }
</v>
      </c>
      <c r="P30" s="9" t="str">
        <f ca="1">TEXTJOIN2("
",TRUE,INDIRECT( $O$1):INDIRECT($O$3))</f>
        <v xml:space="preserve">							PartNo = o.PartNo,
							PartNoNormanlized = o.PartNoNormanlized,
							PartName = o.PartName,
							BackNo = o.BackNo,
							PartListId = o.PartListId,
							ProdLine = o.ProdLine,
							SupplierNo = o.SupplierNo,
							Model = o.Model,
							ProcessId = o.ProcessId,
							ProcessCode = o.ProcessCode,
							Grade = o.Grade,
							UsageQty = o.UsageQty,
							BoxQty = o.BoxQty,
							Module = o.Module,
							PcAddress = o.PcAddress,
							PcSorting = o.PcSorting,
							SpsAddress = o.SpsAddress,
							SpsSorting = o.SpsSorting,
							Remark = o.Remark,
							IsActive = o.IsActive,</v>
      </c>
      <c r="T30" s="9" t="str">
        <f ca="1">TEXTJOIN2("
",TRUE,INDIRECT( $T$2):INDIRECT($T$3))</f>
        <v xml:space="preserve">								("PartNo"),
								("PartNoNormanlized"),
								("PartName"),
								("BackNo"),
								("PartListId"),
								("ProdLine"),
								("SupplierNo"),
								("Model"),
								("ProcessId"),
								("ProcessCode"),
								("Grade"),
								("UsageQty"),
								("BoxQty"),
								("Module"),
								("PcAddress"),
								("PcSorting"),
								("SpsAddress"),
								("SpsSorting"),
								("Remark"),
								("IsActive"),</v>
      </c>
      <c r="V30" s="9" t="str">
        <f ca="1">TEXTJOIN2("
",TRUE,INDIRECT( $V$2):INDIRECT($V$3))</f>
        <v xml:space="preserve">								_ =&gt; _.PartNo,
								_ =&gt; _.PartNoNormanlized,
								_ =&gt; _.PartName,
								_ =&gt; _.BackNo,
								_ =&gt; _.PartListId,
								_ =&gt; _.ProdLine,
								_ =&gt; _.SupplierNo,
								_ =&gt; _.Model,
								_ =&gt; _.ProcessId,
								_ =&gt; _.ProcessCode,
								_ =&gt; _.Grade,
								_ =&gt; _.UsageQty,
								_ =&gt; _.BoxQty,
								_ =&gt; _.Module,
								_ =&gt; _.PcAddress,
								_ =&gt; _.PcSorting,
								_ =&gt; _.SpsAddress,
								_ =&gt; _.SpsSorting,
								_ =&gt; _.Remark,
								_ =&gt; _.IsActive,</v>
      </c>
      <c r="W30" s="9" t="str">
        <f ca="1">TEXTJOIN2("
",TRUE,INDIRECT( $W$2):INDIRECT($W$3))</f>
        <v xml:space="preserve">				.WhereIf(!string.IsNullOrWhiteSpace(input.PartNo), e =&gt; e.PartNo.Contains(input.PartNo))
				.WhereIf(!string.IsNullOrWhiteSpace(input.PartNoNormanlized), e =&gt; e.PartNoNormanlized.Contains(input.PartNoNormanlized))
				.WhereIf(!string.IsNullOrWhiteSpace(input.PartName), e =&gt; e.PartName.Contains(input.PartName))
				.WhereIf(!string.IsNullOrWhiteSpace(input.BackNo), e =&gt; e.BackNo.Contains(input.BackNo))
				.WhereIf(!string.IsNullOrWhiteSpace(input.ProdLine), e =&gt; e.ProdLine.Contains(input.ProdLine))
				.WhereIf(!string.IsNullOrWhiteSpace(input.SupplierNo), e =&gt; e.SupplierNo.Contains(input.SupplierNo))
				.WhereIf(!string.IsNullOrWhiteSpace(input.Model), e =&gt; e.Model.Contains(input.Model))
				.WhereIf(!string.IsNullOrWhiteSpace(input.ProcessCode), e =&gt; e.ProcessCode.Contains(input.ProcessCode))
				.WhereIf(!string.IsNullOrWhiteSpace(input.Grade), e =&gt; e.Grade.Contains(input.Grade))
				.WhereIf(!string.IsNullOrWhiteSpace(input.Module), e =&gt; e.Module.Contains(input.Module))
				.WhereIf(!string.IsNullOrWhiteSpace(input.PcAddress), e =&gt; e.PcAddress.Contains(input.PcAddress))
				.WhereIf(!string.IsNullOrWhiteSpace(input.SpsAddress), e =&gt; e.SpsAddress.Contains(input.SpsAddress))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7"/>
  <sheetViews>
    <sheetView tabSelected="1" topLeftCell="A11" zoomScaleNormal="100" workbookViewId="0">
      <selection activeCell="D17" sqref="D1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342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MstLgaEkbPartListGrade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EkbPartListGrade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ekbpartlistgrade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MstLgaEkbPartListGradeDto, MstLgaEkbPartListGradeServiceProxy } from '@shared/service-proxies/service-proxies';
import { finalize } from 'rxjs/internal/operators/finalize';
import { CreateOrEditEkbPartListGradeModalComponent } from './create-or-edit-ekbpartlistgrade-modal.component';
import { DatePipe } from '@angular/common';
import { FileDownloadService } from '@shared/utils/file-download.service';
import ceil from 'lodash-es/ceil';
import { Paginator } from 'primeng/paginator';
@Component({
    templateUrl: './ekbpartlistgrade.component.html',
    styleUrls: ['./ekbpartlistgrade.component.less'],
})
export class EkbPartListGradeComponent extends AppComponentBase implements OnInit {
    @ViewChild('createOrEditModalEkbPartListGrade', { static: true }) createOrEditModalEkbPartListGrade:| CreateOrEditEkbPartListGradeModalComponent|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MstLgaEkbPartListGradeDto = new MstLgaEkbPartListGradeDto();
    saveSelectedRow: MstLgaEkbPartListGradeDto = new MstLgaEkbPartListGradeDto();
    datas: MstLgaEkbPartListGradeDto = new MstLgaEkbPartListGradeDto();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partNoNormanlized : string = '' ; 
	partName : string = '' ; 
	backNo : string = '' ; 
	partListId
	prodLine : string = '' ; 
	supplierNo : string = '' ; 
	model : string = '' ; 
	processId
	processCode : string = '' ; 
	grade : string = '' ; 
	usageQty : number = 0 ;
	boxQty : number = 0 ;
	module : string = '' ; 
	pcAddress : string = '' ; 
	pcSorting : number = 0 ;
	spsAddress : string = '' ; 
	spsSorting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MstLgaEkbPartListGradeServiceProxy,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this.l('Part List Id'),headerTooltip: this.l('Part List Id'),field: 'partListId',flex: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this.l('Grade'),headerTooltip: this.l('Grade'),field: 'grade',flex: 1},
			{headerName: this.l('Usage Qty'),headerTooltip: this.l('Usage Qty'),field: 'usageQty',flex: 1},
			{headerName: this.l('Box Qty'),headerTooltip: this.l('Box Qty'),field: 'boxQty',flex: 1},
			{headerName: this.l('Module'),headerTooltip: this.l('Module'),field: 'module',flex: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this.partNoNormanlized = '',
		this.partName = '',
		this.backNo = '',
		this.partListId = '',
		this.prodLine = '',
		this.supplierNo = '',
		this.model = '',
		this.processId = '',
		this.processCode = '',
		this.grade = '',
		this.usageQty = 0,
		this.boxQty = 0,
		this.module = '',
		this.pcAddress = '',
		this.pcSorting = 0,
		this.spsAddress = '',
		this.spsSorting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			'',
            this.paginationParams.skipCount,
            this.paginationParams.pageSize
        );
    }
    onChangeRowSelection(params: { api: { getSelectedRows: () =&gt; MstLgaEkbPartListGradeDto[] } }) {
        this.saveSelectedRow = params.api.getSelectedRows()[0] ?? new MstLgaEkbPartListGradeDto();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MstLgaEkbPartListGradeDto):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this._service.getEkbPartListGradeToExcel(
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Part List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(click)="createOrEditModalEkbPartListGrade.show()"&gt;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(click)="createOrEditModalEkbPartListGrade.show(selectedRow)"&gt;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&lt;create-or-edit-ekbpartlistgrade-modal
    #createOrEditModalEkbPartListGrade
    (modalSave)="callBackDataGrid(dataParams)"
    (modalClose)="onChangeRowSelection(dataParams)"
&gt;
&lt;/create-or-edit-ekbpartlistgrade-modal&gt;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#createOrEditModalEkbPartListGrade="bs-modal"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EkbPartListGrade')}}&lt;/h3&gt;
                    &lt;h3 *ngIf="!rowdata.id"&gt;{{('Create New EkbPartListGrade')}}&lt;/h3&gt;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CreateOrEditMstLgaEkbPartListGradeDto, MstLgaEkbPartListGradeServiceProxy } from '@shared/service-proxies/service-proxies';
import { BsDatepickerDirective } from 'ngx-bootstrap/datepicker';
@Component({
    selector: 'create-or-edit-ekbpartlistgrade-modal',
    templateUrl: './create-or-edit-ekbpartlistgrade-modal.component.html',
    styleUrls: ['./create-or-edit-ekbpartlistgrade-modal.component.less']
    })
export class CreateOrEditEkbPartListGradeModalComponent extends AppComponentBase {
    @ViewChild('createOrEditModalEkbPartListGrade',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CreateOrEditMstLgaEkbPartListGradeDto = new CreateOrEditMstLgaEkbPartListGradeDto();
    active: boolean = false;
    saving: boolean = false;
    _isActive: boolean;
    constructor(
        injector: Injector,
        private _mstwptEkbPartListGradeService: MstLgaEkbPartListGradeServiceProxy,
    ) 
    {
        super(injector);
    }
    show(rowdata?: CreateOrEditMstLgaEkbPartListGradeDto): void {
        if (!rowdata) this.rowdata = new CreateOrEditMstLgaEkbPartListGradeDto();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this._mstwptEkbPartListGradeService.createOrEdit(this.rowdata)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EkbPartListGradeRoutingModule } from './ekbpartlistgrade-routing.module';
import { EkbPartListGradeComponent } from './ekbpartlistgrade.component';
import { CreateOrEditEkbPartListGradeModalComponent } from './create-or-edit-ekbpartlistgrade-modal.component';
@NgModule({
    declarations: [
       EkbPartListGradeComponent, 
        CreateOrEditEkbPartListGradeModalComponent
    ],
    imports: [
        AppSharedModule, EkbPartListGradeRoutingModule]
})
export class EkbPartListGradeModule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EkbPartListGradeComponent } from './ekbpartlistgrade.component';
const routes: Routes = [{
    path: '',
    component: EkbPartListGradeComponent,
    pathMatch: 'full'
}];
@NgModule({
    imports: [RouterModule.forChild(routes)],
    exports: [RouterModule],
})
export class EkbPartListGradeRoutingModule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AppMenuItem("EkbPartListGrade", "Pages.Master.LogA.EkbPartListGrade", "flaticon-book",   "/app/main/master/loga/ekbpartlistgrade"),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'master/loga/ekbpartlistgrade',
    loadChildren: () =&gt; import('./master/loga/ekbpartlistgrade/ekbpartlistgrade.module').then(m =&gt; m.EkbPartListGradeModule),
    data: { permission: 'Pages.Master.LogA.EkbPartListGrade' }
},</v>
      </c>
      <c r="R10" s="50" t="str">
        <f>SUBSTITUTE(R9,"MstWptCalendar",$B$6)</f>
        <v>ApiServiceProxies.MstLgaEkbPartListGradeServiceProxy,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H34</v>
      </c>
      <c r="I12" s="31" t="str">
        <f>"I"&amp;COUNTA($A:$A)</f>
        <v>I34</v>
      </c>
      <c r="J12" s="31"/>
      <c r="K12" s="31" t="str">
        <f>"K"&amp;COUNTA($A:$A)</f>
        <v>K34</v>
      </c>
      <c r="L12" s="31" t="str">
        <f>"L"&amp;COUNTA($A:$A)</f>
        <v>L34</v>
      </c>
      <c r="M12" s="31"/>
      <c r="N12" s="31"/>
      <c r="O12" s="31"/>
      <c r="P12" s="31"/>
      <c r="Q12" s="31"/>
      <c r="R12" s="31"/>
      <c r="S12" s="31" t="str">
        <f>"S"&amp;COUNTA($A:$A)</f>
        <v>S34</v>
      </c>
      <c r="T12" s="31" t="str">
        <f>"T"&amp;COUNTA($A:$A)</f>
        <v>T34</v>
      </c>
      <c r="U12" s="31" t="str">
        <f>"U"&amp;COUNTA($A:$A)</f>
        <v>U34</v>
      </c>
      <c r="V12" s="31" t="str">
        <f>"V"&amp;COUNTA($A:$A)</f>
        <v>V34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this.l('Part No Normanlized'),headerTooltip: this.l('Part No Normanlized'),field: 'partNoNormanlized',flex: 1},
			{headerName: this.l('Part Name'),headerTooltip: this.l('Part Name'),field: 'partName',flex: 1},
			{headerName: this.l('Back No'),headerTooltip: this.l('Back No'),field: 'backNo',flex: 1},
			{headerName: this.l('Part List Id'),headerTooltip: this.l('Part List Id'),field: 'partListId',flex: 1},
			{headerName: this.l('Prod Line'),headerTooltip: this.l('Prod Line'),field: 'prodLine',flex: 1},
			{headerName: this.l('Supplier No'),headerTooltip: this.l('Supplier No'),field: 'supplierNo',flex: 1},
			{headerName: this.l('Model'),headerTooltip: this.l('Model'),field: 'model',flex: 1},
			{headerName: this.l('Process Id'),headerTooltip: this.l('Process Id'),field: 'processId',flex: 1},
			{headerName: this.l('Process Code'),headerTooltip: this.l('Process Code'),field: 'processCode',flex: 1},
			{headerName: this.l('Grade'),headerTooltip: this.l('Grade'),field: 'grade',flex: 1},
			{headerName: this.l('Usage Qty'),headerTooltip: this.l('Usage Qty'),field: 'usageQty',flex: 1},
			{headerName: this.l('Box Qty'),headerTooltip: this.l('Box Qty'),field: 'boxQty',flex: 1},
			{headerName: this.l('Module'),headerTooltip: this.l('Module'),field: 'module',flex: 1},
			{headerName: this.l('Pc Address'),headerTooltip: this.l('Pc Address'),field: 'pcAddress',flex: 1},
			{headerName: this.l('Pc Sorting'),headerTooltip: this.l('Pc Sorting'),field: 'pcSorting',flex: 1},
			{headerName: this.l('Sps Address'),headerTooltip: this.l('Sps Address'),field: 'spsAddress',flex: 1},
			{headerName: this.l('Sps Sorting'),headerTooltip: this.l('Sps Sorting'),field: 'spsSorting',flex: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[(ngModel)]='partNoNormanlized' name='partNoNormanlized'
									class='form-control' [placeholder]="l('Part No Normanlized')"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title'&gt;Pc Sorting&lt;/label&gt;
						&lt;input type='number' class='col-md-10 form-control input-text' name='PcSorting' [(ngModel)]='rowdata.pcSorting'&gt;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title'&gt;Sps Sorting&lt;/label&gt;
						&lt;input type='number' class='col-md-10 form-control input-text' name='SpsSorting' [(ngModel)]='rowdata.spsSorting'&gt;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partNo : string = '' ; 
	partNoNormanlized : string = '' ; 
	partName : string = '' ; 
	backNo : string = '' ; 
	partListId
	prodLine : string = '' ; 
	supplierNo : string = '' ; 
	model : string = '' ; 
	processId
	processCode : string = '' ; 
	grade : string = '' ; 
	usageQty : number = 0 ;
	boxQty : number = 0 ;
	module : string = '' ; 
	pcAddress : string = '' ; 
	pcSorting : number = 0 ;
	spsAddress : string = '' ; 
	spsSorting : number = 0 ;
	remark : string = '' ; 
	isActive : string = '' ; </v>
      </c>
      <c r="T13" s="68" t="str">
        <f ca="1">TEXTJOIN2("
",TRUE,INDIRECT(T11):INDIRECT(T12))</f>
        <v xml:space="preserve">			this.partNo,
			this.partNoNormanlized,
			this.partName,
			this.backNo,
			this.partListId,
			this.prodLine,
			this.supplierNo,
			this.model,
			this.processId,
			this.processCode,
			this.grade,
			this.usageQty,
			this.boxQty,
			this.module,
			this.pcAddress,
			this.pcSorting,
			this.spsAddress,
			this.spsSorting,
			this.remark,
			this.isActive,</v>
      </c>
      <c r="U13" s="68" t="str">
        <f ca="1">TEXTJOIN2("
",TRUE,INDIRECT(U11):INDIRECT(U12))</f>
        <v>this.partNo = '',
		this.partNoNormanlized = '',
		this.partName = '',
		this.backNo = '',
		this.partListId = '',
		this.prodLine = '',
		this.supplierNo = '',
		this.model = '',
		this.processId = '',
		this.processCode = '',
		this.grade = '',
		this.usageQty = 0,
		this.boxQty = 0,
		this.module = '',
		this.pcAddress = '',
		this.pcSorting = 0,
		this.spsAddress = '',
		this.spsSorting = 0,
		this.remark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ekbpartlistgrade.component.ts</v>
      </c>
      <c r="I14" s="40" t="str">
        <f>B8&amp;".component.html"</f>
        <v>ekbpartlistgrade.component.html</v>
      </c>
      <c r="J14" s="39" t="str">
        <f>B8&amp;".component.less"</f>
        <v>ekbpartlistgrade.component.less</v>
      </c>
      <c r="K14" s="40" t="str">
        <f>"create-or-edit-"&amp;B8&amp;"-modal.component.html"</f>
        <v>create-or-edit-ekbpartlistgrade-modal.component.html</v>
      </c>
      <c r="L14" s="40" t="str">
        <f>"create-or-edit-"&amp;B8&amp;"-modal.component.ts"</f>
        <v>create-or-edit-ekbpartlistgrade-modal.component.ts</v>
      </c>
      <c r="M14" s="40" t="str">
        <f>"create-or-edit-"&amp;B8&amp;"-modal.component.less"</f>
        <v>create-or-edit-ekbpartlistgrade-modal.component.less</v>
      </c>
      <c r="N14" s="40" t="str">
        <f>B8&amp;".module.ts"</f>
        <v>ekbpartlistgrade.module.ts</v>
      </c>
      <c r="O14" s="40" t="str">
        <f>B8&amp;"-routing.module.ts"</f>
        <v>ekbpartlistgrade-routing.module.ts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327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partNo : string = '' ; </v>
      </c>
      <c r="T15" s="31" t="str">
        <f>REPT(CHAR(9),3)&amp;"this."&amp;D15&amp;","</f>
        <v xml:space="preserve">			this.partNo,</v>
      </c>
      <c r="U15" s="31" t="str">
        <f>IF(E15="int","this."&amp;D15&amp;" = 0,","this."&amp;D15&amp;" = '',")</f>
        <v>this.partNo = '',</v>
      </c>
      <c r="V15" s="31" t="str">
        <f>IF(AND(E15="string",F15="1"),D15,"")</f>
        <v/>
      </c>
    </row>
    <row r="16" spans="1:22" ht="15" customHeight="1" x14ac:dyDescent="0.25">
      <c r="A16" s="31" t="s">
        <v>335</v>
      </c>
      <c r="B16" s="31" t="str">
        <f t="shared" ref="B16:B19" si="0">SUBSTITUTE(PROPER(A16),"_","")</f>
        <v>PartNoNormanlized</v>
      </c>
      <c r="C16" s="31" t="str">
        <f t="shared" ref="C16:C19" si="1">SUBSTITUTE(PROPER(A16),"_"," ")</f>
        <v>Part No Normanlized</v>
      </c>
      <c r="D16" s="31" t="str">
        <f t="shared" ref="D16:D19" si="2">LOWER(LEFT(B16,1))&amp;RIGHT(B16,LEN(B16) - 1)</f>
        <v>partNoNormanlized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 Normanlized'),headerTooltip: this.l('Part No Normanlized'),field: 'partNoNormanlized',flex: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[(ngModel)]='partNoNormanlized' name='partNoNormanlized'
									class='form-control' [placeholder]="l('Part No Normanlized')"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 Normanlized&lt;/label&gt;
						&lt;input type='text' class='col-md-10 form-control input-text' name='PartNoNormanlized' [(ngModel)]='rowdata.partNoNormanlized'&gt;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partNoNormanlized : string = '' ; </v>
      </c>
      <c r="T16" s="31" t="str">
        <f>REPT(CHAR(9),3)&amp;"this."&amp;D16&amp;","</f>
        <v xml:space="preserve">			this.partNoNormanlized,</v>
      </c>
      <c r="U16" s="31" t="str">
        <f>IF(E16="int",REPT(CHAR(9),2)&amp;"this."&amp;D16&amp;" = 0,",REPT(CHAR(9),2)&amp;"this."&amp;D16&amp;" = '',")</f>
        <v xml:space="preserve">		this.partNoNormanlized = '',</v>
      </c>
      <c r="V16" s="31" t="str">
        <f t="shared" ref="V16:V19" si="8">IF(AND(E16="string",F16="1"),D16,"")</f>
        <v/>
      </c>
    </row>
    <row r="17" spans="1:22" ht="18" customHeight="1" x14ac:dyDescent="0.25">
      <c r="A17" s="31" t="s">
        <v>326</v>
      </c>
      <c r="B17" s="31" t="str">
        <f t="shared" si="0"/>
        <v>PartName</v>
      </c>
      <c r="C17" s="31" t="str">
        <f t="shared" si="1"/>
        <v>Part Name</v>
      </c>
      <c r="D17" s="31" t="str">
        <f t="shared" si="2"/>
        <v>partName</v>
      </c>
      <c r="E17" s="31" t="str">
        <f>A.Backend!H11</f>
        <v>string</v>
      </c>
      <c r="F17" s="31" t="str">
        <f>A.Backend!G11</f>
        <v>200</v>
      </c>
      <c r="G17" s="31" t="str">
        <f t="shared" si="3"/>
        <v xml:space="preserve"> : string = '' ; </v>
      </c>
      <c r="H17" s="38" t="str">
        <f t="shared" si="4"/>
        <v xml:space="preserve">			{headerName: this.l('Part Name'),headerTooltip: this.l('Part Name'),field: 'partName',flex: 1},</v>
      </c>
      <c r="I17" s="38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partName : string = '' ; </v>
      </c>
      <c r="T17" s="31" t="str">
        <f t="shared" ref="T17:T19" si="10">REPT(CHAR(9),3)&amp;"this."&amp;D17&amp;","</f>
        <v xml:space="preserve">			this.partName,</v>
      </c>
      <c r="U17" s="31" t="str">
        <f t="shared" ref="U17:U19" si="11">IF(E17="int",REPT(CHAR(9),2)&amp;"this."&amp;D17&amp;" = 0,",REPT(CHAR(9),2)&amp;"this."&amp;D17&amp;" = '',")</f>
        <v xml:space="preserve">		this.partName = '',</v>
      </c>
      <c r="V17" s="31" t="str">
        <f t="shared" si="8"/>
        <v/>
      </c>
    </row>
    <row r="18" spans="1:22" ht="18" customHeight="1" x14ac:dyDescent="0.25">
      <c r="A18" s="31" t="s">
        <v>337</v>
      </c>
      <c r="B18" s="31" t="str">
        <f t="shared" si="0"/>
        <v>BackNo</v>
      </c>
      <c r="C18" s="31" t="str">
        <f t="shared" si="1"/>
        <v>Back No</v>
      </c>
      <c r="D18" s="31" t="str">
        <f t="shared" si="2"/>
        <v>backNo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this.l('Back No'),headerTooltip: this.l('Back No'),field: 'backNo',flex: 1},</v>
      </c>
      <c r="I18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backNo : string = '' ; </v>
      </c>
      <c r="T18" s="31" t="str">
        <f t="shared" si="10"/>
        <v xml:space="preserve">			this.backNo,</v>
      </c>
      <c r="U18" s="31" t="str">
        <f t="shared" si="11"/>
        <v xml:space="preserve">		this.backNo = '',</v>
      </c>
      <c r="V18" s="31" t="str">
        <f t="shared" si="8"/>
        <v/>
      </c>
    </row>
    <row r="19" spans="1:22" ht="15" customHeight="1" x14ac:dyDescent="0.25">
      <c r="A19" s="31" t="s">
        <v>328</v>
      </c>
      <c r="B19" s="31" t="str">
        <f t="shared" si="0"/>
        <v>PartListId</v>
      </c>
      <c r="C19" s="31" t="str">
        <f t="shared" si="1"/>
        <v>Part List Id</v>
      </c>
      <c r="D19" s="31" t="str">
        <f t="shared" si="2"/>
        <v>partListId</v>
      </c>
      <c r="E19" s="31" t="str">
        <f>A.Backend!H13</f>
        <v>long</v>
      </c>
      <c r="F19" s="31" t="str">
        <f>A.Backend!G13</f>
        <v/>
      </c>
      <c r="G19" s="31" t="str">
        <f t="shared" si="3"/>
        <v/>
      </c>
      <c r="H19" s="38" t="str">
        <f t="shared" si="4"/>
        <v xml:space="preserve">			{headerName: this.l('Part List Id'),headerTooltip: this.l('Part List Id'),field: 'partListId',flex: 1},</v>
      </c>
      <c r="I19" s="38" t="str">
        <f t="shared" si="5"/>
        <v/>
      </c>
      <c r="J19" s="31"/>
      <c r="K19" s="38" t="str">
        <f t="shared" si="6"/>
        <v/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partListId</v>
      </c>
      <c r="T19" s="31" t="str">
        <f t="shared" si="10"/>
        <v xml:space="preserve">			this.partListId,</v>
      </c>
      <c r="U19" s="31" t="str">
        <f t="shared" si="11"/>
        <v xml:space="preserve">		this.partListId = '',</v>
      </c>
      <c r="V19" s="31" t="str">
        <f t="shared" si="8"/>
        <v/>
      </c>
    </row>
    <row r="20" spans="1:22" ht="15" customHeight="1" x14ac:dyDescent="0.25">
      <c r="A20" s="31" t="s">
        <v>323</v>
      </c>
      <c r="B20" s="31" t="str">
        <f t="shared" ref="B20:B21" si="12">SUBSTITUTE(PROPER(A20),"_","")</f>
        <v>ProdLine</v>
      </c>
      <c r="C20" s="31" t="str">
        <f t="shared" ref="C20:C21" si="13">SUBSTITUTE(PROPER(A20),"_"," ")</f>
        <v>Prod Line</v>
      </c>
      <c r="D20" s="31" t="str">
        <f t="shared" ref="D20:D21" si="14">LOWER(LEFT(B20,1))&amp;RIGHT(B20,LEN(B20) - 1)</f>
        <v>prodLine</v>
      </c>
      <c r="E20" s="31" t="str">
        <f>A.Backend!H14</f>
        <v>string</v>
      </c>
      <c r="F20" s="31" t="str">
        <f>A.Backend!G14</f>
        <v>50</v>
      </c>
      <c r="G20" s="31" t="str">
        <f t="shared" ref="G20:G21" si="15">IF(E20="string"," : string = '' ; ",IF(OR(E20="DateTime",E20="TimeSpan")," : any ;",IF(E20="int"," : number = 0 ;","")))</f>
        <v xml:space="preserve"> : string = '' ; </v>
      </c>
      <c r="H20" s="38" t="str">
        <f t="shared" ref="H20:H21" si="16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this.l('Prod Line'),headerTooltip: this.l('Prod Line'),field: 'prodLine',flex: 1},</v>
      </c>
      <c r="I20" s="38" t="str">
        <f t="shared" ref="I20:I21" si="17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0" s="31"/>
      <c r="K20" s="38" t="str">
        <f t="shared" ref="K20:K21" si="18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0" s="60" t="str">
        <f t="shared" ref="L20:L21" si="19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:S21" si="20">REPT(CHAR(9),1)&amp;D20&amp;G20</f>
        <v xml:space="preserve">	prodLine : string = '' ; </v>
      </c>
      <c r="T20" s="31" t="str">
        <f t="shared" ref="T20:T21" si="21">REPT(CHAR(9),3)&amp;"this."&amp;D20&amp;","</f>
        <v xml:space="preserve">			this.prodLine,</v>
      </c>
      <c r="U20" s="31" t="str">
        <f t="shared" ref="U20:U21" si="22">IF(E20="int",REPT(CHAR(9),2)&amp;"this."&amp;D20&amp;" = 0,",REPT(CHAR(9),2)&amp;"this."&amp;D20&amp;" = '',")</f>
        <v xml:space="preserve">		this.prodLine = '',</v>
      </c>
      <c r="V20" s="31" t="str">
        <f t="shared" ref="V20:V21" si="23">IF(AND(E20="string",F20="1"),D20,"")</f>
        <v/>
      </c>
    </row>
    <row r="21" spans="1:22" ht="15" customHeight="1" x14ac:dyDescent="0.25">
      <c r="A21" s="31" t="s">
        <v>348</v>
      </c>
      <c r="B21" s="31" t="str">
        <f t="shared" si="12"/>
        <v>SupplierNo</v>
      </c>
      <c r="C21" s="31" t="str">
        <f t="shared" si="13"/>
        <v>Supplier No</v>
      </c>
      <c r="D21" s="31" t="str">
        <f t="shared" si="14"/>
        <v>supplierNo</v>
      </c>
      <c r="E21" s="31" t="str">
        <f>A.Backend!H15</f>
        <v>string</v>
      </c>
      <c r="F21" s="31" t="str">
        <f>A.Backend!G15</f>
        <v>50</v>
      </c>
      <c r="G21" s="31" t="str">
        <f t="shared" si="15"/>
        <v xml:space="preserve"> : string = '' ; </v>
      </c>
      <c r="H21" s="38" t="str">
        <f t="shared" si="16"/>
        <v xml:space="preserve">			{headerName: this.l('Supplier No'),headerTooltip: this.l('Supplier No'),field: 'supplierNo',flex: 1},</v>
      </c>
      <c r="I21" s="38" t="str">
        <f t="shared" si="17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1" s="31"/>
      <c r="K21" s="38" t="str">
        <f t="shared" si="18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1" s="60" t="str">
        <f t="shared" si="19"/>
        <v/>
      </c>
      <c r="M21" s="31"/>
      <c r="N21" s="31"/>
      <c r="O21" s="31"/>
      <c r="P21" s="31"/>
      <c r="Q21" s="31"/>
      <c r="R21" s="31"/>
      <c r="S21" s="31" t="str">
        <f t="shared" si="20"/>
        <v xml:space="preserve">	supplierNo : string = '' ; </v>
      </c>
      <c r="T21" s="31" t="str">
        <f t="shared" si="21"/>
        <v xml:space="preserve">			this.supplierNo,</v>
      </c>
      <c r="U21" s="31" t="str">
        <f t="shared" si="22"/>
        <v xml:space="preserve">		this.supplierNo = '',</v>
      </c>
      <c r="V21" s="31" t="str">
        <f t="shared" si="23"/>
        <v/>
      </c>
    </row>
    <row r="22" spans="1:22" ht="15" customHeight="1" x14ac:dyDescent="0.25">
      <c r="A22" s="31" t="s">
        <v>330</v>
      </c>
      <c r="B22" s="31" t="str">
        <f t="shared" ref="B22:B23" si="24">SUBSTITUTE(PROPER(A22),"_","")</f>
        <v>Model</v>
      </c>
      <c r="C22" s="31" t="str">
        <f t="shared" ref="C22:C23" si="25">SUBSTITUTE(PROPER(A22),"_"," ")</f>
        <v>Model</v>
      </c>
      <c r="D22" s="31" t="str">
        <f t="shared" ref="D22:D23" si="26">LOWER(LEFT(B22,1))&amp;RIGHT(B22,LEN(B22) - 1)</f>
        <v>model</v>
      </c>
      <c r="E22" s="31" t="str">
        <f>A.Backend!H16</f>
        <v>string</v>
      </c>
      <c r="F22" s="31" t="str">
        <f>A.Backend!G16</f>
        <v>50</v>
      </c>
      <c r="G22" s="31" t="str">
        <f t="shared" ref="G22:G23" si="27">IF(E22="string"," : string = '' ; ",IF(OR(E22="DateTime",E22="TimeSpan")," : any ;",IF(E22="int"," : number = 0 ;","")))</f>
        <v xml:space="preserve"> : string = '' ; </v>
      </c>
      <c r="H22" s="38" t="str">
        <f t="shared" ref="H22:H23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this.l('Model'),headerTooltip: this.l('Model'),field: 'model',flex: 1},</v>
      </c>
      <c r="I22" s="38" t="str">
        <f t="shared" ref="I22:I23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22" s="31"/>
      <c r="K22" s="38" t="str">
        <f t="shared" ref="K22:K23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22" s="60" t="str">
        <f t="shared" ref="L22:L23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3" si="32">REPT(CHAR(9),1)&amp;D22&amp;G22</f>
        <v xml:space="preserve">	model : string = '' ; </v>
      </c>
      <c r="T22" s="31" t="str">
        <f t="shared" ref="T22:T23" si="33">REPT(CHAR(9),3)&amp;"this."&amp;D22&amp;","</f>
        <v xml:space="preserve">			this.model,</v>
      </c>
      <c r="U22" s="31" t="str">
        <f t="shared" ref="U22:U23" si="34">IF(E22="int",REPT(CHAR(9),2)&amp;"this."&amp;D22&amp;" = 0,",REPT(CHAR(9),2)&amp;"this."&amp;D22&amp;" = '',")</f>
        <v xml:space="preserve">		this.model = '',</v>
      </c>
      <c r="V22" s="31" t="str">
        <f t="shared" ref="V22:V23" si="35">IF(AND(E22="string",F22="1"),D22,"")</f>
        <v/>
      </c>
    </row>
    <row r="23" spans="1:22" ht="15" customHeight="1" x14ac:dyDescent="0.25">
      <c r="A23" s="31" t="s">
        <v>338</v>
      </c>
      <c r="B23" s="31" t="str">
        <f t="shared" si="24"/>
        <v>ProcessId</v>
      </c>
      <c r="C23" s="31" t="str">
        <f t="shared" si="25"/>
        <v>Process Id</v>
      </c>
      <c r="D23" s="31" t="str">
        <f t="shared" si="26"/>
        <v>processId</v>
      </c>
      <c r="E23" s="31" t="str">
        <f>A.Backend!H17</f>
        <v>long</v>
      </c>
      <c r="F23" s="31" t="str">
        <f>A.Backend!G17</f>
        <v/>
      </c>
      <c r="G23" s="31" t="str">
        <f t="shared" si="27"/>
        <v/>
      </c>
      <c r="H23" s="38" t="str">
        <f t="shared" si="28"/>
        <v xml:space="preserve">			{headerName: this.l('Process Id'),headerTooltip: this.l('Process Id'),field: 'processId',flex: 1},</v>
      </c>
      <c r="I23" s="38" t="str">
        <f t="shared" si="29"/>
        <v/>
      </c>
      <c r="J23" s="31"/>
      <c r="K23" s="38" t="str">
        <f t="shared" si="30"/>
        <v/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processId</v>
      </c>
      <c r="T23" s="31" t="str">
        <f t="shared" si="33"/>
        <v xml:space="preserve">			this.processId,</v>
      </c>
      <c r="U23" s="31" t="str">
        <f t="shared" si="34"/>
        <v xml:space="preserve">		this.processId = '',</v>
      </c>
      <c r="V23" s="31" t="str">
        <f t="shared" si="35"/>
        <v/>
      </c>
    </row>
    <row r="24" spans="1:22" ht="15" customHeight="1" x14ac:dyDescent="0.25">
      <c r="A24" s="31" t="s">
        <v>339</v>
      </c>
      <c r="B24" s="31" t="str">
        <f t="shared" ref="B24:B28" si="36">SUBSTITUTE(PROPER(A24),"_","")</f>
        <v>ProcessCode</v>
      </c>
      <c r="C24" s="31" t="str">
        <f t="shared" ref="C24:C28" si="37">SUBSTITUTE(PROPER(A24),"_"," ")</f>
        <v>Process Code</v>
      </c>
      <c r="D24" s="31" t="str">
        <f t="shared" ref="D24:D28" si="38">LOWER(LEFT(B24,1))&amp;RIGHT(B24,LEN(B24) - 1)</f>
        <v>processCode</v>
      </c>
      <c r="E24" s="31" t="str">
        <f>A.Backend!H18</f>
        <v>string</v>
      </c>
      <c r="F24" s="31" t="str">
        <f>A.Backend!G18</f>
        <v>50</v>
      </c>
      <c r="G24" s="31" t="str">
        <f t="shared" ref="G24:G28" si="39">IF(E24="string"," : string = '' ; ",IF(OR(E24="DateTime",E24="TimeSpan")," : any ;",IF(E24="int"," : number = 0 ;","")))</f>
        <v xml:space="preserve"> : string = '' ; </v>
      </c>
      <c r="H24" s="38" t="str">
        <f t="shared" ref="H24:H28" si="40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this.l('Process Code'),headerTooltip: this.l('Process Code'),field: 'processCode',flex: 1},</v>
      </c>
      <c r="I24" s="38" t="str">
        <f t="shared" ref="I24:I28" si="41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24" s="31"/>
      <c r="K24" s="38" t="str">
        <f t="shared" ref="K24:K28" si="42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24" s="60" t="str">
        <f t="shared" ref="L24:L28" si="43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processCode : string = '' ; </v>
      </c>
      <c r="T24" s="31" t="str">
        <f>REPT(CHAR(9),3)&amp;"this."&amp;D24&amp;","</f>
        <v xml:space="preserve">			this.processCode,</v>
      </c>
      <c r="U24" s="31" t="str">
        <f>IF(E24="int",REPT(CHAR(9),2)&amp;"this."&amp;D24&amp;" = 0,",REPT(CHAR(9),2)&amp;"this."&amp;D24&amp;" = '',")</f>
        <v xml:space="preserve">		this.processCode = '',</v>
      </c>
      <c r="V24" s="31" t="str">
        <f t="shared" ref="V24:V28" si="44">IF(AND(E24="string",F24="1"),D24,"")</f>
        <v/>
      </c>
    </row>
    <row r="25" spans="1:22" ht="15" customHeight="1" x14ac:dyDescent="0.25">
      <c r="A25" s="31" t="s">
        <v>329</v>
      </c>
      <c r="B25" s="31" t="str">
        <f t="shared" si="36"/>
        <v>Grade</v>
      </c>
      <c r="C25" s="31" t="str">
        <f t="shared" si="37"/>
        <v>Grade</v>
      </c>
      <c r="D25" s="31" t="str">
        <f t="shared" si="38"/>
        <v>grade</v>
      </c>
      <c r="E25" s="31" t="str">
        <f>A.Backend!H19</f>
        <v>string</v>
      </c>
      <c r="F25" s="31" t="str">
        <f>A.Backend!G19</f>
        <v>50</v>
      </c>
      <c r="G25" s="31" t="str">
        <f t="shared" si="39"/>
        <v xml:space="preserve"> : string = '' ; </v>
      </c>
      <c r="H25" s="38" t="str">
        <f t="shared" si="40"/>
        <v xml:space="preserve">			{headerName: this.l('Grade'),headerTooltip: this.l('Grade'),field: 'grade',flex: 1},</v>
      </c>
      <c r="I25" s="38" t="str">
        <f t="shared" si="41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5" s="31"/>
      <c r="K25" s="38" t="str">
        <f t="shared" si="42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5" s="60" t="str">
        <f t="shared" si="43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grade : string = '' ; </v>
      </c>
      <c r="T25" s="31" t="str">
        <f>REPT(CHAR(9),3)&amp;"this."&amp;D25&amp;","</f>
        <v xml:space="preserve">			this.grade,</v>
      </c>
      <c r="U25" s="31" t="str">
        <f>IF(E25="int",REPT(CHAR(9),2)&amp;"this."&amp;D25&amp;" = 0,",REPT(CHAR(9),2)&amp;"this."&amp;D25&amp;" = '',")</f>
        <v xml:space="preserve">		this.grade = '',</v>
      </c>
      <c r="V25" s="31" t="str">
        <f t="shared" si="44"/>
        <v/>
      </c>
    </row>
    <row r="26" spans="1:22" ht="18" customHeight="1" x14ac:dyDescent="0.25">
      <c r="A26" s="31" t="s">
        <v>334</v>
      </c>
      <c r="B26" s="31" t="str">
        <f t="shared" si="36"/>
        <v>UsageQty</v>
      </c>
      <c r="C26" s="31" t="str">
        <f t="shared" si="37"/>
        <v>Usage Qty</v>
      </c>
      <c r="D26" s="31" t="str">
        <f t="shared" si="38"/>
        <v>usageQty</v>
      </c>
      <c r="E26" s="31" t="str">
        <f>A.Backend!H20</f>
        <v>int</v>
      </c>
      <c r="F26" s="31" t="str">
        <f>A.Backend!G20</f>
        <v/>
      </c>
      <c r="G26" s="31" t="str">
        <f t="shared" si="39"/>
        <v xml:space="preserve"> : number = 0 ;</v>
      </c>
      <c r="H26" s="38" t="str">
        <f t="shared" si="40"/>
        <v xml:space="preserve">			{headerName: this.l('Usage Qty'),headerTooltip: this.l('Usage Qty'),field: 'usageQty',flex: 1},</v>
      </c>
      <c r="I26" s="38" t="str">
        <f t="shared" si="41"/>
        <v/>
      </c>
      <c r="J26" s="31"/>
      <c r="K26" s="38" t="str">
        <f t="shared" si="42"/>
        <v xml:space="preserve">					&lt;div class='col-md-12 form-group row'&gt;
						&lt;label class='col-md-2 form-control title'&gt;Usage Qty&lt;/label&gt;
						&lt;input type='number' class='col-md-10 form-control input-text' name='UsageQty' [(ngModel)]='rowdata.usageQty'&gt;
					&lt;/div&gt;</v>
      </c>
      <c r="L26" s="60" t="str">
        <f t="shared" si="43"/>
        <v/>
      </c>
      <c r="M26" s="31"/>
      <c r="N26" s="31"/>
      <c r="O26" s="31"/>
      <c r="P26" s="31"/>
      <c r="Q26" s="31"/>
      <c r="R26" s="31"/>
      <c r="S26" s="31" t="str">
        <f t="shared" ref="S26:S28" si="45">REPT(CHAR(9),1)&amp;D26&amp;G26</f>
        <v xml:space="preserve">	usageQty : number = 0 ;</v>
      </c>
      <c r="T26" s="31" t="str">
        <f t="shared" ref="T26:T28" si="46">REPT(CHAR(9),3)&amp;"this."&amp;D26&amp;","</f>
        <v xml:space="preserve">			this.usageQty,</v>
      </c>
      <c r="U26" s="31" t="str">
        <f t="shared" ref="U26:U28" si="47">IF(E26="int",REPT(CHAR(9),2)&amp;"this."&amp;D26&amp;" = 0,",REPT(CHAR(9),2)&amp;"this."&amp;D26&amp;" = '',")</f>
        <v xml:space="preserve">		this.usageQty = 0,</v>
      </c>
      <c r="V26" s="31" t="str">
        <f t="shared" si="44"/>
        <v/>
      </c>
    </row>
    <row r="27" spans="1:22" ht="18" customHeight="1" x14ac:dyDescent="0.25">
      <c r="A27" s="31" t="s">
        <v>343</v>
      </c>
      <c r="B27" s="31" t="str">
        <f t="shared" ref="B27" si="48">SUBSTITUTE(PROPER(A27),"_","")</f>
        <v>BoxQty</v>
      </c>
      <c r="C27" s="31" t="str">
        <f t="shared" ref="C27" si="49">SUBSTITUTE(PROPER(A27),"_"," ")</f>
        <v>Box Qty</v>
      </c>
      <c r="D27" s="31" t="str">
        <f t="shared" ref="D27" si="50">LOWER(LEFT(B27,1))&amp;RIGHT(B27,LEN(B27) - 1)</f>
        <v>boxQty</v>
      </c>
      <c r="E27" s="31" t="str">
        <f>A.Backend!H21</f>
        <v>int</v>
      </c>
      <c r="F27" s="31" t="str">
        <f>A.Backend!G21</f>
        <v/>
      </c>
      <c r="G27" s="31" t="str">
        <f t="shared" ref="G27" si="51">IF(E27="string"," : string = '' ; ",IF(OR(E27="DateTime",E27="TimeSpan")," : any ;",IF(E27="int"," : number = 0 ;","")))</f>
        <v xml:space="preserve"> : number = 0 ;</v>
      </c>
      <c r="H27" s="38" t="str">
        <f t="shared" ref="H27" si="52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this.l('Box Qty'),headerTooltip: this.l('Box Qty'),field: 'boxQty',flex: 1},</v>
      </c>
      <c r="I27" s="38" t="str">
        <f t="shared" ref="I27" si="53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31"/>
      <c r="K27" s="38" t="str">
        <f t="shared" ref="K27" si="54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7" s="60" t="str">
        <f t="shared" ref="L27" si="55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 t="shared" ref="S27" si="56">REPT(CHAR(9),1)&amp;D27&amp;G27</f>
        <v xml:space="preserve">	boxQty : number = 0 ;</v>
      </c>
      <c r="T27" s="31" t="str">
        <f t="shared" ref="T27" si="57">REPT(CHAR(9),3)&amp;"this."&amp;D27&amp;","</f>
        <v xml:space="preserve">			this.boxQty,</v>
      </c>
      <c r="U27" s="31" t="str">
        <f t="shared" ref="U27" si="58">IF(E27="int",REPT(CHAR(9),2)&amp;"this."&amp;D27&amp;" = 0,",REPT(CHAR(9),2)&amp;"this."&amp;D27&amp;" = '',")</f>
        <v xml:space="preserve">		this.boxQty = 0,</v>
      </c>
      <c r="V27" s="31" t="str">
        <f t="shared" ref="V27" si="59">IF(AND(E27="string",F27="1"),D27,"")</f>
        <v/>
      </c>
    </row>
    <row r="28" spans="1:22" ht="15" customHeight="1" x14ac:dyDescent="0.25">
      <c r="A28" s="31" t="s">
        <v>331</v>
      </c>
      <c r="B28" s="31" t="str">
        <f t="shared" si="36"/>
        <v>Module</v>
      </c>
      <c r="C28" s="31" t="str">
        <f t="shared" si="37"/>
        <v>Module</v>
      </c>
      <c r="D28" s="31" t="str">
        <f t="shared" si="38"/>
        <v>module</v>
      </c>
      <c r="E28" s="31" t="str">
        <f>A.Backend!H22</f>
        <v>string</v>
      </c>
      <c r="F28" s="31" t="str">
        <f>A.Backend!G22</f>
        <v>50</v>
      </c>
      <c r="G28" s="31" t="str">
        <f t="shared" si="39"/>
        <v xml:space="preserve"> : string = '' ; </v>
      </c>
      <c r="H28" s="38" t="str">
        <f t="shared" si="40"/>
        <v xml:space="preserve">			{headerName: this.l('Module'),headerTooltip: this.l('Module'),field: 'module',flex: 1},</v>
      </c>
      <c r="I28" s="38" t="str">
        <f t="shared" si="41"/>
        <v xml:space="preserve">								&lt;div class='input-search'&gt;
									&lt;input [(ngModel)]='module' name='module'
									class='form-control' [placeholder]="l('Module')"
									type='text' (keyup.enter)='searchDatas()'&gt;
								&lt;/div&gt;</v>
      </c>
      <c r="J28" s="31"/>
      <c r="K28" s="38" t="str">
        <f t="shared" si="42"/>
        <v xml:space="preserve">					&lt;div class='col-md-12 form-group row'&gt;
						&lt;label class='col-md-2 form-control title'&gt;Module&lt;/label&gt;
						&lt;input type='text' class='col-md-10 form-control input-text' name='Module' [(ngModel)]='rowdata.module'&gt;
					&lt;/div&gt;</v>
      </c>
      <c r="L28" s="60" t="str">
        <f t="shared" si="43"/>
        <v/>
      </c>
      <c r="M28" s="31"/>
      <c r="N28" s="31"/>
      <c r="O28" s="31"/>
      <c r="P28" s="31"/>
      <c r="Q28" s="31"/>
      <c r="R28" s="31"/>
      <c r="S28" s="31" t="str">
        <f t="shared" si="45"/>
        <v xml:space="preserve">	module : string = '' ; </v>
      </c>
      <c r="T28" s="31" t="str">
        <f t="shared" si="46"/>
        <v xml:space="preserve">			this.module,</v>
      </c>
      <c r="U28" s="31" t="str">
        <f t="shared" si="47"/>
        <v xml:space="preserve">		this.module = '',</v>
      </c>
      <c r="V28" s="31" t="str">
        <f t="shared" si="44"/>
        <v/>
      </c>
    </row>
    <row r="29" spans="1:22" ht="15" customHeight="1" x14ac:dyDescent="0.25">
      <c r="A29" s="31" t="s">
        <v>344</v>
      </c>
      <c r="B29" s="31" t="str">
        <f t="shared" ref="B29:B31" si="60">SUBSTITUTE(PROPER(A29),"_","")</f>
        <v>PcAddress</v>
      </c>
      <c r="C29" s="31" t="str">
        <f t="shared" ref="C29:C31" si="61">SUBSTITUTE(PROPER(A29),"_"," ")</f>
        <v>Pc Address</v>
      </c>
      <c r="D29" s="31" t="str">
        <f t="shared" ref="D29:D31" si="62">LOWER(LEFT(B29,1))&amp;RIGHT(B29,LEN(B29) - 1)</f>
        <v>pcAddress</v>
      </c>
      <c r="E29" s="31" t="str">
        <f>A.Backend!H23</f>
        <v>string</v>
      </c>
      <c r="F29" s="31" t="str">
        <f>A.Backend!G23</f>
        <v>50</v>
      </c>
      <c r="G29" s="31" t="str">
        <f t="shared" ref="G29:G31" si="63">IF(E29="string"," : string = '' ; ",IF(OR(E29="DateTime",E29="TimeSpan")," : any ;",IF(E29="int"," : number = 0 ;","")))</f>
        <v xml:space="preserve"> : string = '' ; </v>
      </c>
      <c r="H29" s="38" t="str">
        <f t="shared" ref="H29:H31" si="64"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this.l('Pc Address'),headerTooltip: this.l('Pc Address'),field: 'pcAddress',flex: 1},</v>
      </c>
      <c r="I29" s="38" t="str">
        <f t="shared" ref="I29:I31" si="65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9" s="31"/>
      <c r="K29" s="38" t="str">
        <f t="shared" ref="K29:K31" si="66"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9" s="60" t="str">
        <f t="shared" ref="L29:L31" si="67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>REPT(CHAR(9),1)&amp;D29&amp;G29</f>
        <v xml:space="preserve">	pcAddress : string = '' ; </v>
      </c>
      <c r="T29" s="31" t="str">
        <f>REPT(CHAR(9),3)&amp;"this."&amp;D29&amp;","</f>
        <v xml:space="preserve">			this.pcAddress,</v>
      </c>
      <c r="U29" s="31" t="str">
        <f>IF(E29="int",REPT(CHAR(9),2)&amp;"this."&amp;D29&amp;" = 0,",REPT(CHAR(9),2)&amp;"this."&amp;D29&amp;" = '',")</f>
        <v xml:space="preserve">		this.pcAddress = '',</v>
      </c>
      <c r="V29" s="31" t="str">
        <f t="shared" ref="V29:V31" si="68">IF(AND(E29="string",F29="1"),D29,"")</f>
        <v/>
      </c>
    </row>
    <row r="30" spans="1:22" ht="15" customHeight="1" x14ac:dyDescent="0.25">
      <c r="A30" s="31" t="s">
        <v>345</v>
      </c>
      <c r="B30" s="31" t="str">
        <f t="shared" si="60"/>
        <v>PcSorting</v>
      </c>
      <c r="C30" s="31" t="str">
        <f t="shared" si="61"/>
        <v>Pc Sorting</v>
      </c>
      <c r="D30" s="31" t="str">
        <f t="shared" si="62"/>
        <v>pcSorting</v>
      </c>
      <c r="E30" s="31" t="str">
        <f>A.Backend!H24</f>
        <v>int</v>
      </c>
      <c r="F30" s="31" t="str">
        <f>A.Backend!G24</f>
        <v/>
      </c>
      <c r="G30" s="31" t="str">
        <f t="shared" si="63"/>
        <v xml:space="preserve"> : number = 0 ;</v>
      </c>
      <c r="H30" s="38" t="str">
        <f t="shared" si="64"/>
        <v xml:space="preserve">			{headerName: this.l('Pc Sorting'),headerTooltip: this.l('Pc Sorting'),field: 'pcSorting',flex: 1},</v>
      </c>
      <c r="I30" s="38" t="str">
        <f t="shared" si="65"/>
        <v/>
      </c>
      <c r="J30" s="31"/>
      <c r="K30" s="38" t="str">
        <f t="shared" si="66"/>
        <v xml:space="preserve">					&lt;div class='col-md-12 form-group row'&gt;
						&lt;label class='col-md-2 form-control title'&gt;Pc Sorting&lt;/label&gt;
						&lt;input type='number' class='col-md-10 form-control input-text' name='PcSorting' [(ngModel)]='rowdata.pcSorting'&gt;
					&lt;/div&gt;</v>
      </c>
      <c r="L30" s="60" t="str">
        <f t="shared" si="67"/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pcSorting : number = 0 ;</v>
      </c>
      <c r="T30" s="31" t="str">
        <f>REPT(CHAR(9),3)&amp;"this."&amp;D30&amp;","</f>
        <v xml:space="preserve">			this.pcSorting,</v>
      </c>
      <c r="U30" s="31" t="str">
        <f>IF(E30="int",REPT(CHAR(9),2)&amp;"this."&amp;D30&amp;" = 0,",REPT(CHAR(9),2)&amp;"this."&amp;D30&amp;" = '',")</f>
        <v xml:space="preserve">		this.pcSorting = 0,</v>
      </c>
      <c r="V30" s="31" t="str">
        <f t="shared" si="68"/>
        <v/>
      </c>
    </row>
    <row r="31" spans="1:22" ht="18" customHeight="1" x14ac:dyDescent="0.25">
      <c r="A31" s="31" t="s">
        <v>346</v>
      </c>
      <c r="B31" s="31" t="str">
        <f t="shared" si="60"/>
        <v>SpsAddress</v>
      </c>
      <c r="C31" s="31" t="str">
        <f t="shared" si="61"/>
        <v>Sps Address</v>
      </c>
      <c r="D31" s="31" t="str">
        <f t="shared" si="62"/>
        <v>spsAddress</v>
      </c>
      <c r="E31" s="31" t="str">
        <f>A.Backend!H25</f>
        <v>string</v>
      </c>
      <c r="F31" s="31" t="str">
        <f>A.Backend!G25</f>
        <v>50</v>
      </c>
      <c r="G31" s="31" t="str">
        <f t="shared" si="63"/>
        <v xml:space="preserve"> : string = '' ; </v>
      </c>
      <c r="H31" s="38" t="str">
        <f t="shared" si="64"/>
        <v xml:space="preserve">			{headerName: this.l('Sps Address'),headerTooltip: this.l('Sps Address'),field: 'spsAddress',flex: 1},</v>
      </c>
      <c r="I31" s="38" t="str">
        <f t="shared" si="65"/>
        <v xml:space="preserve">								&lt;div class='input-search'&gt;
									&lt;input [(ngModel)]='spsAddress' name='spsAddress'
									class='form-control' [placeholder]="l('Sps Address')"
									type='text' (keyup.enter)='searchDatas()'&gt;
								&lt;/div&gt;</v>
      </c>
      <c r="J31" s="31"/>
      <c r="K31" s="38" t="str">
        <f t="shared" si="66"/>
        <v xml:space="preserve">					&lt;div class='col-md-12 form-group row'&gt;
						&lt;label class='col-md-2 form-control title'&gt;Sps Address&lt;/label&gt;
						&lt;input type='text' class='col-md-10 form-control input-text' name='SpsAddress' [(ngModel)]='rowdata.spsAddress'&gt;
					&lt;/div&gt;</v>
      </c>
      <c r="L31" s="60" t="str">
        <f t="shared" si="67"/>
        <v/>
      </c>
      <c r="M31" s="31"/>
      <c r="N31" s="31"/>
      <c r="O31" s="31"/>
      <c r="P31" s="31"/>
      <c r="Q31" s="31"/>
      <c r="R31" s="31"/>
      <c r="S31" s="31" t="str">
        <f t="shared" ref="S31" si="69">REPT(CHAR(9),1)&amp;D31&amp;G31</f>
        <v xml:space="preserve">	spsAddress : string = '' ; </v>
      </c>
      <c r="T31" s="31" t="str">
        <f t="shared" ref="T31" si="70">REPT(CHAR(9),3)&amp;"this."&amp;D31&amp;","</f>
        <v xml:space="preserve">			this.spsAddress,</v>
      </c>
      <c r="U31" s="31" t="str">
        <f t="shared" ref="U31" si="71">IF(E31="int",REPT(CHAR(9),2)&amp;"this."&amp;D31&amp;" = 0,",REPT(CHAR(9),2)&amp;"this."&amp;D31&amp;" = '',")</f>
        <v xml:space="preserve">		this.spsAddress = '',</v>
      </c>
      <c r="V31" s="31" t="str">
        <f t="shared" si="68"/>
        <v/>
      </c>
    </row>
    <row r="32" spans="1:22" ht="15" customHeight="1" x14ac:dyDescent="0.25">
      <c r="A32" s="31" t="s">
        <v>347</v>
      </c>
      <c r="B32" s="31" t="str">
        <f t="shared" ref="B32:B34" si="72">SUBSTITUTE(PROPER(A32),"_","")</f>
        <v>SpsSorting</v>
      </c>
      <c r="C32" s="31" t="str">
        <f t="shared" ref="C32:C34" si="73">SUBSTITUTE(PROPER(A32),"_"," ")</f>
        <v>Sps Sorting</v>
      </c>
      <c r="D32" s="31" t="str">
        <f t="shared" ref="D32:D34" si="74">LOWER(LEFT(B32,1))&amp;RIGHT(B32,LEN(B32) - 1)</f>
        <v>spsSorting</v>
      </c>
      <c r="E32" s="31" t="str">
        <f>A.Backend!H26</f>
        <v>int</v>
      </c>
      <c r="F32" s="31" t="str">
        <f>A.Backend!G26</f>
        <v/>
      </c>
      <c r="G32" s="31" t="str">
        <f t="shared" ref="G32:G34" si="75">IF(E32="string"," : string = '' ; ",IF(OR(E32="DateTime",E32="TimeSpan")," : any ;",IF(E32="int"," : number = 0 ;","")))</f>
        <v xml:space="preserve"> : number = 0 ;</v>
      </c>
      <c r="H32" s="38" t="str">
        <f t="shared" ref="H32:H34" si="76"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this.l('Sps Sorting'),headerTooltip: this.l('Sps Sorting'),field: 'spsSorting',flex: 1},</v>
      </c>
      <c r="I32" s="38" t="str">
        <f t="shared" ref="I32:I34" si="77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31"/>
      <c r="K32" s="38" t="str">
        <f t="shared" ref="K32:K34" si="78"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title'&gt;Sps Sorting&lt;/label&gt;
						&lt;input type='number' class='col-md-10 form-control input-text' name='SpsSorting' [(ngModel)]='rowdata.spsSorting'&gt;
					&lt;/div&gt;</v>
      </c>
      <c r="L32" s="60" t="str">
        <f t="shared" ref="L32:L34" si="79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REPT(CHAR(9),1)&amp;D32&amp;G32</f>
        <v xml:space="preserve">	spsSorting : number = 0 ;</v>
      </c>
      <c r="T32" s="31" t="str">
        <f>REPT(CHAR(9),3)&amp;"this."&amp;D32&amp;","</f>
        <v xml:space="preserve">			this.spsSorting,</v>
      </c>
      <c r="U32" s="31" t="str">
        <f>IF(E32="int",REPT(CHAR(9),2)&amp;"this."&amp;D32&amp;" = 0,",REPT(CHAR(9),2)&amp;"this."&amp;D32&amp;" = '',")</f>
        <v xml:space="preserve">		this.spsSorting = 0,</v>
      </c>
      <c r="V32" s="31" t="str">
        <f t="shared" ref="V32:V34" si="80">IF(AND(E32="string",F32="1"),D32,"")</f>
        <v/>
      </c>
    </row>
    <row r="33" spans="1:22" ht="15" customHeight="1" x14ac:dyDescent="0.25">
      <c r="A33" s="31" t="s">
        <v>332</v>
      </c>
      <c r="B33" s="31" t="str">
        <f t="shared" ref="B33" si="81">SUBSTITUTE(PROPER(A33),"_","")</f>
        <v>Remark</v>
      </c>
      <c r="C33" s="31" t="str">
        <f t="shared" ref="C33" si="82">SUBSTITUTE(PROPER(A33),"_"," ")</f>
        <v>Remark</v>
      </c>
      <c r="D33" s="31" t="str">
        <f t="shared" ref="D33" si="83">LOWER(LEFT(B33,1))&amp;RIGHT(B33,LEN(B33) - 1)</f>
        <v>remark</v>
      </c>
      <c r="E33" s="31" t="str">
        <f>A.Backend!H27</f>
        <v>string</v>
      </c>
      <c r="F33" s="31" t="str">
        <f>A.Backend!G27</f>
        <v>500</v>
      </c>
      <c r="G33" s="31" t="str">
        <f t="shared" ref="G33" si="84">IF(E33="string"," : string = '' ; ",IF(OR(E33="DateTime",E33="TimeSpan")," : any ;",IF(E33="int"," : number = 0 ;","")))</f>
        <v xml:space="preserve"> : string = '' ; </v>
      </c>
      <c r="H33" s="38" t="str">
        <f t="shared" ref="H33" si="85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this.l('Remark'),headerTooltip: this.l('Remark'),field: 'remark',flex: 1},</v>
      </c>
      <c r="I33" s="38" t="str">
        <f t="shared" ref="I33" si="86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3" s="31"/>
      <c r="K33" s="38" t="str">
        <f t="shared" ref="K33" si="87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3" s="60" t="str">
        <f t="shared" ref="L33" si="88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remark : string = '' ; </v>
      </c>
      <c r="T33" s="31" t="str">
        <f>REPT(CHAR(9),3)&amp;"this."&amp;D33&amp;","</f>
        <v xml:space="preserve">			this.remark,</v>
      </c>
      <c r="U33" s="31" t="str">
        <f>IF(E33="int",REPT(CHAR(9),2)&amp;"this."&amp;D33&amp;" = 0,",REPT(CHAR(9),2)&amp;"this."&amp;D33&amp;" = '',")</f>
        <v xml:space="preserve">		this.remark = '',</v>
      </c>
      <c r="V33" s="31" t="str">
        <f t="shared" ref="V33" si="89">IF(AND(E33="string",F33="1"),D33,"")</f>
        <v/>
      </c>
    </row>
    <row r="34" spans="1:22" ht="18" customHeight="1" x14ac:dyDescent="0.25">
      <c r="A34" s="31" t="s">
        <v>324</v>
      </c>
      <c r="B34" s="31" t="str">
        <f t="shared" si="72"/>
        <v>IsActive</v>
      </c>
      <c r="C34" s="31" t="str">
        <f t="shared" si="73"/>
        <v>Is Active</v>
      </c>
      <c r="D34" s="31" t="str">
        <f t="shared" si="74"/>
        <v>isActive</v>
      </c>
      <c r="E34" s="31" t="str">
        <f>A.Backend!H28</f>
        <v>string</v>
      </c>
      <c r="F34" s="31" t="str">
        <f>A.Backend!G28</f>
        <v>1</v>
      </c>
      <c r="G34" s="31" t="str">
        <f t="shared" si="75"/>
        <v xml:space="preserve"> : string = '' ; </v>
      </c>
      <c r="H34" s="38" t="str">
        <f t="shared" si="76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4" s="38" t="str">
        <f t="shared" si="7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4" s="31"/>
      <c r="K34" s="38" t="str">
        <f t="shared" si="78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4" s="60" t="str">
        <f t="shared" si="79"/>
        <v/>
      </c>
      <c r="M34" s="31"/>
      <c r="N34" s="31"/>
      <c r="O34" s="31"/>
      <c r="P34" s="31"/>
      <c r="Q34" s="31"/>
      <c r="R34" s="31"/>
      <c r="S34" s="31" t="str">
        <f t="shared" ref="S34" si="90">REPT(CHAR(9),1)&amp;D34&amp;G34</f>
        <v xml:space="preserve">	isActive : string = '' ; </v>
      </c>
      <c r="T34" s="31" t="str">
        <f t="shared" ref="T34" si="91">REPT(CHAR(9),3)&amp;"this."&amp;D34&amp;","</f>
        <v xml:space="preserve">			this.isActive,</v>
      </c>
      <c r="U34" s="31" t="str">
        <f t="shared" ref="U34" si="92">IF(E34="int",REPT(CHAR(9),2)&amp;"this."&amp;D34&amp;" = 0,",REPT(CHAR(9),2)&amp;"this."&amp;D34&amp;" = '',")</f>
        <v xml:space="preserve">		this.isActive = '',</v>
      </c>
      <c r="V34" s="31" t="str">
        <f t="shared" si="80"/>
        <v>isActive</v>
      </c>
    </row>
    <row r="3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2022-12-22T09:40:25Z</dcterms:modified>
</cp:coreProperties>
</file>
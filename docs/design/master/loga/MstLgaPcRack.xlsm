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ProductTmv\prod\docs\design\master\loga\"/>
    </mc:Choice>
  </mc:AlternateContent>
  <xr:revisionPtr revIDLastSave="0" documentId="13_ncr:1_{3206AA7D-4113-45B3-B19F-7EE0CD0C631D}" xr6:coauthVersionLast="36" xr6:coauthVersionMax="37" xr10:uidLastSave="{00000000-0000-0000-0000-000000000000}"/>
  <bookViews>
    <workbookView xWindow="0" yWindow="2715" windowWidth="28800" windowHeight="16425" activeTab="2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E17" i="5"/>
  <c r="F18" i="5" l="1"/>
  <c r="C18" i="5"/>
  <c r="B18" i="5"/>
  <c r="D18" i="5" s="1"/>
  <c r="G12" i="1"/>
  <c r="E12" i="1"/>
  <c r="H12" i="1" s="1"/>
  <c r="E18" i="5" s="1"/>
  <c r="V18" i="5" s="1"/>
  <c r="D12" i="1"/>
  <c r="V12" i="1" s="1"/>
  <c r="L18" i="5" l="1"/>
  <c r="G18" i="5"/>
  <c r="I18" i="5"/>
  <c r="H18" i="5"/>
  <c r="T18" i="5"/>
  <c r="S18" i="5"/>
  <c r="U18" i="5"/>
  <c r="K18" i="5"/>
  <c r="W12" i="1"/>
  <c r="J12" i="1"/>
  <c r="I12" i="1"/>
  <c r="O12" i="1"/>
  <c r="N12" i="1"/>
  <c r="M12" i="1"/>
  <c r="P12" i="1"/>
  <c r="T12" i="1"/>
  <c r="G9" i="1"/>
  <c r="F15" i="5" s="1"/>
  <c r="E9" i="1"/>
  <c r="H9" i="1" s="1"/>
  <c r="E15" i="5" s="1"/>
  <c r="D9" i="1"/>
  <c r="V9" i="1" s="1"/>
  <c r="W9" i="1" l="1"/>
  <c r="P9" i="1"/>
  <c r="T9" i="1"/>
  <c r="I9" i="1"/>
  <c r="N9" i="1"/>
  <c r="M9" i="1"/>
  <c r="J9" i="1"/>
  <c r="O9" i="1"/>
  <c r="C17" i="5" l="1"/>
  <c r="B17" i="5"/>
  <c r="D17" i="5" s="1"/>
  <c r="T17" i="5" l="1"/>
  <c r="Q3" i="1" l="1"/>
  <c r="B16" i="5" l="1"/>
  <c r="D16" i="5" s="1"/>
  <c r="C16" i="5"/>
  <c r="C15" i="5"/>
  <c r="B15" i="5"/>
  <c r="D15" i="5" s="1"/>
  <c r="T15" i="5" s="1"/>
  <c r="G11" i="1"/>
  <c r="F17" i="5" s="1"/>
  <c r="E11" i="1"/>
  <c r="H11" i="1" s="1"/>
  <c r="D11" i="1"/>
  <c r="T11" i="1" s="1"/>
  <c r="G10" i="1"/>
  <c r="F16" i="5" s="1"/>
  <c r="E10" i="1"/>
  <c r="H10" i="1" s="1"/>
  <c r="D10" i="1"/>
  <c r="T10" i="1" s="1"/>
  <c r="H17" i="5" l="1"/>
  <c r="L17" i="5"/>
  <c r="G17" i="5"/>
  <c r="S17" i="5" s="1"/>
  <c r="V17" i="5"/>
  <c r="U17" i="5"/>
  <c r="I17" i="5"/>
  <c r="K17" i="5"/>
  <c r="H16" i="5"/>
  <c r="G16" i="5"/>
  <c r="V16" i="5"/>
  <c r="G15" i="5"/>
  <c r="S15" i="5" s="1"/>
  <c r="V15" i="5"/>
  <c r="I16" i="5"/>
  <c r="U15" i="5"/>
  <c r="H15" i="5"/>
  <c r="I15" i="5"/>
  <c r="K15" i="5"/>
  <c r="L16" i="5"/>
  <c r="L15" i="5"/>
  <c r="V11" i="1"/>
  <c r="I11" i="1"/>
  <c r="O11" i="1"/>
  <c r="J11" i="1"/>
  <c r="N11" i="1"/>
  <c r="M11" i="1"/>
  <c r="W11" i="1"/>
  <c r="P11" i="1"/>
  <c r="P10" i="1"/>
  <c r="V10" i="1"/>
  <c r="W10" i="1"/>
  <c r="J10" i="1"/>
  <c r="I10" i="1"/>
  <c r="O10" i="1"/>
  <c r="N10" i="1"/>
  <c r="M10" i="1"/>
  <c r="U16" i="5" l="1"/>
  <c r="K16" i="5"/>
  <c r="T16" i="5"/>
  <c r="S16" i="5"/>
  <c r="W3" i="1" l="1"/>
  <c r="V3" i="1"/>
  <c r="B2" i="5" l="1"/>
  <c r="B3" i="5" s="1"/>
  <c r="B6" i="5" l="1"/>
  <c r="U7" i="1" l="1"/>
  <c r="B7" i="5" l="1"/>
  <c r="T3" i="1" l="1"/>
  <c r="F3" i="1"/>
  <c r="O7" i="1" l="1"/>
  <c r="N7" i="1"/>
  <c r="E59" i="3" s="1"/>
  <c r="B4" i="5"/>
  <c r="K7" i="1"/>
  <c r="H6" i="1"/>
  <c r="R10" i="5" l="1"/>
  <c r="M66" i="3" s="1"/>
  <c r="N59" i="3" l="1"/>
  <c r="B8" i="5"/>
  <c r="B5" i="5"/>
  <c r="P10" i="5" l="1"/>
  <c r="K66" i="3" s="1"/>
  <c r="Q10" i="5"/>
  <c r="L66" i="3" s="1"/>
  <c r="B64" i="3"/>
  <c r="C64" i="3" s="1"/>
  <c r="M14" i="5"/>
  <c r="H65" i="3" s="1"/>
  <c r="L14" i="5"/>
  <c r="G65" i="3" s="1"/>
  <c r="K14" i="5"/>
  <c r="F65" i="3" s="1"/>
  <c r="L65" i="3"/>
  <c r="K65" i="3"/>
  <c r="O14" i="5"/>
  <c r="J65" i="3" s="1"/>
  <c r="N14" i="5"/>
  <c r="I65" i="3" s="1"/>
  <c r="J14" i="5"/>
  <c r="E65" i="3" s="1"/>
  <c r="I14" i="5"/>
  <c r="D65" i="3" s="1"/>
  <c r="H14" i="5"/>
  <c r="C65" i="3" s="1"/>
  <c r="O10" i="5"/>
  <c r="J66" i="3" s="1"/>
  <c r="N10" i="5"/>
  <c r="I66" i="3" s="1"/>
  <c r="M10" i="5"/>
  <c r="H66" i="3" s="1"/>
  <c r="J10" i="5"/>
  <c r="E66" i="3" s="1"/>
  <c r="N3" i="1" l="1"/>
  <c r="M3" i="1"/>
  <c r="O3" i="1"/>
  <c r="V14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14" i="1"/>
  <c r="T7" i="1" l="1"/>
  <c r="W14" i="1"/>
  <c r="G6" i="1" l="1"/>
  <c r="I13" i="5"/>
  <c r="K13" i="5"/>
  <c r="V13" i="5"/>
  <c r="S13" i="5"/>
  <c r="L13" i="5"/>
  <c r="H13" i="5"/>
  <c r="U13" i="5"/>
  <c r="K10" i="5" l="1"/>
  <c r="F66" i="3" s="1"/>
  <c r="I10" i="5"/>
  <c r="D66" i="3" s="1"/>
  <c r="H10" i="5"/>
  <c r="C66" i="3" s="1"/>
  <c r="L10" i="5"/>
  <c r="G66" i="3" s="1"/>
  <c r="L59" i="3"/>
  <c r="D59" i="3"/>
  <c r="D6" i="1"/>
  <c r="B6" i="1" l="1"/>
  <c r="L3" i="1"/>
  <c r="J3" i="1"/>
  <c r="H3" i="1"/>
  <c r="C6" i="1" l="1"/>
  <c r="P7" i="1" s="1"/>
  <c r="S3" i="1"/>
  <c r="S7" i="1" s="1"/>
  <c r="E6" i="1"/>
  <c r="F59" i="3"/>
  <c r="I3" i="1" l="1"/>
  <c r="B7" i="1"/>
  <c r="L12" i="1" s="1"/>
  <c r="L9" i="1" l="1"/>
  <c r="L10" i="1"/>
  <c r="L11" i="1"/>
  <c r="C7" i="1"/>
  <c r="O14" i="1"/>
  <c r="I14" i="1"/>
  <c r="N14" i="1"/>
  <c r="J14" i="1"/>
  <c r="P14" i="1"/>
  <c r="Q7" i="1" l="1"/>
  <c r="M59" i="3" s="1"/>
  <c r="L7" i="1"/>
  <c r="G59" i="3" s="1"/>
  <c r="K59" i="3"/>
  <c r="J59" i="3"/>
  <c r="M14" i="1"/>
  <c r="K14" i="1"/>
  <c r="R7" i="1" l="1"/>
  <c r="I59" i="3" s="1"/>
  <c r="M7" i="1"/>
  <c r="H59" i="3" s="1"/>
  <c r="J7" i="1"/>
  <c r="C59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58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58" authorId="0" shapeId="0" xr:uid="{00000000-0006-0000-0000-000002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58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58" authorId="0" shapeId="0" xr:uid="{00000000-0006-0000-0000-000004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58" authorId="0" shapeId="0" xr:uid="{00000000-0006-0000-0000-000005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58" authorId="0" shapeId="0" xr:uid="{00000000-0006-0000-0000-000006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58" authorId="1" shapeId="0" xr:uid="{00000000-0006-0000-0000-000007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58" authorId="0" shapeId="0" xr:uid="{00000000-0006-0000-0000-000008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58" authorId="1" shapeId="0" xr:uid="{00000000-0006-0000-0000-000009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58" authorId="1" shapeId="0" xr:uid="{00000000-0006-0000-0000-00000A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58" authorId="1" shapeId="0" xr:uid="{00000000-0006-0000-0000-00000B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58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<sst xmlns="http://schemas.openxmlformats.org/spreadsheetml/2006/main" count="419" uniqueCount="335">
  <si>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</si>
  <si>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</si>
  <si>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</si>
  <si>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</si>
  <si>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</si>
  <si>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</si>
  <si>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</si>
  <si>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</si>
  <si>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</si>
  <si>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</si>
  <si>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</si>
  <si>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</si>
  <si>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</si>
  <si>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</si>
  <si>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</si>
  <si>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</si>
  <si>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</si>
  <si>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</si>
  <si>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</si>
  <si>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</si>
  <si>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</si>
  <si>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</si>
  <si>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</si>
  <si>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</si>
  <si>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</si>
  <si>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</si>
  <si>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</si>
  <si>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</si>
  <si>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</si>
  <si>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</si>
  <si>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</si>
  <si>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</si>
  <si>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</si>
  <si>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</si>
  <si>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</si>
  <si>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</si>
  <si>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</si>
  <si>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</si>
  <si>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</si>
  <si>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</si>
  <si>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</si>
  <si>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</si>
  <si>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</si>
  <si>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</si>
  <si>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</si>
  <si>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</si>
  <si>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</si>
  <si>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</si>
  <si>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</si>
  <si>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</si>
  <si>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</si>
  <si>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</si>
  <si>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</si>
  <si>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</si>
  <si>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</si>
  <si>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</si>
  <si>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</si>
  <si>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</si>
  <si>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</si>
  <si>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</si>
  <si>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</si>
  <si>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</si>
  <si>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</si>
  <si>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</si>
  <si>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</si>
  <si>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</si>
  <si>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</si>
  <si>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</si>
  <si>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</si>
  <si>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</si>
  <si>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</si>
  <si>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</si>
  <si>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</si>
  <si>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</si>
  <si>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</si>
  <si>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</si>
  <si>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</si>
  <si>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</si>
  <si>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</si>
  <si>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</si>
  <si>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</si>
  <si>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</si>
  <si>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</si>
  <si>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</si>
  <si>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</si>
  <si>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</si>
  <si>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</si>
  <si>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</si>
  <si>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</si>
  <si>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</si>
  <si>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</si>
  <si>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</si>
  <si>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</si>
  <si>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</si>
  <si>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</si>
  <si>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</si>
  <si>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</si>
  <si>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</si>
  <si>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</si>
  <si>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</si>
  <si>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</si>
  <si>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</si>
  <si>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</si>
  <si>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</si>
  <si>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</si>
  <si>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</si>
  <si>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</si>
  <si>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</si>
  <si>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</si>
  <si>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</si>
  <si>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</si>
  <si>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</si>
  <si>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</si>
  <si>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</si>
  <si>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</si>
  <si>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</si>
  <si>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</si>
  <si>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</si>
  <si>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</si>
  <si>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</si>
  <si>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</si>
  <si>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</si>
  <si>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</si>
  <si>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</si>
  <si>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</si>
  <si>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</si>
  <si>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</si>
  <si>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</si>
  <si>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</si>
  <si>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</si>
  <si>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</si>
  <si>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</si>
  <si>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</si>
  <si>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</si>
  <si>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</si>
  <si>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</si>
  <si>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</si>
  <si>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</si>
  <si>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</si>
  <si>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</si>
  <si>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</si>
  <si>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</si>
  <si>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</si>
  <si>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</si>
  <si>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</si>
  <si>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</si>
  <si>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</si>
  <si>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</si>
  <si>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</si>
  <si>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</si>
  <si>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</si>
  <si>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</si>
  <si>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</si>
  <si>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</si>
  <si>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</si>
  <si>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</si>
  <si>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</si>
  <si>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</si>
  <si>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</si>
  <si>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</si>
  <si>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</si>
  <si>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</si>
  <si>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</si>
  <si>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</si>
  <si>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</si>
  <si>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</si>
  <si>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</si>
  <si>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</si>
  <si>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</si>
  <si>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</si>
  <si>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</si>
  <si>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</si>
  <si>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</si>
  <si>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</si>
  <si>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</si>
  <si>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</si>
  <si>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</si>
  <si>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</si>
  <si>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</si>
  <si>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</si>
  <si>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</si>
  <si>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</si>
  <si>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</si>
  <si>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</si>
  <si>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</si>
  <si>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</si>
  <si>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</si>
  <si>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</si>
  <si>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</si>
  <si>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</si>
  <si>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</si>
  <si>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</si>
  <si>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</si>
  <si>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</si>
  <si>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</si>
  <si>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</si>
  <si>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</si>
  <si>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</si>
  <si>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</si>
  <si>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</si>
  <si>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</si>
  <si>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</si>
  <si>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</si>
  <si>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</si>
  <si>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</si>
  <si>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</si>
  <si>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</si>
  <si>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</si>
  <si>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</si>
  <si>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</si>
  <si>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</si>
  <si>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</si>
  <si>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</si>
  <si>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</si>
  <si>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</si>
  <si>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</si>
  <si>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</si>
  <si>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</si>
  <si>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</si>
  <si>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</si>
  <si>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</si>
  <si>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</si>
  <si>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</si>
  <si>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</si>
  <si>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</si>
  <si>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</si>
  <si>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</si>
  <si>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</si>
  <si>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</si>
  <si>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</si>
  <si>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</si>
  <si>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</si>
  <si>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</si>
  <si>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</si>
  <si>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</si>
  <si>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</si>
  <si>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</si>
  <si>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</si>
  <si>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</si>
  <si>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</si>
  <si>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</si>
  <si>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</si>
  <si>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</si>
  <si>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</si>
  <si>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</si>
  <si>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</si>
  <si>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</si>
  <si>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</si>
  <si>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</si>
  <si>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</si>
  <si>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</si>
  <si>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</si>
  <si>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</si>
  <si>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</si>
  <si>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</si>
  <si>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</si>
  <si>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</si>
  <si>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</si>
  <si>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</si>
  <si>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</si>
  <si>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</si>
  <si>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</si>
  <si>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</si>
  <si>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</si>
  <si>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</si>
  <si>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</si>
  <si>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</si>
  <si>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</si>
  <si>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</si>
  <si>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</si>
  <si>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</si>
  <si>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</si>
  <si>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</si>
  <si>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</si>
  <si>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</si>
  <si>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</si>
  <si>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</si>
  <si>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</si>
  <si>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</si>
  <si>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</si>
  <si>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</si>
  <si>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</si>
  <si>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</si>
  <si>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</si>
  <si>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</si>
  <si>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</si>
  <si>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</si>
  <si>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</si>
  <si>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</si>
  <si>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</si>
  <si>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</si>
  <si>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</si>
  <si>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</si>
  <si>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</si>
  <si>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</si>
  <si>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</si>
  <si>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</si>
  <si>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</si>
  <si>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</si>
  <si>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</si>
  <si>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</si>
  <si>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</si>
  <si>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</si>
  <si>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</si>
  <si>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</si>
  <si>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</si>
  <si>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</si>
  <si>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</si>
  <si>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</si>
  <si>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</si>
  <si>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</si>
  <si>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</si>
  <si>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</si>
  <si>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</si>
  <si>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</si>
  <si>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</si>
  <si>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</si>
  <si>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</si>
  <si>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</si>
  <si>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</si>
  <si>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varchar(50)</t>
  </si>
  <si>
    <t>Barcode</t>
  </si>
  <si>
    <t>Bar</t>
  </si>
  <si>
    <t>LgaBar</t>
  </si>
  <si>
    <t>PcRack</t>
  </si>
  <si>
    <t>CODE</t>
  </si>
  <si>
    <t>ADDRESS</t>
  </si>
  <si>
    <t>SORTING</t>
  </si>
  <si>
    <t>CCR Plan</t>
  </si>
  <si>
    <t>IS_ACTIVE</t>
  </si>
  <si>
    <t>varchar(1)</t>
  </si>
  <si>
    <t>varchar(200)</t>
  </si>
  <si>
    <t>Master.LogA</t>
  </si>
  <si>
    <t>MstLgaPcRack</t>
  </si>
  <si>
    <t>Master LogA PC Rack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</si>
</sst>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ductTmv/prod/docs/design/loga/ekb/LgaEkbProgres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 Guide"/>
      <sheetName val="A.Backend"/>
      <sheetName val="B.Frontend"/>
      <sheetName val="Data Type Mapping"/>
      <sheetName val="Directory Tree"/>
    </sheetNames>
    <sheetDataSet>
      <sheetData sheetId="0"/>
      <sheetData sheetId="1">
        <row r="12">
          <cell r="G12" t="str">
            <v/>
          </cell>
        </row>
      </sheetData>
      <sheetData sheetId="2"/>
      <sheetData sheetId="3">
        <row r="1">
          <cell r="A1" t="str">
            <v>SQL Server data type</v>
          </cell>
          <cell r="B1" t="str">
            <v>CLR data type (.NET Framework)</v>
          </cell>
        </row>
        <row r="2">
          <cell r="A2" t="str">
            <v>nvarchar</v>
          </cell>
          <cell r="B2" t="str">
            <v>string</v>
          </cell>
        </row>
        <row r="3">
          <cell r="A3" t="str">
            <v>varchar</v>
          </cell>
          <cell r="B3" t="str">
            <v>string</v>
          </cell>
        </row>
        <row r="4">
          <cell r="A4" t="str">
            <v>uniqueidentifier</v>
          </cell>
          <cell r="B4" t="str">
            <v>Guid</v>
          </cell>
        </row>
        <row r="5">
          <cell r="A5" t="str">
            <v>bit</v>
          </cell>
          <cell r="B5" t="str">
            <v>bool</v>
          </cell>
        </row>
        <row r="6">
          <cell r="A6" t="str">
            <v>tinyint</v>
          </cell>
          <cell r="B6" t="str">
            <v>byte</v>
          </cell>
        </row>
        <row r="7">
          <cell r="A7" t="str">
            <v>smallint</v>
          </cell>
          <cell r="B7" t="str">
            <v>int</v>
          </cell>
        </row>
        <row r="8">
          <cell r="A8" t="str">
            <v>int</v>
          </cell>
          <cell r="B8" t="str">
            <v>int</v>
          </cell>
        </row>
        <row r="9">
          <cell r="A9" t="str">
            <v>bigint</v>
          </cell>
          <cell r="B9" t="str">
            <v>long</v>
          </cell>
        </row>
        <row r="10">
          <cell r="A10" t="str">
            <v>smallmoney</v>
          </cell>
          <cell r="B10" t="str">
            <v>decimal</v>
          </cell>
        </row>
        <row r="11">
          <cell r="A11" t="str">
            <v>money</v>
          </cell>
          <cell r="B11" t="str">
            <v>decimal</v>
          </cell>
        </row>
        <row r="12">
          <cell r="A12" t="str">
            <v>numeric</v>
          </cell>
          <cell r="B12" t="str">
            <v>decimal</v>
          </cell>
        </row>
        <row r="13">
          <cell r="A13" t="str">
            <v>decimal</v>
          </cell>
          <cell r="B13" t="str">
            <v>decimal</v>
          </cell>
        </row>
        <row r="14">
          <cell r="A14" t="str">
            <v>real</v>
          </cell>
          <cell r="B14" t="str">
            <v>decimal</v>
          </cell>
        </row>
        <row r="15">
          <cell r="A15" t="str">
            <v>float</v>
          </cell>
          <cell r="B15" t="str">
            <v>decimal</v>
          </cell>
        </row>
        <row r="16">
          <cell r="A16" t="str">
            <v>smalldatetime</v>
          </cell>
          <cell r="B16" t="str">
            <v>DateTime</v>
          </cell>
        </row>
        <row r="17">
          <cell r="A17" t="str">
            <v>datetime</v>
          </cell>
          <cell r="B17" t="str">
            <v>DateTime</v>
          </cell>
        </row>
        <row r="18">
          <cell r="A18" t="str">
            <v>datetime2</v>
          </cell>
          <cell r="B18" t="str">
            <v>DateTime</v>
          </cell>
        </row>
        <row r="19">
          <cell r="A19" t="str">
            <v>date</v>
          </cell>
          <cell r="B19" t="str">
            <v>DateTime</v>
          </cell>
        </row>
        <row r="20">
          <cell r="A20" t="str">
            <v>time</v>
          </cell>
          <cell r="B20" t="str">
            <v>TimeSpan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68"/>
  <sheetViews>
    <sheetView topLeftCell="A16" workbookViewId="0">
      <selection activeCell="A55" sqref="A1:XFD55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ht="12" customHeight="1" x14ac:dyDescent="0.25">
      <c r="A17" s="1"/>
      <c r="B17" s="17"/>
      <c r="D17" t="s">
        <v>306</v>
      </c>
      <c r="F17" s="1" t="s">
        <v>307</v>
      </c>
      <c r="G17" s="17" t="s">
        <v>308</v>
      </c>
    </row>
    <row r="18" spans="1:7" x14ac:dyDescent="0.25">
      <c r="A18" s="1"/>
      <c r="B18" s="17"/>
      <c r="C18" t="s">
        <v>91</v>
      </c>
      <c r="F18" s="1" t="s">
        <v>100</v>
      </c>
      <c r="G18" s="17" t="s">
        <v>100</v>
      </c>
    </row>
    <row r="19" spans="1:7" x14ac:dyDescent="0.25">
      <c r="A19" s="1"/>
      <c r="B19" s="17"/>
      <c r="D19" t="s">
        <v>95</v>
      </c>
      <c r="F19" s="1" t="s">
        <v>114</v>
      </c>
      <c r="G19" s="17" t="s">
        <v>293</v>
      </c>
    </row>
    <row r="20" spans="1:7" x14ac:dyDescent="0.25">
      <c r="A20" s="1"/>
      <c r="B20" s="17"/>
      <c r="D20" t="s">
        <v>96</v>
      </c>
      <c r="F20" s="1" t="s">
        <v>104</v>
      </c>
      <c r="G20" s="17" t="s">
        <v>294</v>
      </c>
    </row>
    <row r="21" spans="1:7" x14ac:dyDescent="0.25">
      <c r="A21" s="1"/>
      <c r="B21" s="17"/>
      <c r="C21" t="s">
        <v>92</v>
      </c>
      <c r="F21" s="1" t="s">
        <v>101</v>
      </c>
      <c r="G21" s="17" t="s">
        <v>101</v>
      </c>
    </row>
    <row r="22" spans="1:7" x14ac:dyDescent="0.25">
      <c r="A22" s="1"/>
      <c r="B22" s="17"/>
      <c r="D22" t="s">
        <v>95</v>
      </c>
      <c r="F22" s="1" t="s">
        <v>114</v>
      </c>
      <c r="G22" s="17" t="s">
        <v>303</v>
      </c>
    </row>
    <row r="23" spans="1:7" x14ac:dyDescent="0.25">
      <c r="A23" s="1"/>
      <c r="B23" s="17"/>
      <c r="C23" t="s">
        <v>90</v>
      </c>
      <c r="F23" s="1" t="s">
        <v>99</v>
      </c>
      <c r="G23" s="17" t="s">
        <v>99</v>
      </c>
    </row>
    <row r="24" spans="1:7" x14ac:dyDescent="0.25">
      <c r="A24" s="1"/>
      <c r="B24" s="17"/>
      <c r="D24" t="s">
        <v>95</v>
      </c>
      <c r="F24" s="1" t="s">
        <v>114</v>
      </c>
      <c r="G24" s="17" t="s">
        <v>302</v>
      </c>
    </row>
    <row r="25" spans="1:7" x14ac:dyDescent="0.25">
      <c r="A25" s="1"/>
      <c r="B25" s="17"/>
      <c r="C25" t="s">
        <v>93</v>
      </c>
      <c r="F25" s="1" t="s">
        <v>102</v>
      </c>
      <c r="G25" s="17" t="s">
        <v>102</v>
      </c>
    </row>
    <row r="26" spans="1:7" x14ac:dyDescent="0.25">
      <c r="A26" s="1"/>
      <c r="B26" s="17"/>
      <c r="C26" t="s">
        <v>271</v>
      </c>
      <c r="F26" s="1" t="s">
        <v>272</v>
      </c>
      <c r="G26" s="17" t="s">
        <v>272</v>
      </c>
    </row>
    <row r="27" spans="1:7" x14ac:dyDescent="0.25">
      <c r="A27" s="1"/>
      <c r="B27" s="17"/>
      <c r="D27" t="s">
        <v>273</v>
      </c>
      <c r="F27" s="1" t="s">
        <v>275</v>
      </c>
      <c r="G27" s="17" t="s">
        <v>295</v>
      </c>
    </row>
    <row r="28" spans="1:7" x14ac:dyDescent="0.25">
      <c r="A28" s="1"/>
      <c r="B28" s="17"/>
      <c r="D28" t="s">
        <v>276</v>
      </c>
      <c r="F28" s="1" t="s">
        <v>274</v>
      </c>
      <c r="G28" s="17" t="s">
        <v>296</v>
      </c>
    </row>
    <row r="29" spans="1:7" x14ac:dyDescent="0.25">
      <c r="A29" s="1"/>
      <c r="B29" s="17"/>
      <c r="D29" t="s">
        <v>277</v>
      </c>
      <c r="F29" s="1" t="s">
        <v>280</v>
      </c>
      <c r="G29" s="17" t="s">
        <v>297</v>
      </c>
    </row>
    <row r="30" spans="1:7" x14ac:dyDescent="0.25">
      <c r="A30" s="1"/>
      <c r="B30" s="17"/>
      <c r="D30" t="s">
        <v>278</v>
      </c>
      <c r="F30" s="1" t="s">
        <v>281</v>
      </c>
      <c r="G30" s="17" t="s">
        <v>298</v>
      </c>
    </row>
    <row r="31" spans="1:7" x14ac:dyDescent="0.25">
      <c r="A31" s="1"/>
      <c r="B31" s="17"/>
      <c r="D31" t="s">
        <v>279</v>
      </c>
      <c r="F31" s="1" t="s">
        <v>282</v>
      </c>
      <c r="G31" s="17" t="s">
        <v>299</v>
      </c>
    </row>
    <row r="32" spans="1:7" x14ac:dyDescent="0.25">
      <c r="A32" s="1"/>
      <c r="B32" s="17"/>
      <c r="D32" t="s">
        <v>284</v>
      </c>
      <c r="F32" s="1" t="s">
        <v>283</v>
      </c>
      <c r="G32" s="17" t="s">
        <v>300</v>
      </c>
    </row>
    <row r="33" spans="1:8" x14ac:dyDescent="0.25">
      <c r="A33" s="1"/>
      <c r="B33" s="17"/>
      <c r="C33" t="s">
        <v>306</v>
      </c>
      <c r="F33" s="1" t="s">
        <v>307</v>
      </c>
      <c r="G33" s="17" t="s">
        <v>307</v>
      </c>
    </row>
    <row r="34" spans="1:8" x14ac:dyDescent="0.25">
      <c r="A34" s="1"/>
      <c r="B34" s="17"/>
      <c r="D34" t="s">
        <v>309</v>
      </c>
      <c r="F34" s="1" t="s">
        <v>310</v>
      </c>
      <c r="G34" s="17" t="s">
        <v>311</v>
      </c>
    </row>
    <row r="35" spans="1:8" x14ac:dyDescent="0.25">
      <c r="A35" s="1"/>
      <c r="B35" s="17"/>
      <c r="D35" t="s">
        <v>96</v>
      </c>
      <c r="F35" s="1" t="s">
        <v>104</v>
      </c>
      <c r="G35" s="17" t="s">
        <v>312</v>
      </c>
    </row>
    <row r="36" spans="1:8" x14ac:dyDescent="0.25">
      <c r="A36" s="1"/>
      <c r="B36" s="17"/>
      <c r="D36" t="s">
        <v>313</v>
      </c>
      <c r="F36" s="1" t="s">
        <v>314</v>
      </c>
      <c r="G36" s="17" t="s">
        <v>315</v>
      </c>
    </row>
    <row r="37" spans="1:8" x14ac:dyDescent="0.25">
      <c r="A37" s="1"/>
      <c r="B37" s="17"/>
      <c r="D37" t="s">
        <v>316</v>
      </c>
      <c r="F37" s="1" t="s">
        <v>317</v>
      </c>
      <c r="G37" s="17" t="s">
        <v>318</v>
      </c>
    </row>
    <row r="38" spans="1:8" x14ac:dyDescent="0.25">
      <c r="A38" s="1"/>
      <c r="B38" s="17"/>
      <c r="D38" t="s">
        <v>321</v>
      </c>
      <c r="F38" s="1" t="s">
        <v>322</v>
      </c>
      <c r="G38" s="17" t="s">
        <v>323</v>
      </c>
    </row>
    <row r="39" spans="1:8" x14ac:dyDescent="0.25">
      <c r="A39" s="1"/>
      <c r="B39" s="17"/>
      <c r="C39" t="s">
        <v>319</v>
      </c>
      <c r="F39" s="1" t="s">
        <v>301</v>
      </c>
      <c r="G39" s="17" t="s">
        <v>301</v>
      </c>
    </row>
    <row r="40" spans="1:8" x14ac:dyDescent="0.25">
      <c r="A40" s="1"/>
      <c r="B40" s="17"/>
      <c r="D40" t="s">
        <v>304</v>
      </c>
      <c r="F40" s="1" t="s">
        <v>304</v>
      </c>
      <c r="G40" s="17" t="s">
        <v>305</v>
      </c>
      <c r="H40" s="17" t="s">
        <v>328</v>
      </c>
    </row>
    <row r="41" spans="1:8" x14ac:dyDescent="0.25">
      <c r="A41" s="1"/>
      <c r="B41" s="17"/>
      <c r="F41" s="1"/>
    </row>
    <row r="42" spans="1:8" x14ac:dyDescent="0.25">
      <c r="A42" s="1"/>
      <c r="B42" s="17"/>
    </row>
    <row r="43" spans="1:8" x14ac:dyDescent="0.25">
      <c r="A43" s="1"/>
      <c r="B43" s="17" t="s">
        <v>86</v>
      </c>
    </row>
    <row r="44" spans="1:8" x14ac:dyDescent="0.25">
      <c r="A44" s="1"/>
      <c r="B44" s="17" t="s">
        <v>83</v>
      </c>
    </row>
    <row r="45" spans="1:8" x14ac:dyDescent="0.25">
      <c r="A45" s="1"/>
      <c r="B45" s="17"/>
      <c r="C45" s="19" t="s">
        <v>80</v>
      </c>
    </row>
    <row r="46" spans="1:8" x14ac:dyDescent="0.25">
      <c r="A46" s="1"/>
      <c r="B46" s="17"/>
      <c r="C46" s="18" t="s">
        <v>81</v>
      </c>
    </row>
    <row r="47" spans="1:8" x14ac:dyDescent="0.25">
      <c r="A47" s="1"/>
      <c r="B47" s="17"/>
      <c r="C47" s="18" t="s">
        <v>82</v>
      </c>
    </row>
    <row r="48" spans="1:8" x14ac:dyDescent="0.25">
      <c r="A48" s="1"/>
      <c r="B48" s="17" t="s">
        <v>106</v>
      </c>
      <c r="C48" s="18"/>
    </row>
    <row r="49" spans="1:14" x14ac:dyDescent="0.25">
      <c r="A49" s="1"/>
      <c r="B49" s="17"/>
      <c r="C49" s="18" t="s">
        <v>107</v>
      </c>
    </row>
    <row r="50" spans="1:14" x14ac:dyDescent="0.25">
      <c r="A50" s="1"/>
      <c r="B50" s="17"/>
      <c r="C50" s="18" t="s">
        <v>108</v>
      </c>
    </row>
    <row r="51" spans="1:14" x14ac:dyDescent="0.25">
      <c r="A51" s="1"/>
      <c r="B51" s="17"/>
      <c r="C51" s="18" t="s">
        <v>109</v>
      </c>
    </row>
    <row r="52" spans="1:14" x14ac:dyDescent="0.25">
      <c r="A52" s="1"/>
      <c r="B52" s="17"/>
      <c r="C52" s="18" t="s">
        <v>111</v>
      </c>
    </row>
    <row r="53" spans="1:14" x14ac:dyDescent="0.25">
      <c r="A53" s="1"/>
      <c r="B53" s="17"/>
      <c r="C53" s="18" t="s">
        <v>113</v>
      </c>
    </row>
    <row r="54" spans="1:14" x14ac:dyDescent="0.25">
      <c r="A54" s="1"/>
      <c r="B54" s="17"/>
      <c r="C54" s="18" t="s">
        <v>112</v>
      </c>
    </row>
    <row r="55" spans="1:14" x14ac:dyDescent="0.25">
      <c r="A55" s="1"/>
      <c r="B55" s="17"/>
      <c r="C55" s="18" t="s">
        <v>110</v>
      </c>
    </row>
    <row r="56" spans="1:14" ht="21" customHeight="1" x14ac:dyDescent="0.25">
      <c r="B56" s="21" t="s">
        <v>78</v>
      </c>
    </row>
    <row r="57" spans="1:14" ht="21" customHeight="1" x14ac:dyDescent="0.25">
      <c r="B57" s="63" t="s">
        <v>231</v>
      </c>
    </row>
    <row r="58" spans="1:14" ht="15.75" thickBot="1" x14ac:dyDescent="0.3">
      <c r="C58" s="1" t="s">
        <v>72</v>
      </c>
      <c r="D58" s="1" t="s">
        <v>207</v>
      </c>
      <c r="E58" s="1" t="s">
        <v>208</v>
      </c>
      <c r="F58" s="1" t="s">
        <v>198</v>
      </c>
      <c r="G58" s="1" t="s">
        <v>199</v>
      </c>
      <c r="H58" s="1" t="s">
        <v>200</v>
      </c>
      <c r="I58" s="1" t="s">
        <v>201</v>
      </c>
      <c r="J58" s="1" t="s">
        <v>205</v>
      </c>
      <c r="K58" s="1" t="s">
        <v>209</v>
      </c>
      <c r="L58" s="1" t="s">
        <v>210</v>
      </c>
      <c r="M58" s="1" t="s">
        <v>211</v>
      </c>
      <c r="N58" s="1" t="s">
        <v>227</v>
      </c>
    </row>
    <row r="59" spans="1:14" s="16" customFormat="1" ht="21.75" customHeight="1" thickBot="1" x14ac:dyDescent="0.3">
      <c r="B59" s="52" t="s">
        <v>226</v>
      </c>
      <c r="C59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vovina.Master.LogA
{
	[Table("MstLgaPcRack")]
	[Index(nameof(Code), Name="IX_MstLgaPcRack_Code")]
	[Index(nameof(IsActive), Name="IX_MstLgaPcRack_IsActive")]	public class MstLgaPcRack: FullAuditedEntity&lt;long&gt;, IEntity&lt;long&gt;	
	{
		public const int MaxCodeLength = 50;
		public const int MaxAddressLength = 200;
		public const int MaxIsActiveLength = 1;
		[StringLength(MaxCodeLength)]
		public virtual string Code { get; set; }
		[StringLength(MaxAddressLength)]
		public virtual string Address { get; set; }
		public virtual int Sorting { get; set; }
		[StringLength(MaxIsActiveLength)]
		public virtual string IsActive { get; set; }
	}
}
</v>
      </c>
      <c r="D59" s="51" t="str">
        <f>A.Backend!O7</f>
        <v xml:space="preserve">		public const string Pages_Master_LogA_PcRack = "Pages.Master.LogA.PcRack";
		public const string Pages_Master_LogA_PcRack_CreateEdit = "Pages.Master.LogA.PcRack.CreateEdit";
		public const string Pages_Master_LogA_PcRack_Delete = "Pages.Master.LogA.PcRack.Delete";
</v>
      </c>
      <c r="E59" s="51" t="str">
        <f>A.Backend!N7</f>
        <v xml:space="preserve">		var perMstLgaPcRack = PARENTS.CreateChildPermission(AppPermissions.Pages_Master_LogA_PcRack, L( "MasterLogAPcRack"), multiTenancySides: MultiTenancySides.Tenant);
		perMstLgaPcRack.CreateChildPermission(AppPermissions.Pages_Master_LogA_PcRack_CreateEdit, L( "MasterLogAPcRackCreateEdit"), multiTenancySides: MultiTenancySides.Tenant);
		perMstLgaPcRack.CreateChildPermission(AppPermissions.Pages_Master_LogA_PcRack_Delete, L( "MasterLogAPcRackDelete"), multiTenancySides: MultiTenancySides.Tenant);</v>
      </c>
      <c r="F59" s="51" t="str">
        <f>A.Backend!K7</f>
        <v>public virtual DbSet&lt;MstLgaPcRack&gt; MstLgaPcRacks { get; set; }</v>
      </c>
      <c r="G59" s="51" t="str">
        <f ca="1">A.Backend!L7</f>
        <v xml:space="preserve">namespace vovina.Master.LogA
{
	public class MstLgaPcRackConsts	
	{
		public const int MaxCodeLength = 50;
		public const int MaxAddressLength = 200;
		public const int MaxIsActiveLength = 1;
		// Define Store Name: Format SP_ + &lt;Store Name&gt; = &lt;Store Name&gt;
	}
}
</v>
      </c>
      <c r="H59" s="51" t="str">
        <f ca="1">A.Backend!M7</f>
        <v xml:space="preserve">using Abp.Application.Services.Dto;
using System;
using System.ComponentModel.DataAnnotations;
namespace vovina.Master.LogA.Dto
{
	public class MstLgaPcRackDto : EntityDto&lt;long?&gt;	
	{
		public virtual string Code { get; set; }
		public virtual string Address { get; set; }
		public virtual int Sorting { get; set; }
		public virtual string IsActive { get; set; }
	}
	public class CreateOrEditMstLgaPcRackDto : EntityDto&lt;long?&gt;	
	{
		[StringLength(MstLgaPcRackConsts.MaxCodeLength)]
		public virtual string Code { get; set; }
		[StringLength(MstLgaPcRackConsts.MaxAddressLength)]
		public virtual string Address { get; set; }
		public virtual int Sorting { get; set; }
		[StringLength(MstLgaPcRackConsts.MaxIsActiveLength)]
		public virtual string IsActive { get; set; }
	}
	public class GetMstLgaPcRackInput : PagedAndSortedResultRequestDto	
	{
		public virtual string Code { get; set; }
		public virtual string Address { get; set; }
		public virtual int Sorting { get; set; }
		public virtual string IsActive { get; set; }
	}
}
</v>
      </c>
      <c r="I59" s="51" t="str">
        <f ca="1">A.Backend!R7</f>
        <v xml:space="preserve">using Abp.Application.Services.Dto;
using System;
using System.ComponentModel.DataAnnotations;
namespace vovina.Master.LogA.Dto
{
	public class MstLgaPcRackExportInput{
		public virtual string Code { get; set; }
		public virtual string Address { get; set; }
		public virtual int Sorting { get; set; }
		public virtual string IsActive { get; set; }
	}
}
</v>
      </c>
      <c r="J59" s="51" t="str">
        <f>A.Backend!P7</f>
        <v xml:space="preserve">using Abp.Application.Services;
using Abp.Application.Services.Dto;
using System.Collections.Generic;using vovina.Dto;
using System.Threading.Tasks;
using vovina.Master.LogA.Dto;
namespace vovina.Master.LogA
{
	public interface IMstLgaPcRackAppService : IApplicationService
	{
		Task&lt;PagedResultDto&lt;MstLgaPcRackDto&gt;&gt; GetAll(GetMstLgaPcRackInput input);
		Task CreateOrEdit(CreateOrEditMstLgaPcRackDto input);
		Task Delete(EntityDto input);
	}
}
</v>
      </c>
      <c r="K59" s="51" t="str">
        <f>A.Backend!S7</f>
        <v xml:space="preserve">using Abp.Application.Services;
using Abp.Application.Services.Dto;
using System.Collections.Generic;using vovina.Dto;
using System.Threading.Tasks;
using vovina.Master.LogA.Dto;
namespace vovina.Master.LogA.Exporting
{
	public interface IMstLgaPcRackExcelExporter : IApplicationService
	{
		FileDto ExportToFile(List&lt;MstLgaPcRackDto&gt; mstlgapcrack);
	}
}
</v>
      </c>
      <c r="L59" s="51" t="str">
        <f ca="1">A.Backend!T7</f>
        <v>using System.Collections.Generic;
using vovina.DataExporting.Excel.NPOI;
using vovina.Dto;
using vovina.Master.LogA.Exporting;
using vovina.Master.LogA.Dto;
using vovina.Storage;
using vovina.Master.LogA.Dto;
namespace vovina.Master.LogA.Exporting
{
    public class MstLgaPcRackExcelExporter : NpoiExcelExporterBase, IMstLgaPcRackExcelExporter
    {
        public MstLgaPcRackExcelExporter(ITempFileCacheManager tempFileCacheManager) : base(tempFileCacheManager) { }
        public FileDto ExportToFile(List&lt;MstLgaPcRackDto&gt; pcrack)
        {
            return CreateExcelPackage(
				"MasterLogAPcRack.xlsx",
				excelPackage =&gt;
				 {
					var sheet = excelPackage.CreateSheet("PcRack");
					AddHeader(
								sheet,
								("Code"),
								("Address"),
								("Sorting"),
								("IsActive"),
							   );
					AddObjects(
						 sheet, 1, pcrack,                                       
								_ =&gt; _.Code,
								_ =&gt; _.Address,
								_ =&gt; _.Sorting,
								_ =&gt; _.IsActive,
								);
			for (var i = 0; i &lt; 8; i++)
				{
					sheet.AutoSizeColumn(i);
				}
			});
        }
    }
}</v>
      </c>
      <c r="M59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vovina.Master.LogA.Dto;
using vovina.Master.LogA.Exporting;
namespace vovina.Master.LogA
{
    [AbpAuthorize(AppPermissions.Pages_Master_LogA_PcRack)]
    public class MstLgaPcRackAppService : vovinaAppServiceBase, IMstLgaPcRackAppService
    {
        private readonly IDapperRepository&lt;MstLgaPcRack, long&gt; _dapperRepo;
        private readonly IRepository&lt;MstLgaPcRack, long&gt; _repo;
        private readonly IMstLgaPcRackExcelExporter _calendarListExcelExporter;
        public MstLgaPcRackAppService(IRepository&lt;MstLgaPcRack,long&gt; repo, 
                                         IDapperRepository&lt;MstLgaPcRack,long&gt; dapperRepo,
                                        IMstLgaPcRackExcelExporter calendarListExcelExporter
            )
        {
            _repo = repo;
            _dapperRepo = dapperRepo;
            _calendarListExcelExporter = calendarListExcelExporter;
        }
        [AbpAuthorize(AppPermissions.Pages_Master_LogA_PcRack_CreateEdit)]
        public async Task CreateOrEdit(CreateOrEditMstLgaPcRackDto input)
        {
            if (input.Id == null) await Create(input);
            else await Update(input);
        }
        //CREATE
        private async Task Create(CreateOrEditMstLgaPcRackDto input)
        {          
            var mainObj = ObjectMapper.Map&lt;MstLgaPcRack&gt;(input);
            await CurrentUnitOfWork.GetDbContext&lt;vovinaDbContext&gt;().AddAsync(mainObj);
        }
        // EDIT
        private async Task Update(CreateOrEditMstLgaPcRackDto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[AbpAuthorize(AppPermissions.Pages_Master_LogA_PcRack_Delete)]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Task&lt;PagedResultDto&lt;MstLgaPcRackDto&gt;&gt; GetAll(GetMstLgaPcRackInput input)
        {
            var filtered = _repo.GetAll()
				.WhereIf(!string.IsNullOrWhiteSpace(input.Code), e =&gt; e.Code.Contains(input.Code))
				.WhereIf(!string.IsNullOrWhiteSpace(input.Address), e =&gt; e.Address.Contains(input.Address))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MstLgaPcRackDto
                        {
							Id = o.Id,
							Code = o.Code,
							Address = o.Address,
							Sorting = o.Sorting,
							IsActive = o.IsActive,
                        };
            var totalCount = await filtered.CountAsync();
			var paged = system.PageBy(input);
            return new PagedResultDto&lt;MstLgaPcRackDto&gt;(
                totalCount,
                 await paged.ToListAsync()
            );
        }
        public async Task&lt;FileDto&gt; GetPcRackToExcel(MstLgaPcRackExportInput input)
        {
            var query = from o in _repo.GetAll()
                        select new MstLgaPcRackDto
                        {
							Id = o.Id,
							Code = o.Code,
							Address = o.Address,
							Sorting = o.Sorting,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_dapperRepo.ExecuteAsync(MstLgaPcRackConsts.SP_MST_WPT_CALENDAR_GENERATE);
       // }
    }
}</v>
      </c>
      <c r="N59" s="62" t="str">
        <f>A.Backend!U7</f>
        <v xml:space="preserve">  configuration.CreateMap&lt;MstLgaPcRackDto, MstLgaPcRack&gt;();
  configuration.CreateMap&lt;MstLgaPcRack, MstLgaPcRackDto&gt;();
  configuration.CreateMap&lt;CreateOrEditMstLgaPcRackDto, MstLgaPcRack&gt;();</v>
      </c>
    </row>
    <row r="60" spans="1:14" s="16" customFormat="1" ht="21.75" customHeight="1" x14ac:dyDescent="0.25">
      <c r="C60" s="65"/>
      <c r="D60" s="29"/>
      <c r="E60" s="29"/>
      <c r="F60" s="29"/>
      <c r="G60" s="29"/>
      <c r="H60" s="66"/>
      <c r="I60" s="67"/>
      <c r="J60" s="29"/>
      <c r="K60" s="29"/>
      <c r="M60" s="66"/>
    </row>
    <row r="61" spans="1:14" s="16" customFormat="1" ht="21.75" customHeight="1" x14ac:dyDescent="0.25">
      <c r="C61" s="29"/>
      <c r="D61" s="29"/>
      <c r="E61" s="29"/>
      <c r="F61" s="29"/>
      <c r="G61" s="29"/>
      <c r="H61" s="29"/>
      <c r="J61" s="29"/>
      <c r="K61" s="29"/>
      <c r="M61" s="29"/>
    </row>
    <row r="62" spans="1:14" s="16" customFormat="1" ht="21.75" customHeight="1" x14ac:dyDescent="0.25">
      <c r="C62" s="29"/>
      <c r="D62" s="29"/>
      <c r="E62" s="29"/>
      <c r="G62" s="29"/>
      <c r="H62" s="29"/>
    </row>
    <row r="63" spans="1:14" x14ac:dyDescent="0.25">
      <c r="B63" s="1" t="s">
        <v>73</v>
      </c>
    </row>
    <row r="64" spans="1:14" ht="21" x14ac:dyDescent="0.35">
      <c r="B64" t="str">
        <f>B.Frontend!B8</f>
        <v>pcrack</v>
      </c>
      <c r="C64" s="72" t="str">
        <f>"create folder " &amp;B64</f>
        <v>create folder pcrack</v>
      </c>
      <c r="D64" s="72"/>
      <c r="E64" s="72"/>
      <c r="F64" s="72"/>
      <c r="G64" s="72"/>
      <c r="H64" s="72"/>
      <c r="I64" s="72"/>
      <c r="J64" s="72"/>
      <c r="K64" s="73" t="s">
        <v>228</v>
      </c>
      <c r="L64" s="73"/>
      <c r="M64" s="31"/>
    </row>
    <row r="65" spans="2:13" s="28" customFormat="1" ht="18" customHeight="1" x14ac:dyDescent="0.25">
      <c r="B65" s="60" t="s">
        <v>229</v>
      </c>
      <c r="C65" s="31" t="str">
        <f>B.Frontend!H14</f>
        <v>pcrack.component.ts</v>
      </c>
      <c r="D65" s="31" t="str">
        <f>B.Frontend!I14</f>
        <v>pcrack.component.html</v>
      </c>
      <c r="E65" s="31" t="str">
        <f>B.Frontend!J14</f>
        <v>pcrack.component.less</v>
      </c>
      <c r="F65" s="31" t="str">
        <f>B.Frontend!K14</f>
        <v>create-or-edit-pcrack-modal.component.html</v>
      </c>
      <c r="G65" s="31" t="str">
        <f>B.Frontend!L14</f>
        <v>create-or-edit-pcrack-modal.component.ts</v>
      </c>
      <c r="H65" s="31" t="str">
        <f>B.Frontend!M14</f>
        <v>create-or-edit-pcrack-modal.component.less</v>
      </c>
      <c r="I65" s="31" t="str">
        <f>B.Frontend!N14</f>
        <v>pcrack.module.ts</v>
      </c>
      <c r="J65" s="31" t="str">
        <f>B.Frontend!O14</f>
        <v>pcrack-routing.module.ts</v>
      </c>
      <c r="K65" s="31" t="str">
        <f>B.Frontend!P14</f>
        <v>app.navigation.service.ts</v>
      </c>
      <c r="L65" s="31" t="str">
        <f>B.Frontend!Q14</f>
        <v>main.routing.module.ts</v>
      </c>
      <c r="M65" s="60" t="s">
        <v>232</v>
      </c>
    </row>
    <row r="66" spans="2:13" ht="21.75" customHeight="1" x14ac:dyDescent="0.25">
      <c r="B66" s="61" t="s">
        <v>226</v>
      </c>
      <c r="C66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MstLgaPcRackDto, MstLgaPcRackServiceProxy } from '@shared/service-proxies/service-proxies';
import { finalize } from 'rxjs/internal/operators/finalize';
import { CreateOrEditPcRackModalComponent } from './create-or-edit-pcrack-modal.component';
import { DatePipe } from '@angular/common';
import { FileDownloadService } from '@shared/utils/file-download.service';
import ceil from 'lodash-es/ceil';
import { Paginator } from 'primeng/paginator';
@Component({
    templateUrl: './pcrack.component.html',
    styleUrls: ['./pcrack.component.less'],
})
export class PcRackComponent extends AppComponentBase implements OnInit {
    @ViewChild('createOrEditModalPcRack', { static: true }) createOrEditModalPcRack:| CreateOrEditPcRackModalComponent|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MstLgaPcRackDto = new MstLgaPcRackDto();
    saveSelectedRow: MstLgaPcRackDto = new MstLgaPcRackDto();
    datas: MstLgaPcRackDto = new MstLgaPcRackDto();
    isLoading: boolean = false;
    dataParams: GridParams | undefined;
    rowData: any[] = [];
    gridApi!: GridApi;
    rowSelection = 'multiple';
    filter: string = '';
	pipe = new DatePipe('en-US');
	frameworkComponents: FrameworkComponent;
    code : string = '' ; 
	address : string = '' ; 
	sorting : number = 0 ;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MstLgaPcRackServiceProxy,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this.l('Address'),headerTooltip: this.l('Address'),field: 'address',flex: 1},
			{headerName: this.l('Sorting'),headerTooltip: this.l('Sorting'),field: 'sorting',flex: 1},
			{headerName: this.l('Is Active'),headerTooltip: this.l('Is Active'),field: 'isActive',flex: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this.address,
			this.sorting,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this.code = '',
		this.address = '',
		this.sorting = 0,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this.address,
			this.sorting,
			this.isActive,
			'',
            this.paginationParams.skipCount,
            this.paginationParams.pageSize
        );
    }
    onChangeRowSelection(params: { api: { getSelectedRows: () =&gt; MstLgaPcRackDto[] } }) {
        this.saveSelectedRow = params.api.getSelectedRows()[0] ?? new MstLgaPcRackDto();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MstLgaPcRackDto):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this._service.getPcRackToExcel(
			this.code,
			this.address,
			this.sorting,
			this.isActive,
            )
            .subscribe((result) =&gt; {
                this._fileDownloadService.downloadTempFile(result);
        });
    }
}</v>
      </c>
      <c r="D66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LogA PC Rack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[(ngModel)]='address' name='address'
									class='form-control' [placeholder]="l('Address')"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(click)="createOrEditModalPcRack.show()"&gt;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(click)="createOrEditModalPcRack.show(selectedRow)"&gt;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&lt;create-or-edit-pcrack-modal
    #createOrEditModalPcRack
    (modalSave)="callBackDataGrid(dataParams)"
    (modalClose)="onChangeRowSelection(dataParams)"
&gt;
&lt;/create-or-edit-pcrack-modal&gt;</v>
      </c>
      <c r="E66" s="49" t="str">
        <f>B.Frontend!J10</f>
        <v>.input-search{
    width: 250px;
    border-radius: 10px;
    margin-left: 10px;
}
.btn-search{
    width: 50px;
    margin-left: 10px;
}</v>
      </c>
      <c r="F66" s="49" t="str">
        <f ca="1">B.Frontend!K10</f>
        <v>&lt;div bsModal #createOrEditModalPcRack="bs-modal"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PcRack')}}&lt;/h3&gt;
                    &lt;h3 *ngIf="!rowdata.id"&gt;{{('Create New PcRack')}}&lt;/h3&gt;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title'&gt;Address&lt;/label&gt;
						&lt;input type='text' class='col-md-10 form-control input-text' name='Address' [(ngModel)]='rowdata.address'&gt;
					&lt;/div&gt;
					&lt;div class='col-md-12 form-group row'&gt;
						&lt;label class='col-md-2 form-control title'&gt;Sorting&lt;/label&gt;
						&lt;input type='number' class='col-md-10 form-control input-text' name='Sorting' [(ngModel)]='rowdata.sorting'&gt;
					&lt;/div&gt;
					&lt;div class='col-md-12 form-group row'&gt;
						&lt;label class='col-md-2 form-control title'&gt;Is Active&lt;/label&gt;
						&lt;input type='text' class='col-md-10 form-control input-text' name='IsActive' [(ngModel)]='rowdata.isActive'&gt;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66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CreateOrEditMstLgaPcRackDto, MstLgaPcRackServiceProxy } from '@shared/service-proxies/service-proxies';
import { BsDatepickerDirective } from 'ngx-bootstrap/datepicker';
@Component({
    selector: 'create-or-edit-pcrack-modal',
    templateUrl: './create-or-edit-pcrack-modal.component.html',
    styleUrls: ['./create-or-edit-pcrack-modal.component.less']
    })
export class CreateOrEditPcRackModalComponent extends AppComponentBase {
    @ViewChild('createOrEditModalPcRack',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CreateOrEditMstLgaPcRackDto = new CreateOrEditMstLgaPcRackDto();
    active: boolean = false;
    saving: boolean = false;
    _: boolean;
    constructor(
        injector: Injector,
        private _mstwptPcRackService: MstLgaPcRackServiceProxy,
    ) 
    {
        super(injector);
    }
    show(rowdata?: CreateOrEditMstLgaPcRackDto): void {
        if (!rowdata) this.rowdata = new CreateOrEditMstLgaPcRackDto();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this._mstwptPcRackService.createOrEdit(this.rowdata)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66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66" s="49" t="str">
        <f>B.Frontend!N10</f>
        <v>import {NgModule} from '@angular/core';
import {AppSharedModule} from '@app/shared/app-shared.module';
import { PcRackRoutingModule } from './pcrack-routing.module';
import { PcRackComponent } from './pcrack.component';
import { CreateOrEditPcRackModalComponent } from './create-or-edit-pcrack-modal.component';
@NgModule({
    declarations: [
       PcRackComponent, 
        CreateOrEditPcRackModalComponent
    ],
    imports: [
        AppSharedModule, PcRackRoutingModule]
})
export class PcRackModule {}</v>
      </c>
      <c r="J66" s="49" t="str">
        <f>B.Frontend!O10</f>
        <v>import {NgModule} from '@angular/core';
import {RouterModule, Routes} from '@angular/router';
import { PcRackComponent } from './pcrack.component';
const routes: Routes = [{
    path: '',
    component: PcRackComponent,
    pathMatch: 'full'
}];
@NgModule({
    imports: [RouterModule.forChild(routes)],
    exports: [RouterModule],
})
export class PcRackRoutingModule {}</v>
      </c>
      <c r="K66" s="49" t="str">
        <f>B.Frontend!P10</f>
        <v xml:space="preserve"> new AppMenuItem("PcRack", "Pages.Master.LogA.PcRack", "flaticon-book",   "/app/main/master/loga/pcrack"),</v>
      </c>
      <c r="L66" s="50" t="str">
        <f>B.Frontend!Q10</f>
        <v>{
    path: 'master/loga/pcrack',
    loadChildren: () =&gt; import('./master/loga/pcrack/pcrack.module').then(m =&gt; m.PcRackModule),
    data: { permission: 'Pages.Master.LogA.PcRack' }
},</v>
      </c>
      <c r="M66" s="48" t="str">
        <f>B.Frontend!R10</f>
        <v>ApiServiceProxies.MstLgaPcRackServiceProxy,</v>
      </c>
    </row>
    <row r="68" spans="2:13" x14ac:dyDescent="0.25">
      <c r="B68" s="1" t="s">
        <v>75</v>
      </c>
    </row>
  </sheetData>
  <mergeCells count="2">
    <mergeCell ref="C64:J64"/>
    <mergeCell ref="K64:L64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14"/>
  <sheetViews>
    <sheetView workbookViewId="0">
      <pane xSplit="1" topLeftCell="B1" activePane="topRight" state="frozen"/>
      <selection pane="topRight" activeCell="B19" sqref="B19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42578125" style="8" customWidth="1"/>
    <col min="19" max="19" width="20.42578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vovina.Master.LogA.Dto;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332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333</v>
      </c>
      <c r="C3" s="10" t="s">
        <v>43</v>
      </c>
      <c r="D3" s="10" t="s">
        <v>44</v>
      </c>
      <c r="E3" s="10" t="s">
        <v>39</v>
      </c>
      <c r="F3" s="11" t="str">
        <f>"J"&amp;COUNTA($A:$A)</f>
        <v>J12</v>
      </c>
      <c r="G3" s="4" t="s">
        <v>57</v>
      </c>
      <c r="H3" s="10" t="str">
        <f>"I"&amp;COUNTA($A:$A)</f>
        <v>I12</v>
      </c>
      <c r="I3" s="10" t="str">
        <f>REPT(CHAR(9),2)&amp;"[Required]"&amp;"
"</f>
        <v xml:space="preserve">		[Required]
</v>
      </c>
      <c r="J3" s="11" t="str">
        <f>"L"&amp;COUNTA($A:$A)</f>
        <v>L12</v>
      </c>
      <c r="K3" s="5" t="s">
        <v>56</v>
      </c>
      <c r="L3" s="11" t="str">
        <f>"M"&amp;COUNTA($A:$A)</f>
        <v>M12</v>
      </c>
      <c r="M3" s="11" t="str">
        <f>"N"&amp;COUNTA($A:$A)</f>
        <v>N12</v>
      </c>
      <c r="N3" s="11" t="str">
        <f>"O"&amp;COUNTA($A:$A)</f>
        <v>O12</v>
      </c>
      <c r="O3" s="11" t="str">
        <f>"P"&amp;COUNTA($A:$A)</f>
        <v>P12</v>
      </c>
      <c r="Q3" s="11" t="str">
        <f>RIGHT(B2,(LEN(B2)-FIND(".",B2,1)))</f>
        <v>LogA</v>
      </c>
      <c r="R3" s="32" t="str">
        <f>REPT(CHAR(9),1)&amp;"public class "&amp;B3&amp;"ExportInput"&amp;C3</f>
        <v xml:space="preserve">	public class MstLgaPcRackExportInput{
</v>
      </c>
      <c r="S3" s="11" t="str">
        <f>"namespace "&amp;$B$6&amp;".Exporting
"&amp;$C$3</f>
        <v xml:space="preserve">namespace vovina.Master.LogA.Exporting
{
</v>
      </c>
      <c r="T3" s="11" t="str">
        <f>"T"&amp;COUNTA($A:$A)</f>
        <v>T12</v>
      </c>
      <c r="V3" s="11" t="str">
        <f>"V"&amp;COUNTA($A:$A)</f>
        <v>V12</v>
      </c>
      <c r="W3" s="10" t="str">
        <f>"W"&amp;COUNTA($A:$A)</f>
        <v>W12</v>
      </c>
    </row>
    <row r="4" spans="1:23" s="11" customFormat="1" ht="33" customHeight="1" x14ac:dyDescent="0.2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324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24.95" customHeight="1" x14ac:dyDescent="0.25">
      <c r="A6" s="1" t="s">
        <v>6</v>
      </c>
      <c r="B6" s="10" t="str">
        <f>"vovina."&amp;B2</f>
        <v>vovina.Master.LogA</v>
      </c>
      <c r="C6" s="11" t="str">
        <f>"namespace "&amp;$B$6&amp;"
"&amp;$C$3</f>
        <v xml:space="preserve">namespace vovina.Master.LogA
{
</v>
      </c>
      <c r="D6" s="11" t="str">
        <f>REPT(CHAR(9),1)&amp;"public class "&amp;B3&amp;G3&amp;REPT(CHAR(9),1)&amp;"
"&amp;REPT(CHAR(9),1)&amp;C3</f>
        <v xml:space="preserve">	public class MstLgaPcRack: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MstLgaPcRackConsts	
	{
</v>
      </c>
      <c r="F6" s="11" t="str">
        <f>REPT(CHAR(9),1)&amp;"public class "&amp;B3&amp;"Dto"&amp;K3&amp;REPT(CHAR(9),1)&amp;"
"&amp;REPT(CHAR(9),1)&amp;C3</f>
        <v xml:space="preserve">	public class MstLgaPcRackDto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CreateOrEditMstLgaPcRackDto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GetMstLgaPcRackInput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24.95" customHeight="1" x14ac:dyDescent="0.25">
      <c r="A7" s="1" t="s">
        <v>13</v>
      </c>
      <c r="B7" s="10" t="str">
        <f>B3</f>
        <v>MstLgaPcRack</v>
      </c>
      <c r="C7" s="11" t="str">
        <f>REPT(CHAR(9),1)&amp;"[Table("""&amp;B7&amp;""")]"&amp;"
"</f>
        <v xml:space="preserve">	[Table("MstLgaPcRack")]
</v>
      </c>
      <c r="D7" s="11"/>
      <c r="E7" s="11"/>
      <c r="F7" s="11"/>
      <c r="G7" s="11"/>
      <c r="H7" s="11"/>
      <c r="I7" s="11"/>
      <c r="J7" s="6" t="str">
        <f ca="1">SUBSTITUTE(SUBSTITUTE((B1&amp;C6&amp;C7&amp;K14&amp;D6&amp;I14&amp;E3&amp;J14&amp;""&amp;REPT(CHAR(9),1)&amp;D3&amp;D3),"WorkingPattern",$Q$3),"Master",$B$4)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vovina.Master.LogA
{
	[Table("MstLgaPcRack")]
	[Index(nameof(Code), Name="IX_MstLgaPcRack_Code")]
	[Index(nameof(IsActive), Name="IX_MstLgaPcRack_IsActive")]	public class MstLgaPcRack: FullAuditedEntity&lt;long&gt;, IEntity&lt;long&gt;	
	{
		public const int MaxCodeLength = 50;
		public const int MaxAddressLength = 200;
		public const int MaxIsActiveLength = 1;
		[StringLength(MaxCodeLength)]
		public virtual string Code { get; set; }
		[StringLength(MaxAddressLength)]
		public virtual string Address { get; set; }
		public virtual int Sorting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DbSet&lt;MstLgaPcRack&gt; MstLgaPcRacks { get; set; }</v>
      </c>
      <c r="L7" t="str">
        <f ca="1">SUBSTITUTE(SUBSTITUTE((C6&amp;E6&amp;I14&amp;"
"&amp;REPT(CHAR(9),2)&amp;"// Define Store Name: Format SP_ + &lt;Store Name&gt; = &lt;Store Name&gt;
"&amp;E3&amp;REPT(CHAR(9),1)&amp;D3&amp;D3),"WorkingPattern",$Q$3),"Master",$B$4)</f>
        <v xml:space="preserve">namespace vovina.Master.LogA
{
	public class MstLgaPcRackConsts	
	{
		public const int MaxCodeLength = 50;
		public const int MaxAddressLength = 200;
		public const int MaxIsActiveLength = 1;
		// Define Store Name: Format SP_ + &lt;Store Name&gt; = &lt;Store Name&gt;
	}
}
</v>
      </c>
      <c r="M7" t="str">
        <f ca="1">SUBSTITUTE(SUBSTITUTE((C1&amp;"namespace "&amp;B6&amp;".Dto"&amp;E3&amp;C3&amp;F6&amp;M14&amp;E3&amp;REPT(CHAR(9),1)&amp;D3&amp;G6&amp;N14&amp;REPT(CHAR(9),1)&amp;D3&amp;H6&amp;O14&amp;"
"&amp;REPT(CHAR(9),1)&amp;D3&amp;D3),"WorkingPattern",$Q$3),"Master",$B$4)</f>
        <v xml:space="preserve">using Abp.Application.Services.Dto;
using System;
using System.ComponentModel.DataAnnotations;
namespace vovina.Master.LogA.Dto
{
	public class MstLgaPcRackDto : EntityDto&lt;long?&gt;	
	{
		public virtual string Code { get; set; }
		public virtual string Address { get; set; }
		public virtual int Sorting { get; set; }
		public virtual string IsActive { get; set; }
	}
	public class CreateOrEditMstLgaPcRackDto : EntityDto&lt;long?&gt;	
	{
		[StringLength(MstLgaPcRackConsts.MaxCodeLength)]
		public virtual string Code { get; set; }
		[StringLength(MstLgaPcRackConsts.MaxAddressLength)]
		public virtual string Address { get; set; }
		public virtual int Sorting { get; set; }
		[StringLength(MstLgaPcRackConsts.MaxIsActiveLength)]
		public virtual string IsActive { get; set; }
	}
	public class GetMstLgaPcRackInput : PagedAndSortedResultRequestDto	
	{
		public virtual string Code { get; set; }
		public virtual string Address { get; set; }
		public virtual int Sorting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perMstLgaPcRack = PARENTS.CreateChildPermission(AppPermissions.Pages_Master_LogA_PcRack, L( "MasterLogAPcRack"), multiTenancySides: MultiTenancySides.Tenant);
		perMstLgaPcRack.CreateChildPermission(AppPermissions.Pages_Master_LogA_PcRack_CreateEdit, L( "MasterLogAPcRackCreateEdit"), multiTenancySides: MultiTenancySides.Tenant);
		perMstLgaPcRack.CreateChildPermission(AppPermissions.Pages_Master_LogA_PcRack_Delete, L( "MasterLogAPcRackDelete"),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Pages_Master_LogA_PcRack = "Pages.Master.LogA.PcRack";
		public const string Pages_Master_LogA_PcRack_CreateEdit = "Pages.Master.LogA.PcRack.CreateEdit";
		public const string Pages_Master_LogA_PcRack_Delete = "Pages.Master.LogA.PcRack.Delete";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vovina.Master.LogA.Dto;
namespace vovina.Master.LogA
{
	public interface IMstLgaPcRackAppService : IApplicationService
	{
		Task&lt;PagedResultDto&lt;MstLgaPcRackDto&gt;&gt; GetAll(GetMstLgaPcRackInput input);
		Task CreateOrEdit(CreateOrEditMstLgaPcRackDto input);
		Task Delete(EntityDto input);
	}
}
</v>
      </c>
      <c r="Q7" t="str">
        <f ca="1">SUBSTITUTE(SUBSTITUTE(SUBSTITUTE(SUBSTITUTE(SUBSTITUTE(SUBSTITUTE(E1,"MstWptCalendar",$B$3),"&lt;PROPERTIES&gt;",P14),"Calendar",$B$5),"WorkingPattern",$Q$3),"Master",$B$4),"&lt;PARAMS_SEARCH&gt;",$W$14)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vovina.Master.LogA.Dto;
using vovina.Master.LogA.Exporting;
namespace vovina.Master.LogA
{
    [AbpAuthorize(AppPermissions.Pages_Master_LogA_PcRack)]
    public class MstLgaPcRackAppService : vovinaAppServiceBase, IMstLgaPcRackAppService
    {
        private readonly IDapperRepository&lt;MstLgaPcRack, long&gt; _dapperRepo;
        private readonly IRepository&lt;MstLgaPcRack, long&gt; _repo;
        private readonly IMstLgaPcRackExcelExporter _calendarListExcelExporter;
        public MstLgaPcRackAppService(IRepository&lt;MstLgaPcRack,long&gt; repo, 
                                         IDapperRepository&lt;MstLgaPcRack,long&gt; dapperRepo,
                                        IMstLgaPcRackExcelExporter calendarListExcelExporter
            )
        {
            _repo = repo;
            _dapperRepo = dapperRepo;
            _calendarListExcelExporter = calendarListExcelExporter;
        }
        [AbpAuthorize(AppPermissions.Pages_Master_LogA_PcRack_CreateEdit)]
        public async Task CreateOrEdit(CreateOrEditMstLgaPcRackDto input)
        {
            if (input.Id == null) await Create(input);
            else await Update(input);
        }
        //CREATE
        private async Task Create(CreateOrEditMstLgaPcRackDto input)
        {          
            var mainObj = ObjectMapper.Map&lt;MstLgaPcRack&gt;(input);
            await CurrentUnitOfWork.GetDbContext&lt;vovinaDbContext&gt;().AddAsync(mainObj);
        }
        // EDIT
        private async Task Update(CreateOrEditMstLgaPcRackDto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[AbpAuthorize(AppPermissions.Pages_Master_LogA_PcRack_Delete)]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Task&lt;PagedResultDto&lt;MstLgaPcRackDto&gt;&gt; GetAll(GetMstLgaPcRackInput input)
        {
            var filtered = _repo.GetAll()
				.WhereIf(!string.IsNullOrWhiteSpace(input.Code), e =&gt; e.Code.Contains(input.Code))
				.WhereIf(!string.IsNullOrWhiteSpace(input.Address), e =&gt; e.Address.Contains(input.Address))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MstLgaPcRackDto
                        {
							Id = o.Id,
							Code = o.Code,
							Address = o.Address,
							Sorting = o.Sorting,
							IsActive = o.IsActive,
                        };
            var totalCount = await filtered.CountAsync();
			var paged = system.PageBy(input);
            return new PagedResultDto&lt;MstLgaPcRackDto&gt;(
                totalCount,
                 await paged.ToListAsync()
            );
        }
        public async Task&lt;FileDto&gt; GetPcRackToExcel(MstLgaPcRackExportInput input)
        {
            var query = from o in _repo.GetAll()
                        select new MstLgaPcRackDto
                        {
							Id = o.Id,
							Code = o.Code,
							Address = o.Address,
							Sorting = o.Sorting,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_dapperRepo.ExecuteAsync(MstLgaPcRackConsts.SP_MST_WPT_CALENDAR_GENERATE);
       // }
    }
}</v>
      </c>
      <c r="R7" t="str">
        <f ca="1">SUBSTITUTE(SUBSTITUTE((C1&amp;"namespace "&amp;B6&amp;".Dto"&amp;E3&amp;C3&amp;R3&amp;M14&amp;E3&amp;REPT(CHAR(9),1)&amp;D3&amp;D3),"WorkingPattern",$Q$3),"Master",$B$4)</f>
        <v xml:space="preserve">using Abp.Application.Services.Dto;
using System;
using System.ComponentModel.DataAnnotations;
namespace vovina.Master.LogA.Dto
{
	public class MstLgaPcRackExportInput{
		public virtual string Code { get; set; }
		public virtual string Address { get; set; }
		public virtual int Sorting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vovina.Master.LogA.Dto;
namespace vovina.Master.LogA.Exporting
{
	public interface IMstLgaPcRackExcelExporter : IApplicationService
	{
		FileDto ExportToFile(List&lt;MstLgaPcRackDto&gt; mstlgapcrack);
	}
}
</v>
      </c>
      <c r="T7" s="28" t="str">
        <f ca="1">SUBSTITUTE(SUBSTITUTE(SUBSTITUTE(SUBSTITUTE(SUBSTITUTE(SUBSTITUTE(SUBSTITUTE(T1,"MstWptCalendar",$B$3),"&lt;PROPERTIES1&gt;",V14),"&lt;PROPERTIES&gt;",T14),"Calendar",$B$5),"calendar",LOWER(B5)),"WorkingPattern",$Q$3),"Master",$B$4)</f>
        <v>using System.Collections.Generic;
using vovina.DataExporting.Excel.NPOI;
using vovina.Dto;
using vovina.Master.LogA.Exporting;
using vovina.Master.LogA.Dto;
using vovina.Storage;
using vovina.Master.LogA.Dto;
namespace vovina.Master.LogA.Exporting
{
    public class MstLgaPcRackExcelExporter : NpoiExcelExporterBase, IMstLgaPcRackExcelExporter
    {
        public MstLgaPcRackExcelExporter(ITempFileCacheManager tempFileCacheManager) : base(tempFileCacheManager) { }
        public FileDto ExportToFile(List&lt;MstLgaPcRackDto&gt; pcrack)
        {
            return CreateExcelPackage(
				"MasterLogAPcRack.xlsx",
				excelPackage =&gt;
				 {
					var sheet = excelPackage.CreateSheet("PcRack");
					AddHeader(
								sheet,
								("Code"),
								("Address"),
								("Sorting"),
								("IsActive"),
							   );
					AddObjects(
						 sheet, 1, pcrack,                                       
								_ =&gt; _.Code,
								_ =&gt; _.Address,
								_ =&gt; _.Sorting,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configuration.CreateMap&lt;MstLgaPcRackDto, MstLgaPcRack&gt;();
  configuration.CreateMap&lt;MstLgaPcRack, MstLgaPcRackDto&gt;();
  configuration.CreateMap&lt;CreateOrEditMstLgaPcRackDto, MstLgaPcRack&gt;();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18.75" customHeight="1" x14ac:dyDescent="0.25">
      <c r="A9" t="s">
        <v>325</v>
      </c>
      <c r="B9" t="s">
        <v>320</v>
      </c>
      <c r="C9" t="s">
        <v>1</v>
      </c>
      <c r="D9" t="str">
        <f t="shared" ref="D9" si="0">SUBSTITUTE(PROPER(A9),"_","")</f>
        <v>Code</v>
      </c>
      <c r="E9" t="str">
        <f t="shared" ref="E9" si="1">IFERROR(LEFT(B9, FIND("(",B9)-1),B9)</f>
        <v>varchar</v>
      </c>
      <c r="F9" s="7"/>
      <c r="G9" t="str">
        <f t="shared" ref="G9" si="2">IFERROR(MID(B9,FIND("(",B9) +1, FIND(")",B9) - FIND("(",B9) - 1),"")</f>
        <v>50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MaxCodeLength = 50;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[StringLength(MaxCodeLength)]
		public virtual string Code { get; set; }
</v>
      </c>
      <c r="K9" s="7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[Index(nameof(Code), Name="IX_MstLgaPcRack_Code")]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Code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[StringLength(MstLgaPcRackConsts.MaxCodeLength)]
		public virtual string Code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Code { get; set; }
</v>
      </c>
      <c r="P9" t="str">
        <f t="shared" ref="P9" si="9">REPT(CHAR(9),7)&amp;D9&amp;" = o." &amp;D9 &amp;","</f>
        <v xml:space="preserve">							Code = o.Code,</v>
      </c>
      <c r="T9" s="69" t="str">
        <f t="shared" ref="T9" si="10">REPT(CHAR(9),8)&amp;"("""&amp;D9&amp;"""),"</f>
        <v xml:space="preserve">								("Code"),</v>
      </c>
      <c r="V9" s="70" t="str">
        <f t="shared" ref="V9" si="11">REPT(CHAR(9),8)&amp;"_ =&gt; _."&amp;D9&amp;","</f>
        <v xml:space="preserve">								_ =&gt; _.Code,</v>
      </c>
      <c r="W9" s="69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.WhereIf(!string.IsNullOrWhiteSpace(input.Code), e =&gt; e.Code.Contains(input.Code))</v>
      </c>
    </row>
    <row r="10" spans="1:23" customFormat="1" ht="18.75" customHeight="1" x14ac:dyDescent="0.25">
      <c r="A10" t="s">
        <v>326</v>
      </c>
      <c r="B10" t="s">
        <v>331</v>
      </c>
      <c r="C10" t="s">
        <v>1</v>
      </c>
      <c r="D10" t="str">
        <f t="shared" ref="D10" si="13">SUBSTITUTE(PROPER(A10),"_","")</f>
        <v>Address</v>
      </c>
      <c r="E10" t="str">
        <f t="shared" ref="E10" si="14">IFERROR(LEFT(B10, FIND("(",B10)-1),B10)</f>
        <v>varchar</v>
      </c>
      <c r="F10" s="7"/>
      <c r="G10" t="str">
        <f t="shared" ref="G10" si="15">IFERROR(MID(B10,FIND("(",B10) +1, FIND(")",B10) - FIND("(",B10) - 1),"")</f>
        <v>200</v>
      </c>
      <c r="H10" t="str">
        <f>+VLOOKUP(E10,'Data Type Mapping'!A:B,2,)</f>
        <v>string</v>
      </c>
      <c r="I10" t="str">
        <f t="shared" ref="I10" si="16">IF(H10="string",REPT(CHAR(9),2)&amp;"public const int Max"&amp;D10&amp;"Length = "&amp;G10&amp;";"&amp;$E$3,"" )</f>
        <v xml:space="preserve">		public const int MaxAddressLength = 200;
</v>
      </c>
      <c r="J10" t="str">
        <f t="shared" ref="J10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[StringLength(MaxAddressLength)]
		public virtual string Address { get; set; }
</v>
      </c>
      <c r="K10" s="7"/>
      <c r="L10" t="str">
        <f t="shared" ref="L10" si="18">IF(K10="","",REPT(CHAR(9),1)&amp;"[Index(nameof("&amp;IF(D10="","",""&amp;D10)&amp;")"&amp;", Name="&amp;"""IX_"&amp;$B$7&amp;"_"&amp;D10&amp;""")]")</f>
        <v/>
      </c>
      <c r="M10" t="str">
        <f t="shared" ref="M10" si="19">REPT(CHAR(9),2)&amp;"public virtual "&amp;IF(OR(H10="DateTime",H10="TimeSpan"),H10&amp;"?",H10)&amp;IF(C10="?","? "," ")&amp;D10&amp;" { get; set; }" &amp; "
"</f>
        <v xml:space="preserve">		public virtual string Address { get; set; }
</v>
      </c>
      <c r="N10" t="str">
        <f t="shared" ref="N10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[StringLength(MstLgaPcRackConsts.MaxAddressLength)]
		public virtual string Address { get; set; }
</v>
      </c>
      <c r="O10" t="str">
        <f t="shared" ref="O10" si="21">IF(OR(H10="string",H10="DateTime",H10="int"),REPT(CHAR(9),2)&amp;"public virtual "&amp;IF(OR(H10="DateTime",H10="TimeSpan"),H10&amp;"?",H10)&amp;IF(C10="?","? "," ")&amp;D10&amp;" { get; set; }"&amp;$E$3,"")</f>
        <v xml:space="preserve">		public virtual string Address { get; set; }
</v>
      </c>
      <c r="P10" t="str">
        <f t="shared" ref="P10" si="22">REPT(CHAR(9),7)&amp;D10&amp;" = o." &amp;D10 &amp;","</f>
        <v xml:space="preserve">							Address = o.Address,</v>
      </c>
      <c r="T10" s="69" t="str">
        <f t="shared" ref="T10" si="23">REPT(CHAR(9),8)&amp;"("""&amp;D10&amp;"""),"</f>
        <v xml:space="preserve">								("Address"),</v>
      </c>
      <c r="V10" s="70" t="str">
        <f t="shared" ref="V10" si="24">REPT(CHAR(9),8)&amp;"_ =&gt; _."&amp;D10&amp;","</f>
        <v xml:space="preserve">								_ =&gt; _.Address,</v>
      </c>
      <c r="W10" s="69" t="str">
        <f t="shared" ref="W10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.WhereIf(!string.IsNullOrWhiteSpace(input.Address), e =&gt; e.Address.Contains(input.Address))</v>
      </c>
    </row>
    <row r="11" spans="1:23" customFormat="1" ht="22.5" customHeight="1" x14ac:dyDescent="0.25">
      <c r="A11" t="s">
        <v>327</v>
      </c>
      <c r="B11" t="s">
        <v>4</v>
      </c>
      <c r="C11" t="s">
        <v>1</v>
      </c>
      <c r="D11" t="str">
        <f>SUBSTITUTE(PROPER(A11),"_","")</f>
        <v>Sorting</v>
      </c>
      <c r="E11" t="str">
        <f t="shared" ref="E11:E12" si="26">IFERROR(LEFT(B11, FIND("(",B11)-1),B11)</f>
        <v>int</v>
      </c>
      <c r="F11" s="7"/>
      <c r="G11" t="str">
        <f t="shared" ref="G11:G12" si="27">IFERROR(MID(B11,FIND("(",B11) +1, FIND(")",B11) - FIND("(",B11) - 1),"")</f>
        <v/>
      </c>
      <c r="H11" t="str">
        <f>+VLOOKUP(E11,'Data Type Mapping'!A:B,2,)</f>
        <v>int</v>
      </c>
      <c r="I11" t="str">
        <f t="shared" ref="I11:I12" si="28">IF(H11="string",REPT(CHAR(9),2)&amp;"public const int Max"&amp;D11&amp;"Length = "&amp;G11&amp;";"&amp;$E$3,"" )</f>
        <v/>
      </c>
      <c r="J11" t="str">
        <f t="shared" ref="J11:J12" si="29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public virtual int Sorting { get; set; }
</v>
      </c>
      <c r="K11" s="7"/>
      <c r="L11" t="str">
        <f>IF(K11="","",REPT(CHAR(9),1)&amp;"[Index(nameof("&amp;IF(D11="","",""&amp;D11)&amp;")"&amp;", Name="&amp;"""IX_"&amp;$B$7&amp;"_"&amp;D11&amp;""")]")</f>
        <v/>
      </c>
      <c r="M11" t="str">
        <f t="shared" ref="M11:M12" si="30">REPT(CHAR(9),2)&amp;"public virtual "&amp;IF(OR(H11="DateTime",H11="TimeSpan"),H11&amp;"?",H11)&amp;IF(C11="?","? "," ")&amp;D11&amp;" { get; set; }" &amp; "
"</f>
        <v xml:space="preserve">		public virtual int Sorting { get; set; }
</v>
      </c>
      <c r="N11" t="str">
        <f t="shared" ref="N11:N12" si="31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public virtual int Sorting { get; set; }
</v>
      </c>
      <c r="O11" t="str">
        <f t="shared" ref="O11:O12" si="32">IF(OR(H11="string",H11="DateTime",H11="int"),REPT(CHAR(9),2)&amp;"public virtual "&amp;IF(OR(H11="DateTime",H11="TimeSpan"),H11&amp;"?",H11)&amp;IF(C11="?","? "," ")&amp;D11&amp;" { get; set; }"&amp;$E$3,"")</f>
        <v xml:space="preserve">		public virtual int Sorting { get; set; }
</v>
      </c>
      <c r="P11" t="str">
        <f t="shared" ref="P11:P12" si="33">REPT(CHAR(9),7)&amp;D11&amp;" = o." &amp;D11 &amp;","</f>
        <v xml:space="preserve">							Sorting = o.Sorting,</v>
      </c>
      <c r="T11" s="69" t="str">
        <f t="shared" ref="T11:T12" si="34">REPT(CHAR(9),8)&amp;"("""&amp;D11&amp;"""),"</f>
        <v xml:space="preserve">								("Sorting"),</v>
      </c>
      <c r="V11" s="70" t="str">
        <f t="shared" ref="V11:V12" si="35">REPT(CHAR(9),8)&amp;"_ =&gt; _."&amp;D11&amp;","</f>
        <v xml:space="preserve">								_ =&gt; _.Sorting,</v>
      </c>
      <c r="W11" s="69" t="str">
        <f t="shared" ref="W11:W12" si="36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/>
      </c>
    </row>
    <row r="12" spans="1:23" customFormat="1" ht="22.5" customHeight="1" x14ac:dyDescent="0.25">
      <c r="A12" t="s">
        <v>329</v>
      </c>
      <c r="B12" t="s">
        <v>330</v>
      </c>
      <c r="C12" t="s">
        <v>1</v>
      </c>
      <c r="D12" t="str">
        <f>SUBSTITUTE(PROPER(A12),"_","")</f>
        <v>IsActive</v>
      </c>
      <c r="E12" t="str">
        <f t="shared" si="26"/>
        <v>varchar</v>
      </c>
      <c r="F12" s="7"/>
      <c r="G12" t="str">
        <f t="shared" si="27"/>
        <v>1</v>
      </c>
      <c r="H12" t="str">
        <f>+VLOOKUP(E12,'[1]Data Type Mapping'!A:B,2,)</f>
        <v>string</v>
      </c>
      <c r="I12" t="str">
        <f t="shared" si="28"/>
        <v xml:space="preserve">		public const int MaxIsActiveLength = 1;
</v>
      </c>
      <c r="J12" t="str">
        <f t="shared" si="29"/>
        <v xml:space="preserve">		[StringLength(MaxIsActiveLength)]
		public virtual string IsActive { get; set; }
</v>
      </c>
      <c r="K12" s="7" t="s">
        <v>206</v>
      </c>
      <c r="L12" t="str">
        <f>IF(K12="","",REPT(CHAR(9),1)&amp;"[Index(nameof("&amp;IF(D12="","",""&amp;D12)&amp;")"&amp;", Name="&amp;"""IX_"&amp;$B$7&amp;"_"&amp;D12&amp;""")]")</f>
        <v xml:space="preserve">	[Index(nameof(IsActive), Name="IX_MstLgaPcRack_IsActive")]</v>
      </c>
      <c r="M12" t="str">
        <f t="shared" si="30"/>
        <v xml:space="preserve">		public virtual string IsActive { get; set; }
</v>
      </c>
      <c r="N12" t="str">
        <f t="shared" si="31"/>
        <v xml:space="preserve">		[StringLength(MstLgaPcRackConsts.MaxIsActiveLength)]
		public virtual string IsActive { get; set; }
</v>
      </c>
      <c r="O12" t="str">
        <f t="shared" si="32"/>
        <v xml:space="preserve">		public virtual string IsActive { get; set; }
</v>
      </c>
      <c r="P12" t="str">
        <f t="shared" si="33"/>
        <v xml:space="preserve">							IsActive = o.IsActive,</v>
      </c>
      <c r="T12" s="69" t="str">
        <f t="shared" si="34"/>
        <v xml:space="preserve">								("IsActive"),</v>
      </c>
      <c r="V12" s="70" t="str">
        <f t="shared" si="35"/>
        <v xml:space="preserve">								_ =&gt; _.IsActive,</v>
      </c>
      <c r="W12" s="69" t="str">
        <f t="shared" si="36"/>
        <v xml:space="preserve">				.WhereIf(!string.IsNullOrWhiteSpace(input.IsActive), e =&gt; e.IsActive.Contains(input.IsActive))</v>
      </c>
    </row>
    <row r="14" spans="1:23" ht="45.75" customHeight="1" x14ac:dyDescent="0.25">
      <c r="H14" s="12"/>
      <c r="I14" s="34" t="str">
        <f ca="1">TEXTJOIN2("
", TRUE,INDIRECT( $H$1):INDIRECT( $H$3))</f>
        <v xml:space="preserve">		public const int MaxCodeLength = 50;
		public const int MaxAddressLength = 200;
		public const int MaxIsActiveLength = 1;
</v>
      </c>
      <c r="J14" s="33" t="str">
        <f ca="1">TEXTJOIN2("
", TRUE,INDIRECT( $F$1):INDIRECT( $F$3))</f>
        <v xml:space="preserve">		[StringLength(MaxCodeLength)]
		public virtual string Code { get; set; }
		[StringLength(MaxAddressLength)]
		public virtual string Address { get; set; }
		public virtual int Sorting { get; set; }
		[StringLength(MaxIsActiveLength)]
		public virtual string IsActive { get; set; }
</v>
      </c>
      <c r="K14" s="35" t="str">
        <f ca="1">TEXTJOIN2("
", TRUE,INDIRECT( $J$1):INDIRECT( $J$3))</f>
        <v xml:space="preserve">	[Index(nameof(Code), Name="IX_MstLgaPcRack_Code")]
	[Index(nameof(IsActive), Name="IX_MstLgaPcRack_IsActive")]</v>
      </c>
      <c r="L14" s="13" t="s">
        <v>60</v>
      </c>
      <c r="M14" s="36" t="str">
        <f ca="1">TEXTJOIN2("
",TRUE,INDIRECT( $L$1):INDIRECT($L$3))</f>
        <v xml:space="preserve">		public virtual string Code { get; set; }
		public virtual string Address { get; set; }
		public virtual int Sorting { get; set; }
		public virtual string IsActive { get; set; }
</v>
      </c>
      <c r="N14" s="33" t="str">
        <f ca="1">TEXTJOIN2("
",TRUE,INDIRECT( $M$1):INDIRECT($M$3))</f>
        <v xml:space="preserve">		[StringLength(MstLgaPcRackConsts.MaxCodeLength)]
		public virtual string Code { get; set; }
		[StringLength(MstLgaPcRackConsts.MaxAddressLength)]
		public virtual string Address { get; set; }
		public virtual int Sorting { get; set; }
		[StringLength(MstLgaPcRackConsts.MaxIsActiveLength)]
		public virtual string IsActive { get; set; }
</v>
      </c>
      <c r="O14" s="33" t="str">
        <f ca="1">TEXTJOIN2("
",TRUE,INDIRECT( $N$1):INDIRECT($N$3))</f>
        <v xml:space="preserve">		public virtual string Code { get; set; }
		public virtual string Address { get; set; }
		public virtual int Sorting { get; set; }
		public virtual string IsActive { get; set; }
</v>
      </c>
      <c r="P14" s="9" t="str">
        <f ca="1">TEXTJOIN2("
",TRUE,INDIRECT( $O$1):INDIRECT($O$3))</f>
        <v xml:space="preserve">							Code = o.Code,
							Address = o.Address,
							Sorting = o.Sorting,
							IsActive = o.IsActive,</v>
      </c>
      <c r="T14" s="9" t="str">
        <f ca="1">TEXTJOIN2("
",TRUE,INDIRECT( $T$2):INDIRECT($T$3))</f>
        <v xml:space="preserve">								("Code"),
								("Address"),
								("Sorting"),
								("IsActive"),</v>
      </c>
      <c r="V14" s="9" t="str">
        <f ca="1">TEXTJOIN2("
",TRUE,INDIRECT( $V$2):INDIRECT($V$3))</f>
        <v xml:space="preserve">								_ =&gt; _.Code,
								_ =&gt; _.Address,
								_ =&gt; _.Sorting,
								_ =&gt; _.IsActive,</v>
      </c>
      <c r="W14" s="9" t="str">
        <f ca="1">TEXTJOIN2("
",TRUE,INDIRECT( $W$2):INDIRECT($W$3))</f>
        <v xml:space="preserve">				.WhereIf(!string.IsNullOrWhiteSpace(input.Code), e =&gt; e.Code.Contains(input.Code))
				.WhereIf(!string.IsNullOrWhiteSpace(input.Address), e =&gt; e.Address.Contains(input.Address))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20"/>
  <sheetViews>
    <sheetView tabSelected="1" workbookViewId="0">
      <selection activeCell="C24" sqref="C24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334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LogA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loga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MstLgaPcRack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PcRack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pcrack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MstLgaPcRackDto, MstLgaPcRackServiceProxy } from '@shared/service-proxies/service-proxies';
import { finalize } from 'rxjs/internal/operators/finalize';
import { CreateOrEditPcRackModalComponent } from './create-or-edit-pcrack-modal.component';
import { DatePipe } from '@angular/common';
import { FileDownloadService } from '@shared/utils/file-download.service';
import ceil from 'lodash-es/ceil';
import { Paginator } from 'primeng/paginator';
@Component({
    templateUrl: './pcrack.component.html',
    styleUrls: ['./pcrack.component.less'],
})
export class PcRackComponent extends AppComponentBase implements OnInit {
    @ViewChild('createOrEditModalPcRack', { static: true }) createOrEditModalPcRack:| CreateOrEditPcRackModalComponent|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MstLgaPcRackDto = new MstLgaPcRackDto();
    saveSelectedRow: MstLgaPcRackDto = new MstLgaPcRackDto();
    datas: MstLgaPcRackDto = new MstLgaPcRackDto();
    isLoading: boolean = false;
    dataParams: GridParams | undefined;
    rowData: any[] = [];
    gridApi!: GridApi;
    rowSelection = 'multiple';
    filter: string = '';
	pipe = new DatePipe('en-US');
	frameworkComponents: FrameworkComponent;
    code : string = '' ; 
	address : string = '' ; 
	sorting : number = 0 ;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MstLgaPcRackServiceProxy,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this.l('Address'),headerTooltip: this.l('Address'),field: 'address',flex: 1},
			{headerName: this.l('Sorting'),headerTooltip: this.l('Sorting'),field: 'sorting',flex: 1},
			{headerName: this.l('Is Active'),headerTooltip: this.l('Is Active'),field: 'isActive',flex: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this.address,
			this.sorting,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this.code = '',
		this.address = '',
		this.sorting = 0,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this.address,
			this.sorting,
			this.isActive,
			'',
            this.paginationParams.skipCount,
            this.paginationParams.pageSize
        );
    }
    onChangeRowSelection(params: { api: { getSelectedRows: () =&gt; MstLgaPcRackDto[] } }) {
        this.saveSelectedRow = params.api.getSelectedRows()[0] ?? new MstLgaPcRackDto();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MstLgaPcRackDto):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this._service.getPcRackToExcel(
			this.code,
			this.address,
			this.sorting,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LogA PC Rack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[(ngModel)]='address' name='address'
									class='form-control' [placeholder]="l('Address')"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(click)="createOrEditModalPcRack.show()"&gt;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(click)="createOrEditModalPcRack.show(selectedRow)"&gt;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&lt;create-or-edit-pcrack-modal
    #createOrEditModalPcRack
    (modalSave)="callBackDataGrid(dataParams)"
    (modalClose)="onChangeRowSelection(dataParams)"
&gt;
&lt;/create-or-edit-pcrack-modal&gt;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#createOrEditModalPcRack="bs-modal"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PcRack')}}&lt;/h3&gt;
                    &lt;h3 *ngIf="!rowdata.id"&gt;{{('Create New PcRack')}}&lt;/h3&gt;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title'&gt;Address&lt;/label&gt;
						&lt;input type='text' class='col-md-10 form-control input-text' name='Address' [(ngModel)]='rowdata.address'&gt;
					&lt;/div&gt;
					&lt;div class='col-md-12 form-group row'&gt;
						&lt;label class='col-md-2 form-control title'&gt;Sorting&lt;/label&gt;
						&lt;input type='number' class='col-md-10 form-control input-text' name='Sorting' [(ngModel)]='rowdata.sorting'&gt;
					&lt;/div&gt;
					&lt;div class='col-md-12 form-group row'&gt;
						&lt;label class='col-md-2 form-control title'&gt;Is Active&lt;/label&gt;
						&lt;input type='text' class='col-md-10 form-control input-text' name='IsActive' [(ngModel)]='rowdata.isActive'&gt;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CreateOrEditMstLgaPcRackDto, MstLgaPcRackServiceProxy } from '@shared/service-proxies/service-proxies';
import { BsDatepickerDirective } from 'ngx-bootstrap/datepicker';
@Component({
    selector: 'create-or-edit-pcrack-modal',
    templateUrl: './create-or-edit-pcrack-modal.component.html',
    styleUrls: ['./create-or-edit-pcrack-modal.component.less']
    })
export class CreateOrEditPcRackModalComponent extends AppComponentBase {
    @ViewChild('createOrEditModalPcRack',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CreateOrEditMstLgaPcRackDto = new CreateOrEditMstLgaPcRackDto();
    active: boolean = false;
    saving: boolean = false;
    _: boolean;
    constructor(
        injector: Injector,
        private _mstwptPcRackService: MstLgaPcRackServiceProxy,
    ) 
    {
        super(injector);
    }
    show(rowdata?: CreateOrEditMstLgaPcRackDto): void {
        if (!rowdata) this.rowdata = new CreateOrEditMstLgaPcRackDto();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this._mstwptPcRackService.createOrEdit(this.rowdata)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PcRackRoutingModule } from './pcrack-routing.module';
import { PcRackComponent } from './pcrack.component';
import { CreateOrEditPcRackModalComponent } from './create-or-edit-pcrack-modal.component';
@NgModule({
    declarations: [
       PcRackComponent, 
        CreateOrEditPcRackModalComponent
    ],
    imports: [
        AppSharedModule, PcRackRoutingModule]
})
export class PcRackModule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PcRackComponent } from './pcrack.component';
const routes: Routes = [{
    path: '',
    component: PcRackComponent,
    pathMatch: 'full'
}];
@NgModule({
    imports: [RouterModule.forChild(routes)],
    exports: [RouterModule],
})
export class PcRackRoutingModule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AppMenuItem("PcRack", "Pages.Master.LogA.PcRack", "flaticon-book",   "/app/main/master/loga/pcrack"),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'master/loga/pcrack',
    loadChildren: () =&gt; import('./master/loga/pcrack/pcrack.module').then(m =&gt; m.PcRackModule),
    data: { permission: 'Pages.Master.LogA.PcRack' }
},</v>
      </c>
      <c r="R10" s="50" t="str">
        <f>SUBSTITUTE(R9,"MstWptCalendar",$B$6)</f>
        <v>ApiServiceProxies.MstLgaPcRackServiceProxy,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H18</v>
      </c>
      <c r="I12" s="31" t="str">
        <f>"I"&amp;COUNTA($A:$A)</f>
        <v>I18</v>
      </c>
      <c r="J12" s="31"/>
      <c r="K12" s="31" t="str">
        <f>"K"&amp;COUNTA($A:$A)</f>
        <v>K18</v>
      </c>
      <c r="L12" s="31" t="str">
        <f>"L"&amp;COUNTA($A:$A)</f>
        <v>L18</v>
      </c>
      <c r="M12" s="31"/>
      <c r="N12" s="31"/>
      <c r="O12" s="31"/>
      <c r="P12" s="31"/>
      <c r="Q12" s="31"/>
      <c r="R12" s="31"/>
      <c r="S12" s="31" t="str">
        <f>"S"&amp;COUNTA($A:$A)</f>
        <v>S18</v>
      </c>
      <c r="T12" s="31" t="str">
        <f>"T"&amp;COUNTA($A:$A)</f>
        <v>T18</v>
      </c>
      <c r="U12" s="31" t="str">
        <f>"U"&amp;COUNTA($A:$A)</f>
        <v>U18</v>
      </c>
      <c r="V12" s="31" t="str">
        <f>"V"&amp;COUNTA($A:$A)</f>
        <v>V18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this.l('Code'),headerTooltip: this.l('Code'),field: 'code',flex: 1},
			{headerName: this.l('Address'),headerTooltip: this.l('Address'),field: 'address',flex: 1},
			{headerName: this.l('Sorting'),headerTooltip: this.l('Sorting'),field: 'sorting',flex: 1},
			{headerName: this.l('Is Active'),headerTooltip: this.l('Is Active'),field: 'isActive',flex: 1},</v>
      </c>
      <c r="I13" s="38" t="str">
        <f ca="1">TEXTJOIN2("
",TRUE,INDIRECT(I11):INDIRECT(I12))</f>
        <v xml:space="preserve">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[(ngModel)]='address' name='address'
									class='form-control' [placeholder]="l('Address')"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title'&gt;Address&lt;/label&gt;
						&lt;input type='text' class='col-md-10 form-control input-text' name='Address' [(ngModel)]='rowdata.address'&gt;
					&lt;/div&gt;
					&lt;div class='col-md-12 form-group row'&gt;
						&lt;label class='col-md-2 form-control title'&gt;Sorting&lt;/label&gt;
						&lt;input type='number' class='col-md-10 form-control input-text' name='Sorting' [(ngModel)]='rowdata.sorting'&gt;
					&lt;/div&gt;
					&lt;div class='col-md-12 form-group row'&gt;
						&lt;label class='col-md-2 form-control title'&gt;Is Active&lt;/label&gt;
						&lt;input type='text' class='col-md-10 form-control input-text' name='IsActive' [(ngModel)]='rowdata.isActive'&gt;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code : string = '' ; 
	address : string = '' ; 
	sorting : number = 0 ;
	isActive : string = '' ; </v>
      </c>
      <c r="T13" s="68" t="str">
        <f ca="1">TEXTJOIN2("
",TRUE,INDIRECT(T11):INDIRECT(T12))</f>
        <v xml:space="preserve">			this.code,
			this.address,
			this.sorting,
			this.isActive,</v>
      </c>
      <c r="U13" s="68" t="str">
        <f ca="1">TEXTJOIN2("
",TRUE,INDIRECT(U11):INDIRECT(U12))</f>
        <v>this.code = '',
		this.address = '',
		this.sorting = 0,
		this.isActive = '',</v>
      </c>
      <c r="V13" s="31" t="str">
        <f ca="1">TEXTJOIN2("
",TRUE,INDIRECT(V11):INDIRECT(V12))</f>
        <v/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pcrack.component.ts</v>
      </c>
      <c r="I14" s="40" t="str">
        <f>B8&amp;".component.html"</f>
        <v>pcrack.component.html</v>
      </c>
      <c r="J14" s="39" t="str">
        <f>B8&amp;".component.less"</f>
        <v>pcrack.component.less</v>
      </c>
      <c r="K14" s="40" t="str">
        <f>"create-or-edit-"&amp;B8&amp;"-modal.component.html"</f>
        <v>create-or-edit-pcrack-modal.component.html</v>
      </c>
      <c r="L14" s="40" t="str">
        <f>"create-or-edit-"&amp;B8&amp;"-modal.component.ts"</f>
        <v>create-or-edit-pcrack-modal.component.ts</v>
      </c>
      <c r="M14" s="40" t="str">
        <f>"create-or-edit-"&amp;B8&amp;"-modal.component.less"</f>
        <v>create-or-edit-pcrack-modal.component.less</v>
      </c>
      <c r="N14" s="40" t="str">
        <f>B8&amp;".module.ts"</f>
        <v>pcrack.module.ts</v>
      </c>
      <c r="O14" s="40" t="str">
        <f>B8&amp;"-routing.module.ts"</f>
        <v>pcrack-routing.module.ts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31" t="s">
        <v>325</v>
      </c>
      <c r="B15" s="31" t="str">
        <f>SUBSTITUTE(PROPER(A15),"_","")</f>
        <v>Code</v>
      </c>
      <c r="C15" s="31" t="str">
        <f>SUBSTITUTE(PROPER(A15),"_"," ")</f>
        <v>Code</v>
      </c>
      <c r="D15" s="31" t="str">
        <f>LOWER(LEFT(B15,1))&amp;RIGHT(B15,LEN(B15) - 1)</f>
        <v>code</v>
      </c>
      <c r="E15" s="31" t="str">
        <f>A.Backend!H9</f>
        <v>string</v>
      </c>
      <c r="F15" s="31" t="str">
        <f>A.Backend!G9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this.l('Code'),headerTooltip: this.l('Code'),field: 'code',flex: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[(ngModel)]='code' name='code'
									class='form-control' [placeholder]="l('Code')"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code : string = '' ; </v>
      </c>
      <c r="T15" s="31" t="str">
        <f>REPT(CHAR(9),3)&amp;"this."&amp;D15&amp;","</f>
        <v xml:space="preserve">			this.code,</v>
      </c>
      <c r="U15" s="31" t="str">
        <f>IF(E15="int","this."&amp;D15&amp;" = 0,","this."&amp;D15&amp;" = '',")</f>
        <v>this.code = '',</v>
      </c>
      <c r="V15" s="31" t="str">
        <f>IF(AND(E15="string",F15="1"),D15,"")</f>
        <v/>
      </c>
    </row>
    <row r="16" spans="1:22" ht="15" customHeight="1" x14ac:dyDescent="0.25">
      <c r="A16" s="31" t="s">
        <v>326</v>
      </c>
      <c r="B16" s="31" t="str">
        <f t="shared" ref="B16" si="0">SUBSTITUTE(PROPER(A16),"_","")</f>
        <v>Address</v>
      </c>
      <c r="C16" s="31" t="str">
        <f t="shared" ref="C16" si="1">SUBSTITUTE(PROPER(A16),"_"," ")</f>
        <v>Address</v>
      </c>
      <c r="D16" s="31" t="str">
        <f t="shared" ref="D16" si="2">LOWER(LEFT(B16,1))&amp;RIGHT(B16,LEN(B16) - 1)</f>
        <v>address</v>
      </c>
      <c r="E16" s="31" t="str">
        <f>A.Backend!H10</f>
        <v>string</v>
      </c>
      <c r="F16" s="31" t="str">
        <f>A.Backend!G10</f>
        <v>200</v>
      </c>
      <c r="G16" s="31" t="str">
        <f t="shared" ref="G16" si="3">IF(E16="string"," : string = '' ; ",IF(OR(E16="DateTime",E16="TimeSpan")," : any ;",IF(E16="int"," : number = 0 ;","")))</f>
        <v xml:space="preserve"> : string = '' ; </v>
      </c>
      <c r="H16" s="38" t="str">
        <f t="shared" ref="H16:H18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this.l('Address'),headerTooltip: this.l('Address'),field: 'address',flex: 1},</v>
      </c>
      <c r="I16" s="38" t="str">
        <f t="shared" ref="I16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[(ngModel)]='address' name='address'
									class='form-control' [placeholder]="l('Address')"
									type='text' (keyup.enter)='searchDatas()'&gt;
								&lt;/div&gt;</v>
      </c>
      <c r="J16" s="31"/>
      <c r="K16" s="38" t="str">
        <f t="shared" ref="K16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title'&gt;Address&lt;/label&gt;
						&lt;input type='text' class='col-md-10 form-control input-text' name='Address' [(ngModel)]='rowdata.address'&gt;
					&lt;/div&gt;</v>
      </c>
      <c r="L16" s="60" t="str">
        <f t="shared" ref="L16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address : string = '' ; </v>
      </c>
      <c r="T16" s="31" t="str">
        <f>REPT(CHAR(9),3)&amp;"this."&amp;D16&amp;","</f>
        <v xml:space="preserve">			this.address,</v>
      </c>
      <c r="U16" s="31" t="str">
        <f>IF(E16="int",REPT(CHAR(9),2)&amp;"this."&amp;D16&amp;" = 0,",REPT(CHAR(9),2)&amp;"this."&amp;D16&amp;" = '',")</f>
        <v xml:space="preserve">		this.address = '',</v>
      </c>
      <c r="V16" s="31" t="str">
        <f t="shared" ref="V16" si="8">IF(AND(E16="string",F16="1"),D16,"")</f>
        <v/>
      </c>
    </row>
    <row r="17" spans="1:22" ht="18" customHeight="1" x14ac:dyDescent="0.25">
      <c r="A17" s="31" t="s">
        <v>327</v>
      </c>
      <c r="B17" s="31" t="str">
        <f t="shared" ref="B17:B18" si="9">SUBSTITUTE(PROPER(A17),"_","")</f>
        <v>Sorting</v>
      </c>
      <c r="C17" s="31" t="str">
        <f t="shared" ref="C17:C18" si="10">SUBSTITUTE(PROPER(A17),"_"," ")</f>
        <v>Sorting</v>
      </c>
      <c r="D17" s="31" t="str">
        <f t="shared" ref="D17:D18" si="11">LOWER(LEFT(B17,1))&amp;RIGHT(B17,LEN(B17) - 1)</f>
        <v>sorting</v>
      </c>
      <c r="E17" s="31" t="str">
        <f>A.Backend!H11</f>
        <v>int</v>
      </c>
      <c r="F17" s="31" t="str">
        <f>A.Backend!G11</f>
        <v/>
      </c>
      <c r="G17" s="31" t="str">
        <f t="shared" ref="G17:G18" si="12">IF(E17="string"," : string = '' ; ",IF(OR(E17="DateTime",E17="TimeSpan")," : any ;",IF(E17="int"," : number = 0 ;","")))</f>
        <v xml:space="preserve"> : number = 0 ;</v>
      </c>
      <c r="H17" s="38" t="str">
        <f t="shared" si="4"/>
        <v xml:space="preserve">			{headerName: this.l('Sorting'),headerTooltip: this.l('Sorting'),field: 'sorting',flex: 1},</v>
      </c>
      <c r="I17" s="38" t="str">
        <f t="shared" ref="I17:I18" si="13"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/>
      </c>
      <c r="J17" s="31"/>
      <c r="K17" s="38" t="str">
        <f t="shared" ref="K17:K18" si="14"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title'&gt;Sorting&lt;/label&gt;
						&lt;input type='number' class='col-md-10 form-control input-text' name='Sorting' [(ngModel)]='rowdata.sorting'&gt;
					&lt;/div&gt;</v>
      </c>
      <c r="L17" s="60" t="str">
        <f t="shared" ref="L17:L18" si="15"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31"/>
      <c r="N17" s="31"/>
      <c r="O17" s="31"/>
      <c r="P17" s="31"/>
      <c r="Q17" s="31"/>
      <c r="R17" s="31"/>
      <c r="S17" s="31" t="str">
        <f t="shared" ref="S17:S18" si="16">REPT(CHAR(9),1)&amp;D17&amp;G17</f>
        <v xml:space="preserve">	sorting : number = 0 ;</v>
      </c>
      <c r="T17" s="31" t="str">
        <f t="shared" ref="T17:T18" si="17">REPT(CHAR(9),3)&amp;"this."&amp;D17&amp;","</f>
        <v xml:space="preserve">			this.sorting,</v>
      </c>
      <c r="U17" s="31" t="str">
        <f t="shared" ref="U17:U18" si="18">IF(E17="int",REPT(CHAR(9),2)&amp;"this."&amp;D17&amp;" = 0,",REPT(CHAR(9),2)&amp;"this."&amp;D17&amp;" = '',")</f>
        <v xml:space="preserve">		this.sorting = 0,</v>
      </c>
      <c r="V17" s="31" t="str">
        <f t="shared" ref="V17:V18" si="19">IF(AND(E17="string",F17="1"),D17,"")</f>
        <v/>
      </c>
    </row>
    <row r="18" spans="1:22" ht="18" customHeight="1" x14ac:dyDescent="0.25">
      <c r="A18" s="31" t="s">
        <v>329</v>
      </c>
      <c r="B18" s="31" t="str">
        <f t="shared" si="9"/>
        <v>IsActive</v>
      </c>
      <c r="C18" s="31" t="str">
        <f t="shared" si="10"/>
        <v>Is Active</v>
      </c>
      <c r="D18" s="31" t="str">
        <f t="shared" si="11"/>
        <v>isActive</v>
      </c>
      <c r="E18" s="31" t="str">
        <f>A.Backend!H12</f>
        <v>string</v>
      </c>
      <c r="F18" s="31" t="str">
        <f>[1]A.Backend!G12</f>
        <v/>
      </c>
      <c r="G18" s="31" t="str">
        <f t="shared" si="12"/>
        <v xml:space="preserve"> : string = '' ; </v>
      </c>
      <c r="H18" s="38" t="str">
        <f t="shared" si="4"/>
        <v xml:space="preserve">			{headerName: this.l('Is Active'),headerTooltip: this.l('Is Active'),field: 'isActive',flex: 1},</v>
      </c>
      <c r="I18" s="38" t="str">
        <f t="shared" si="13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18" s="31"/>
      <c r="K18" s="38" t="str">
        <f t="shared" si="14"/>
        <v xml:space="preserve">					&lt;div class='col-md-12 form-group row'&gt;
						&lt;label class='col-md-2 form-control title'&gt;Is Active&lt;/label&gt;
						&lt;input type='text' class='col-md-10 form-control input-text' name='IsActive' [(ngModel)]='rowdata.isActive'&gt;
					&lt;/div&gt;</v>
      </c>
      <c r="L18" s="60" t="str">
        <f t="shared" si="15"/>
        <v/>
      </c>
      <c r="M18" s="31"/>
      <c r="N18" s="31"/>
      <c r="O18" s="31"/>
      <c r="P18" s="31"/>
      <c r="Q18" s="31"/>
      <c r="R18" s="31"/>
      <c r="S18" s="31" t="str">
        <f t="shared" si="16"/>
        <v xml:space="preserve">	isActive : string = '' ; </v>
      </c>
      <c r="T18" s="31" t="str">
        <f t="shared" si="17"/>
        <v xml:space="preserve">			this.isActive,</v>
      </c>
      <c r="U18" s="31" t="str">
        <f t="shared" si="18"/>
        <v xml:space="preserve">		this.isActive = '',</v>
      </c>
      <c r="V18" s="31" t="str">
        <f t="shared" si="19"/>
        <v/>
      </c>
    </row>
    <row r="20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topLeftCell="A4" workbookViewId="0">
      <selection activeCell="E18" sqref="E18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 Trung</cp:lastModifiedBy>
  <dcterms:created xsi:type="dcterms:W3CDTF">2022-04-01T07:31:40Z</dcterms:created>
  <dcterms:modified xsi:type="dcterms:W3CDTF">2023-03-09T04:54:22Z</dcterms:modified>
</cp:coreProperties>
</file>
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a\"/>
    </mc:Choice>
  </mc:AlternateContent>
  <bookViews>
    <workbookView xWindow="0" yWindow="495" windowWidth="28800" windowHeight="16425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C19" i="5" l="1"/>
  <c r="B19" i="5"/>
  <c r="D19" i="5" s="1"/>
  <c r="T19" i="5" s="1"/>
  <c r="C18" i="5"/>
  <c r="B18" i="5"/>
  <c r="D18" i="5" s="1"/>
  <c r="C17" i="5"/>
  <c r="B17" i="5"/>
  <c r="D17" i="5" s="1"/>
  <c r="L12" i="1"/>
  <c r="G12" i="1"/>
  <c r="E12" i="1"/>
  <c r="H12" i="1" s="1"/>
  <c r="D12" i="1"/>
  <c r="V12" i="1" s="1"/>
  <c r="G11" i="1"/>
  <c r="E11" i="1"/>
  <c r="H11" i="1" s="1"/>
  <c r="D11" i="1"/>
  <c r="V11" i="1" s="1"/>
  <c r="L17" i="5" l="1"/>
  <c r="G17" i="5"/>
  <c r="S17" i="5" s="1"/>
  <c r="V17" i="5"/>
  <c r="I18" i="5"/>
  <c r="U17" i="5"/>
  <c r="T18" i="5"/>
  <c r="U18" i="5"/>
  <c r="K18" i="5"/>
  <c r="I17" i="5"/>
  <c r="T17" i="5"/>
  <c r="G18" i="5"/>
  <c r="S18" i="5" s="1"/>
  <c r="L18" i="5"/>
  <c r="V18" i="5"/>
  <c r="H17" i="5"/>
  <c r="K17" i="5"/>
  <c r="H18" i="5"/>
  <c r="N12" i="1"/>
  <c r="I12" i="1"/>
  <c r="M12" i="1"/>
  <c r="W12" i="1"/>
  <c r="O12" i="1"/>
  <c r="J12" i="1"/>
  <c r="P12" i="1"/>
  <c r="T12" i="1"/>
  <c r="W11" i="1"/>
  <c r="O11" i="1"/>
  <c r="J11" i="1"/>
  <c r="N11" i="1"/>
  <c r="I11" i="1"/>
  <c r="M11" i="1"/>
  <c r="P11" i="1"/>
  <c r="T11" i="1"/>
  <c r="C20" i="5"/>
  <c r="B20" i="5"/>
  <c r="D20" i="5" s="1"/>
  <c r="T20" i="5" l="1"/>
  <c r="L14" i="1" l="1"/>
  <c r="G14" i="1"/>
  <c r="E14" i="1"/>
  <c r="H14" i="1" s="1"/>
  <c r="D14" i="1"/>
  <c r="V14" i="1" s="1"/>
  <c r="N14" i="1" l="1"/>
  <c r="I14" i="1"/>
  <c r="M14" i="1"/>
  <c r="W14" i="1"/>
  <c r="O14" i="1"/>
  <c r="J14" i="1"/>
  <c r="P14" i="1"/>
  <c r="T14" i="1"/>
  <c r="Q3" i="1"/>
  <c r="B16" i="5" l="1"/>
  <c r="D16" i="5" s="1"/>
  <c r="C16" i="5"/>
  <c r="B21" i="5"/>
  <c r="D21" i="5" s="1"/>
  <c r="C21" i="5"/>
  <c r="C15" i="5"/>
  <c r="B15" i="5"/>
  <c r="D15" i="5" s="1"/>
  <c r="T15" i="5" s="1"/>
  <c r="G15" i="1"/>
  <c r="E15" i="1"/>
  <c r="H15" i="1" s="1"/>
  <c r="D15" i="1"/>
  <c r="V15" i="1" s="1"/>
  <c r="G13" i="1"/>
  <c r="E13" i="1"/>
  <c r="H13" i="1" s="1"/>
  <c r="D13" i="1"/>
  <c r="V13" i="1" s="1"/>
  <c r="G10" i="1"/>
  <c r="E10" i="1"/>
  <c r="H10" i="1" s="1"/>
  <c r="D10" i="1"/>
  <c r="T10" i="1" s="1"/>
  <c r="G9" i="1"/>
  <c r="F15" i="5" s="1"/>
  <c r="E9" i="1"/>
  <c r="H9" i="1" s="1"/>
  <c r="E15" i="5" s="1"/>
  <c r="D9" i="1"/>
  <c r="T9" i="1" s="1"/>
  <c r="V19" i="5" l="1"/>
  <c r="U19" i="5"/>
  <c r="I19" i="5"/>
  <c r="K19" i="5"/>
  <c r="H19" i="5"/>
  <c r="G19" i="5"/>
  <c r="S19" i="5" s="1"/>
  <c r="L19" i="5"/>
  <c r="U20" i="5"/>
  <c r="L20" i="5"/>
  <c r="V20" i="5"/>
  <c r="I20" i="5"/>
  <c r="K20" i="5"/>
  <c r="G20" i="5"/>
  <c r="S20" i="5" s="1"/>
  <c r="H20" i="5"/>
  <c r="O15" i="1"/>
  <c r="G16" i="5"/>
  <c r="V16" i="5"/>
  <c r="H21" i="5"/>
  <c r="G15" i="5"/>
  <c r="S15" i="5" s="1"/>
  <c r="V15" i="5"/>
  <c r="P13" i="1"/>
  <c r="I21" i="5"/>
  <c r="H16" i="5"/>
  <c r="I16" i="5"/>
  <c r="U15" i="5"/>
  <c r="T21" i="5"/>
  <c r="H15" i="5"/>
  <c r="I15" i="5"/>
  <c r="K15" i="5"/>
  <c r="L16" i="5"/>
  <c r="L15" i="5"/>
  <c r="V10" i="1"/>
  <c r="P15" i="1"/>
  <c r="T15" i="1"/>
  <c r="I10" i="1"/>
  <c r="O10" i="1"/>
  <c r="J10" i="1"/>
  <c r="N10" i="1"/>
  <c r="M10" i="1"/>
  <c r="W10" i="1"/>
  <c r="W13" i="1"/>
  <c r="J13" i="1"/>
  <c r="M13" i="1"/>
  <c r="I13" i="1"/>
  <c r="O13" i="1"/>
  <c r="N13" i="1"/>
  <c r="I15" i="1"/>
  <c r="J15" i="1"/>
  <c r="W15" i="1"/>
  <c r="T13" i="1"/>
  <c r="M15" i="1"/>
  <c r="P10" i="1"/>
  <c r="N15" i="1"/>
  <c r="P9" i="1"/>
  <c r="V9" i="1"/>
  <c r="W9" i="1"/>
  <c r="J9" i="1"/>
  <c r="I9" i="1"/>
  <c r="O9" i="1"/>
  <c r="N9" i="1"/>
  <c r="M9" i="1"/>
  <c r="U21" i="5" l="1"/>
  <c r="L21" i="5"/>
  <c r="K21" i="5"/>
  <c r="G21" i="5"/>
  <c r="S21" i="5" s="1"/>
  <c r="V21" i="5"/>
  <c r="U16" i="5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17" i="1"/>
  <c r="K12" i="5" l="1"/>
  <c r="H12" i="5"/>
  <c r="V12" i="5"/>
  <c r="T12" i="5"/>
  <c r="U12" i="5"/>
  <c r="I12" i="5"/>
  <c r="L12" i="5"/>
  <c r="S12" i="5"/>
  <c r="R3" i="1" l="1"/>
  <c r="D1" i="1"/>
  <c r="F6" i="1"/>
  <c r="T17" i="1"/>
  <c r="T13" i="5"/>
  <c r="T7" i="1" l="1"/>
  <c r="W17" i="1"/>
  <c r="G6" i="1" l="1"/>
  <c r="H13" i="5"/>
  <c r="U13" i="5"/>
  <c r="K13" i="5"/>
  <c r="S13" i="5"/>
  <c r="I13" i="5"/>
  <c r="V13" i="5"/>
  <c r="L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9" i="1" l="1"/>
  <c r="L11" i="1"/>
  <c r="L13" i="1"/>
  <c r="L10" i="1"/>
  <c r="L15" i="1"/>
  <c r="C7" i="1"/>
  <c r="J17" i="1"/>
  <c r="N17" i="1"/>
  <c r="P17" i="1"/>
  <c r="I17" i="1"/>
  <c r="O17" i="1"/>
  <c r="Q7" i="1" l="1"/>
  <c r="M58" i="3" s="1"/>
  <c r="L7" i="1"/>
  <c r="G58" i="3" s="1"/>
  <c r="K58" i="3"/>
  <c r="J58" i="3"/>
  <c r="M17" i="1"/>
  <c r="K17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<sst xmlns="http://schemas.openxmlformats.org/spreadsheetml/2006/main" count="431" uniqueCount="336">
  <si>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</si>
  <si>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</si>
  <si>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</si>
  <si>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</si>
  <si>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</si>
  <si>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</si>
  <si>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</si>
  <si>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</si>
  <si>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</si>
  <si>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</si>
  <si>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</si>
  <si>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</si>
  <si>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</si>
  <si>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</si>
  <si>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</si>
  <si>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</si>
  <si>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</si>
  <si>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</si>
  <si>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</si>
  <si>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</si>
  <si>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</si>
  <si>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</si>
  <si>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</si>
  <si>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</si>
  <si>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</si>
  <si>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</si>
  <si>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</si>
  <si>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</si>
  <si>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</si>
  <si>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</si>
  <si>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</si>
  <si>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</si>
  <si>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</si>
  <si>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</si>
  <si>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</si>
  <si>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</si>
  <si>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</si>
  <si>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</si>
  <si>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</si>
  <si>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</si>
  <si>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</si>
  <si>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</si>
  <si>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</si>
  <si>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</si>
  <si>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</si>
  <si>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</si>
  <si>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</si>
  <si>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</si>
  <si>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</si>
  <si>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</si>
  <si>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</si>
  <si>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</si>
  <si>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</si>
  <si>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</si>
  <si>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</si>
  <si>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</si>
  <si>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</si>
  <si>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</si>
  <si>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</si>
  <si>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</si>
  <si>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</si>
  <si>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</si>
  <si>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</si>
  <si>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</si>
  <si>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</si>
  <si>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</si>
  <si>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</si>
  <si>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</si>
  <si>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</si>
  <si>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</si>
  <si>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</si>
  <si>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</si>
  <si>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</si>
  <si>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</si>
  <si>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</si>
  <si>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</si>
  <si>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</si>
  <si>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</si>
  <si>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</si>
  <si>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</si>
  <si>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</si>
  <si>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</si>
  <si>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</si>
  <si>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</si>
  <si>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</si>
  <si>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</si>
  <si>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</si>
  <si>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</si>
  <si>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</si>
  <si>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</si>
  <si>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</si>
  <si>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</si>
  <si>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</si>
  <si>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</si>
  <si>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</si>
  <si>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</si>
  <si>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</si>
  <si>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</si>
  <si>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</si>
  <si>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</si>
  <si>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</si>
  <si>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</si>
  <si>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</si>
  <si>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</si>
  <si>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</si>
  <si>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</si>
  <si>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</si>
  <si>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</si>
  <si>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</si>
  <si>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</si>
  <si>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</si>
  <si>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</si>
  <si>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</si>
  <si>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</si>
  <si>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</si>
  <si>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</si>
  <si>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</si>
  <si>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</si>
  <si>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</si>
  <si>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</si>
  <si>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</si>
  <si>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</si>
  <si>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</si>
  <si>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</si>
  <si>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</si>
  <si>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</si>
  <si>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</si>
  <si>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</si>
  <si>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</si>
  <si>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</si>
  <si>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</si>
  <si>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</si>
  <si>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</si>
  <si>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</si>
  <si>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</si>
  <si>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</si>
  <si>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</si>
  <si>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</si>
  <si>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</si>
  <si>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</si>
  <si>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</si>
  <si>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</si>
  <si>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</si>
  <si>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</si>
  <si>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</si>
  <si>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</si>
  <si>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</si>
  <si>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</si>
  <si>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</si>
  <si>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</si>
  <si>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</si>
  <si>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</si>
  <si>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</si>
  <si>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</si>
  <si>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</si>
  <si>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</si>
  <si>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</si>
  <si>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</si>
  <si>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</si>
  <si>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</si>
  <si>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</si>
  <si>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</si>
  <si>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</si>
  <si>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</si>
  <si>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</si>
  <si>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</si>
  <si>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</si>
  <si>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</si>
  <si>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</si>
  <si>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</si>
  <si>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</si>
  <si>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</si>
  <si>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</si>
  <si>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</si>
  <si>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</si>
  <si>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</si>
  <si>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</si>
  <si>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</si>
  <si>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</si>
  <si>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</si>
  <si>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</si>
  <si>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</si>
  <si>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</si>
  <si>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</si>
  <si>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</si>
  <si>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</si>
  <si>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</si>
  <si>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</si>
  <si>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</si>
  <si>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</si>
  <si>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</si>
  <si>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</si>
  <si>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</si>
  <si>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</si>
  <si>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</si>
  <si>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</si>
  <si>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</si>
  <si>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</si>
  <si>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</si>
  <si>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</si>
  <si>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</si>
  <si>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</si>
  <si>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</si>
  <si>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</si>
  <si>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</si>
  <si>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</si>
  <si>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</si>
  <si>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</si>
  <si>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</si>
  <si>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</si>
  <si>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</si>
  <si>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</si>
  <si>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</si>
  <si>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</si>
  <si>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</si>
  <si>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</si>
  <si>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</si>
  <si>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</si>
  <si>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</si>
  <si>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</si>
  <si>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</si>
  <si>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</si>
  <si>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</si>
  <si>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</si>
  <si>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</si>
  <si>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</si>
  <si>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</si>
  <si>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</si>
  <si>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</si>
  <si>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</si>
  <si>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</si>
  <si>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</si>
  <si>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</si>
  <si>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</si>
  <si>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</si>
  <si>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</si>
  <si>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</si>
  <si>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</si>
  <si>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</si>
  <si>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</si>
  <si>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</si>
  <si>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</si>
  <si>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</si>
  <si>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</si>
  <si>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</si>
  <si>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</si>
  <si>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</si>
  <si>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</si>
  <si>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</si>
  <si>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</si>
  <si>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</si>
  <si>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</si>
  <si>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</si>
  <si>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</si>
  <si>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</si>
  <si>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</si>
  <si>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</si>
  <si>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</si>
  <si>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</si>
  <si>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</si>
  <si>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</si>
  <si>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</si>
  <si>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</si>
  <si>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</si>
  <si>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</si>
  <si>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</si>
  <si>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</si>
  <si>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</si>
  <si>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</si>
  <si>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</si>
  <si>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</si>
  <si>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</si>
  <si>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</si>
  <si>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</si>
  <si>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</si>
  <si>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</si>
  <si>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</si>
  <si>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</si>
  <si>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</si>
  <si>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</si>
  <si>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</si>
  <si>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</si>
  <si>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</si>
  <si>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</si>
  <si>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</si>
  <si>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</si>
  <si>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</si>
  <si>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</si>
  <si>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</si>
  <si>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</si>
  <si>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</si>
  <si>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</si>
  <si>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</si>
  <si>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</si>
  <si>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</si>
  <si>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</si>
  <si>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</si>
  <si>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</si>
  <si>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</si>
  <si>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</si>
  <si>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</si>
  <si>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</si>
  <si>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</si>
  <si>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</si>
  <si>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</si>
  <si>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</si>
  <si>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</si>
  <si>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</si>
  <si>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</si>
  <si>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</si>
  <si>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</si>
  <si>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</si>
  <si>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</si>
  <si>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</si>
  <si>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</si>
  <si>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</si>
  <si>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</si>
  <si>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</si>
  <si>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</si>
  <si>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</si>
  <si>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</si>
  <si>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Master.LogA</t>
  </si>
  <si>
    <t>CODE</t>
  </si>
  <si>
    <t>PROD_LINE</t>
  </si>
  <si>
    <t>IS_ACTIVE</t>
  </si>
  <si>
    <t>varchar(1)</t>
  </si>
  <si>
    <t>PROCESS_NAME</t>
  </si>
  <si>
    <t>PROCESS_TYPE</t>
  </si>
  <si>
    <t>MstLgaBarProcess</t>
  </si>
  <si>
    <t>BarProcess</t>
  </si>
  <si>
    <t>PROCESS_GROUP</t>
  </si>
  <si>
    <t>PROCESS_SUBGROUP</t>
  </si>
  <si>
    <t>Master LA Barcode Process</t>
  </si>
  <si>
    <t>Barcode</t>
  </si>
  <si>
    <t>Bar</t>
  </si>
  <si>
    <t>LgaBar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</si>
</sst>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topLeftCell="A6" workbookViewId="0">
      <selection activeCell="E29" sqref="E2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306</v>
      </c>
      <c r="F33" s="1" t="s">
        <v>307</v>
      </c>
      <c r="G33" s="17" t="s">
        <v>307</v>
      </c>
    </row>
    <row r="34" spans="1:8" x14ac:dyDescent="0.25">
      <c r="A34" s="1"/>
      <c r="B34" s="17"/>
      <c r="D34" t="s">
        <v>309</v>
      </c>
      <c r="F34" s="1" t="s">
        <v>310</v>
      </c>
      <c r="G34" s="17" t="s">
        <v>311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312</v>
      </c>
    </row>
    <row r="36" spans="1:8" x14ac:dyDescent="0.25">
      <c r="A36" s="1"/>
      <c r="B36" s="17"/>
      <c r="D36" t="s">
        <v>313</v>
      </c>
      <c r="F36" s="1" t="s">
        <v>314</v>
      </c>
      <c r="G36" s="17" t="s">
        <v>315</v>
      </c>
    </row>
    <row r="37" spans="1:8" x14ac:dyDescent="0.25">
      <c r="A37" s="1"/>
      <c r="B37" s="17"/>
      <c r="D37" t="s">
        <v>316</v>
      </c>
      <c r="F37" s="1" t="s">
        <v>317</v>
      </c>
      <c r="G37" s="17" t="s">
        <v>318</v>
      </c>
    </row>
    <row r="38" spans="1:8" x14ac:dyDescent="0.25">
      <c r="A38" s="1"/>
      <c r="B38" s="17"/>
      <c r="D38" t="s">
        <v>333</v>
      </c>
      <c r="F38" s="1" t="s">
        <v>334</v>
      </c>
      <c r="G38" s="17" t="s">
        <v>335</v>
      </c>
    </row>
    <row r="39" spans="1:8" x14ac:dyDescent="0.25">
      <c r="A39" s="1"/>
      <c r="B39" s="17"/>
      <c r="C39" t="s">
        <v>319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[Table("MstLgaBarProcess")]
	[Index(nameof(Code), Name="IX_MstLgaBarProcess_Code")]
	[Index(nameof(ProdLine), Name="IX_MstLgaBarProcess_ProdLine")]
	[Index(nameof(IsActive), Name="IX_MstLgaBarProcess_IsActive")]	public class MstLgaBarProcess: FullAuditedEntity&lt;long&gt;, IEntity&lt;long&gt;	
	{
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		[StringLength(MaxCodeLength)]
		public virtual string Code { get; set; }
		[StringLength(MaxProcessNameLength)]
		public virtual string ProcessName { get; set; }
		[StringLength(MaxProcessGroupLength)]
		public virtual string ProcessGroup { get; set; }
		[StringLength(MaxProcessSubgroupLength)]
		public virtual string ProcessSubgroup { get; set; }
		[StringLength(MaxProdLineLength)]
		public virtual string ProdLine { get; set; }
		[StringLength(MaxProcessTypeLength)]
		public virtual string ProcessType { get; set; }
		[StringLength(MaxIsActiveLength)]
		public virtual string IsActive { get; set; }
	}
}
</v>
      </c>
      <c r="D58" s="51" t="str">
        <f>A.Backend!O7</f>
        <v xml:space="preserve">		public const string Pages_Master_LogA_BarProcess = "Pages.Master.LogA.BarProcess";
		public const string Pages_Master_LogA_BarProcess_CreateEdit = "Pages.Master.LogA.BarProcess.CreateEdit";
		public const string Pages_Master_LogA_BarProcess_Delete = "Pages.Master.LogA.BarProcess.Delete";
</v>
      </c>
      <c r="E58" s="51" t="str">
        <f>A.Backend!N7</f>
        <v xml:space="preserve">		var perMstLgaBarProcess = PARENTS.CreateChildPermission(AppPermissions.Pages_Master_LogA_BarProcess, L( "MasterLogABarProcess"), multiTenancySides: MultiTenancySides.Tenant);
		perMstLgaBarProcess.CreateChildPermission(AppPermissions.Pages_Master_LogA_BarProcess_CreateEdit, L( "MasterLogABarProcessCreateEdit"), multiTenancySides: MultiTenancySides.Tenant);
		perMstLgaBarProcess.CreateChildPermission(AppPermissions.Pages_Master_LogA_BarProcess_Delete, L( "MasterLogABarProcessDelete"), multiTenancySides: MultiTenancySides.Tenant);</v>
      </c>
      <c r="F58" s="51" t="str">
        <f>A.Backend!K7</f>
        <v>public virtual DbSet&lt;MstLgaBarProcess&gt; MstLgaBarProcesss { get; set; }</v>
      </c>
      <c r="G58" s="51" t="str">
        <f ca="1">A.Backend!L7</f>
        <v xml:space="preserve">namespace vovina.Master.LogA
{
	public class MstLgaBarProcessConsts	
	{
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vovina.Master.LogA.Dto
{
	public class MstLgaBarProcessDto : EntityDto&lt;long?&gt;	
	{
		public virtual string Code { get; set; }
		public virtual string ProcessName { get; set; }
		public virtual string ProcessGroup { get; set; }
		public virtual string ProcessSubgroup { get; set; }
		public virtual string ProdLine { get; set; }
		public virtual string ProcessType { get; set; }
		public virtual string IsActive { get; set; }
	}
	public class CreateOrEditMstLgaBarProcessDto : EntityDto&lt;long?&gt;	
	{
		[StringLength(MstLgaBarProcessConsts.MaxCodeLength)]
		public virtual string Code { get; set; }
		[StringLength(MstLgaBarProcessConsts.MaxProcessNameLength)]
		public virtual string ProcessName { get; set; }
		[StringLength(MstLgaBarProcessConsts.MaxProcessGroupLength)]
		public virtual string ProcessGroup { get; set; }
		[StringLength(MstLgaBarProcessConsts.MaxProcessSubgroupLength)]
		public virtual string ProcessSubgroup { get; set; }
		[StringLength(MstLgaBarProcessConsts.MaxProdLineLength)]
		public virtual string ProdLine { get; set; }
		[StringLength(MstLgaBarProcessConsts.MaxProcessTypeLength)]
		public virtual string ProcessType { get; set; }
		[StringLength(MstLgaBarProcessConsts.MaxIsActiveLength)]
		public virtual string IsActive { get; set; }
	}
	public class GetMstLgaBarProcessInput : PagedAndSortedResultRequestDto	
	{
		public virtual string Code { get; set; }
		public virtual string ProcessName { get; set; }
		public virtual string ProcessGroup { get; set; }
		public virtual string ProcessSubgroup { get; set; }
		public virtual string ProdLine { get; set; }
		public virtual string ProcessType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vovina.Master.LogA.Dto
{
	public class MstLgaBarProcessExportInput{
		public virtual string Code { get; set; }
		public virtual string ProcessName { get; set; }
		public virtual string ProcessGroup { get; set; }
		public virtual string ProcessSubgroup { get; set; }
		public virtual string ProdLine { get; set; }
		public virtual string ProcessType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vovina.Master.LogA.Dto;
namespace vovina.Master.LogA
{
	public interface IMstLgaBarProcessAppService : IApplicationService
	{
		Task&lt;PagedResultDto&lt;MstLgaBarProcessDto&gt;&gt; GetAll(GetMstLgaBarProcessInput input);
		Task CreateOrEdit(CreateOrEditMstLgaBarProcessDto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IMstLgaBarProcessExcelExporter : IApplicationService
	{
		FileDto ExportToFile(List&lt;MstLgaBarProcessDto&gt; mstlgabarprocess);
	}
}
</v>
      </c>
      <c r="L58" s="51" t="str">
        <f ca="1">A.Backend!T7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MstLgaBarProcessExcelExporter : NpoiExcelExporterBase, IMstLgaBarProcessExcelExporter
    {
        public MstLgaBarProcessExcelExporter(ITempFileCacheManager tempFileCacheManager) : base(tempFileCacheManager) { }
        public FileDto ExportToFile(List&lt;MstLgaBarProcessDto&gt; barprocess)
        {
            return CreateExcelPackage(
				"MasterLogABarProcess.xlsx",
				excelPackage =&gt;
				 {
					var sheet = excelPackage.CreateSheet("BarProcess");
					AddHeader(
								sheet,
								("Code"),
								("ProcessName"),
								("ProcessGroup"),
								("ProcessSubgroup"),
								("ProdLine"),
								("ProcessType"),
								("IsActive"),
							   );
					AddObjects(
						 sheet, 1, barprocess,                                       
								_ =&gt; _.Code,
								_ =&gt; _.ProcessName,
								_ =&gt; _.ProcessGroup,
								_ =&gt; _.ProcessSubgroup,
								_ =&gt; _.ProdLine,
								_ =&gt; _.ProcessType,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[AbpAuthorize(AppPermissions.Pages_Master_LogA_BarProcess)]
    public class MstLgaBarProcessAppService : vovinaAppServiceBase, IMstLgaBarProcessAppService
    {
        private readonly IDapperRepository&lt;MstLgaBarProcess, long&gt; _dapperRepo;
        private readonly IRepository&lt;MstLgaBarProcess, long&gt; _repo;
        private readonly IMstLgaBarProcessExcelExporter _calendarListExcelExporter;
        public MstLgaBarProcessAppService(IRepository&lt;MstLgaBarProcess,long&gt; repo, 
                                         IDapperRepository&lt;MstLgaBarProcess,long&gt; dapperRepo,
                                        IMstLgaBarProcessExcelExporter calendarListExcelExporter
            )
        {
            _repo = repo;
            _dapperRepo = dapperRepo;
            _calendarListExcelExporter = calendarListExcelExporter;
        }
        [AbpAuthorize(AppPermissions.Pages_Master_LogA_BarProcess_CreateEdit)]
        public async Task CreateOrEdit(CreateOrEditMstLgaBarProcessDto input)
        {
            if (input.Id == null) await Create(input);
            else await Update(input);
        }
        //CREATE
        private async Task Create(CreateOrEditMstLgaBarProcessDto input)
        {          
            var mainObj = ObjectMapper.Map&lt;MstLgaBarProcess&gt;(input);
            await CurrentUnitOfWork.GetDbContext&lt;vovinaDbContext&gt;().AddAsync(mainObj);
        }
        // EDIT
        private async Task Update(CreateOrEditMstLgaBarProcessDto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[AbpAuthorize(AppPermissions.Pages_Master_LogA_BarProcess_Delete)]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Task&lt;PagedResultDto&lt;MstLgaBarProcessDto&gt;&gt; GetAll(GetMstLgaBarProcessInput input)
        {
            var filtered = _repo.GetAll()
				.WhereIf(!string.IsNullOrWhiteSpace(input.Code), e =&gt; e.Code.Contains(input.Code))
				.WhereIf(!string.IsNullOrWhiteSpace(input.ProcessName), e =&gt; e.ProcessName.Contains(input.ProcessName))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.WhereIf(!string.IsNullOrWhiteSpace(input.ProdLine), e =&gt; e.ProdLine.Contains(input.ProdLine))
				.WhereIf(!string.IsNullOrWhiteSpace(input.ProcessType), e =&gt; e.ProcessType.Contains(input.ProcessType))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MstLgaBarProcessDto
                        {
							Id = o.Id,
							Code = o.Code,
							ProcessName = o.ProcessName,
							ProcessGroup = o.ProcessGroup,
							ProcessSubgroup = o.ProcessSubgroup,
							ProdLine = o.ProdLine,
							ProcessType = o.ProcessType,
							IsActive = o.IsActive,
                        };
            var totalCount = await filtered.CountAsync();
			var paged = system.PageBy(input);
            return new PagedResultDto&lt;MstLgaBarProcessDto&gt;(
                totalCount,
                 await paged.ToListAsync()
            );
        }
        public async Task&lt;FileDto&gt; GetBarProcessToExcel(MstLgaBarProcessExportInput input)
        {
            var query = from o in _repo.GetAll()
                        select new MstLgaBarProcessDto
                        {
							Id = o.Id,
							Code = o.Code,
							ProcessName = o.ProcessName,
							ProcessGroup = o.ProcessGroup,
							ProcessSubgroup = o.ProcessSubgroup,
							ProdLine = o.ProdLine,
							ProcessType = o.ProcessType,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_dapperRepo.ExecuteAsync(MstLgaBarProcessConsts.SP_MST_WPT_CALENDAR_GENERATE);
       // }
    }
}</v>
      </c>
      <c r="N58" s="62" t="str">
        <f>A.Backend!U7</f>
        <v xml:space="preserve">  configuration.CreateMap&lt;MstLgaBarProcessDto, MstLgaBarProcess&gt;();
  configuration.CreateMap&lt;MstLgaBarProcess, MstLgaBarProcessDto&gt;();
  configuration.CreateMap&lt;CreateOrEditMstLgaBarProcessDto, MstLgaBarProcess&gt;();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barprocess</v>
      </c>
      <c r="C63" s="72" t="str">
        <f>"create folder " &amp;B63</f>
        <v>create folder barprocess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barprocess.component.ts</v>
      </c>
      <c r="D64" s="31" t="str">
        <f>B.Frontend!I14</f>
        <v>barprocess.component.html</v>
      </c>
      <c r="E64" s="31" t="str">
        <f>B.Frontend!J14</f>
        <v>barprocess.component.less</v>
      </c>
      <c r="F64" s="31" t="str">
        <f>B.Frontend!K14</f>
        <v>create-or-edit-barprocess-modal.component.html</v>
      </c>
      <c r="G64" s="31" t="str">
        <f>B.Frontend!L14</f>
        <v>create-or-edit-barprocess-modal.component.ts</v>
      </c>
      <c r="H64" s="31" t="str">
        <f>B.Frontend!M14</f>
        <v>create-or-edit-barprocess-modal.component.less</v>
      </c>
      <c r="I64" s="31" t="str">
        <f>B.Frontend!N14</f>
        <v>barprocess.module.ts</v>
      </c>
      <c r="J64" s="31" t="str">
        <f>B.Frontend!O14</f>
        <v>barprocess-routing.module.ts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MstLgaBarProcessDto, MstLgaBarProcessServiceProxy } from '@shared/service-proxies/service-proxies';
import { finalize } from 'rxjs/internal/operators/finalize';
import { CreateOrEditBarProcessModalComponent } from './create-or-edit-barprocess-modal.component';
import { DatePipe } from '@angular/common';
import { FileDownloadService } from '@shared/utils/file-download.service';
import ceil from 'lodash-es/ceil';
import { Paginator } from 'primeng/paginator';
@Component({
    templateUrl: './barprocess.component.html',
    styleUrls: ['./barprocess.component.less'],
})
export class BarProcessComponent extends AppComponentBase implements OnInit {
    @ViewChild('createOrEditModalBarProcess', { static: true }) createOrEditModalBarProcess:| CreateOrEditBarProcessModalComponent|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MstLgaBarProcessDto = new MstLgaBarProcessDto();
    saveSelectedRow: MstLgaBarProcessDto = new MstLgaBarProcessDto();
    datas: MstLgaBarProcessDto = new MstLgaBarProcessDto();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processName : string = '' ; 
	processGroup : string = '' ; 
	processSubgroup : string = '' ; 
	prodLine : string = '' ; 
	processType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MstLgaBarProcessServiceProxy,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this.l('Process Name'),headerTooltip: this.l('Process Name'),field: 'processName',flex: 1},
			{headerName: this.l('Process Group'),headerTooltip: this.l('Process Group'),field: 'processGroup',flex: 1},
			{headerName: this.l('Process Subgroup'),headerTooltip: this.l('Process Subgroup'),field: 'processSubgroup',flex: 1},
			{headerName: this.l('Prod Line'),headerTooltip: this.l('Prod Line'),field: 'prodLine',flex: 1},
			{headerName: this.l('Process Type'),headerTooltip: this.l('Process Type'),field: 'processType',flex: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this.processName,
			this.processGroup,
			this.processSubgroup,
			this.prodLine,
			this.processType,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this.processName = '',
		this.processGroup = '',
		this.processSubgroup = '',
		this.prodLine = '',
		this.processType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this.processName,
			this.processGroup,
			this.processSubgroup,
			this.prodLine,
			this.processType,
			this.isActive,
			'',
            this.paginationParams.skipCount,
            this.paginationParams.pageSize
        );
    }
    onChangeRowSelection(params: { api: { getSelectedRows: () =&gt; MstLgaBarProcessDto[] } }) {
        this.saveSelectedRow = params.api.getSelectedRows()[0] ?? new MstLgaBarProcessDto();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MstLgaBarProcessDto):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this._service.getBarProcessToExcel(
			this.code,
			this.processName,
			this.processGroup,
			this.processSubgroup,
			this.prodLine,
			this.processType,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LA Barcode Process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[(ngModel)]='processType' name='processType'
									class='form-control' [placeholder]="l('Process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(click)="createOrEditModalBarProcess.show()"&gt;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(click)="createOrEditModalBarProcess.show(selectedRow)"&gt;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&lt;create-or-edit-barprocess-modal
    #createOrEditModalBarProcess
    (modalSave)="callBackDataGrid(dataParams)"
    (modalClose)="onChangeRowSelection(dataParams)"
&gt;
&lt;/create-or-edit-barprocess-modal&gt;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#createOrEditModalBarProcess="bs-modal"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BarProcess')}}&lt;/h3&gt;
                    &lt;h3 *ngIf="!rowdata.id"&gt;{{('Create New BarProcess')}}&lt;/h3&gt;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Type&lt;/label&gt;
						&lt;input type='text' class='col-md-10 form-control input-text' name='ProcessType' [(ngModel)]='rowdata.processType'&gt;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CreateOrEditMstLgaBarProcessDto, MstLgaBarProcessServiceProxy } from '@shared/service-proxies/service-proxies';
import { BsDatepickerDirective } from 'ngx-bootstrap/datepicker';
@Component({
    selector: 'create-or-edit-barprocess-modal',
    templateUrl: './create-or-edit-barprocess-modal.component.html',
    styleUrls: ['./create-or-edit-barprocess-modal.component.less']
    })
export class CreateOrEditBarProcessModalComponent extends AppComponentBase {
    @ViewChild('createOrEditModalBarProcess',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CreateOrEditMstLgaBarProcessDto = new CreateOrEditMstLgaBarProcessDto();
    active: boolean = false;
    saving: boolean = false;
    _isActive: boolean;
    constructor(
        injector: Injector,
        private _mstwptBarProcessService: MstLgaBarProcessServiceProxy,
    ) 
    {
        super(injector);
    }
    show(rowdata?: CreateOrEditMstLgaBarProcessDto): void {
        if (!rowdata) this.rowdata = new CreateOrEditMstLgaBarProcessDto();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this._mstwptBarProcessService.createOrEdit(this.rowdata)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BarProcessRoutingModule } from './barprocess-routing.module';
import { BarProcessComponent } from './barprocess.component';
import { CreateOrEditBarProcessModalComponent } from './create-or-edit-barprocess-modal.component';
@NgModule({
    declarations: [
       BarProcessComponent, 
        CreateOrEditBarProcessModalComponent
    ],
    imports: [
        AppSharedModule, BarProcessRoutingModule]
})
export class BarProcessModule {}</v>
      </c>
      <c r="J65" s="49" t="str">
        <f>B.Frontend!O10</f>
        <v>import {NgModule} from '@angular/core';
import {RouterModule, Routes} from '@angular/router';
import { BarProcessComponent } from './barprocess.component';
const routes: Routes = [{
    path: '',
    component: BarProcessComponent,
    pathMatch: 'full'
}];
@NgModule({
    imports: [RouterModule.forChild(routes)],
    exports: [RouterModule],
})
export class BarProcessRoutingModule {}</v>
      </c>
      <c r="K65" s="49" t="str">
        <f>B.Frontend!P10</f>
        <v xml:space="preserve"> new AppMenuItem("BarProcess", "Pages.Master.LogA.BarProcess", "flaticon-book",   "/app/main/master/loga/barprocess"),</v>
      </c>
      <c r="L65" s="50" t="str">
        <f>B.Frontend!Q10</f>
        <v>{
    path: 'master/loga/barprocess',
    loadChildren: () =&gt; import('./master/loga/barprocess/barprocess.module').then(m =&gt; m.BarProcessModule),
    data: { permission: 'Pages.Master.LogA.BarProcess' }
},</v>
      </c>
      <c r="M65" s="48" t="str">
        <f>B.Frontend!R10</f>
        <v>ApiServiceProxies.MstLgaBarProcessServiceProxy,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7"/>
  <sheetViews>
    <sheetView workbookViewId="0">
      <pane xSplit="1" topLeftCell="B1" activePane="topRight" state="frozen"/>
      <selection pane="topRight" activeCell="D9" sqref="D9:D16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321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328</v>
      </c>
      <c r="C3" s="10" t="s">
        <v>43</v>
      </c>
      <c r="D3" s="10" t="s">
        <v>44</v>
      </c>
      <c r="E3" s="10" t="s">
        <v>39</v>
      </c>
      <c r="F3" s="11" t="str">
        <f>"J"&amp;COUNTA($A:$A)</f>
        <v>J15</v>
      </c>
      <c r="G3" s="4" t="s">
        <v>57</v>
      </c>
      <c r="H3" s="10" t="str">
        <f>"I"&amp;COUNTA($A:$A)</f>
        <v>I15</v>
      </c>
      <c r="I3" s="10" t="str">
        <f>REPT(CHAR(9),2)&amp;"[Required]"&amp;"
"</f>
        <v xml:space="preserve">		[Required]
</v>
      </c>
      <c r="J3" s="11" t="str">
        <f>"L"&amp;COUNTA($A:$A)</f>
        <v>L15</v>
      </c>
      <c r="K3" s="5" t="s">
        <v>56</v>
      </c>
      <c r="L3" s="11" t="str">
        <f>"M"&amp;COUNTA($A:$A)</f>
        <v>M15</v>
      </c>
      <c r="M3" s="11" t="str">
        <f>"N"&amp;COUNTA($A:$A)</f>
        <v>N15</v>
      </c>
      <c r="N3" s="11" t="str">
        <f>"O"&amp;COUNTA($A:$A)</f>
        <v>O15</v>
      </c>
      <c r="O3" s="11" t="str">
        <f>"P"&amp;COUNTA($A:$A)</f>
        <v>P15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MstLgaBarProcessExportInput{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T15</v>
      </c>
      <c r="V3" s="11" t="str">
        <f>"V"&amp;COUNTA($A:$A)</f>
        <v>V15</v>
      </c>
      <c r="W3" s="10" t="str">
        <f>"W"&amp;COUNTA($A:$A)</f>
        <v>W15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329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MstLgaBarProcess: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MstLgaBarProcessConsts	
	{
</v>
      </c>
      <c r="F6" s="11" t="str">
        <f>REPT(CHAR(9),1)&amp;"public class "&amp;B3&amp;"Dto"&amp;K3&amp;REPT(CHAR(9),1)&amp;"
"&amp;REPT(CHAR(9),1)&amp;C3</f>
        <v xml:space="preserve">	public class MstLgaBarProcessDto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CreateOrEditMstLgaBarProcessDto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GetMstLgaBarProcessInput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MstLgaBarProcess</v>
      </c>
      <c r="C7" s="11" t="str">
        <f>REPT(CHAR(9),1)&amp;"[Table("""&amp;B7&amp;""")]"&amp;"
"</f>
        <v xml:space="preserve">	[Table("MstLgaBarProcess")]
</v>
      </c>
      <c r="D7" s="11"/>
      <c r="E7" s="11"/>
      <c r="F7" s="11"/>
      <c r="G7" s="11"/>
      <c r="H7" s="11"/>
      <c r="I7" s="11"/>
      <c r="J7" s="6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[Table("MstLgaBarProcess")]
	[Index(nameof(Code), Name="IX_MstLgaBarProcess_Code")]
	[Index(nameof(ProdLine), Name="IX_MstLgaBarProcess_ProdLine")]
	[Index(nameof(IsActive), Name="IX_MstLgaBarProcess_IsActive")]	public class MstLgaBarProcess: FullAuditedEntity&lt;long&gt;, IEntity&lt;long&gt;	
	{
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		[StringLength(MaxCodeLength)]
		public virtual string Code { get; set; }
		[StringLength(MaxProcessNameLength)]
		public virtual string ProcessName { get; set; }
		[StringLength(MaxProcessGroupLength)]
		public virtual string ProcessGroup { get; set; }
		[StringLength(MaxProcessSubgroupLength)]
		public virtual string ProcessSubgroup { get; set; }
		[StringLength(MaxProdLineLength)]
		public virtual string ProdLine { get; set; }
		[StringLength(MaxProcessTypeLength)]
		public virtual string ProcessType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DbSet&lt;MstLgaBarProcess&gt; MstLgaBarProcesss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vovina.Master.LogA
{
	public class MstLgaBarProcessConsts	
	{
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vovina.Master.LogA.Dto
{
	public class MstLgaBarProcessDto : EntityDto&lt;long?&gt;	
	{
		public virtual string Code { get; set; }
		public virtual string ProcessName { get; set; }
		public virtual string ProcessGroup { get; set; }
		public virtual string ProcessSubgroup { get; set; }
		public virtual string ProdLine { get; set; }
		public virtual string ProcessType { get; set; }
		public virtual string IsActive { get; set; }
	}
	public class CreateOrEditMstLgaBarProcessDto : EntityDto&lt;long?&gt;	
	{
		[StringLength(MstLgaBarProcessConsts.MaxCodeLength)]
		public virtual string Code { get; set; }
		[StringLength(MstLgaBarProcessConsts.MaxProcessNameLength)]
		public virtual string ProcessName { get; set; }
		[StringLength(MstLgaBarProcessConsts.MaxProcessGroupLength)]
		public virtual string ProcessGroup { get; set; }
		[StringLength(MstLgaBarProcessConsts.MaxProcessSubgroupLength)]
		public virtual string ProcessSubgroup { get; set; }
		[StringLength(MstLgaBarProcessConsts.MaxProdLineLength)]
		public virtual string ProdLine { get; set; }
		[StringLength(MstLgaBarProcessConsts.MaxProcessTypeLength)]
		public virtual string ProcessType { get; set; }
		[StringLength(MstLgaBarProcessConsts.MaxIsActiveLength)]
		public virtual string IsActive { get; set; }
	}
	public class GetMstLgaBarProcessInput : PagedAndSortedResultRequestDto	
	{
		public virtual string Code { get; set; }
		public virtual string ProcessName { get; set; }
		public virtual string ProcessGroup { get; set; }
		public virtual string ProcessSubgroup { get; set; }
		public virtual string ProdLine { get; set; }
		public virtual string ProcessType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perMstLgaBarProcess = PARENTS.CreateChildPermission(AppPermissions.Pages_Master_LogA_BarProcess, L( "MasterLogABarProcess"), multiTenancySides: MultiTenancySides.Tenant);
		perMstLgaBarProcess.CreateChildPermission(AppPermissions.Pages_Master_LogA_BarProcess_CreateEdit, L( "MasterLogABarProcessCreateEdit"), multiTenancySides: MultiTenancySides.Tenant);
		perMstLgaBarProcess.CreateChildPermission(AppPermissions.Pages_Master_LogA_BarProcess_Delete, L( "MasterLogABarProcessDelete"),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Pages_Master_LogA_BarProcess = "Pages.Master.LogA.BarProcess";
		public const string Pages_Master_LogA_BarProcess_CreateEdit = "Pages.Master.LogA.BarProcess.CreateEdit";
		public const string Pages_Master_LogA_BarProcess_Delete = "Pages.Master.LogA.BarProcess.Delete";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
{
	public interface IMstLgaBarProcessAppService : IApplicationService
	{
		Task&lt;PagedResultDto&lt;MstLgaBarProcessDto&gt;&gt; GetAll(GetMstLgaBarProcessInput input);
		Task CreateOrEdit(CreateOrEditMstLgaBarProcessDto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[AbpAuthorize(AppPermissions.Pages_Master_LogA_BarProcess)]
    public class MstLgaBarProcessAppService : vovinaAppServiceBase, IMstLgaBarProcessAppService
    {
        private readonly IDapperRepository&lt;MstLgaBarProcess, long&gt; _dapperRepo;
        private readonly IRepository&lt;MstLgaBarProcess, long&gt; _repo;
        private readonly IMstLgaBarProcessExcelExporter _calendarListExcelExporter;
        public MstLgaBarProcessAppService(IRepository&lt;MstLgaBarProcess,long&gt; repo, 
                                         IDapperRepository&lt;MstLgaBarProcess,long&gt; dapperRepo,
                                        IMstLgaBarProcessExcelExporter calendarListExcelExporter
            )
        {
            _repo = repo;
            _dapperRepo = dapperRepo;
            _calendarListExcelExporter = calendarListExcelExporter;
        }
        [AbpAuthorize(AppPermissions.Pages_Master_LogA_BarProcess_CreateEdit)]
        public async Task CreateOrEdit(CreateOrEditMstLgaBarProcessDto input)
        {
            if (input.Id == null) await Create(input);
            else await Update(input);
        }
        //CREATE
        private async Task Create(CreateOrEditMstLgaBarProcessDto input)
        {          
            var mainObj = ObjectMapper.Map&lt;MstLgaBarProcess&gt;(input);
            await CurrentUnitOfWork.GetDbContext&lt;vovinaDbContext&gt;().AddAsync(mainObj);
        }
        // EDIT
        private async Task Update(CreateOrEditMstLgaBarProcessDto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[AbpAuthorize(AppPermissions.Pages_Master_LogA_BarProcess_Delete)]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Task&lt;PagedResultDto&lt;MstLgaBarProcessDto&gt;&gt; GetAll(GetMstLgaBarProcessInput input)
        {
            var filtered = _repo.GetAll()
				.WhereIf(!string.IsNullOrWhiteSpace(input.Code), e =&gt; e.Code.Contains(input.Code))
				.WhereIf(!string.IsNullOrWhiteSpace(input.ProcessName), e =&gt; e.ProcessName.Contains(input.ProcessName))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.WhereIf(!string.IsNullOrWhiteSpace(input.ProdLine), e =&gt; e.ProdLine.Contains(input.ProdLine))
				.WhereIf(!string.IsNullOrWhiteSpace(input.ProcessType), e =&gt; e.ProcessType.Contains(input.ProcessType))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MstLgaBarProcessDto
                        {
							Id = o.Id,
							Code = o.Code,
							ProcessName = o.ProcessName,
							ProcessGroup = o.ProcessGroup,
							ProcessSubgroup = o.ProcessSubgroup,
							ProdLine = o.ProdLine,
							ProcessType = o.ProcessType,
							IsActive = o.IsActive,
                        };
            var totalCount = await filtered.CountAsync();
			var paged = system.PageBy(input);
            return new PagedResultDto&lt;MstLgaBarProcessDto&gt;(
                totalCount,
                 await paged.ToListAsync()
            );
        }
        public async Task&lt;FileDto&gt; GetBarProcessToExcel(MstLgaBarProcessExportInput input)
        {
            var query = from o in _repo.GetAll()
                        select new MstLgaBarProcessDto
                        {
							Id = o.Id,
							Code = o.Code,
							ProcessName = o.ProcessName,
							ProcessGroup = o.ProcessGroup,
							ProcessSubgroup = o.ProcessSubgroup,
							ProdLine = o.ProdLine,
							ProcessType = o.ProcessType,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_dapperRepo.ExecuteAsync(MstLgaBarProcessConsts.SP_MST_WPT_CALENDAR_GENERATE);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vovina.Master.LogA.Dto
{
	public class MstLgaBarProcessExportInput{
		public virtual string Code { get; set; }
		public virtual string ProcessName { get; set; }
		public virtual string ProcessGroup { get; set; }
		public virtual string ProcessSubgroup { get; set; }
		public virtual string ProdLine { get; set; }
		public virtual string ProcessType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IMstLgaBarProcessExcelExporter : IApplicationService
	{
		FileDto ExportToFile(List&lt;MstLgaBarProcessDto&gt; mstlgabarprocess);
	}
}
</v>
      </c>
      <c r="T7" s="28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MstLgaBarProcessExcelExporter : NpoiExcelExporterBase, IMstLgaBarProcessExcelExporter
    {
        public MstLgaBarProcessExcelExporter(ITempFileCacheManager tempFileCacheManager) : base(tempFileCacheManager) { }
        public FileDto ExportToFile(List&lt;MstLgaBarProcessDto&gt; barprocess)
        {
            return CreateExcelPackage(
				"MasterLogABarProcess.xlsx",
				excelPackage =&gt;
				 {
					var sheet = excelPackage.CreateSheet("BarProcess");
					AddHeader(
								sheet,
								("Code"),
								("ProcessName"),
								("ProcessGroup"),
								("ProcessSubgroup"),
								("ProdLine"),
								("ProcessType"),
								("IsActive"),
							   );
					AddObjects(
						 sheet, 1, barprocess,                                       
								_ =&gt; _.Code,
								_ =&gt; _.ProcessName,
								_ =&gt; _.ProcessGroup,
								_ =&gt; _.ProcessSubgroup,
								_ =&gt; _.ProdLine,
								_ =&gt; _.ProcessType,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configuration.CreateMap&lt;MstLgaBarProcessDto, MstLgaBarProcess&gt;();
  configuration.CreateMap&lt;MstLgaBarProcess, MstLgaBarProcessDto&gt;();
  configuration.CreateMap&lt;CreateOrEditMstLgaBarProcessDto, MstLgaBarProcess&gt;();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322</v>
      </c>
      <c r="B9" t="s">
        <v>320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Name="IX_MstLgaBarProcess_Code")]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[StringLength(MstLgaBarProcessConsts.MaxCodeLength)]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22.5" customHeight="1" x14ac:dyDescent="0.25">
      <c r="A10" t="s">
        <v>326</v>
      </c>
      <c r="B10" t="s">
        <v>320</v>
      </c>
      <c r="C10" t="s">
        <v>1</v>
      </c>
      <c r="D10" t="str">
        <f>SUBSTITUTE(PROPER(A10),"_","")</f>
        <v>ProcessName</v>
      </c>
      <c r="E10" t="str">
        <f t="shared" ref="E10:E15" si="13">IFERROR(LEFT(B10, FIND("(",B10)-1),B10)</f>
        <v>varchar</v>
      </c>
      <c r="F10" s="7"/>
      <c r="G10" t="str">
        <f t="shared" ref="G10:G15" si="14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5" si="15">IF(H10="string",REPT(CHAR(9),2)&amp;"public const int Max"&amp;D10&amp;"Length = "&amp;G10&amp;";"&amp;$E$3,"" )</f>
        <v xml:space="preserve">		public const int MaxProcessNameLength = 50;
</v>
      </c>
      <c r="J10" t="str">
        <f t="shared" ref="J10:J15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[StringLength(MaxProcessNameLength)]
		public virtual string ProcessName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 t="shared" ref="M10:M15" si="17">REPT(CHAR(9),2)&amp;"public virtual "&amp;IF(OR(H10="DateTime",H10="TimeSpan"),H10&amp;"?",H10)&amp;IF(C10="?","? "," ")&amp;D10&amp;" { get; set; }" &amp; "
"</f>
        <v xml:space="preserve">		public virtual string ProcessName { get; set; }
</v>
      </c>
      <c r="N10" t="str">
        <f t="shared" ref="N10:N15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[StringLength(MstLgaBarProcessConsts.MaxProcessNameLength)]
		public virtual string ProcessName { get; set; }
</v>
      </c>
      <c r="O10" t="str">
        <f t="shared" ref="O10:O15" si="19">IF(OR(H10="string",H10="DateTime",H10="int"),REPT(CHAR(9),2)&amp;"public virtual "&amp;IF(OR(H10="DateTime",H10="TimeSpan"),H10&amp;"?",H10)&amp;IF(C10="?","? "," ")&amp;D10&amp;" { get; set; }"&amp;$E$3,"")</f>
        <v xml:space="preserve">		public virtual string ProcessName { get; set; }
</v>
      </c>
      <c r="P10" t="str">
        <f t="shared" ref="P10:P15" si="20">REPT(CHAR(9),7)&amp;D10&amp;" = o." &amp;D10 &amp;","</f>
        <v xml:space="preserve">							ProcessName = o.ProcessName,</v>
      </c>
      <c r="T10" s="69" t="str">
        <f t="shared" ref="T10:T15" si="21">REPT(CHAR(9),8)&amp;"("""&amp;D10&amp;"""),"</f>
        <v xml:space="preserve">								("ProcessName"),</v>
      </c>
      <c r="V10" s="70" t="str">
        <f t="shared" ref="V10:V15" si="22">REPT(CHAR(9),8)&amp;"_ =&gt; _."&amp;D10&amp;","</f>
        <v xml:space="preserve">								_ =&gt; _.ProcessName,</v>
      </c>
      <c r="W10" s="69" t="str">
        <f t="shared" ref="W10:W15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.WhereIf(!string.IsNullOrWhiteSpace(input.ProcessName), e =&gt; e.ProcessName.Contains(input.ProcessName))</v>
      </c>
    </row>
    <row r="11" spans="1:23" customFormat="1" ht="22.5" customHeight="1" x14ac:dyDescent="0.25">
      <c r="A11" t="s">
        <v>330</v>
      </c>
      <c r="B11" t="s">
        <v>320</v>
      </c>
      <c r="C11" t="s">
        <v>1</v>
      </c>
      <c r="D11" t="str">
        <f>SUBSTITUTE(PROPER(A11),"_","")</f>
        <v>ProcessGroup</v>
      </c>
      <c r="E11" t="str">
        <f t="shared" ref="E11" si="24">IFERROR(LEFT(B11, FIND("(",B11)-1),B11)</f>
        <v>varchar</v>
      </c>
      <c r="F11" s="7"/>
      <c r="G11" t="str">
        <f t="shared" ref="G11" si="25">IFERROR(MID(B11,FIND("(",B11) +1, FIND(")",B11) - FIND("(",B11) - 1),"")</f>
        <v>50</v>
      </c>
      <c r="H11" t="str">
        <f>+VLOOKUP(E11,'Data Type Mapping'!A:B,2,)</f>
        <v>string</v>
      </c>
      <c r="I11" t="str">
        <f t="shared" ref="I11" si="26">IF(H11="string",REPT(CHAR(9),2)&amp;"public const int Max"&amp;D11&amp;"Length = "&amp;G11&amp;";"&amp;$E$3,"" )</f>
        <v xml:space="preserve">		public const int MaxProcessGroupLength = 50;
</v>
      </c>
      <c r="J11" t="str">
        <f t="shared" ref="J11" si="2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[StringLength(MaxProcessGroupLength)]
		public virtual string ProcessGroup { get; set; }
</v>
      </c>
      <c r="K11" s="7"/>
      <c r="L11" t="str">
        <f>IF(K11="","",REPT(CHAR(9),1)&amp;"[Index(nameof("&amp;IF(D11="","",""&amp;D11)&amp;")"&amp;", Name="&amp;"""IX_"&amp;$B$7&amp;"_"&amp;D11&amp;""")]")</f>
        <v/>
      </c>
      <c r="M11" t="str">
        <f t="shared" ref="M11" si="28">REPT(CHAR(9),2)&amp;"public virtual "&amp;IF(OR(H11="DateTime",H11="TimeSpan"),H11&amp;"?",H11)&amp;IF(C11="?","? "," ")&amp;D11&amp;" { get; set; }" &amp; "
"</f>
        <v xml:space="preserve">		public virtual string ProcessGroup { get; set; }
</v>
      </c>
      <c r="N11" t="str">
        <f t="shared" ref="N11" si="29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[StringLength(MstLgaBarProcessConsts.MaxProcessGroupLength)]
		public virtual string ProcessGroup { get; set; }
</v>
      </c>
      <c r="O11" t="str">
        <f t="shared" ref="O11" si="30">IF(OR(H11="string",H11="DateTime",H11="int"),REPT(CHAR(9),2)&amp;"public virtual "&amp;IF(OR(H11="DateTime",H11="TimeSpan"),H11&amp;"?",H11)&amp;IF(C11="?","? "," ")&amp;D11&amp;" { get; set; }"&amp;$E$3,"")</f>
        <v xml:space="preserve">		public virtual string ProcessGroup { get; set; }
</v>
      </c>
      <c r="P11" t="str">
        <f t="shared" ref="P11" si="31">REPT(CHAR(9),7)&amp;D11&amp;" = o." &amp;D11 &amp;","</f>
        <v xml:space="preserve">							ProcessGroup = o.ProcessGroup,</v>
      </c>
      <c r="T11" s="69" t="str">
        <f t="shared" ref="T11" si="32">REPT(CHAR(9),8)&amp;"("""&amp;D11&amp;"""),"</f>
        <v xml:space="preserve">								("ProcessGroup"),</v>
      </c>
      <c r="V11" s="70" t="str">
        <f t="shared" ref="V11" si="33">REPT(CHAR(9),8)&amp;"_ =&gt; _."&amp;D11&amp;","</f>
        <v xml:space="preserve">								_ =&gt; _.ProcessGroup,</v>
      </c>
      <c r="W11" s="69" t="str">
        <f t="shared" ref="W11" si="34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.WhereIf(!string.IsNullOrWhiteSpace(input.ProcessGroup), e =&gt; e.ProcessGroup.Contains(input.ProcessGroup))</v>
      </c>
    </row>
    <row r="12" spans="1:23" customFormat="1" ht="22.5" customHeight="1" x14ac:dyDescent="0.25">
      <c r="A12" t="s">
        <v>331</v>
      </c>
      <c r="B12" t="s">
        <v>320</v>
      </c>
      <c r="C12" t="s">
        <v>1</v>
      </c>
      <c r="D12" t="str">
        <f>SUBSTITUTE(PROPER(A12),"_","")</f>
        <v>ProcessSubgroup</v>
      </c>
      <c r="E12" t="str">
        <f t="shared" ref="E12" si="35">IFERROR(LEFT(B12, FIND("(",B12)-1),B12)</f>
        <v>varchar</v>
      </c>
      <c r="F12" s="7"/>
      <c r="G12" t="str">
        <f t="shared" ref="G12" si="36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37">IF(H12="string",REPT(CHAR(9),2)&amp;"public const int Max"&amp;D12&amp;"Length = "&amp;G12&amp;";"&amp;$E$3,"" )</f>
        <v xml:space="preserve">		public const int MaxProcessSubgroupLength = 50;
</v>
      </c>
      <c r="J12" t="str">
        <f t="shared" ref="J12" si="38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[StringLength(MaxProcessSubgroupLength)]
		public virtual string ProcessSubgroup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ref="M12" si="39">REPT(CHAR(9),2)&amp;"public virtual "&amp;IF(OR(H12="DateTime",H12="TimeSpan"),H12&amp;"?",H12)&amp;IF(C12="?","? "," ")&amp;D12&amp;" { get; set; }" &amp; "
"</f>
        <v xml:space="preserve">		public virtual string ProcessSubgroup { get; set; }
</v>
      </c>
      <c r="N12" t="str">
        <f t="shared" ref="N12" si="40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[StringLength(MstLgaBarProcessConsts.MaxProcessSubgroupLength)]
		public virtual string ProcessSubgroup { get; set; }
</v>
      </c>
      <c r="O12" t="str">
        <f t="shared" ref="O12" si="41">IF(OR(H12="string",H12="DateTime",H12="int"),REPT(CHAR(9),2)&amp;"public virtual "&amp;IF(OR(H12="DateTime",H12="TimeSpan"),H12&amp;"?",H12)&amp;IF(C12="?","? "," ")&amp;D12&amp;" { get; set; }"&amp;$E$3,"")</f>
        <v xml:space="preserve">		public virtual string ProcessSubgroup { get; set; }
</v>
      </c>
      <c r="P12" t="str">
        <f t="shared" ref="P12" si="42">REPT(CHAR(9),7)&amp;D12&amp;" = o." &amp;D12 &amp;","</f>
        <v xml:space="preserve">							ProcessSubgroup = o.ProcessSubgroup,</v>
      </c>
      <c r="T12" s="69" t="str">
        <f t="shared" ref="T12" si="43">REPT(CHAR(9),8)&amp;"("""&amp;D12&amp;"""),"</f>
        <v xml:space="preserve">								("ProcessSubgroup"),</v>
      </c>
      <c r="V12" s="70" t="str">
        <f t="shared" ref="V12" si="44">REPT(CHAR(9),8)&amp;"_ =&gt; _."&amp;D12&amp;","</f>
        <v xml:space="preserve">								_ =&gt; _.ProcessSubgroup,</v>
      </c>
      <c r="W12" s="69" t="str">
        <f t="shared" ref="W12" si="45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.WhereIf(!string.IsNullOrWhiteSpace(input.ProcessSubgroup), e =&gt; e.ProcessSubgroup.Contains(input.ProcessSubgroup))</v>
      </c>
    </row>
    <row r="13" spans="1:23" customFormat="1" ht="22.5" customHeight="1" x14ac:dyDescent="0.25">
      <c r="A13" t="s">
        <v>323</v>
      </c>
      <c r="B13" t="s">
        <v>320</v>
      </c>
      <c r="C13" t="s">
        <v>1</v>
      </c>
      <c r="D13" t="str">
        <f>SUBSTITUTE(PROPER(A13),"_","")</f>
        <v>ProdLine</v>
      </c>
      <c r="E13" t="str">
        <f t="shared" si="13"/>
        <v>varchar</v>
      </c>
      <c r="F13" s="7"/>
      <c r="G13" t="str">
        <f t="shared" si="14"/>
        <v>50</v>
      </c>
      <c r="H13" t="str">
        <f>+VLOOKUP(E13,'Data Type Mapping'!A:B,2,)</f>
        <v>string</v>
      </c>
      <c r="I13" t="str">
        <f t="shared" si="15"/>
        <v xml:space="preserve">		public const int MaxProdLineLength = 50;
</v>
      </c>
      <c r="J13" t="str">
        <f t="shared" si="16"/>
        <v xml:space="preserve">		[StringLength(MaxProdLineLength)]
		public virtual string ProdLine { get; set; }
</v>
      </c>
      <c r="K13" s="7" t="s">
        <v>206</v>
      </c>
      <c r="L13" t="str">
        <f>IF(K13="","",REPT(CHAR(9),1)&amp;"[Index(nameof("&amp;IF(D13="","",""&amp;D13)&amp;")"&amp;", Name="&amp;"""IX_"&amp;$B$7&amp;"_"&amp;D13&amp;""")]")</f>
        <v xml:space="preserve">	[Index(nameof(ProdLine), Name="IX_MstLgaBarProcess_ProdLine")]</v>
      </c>
      <c r="M13" t="str">
        <f t="shared" si="17"/>
        <v xml:space="preserve">		public virtual string ProdLine { get; set; }
</v>
      </c>
      <c r="N13" t="str">
        <f t="shared" si="18"/>
        <v xml:space="preserve">		[StringLength(MstLgaBarProcessConsts.MaxProdLineLength)]
		public virtual string ProdLine { get; set; }
</v>
      </c>
      <c r="O13" t="str">
        <f t="shared" si="19"/>
        <v xml:space="preserve">		public virtual string ProdLine { get; set; }
</v>
      </c>
      <c r="P13" t="str">
        <f t="shared" si="20"/>
        <v xml:space="preserve">							ProdLine = o.ProdLine,</v>
      </c>
      <c r="T13" s="69" t="str">
        <f t="shared" si="21"/>
        <v xml:space="preserve">								("ProdLine"),</v>
      </c>
      <c r="V13" s="70" t="str">
        <f t="shared" si="22"/>
        <v xml:space="preserve">								_ =&gt; _.ProdLine,</v>
      </c>
      <c r="W13" s="69" t="str">
        <f t="shared" si="23"/>
        <v xml:space="preserve">				.WhereIf(!string.IsNullOrWhiteSpace(input.ProdLine), e =&gt; e.ProdLine.Contains(input.ProdLine))</v>
      </c>
    </row>
    <row r="14" spans="1:23" customFormat="1" ht="18.75" customHeight="1" x14ac:dyDescent="0.25">
      <c r="A14" t="s">
        <v>327</v>
      </c>
      <c r="B14" t="s">
        <v>320</v>
      </c>
      <c r="C14" t="s">
        <v>1</v>
      </c>
      <c r="D14" t="str">
        <f t="shared" ref="D14" si="46">SUBSTITUTE(PROPER(A14),"_","")</f>
        <v>ProcessType</v>
      </c>
      <c r="E14" t="str">
        <f t="shared" ref="E14" si="47">IFERROR(LEFT(B14, FIND("(",B14)-1),B14)</f>
        <v>varchar</v>
      </c>
      <c r="F14" s="7"/>
      <c r="G14" t="str">
        <f t="shared" ref="G14" si="48">IFERROR(MID(B14,FIND("(",B14) +1, FIND(")",B14) - FIND("(",B14) - 1),"")</f>
        <v>50</v>
      </c>
      <c r="H14" t="str">
        <f>+VLOOKUP(E14,'Data Type Mapping'!A:B,2,)</f>
        <v>string</v>
      </c>
      <c r="I14" t="str">
        <f t="shared" ref="I14" si="49">IF(H14="string",REPT(CHAR(9),2)&amp;"public const int Max"&amp;D14&amp;"Length = "&amp;G14&amp;";"&amp;$E$3,"" )</f>
        <v xml:space="preserve">		public const int MaxProcessTypeLength = 50;
</v>
      </c>
      <c r="J14" t="str">
        <f t="shared" ref="J14" si="50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[StringLength(MaxProcessTypeLength)]
		public virtual string ProcessType { get; set; }
</v>
      </c>
      <c r="K14" s="7"/>
      <c r="L14" t="str">
        <f t="shared" ref="L14" si="51">IF(K14="","",REPT(CHAR(9),1)&amp;"[Index(nameof("&amp;IF(D14="","",""&amp;D14)&amp;")"&amp;", Name="&amp;"""IX_"&amp;$B$7&amp;"_"&amp;D14&amp;""")]")</f>
        <v/>
      </c>
      <c r="M14" t="str">
        <f t="shared" ref="M14" si="52">REPT(CHAR(9),2)&amp;"public virtual "&amp;IF(OR(H14="DateTime",H14="TimeSpan"),H14&amp;"?",H14)&amp;IF(C14="?","? "," ")&amp;D14&amp;" { get; set; }" &amp; "
"</f>
        <v xml:space="preserve">		public virtual string ProcessType { get; set; }
</v>
      </c>
      <c r="N14" t="str">
        <f t="shared" ref="N14" si="53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[StringLength(MstLgaBarProcessConsts.MaxProcessTypeLength)]
		public virtual string ProcessType { get; set; }
</v>
      </c>
      <c r="O14" t="str">
        <f t="shared" ref="O14" si="54">IF(OR(H14="string",H14="DateTime",H14="int"),REPT(CHAR(9),2)&amp;"public virtual "&amp;IF(OR(H14="DateTime",H14="TimeSpan"),H14&amp;"?",H14)&amp;IF(C14="?","? "," ")&amp;D14&amp;" { get; set; }"&amp;$E$3,"")</f>
        <v xml:space="preserve">		public virtual string ProcessType { get; set; }
</v>
      </c>
      <c r="P14" t="str">
        <f t="shared" ref="P14" si="55">REPT(CHAR(9),7)&amp;D14&amp;" = o." &amp;D14 &amp;","</f>
        <v xml:space="preserve">							ProcessType = o.ProcessType,</v>
      </c>
      <c r="T14" s="69" t="str">
        <f t="shared" ref="T14" si="56">REPT(CHAR(9),8)&amp;"("""&amp;D14&amp;"""),"</f>
        <v xml:space="preserve">								("ProcessType"),</v>
      </c>
      <c r="V14" s="70" t="str">
        <f t="shared" ref="V14" si="57">REPT(CHAR(9),8)&amp;"_ =&gt; _."&amp;D14&amp;","</f>
        <v xml:space="preserve">								_ =&gt; _.ProcessType,</v>
      </c>
      <c r="W14" s="69" t="str">
        <f t="shared" ref="W14" si="58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.WhereIf(!string.IsNullOrWhiteSpace(input.ProcessType), e =&gt; e.ProcessType.Contains(input.ProcessType))</v>
      </c>
    </row>
    <row r="15" spans="1:23" customFormat="1" ht="22.5" customHeight="1" x14ac:dyDescent="0.25">
      <c r="A15" t="s">
        <v>324</v>
      </c>
      <c r="B15" t="s">
        <v>325</v>
      </c>
      <c r="C15" t="s">
        <v>1</v>
      </c>
      <c r="D15" t="str">
        <f>SUBSTITUTE(PROPER(A15),"_","")</f>
        <v>IsActive</v>
      </c>
      <c r="E15" t="str">
        <f t="shared" si="13"/>
        <v>varchar</v>
      </c>
      <c r="F15" s="7"/>
      <c r="G15" t="str">
        <f t="shared" si="14"/>
        <v>1</v>
      </c>
      <c r="H15" t="str">
        <f>+VLOOKUP(E15,'Data Type Mapping'!A:B,2,)</f>
        <v>string</v>
      </c>
      <c r="I15" t="str">
        <f t="shared" si="15"/>
        <v xml:space="preserve">		public const int MaxIsActiveLength = 1;
</v>
      </c>
      <c r="J15" t="str">
        <f t="shared" si="16"/>
        <v xml:space="preserve">		[StringLength(MaxIsActiveLength)]
		public virtual string IsActive { get; set; }
</v>
      </c>
      <c r="K15" s="7" t="s">
        <v>206</v>
      </c>
      <c r="L15" t="str">
        <f>IF(K15="","",REPT(CHAR(9),1)&amp;"[Index(nameof("&amp;IF(D15="","",""&amp;D15)&amp;")"&amp;", Name="&amp;"""IX_"&amp;$B$7&amp;"_"&amp;D15&amp;""")]")</f>
        <v xml:space="preserve">	[Index(nameof(IsActive), Name="IX_MstLgaBarProcess_IsActive")]</v>
      </c>
      <c r="M15" t="str">
        <f t="shared" si="17"/>
        <v xml:space="preserve">		public virtual string IsActive { get; set; }
</v>
      </c>
      <c r="N15" t="str">
        <f t="shared" si="18"/>
        <v xml:space="preserve">		[StringLength(MstLgaBarProcessConsts.MaxIsActiveLength)]
		public virtual string IsActive { get; set; }
</v>
      </c>
      <c r="O15" t="str">
        <f t="shared" si="19"/>
        <v xml:space="preserve">		public virtual string IsActive { get; set; }
</v>
      </c>
      <c r="P15" t="str">
        <f t="shared" si="20"/>
        <v xml:space="preserve">							IsActive = o.IsActive,</v>
      </c>
      <c r="T15" s="69" t="str">
        <f t="shared" si="21"/>
        <v xml:space="preserve">								("IsActive"),</v>
      </c>
      <c r="V15" s="70" t="str">
        <f t="shared" si="22"/>
        <v xml:space="preserve">								_ =&gt; _.IsActive,</v>
      </c>
      <c r="W15" s="69" t="str">
        <f t="shared" si="23"/>
        <v xml:space="preserve">				.WhereIf(!string.IsNullOrWhiteSpace(input.IsActive), e =&gt; e.IsActive.Contains(input.IsActive))</v>
      </c>
    </row>
    <row r="17" spans="8:23" ht="45.75" customHeight="1" x14ac:dyDescent="0.25">
      <c r="H17" s="12"/>
      <c r="I17" s="34" t="str">
        <f ca="1">TEXTJOIN2("
", TRUE,INDIRECT( $H$1):INDIRECT( $H$3))</f>
        <v xml:space="preserve">		public const int MaxCodeLength = 50;
		public const int MaxProcessNameLength = 50;
		public const int MaxProcessGroupLength = 50;
		public const int MaxProcessSubgroupLength = 50;
		public const int MaxProdLineLength = 50;
		public const int MaxProcessTypeLength = 50;
		public const int MaxIsActiveLength = 1;
</v>
      </c>
      <c r="J17" s="33" t="str">
        <f ca="1">TEXTJOIN2("
", TRUE,INDIRECT( $F$1):INDIRECT( $F$3))</f>
        <v xml:space="preserve">		[StringLength(MaxCodeLength)]
		public virtual string Code { get; set; }
		[StringLength(MaxProcessNameLength)]
		public virtual string ProcessName { get; set; }
		[StringLength(MaxProcessGroupLength)]
		public virtual string ProcessGroup { get; set; }
		[StringLength(MaxProcessSubgroupLength)]
		public virtual string ProcessSubgroup { get; set; }
		[StringLength(MaxProdLineLength)]
		public virtual string ProdLine { get; set; }
		[StringLength(MaxProcessTypeLength)]
		public virtual string ProcessType { get; set; }
		[StringLength(MaxIsActiveLength)]
		public virtual string IsActive { get; set; }
</v>
      </c>
      <c r="K17" s="35" t="str">
        <f ca="1">TEXTJOIN2("
", TRUE,INDIRECT( $J$1):INDIRECT( $J$3))</f>
        <v xml:space="preserve">	[Index(nameof(Code), Name="IX_MstLgaBarProcess_Code")]
	[Index(nameof(ProdLine), Name="IX_MstLgaBarProcess_ProdLine")]
	[Index(nameof(IsActive), Name="IX_MstLgaBarProcess_IsActive")]</v>
      </c>
      <c r="L17" s="13" t="s">
        <v>60</v>
      </c>
      <c r="M17" s="36" t="str">
        <f ca="1">TEXTJOIN2("
",TRUE,INDIRECT( $L$1):INDIRECT($L$3))</f>
        <v xml:space="preserve">		public virtual string Code { get; set; }
		public virtual string ProcessName { get; set; }
		public virtual string ProcessGroup { get; set; }
		public virtual string ProcessSubgroup { get; set; }
		public virtual string ProdLine { get; set; }
		public virtual string ProcessType { get; set; }
		public virtual string IsActive { get; set; }
</v>
      </c>
      <c r="N17" s="33" t="str">
        <f ca="1">TEXTJOIN2("
",TRUE,INDIRECT( $M$1):INDIRECT($M$3))</f>
        <v xml:space="preserve">		[StringLength(MstLgaBarProcessConsts.MaxCodeLength)]
		public virtual string Code { get; set; }
		[StringLength(MstLgaBarProcessConsts.MaxProcessNameLength)]
		public virtual string ProcessName { get; set; }
		[StringLength(MstLgaBarProcessConsts.MaxProcessGroupLength)]
		public virtual string ProcessGroup { get; set; }
		[StringLength(MstLgaBarProcessConsts.MaxProcessSubgroupLength)]
		public virtual string ProcessSubgroup { get; set; }
		[StringLength(MstLgaBarProcessConsts.MaxProdLineLength)]
		public virtual string ProdLine { get; set; }
		[StringLength(MstLgaBarProcessConsts.MaxProcessTypeLength)]
		public virtual string ProcessType { get; set; }
		[StringLength(MstLgaBarProcessConsts.MaxIsActiveLength)]
		public virtual string IsActive { get; set; }
</v>
      </c>
      <c r="O17" s="33" t="str">
        <f ca="1">TEXTJOIN2("
",TRUE,INDIRECT( $N$1):INDIRECT($N$3))</f>
        <v xml:space="preserve">		public virtual string Code { get; set; }
		public virtual string ProcessName { get; set; }
		public virtual string ProcessGroup { get; set; }
		public virtual string ProcessSubgroup { get; set; }
		public virtual string ProdLine { get; set; }
		public virtual string ProcessType { get; set; }
		public virtual string IsActive { get; set; }
</v>
      </c>
      <c r="P17" s="9" t="str">
        <f ca="1">TEXTJOIN2("
",TRUE,INDIRECT( $O$1):INDIRECT($O$3))</f>
        <v xml:space="preserve">							Code = o.Code,
							ProcessName = o.ProcessName,
							ProcessGroup = o.ProcessGroup,
							ProcessSubgroup = o.ProcessSubgroup,
							ProdLine = o.ProdLine,
							ProcessType = o.ProcessType,
							IsActive = o.IsActive,</v>
      </c>
      <c r="T17" s="9" t="str">
        <f ca="1">TEXTJOIN2("
",TRUE,INDIRECT( $T$2):INDIRECT($T$3))</f>
        <v xml:space="preserve">								("Code"),
								("ProcessName"),
								("ProcessGroup"),
								("ProcessSubgroup"),
								("ProdLine"),
								("ProcessType"),
								("IsActive"),</v>
      </c>
      <c r="V17" s="9" t="str">
        <f ca="1">TEXTJOIN2("
",TRUE,INDIRECT( $V$2):INDIRECT($V$3))</f>
        <v xml:space="preserve">								_ =&gt; _.Code,
								_ =&gt; _.ProcessName,
								_ =&gt; _.ProcessGroup,
								_ =&gt; _.ProcessSubgroup,
								_ =&gt; _.ProdLine,
								_ =&gt; _.ProcessType,
								_ =&gt; _.IsActive,</v>
      </c>
      <c r="W17" s="9" t="str">
        <f ca="1">TEXTJOIN2("
",TRUE,INDIRECT( $W$2):INDIRECT($W$3))</f>
        <v xml:space="preserve">				.WhereIf(!string.IsNullOrWhiteSpace(input.Code), e =&gt; e.Code.Contains(input.Code))
				.WhereIf(!string.IsNullOrWhiteSpace(input.ProcessName), e =&gt; e.ProcessName.Contains(input.ProcessName))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.WhereIf(!string.IsNullOrWhiteSpace(input.ProdLine), e =&gt; e.ProdLine.Contains(input.ProdLine))
				.WhereIf(!string.IsNullOrWhiteSpace(input.ProcessType), e =&gt; e.ProcessType.Contains(input.ProcessType))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4"/>
  <sheetViews>
    <sheetView tabSelected="1" workbookViewId="0">
      <selection activeCell="F19" sqref="F1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332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MstLgaBarProcess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BarProcess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barprocess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MstLgaBarProcessDto, MstLgaBarProcessServiceProxy } from '@shared/service-proxies/service-proxies';
import { finalize } from 'rxjs/internal/operators/finalize';
import { CreateOrEditBarProcessModalComponent } from './create-or-edit-barprocess-modal.component';
import { DatePipe } from '@angular/common';
import { FileDownloadService } from '@shared/utils/file-download.service';
import ceil from 'lodash-es/ceil';
import { Paginator } from 'primeng/paginator';
@Component({
    templateUrl: './barprocess.component.html',
    styleUrls: ['./barprocess.component.less'],
})
export class BarProcessComponent extends AppComponentBase implements OnInit {
    @ViewChild('createOrEditModalBarProcess', { static: true }) createOrEditModalBarProcess:| CreateOrEditBarProcessModalComponent|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MstLgaBarProcessDto = new MstLgaBarProcessDto();
    saveSelectedRow: MstLgaBarProcessDto = new MstLgaBarProcessDto();
    datas: MstLgaBarProcessDto = new MstLgaBarProcessDto();
    isLoading: boolean = false;
    dataParams: GridParams | undefined;
    rowData: any[] = [];
    gridApi!: GridApi;
    rowSelection = 'multiple';
    filter: string = '';
	pipe = new DatePipe('en-US');
	frameworkComponents: FrameworkComponent;
    code : string = '' ; 
	processName : string = '' ; 
	processGroup : string = '' ; 
	processSubgroup : string = '' ; 
	prodLine : string = '' ; 
	processType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MstLgaBarProcessServiceProxy,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this.l('Process Name'),headerTooltip: this.l('Process Name'),field: 'processName',flex: 1},
			{headerName: this.l('Process Group'),headerTooltip: this.l('Process Group'),field: 'processGroup',flex: 1},
			{headerName: this.l('Process Subgroup'),headerTooltip: this.l('Process Subgroup'),field: 'processSubgroup',flex: 1},
			{headerName: this.l('Prod Line'),headerTooltip: this.l('Prod Line'),field: 'prodLine',flex: 1},
			{headerName: this.l('Process Type'),headerTooltip: this.l('Process Type'),field: 'processType',flex: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this.processName,
			this.processGroup,
			this.processSubgroup,
			this.prodLine,
			this.processType,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this.code = '',
		this.processName = '',
		this.processGroup = '',
		this.processSubgroup = '',
		this.prodLine = '',
		this.processType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this.processName,
			this.processGroup,
			this.processSubgroup,
			this.prodLine,
			this.processType,
			this.isActive,
			'',
            this.paginationParams.skipCount,
            this.paginationParams.pageSize
        );
    }
    onChangeRowSelection(params: { api: { getSelectedRows: () =&gt; MstLgaBarProcessDto[] } }) {
        this.saveSelectedRow = params.api.getSelectedRows()[0] ?? new MstLgaBarProcessDto();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MstLgaBarProcessDto):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this._service.getBarProcessToExcel(
			this.code,
			this.processName,
			this.processGroup,
			this.processSubgroup,
			this.prodLine,
			this.processType,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LA Barcode Process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[(ngModel)]='processType' name='processType'
									class='form-control' [placeholder]="l('Process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(click)="createOrEditModalBarProcess.show()"&gt;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(click)="createOrEditModalBarProcess.show(selectedRow)"&gt;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&lt;create-or-edit-barprocess-modal
    #createOrEditModalBarProcess
    (modalSave)="callBackDataGrid(dataParams)"
    (modalClose)="onChangeRowSelection(dataParams)"
&gt;
&lt;/create-or-edit-barprocess-modal&gt;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#createOrEditModalBarProcess="bs-modal"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BarProcess')}}&lt;/h3&gt;
                    &lt;h3 *ngIf="!rowdata.id"&gt;{{('Create New BarProcess')}}&lt;/h3&gt;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Type&lt;/label&gt;
						&lt;input type='text' class='col-md-10 form-control input-text' name='ProcessType' [(ngModel)]='rowdata.processType'&gt;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CreateOrEditMstLgaBarProcessDto, MstLgaBarProcessServiceProxy } from '@shared/service-proxies/service-proxies';
import { BsDatepickerDirective } from 'ngx-bootstrap/datepicker';
@Component({
    selector: 'create-or-edit-barprocess-modal',
    templateUrl: './create-or-edit-barprocess-modal.component.html',
    styleUrls: ['./create-or-edit-barprocess-modal.component.less']
    })
export class CreateOrEditBarProcessModalComponent extends AppComponentBase {
    @ViewChild('createOrEditModalBarProcess',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CreateOrEditMstLgaBarProcessDto = new CreateOrEditMstLgaBarProcessDto();
    active: boolean = false;
    saving: boolean = false;
    _isActive: boolean;
    constructor(
        injector: Injector,
        private _mstwptBarProcessService: MstLgaBarProcessServiceProxy,
    ) 
    {
        super(injector);
    }
    show(rowdata?: CreateOrEditMstLgaBarProcessDto): void {
        if (!rowdata) this.rowdata = new CreateOrEditMstLgaBarProcessDto();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this._mstwptBarProcessService.createOrEdit(this.rowdata)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BarProcessRoutingModule } from './barprocess-routing.module';
import { BarProcessComponent } from './barprocess.component';
import { CreateOrEditBarProcessModalComponent } from './create-or-edit-barprocess-modal.component';
@NgModule({
    declarations: [
       BarProcessComponent, 
        CreateOrEditBarProcessModalComponent
    ],
    imports: [
        AppSharedModule, BarProcessRoutingModule]
})
export class BarProcessModule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BarProcessComponent } from './barprocess.component';
const routes: Routes = [{
    path: '',
    component: BarProcessComponent,
    pathMatch: 'full'
}];
@NgModule({
    imports: [RouterModule.forChild(routes)],
    exports: [RouterModule],
})
export class BarProcessRoutingModule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AppMenuItem("BarProcess", "Pages.Master.LogA.BarProcess", "flaticon-book",   "/app/main/master/loga/barprocess"),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'master/loga/barprocess',
    loadChildren: () =&gt; import('./master/loga/barprocess/barprocess.module').then(m =&gt; m.BarProcessModule),
    data: { permission: 'Pages.Master.LogA.BarProcess' }
},</v>
      </c>
      <c r="R10" s="50" t="str">
        <f>SUBSTITUTE(R9,"MstWptCalendar",$B$6)</f>
        <v>ApiServiceProxies.MstLgaBarProcessServiceProxy,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H21</v>
      </c>
      <c r="I12" s="31" t="str">
        <f>"I"&amp;COUNTA($A:$A)</f>
        <v>I21</v>
      </c>
      <c r="J12" s="31"/>
      <c r="K12" s="31" t="str">
        <f>"K"&amp;COUNTA($A:$A)</f>
        <v>K21</v>
      </c>
      <c r="L12" s="31" t="str">
        <f>"L"&amp;COUNTA($A:$A)</f>
        <v>L21</v>
      </c>
      <c r="M12" s="31"/>
      <c r="N12" s="31"/>
      <c r="O12" s="31"/>
      <c r="P12" s="31"/>
      <c r="Q12" s="31"/>
      <c r="R12" s="31"/>
      <c r="S12" s="31" t="str">
        <f>"S"&amp;COUNTA($A:$A)</f>
        <v>S21</v>
      </c>
      <c r="T12" s="31" t="str">
        <f>"T"&amp;COUNTA($A:$A)</f>
        <v>T21</v>
      </c>
      <c r="U12" s="31" t="str">
        <f>"U"&amp;COUNTA($A:$A)</f>
        <v>U21</v>
      </c>
      <c r="V12" s="31" t="str">
        <f>"V"&amp;COUNTA($A:$A)</f>
        <v>V21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this.l('Process Name'),headerTooltip: this.l('Process Name'),field: 'processName',flex: 1},
			{headerName: this.l('Process Group'),headerTooltip: this.l('Process Group'),field: 'processGroup',flex: 1},
			{headerName: this.l('Process Subgroup'),headerTooltip: this.l('Process Subgroup'),field: 'processSubgroup',flex: 1},
			{headerName: this.l('Prod Line'),headerTooltip: this.l('Prod Line'),field: 'prodLine',flex: 1},
			{headerName: this.l('Process Type'),headerTooltip: this.l('Process Type'),field: 'processType',flex: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[(ngModel)]='processName' name='processName'
									class='form-control' [placeholder]="l('Process Name')"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[(ngModel)]='processType' name='processType'
									class='form-control' [placeholder]="l('Process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title'&gt;Process Name&lt;/label&gt;
						&lt;input type='text' class='col-md-10 form-control input-text' name='ProcessName' [(ngModel)]='rowdata.processName'&gt;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 Type&lt;/label&gt;
						&lt;input type='text' class='col-md-10 form-control input-text' name='ProcessType' [(ngModel)]='rowdata.processType'&gt;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code : string = '' ; 
	processName : string = '' ; 
	processGroup : string = '' ; 
	processSubgroup : string = '' ; 
	prodLine : string = '' ; 
	processType : string = '' ; 
	isActive : string = '' ; </v>
      </c>
      <c r="T13" s="68" t="str">
        <f ca="1">TEXTJOIN2("
",TRUE,INDIRECT(T11):INDIRECT(T12))</f>
        <v xml:space="preserve">			this.code,
			this.processName,
			this.processGroup,
			this.processSubgroup,
			this.prodLine,
			this.processType,
			this.isActive,</v>
      </c>
      <c r="U13" s="68" t="str">
        <f ca="1">TEXTJOIN2("
",TRUE,INDIRECT(U11):INDIRECT(U12))</f>
        <v>this.code = '',
		this.processName = '',
		this.processGroup = '',
		this.processSubgroup = '',
		this.prodLine = '',
		this.processType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barprocess.component.ts</v>
      </c>
      <c r="I14" s="40" t="str">
        <f>B8&amp;".component.html"</f>
        <v>barprocess.component.html</v>
      </c>
      <c r="J14" s="39" t="str">
        <f>B8&amp;".component.less"</f>
        <v>barprocess.component.less</v>
      </c>
      <c r="K14" s="40" t="str">
        <f>"create-or-edit-"&amp;B8&amp;"-modal.component.html"</f>
        <v>create-or-edit-barprocess-modal.component.html</v>
      </c>
      <c r="L14" s="40" t="str">
        <f>"create-or-edit-"&amp;B8&amp;"-modal.component.ts"</f>
        <v>create-or-edit-barprocess-modal.component.ts</v>
      </c>
      <c r="M14" s="40" t="str">
        <f>"create-or-edit-"&amp;B8&amp;"-modal.component.less"</f>
        <v>create-or-edit-barprocess-modal.component.less</v>
      </c>
      <c r="N14" s="40" t="str">
        <f>B8&amp;".module.ts"</f>
        <v>barprocess.module.ts</v>
      </c>
      <c r="O14" s="40" t="str">
        <f>B8&amp;"-routing.module.ts"</f>
        <v>barprocess-routing.module.ts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322</v>
      </c>
      <c r="B15" s="31" t="str">
        <f>SUBSTITUTE(PROPER(A15),"_","")</f>
        <v>Code</v>
      </c>
      <c r="C15" s="31" t="str">
        <f>SUBSTITUTE(PROPER(A15),"_"," ")</f>
        <v>Code</v>
      </c>
      <c r="D15" s="31" t="str">
        <f>LOWER(LEFT(B15,1))&amp;RIGHT(B15,LEN(B15) - 1)</f>
        <v>code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code : string = '' ; </v>
      </c>
      <c r="T15" s="31" t="str">
        <f>REPT(CHAR(9),3)&amp;"this."&amp;D15&amp;","</f>
        <v xml:space="preserve">			this.code,</v>
      </c>
      <c r="U15" s="31" t="str">
        <f>IF(E15="int","this."&amp;D15&amp;" = 0,","this."&amp;D15&amp;" = '',")</f>
        <v>this.code = '',</v>
      </c>
      <c r="V15" s="31" t="str">
        <f>IF(AND(E15="string",F15="1"),D15,"")</f>
        <v/>
      </c>
    </row>
    <row r="16" spans="1:22" ht="15" customHeight="1" x14ac:dyDescent="0.25">
      <c r="A16" s="31" t="s">
        <v>326</v>
      </c>
      <c r="B16" s="31" t="str">
        <f t="shared" ref="B16:B21" si="0">SUBSTITUTE(PROPER(A16),"_","")</f>
        <v>ProcessName</v>
      </c>
      <c r="C16" s="31" t="str">
        <f t="shared" ref="C16:C21" si="1">SUBSTITUTE(PROPER(A16),"_"," ")</f>
        <v>Process Name</v>
      </c>
      <c r="D16" s="31" t="str">
        <f t="shared" ref="D16:D21" si="2">LOWER(LEFT(B16,1))&amp;RIGHT(B16,LEN(B16) - 1)</f>
        <v>processName</v>
      </c>
      <c r="E16" s="31" t="str">
        <f>A.Backend!H10</f>
        <v>string</v>
      </c>
      <c r="F16" s="31" t="str">
        <f>A.Backend!G10</f>
        <v>50</v>
      </c>
      <c r="G16" s="31" t="str">
        <f t="shared" ref="G16:G21" si="3">IF(E16="string"," : string = '' ; ",IF(OR(E16="DateTime",E16="TimeSpan")," : any ;",IF(E16="int"," : number = 0 ;","")))</f>
        <v xml:space="preserve"> : string = '' ; </v>
      </c>
      <c r="H16" s="38" t="str">
        <f t="shared" ref="H16:H21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this.l('Process Name'),headerTooltip: this.l('Process Name'),field: 'processName',flex: 1},</v>
      </c>
      <c r="I16" s="38" t="str">
        <f t="shared" ref="I16:I21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[(ngModel)]='processName' name='processName'
									class='form-control' [placeholder]="l('Process Name')"
									type='text' (keyup.enter)='searchDatas()'&gt;
								&lt;/div&gt;</v>
      </c>
      <c r="J16" s="31"/>
      <c r="K16" s="38" t="str">
        <f t="shared" ref="K16:K21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title'&gt;Process Name&lt;/label&gt;
						&lt;input type='text' class='col-md-10 form-control input-text' name='ProcessName' [(ngModel)]='rowdata.processName'&gt;
					&lt;/div&gt;</v>
      </c>
      <c r="L16" s="60" t="str">
        <f t="shared" ref="L16:L21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processName : string = '' ; </v>
      </c>
      <c r="T16" s="31" t="str">
        <f>REPT(CHAR(9),3)&amp;"this."&amp;D16&amp;","</f>
        <v xml:space="preserve">			this.processName,</v>
      </c>
      <c r="U16" s="31" t="str">
        <f>IF(E16="int",REPT(CHAR(9),2)&amp;"this."&amp;D16&amp;" = 0,",REPT(CHAR(9),2)&amp;"this."&amp;D16&amp;" = '',")</f>
        <v xml:space="preserve">		this.processName = '',</v>
      </c>
      <c r="V16" s="31" t="str">
        <f t="shared" ref="V16:V21" si="8">IF(AND(E16="string",F16="1"),D16,"")</f>
        <v/>
      </c>
    </row>
    <row r="17" spans="1:22" ht="18" customHeight="1" x14ac:dyDescent="0.25">
      <c r="A17" s="31" t="s">
        <v>330</v>
      </c>
      <c r="B17" s="31" t="str">
        <f t="shared" ref="B17:B19" si="9">SUBSTITUTE(PROPER(A17),"_","")</f>
        <v>ProcessGroup</v>
      </c>
      <c r="C17" s="31" t="str">
        <f t="shared" ref="C17:C19" si="10">SUBSTITUTE(PROPER(A17),"_"," ")</f>
        <v>Process Group</v>
      </c>
      <c r="D17" s="31" t="str">
        <f t="shared" ref="D17:D19" si="11">LOWER(LEFT(B17,1))&amp;RIGHT(B17,LEN(B17) - 1)</f>
        <v>processGroup</v>
      </c>
      <c r="E17" s="31" t="str">
        <f>A.Backend!H11</f>
        <v>string</v>
      </c>
      <c r="F17" s="31" t="str">
        <f>A.Backend!G11</f>
        <v>50</v>
      </c>
      <c r="G17" s="31" t="str">
        <f t="shared" ref="G17:G19" si="12">IF(E17="string"," : string = '' ; ",IF(OR(E17="DateTime",E17="TimeSpan")," : any ;",IF(E17="int"," : number = 0 ;","")))</f>
        <v xml:space="preserve"> : string = '' ; </v>
      </c>
      <c r="H17" s="38" t="str">
        <f t="shared" ref="H17:H19" si="13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this.l('Process Group'),headerTooltip: this.l('Process Group'),field: 'processGroup',flex: 1},</v>
      </c>
      <c r="I17" s="38" t="str">
        <f t="shared" ref="I17:I19" si="14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[(ngModel)]='processGroup' name='processGroup'
									class='form-control' [placeholder]="l('Process Group')"
									type='text' (keyup.enter)='searchDatas()'&gt;
								&lt;/div&gt;</v>
      </c>
      <c r="J17" s="31"/>
      <c r="K17" s="38" t="str">
        <f t="shared" ref="K17:K19" si="15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title'&gt;Process Group&lt;/label&gt;
						&lt;input type='text' class='col-md-10 form-control input-text' name='ProcessGroup' [(ngModel)]='rowdata.processGroup'&gt;
					&lt;/div&gt;</v>
      </c>
      <c r="L17" s="60" t="str">
        <f t="shared" ref="L17:L19" si="16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:S19" si="17">REPT(CHAR(9),1)&amp;D17&amp;G17</f>
        <v xml:space="preserve">	processGroup : string = '' ; </v>
      </c>
      <c r="T17" s="31" t="str">
        <f t="shared" ref="T17:T19" si="18">REPT(CHAR(9),3)&amp;"this."&amp;D17&amp;","</f>
        <v xml:space="preserve">			this.processGroup,</v>
      </c>
      <c r="U17" s="31" t="str">
        <f t="shared" ref="U17:U19" si="19">IF(E17="int",REPT(CHAR(9),2)&amp;"this."&amp;D17&amp;" = 0,",REPT(CHAR(9),2)&amp;"this."&amp;D17&amp;" = '',")</f>
        <v xml:space="preserve">		this.processGroup = '',</v>
      </c>
      <c r="V17" s="31" t="str">
        <f t="shared" ref="V17:V19" si="20">IF(AND(E17="string",F17="1"),D17,"")</f>
        <v/>
      </c>
    </row>
    <row r="18" spans="1:22" ht="18" customHeight="1" x14ac:dyDescent="0.25">
      <c r="A18" s="31" t="s">
        <v>331</v>
      </c>
      <c r="B18" s="31" t="str">
        <f t="shared" si="9"/>
        <v>ProcessSubgroup</v>
      </c>
      <c r="C18" s="31" t="str">
        <f t="shared" si="10"/>
        <v>Process Subgroup</v>
      </c>
      <c r="D18" s="31" t="str">
        <f t="shared" si="11"/>
        <v>processSubgroup</v>
      </c>
      <c r="E18" s="31" t="str">
        <f>A.Backend!H12</f>
        <v>string</v>
      </c>
      <c r="F18" s="31" t="str">
        <f>A.Backend!G12</f>
        <v>50</v>
      </c>
      <c r="G18" s="31" t="str">
        <f t="shared" si="12"/>
        <v xml:space="preserve"> : string = '' ; </v>
      </c>
      <c r="H18" s="38" t="str">
        <f t="shared" si="13"/>
        <v xml:space="preserve">			{headerName: this.l('Process Subgroup'),headerTooltip: this.l('Process Subgroup'),field: 'processSubgroup',flex: 1},</v>
      </c>
      <c r="I18" s="38" t="str">
        <f t="shared" si="14"/>
        <v xml:space="preserve">								&lt;div class='input-search'&gt;
									&lt;input [(ngModel)]='processSubgroup' name='processSubgroup'
									class='form-control' [placeholder]="l('Process Subgroup')"
									type='text' (keyup.enter)='searchDatas()'&gt;
								&lt;/div&gt;</v>
      </c>
      <c r="J18" s="31"/>
      <c r="K18" s="38" t="str">
        <f t="shared" si="15"/>
        <v xml:space="preserve">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</v>
      </c>
      <c r="L18" s="60" t="str">
        <f t="shared" si="16"/>
        <v/>
      </c>
      <c r="M18" s="31"/>
      <c r="N18" s="31"/>
      <c r="O18" s="31"/>
      <c r="P18" s="31"/>
      <c r="Q18" s="31"/>
      <c r="R18" s="31"/>
      <c r="S18" s="31" t="str">
        <f t="shared" si="17"/>
        <v xml:space="preserve">	processSubgroup : string = '' ; </v>
      </c>
      <c r="T18" s="31" t="str">
        <f t="shared" si="18"/>
        <v xml:space="preserve">			this.processSubgroup,</v>
      </c>
      <c r="U18" s="31" t="str">
        <f t="shared" si="19"/>
        <v xml:space="preserve">		this.processSubgroup = '',</v>
      </c>
      <c r="V18" s="31" t="str">
        <f t="shared" si="20"/>
        <v/>
      </c>
    </row>
    <row r="19" spans="1:22" ht="18" customHeight="1" x14ac:dyDescent="0.25">
      <c r="A19" s="31" t="s">
        <v>323</v>
      </c>
      <c r="B19" s="31" t="str">
        <f t="shared" si="9"/>
        <v>ProdLine</v>
      </c>
      <c r="C19" s="31" t="str">
        <f t="shared" si="10"/>
        <v>Prod Line</v>
      </c>
      <c r="D19" s="31" t="str">
        <f t="shared" si="11"/>
        <v>prodLine</v>
      </c>
      <c r="E19" s="31" t="str">
        <f>A.Backend!H13</f>
        <v>string</v>
      </c>
      <c r="F19" s="31" t="str">
        <f>A.Backend!G13</f>
        <v>50</v>
      </c>
      <c r="G19" s="31" t="str">
        <f t="shared" si="12"/>
        <v xml:space="preserve"> : string = '' ; </v>
      </c>
      <c r="H19" s="38" t="str">
        <f t="shared" si="13"/>
        <v xml:space="preserve">			{headerName: this.l('Prod Line'),headerTooltip: this.l('Prod Line'),field: 'prodLine',flex: 1},</v>
      </c>
      <c r="I19" s="38" t="str">
        <f t="shared" si="14"/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9" s="31"/>
      <c r="K19" s="38" t="str">
        <f t="shared" si="15"/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9" s="60" t="str">
        <f t="shared" si="16"/>
        <v/>
      </c>
      <c r="M19" s="31"/>
      <c r="N19" s="31"/>
      <c r="O19" s="31"/>
      <c r="P19" s="31"/>
      <c r="Q19" s="31"/>
      <c r="R19" s="31"/>
      <c r="S19" s="31" t="str">
        <f t="shared" si="17"/>
        <v xml:space="preserve">	prodLine : string = '' ; </v>
      </c>
      <c r="T19" s="31" t="str">
        <f t="shared" si="18"/>
        <v xml:space="preserve">			this.prodLine,</v>
      </c>
      <c r="U19" s="31" t="str">
        <f t="shared" si="19"/>
        <v xml:space="preserve">		this.prodLine = '',</v>
      </c>
      <c r="V19" s="31" t="str">
        <f t="shared" si="20"/>
        <v/>
      </c>
    </row>
    <row r="20" spans="1:22" ht="18" customHeight="1" x14ac:dyDescent="0.25">
      <c r="A20" s="31" t="s">
        <v>327</v>
      </c>
      <c r="B20" s="31" t="str">
        <f t="shared" ref="B20" si="21">SUBSTITUTE(PROPER(A20),"_","")</f>
        <v>ProcessType</v>
      </c>
      <c r="C20" s="31" t="str">
        <f t="shared" ref="C20" si="22">SUBSTITUTE(PROPER(A20),"_"," ")</f>
        <v>Process Type</v>
      </c>
      <c r="D20" s="31" t="str">
        <f t="shared" ref="D20" si="23">LOWER(LEFT(B20,1))&amp;RIGHT(B20,LEN(B20) - 1)</f>
        <v>processType</v>
      </c>
      <c r="E20" s="31" t="str">
        <f>A.Backend!H14</f>
        <v>string</v>
      </c>
      <c r="F20" s="31" t="str">
        <f>A.Backend!G14</f>
        <v>50</v>
      </c>
      <c r="G20" s="31" t="str">
        <f t="shared" ref="G20" si="24">IF(E20="string"," : string = '' ; ",IF(OR(E20="DateTime",E20="TimeSpan")," : any ;",IF(E20="int"," : number = 0 ;","")))</f>
        <v xml:space="preserve"> : string = '' ; </v>
      </c>
      <c r="H20" s="38" t="str">
        <f t="shared" ref="H20" si="25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this.l('Process Type'),headerTooltip: this.l('Process Type'),field: 'processType',flex: 1},</v>
      </c>
      <c r="I20" s="38" t="str">
        <f t="shared" ref="I20" si="26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[(ngModel)]='processType' name='processType'
									class='form-control' [placeholder]="l('Process Type')"
									type='text' (keyup.enter)='searchDatas()'&gt;
								&lt;/div&gt;</v>
      </c>
      <c r="J20" s="31"/>
      <c r="K20" s="38" t="str">
        <f t="shared" ref="K20" si="27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title'&gt;Process Type&lt;/label&gt;
						&lt;input type='text' class='col-md-10 form-control input-text' name='ProcessType' [(ngModel)]='rowdata.processType'&gt;
					&lt;/div&gt;</v>
      </c>
      <c r="L20" s="60" t="str">
        <f t="shared" ref="L20" si="28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 t="shared" ref="S20" si="29">REPT(CHAR(9),1)&amp;D20&amp;G20</f>
        <v xml:space="preserve">	processType : string = '' ; </v>
      </c>
      <c r="T20" s="31" t="str">
        <f t="shared" ref="T20" si="30">REPT(CHAR(9),3)&amp;"this."&amp;D20&amp;","</f>
        <v xml:space="preserve">			this.processType,</v>
      </c>
      <c r="U20" s="31" t="str">
        <f t="shared" ref="U20" si="31">IF(E20="int",REPT(CHAR(9),2)&amp;"this."&amp;D20&amp;" = 0,",REPT(CHAR(9),2)&amp;"this."&amp;D20&amp;" = '',")</f>
        <v xml:space="preserve">		this.processType = '',</v>
      </c>
      <c r="V20" s="31" t="str">
        <f t="shared" ref="V20" si="32">IF(AND(E20="string",F20="1"),D20,"")</f>
        <v/>
      </c>
    </row>
    <row r="21" spans="1:22" ht="15" customHeight="1" x14ac:dyDescent="0.25">
      <c r="A21" s="31" t="s">
        <v>324</v>
      </c>
      <c r="B21" s="31" t="str">
        <f t="shared" si="0"/>
        <v>IsActive</v>
      </c>
      <c r="C21" s="31" t="str">
        <f t="shared" si="1"/>
        <v>Is Active</v>
      </c>
      <c r="D21" s="31" t="str">
        <f t="shared" si="2"/>
        <v>isActive</v>
      </c>
      <c r="E21" s="31" t="str">
        <f>A.Backend!H15</f>
        <v>string</v>
      </c>
      <c r="F21" s="31" t="str">
        <f>A.Backend!G15</f>
        <v>1</v>
      </c>
      <c r="G21" s="31" t="str">
        <f t="shared" si="3"/>
        <v xml:space="preserve"> : string = '' ; </v>
      </c>
      <c r="H21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1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1" s="31"/>
      <c r="K21" s="38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ref="S21" si="33">REPT(CHAR(9),1)&amp;D21&amp;G21</f>
        <v xml:space="preserve">	isActive : string = '' ; </v>
      </c>
      <c r="T21" s="31" t="str">
        <f t="shared" ref="T21" si="34">REPT(CHAR(9),3)&amp;"this."&amp;D21&amp;","</f>
        <v xml:space="preserve">			this.isActive,</v>
      </c>
      <c r="U21" s="31" t="str">
        <f t="shared" ref="U21" si="35">IF(E21="int",REPT(CHAR(9),2)&amp;"this."&amp;D21&amp;" = 0,",REPT(CHAR(9),2)&amp;"this."&amp;D21&amp;" = '',")</f>
        <v xml:space="preserve">		this.isActive = '',</v>
      </c>
      <c r="V21" s="31" t="str">
        <f t="shared" si="8"/>
        <v>isActive</v>
      </c>
    </row>
    <row r="24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2022-12-23T04:00:26Z</dcterms:modified>
</cp:coreProperties>
</file>
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orking\Production\prod\docs\design\master\loga\"/>
    </mc:Choice>
  </mc:AlternateContent>
  <bookViews>
    <workbookView xWindow="0" yWindow="0" windowWidth="28800" windowHeight="11805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5" l="1"/>
  <c r="F16" i="5"/>
  <c r="E17" i="5"/>
  <c r="F17" i="5"/>
  <c r="V17" i="5" s="1"/>
  <c r="E18" i="5"/>
  <c r="F18" i="5"/>
  <c r="E19" i="5"/>
  <c r="F19" i="5"/>
  <c r="E20" i="5"/>
  <c r="F20" i="5"/>
  <c r="E21" i="5"/>
  <c r="F21" i="5"/>
  <c r="E22" i="5"/>
  <c r="F22" i="5"/>
  <c r="C17" i="5"/>
  <c r="B17" i="5"/>
  <c r="D17" i="5" s="1"/>
  <c r="G11" i="1"/>
  <c r="E11" i="1"/>
  <c r="H11" i="1" s="1"/>
  <c r="D11" i="1"/>
  <c r="V11" i="1" s="1"/>
  <c r="T17" i="5" l="1"/>
  <c r="H17" i="5"/>
  <c r="I17" i="5"/>
  <c r="K17" i="5"/>
  <c r="U17" i="5"/>
  <c r="G17" i="5"/>
  <c r="S17" i="5" s="1"/>
  <c r="L17" i="5"/>
  <c r="W11" i="1"/>
  <c r="O11" i="1"/>
  <c r="J11" i="1"/>
  <c r="N11" i="1"/>
  <c r="I11" i="1"/>
  <c r="M11" i="1"/>
  <c r="P11" i="1"/>
  <c r="T11" i="1"/>
  <c r="G12" i="1"/>
  <c r="E12" i="1"/>
  <c r="H12" i="1" s="1"/>
  <c r="D12" i="1"/>
  <c r="V12" i="1" s="1"/>
  <c r="G10" i="1"/>
  <c r="E10" i="1"/>
  <c r="H10" i="1" s="1"/>
  <c r="D10" i="1"/>
  <c r="V10" i="1" s="1"/>
  <c r="W12" i="1" l="1"/>
  <c r="P12" i="1"/>
  <c r="T12" i="1"/>
  <c r="I12" i="1"/>
  <c r="N12" i="1"/>
  <c r="M12" i="1"/>
  <c r="J12" i="1"/>
  <c r="O12" i="1"/>
  <c r="N10" i="1"/>
  <c r="I10" i="1"/>
  <c r="M10" i="1"/>
  <c r="W10" i="1"/>
  <c r="O10" i="1"/>
  <c r="J10" i="1"/>
  <c r="P10" i="1"/>
  <c r="T10" i="1"/>
  <c r="L13" i="1" l="1"/>
  <c r="G13" i="1"/>
  <c r="E13" i="1"/>
  <c r="H13" i="1" s="1"/>
  <c r="D13" i="1"/>
  <c r="V13" i="1" s="1"/>
  <c r="W13" i="1" l="1"/>
  <c r="O13" i="1"/>
  <c r="J13" i="1"/>
  <c r="N13" i="1"/>
  <c r="I13" i="1"/>
  <c r="M13" i="1"/>
  <c r="P13" i="1"/>
  <c r="T13" i="1"/>
  <c r="C21" i="5" l="1"/>
  <c r="B21" i="5"/>
  <c r="D21" i="5" s="1"/>
  <c r="D14" i="1"/>
  <c r="T14" i="1" s="1"/>
  <c r="E14" i="1"/>
  <c r="H14" i="1" s="1"/>
  <c r="G14" i="1"/>
  <c r="P14" i="1" l="1"/>
  <c r="I14" i="1"/>
  <c r="V14" i="1"/>
  <c r="T21" i="5"/>
  <c r="M14" i="1"/>
  <c r="W14" i="1"/>
  <c r="O14" i="1"/>
  <c r="J14" i="1"/>
  <c r="N14" i="1"/>
  <c r="C20" i="5" l="1"/>
  <c r="B20" i="5"/>
  <c r="D20" i="5" s="1"/>
  <c r="C19" i="5"/>
  <c r="B19" i="5"/>
  <c r="D19" i="5" s="1"/>
  <c r="T19" i="5" s="1"/>
  <c r="T20" i="5" l="1"/>
  <c r="B22" i="5"/>
  <c r="D22" i="5" s="1"/>
  <c r="G16" i="1"/>
  <c r="E16" i="1"/>
  <c r="H16" i="1" s="1"/>
  <c r="D16" i="1"/>
  <c r="V16" i="1" s="1"/>
  <c r="G15" i="1"/>
  <c r="E15" i="1"/>
  <c r="H15" i="1" s="1"/>
  <c r="D15" i="1"/>
  <c r="P15" i="1" s="1"/>
  <c r="G21" i="5" l="1"/>
  <c r="S21" i="5" s="1"/>
  <c r="L21" i="5"/>
  <c r="K21" i="5"/>
  <c r="U21" i="5"/>
  <c r="H21" i="5"/>
  <c r="V21" i="5"/>
  <c r="I21" i="5"/>
  <c r="T22" i="5"/>
  <c r="C22" i="5"/>
  <c r="I22" i="5" s="1"/>
  <c r="V22" i="5"/>
  <c r="U22" i="5"/>
  <c r="G22" i="5"/>
  <c r="S22" i="5" s="1"/>
  <c r="L22" i="5"/>
  <c r="T16" i="1"/>
  <c r="W15" i="1"/>
  <c r="T15" i="1"/>
  <c r="P16" i="1"/>
  <c r="N16" i="1"/>
  <c r="I16" i="1"/>
  <c r="M16" i="1"/>
  <c r="W16" i="1"/>
  <c r="O16" i="1"/>
  <c r="J16" i="1"/>
  <c r="M15" i="1"/>
  <c r="I15" i="1"/>
  <c r="N15" i="1"/>
  <c r="V15" i="1"/>
  <c r="J15" i="1"/>
  <c r="O15" i="1"/>
  <c r="K22" i="5" l="1"/>
  <c r="H22" i="5"/>
  <c r="W3" i="1"/>
  <c r="V3" i="1"/>
  <c r="B2" i="5" l="1"/>
  <c r="B3" i="5" s="1"/>
  <c r="G20" i="5" l="1"/>
  <c r="S20" i="5" s="1"/>
  <c r="U20" i="5"/>
  <c r="V20" i="5"/>
  <c r="K20" i="5"/>
  <c r="L20" i="5"/>
  <c r="H20" i="5"/>
  <c r="I20" i="5"/>
  <c r="B6" i="5"/>
  <c r="U7" i="1" l="1"/>
  <c r="B7" i="5" l="1"/>
  <c r="Q3" i="1" l="1"/>
  <c r="O7" i="1" s="1"/>
  <c r="T3" i="1"/>
  <c r="F3" i="1"/>
  <c r="B4" i="5" l="1"/>
  <c r="N7" i="1"/>
  <c r="E47" i="3" s="1"/>
  <c r="K7" i="1"/>
  <c r="H6" i="1"/>
  <c r="R10" i="5" l="1"/>
  <c r="M54" i="3" s="1"/>
  <c r="N47" i="3" l="1"/>
  <c r="B8" i="5"/>
  <c r="B5" i="5"/>
  <c r="D9" i="1"/>
  <c r="V9" i="1" l="1"/>
  <c r="T9" i="1"/>
  <c r="P10" i="5"/>
  <c r="K54" i="3" s="1"/>
  <c r="Q10" i="5"/>
  <c r="L54" i="3" s="1"/>
  <c r="B52" i="3"/>
  <c r="C52" i="3" s="1"/>
  <c r="M14" i="5"/>
  <c r="H53" i="3" s="1"/>
  <c r="L14" i="5"/>
  <c r="G53" i="3" s="1"/>
  <c r="K14" i="5"/>
  <c r="F53" i="3" s="1"/>
  <c r="L53" i="3"/>
  <c r="K53" i="3"/>
  <c r="O14" i="5"/>
  <c r="J53" i="3" s="1"/>
  <c r="N14" i="5"/>
  <c r="I53" i="3" s="1"/>
  <c r="J14" i="5"/>
  <c r="E53" i="3" s="1"/>
  <c r="I14" i="5"/>
  <c r="D53" i="3" s="1"/>
  <c r="H14" i="5"/>
  <c r="C53" i="3" s="1"/>
  <c r="O10" i="5"/>
  <c r="J54" i="3" s="1"/>
  <c r="N10" i="5"/>
  <c r="I54" i="3" s="1"/>
  <c r="M10" i="5"/>
  <c r="H54" i="3" s="1"/>
  <c r="J10" i="5"/>
  <c r="E54" i="3" s="1"/>
  <c r="N3" i="1" l="1"/>
  <c r="M3" i="1"/>
  <c r="O3" i="1"/>
  <c r="C15" i="5" l="1"/>
  <c r="B15" i="5"/>
  <c r="D15" i="5" s="1"/>
  <c r="V18" i="1"/>
  <c r="V12" i="5" l="1"/>
  <c r="L12" i="5"/>
  <c r="U12" i="5"/>
  <c r="S12" i="5"/>
  <c r="H12" i="5"/>
  <c r="K12" i="5"/>
  <c r="T12" i="5"/>
  <c r="I12" i="5"/>
  <c r="T15" i="5"/>
  <c r="C18" i="5"/>
  <c r="B18" i="5"/>
  <c r="D18" i="5" s="1"/>
  <c r="C16" i="5"/>
  <c r="B16" i="5"/>
  <c r="D16" i="5" s="1"/>
  <c r="T16" i="5" s="1"/>
  <c r="T18" i="5" l="1"/>
  <c r="R3" i="1"/>
  <c r="D1" i="1"/>
  <c r="F6" i="1"/>
  <c r="T13" i="5"/>
  <c r="G9" i="1" l="1"/>
  <c r="F15" i="5" s="1"/>
  <c r="E9" i="1"/>
  <c r="H9" i="1" s="1"/>
  <c r="P9" i="1"/>
  <c r="T18" i="1"/>
  <c r="L19" i="5" l="1"/>
  <c r="K19" i="5"/>
  <c r="H19" i="5"/>
  <c r="U19" i="5"/>
  <c r="V19" i="5"/>
  <c r="G19" i="5"/>
  <c r="S19" i="5" s="1"/>
  <c r="I19" i="5"/>
  <c r="O9" i="1"/>
  <c r="M9" i="1"/>
  <c r="N9" i="1"/>
  <c r="E15" i="5"/>
  <c r="W9" i="1"/>
  <c r="T7" i="1"/>
  <c r="I9" i="1"/>
  <c r="W18" i="1"/>
  <c r="L16" i="5" l="1"/>
  <c r="H16" i="5"/>
  <c r="I16" i="5"/>
  <c r="K16" i="5"/>
  <c r="L18" i="5"/>
  <c r="H18" i="5"/>
  <c r="I18" i="5"/>
  <c r="K18" i="5"/>
  <c r="L15" i="5"/>
  <c r="K15" i="5"/>
  <c r="I15" i="5"/>
  <c r="H15" i="5"/>
  <c r="G16" i="5"/>
  <c r="S16" i="5" s="1"/>
  <c r="U16" i="5"/>
  <c r="V16" i="5"/>
  <c r="G15" i="5"/>
  <c r="S15" i="5" s="1"/>
  <c r="V15" i="5"/>
  <c r="U15" i="5"/>
  <c r="G18" i="5"/>
  <c r="S18" i="5" s="1"/>
  <c r="U18" i="5"/>
  <c r="V18" i="5"/>
  <c r="G6" i="1"/>
  <c r="K13" i="5"/>
  <c r="L13" i="5"/>
  <c r="I13" i="5"/>
  <c r="U13" i="5"/>
  <c r="S13" i="5"/>
  <c r="V13" i="5"/>
  <c r="H13" i="5"/>
  <c r="K10" i="5" l="1"/>
  <c r="F54" i="3" s="1"/>
  <c r="I10" i="5"/>
  <c r="D54" i="3" s="1"/>
  <c r="H10" i="5"/>
  <c r="C54" i="3" s="1"/>
  <c r="L10" i="5"/>
  <c r="G54" i="3" s="1"/>
  <c r="L47" i="3"/>
  <c r="D47" i="3"/>
  <c r="D6" i="1"/>
  <c r="B6" i="1" l="1"/>
  <c r="L3" i="1"/>
  <c r="J3" i="1"/>
  <c r="H3" i="1"/>
  <c r="C6" i="1" l="1"/>
  <c r="P7" i="1" s="1"/>
  <c r="S3" i="1"/>
  <c r="S7" i="1" s="1"/>
  <c r="E6" i="1"/>
  <c r="F47" i="3"/>
  <c r="I3" i="1" l="1"/>
  <c r="B7" i="1"/>
  <c r="L11" i="1" l="1"/>
  <c r="L14" i="1"/>
  <c r="L10" i="1"/>
  <c r="L12" i="1"/>
  <c r="L16" i="1"/>
  <c r="L15" i="1"/>
  <c r="L9" i="1"/>
  <c r="J9" i="1"/>
  <c r="C7" i="1"/>
  <c r="I18" i="1"/>
  <c r="N18" i="1"/>
  <c r="P18" i="1"/>
  <c r="O18" i="1"/>
  <c r="J18" i="1"/>
  <c r="Q7" i="1" l="1"/>
  <c r="M47" i="3" s="1"/>
  <c r="L7" i="1"/>
  <c r="G47" i="3" s="1"/>
  <c r="K47" i="3"/>
  <c r="J47" i="3"/>
  <c r="K18" i="1"/>
  <c r="M18" i="1"/>
  <c r="R7" i="1" l="1"/>
  <c r="I47" i="3" s="1"/>
  <c r="M7" i="1"/>
  <c r="H47" i="3" s="1"/>
  <c r="J7" i="1"/>
  <c r="C47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</t>
        </r>
      </text>
    </comment>
    <comment ref="D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E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F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EF Core</t>
        </r>
      </text>
    </comment>
    <comment ref="G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H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I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J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K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L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M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N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<sst xmlns="http://schemas.openxmlformats.org/spreadsheetml/2006/main" count="430" uniqueCount="327">
  <si>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</si>
  <si>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</si>
  <si>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</si>
  <si>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</si>
  <si>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</si>
  <si>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</si>
  <si>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</si>
  <si>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</si>
  <si>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</si>
  <si>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</si>
  <si>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</si>
  <si>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</si>
  <si>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</si>
  <si>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</si>
  <si>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</si>
  <si>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</si>
  <si>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</si>
  <si>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</si>
  <si>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</si>
  <si>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</si>
  <si>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</si>
  <si>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</si>
  <si>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</si>
  <si>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</si>
  <si>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</si>
  <si>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</si>
  <si>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</si>
  <si>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</si>
  <si>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</si>
  <si>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</si>
  <si>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</si>
  <si>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</si>
  <si>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</si>
  <si>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</si>
  <si>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</si>
  <si>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</si>
  <si>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</si>
  <si>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</si>
  <si>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</si>
  <si>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</si>
  <si>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</si>
  <si>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</si>
  <si>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</si>
  <si>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</si>
  <si>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</si>
  <si>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</si>
  <si>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</si>
  <si>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</si>
  <si>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</si>
  <si>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</si>
  <si>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</si>
  <si>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</si>
  <si>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</si>
  <si>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</si>
  <si>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</si>
  <si>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</si>
  <si>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</si>
  <si>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</si>
  <si>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</si>
  <si>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</si>
  <si>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</si>
  <si>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</si>
  <si>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</si>
  <si>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</si>
  <si>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</si>
  <si>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</si>
  <si>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</si>
  <si>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</si>
  <si>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</si>
  <si>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</si>
  <si>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</si>
  <si>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</si>
  <si>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</si>
  <si>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</si>
  <si>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</si>
  <si>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</si>
  <si>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</si>
  <si>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</si>
  <si>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</si>
  <si>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</si>
  <si>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</si>
  <si>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</si>
  <si>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</si>
  <si>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</si>
  <si>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</si>
  <si>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</si>
  <si>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</si>
  <si>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</si>
  <si>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</si>
  <si>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</si>
  <si>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</si>
  <si>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</si>
  <si>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</si>
  <si>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</si>
  <si>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</si>
  <si>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</si>
  <si>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</si>
  <si>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</si>
  <si>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</si>
  <si>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</si>
  <si>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</si>
  <si>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</si>
  <si>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</si>
  <si>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</si>
  <si>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</si>
  <si>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</si>
  <si>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</si>
  <si>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</si>
  <si>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</si>
  <si>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</si>
  <si>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</si>
  <si>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</si>
  <si>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</si>
  <si>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</si>
  <si>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</si>
  <si>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</si>
  <si>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</si>
  <si>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</si>
  <si>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</si>
  <si>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</si>
  <si>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</si>
  <si>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</si>
  <si>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</si>
  <si>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</si>
  <si>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</si>
  <si>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</si>
  <si>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</si>
  <si>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</si>
  <si>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</si>
  <si>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</si>
  <si>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</si>
  <si>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</si>
  <si>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</si>
  <si>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</si>
  <si>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</si>
  <si>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</si>
  <si>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</si>
  <si>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</si>
  <si>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</si>
  <si>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</si>
  <si>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</si>
  <si>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</si>
  <si>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</si>
  <si>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</si>
  <si>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</si>
  <si>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</si>
  <si>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</si>
  <si>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</si>
  <si>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</si>
  <si>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</si>
  <si>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</si>
  <si>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</si>
  <si>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</si>
  <si>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</si>
  <si>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</si>
  <si>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</si>
  <si>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</si>
  <si>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</si>
  <si>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</si>
  <si>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</si>
  <si>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</si>
  <si>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</si>
  <si>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</si>
  <si>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</si>
  <si>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</si>
  <si>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</si>
  <si>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</si>
  <si>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</si>
  <si>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</si>
  <si>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</si>
  <si>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</si>
  <si>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</si>
  <si>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</si>
  <si>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</si>
  <si>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</si>
  <si>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</si>
  <si>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</si>
  <si>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</si>
  <si>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</si>
  <si>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</si>
  <si>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</si>
  <si>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</si>
  <si>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</si>
  <si>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</si>
  <si>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</si>
  <si>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</si>
  <si>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</si>
  <si>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</si>
  <si>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</si>
  <si>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</si>
  <si>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</si>
  <si>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</si>
  <si>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</si>
  <si>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</si>
  <si>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</si>
  <si>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</si>
  <si>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</si>
  <si>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</si>
  <si>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</si>
  <si>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</si>
  <si>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</si>
  <si>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</si>
  <si>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</si>
  <si>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</si>
  <si>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</si>
  <si>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</si>
  <si>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</si>
  <si>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</si>
  <si>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</si>
  <si>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</si>
  <si>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</si>
  <si>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</si>
  <si>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</si>
  <si>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</si>
  <si>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</si>
  <si>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</si>
  <si>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</si>
  <si>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</si>
  <si>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</si>
  <si>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</si>
  <si>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</si>
  <si>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</si>
  <si>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</si>
  <si>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</si>
  <si>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</si>
  <si>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</si>
  <si>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</si>
  <si>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</si>
  <si>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</si>
  <si>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</si>
  <si>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</si>
  <si>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</si>
  <si>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</si>
  <si>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</si>
  <si>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</si>
  <si>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</si>
  <si>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</si>
  <si>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</si>
  <si>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</si>
  <si>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</si>
  <si>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</si>
  <si>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</si>
  <si>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</si>
  <si>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</si>
  <si>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</si>
  <si>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</si>
  <si>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</si>
  <si>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</si>
  <si>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</si>
  <si>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</si>
  <si>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</si>
  <si>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</si>
  <si>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</si>
  <si>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</si>
  <si>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</si>
  <si>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</si>
  <si>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</si>
  <si>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</si>
  <si>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</si>
  <si>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</si>
  <si>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</si>
  <si>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</si>
  <si>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</si>
  <si>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</si>
  <si>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</si>
  <si>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</si>
  <si>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</si>
  <si>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</si>
  <si>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</si>
  <si>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</si>
  <si>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</si>
  <si>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</si>
  <si>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</si>
  <si>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</si>
  <si>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</si>
  <si>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</si>
  <si>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</si>
  <si>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</si>
  <si>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</si>
  <si>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</si>
  <si>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</si>
  <si>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</si>
  <si>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</si>
  <si>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</si>
  <si>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</si>
  <si>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</si>
  <si>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</si>
  <si>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</si>
  <si>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</si>
  <si>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</si>
  <si>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</si>
  <si>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</si>
  <si>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</si>
  <si>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</si>
  <si>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</si>
  <si>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</si>
  <si>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</si>
  <si>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</si>
  <si>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</si>
  <si>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</si>
  <si>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</si>
  <si>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SUPPLIER_NO</t>
  </si>
  <si>
    <t>IS_ACTIVE</t>
  </si>
  <si>
    <t>varchar(50)</t>
  </si>
  <si>
    <t>RENBAN</t>
  </si>
  <si>
    <t>CONTAINER_NO</t>
  </si>
  <si>
    <t>DEVANNING_DATE</t>
  </si>
  <si>
    <t>START_DEVANNING_DATE</t>
  </si>
  <si>
    <t>datetime2(7)</t>
  </si>
  <si>
    <t>FINISH_DEVANNING_DATE</t>
  </si>
  <si>
    <t>STATUS</t>
  </si>
  <si>
    <t>CONT_SCHEDULE_ID</t>
  </si>
  <si>
    <t>SHOP</t>
  </si>
  <si>
    <t>varchar(1)</t>
  </si>
  <si>
    <t>SIGNAL_INDEX</t>
  </si>
  <si>
    <t>varchar(250)</t>
  </si>
  <si>
    <t>SIGNAL_PATTERN</t>
  </si>
  <si>
    <t>PROCESS</t>
  </si>
  <si>
    <t>SUB_PROCESS</t>
  </si>
  <si>
    <t>SIGNAL_CODE</t>
  </si>
  <si>
    <t>SIGNAL_DESCRIPTION</t>
  </si>
  <si>
    <t>varchar(500)</t>
  </si>
  <si>
    <t>PlcSignal</t>
  </si>
  <si>
    <t>PROD_LINE</t>
  </si>
  <si>
    <t>Master.LogA</t>
  </si>
  <si>
    <t>MstLgaPlcSignal</t>
  </si>
  <si>
    <t>LogA PLC Signal Master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</si>
</sst>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Border="1" applyAlignment="1">
      <alignment wrapText="1"/>
    </xf>
    <xf numFmtId="0" fontId="16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4"/>
  <sheetViews>
    <sheetView topLeftCell="A53" workbookViewId="0">
      <selection activeCell="C65" sqref="C65:E74"/>
    </sheetView>
  </sheetViews>
  <sheetFormatPr defaultRowHeight="15" x14ac:dyDescent="0.25"/>
  <cols>
    <col min="1" max="1" width="3.5703125" customWidth="1"/>
    <col min="2" max="2" width="18.5703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5703125" customWidth="1"/>
    <col min="14" max="18" width="18.5703125" customWidth="1"/>
  </cols>
  <sheetData>
    <row r="1" spans="1:7" ht="23.25" x14ac:dyDescent="0.35">
      <c r="A1" s="15" t="s">
        <v>74</v>
      </c>
    </row>
    <row r="2" spans="1:7" ht="15.75" x14ac:dyDescent="0.25">
      <c r="A2" s="1"/>
      <c r="B2" s="27" t="s">
        <v>196</v>
      </c>
    </row>
    <row r="3" spans="1:7" x14ac:dyDescent="0.25">
      <c r="A3" s="1"/>
      <c r="B3" s="1" t="s">
        <v>77</v>
      </c>
    </row>
    <row r="4" spans="1:7" x14ac:dyDescent="0.25">
      <c r="A4" s="1"/>
      <c r="B4" s="17" t="s">
        <v>76</v>
      </c>
    </row>
    <row r="5" spans="1:7" x14ac:dyDescent="0.25">
      <c r="A5" s="1"/>
      <c r="B5" s="17" t="s">
        <v>79</v>
      </c>
    </row>
    <row r="6" spans="1:7" x14ac:dyDescent="0.25">
      <c r="A6" s="1"/>
      <c r="B6" s="17" t="s">
        <v>87</v>
      </c>
    </row>
    <row r="7" spans="1:7" x14ac:dyDescent="0.25">
      <c r="A7" s="1"/>
      <c r="B7" s="17"/>
      <c r="C7" s="2" t="s">
        <v>97</v>
      </c>
      <c r="D7" s="2"/>
      <c r="E7" s="2"/>
      <c r="F7" s="2" t="s">
        <v>105</v>
      </c>
      <c r="G7" s="2" t="s">
        <v>285</v>
      </c>
    </row>
    <row r="8" spans="1:7" x14ac:dyDescent="0.25">
      <c r="A8" s="1"/>
      <c r="B8" s="17"/>
      <c r="C8" t="s">
        <v>89</v>
      </c>
      <c r="F8" s="1" t="s">
        <v>234</v>
      </c>
      <c r="G8" s="17" t="s">
        <v>234</v>
      </c>
    </row>
    <row r="9" spans="1:7" x14ac:dyDescent="0.25">
      <c r="A9" s="1"/>
      <c r="B9" s="17"/>
      <c r="C9" t="s">
        <v>88</v>
      </c>
      <c r="F9" s="1" t="s">
        <v>98</v>
      </c>
      <c r="G9" s="17" t="s">
        <v>98</v>
      </c>
    </row>
    <row r="10" spans="1:7" x14ac:dyDescent="0.25">
      <c r="A10" s="1"/>
      <c r="B10" s="17"/>
      <c r="D10" t="s">
        <v>89</v>
      </c>
      <c r="F10" s="1" t="s">
        <v>234</v>
      </c>
      <c r="G10" s="17" t="s">
        <v>286</v>
      </c>
    </row>
    <row r="11" spans="1:7" x14ac:dyDescent="0.25">
      <c r="A11" s="1"/>
      <c r="B11" s="17"/>
      <c r="D11" t="s">
        <v>90</v>
      </c>
      <c r="F11" s="1" t="s">
        <v>99</v>
      </c>
      <c r="G11" s="17" t="s">
        <v>287</v>
      </c>
    </row>
    <row r="12" spans="1:7" x14ac:dyDescent="0.25">
      <c r="A12" s="1"/>
      <c r="B12" s="17"/>
      <c r="D12" t="s">
        <v>91</v>
      </c>
      <c r="F12" s="1" t="s">
        <v>100</v>
      </c>
      <c r="G12" s="17" t="s">
        <v>288</v>
      </c>
    </row>
    <row r="13" spans="1:7" x14ac:dyDescent="0.25">
      <c r="A13" s="1"/>
      <c r="B13" s="17"/>
      <c r="D13" t="s">
        <v>92</v>
      </c>
      <c r="F13" s="1" t="s">
        <v>101</v>
      </c>
      <c r="G13" s="17" t="s">
        <v>289</v>
      </c>
    </row>
    <row r="14" spans="1:7" x14ac:dyDescent="0.25">
      <c r="A14" s="1"/>
      <c r="B14" s="17"/>
      <c r="D14" t="s">
        <v>93</v>
      </c>
      <c r="F14" s="1" t="s">
        <v>102</v>
      </c>
      <c r="G14" s="17" t="s">
        <v>290</v>
      </c>
    </row>
    <row r="15" spans="1:7" x14ac:dyDescent="0.25">
      <c r="A15" s="1"/>
      <c r="B15" s="17"/>
      <c r="D15" t="s">
        <v>94</v>
      </c>
      <c r="F15" s="1" t="s">
        <v>103</v>
      </c>
      <c r="G15" s="17" t="s">
        <v>291</v>
      </c>
    </row>
    <row r="16" spans="1:7" ht="12" customHeight="1" x14ac:dyDescent="0.25">
      <c r="A16" s="1"/>
      <c r="B16" s="17"/>
      <c r="D16" t="s">
        <v>271</v>
      </c>
      <c r="F16" s="1" t="s">
        <v>272</v>
      </c>
      <c r="G16" s="17" t="s">
        <v>292</v>
      </c>
    </row>
    <row r="17" spans="1:7" x14ac:dyDescent="0.25">
      <c r="A17" s="1"/>
      <c r="B17" s="17"/>
      <c r="C17" t="s">
        <v>91</v>
      </c>
      <c r="F17" s="1" t="s">
        <v>100</v>
      </c>
      <c r="G17" s="17" t="s">
        <v>100</v>
      </c>
    </row>
    <row r="18" spans="1:7" x14ac:dyDescent="0.25">
      <c r="A18" s="1"/>
      <c r="B18" s="17"/>
      <c r="D18" t="s">
        <v>95</v>
      </c>
      <c r="F18" s="1" t="s">
        <v>114</v>
      </c>
      <c r="G18" s="17" t="s">
        <v>293</v>
      </c>
    </row>
    <row r="19" spans="1:7" x14ac:dyDescent="0.25">
      <c r="A19" s="1"/>
      <c r="B19" s="17"/>
      <c r="D19" t="s">
        <v>96</v>
      </c>
      <c r="F19" s="1" t="s">
        <v>104</v>
      </c>
      <c r="G19" s="17" t="s">
        <v>294</v>
      </c>
    </row>
    <row r="20" spans="1:7" x14ac:dyDescent="0.25">
      <c r="A20" s="1"/>
      <c r="B20" s="17"/>
      <c r="C20" t="s">
        <v>92</v>
      </c>
      <c r="F20" s="1" t="s">
        <v>101</v>
      </c>
      <c r="G20" s="17" t="s">
        <v>101</v>
      </c>
    </row>
    <row r="21" spans="1:7" x14ac:dyDescent="0.25">
      <c r="A21" s="1"/>
      <c r="B21" s="17"/>
      <c r="C21" t="s">
        <v>93</v>
      </c>
      <c r="F21" s="1" t="s">
        <v>102</v>
      </c>
      <c r="G21" s="17" t="s">
        <v>102</v>
      </c>
    </row>
    <row r="22" spans="1:7" x14ac:dyDescent="0.25">
      <c r="A22" s="1"/>
      <c r="B22" s="17"/>
      <c r="C22" t="s">
        <v>271</v>
      </c>
      <c r="F22" s="1" t="s">
        <v>272</v>
      </c>
      <c r="G22" s="17" t="s">
        <v>272</v>
      </c>
    </row>
    <row r="23" spans="1:7" x14ac:dyDescent="0.25">
      <c r="A23" s="1"/>
      <c r="B23" s="17"/>
      <c r="D23" t="s">
        <v>273</v>
      </c>
      <c r="F23" s="1" t="s">
        <v>275</v>
      </c>
      <c r="G23" s="17" t="s">
        <v>295</v>
      </c>
    </row>
    <row r="24" spans="1:7" x14ac:dyDescent="0.25">
      <c r="A24" s="1"/>
      <c r="B24" s="17"/>
      <c r="D24" t="s">
        <v>276</v>
      </c>
      <c r="F24" s="1" t="s">
        <v>274</v>
      </c>
      <c r="G24" s="17" t="s">
        <v>296</v>
      </c>
    </row>
    <row r="25" spans="1:7" x14ac:dyDescent="0.25">
      <c r="A25" s="1"/>
      <c r="B25" s="17"/>
      <c r="D25" t="s">
        <v>277</v>
      </c>
      <c r="F25" s="1" t="s">
        <v>280</v>
      </c>
      <c r="G25" s="17" t="s">
        <v>297</v>
      </c>
    </row>
    <row r="26" spans="1:7" x14ac:dyDescent="0.25">
      <c r="A26" s="1"/>
      <c r="B26" s="17"/>
      <c r="D26" t="s">
        <v>278</v>
      </c>
      <c r="F26" s="1" t="s">
        <v>281</v>
      </c>
      <c r="G26" s="17" t="s">
        <v>298</v>
      </c>
    </row>
    <row r="27" spans="1:7" x14ac:dyDescent="0.25">
      <c r="A27" s="1"/>
      <c r="B27" s="17"/>
      <c r="D27" t="s">
        <v>279</v>
      </c>
      <c r="F27" s="1" t="s">
        <v>282</v>
      </c>
      <c r="G27" s="17" t="s">
        <v>299</v>
      </c>
    </row>
    <row r="28" spans="1:7" x14ac:dyDescent="0.25">
      <c r="A28" s="1"/>
      <c r="B28" s="17"/>
      <c r="D28" t="s">
        <v>284</v>
      </c>
      <c r="F28" s="1" t="s">
        <v>283</v>
      </c>
      <c r="G28" s="17" t="s">
        <v>300</v>
      </c>
    </row>
    <row r="29" spans="1:7" x14ac:dyDescent="0.25">
      <c r="A29" s="1"/>
      <c r="B29" s="17"/>
      <c r="F29" s="1"/>
    </row>
    <row r="30" spans="1:7" x14ac:dyDescent="0.25">
      <c r="A30" s="1"/>
      <c r="B30" s="17"/>
    </row>
    <row r="31" spans="1:7" x14ac:dyDescent="0.25">
      <c r="A31" s="1"/>
      <c r="B31" s="17" t="s">
        <v>86</v>
      </c>
    </row>
    <row r="32" spans="1:7" x14ac:dyDescent="0.25">
      <c r="A32" s="1"/>
      <c r="B32" s="17" t="s">
        <v>83</v>
      </c>
    </row>
    <row r="33" spans="1:14" x14ac:dyDescent="0.25">
      <c r="A33" s="1"/>
      <c r="B33" s="17"/>
      <c r="C33" s="19" t="s">
        <v>80</v>
      </c>
    </row>
    <row r="34" spans="1:14" x14ac:dyDescent="0.25">
      <c r="A34" s="1"/>
      <c r="B34" s="17"/>
      <c r="C34" s="18" t="s">
        <v>81</v>
      </c>
    </row>
    <row r="35" spans="1:14" x14ac:dyDescent="0.25">
      <c r="A35" s="1"/>
      <c r="B35" s="17"/>
      <c r="C35" s="18" t="s">
        <v>82</v>
      </c>
    </row>
    <row r="36" spans="1:14" x14ac:dyDescent="0.25">
      <c r="A36" s="1"/>
      <c r="B36" s="17" t="s">
        <v>106</v>
      </c>
      <c r="C36" s="18"/>
    </row>
    <row r="37" spans="1:14" x14ac:dyDescent="0.25">
      <c r="A37" s="1"/>
      <c r="B37" s="17"/>
      <c r="C37" s="18" t="s">
        <v>107</v>
      </c>
    </row>
    <row r="38" spans="1:14" x14ac:dyDescent="0.25">
      <c r="A38" s="1"/>
      <c r="B38" s="17"/>
      <c r="C38" s="18" t="s">
        <v>108</v>
      </c>
    </row>
    <row r="39" spans="1:14" x14ac:dyDescent="0.25">
      <c r="A39" s="1"/>
      <c r="B39" s="17"/>
      <c r="C39" s="18" t="s">
        <v>109</v>
      </c>
    </row>
    <row r="40" spans="1:14" x14ac:dyDescent="0.25">
      <c r="A40" s="1"/>
      <c r="B40" s="17"/>
      <c r="C40" s="18" t="s">
        <v>111</v>
      </c>
    </row>
    <row r="41" spans="1:14" x14ac:dyDescent="0.25">
      <c r="A41" s="1"/>
      <c r="B41" s="17"/>
      <c r="C41" s="18" t="s">
        <v>113</v>
      </c>
    </row>
    <row r="42" spans="1:14" x14ac:dyDescent="0.25">
      <c r="A42" s="1"/>
      <c r="B42" s="17"/>
      <c r="C42" s="18" t="s">
        <v>112</v>
      </c>
    </row>
    <row r="43" spans="1:14" x14ac:dyDescent="0.25">
      <c r="A43" s="1"/>
      <c r="B43" s="17"/>
      <c r="C43" s="18" t="s">
        <v>110</v>
      </c>
    </row>
    <row r="44" spans="1:14" ht="21" customHeight="1" x14ac:dyDescent="0.25">
      <c r="B44" s="21" t="s">
        <v>78</v>
      </c>
    </row>
    <row r="45" spans="1:14" ht="21" customHeight="1" x14ac:dyDescent="0.25">
      <c r="B45" s="63" t="s">
        <v>231</v>
      </c>
    </row>
    <row r="46" spans="1:14" ht="15.75" thickBot="1" x14ac:dyDescent="0.3">
      <c r="C46" s="1" t="s">
        <v>72</v>
      </c>
      <c r="D46" s="1" t="s">
        <v>207</v>
      </c>
      <c r="E46" s="1" t="s">
        <v>208</v>
      </c>
      <c r="F46" s="1" t="s">
        <v>198</v>
      </c>
      <c r="G46" s="1" t="s">
        <v>199</v>
      </c>
      <c r="H46" s="1" t="s">
        <v>200</v>
      </c>
      <c r="I46" s="1" t="s">
        <v>201</v>
      </c>
      <c r="J46" s="1" t="s">
        <v>205</v>
      </c>
      <c r="K46" s="1" t="s">
        <v>209</v>
      </c>
      <c r="L46" s="1" t="s">
        <v>210</v>
      </c>
      <c r="M46" s="1" t="s">
        <v>211</v>
      </c>
      <c r="N46" s="1" t="s">
        <v>227</v>
      </c>
    </row>
    <row r="47" spans="1:14" s="16" customFormat="1" ht="21.75" customHeight="1" thickBot="1" x14ac:dyDescent="0.3">
      <c r="B47" s="52" t="s">
        <v>226</v>
      </c>
      <c r="C47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vovina.Master.LogA
{
	[Table("MstLgaPlcSignal")]
	[Index(nameof(SignalIndex), Name="IX_MstLgaPlcSignal_SignalIndex")]
	[Index(nameof(ProdLine), Name="IX_MstLgaPlcSignal_ProdLine")]
	[Index(nameof(SignalCode), Name="IX_MstLgaPlcSignal_SignalCode")]
	[Index(nameof(IsActive), Name="IX_MstLgaPlcSignal_IsActive")]	public class MstLgaPlcSignal: FullAuditedEntity&lt;long&gt;, IEntity&lt;long&gt;	
	{
		public const int MaxSignalPatternLength = 250;
		public const int MaxProdLineLength = 50;
		public const int MaxProcessLength = 50;
		public const int MaxSubProcessLength = 50;
		public const int MaxSignalCodeLength = 50;
		public const int MaxSignalDescriptionLength = 500;
		public const int MaxIsActiveLength = 1;
		public virtual int SignalIndex { get; set; }
		[StringLength(MaxSignalPatternLength)]
		public virtual string SignalPattern { get; set; }
		[StringLength(MaxProdLineLength)]
		public virtual string ProdLine { get; set; }
		[StringLength(MaxProcessLength)]
		public virtual string Process { get; set; }
		[StringLength(MaxSubProcessLength)]
		public virtual string SubProcess { get; set; }
		[StringLength(MaxSignalCodeLength)]
		public virtual string SignalCode { get; set; }
		[StringLength(MaxSignalDescriptionLength)]
		public virtual string SignalDescription { get; set; }
		[StringLength(MaxIsActiveLength)]
		public virtual string IsActive { get; set; }
	}
}
</v>
      </c>
      <c r="D47" s="51" t="str">
        <f>A.Backend!O7</f>
        <v xml:space="preserve">		public const string Pages_Master_LogA_PlcSignal = "Pages.Master.LogA.PlcSignal";
		public const string Pages_Master_LogA_PlcSignal_CreateEdit = "Pages.Master.LogA.PlcSignal.CreateEdit";
		public const string Pages_Master_LogA_PlcSignal_Delete = "Pages.Master.LogA.PlcSignal.Delete";
</v>
      </c>
      <c r="E47" s="51" t="str">
        <f>A.Backend!N7</f>
        <v xml:space="preserve">		var perMstLgaPlcSignal = PARENTS.CreateChildPermission(AppPermissions.Pages_Master_LogA_PlcSignal, L( "MasterLogAPlcSignal"));
		perMstLgaPlcSignal.CreateChildPermission(AppPermissions.Pages_Master_LogA_PlcSignal_CreateEdit, L( "MasterLogAPlcSignalCreateEdit"));
		perMstLgaPlcSignal.CreateChildPermission(AppPermissions.Pages_Master_LogA_PlcSignal_Delete, L( "MasterLogAPlcSignalDelete"));</v>
      </c>
      <c r="F47" s="51" t="str">
        <f>A.Backend!K7</f>
        <v>public virtual DbSet&lt;MstLgaPlcSignal&gt; MstLgaPlcSignals { get; set; }</v>
      </c>
      <c r="G47" s="51" t="str">
        <f ca="1">A.Backend!L7</f>
        <v xml:space="preserve">namespace vovina.Master.LogA
{
	public class MstLgaPlcSignalConsts	
	{
		public const int MaxSignalPatternLength = 250;
		public const int MaxProdLineLength = 50;
		public const int MaxProcessLength = 50;
		public const int MaxSubProcessLength = 50;
		public const int MaxSignalCodeLength = 50;
		public const int MaxSignalDescriptionLength = 500;
		public const int MaxIsActiveLength = 1;
		// Define Store Name: Format SP_ + &lt;Store Name&gt; = &lt;Store Name&gt;
	}
}
</v>
      </c>
      <c r="H47" s="51" t="str">
        <f ca="1">A.Backend!M7</f>
        <v xml:space="preserve">using Abp.Application.Services.Dto;
using System;
using System.ComponentModel.DataAnnotations;
namespace vovina.Master.LogA.Dto
{
	public class MstLgaPlcSignalDto : EntityDto&lt;long?&gt;	
	{
		public virtual int SignalIndex { get; set; }
		public virtual string SignalPattern { get; set; }
		public virtual string ProdLine { get; set; }
		public virtual string Process { get; set; }
		public virtual string SubProcess { get; set; }
		public virtual string SignalCode { get; set; }
		public virtual string SignalDescription { get; set; }
		public virtual string IsActive { get; set; }
	}
	public class CreateOrEditMstLgaPlcSignalDto : EntityDto&lt;long?&gt;	
	{
		public virtual int SignalIndex { get; set; }
		[StringLength(MstLgaPlcSignalConsts.MaxSignalPatternLength)]
		public virtual string SignalPattern { get; set; }
		[StringLength(MstLgaPlcSignalConsts.MaxProdLineLength)]
		public virtual string ProdLine { get; set; }
		[StringLength(MstLgaPlcSignalConsts.MaxProcessLength)]
		public virtual string Process { get; set; }
		[StringLength(MstLgaPlcSignalConsts.MaxSubProcessLength)]
		public virtual string SubProcess { get; set; }
		[StringLength(MstLgaPlcSignalConsts.MaxSignalCodeLength)]
		public virtual string SignalCode { get; set; }
		[StringLength(MstLgaPlcSignalConsts.MaxSignalDescriptionLength)]
		public virtual string SignalDescription { get; set; }
		[StringLength(MstLgaPlcSignalConsts.MaxIsActiveLength)]
		public virtual string IsActive { get; set; }
	}
	public class GetMstLgaPlcSignalInput : PagedAndSortedResultRequestDto	
	{
		public virtual int SignalIndex { get; set; }
		public virtual string SignalPattern { get; set; }
		public virtual string ProdLine { get; set; }
		public virtual string Process { get; set; }
		public virtual string SubProcess { get; set; }
		public virtual string SignalCode { get; set; }
		public virtual string SignalDescription { get; set; }
		public virtual string IsActive { get; set; }
	}
}
</v>
      </c>
      <c r="I47" s="51" t="str">
        <f ca="1">A.Backend!R7</f>
        <v xml:space="preserve">using Abp.Application.Services.Dto;
using System;
using System.ComponentModel.DataAnnotations;
namespace vovina.Master.LogA.Dto
{
	public class MstLgaPlcSignalExportInput{
		public virtual int SignalIndex { get; set; }
		public virtual string SignalPattern { get; set; }
		public virtual string ProdLine { get; set; }
		public virtual string Process { get; set; }
		public virtual string SubProcess { get; set; }
		public virtual string SignalCode { get; set; }
		public virtual string SignalDescription { get; set; }
		public virtual string IsActive { get; set; }
	}
}
</v>
      </c>
      <c r="J47" s="51" t="str">
        <f>A.Backend!P7</f>
        <v xml:space="preserve">using Abp.Application.Services;
using Abp.Application.Services.Dto;
using System.Collections.Generic;using vovina.Dto;
using System.Threading.Tasks;
using vovina.Master.LogA.Dto;
namespace vovina.Master.LogA
{
	public interface IMstLgaPlcSignalAppService : IApplicationService
	{
		Task&lt;PagedResultDto&lt;MstLgaPlcSignalDto&gt;&gt; GetAll(GetMstLgaPlcSignalInput input);
		Task CreateOrEdit(CreateOrEditMstLgaPlcSignalDto input);
		Task Delete(EntityDto input);
	}
}
</v>
      </c>
      <c r="K47" s="51" t="str">
        <f>A.Backend!S7</f>
        <v xml:space="preserve">using Abp.Application.Services;
using Abp.Application.Services.Dto;
using System.Collections.Generic;using vovina.Dto;
using System.Threading.Tasks;
using vovina.Master.LogA.Dto;
namespace vovina.Master.LogA.Exporting
{
	public interface IMstLgaPlcSignalExcelExporter : IApplicationService
	{
		FileDto ExportToFile(List&lt;MstLgaPlcSignalDto&gt; mstlgaplcsignal);
	}
}
</v>
      </c>
      <c r="L47" s="51" t="str">
        <f ca="1">A.Backend!T7</f>
        <v>using System.Collections.Generic;
using vovina.DataExporting.Excel.NPOI;
using vovina.Dto;
using vovina.Master.LogA.Exporting;
using vovina.Master.LogA.Dto;
using vovina.Storage;
using vovina.Master.LogA.Dto;
namespace vovina.Master.LogA.Exporting
{
    public class MstLgaPlcSignalExcelExporter : NpoiExcelExporterBase, IMstLgaPlcSignalExcelExporter
    {
        public MstLgaPlcSignalExcelExporter(ITempFileCacheManager tempFileCacheManager) : base(tempFileCacheManager) { }
        public FileDto ExportToFile(List&lt;MstLgaPlcSignalDto&gt; plcsignal)
        {
            return CreateExcelPackage(
				"MasterLogAPlcSignal.xlsx",
				excelPackage =&gt;
				 {
					var sheet = excelPackage.CreateSheet("PlcSignal");
					AddHeader(
								sheet,
								("SignalIndex"),
								("SignalPattern"),
								("ProdLine"),
								("Process"),
								("SubProcess"),
								("SignalCode"),
								("SignalDescription"),
								("IsActive"),
							   );
					AddObjects(
						 sheet, 1, plcsignal,                                       
								_ =&gt; _.SignalIndex,
								_ =&gt; _.SignalPattern,
								_ =&gt; _.ProdLine,
								_ =&gt; _.Process,
								_ =&gt; _.SubProcess,
								_ =&gt; _.SignalCode,
								_ =&gt; _.SignalDescription,
								_ =&gt; _.IsActive,
								);
			for (var i = 0; i &lt; 8; i++)
				{
					sheet.AutoSizeColumn(i);
				}
			});
        }
    }
}</v>
      </c>
      <c r="M47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vovina.Master.LogA.Dto;
using vovina.Master.LogA.Exporting;
namespace vovina.Master.LogA
{
    [AbpAuthorize(AppPermissions.Pages_Master_LogA_PlcSignal)]
    public class MstLgaPlcSignalAppService : vovinaAppServiceBase, IMstLgaPlcSignalAppService
    {
        private readonly IDapperRepository&lt;MstLgaPlcSignal, long&gt; _dapperRepo;
        private readonly IRepository&lt;MstLgaPlcSignal, long&gt; _repo;
        private readonly IMstLgaPlcSignalExcelExporter _calendarListExcelExporter;
        public MstLgaPlcSignalAppService(IRepository&lt;MstLgaPlcSignal,long&gt; repo, 
                                         IDapperRepository&lt;MstLgaPlcSignal,long&gt; dapperRepo,
                                        IMstLgaPlcSignalExcelExporter calendarListExcelExporter
            )
        {
            _repo = repo;
            _dapperRepo = dapperRepo;
            _calendarListExcelExporter = calendarListExcelExporter;
        }
        [AbpAuthorize(AppPermissions.Pages_Master_LogA_PlcSignal_CreateEdit)]
        public async Task CreateOrEdit(CreateOrEditMstLgaPlcSignalDto input)
        {
            if (input.Id == null) await Create(input);
            else await Update(input);
        }
        //CREATE
        private async Task Create(CreateOrEditMstLgaPlcSignalDto input)
        {          
            var mainObj = ObjectMapper.Map&lt;MstLgaPlcSignal&gt;(input);
            await CurrentUnitOfWork.GetDbContext&lt;vovinaDbContext&gt;().AddAsync(mainObj);
        }
        // EDIT
        private async Task Update(CreateOrEditMstLgaPlcSignalDto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[AbpAuthorize(AppPermissions.Pages_Master_LogA_PlcSignal_Delete)]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Task&lt;PagedResultDto&lt;MstLgaPlcSignalDto&gt;&gt; GetAll(GetMstLgaPlcSignalInput input)
        {
            var filtered = _repo.GetAll()
				.WhereIf(!string.IsNullOrWhiteSpace(input.SignalPattern), e =&gt; e.SignalPattern.Contains(input.SignalPattern))
				.WhereIf(!string.IsNullOrWhiteSpace(input.ProdLine), e =&gt; e.ProdLine.Contains(input.ProdLine))
				.WhereIf(!string.IsNullOrWhiteSpace(input.Process), e =&gt; e.Process.Contains(input.Process))
				.WhereIf(!string.IsNullOrWhiteSpace(input.SubProcess), e =&gt; e.SubProcess.Contains(input.SubProcess))
				.WhereIf(!string.IsNullOrWhiteSpace(input.SignalCode), e =&gt; e.SignalCode.Contains(input.SignalCode))
				.WhereIf(!string.IsNullOrWhiteSpace(input.SignalDescription), e =&gt; e.SignalDescription.Contains(input.SignalDescription))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MstLgaPlcSignalDto
                        {
							Id = o.Id,
							SignalIndex = o.SignalIndex,
							SignalPattern = o.SignalPattern,
							ProdLine = o.ProdLine,
							Process = o.Process,
							SubProcess = o.SubProcess,
							SignalCode = o.SignalCode,
							SignalDescription = o.SignalDescription,
							IsActive = o.IsActive,
                        };
            var totalCount = await filtered.CountAsync();
			var paged = system.PageBy(input);
            return new PagedResultDto&lt;MstLgaPlcSignalDto&gt;(
                totalCount,
                 await paged.ToListAsync()
            );
        }
        public async Task&lt;FileDto&gt; GetPlcSignalToExcel(MstLgaPlcSignalExportInput input)
        {
            var query = from o in _repo.GetAll()
                        select new MstLgaPlcSignalDto
                        {
							Id = o.Id,
							SignalIndex = o.SignalIndex,
							SignalPattern = o.SignalPattern,
							ProdLine = o.ProdLine,
							Process = o.Process,
							SubProcess = o.SubProcess,
							SignalCode = o.SignalCode,
							SignalDescription = o.SignalDescription,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_dapperRepo.ExecuteAsync(MstLgaPlcSignalConsts.SP_MST_WPT_CALENDAR_GENERATE);
       // }
    }
}</v>
      </c>
      <c r="N47" s="62" t="str">
        <f>A.Backend!U7</f>
        <v xml:space="preserve">  configuration.CreateMap&lt;MstLgaPlcSignalDto, MstLgaPlcSignal&gt;();
  configuration.CreateMap&lt;MstLgaPlcSignal, MstLgaPlcSignalDto&gt;();
  configuration.CreateMap&lt;CreateOrEditMstLgaPlcSignalDto, MstLgaPlcSignal&gt;();</v>
      </c>
    </row>
    <row r="48" spans="1:14" s="16" customFormat="1" ht="21.75" customHeight="1" x14ac:dyDescent="0.25">
      <c r="C48" s="65"/>
      <c r="D48" s="29"/>
      <c r="E48" s="29"/>
      <c r="F48" s="29"/>
      <c r="G48" s="29"/>
      <c r="H48" s="66"/>
      <c r="I48" s="67"/>
      <c r="J48" s="29"/>
      <c r="K48" s="29"/>
      <c r="M48" s="66"/>
    </row>
    <row r="49" spans="2:13" s="16" customFormat="1" ht="21.75" customHeight="1" x14ac:dyDescent="0.25">
      <c r="C49" s="29"/>
      <c r="D49" s="29"/>
      <c r="E49" s="29"/>
      <c r="F49" s="29"/>
      <c r="G49" s="29"/>
      <c r="H49" s="29"/>
      <c r="J49" s="29"/>
      <c r="K49" s="29"/>
      <c r="M49" s="29"/>
    </row>
    <row r="50" spans="2:13" s="16" customFormat="1" ht="21.75" customHeight="1" x14ac:dyDescent="0.25">
      <c r="C50" s="29"/>
      <c r="D50" s="29"/>
      <c r="E50" s="29"/>
      <c r="G50" s="29"/>
      <c r="H50" s="29"/>
    </row>
    <row r="51" spans="2:13" x14ac:dyDescent="0.25">
      <c r="B51" s="1" t="s">
        <v>73</v>
      </c>
    </row>
    <row r="52" spans="2:13" ht="21" x14ac:dyDescent="0.35">
      <c r="B52" t="str">
        <f>B.Frontend!B8</f>
        <v>plcsignal</v>
      </c>
      <c r="C52" s="72" t="str">
        <f>"create folder " &amp;B52</f>
        <v>create folder plcsignal</v>
      </c>
      <c r="D52" s="72"/>
      <c r="E52" s="72"/>
      <c r="F52" s="72"/>
      <c r="G52" s="72"/>
      <c r="H52" s="72"/>
      <c r="I52" s="72"/>
      <c r="J52" s="72"/>
      <c r="K52" s="73" t="s">
        <v>228</v>
      </c>
      <c r="L52" s="73"/>
      <c r="M52" s="31"/>
    </row>
    <row r="53" spans="2:13" s="28" customFormat="1" ht="18" customHeight="1" x14ac:dyDescent="0.25">
      <c r="B53" s="60" t="s">
        <v>229</v>
      </c>
      <c r="C53" s="31" t="str">
        <f>B.Frontend!H14</f>
        <v>plcsignal.component.ts</v>
      </c>
      <c r="D53" s="31" t="str">
        <f>B.Frontend!I14</f>
        <v>plcsignal.component.html</v>
      </c>
      <c r="E53" s="31" t="str">
        <f>B.Frontend!J14</f>
        <v>plcsignal.component.less</v>
      </c>
      <c r="F53" s="31" t="str">
        <f>B.Frontend!K14</f>
        <v>create-or-edit-plcsignal-modal.component.html</v>
      </c>
      <c r="G53" s="31" t="str">
        <f>B.Frontend!L14</f>
        <v>create-or-edit-plcsignal-modal.component.ts</v>
      </c>
      <c r="H53" s="31" t="str">
        <f>B.Frontend!M14</f>
        <v>create-or-edit-plcsignal-modal.component.less</v>
      </c>
      <c r="I53" s="31" t="str">
        <f>B.Frontend!N14</f>
        <v>plcsignal.module.ts</v>
      </c>
      <c r="J53" s="31" t="str">
        <f>B.Frontend!O14</f>
        <v>plcsignal-routing.module.ts</v>
      </c>
      <c r="K53" s="31" t="str">
        <f>B.Frontend!P14</f>
        <v>app.navigation.service.ts</v>
      </c>
      <c r="L53" s="31" t="str">
        <f>B.Frontend!Q14</f>
        <v>main.routing.module.ts</v>
      </c>
      <c r="M53" s="60" t="s">
        <v>232</v>
      </c>
    </row>
    <row r="54" spans="2:13" ht="21.75" customHeight="1" x14ac:dyDescent="0.25">
      <c r="B54" s="61" t="s">
        <v>226</v>
      </c>
      <c r="C54" s="49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MstLgaPlcSignalDto, MstLgaPlcSignalServiceProxy } from '@shared/service-proxies/service-proxies';
import { finalize } from 'rxjs/internal/operators/finalize';
import { CreateOrEditPlcSignalModalComponent } from './create-or-edit-plcsignal-modal.component';
import { DatePipe } from '@angular/common';
import { FileDownloadService } from '@shared/utils/file-download.service';
import ceil from 'lodash-es/ceil';
import { Paginator } from 'primeng/paginator';
@Component({
    templateUrl: './plcsignal.component.html',
    styleUrls: ['./plcsignal.component.less'],
})
export class PlcSignalComponent extends AppComponentBase implements OnInit {
    @ViewChild('createOrEditModalPlcSignal', { static: true }) createOrEditModalPlcSignal:| CreateOrEditPlcSignalModalComponent|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MstLgaPlcSignalDto = new MstLgaPlcSignalDto();
    saveSelectedRow: MstLgaPlcSignalDto = new MstLgaPlcSignalDto();
    datas: MstLgaPlcSignalDto = new MstLgaPlcSignalDto();
    isLoading: boolean = false;
    dataParams: GridParams | undefined;
    rowData: any[] = [];
    gridApi!: GridApi;
    rowSelection = 'multiple';
    filter: string = '';
	pipe = new DatePipe('en-US');
	frameworkComponents: FrameworkComponent;
    signalIndex : number = 0 ;
	signalPattern : string = '' ; 
	prodLine : string = '' ; 
	process : string = '' ; 
	subProcess : string = '' ; 
	signalCode : string = '' ; 
signalDescription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MstLgaPlcSignalServiceProxy,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this.l('Signal Index'),headerTooltip: this.l('Signal Index'),field: 'signalIndex',flex: 1},
			{headerName: this.l('Signal Pattern'),headerTooltip: this.l('Signal Pattern'),field: 'signalPattern',flex: 1},
			{headerName: this.l('Prod Line'),headerTooltip: this.l('Prod Line'),field: 'prodLine',flex: 1},
			{headerName: this.l('Process'),headerTooltip: this.l('Process'),field: 'process',flex: 1},
			{headerName: this.l('Sub Process'),headerTooltip: this.l('Sub Process'),field: 'subProcess',flex: 1},
			{headerName: this.l('Signal Code'),headerTooltip: this.l('Signal Code'),field: 'signalCode',flex: 1},
			{headerName: this.l('Signal Description'),headerTooltip: this.l('Signal Description'),field: 'signalDescription',flex: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this.signalIndex,
			this.signalPattern,
			this.prodLine,
			this.process,
			this.subProcess,
			this.signalCode,
			this.signalDescription,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this.signalIndex = 0,
		this.signalPattern = '',
		this.prodLine = '',
		this.process = '',
		this.subProcess = '',
		this.signalCode = '',
this.signalDescription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this.signalIndex,
			this.signalPattern,
			this.prodLine,
			this.process,
			this.subProcess,
			this.signalCode,
			this.signalDescription,
			this.isActive,
			'',
            this.paginationParams.skipCount,
            this.paginationParams.pageSize
        );
    }
    onChangeRowSelection(params: { api: { getSelectedRows: () =&gt; MstLgaPlcSignalDto[] } }) {
        this.saveSelectedRow = params.api.getSelectedRows()[0] ?? new MstLgaPlcSignalDto();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MstLgaPlcSignalDto):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this._service.getPlcSignalToExcel(
			this.signalIndex,
			this.signalPattern,
			this.prodLine,
			this.process,
			this.subProcess,
			this.signalCode,
			this.signalDescription,
			this.isActive,
            )
            .subscribe((result) =&gt; {
                this._fileDownloadService.downloadTempFile(result);
        });
    }
}</v>
      </c>
      <c r="D54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LogA PLC Signal Master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[(ngModel)]='signalPattern' name='signalPattern'
									class='form-control' [placeholder]="l('Signal Pattern')"
									type='text' (keyup.enter)='searchDatas()'&gt;
								&lt;/div&gt;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[(ngModel)]='process' name='process'
									class='form-control' [placeholder]="l('Process')"
									type='text' (keyup.enter)='searchDatas()'&gt;
								&lt;/div&gt;
								&lt;div class='input-search'&gt;
									&lt;input [(ngModel)]='subProcess' name='subProcess'
									class='form-control' [placeholder]="l('Sub Process')"
									type='text' (keyup.enter)='searchDatas()'&gt;
								&lt;/div&gt;
								&lt;div class='input-search'&gt;
									&lt;input [(ngModel)]='signalCode' name='signalCode'
									class='form-control' [placeholder]="l('Signal Code')"
									type='text' (keyup.enter)='searchDatas()'&gt;
								&lt;/div&gt;
								&lt;div class='input-search'&gt;
									&lt;input [(ngModel)]='signalDescription' name='signalDescription'
									class='form-control' [placeholder]="l('Signal Description')"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(click)="createOrEditModalPlcSignal.show()"&gt;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(click)="createOrEditModalPlcSignal.show(selectedRow)"&gt;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&lt;create-or-edit-plcsignal-modal
    #createOrEditModalPlcSignal
    (modalSave)="callBackDataGrid(dataParams)"
    (modalClose)="onChangeRowSelection(dataParams)"
&gt;
&lt;/create-or-edit-plcsignal-modal&gt;</v>
      </c>
      <c r="E54" s="49" t="str">
        <f>B.Frontend!J10</f>
        <v>.input-search{
    width: 250px;
    border-radius: 10px;
    margin-left: 10px;
}
.btn-search{
    width: 50px;
    margin-left: 10px;
}</v>
      </c>
      <c r="F54" s="49" t="str">
        <f ca="1">B.Frontend!K10</f>
        <v>&lt;div bsModal #createOrEditModalPlcSignal="bs-modal"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PlcSignal')}}&lt;/h3&gt;
                    &lt;h3 *ngIf="!rowdata.id"&gt;{{('Create New PlcSignal')}}&lt;/h3&gt;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title'&gt;Signal Index&lt;/label&gt;
						&lt;input type='number' class='col-md-10 form-control input-text' name='SignalIndex' [(ngModel)]='rowdata.signalIndex'&gt;
					&lt;/div&gt;
					&lt;div class='col-md-12 form-group row'&gt;
						&lt;label class='col-md-2 form-control title'&gt;Signal Pattern&lt;/label&gt;
						&lt;input type='text' class='col-md-10 form-control input-text' name='SignalPattern' [(ngModel)]='rowdata.signalPattern'&gt;
					&lt;/div&gt;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title'&gt;Process&lt;/label&gt;
						&lt;input type='text' class='col-md-10 form-control input-text' name='Process' [(ngModel)]='rowdata.process'&gt;
					&lt;/div&gt;
					&lt;div class='col-md-12 form-group row'&gt;
						&lt;label class='col-md-2 form-control title'&gt;Sub Process&lt;/label&gt;
						&lt;input type='text' class='col-md-10 form-control input-text' name='SubProcess' [(ngModel)]='rowdata.subProcess'&gt;
					&lt;/div&gt;
					&lt;div class='col-md-12 form-group row'&gt;
						&lt;label class='col-md-2 form-control title'&gt;Signal Code&lt;/label&gt;
						&lt;input type='text' class='col-md-10 form-control input-text' name='SignalCode' [(ngModel)]='rowdata.signalCode'&gt;
					&lt;/div&gt;
					&lt;div class='col-md-12 form-group row'&gt;
						&lt;label class='col-md-2 form-control title'&gt;Signal Description&lt;/label&gt;
						&lt;input type='text' class='col-md-10 form-control input-text' name='SignalDescription' [(ngModel)]='rowdata.signalDescription'&gt;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54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CreateOrEditMstLgaPlcSignalDto, MstLgaPlcSignalServiceProxy } from '@shared/service-proxies/service-proxies';
import { BsDatepickerDirective } from 'ngx-bootstrap/datepicker';
@Component({
    selector: 'create-or-edit-plcsignal-modal',
    templateUrl: './create-or-edit-plcsignal-modal.component.html',
    styleUrls: ['./create-or-edit-plcsignal-modal.component.less']
    })
export class CreateOrEditPlcSignalModalComponent extends AppComponentBase {
    @ViewChild('createOrEditModalPlcSignal',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CreateOrEditMstLgaPlcSignalDto = new CreateOrEditMstLgaPlcSignalDto();
    active: boolean = false;
    saving: boolean = false;
    _isActive: boolean;
    constructor(
        injector: Injector,
        private _mstwptPlcSignalService: MstLgaPlcSignalServiceProxy,
    ) 
    {
        super(injector);
    }
    show(rowdata?: CreateOrEditMstLgaPlcSignalDto): void {
        if (!rowdata) this.rowdata = new CreateOrEditMstLgaPlcSignalDto();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this._mstwptPlcSignalService.createOrEdit(this.rowdata)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54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54" s="49" t="str">
        <f>B.Frontend!N10</f>
        <v>import {NgModule} from '@angular/core';
import {AppSharedModule} from '@app/shared/app-shared.module';
import { PlcSignalRoutingModule } from './plcsignal-routing.module';
import { PlcSignalComponent } from './plcsignal.component';
import { CreateOrEditPlcSignalModalComponent } from './create-or-edit-plcsignal-modal.component';
@NgModule({
    declarations: [
       PlcSignalComponent, 
        CreateOrEditPlcSignalModalComponent
    ],
    imports: [
        AppSharedModule, PlcSignalRoutingModule]
})
export class PlcSignalModule {}</v>
      </c>
      <c r="J54" s="49" t="str">
        <f>B.Frontend!O10</f>
        <v>import {NgModule} from '@angular/core';
import {RouterModule, Routes} from '@angular/router';
import { PlcSignalComponent } from './plcsignal.component';
const routes: Routes = [{
    path: '',
    component: PlcSignalComponent,
    pathMatch: 'full'
}];
@NgModule({
    imports: [RouterModule.forChild(routes)],
    exports: [RouterModule],
})
export class PlcSignalRoutingModule {}</v>
      </c>
      <c r="K54" s="49" t="str">
        <f>B.Frontend!P10</f>
        <v xml:space="preserve"> new AppMenuItem("PlcSignal", "Pages.Master.LogA.PlcSignal", "flaticon-book",   "/app/main/master/loga/plcsignal"),</v>
      </c>
      <c r="L54" s="50" t="str">
        <f>B.Frontend!Q10</f>
        <v>{
    path: 'master/loga/plcsignal',
    loadChildren: () =&gt; import('./master/loga/plcsignal/plcsignal.module').then(m =&gt; m.PlcSignalModule),
    data: { permission: 'Pages.Master.LogA.PlcSignal' }
},</v>
      </c>
      <c r="M54" s="48" t="str">
        <f>B.Frontend!R10</f>
        <v>ApiServiceProxies.MstLgaPlcSignalServiceProxy,</v>
      </c>
    </row>
    <row r="56" spans="2:13" x14ac:dyDescent="0.25">
      <c r="B56" s="1" t="s">
        <v>75</v>
      </c>
    </row>
    <row r="65" spans="3:5" x14ac:dyDescent="0.25">
      <c r="C65" t="s">
        <v>305</v>
      </c>
      <c r="D65" t="s">
        <v>303</v>
      </c>
      <c r="E65" t="s">
        <v>1</v>
      </c>
    </row>
    <row r="66" spans="3:5" x14ac:dyDescent="0.25">
      <c r="C66" t="s">
        <v>304</v>
      </c>
      <c r="D66" t="s">
        <v>303</v>
      </c>
      <c r="E66" t="s">
        <v>1</v>
      </c>
    </row>
    <row r="67" spans="3:5" x14ac:dyDescent="0.25">
      <c r="C67" t="s">
        <v>301</v>
      </c>
      <c r="D67" t="s">
        <v>303</v>
      </c>
      <c r="E67" t="s">
        <v>1</v>
      </c>
    </row>
    <row r="68" spans="3:5" x14ac:dyDescent="0.25">
      <c r="C68" t="s">
        <v>306</v>
      </c>
      <c r="D68" t="s">
        <v>2</v>
      </c>
      <c r="E68" t="s">
        <v>1</v>
      </c>
    </row>
    <row r="69" spans="3:5" x14ac:dyDescent="0.25">
      <c r="C69" t="s">
        <v>307</v>
      </c>
      <c r="D69" t="s">
        <v>308</v>
      </c>
      <c r="E69" t="s">
        <v>1</v>
      </c>
    </row>
    <row r="70" spans="3:5" x14ac:dyDescent="0.25">
      <c r="C70" t="s">
        <v>309</v>
      </c>
      <c r="D70" t="s">
        <v>308</v>
      </c>
      <c r="E70" t="s">
        <v>1</v>
      </c>
    </row>
    <row r="71" spans="3:5" x14ac:dyDescent="0.25">
      <c r="C71" t="s">
        <v>310</v>
      </c>
      <c r="D71" t="s">
        <v>303</v>
      </c>
      <c r="E71" t="s">
        <v>1</v>
      </c>
    </row>
    <row r="72" spans="3:5" x14ac:dyDescent="0.25">
      <c r="C72" t="s">
        <v>311</v>
      </c>
      <c r="D72" t="s">
        <v>4</v>
      </c>
      <c r="E72" t="s">
        <v>1</v>
      </c>
    </row>
    <row r="73" spans="3:5" x14ac:dyDescent="0.25">
      <c r="C73" t="s">
        <v>312</v>
      </c>
      <c r="D73" t="s">
        <v>303</v>
      </c>
      <c r="E73" t="s">
        <v>1</v>
      </c>
    </row>
    <row r="74" spans="3:5" x14ac:dyDescent="0.25">
      <c r="C74" t="s">
        <v>302</v>
      </c>
      <c r="D74" t="s">
        <v>303</v>
      </c>
      <c r="E74" t="s">
        <v>1</v>
      </c>
    </row>
  </sheetData>
  <mergeCells count="2">
    <mergeCell ref="C52:J52"/>
    <mergeCell ref="K52:L52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8"/>
  <sheetViews>
    <sheetView tabSelected="1" workbookViewId="0">
      <pane xSplit="1" topLeftCell="B1" activePane="topRight" state="frozen"/>
      <selection pane="topRight" activeCell="B9" sqref="B9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5703125" style="8" customWidth="1"/>
    <col min="19" max="19" width="20.5703125" style="8" customWidth="1"/>
    <col min="20" max="20" width="17" style="8" customWidth="1"/>
    <col min="21" max="21" width="14" style="8" customWidth="1"/>
    <col min="22" max="22" width="15.140625" style="8" customWidth="1"/>
    <col min="23" max="23" width="27.85546875" style="9" customWidth="1"/>
    <col min="24" max="16384" width="9.140625" style="8"/>
  </cols>
  <sheetData>
    <row r="1" spans="1:23" s="11" customFormat="1" ht="14.25" customHeight="1" x14ac:dyDescent="0.2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vovina.Master.LogA.Dto;</v>
      </c>
      <c r="E1" s="10" t="s">
        <v>266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258</v>
      </c>
      <c r="U1" s="10" t="s">
        <v>230</v>
      </c>
      <c r="W1" s="10"/>
    </row>
    <row r="2" spans="1:23" s="11" customFormat="1" x14ac:dyDescent="0.25">
      <c r="A2" s="1" t="s">
        <v>12</v>
      </c>
      <c r="B2" s="30" t="s">
        <v>324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257</v>
      </c>
    </row>
    <row r="3" spans="1:23" s="11" customFormat="1" ht="33" customHeight="1" x14ac:dyDescent="0.25">
      <c r="A3" s="1" t="s">
        <v>5</v>
      </c>
      <c r="B3" s="30" t="s">
        <v>325</v>
      </c>
      <c r="C3" s="10" t="s">
        <v>43</v>
      </c>
      <c r="D3" s="10" t="s">
        <v>44</v>
      </c>
      <c r="E3" s="10" t="s">
        <v>39</v>
      </c>
      <c r="F3" s="11" t="str">
        <f>"J"&amp;COUNTA($A:$A)</f>
        <v>J16</v>
      </c>
      <c r="G3" s="4" t="s">
        <v>57</v>
      </c>
      <c r="H3" s="10" t="str">
        <f>"I"&amp;COUNTA($A:$A)</f>
        <v>I16</v>
      </c>
      <c r="I3" s="10" t="str">
        <f>REPT(CHAR(9),2)&amp;"[Required]"&amp;"
"</f>
        <v xml:space="preserve">		[Required]
</v>
      </c>
      <c r="J3" s="11" t="str">
        <f>"L"&amp;COUNTA($A:$A)</f>
        <v>L16</v>
      </c>
      <c r="K3" s="5" t="s">
        <v>56</v>
      </c>
      <c r="L3" s="11" t="str">
        <f>"M"&amp;COUNTA($A:$A)</f>
        <v>M16</v>
      </c>
      <c r="M3" s="11" t="str">
        <f>"N"&amp;COUNTA($A:$A)</f>
        <v>N16</v>
      </c>
      <c r="N3" s="11" t="str">
        <f>"O"&amp;COUNTA($A:$A)</f>
        <v>O16</v>
      </c>
      <c r="O3" s="11" t="str">
        <f>"P"&amp;COUNTA($A:$A)</f>
        <v>P16</v>
      </c>
      <c r="Q3" s="11" t="str">
        <f>RIGHT(B2,(LEN(B2)-FIND(".",B2,1)))</f>
        <v>LogA</v>
      </c>
      <c r="R3" s="32" t="str">
        <f>REPT(CHAR(9),1)&amp;"public class "&amp;B3&amp;"ExportInput"&amp;C3</f>
        <v xml:space="preserve">	public class MstLgaPlcSignalExportInput{
</v>
      </c>
      <c r="S3" s="11" t="str">
        <f>"namespace "&amp;$B$6&amp;".Exporting
"&amp;$C$3</f>
        <v xml:space="preserve">namespace vovina.Master.LogA.Exporting
{
</v>
      </c>
      <c r="T3" s="11" t="str">
        <f>"T"&amp;COUNTA($A:$A)</f>
        <v>T16</v>
      </c>
      <c r="V3" s="11" t="str">
        <f>"V"&amp;COUNTA($A:$A)</f>
        <v>V16</v>
      </c>
      <c r="W3" s="10" t="str">
        <f>"W"&amp;COUNTA($A:$A)</f>
        <v>W16</v>
      </c>
    </row>
    <row r="4" spans="1:23" s="11" customFormat="1" ht="33" customHeight="1" x14ac:dyDescent="0.25">
      <c r="A4" s="1" t="s">
        <v>237</v>
      </c>
      <c r="B4" s="64" t="s">
        <v>88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25">
      <c r="A5" s="1" t="s">
        <v>238</v>
      </c>
      <c r="B5" s="64" t="s">
        <v>322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16.5" customHeight="1" x14ac:dyDescent="0.25">
      <c r="A6" s="1" t="s">
        <v>6</v>
      </c>
      <c r="B6" s="10" t="str">
        <f>"vovina."&amp;B2</f>
        <v>vovina.Master.LogA</v>
      </c>
      <c r="C6" s="11" t="str">
        <f>"namespace "&amp;$B$6&amp;"
"&amp;$C$3</f>
        <v xml:space="preserve">namespace vovina.Master.LogA
{
</v>
      </c>
      <c r="D6" s="11" t="str">
        <f>REPT(CHAR(9),1)&amp;"public class "&amp;B3&amp;G3&amp;REPT(CHAR(9),1)&amp;"
"&amp;REPT(CHAR(9),1)&amp;C3</f>
        <v xml:space="preserve">	public class MstLgaPlcSignal: FullAuditedEntity&lt;long&gt;, IEntity&lt;long&gt;	
	{
</v>
      </c>
      <c r="E6" s="11" t="str">
        <f>REPT(CHAR(9),1)&amp;"public class "&amp;B3&amp;"Consts"&amp;REPT(CHAR(9),1)&amp;"
"&amp;REPT(CHAR(9),1)&amp;C3</f>
        <v xml:space="preserve">	public class MstLgaPlcSignalConsts	
	{
</v>
      </c>
      <c r="F6" s="11" t="str">
        <f>REPT(CHAR(9),1)&amp;"public class "&amp;B3&amp;"Dto"&amp;K3&amp;REPT(CHAR(9),1)&amp;"
"&amp;REPT(CHAR(9),1)&amp;C3</f>
        <v xml:space="preserve">	public class MstLgaPlcSignalDto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CreateOrEditMstLgaPlcSignalDto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GetMstLgaPlcSignalInput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15.75" customHeight="1" x14ac:dyDescent="0.25">
      <c r="A7" s="1" t="s">
        <v>13</v>
      </c>
      <c r="B7" s="10" t="str">
        <f>B3</f>
        <v>MstLgaPlcSignal</v>
      </c>
      <c r="C7" s="11" t="str">
        <f>REPT(CHAR(9),1)&amp;"[Table("""&amp;B7&amp;""")]"&amp;"
"</f>
        <v xml:space="preserve">	[Table("MstLgaPlcSignal")]
</v>
      </c>
      <c r="D7" s="11"/>
      <c r="E7" s="11"/>
      <c r="F7" s="11"/>
      <c r="G7" s="11"/>
      <c r="H7" s="11"/>
      <c r="I7" s="11"/>
      <c r="J7" s="6" t="str">
        <f ca="1">SUBSTITUTE(SUBSTITUTE((B1&amp;C6&amp;C7&amp;K18&amp;D6&amp;I18&amp;E3&amp;J18&amp;""&amp;REPT(CHAR(9),1)&amp;D3&amp;D3),"WorkingPattern",$Q$3),"Master",$B$4)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vovina.Master.LogA
{
	[Table("MstLgaPlcSignal")]
	[Index(nameof(SignalIndex), Name="IX_MstLgaPlcSignal_SignalIndex")]
	[Index(nameof(ProdLine), Name="IX_MstLgaPlcSignal_ProdLine")]
	[Index(nameof(SignalCode), Name="IX_MstLgaPlcSignal_SignalCode")]
	[Index(nameof(IsActive), Name="IX_MstLgaPlcSignal_IsActive")]	public class MstLgaPlcSignal: FullAuditedEntity&lt;long&gt;, IEntity&lt;long&gt;	
	{
		public const int MaxSignalPatternLength = 250;
		public const int MaxProdLineLength = 50;
		public const int MaxProcessLength = 50;
		public const int MaxSubProcessLength = 50;
		public const int MaxSignalCodeLength = 50;
		public const int MaxSignalDescriptionLength = 500;
		public const int MaxIsActiveLength = 1;
		public virtual int SignalIndex { get; set; }
		[StringLength(MaxSignalPatternLength)]
		public virtual string SignalPattern { get; set; }
		[StringLength(MaxProdLineLength)]
		public virtual string ProdLine { get; set; }
		[StringLength(MaxProcessLength)]
		public virtual string Process { get; set; }
		[StringLength(MaxSubProcessLength)]
		public virtual string SubProcess { get; set; }
		[StringLength(MaxSignalCodeLength)]
		public virtual string SignalCode { get; set; }
		[StringLength(MaxSignalDescriptionLength)]
		public virtual string SignalDescription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DbSet&lt;MstLgaPlcSignal&gt; MstLgaPlcSignals { get; set; }</v>
      </c>
      <c r="L7" t="str">
        <f ca="1">SUBSTITUTE(SUBSTITUTE((C6&amp;E6&amp;I18&amp;"
"&amp;REPT(CHAR(9),2)&amp;"// Define Store Name: Format SP_ + &lt;Store Name&gt; = &lt;Store Name&gt;
"&amp;E3&amp;REPT(CHAR(9),1)&amp;D3&amp;D3),"WorkingPattern",$Q$3),"Master",$B$4)</f>
        <v xml:space="preserve">namespace vovina.Master.LogA
{
	public class MstLgaPlcSignalConsts	
	{
		public const int MaxSignalPatternLength = 250;
		public const int MaxProdLineLength = 50;
		public const int MaxProcessLength = 50;
		public const int MaxSubProcessLength = 50;
		public const int MaxSignalCodeLength = 50;
		public const int MaxSignalDescriptionLength = 500;
		public const int MaxIsActiveLength = 1;
		// Define Store Name: Format SP_ + &lt;Store Name&gt; = &lt;Store Name&gt;
	}
}
</v>
      </c>
      <c r="M7" t="str">
        <f ca="1">SUBSTITUTE(SUBSTITUTE((C1&amp;"namespace "&amp;B6&amp;".Dto"&amp;E3&amp;C3&amp;F6&amp;M18&amp;E3&amp;REPT(CHAR(9),1)&amp;D3&amp;G6&amp;N18&amp;REPT(CHAR(9),1)&amp;D3&amp;H6&amp;O18&amp;"
"&amp;REPT(CHAR(9),1)&amp;D3&amp;D3),"WorkingPattern",$Q$3),"Master",$B$4)</f>
        <v xml:space="preserve">using Abp.Application.Services.Dto;
using System;
using System.ComponentModel.DataAnnotations;
namespace vovina.Master.LogA.Dto
{
	public class MstLgaPlcSignalDto : EntityDto&lt;long?&gt;	
	{
		public virtual int SignalIndex { get; set; }
		public virtual string SignalPattern { get; set; }
		public virtual string ProdLine { get; set; }
		public virtual string Process { get; set; }
		public virtual string SubProcess { get; set; }
		public virtual string SignalCode { get; set; }
		public virtual string SignalDescription { get; set; }
		public virtual string IsActive { get; set; }
	}
	public class CreateOrEditMstLgaPlcSignalDto : EntityDto&lt;long?&gt;	
	{
		public virtual int SignalIndex { get; set; }
		[StringLength(MstLgaPlcSignalConsts.MaxSignalPatternLength)]
		public virtual string SignalPattern { get; set; }
		[StringLength(MstLgaPlcSignalConsts.MaxProdLineLength)]
		public virtual string ProdLine { get; set; }
		[StringLength(MstLgaPlcSignalConsts.MaxProcessLength)]
		public virtual string Process { get; set; }
		[StringLength(MstLgaPlcSignalConsts.MaxSubProcessLength)]
		public virtual string SubProcess { get; set; }
		[StringLength(MstLgaPlcSignalConsts.MaxSignalCodeLength)]
		public virtual string SignalCode { get; set; }
		[StringLength(MstLgaPlcSignalConsts.MaxSignalDescriptionLength)]
		public virtual string SignalDescription { get; set; }
		[StringLength(MstLgaPlcSignalConsts.MaxIsActiveLength)]
		public virtual string IsActive { get; set; }
	}
	public class GetMstLgaPlcSignalInput : PagedAndSortedResultRequestDto	
	{
		public virtual int SignalIndex { get; set; }
		public virtual string SignalPattern { get; set; }
		public virtual string ProdLine { get; set; }
		public virtual string Process { get; set; }
		public virtual string SubProcess { get; set; }
		public virtual string SignalCode { get; set; }
		public virtual string SignalDescription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"""&amp;SUBSTITUTE(B2,".","")&amp;B5&amp;"""));"
&amp;E3&amp;REPT(CHAR(9),2)&amp;"per"&amp;B3&amp;".CreateChildPermission(AppPermissions.Pages_"&amp;SUBSTITUTE(B2,".","_")&amp;"_"&amp;B5&amp;"_CreateEdit, L( """&amp;SUBSTITUTE(B2,".","")&amp;B5&amp;"CreateEdit"&amp;"""));"
&amp;E3&amp;REPT(CHAR(9),2)&amp;"per"&amp;B3&amp;".CreateChildPermission(AppPermissions.Pages_"&amp;SUBSTITUTE(B2,".","_")&amp;"_"&amp;B5&amp;"_Delete, L( """&amp;SUBSTITUTE(B2,".","")&amp;B5&amp;"Delete"&amp;"""));"),"WorkingPattern",$Q$3),"Master",$B$4)</f>
        <v xml:space="preserve">		var perMstLgaPlcSignal = PARENTS.CreateChildPermission(AppPermissions.Pages_Master_LogA_PlcSignal, L( "MasterLogAPlcSignal"));
		perMstLgaPlcSignal.CreateChildPermission(AppPermissions.Pages_Master_LogA_PlcSignal_CreateEdit, L( "MasterLogAPlcSignalCreateEdit"));
		perMstLgaPlcSignal.CreateChildPermission(AppPermissions.Pages_Master_LogA_PlcSignal_Delete, L( "MasterLogAPlcSignalDelete"));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Pages_Master_LogA_PlcSignal = "Pages.Master.LogA.PlcSignal";
		public const string Pages_Master_LogA_PlcSignal_CreateEdit = "Pages.Master.LogA.PlcSignal.CreateEdit";
		public const string Pages_Master_LogA_PlcSignal_Delete = "Pages.Master.LogA.PlcSignal.Delete";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vovina.Master.LogA.Dto;
namespace vovina.Master.LogA
{
	public interface IMstLgaPlcSignalAppService : IApplicationService
	{
		Task&lt;PagedResultDto&lt;MstLgaPlcSignalDto&gt;&gt; GetAll(GetMstLgaPlcSignalInput input);
		Task CreateOrEdit(CreateOrEditMstLgaPlcSignalDto input);
		Task Delete(EntityDto input);
	}
}
</v>
      </c>
      <c r="Q7" t="str">
        <f ca="1">SUBSTITUTE(SUBSTITUTE(SUBSTITUTE(SUBSTITUTE(SUBSTITUTE(SUBSTITUTE(E1,"MstWptCalendar",$B$3),"&lt;PROPERTIES&gt;",P18),"Calendar",$B$5),"WorkingPattern",$Q$3),"Master",$B$4),"&lt;PARAMS_SEARCH&gt;",$W$18)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vovina.Master.LogA.Dto;
using vovina.Master.LogA.Exporting;
namespace vovina.Master.LogA
{
    [AbpAuthorize(AppPermissions.Pages_Master_LogA_PlcSignal)]
    public class MstLgaPlcSignalAppService : vovinaAppServiceBase, IMstLgaPlcSignalAppService
    {
        private readonly IDapperRepository&lt;MstLgaPlcSignal, long&gt; _dapperRepo;
        private readonly IRepository&lt;MstLgaPlcSignal, long&gt; _repo;
        private readonly IMstLgaPlcSignalExcelExporter _calendarListExcelExporter;
        public MstLgaPlcSignalAppService(IRepository&lt;MstLgaPlcSignal,long&gt; repo, 
                                         IDapperRepository&lt;MstLgaPlcSignal,long&gt; dapperRepo,
                                        IMstLgaPlcSignalExcelExporter calendarListExcelExporter
            )
        {
            _repo = repo;
            _dapperRepo = dapperRepo;
            _calendarListExcelExporter = calendarListExcelExporter;
        }
        [AbpAuthorize(AppPermissions.Pages_Master_LogA_PlcSignal_CreateEdit)]
        public async Task CreateOrEdit(CreateOrEditMstLgaPlcSignalDto input)
        {
            if (input.Id == null) await Create(input);
            else await Update(input);
        }
        //CREATE
        private async Task Create(CreateOrEditMstLgaPlcSignalDto input)
        {          
            var mainObj = ObjectMapper.Map&lt;MstLgaPlcSignal&gt;(input);
            await CurrentUnitOfWork.GetDbContext&lt;vovinaDbContext&gt;().AddAsync(mainObj);
        }
        // EDIT
        private async Task Update(CreateOrEditMstLgaPlcSignalDto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[AbpAuthorize(AppPermissions.Pages_Master_LogA_PlcSignal_Delete)]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Task&lt;PagedResultDto&lt;MstLgaPlcSignalDto&gt;&gt; GetAll(GetMstLgaPlcSignalInput input)
        {
            var filtered = _repo.GetAll()
				.WhereIf(!string.IsNullOrWhiteSpace(input.SignalPattern), e =&gt; e.SignalPattern.Contains(input.SignalPattern))
				.WhereIf(!string.IsNullOrWhiteSpace(input.ProdLine), e =&gt; e.ProdLine.Contains(input.ProdLine))
				.WhereIf(!string.IsNullOrWhiteSpace(input.Process), e =&gt; e.Process.Contains(input.Process))
				.WhereIf(!string.IsNullOrWhiteSpace(input.SubProcess), e =&gt; e.SubProcess.Contains(input.SubProcess))
				.WhereIf(!string.IsNullOrWhiteSpace(input.SignalCode), e =&gt; e.SignalCode.Contains(input.SignalCode))
				.WhereIf(!string.IsNullOrWhiteSpace(input.SignalDescription), e =&gt; e.SignalDescription.Contains(input.SignalDescription))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MstLgaPlcSignalDto
                        {
							Id = o.Id,
							SignalIndex = o.SignalIndex,
							SignalPattern = o.SignalPattern,
							ProdLine = o.ProdLine,
							Process = o.Process,
							SubProcess = o.SubProcess,
							SignalCode = o.SignalCode,
							SignalDescription = o.SignalDescription,
							IsActive = o.IsActive,
                        };
            var totalCount = await filtered.CountAsync();
			var paged = system.PageBy(input);
            return new PagedResultDto&lt;MstLgaPlcSignalDto&gt;(
                totalCount,
                 await paged.ToListAsync()
            );
        }
        public async Task&lt;FileDto&gt; GetPlcSignalToExcel(MstLgaPlcSignalExportInput input)
        {
            var query = from o in _repo.GetAll()
                        select new MstLgaPlcSignalDto
                        {
							Id = o.Id,
							SignalIndex = o.SignalIndex,
							SignalPattern = o.SignalPattern,
							ProdLine = o.ProdLine,
							Process = o.Process,
							SubProcess = o.SubProcess,
							SignalCode = o.SignalCode,
							SignalDescription = o.SignalDescription,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_dapperRepo.ExecuteAsync(MstLgaPlcSignalConsts.SP_MST_WPT_CALENDAR_GENERATE);
       // }
    }
}</v>
      </c>
      <c r="R7" t="str">
        <f ca="1">SUBSTITUTE(SUBSTITUTE((C1&amp;"namespace "&amp;B6&amp;".Dto"&amp;E3&amp;C3&amp;R3&amp;M18&amp;E3&amp;REPT(CHAR(9),1)&amp;D3&amp;D3),"WorkingPattern",$Q$3),"Master",$B$4)</f>
        <v xml:space="preserve">using Abp.Application.Services.Dto;
using System;
using System.ComponentModel.DataAnnotations;
namespace vovina.Master.LogA.Dto
{
	public class MstLgaPlcSignalExportInput{
		public virtual int SignalIndex { get; set; }
		public virtual string SignalPattern { get; set; }
		public virtual string ProdLine { get; set; }
		public virtual string Process { get; set; }
		public virtual string SubProcess { get; set; }
		public virtual string SignalCode { get; set; }
		public virtual string SignalDescription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vovina.Master.LogA.Dto;
namespace vovina.Master.LogA.Exporting
{
	public interface IMstLgaPlcSignalExcelExporter : IApplicationService
	{
		FileDto ExportToFile(List&lt;MstLgaPlcSignalDto&gt; mstlgaplcsignal);
	}
}
</v>
      </c>
      <c r="T7" s="28" t="str">
        <f ca="1">SUBSTITUTE(SUBSTITUTE(SUBSTITUTE(SUBSTITUTE(SUBSTITUTE(SUBSTITUTE(SUBSTITUTE(T1,"MstWptCalendar",$B$3),"&lt;PROPERTIES1&gt;",V18),"&lt;PROPERTIES&gt;",T18),"Calendar",$B$5),"calendar",LOWER(B5)),"WorkingPattern",$Q$3),"Master",$B$4)</f>
        <v>using System.Collections.Generic;
using vovina.DataExporting.Excel.NPOI;
using vovina.Dto;
using vovina.Master.LogA.Exporting;
using vovina.Master.LogA.Dto;
using vovina.Storage;
using vovina.Master.LogA.Dto;
namespace vovina.Master.LogA.Exporting
{
    public class MstLgaPlcSignalExcelExporter : NpoiExcelExporterBase, IMstLgaPlcSignalExcelExporter
    {
        public MstLgaPlcSignalExcelExporter(ITempFileCacheManager tempFileCacheManager) : base(tempFileCacheManager) { }
        public FileDto ExportToFile(List&lt;MstLgaPlcSignalDto&gt; plcsignal)
        {
            return CreateExcelPackage(
				"MasterLogAPlcSignal.xlsx",
				excelPackage =&gt;
				 {
					var sheet = excelPackage.CreateSheet("PlcSignal");
					AddHeader(
								sheet,
								("SignalIndex"),
								("SignalPattern"),
								("ProdLine"),
								("Process"),
								("SubProcess"),
								("SignalCode"),
								("SignalDescription"),
								("IsActive"),
							   );
					AddObjects(
						 sheet, 1, plcsignal,                                       
								_ =&gt; _.SignalIndex,
								_ =&gt; _.SignalPattern,
								_ =&gt; _.ProdLine,
								_ =&gt; _.Process,
								_ =&gt; _.SubProcess,
								_ =&gt; _.SignalCode,
								_ =&gt; _.SignalDescription,
								_ =&gt; _.IsActive,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configuration.CreateMap&lt;MstLgaPlcSignalDto, MstLgaPlcSignal&gt;();
  configuration.CreateMap&lt;MstLgaPlcSignal, MstLgaPlcSignalDto&gt;();
  configuration.CreateMap&lt;CreateOrEditMstLgaPlcSignalDto, MstLgaPlcSignal&gt;();</v>
      </c>
      <c r="V7" s="28"/>
      <c r="W7" s="28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22.5" customHeight="1" x14ac:dyDescent="0.25">
      <c r="A9" t="s">
        <v>314</v>
      </c>
      <c r="B9" t="s">
        <v>4</v>
      </c>
      <c r="C9" t="s">
        <v>1</v>
      </c>
      <c r="D9" t="str">
        <f t="shared" ref="D9:D15" si="0">SUBSTITUTE(PROPER(A9),"_","")</f>
        <v>SignalIndex</v>
      </c>
      <c r="E9" t="str">
        <f t="shared" ref="E9" si="1">IFERROR(LEFT(B9, FIND("(",B9)-1),B9)</f>
        <v>int</v>
      </c>
      <c r="F9" s="7"/>
      <c r="G9" t="str">
        <f t="shared" ref="G9" si="2">IFERROR(MID(B9,FIND("(",B9) +1, FIND(")",B9) - FIND("(",B9) - 1),"")</f>
        <v/>
      </c>
      <c r="H9" t="str">
        <f>+VLOOKUP(E9,'Data Type Mapping'!A:B,2,)</f>
        <v>int</v>
      </c>
      <c r="I9" t="str">
        <f t="shared" ref="I9" si="3">IF(H9="string",REPT(CHAR(9),2)&amp;"public const int Max"&amp;D9&amp;"Length = "&amp;G9&amp;";"&amp;$E$3,"" )</f>
        <v/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public virtual int SignalIndex { get; set; }
</v>
      </c>
      <c r="K9" s="7" t="s">
        <v>206</v>
      </c>
      <c r="L9" t="str">
        <f t="shared" ref="L9:L15" si="5">IF(K9="","",REPT(CHAR(9),1)&amp;"[Index(nameof("&amp;IF(D9="","",""&amp;D9)&amp;")"&amp;", Name="&amp;"""IX_"&amp;$B$7&amp;"_"&amp;D9&amp;""")]")</f>
        <v xml:space="preserve">	[Index(nameof(SignalIndex), Name="IX_MstLgaPlcSignal_SignalIndex")]</v>
      </c>
      <c r="M9" t="str">
        <f>REPT(CHAR(9),2)&amp;"public virtual "&amp;IF(OR(H9="DateTime",H9="TimeSpan"),H9&amp;"?",H9)&amp;IF(C9="?","? "," ")&amp;D9&amp;" { get; set; }" &amp; "
"</f>
        <v xml:space="preserve">		public virtual int SignalIndex { get; set; }
</v>
      </c>
      <c r="N9" t="str">
        <f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public virtual int SignalIndex { get; set; }
</v>
      </c>
      <c r="O9" t="str">
        <f>IF(OR(H9="string",H9="DateTime",H9="int"),REPT(CHAR(9),2)&amp;"public virtual "&amp;IF(OR(H9="DateTime",H9="TimeSpan"),H9&amp;"?",H9)&amp;IF(C9="?","? "," ")&amp;D9&amp;" { get; set; }"&amp;$E$3,"")</f>
        <v xml:space="preserve">		public virtual int SignalIndex { get; set; }
</v>
      </c>
      <c r="P9" t="str">
        <f t="shared" ref="P9" si="6">REPT(CHAR(9),7)&amp;D9&amp;" = o." &amp;D9 &amp;","</f>
        <v xml:space="preserve">							SignalIndex = o.SignalIndex,</v>
      </c>
      <c r="T9" s="69" t="str">
        <f>REPT(CHAR(9),8)&amp;"("""&amp;D9&amp;"""),"</f>
        <v xml:space="preserve">								("SignalIndex"),</v>
      </c>
      <c r="V9" s="70" t="str">
        <f>REPT(CHAR(9),8)&amp;"_ =&gt; _."&amp;D9&amp;","</f>
        <v xml:space="preserve">								_ =&gt; _.SignalIndex,</v>
      </c>
      <c r="W9" s="69" t="str">
        <f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/>
      </c>
    </row>
    <row r="10" spans="1:23" customFormat="1" ht="22.5" customHeight="1" x14ac:dyDescent="0.25">
      <c r="A10" t="s">
        <v>316</v>
      </c>
      <c r="B10" t="s">
        <v>315</v>
      </c>
      <c r="C10" t="s">
        <v>1</v>
      </c>
      <c r="D10" t="str">
        <f t="shared" si="0"/>
        <v>SignalPattern</v>
      </c>
      <c r="E10" t="str">
        <f t="shared" ref="E10:E11" si="7">IFERROR(LEFT(B10, FIND("(",B10)-1),B10)</f>
        <v>varchar</v>
      </c>
      <c r="F10" s="7"/>
      <c r="G10" t="str">
        <f t="shared" ref="G10:G11" si="8">IFERROR(MID(B10,FIND("(",B10) +1, FIND(")",B10) - FIND("(",B10) - 1),"")</f>
        <v>250</v>
      </c>
      <c r="H10" t="str">
        <f>+VLOOKUP(E10,'Data Type Mapping'!A:B,2,)</f>
        <v>string</v>
      </c>
      <c r="I10" t="str">
        <f t="shared" ref="I10:I11" si="9">IF(H10="string",REPT(CHAR(9),2)&amp;"public const int Max"&amp;D10&amp;"Length = "&amp;G10&amp;";"&amp;$E$3,"" )</f>
        <v xml:space="preserve">		public const int MaxSignalPatternLength = 250;
</v>
      </c>
      <c r="J10" t="str">
        <f t="shared" ref="J10:J11" si="10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[StringLength(MaxSignalPatternLength)]
		public virtual string SignalPattern { get; set; }
</v>
      </c>
      <c r="K10" s="7"/>
      <c r="L10" t="str">
        <f t="shared" si="5"/>
        <v/>
      </c>
      <c r="M10" t="str">
        <f t="shared" ref="M10:M11" si="11">REPT(CHAR(9),2)&amp;"public virtual "&amp;IF(OR(H10="DateTime",H10="TimeSpan"),H10&amp;"?",H10)&amp;IF(C10="?","? "," ")&amp;D10&amp;" { get; set; }" &amp; "
"</f>
        <v xml:space="preserve">		public virtual string SignalPattern { get; set; }
</v>
      </c>
      <c r="N10" t="str">
        <f t="shared" ref="N10:N11" si="12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[StringLength(MstLgaPlcSignalConsts.MaxSignalPatternLength)]
		public virtual string SignalPattern { get; set; }
</v>
      </c>
      <c r="O10" t="str">
        <f t="shared" ref="O10:O11" si="13">IF(OR(H10="string",H10="DateTime",H10="int"),REPT(CHAR(9),2)&amp;"public virtual "&amp;IF(OR(H10="DateTime",H10="TimeSpan"),H10&amp;"?",H10)&amp;IF(C10="?","? "," ")&amp;D10&amp;" { get; set; }"&amp;$E$3,"")</f>
        <v xml:space="preserve">		public virtual string SignalPattern { get; set; }
</v>
      </c>
      <c r="P10" t="str">
        <f t="shared" ref="P10:P11" si="14">REPT(CHAR(9),7)&amp;D10&amp;" = o." &amp;D10 &amp;","</f>
        <v xml:space="preserve">							SignalPattern = o.SignalPattern,</v>
      </c>
      <c r="T10" s="69" t="str">
        <f t="shared" ref="T10:T11" si="15">REPT(CHAR(9),8)&amp;"("""&amp;D10&amp;"""),"</f>
        <v xml:space="preserve">								("SignalPattern"),</v>
      </c>
      <c r="V10" s="70" t="str">
        <f t="shared" ref="V10:V11" si="16">REPT(CHAR(9),8)&amp;"_ =&gt; _."&amp;D10&amp;","</f>
        <v xml:space="preserve">								_ =&gt; _.SignalPattern,</v>
      </c>
      <c r="W10" s="69" t="str">
        <f t="shared" ref="W10:W11" si="17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.WhereIf(!string.IsNullOrWhiteSpace(input.SignalPattern), e =&gt; e.SignalPattern.Contains(input.SignalPattern))</v>
      </c>
    </row>
    <row r="11" spans="1:23" customFormat="1" ht="22.5" customHeight="1" x14ac:dyDescent="0.25">
      <c r="A11" t="s">
        <v>323</v>
      </c>
      <c r="B11" t="s">
        <v>303</v>
      </c>
      <c r="C11" t="s">
        <v>1</v>
      </c>
      <c r="D11" t="str">
        <f t="shared" ref="D11" si="18">SUBSTITUTE(PROPER(A11),"_","")</f>
        <v>ProdLine</v>
      </c>
      <c r="E11" t="str">
        <f t="shared" si="7"/>
        <v>varchar</v>
      </c>
      <c r="F11" s="7"/>
      <c r="G11" t="str">
        <f t="shared" si="8"/>
        <v>50</v>
      </c>
      <c r="H11" t="str">
        <f>+VLOOKUP(E11,'Data Type Mapping'!A:B,2,)</f>
        <v>string</v>
      </c>
      <c r="I11" t="str">
        <f t="shared" si="9"/>
        <v xml:space="preserve">		public const int MaxProdLineLength = 50;
</v>
      </c>
      <c r="J11" t="str">
        <f t="shared" si="10"/>
        <v xml:space="preserve">		[StringLength(MaxProdLineLength)]
		public virtual string ProdLine { get; set; }
</v>
      </c>
      <c r="K11" s="7" t="s">
        <v>206</v>
      </c>
      <c r="L11" t="str">
        <f t="shared" ref="L11" si="19">IF(K11="","",REPT(CHAR(9),1)&amp;"[Index(nameof("&amp;IF(D11="","",""&amp;D11)&amp;")"&amp;", Name="&amp;"""IX_"&amp;$B$7&amp;"_"&amp;D11&amp;""")]")</f>
        <v xml:space="preserve">	[Index(nameof(ProdLine), Name="IX_MstLgaPlcSignal_ProdLine")]</v>
      </c>
      <c r="M11" t="str">
        <f t="shared" si="11"/>
        <v xml:space="preserve">		public virtual string ProdLine { get; set; }
</v>
      </c>
      <c r="N11" t="str">
        <f t="shared" si="12"/>
        <v xml:space="preserve">		[StringLength(MstLgaPlcSignalConsts.MaxProdLineLength)]
		public virtual string ProdLine { get; set; }
</v>
      </c>
      <c r="O11" t="str">
        <f t="shared" si="13"/>
        <v xml:space="preserve">		public virtual string ProdLine { get; set; }
</v>
      </c>
      <c r="P11" t="str">
        <f t="shared" si="14"/>
        <v xml:space="preserve">							ProdLine = o.ProdLine,</v>
      </c>
      <c r="T11" s="69" t="str">
        <f t="shared" si="15"/>
        <v xml:space="preserve">								("ProdLine"),</v>
      </c>
      <c r="V11" s="70" t="str">
        <f t="shared" si="16"/>
        <v xml:space="preserve">								_ =&gt; _.ProdLine,</v>
      </c>
      <c r="W11" s="69" t="str">
        <f t="shared" si="17"/>
        <v xml:space="preserve">				.WhereIf(!string.IsNullOrWhiteSpace(input.ProdLine), e =&gt; e.ProdLine.Contains(input.ProdLine))</v>
      </c>
    </row>
    <row r="12" spans="1:23" customFormat="1" ht="22.5" customHeight="1" x14ac:dyDescent="0.25">
      <c r="A12" t="s">
        <v>317</v>
      </c>
      <c r="B12" t="s">
        <v>303</v>
      </c>
      <c r="C12" t="s">
        <v>1</v>
      </c>
      <c r="D12" t="str">
        <f t="shared" si="0"/>
        <v>Process</v>
      </c>
      <c r="E12" t="str">
        <f t="shared" ref="E12" si="20">IFERROR(LEFT(B12, FIND("(",B12)-1),B12)</f>
        <v>varchar</v>
      </c>
      <c r="F12" s="7"/>
      <c r="G12" t="str">
        <f t="shared" ref="G12" si="21">IFERROR(MID(B12,FIND("(",B12) +1, FIND(")",B12) - FIND("(",B12) - 1),"")</f>
        <v>50</v>
      </c>
      <c r="H12" t="str">
        <f>+VLOOKUP(E12,'Data Type Mapping'!A:B,2,)</f>
        <v>string</v>
      </c>
      <c r="I12" t="str">
        <f t="shared" ref="I12" si="22">IF(H12="string",REPT(CHAR(9),2)&amp;"public const int Max"&amp;D12&amp;"Length = "&amp;G12&amp;";"&amp;$E$3,"" )</f>
        <v xml:space="preserve">		public const int MaxProcessLength = 50;
</v>
      </c>
      <c r="J12" t="str">
        <f t="shared" ref="J12" si="23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[StringLength(MaxProcessLength)]
		public virtual string Process { get; set; }
</v>
      </c>
      <c r="K12" s="7"/>
      <c r="L12" t="str">
        <f t="shared" si="5"/>
        <v/>
      </c>
      <c r="M12" t="str">
        <f t="shared" ref="M12" si="24">REPT(CHAR(9),2)&amp;"public virtual "&amp;IF(OR(H12="DateTime",H12="TimeSpan"),H12&amp;"?",H12)&amp;IF(C12="?","? "," ")&amp;D12&amp;" { get; set; }" &amp; "
"</f>
        <v xml:space="preserve">		public virtual string Process { get; set; }
</v>
      </c>
      <c r="N12" t="str">
        <f t="shared" ref="N12" si="25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[StringLength(MstLgaPlcSignalConsts.MaxProcessLength)]
		public virtual string Process { get; set; }
</v>
      </c>
      <c r="O12" t="str">
        <f t="shared" ref="O12" si="26">IF(OR(H12="string",H12="DateTime",H12="int"),REPT(CHAR(9),2)&amp;"public virtual "&amp;IF(OR(H12="DateTime",H12="TimeSpan"),H12&amp;"?",H12)&amp;IF(C12="?","? "," ")&amp;D12&amp;" { get; set; }"&amp;$E$3,"")</f>
        <v xml:space="preserve">		public virtual string Process { get; set; }
</v>
      </c>
      <c r="P12" t="str">
        <f t="shared" ref="P12" si="27">REPT(CHAR(9),7)&amp;D12&amp;" = o." &amp;D12 &amp;","</f>
        <v xml:space="preserve">							Process = o.Process,</v>
      </c>
      <c r="T12" s="69" t="str">
        <f t="shared" ref="T12" si="28">REPT(CHAR(9),8)&amp;"("""&amp;D12&amp;"""),"</f>
        <v xml:space="preserve">								("Process"),</v>
      </c>
      <c r="V12" s="70" t="str">
        <f t="shared" ref="V12" si="29">REPT(CHAR(9),8)&amp;"_ =&gt; _."&amp;D12&amp;","</f>
        <v xml:space="preserve">								_ =&gt; _.Process,</v>
      </c>
      <c r="W12" s="69" t="str">
        <f t="shared" ref="W12" si="30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 xml:space="preserve">				.WhereIf(!string.IsNullOrWhiteSpace(input.Process), e =&gt; e.Process.Contains(input.Process))</v>
      </c>
    </row>
    <row r="13" spans="1:23" customFormat="1" ht="22.5" customHeight="1" x14ac:dyDescent="0.25">
      <c r="A13" t="s">
        <v>318</v>
      </c>
      <c r="B13" t="s">
        <v>303</v>
      </c>
      <c r="C13" t="s">
        <v>1</v>
      </c>
      <c r="D13" t="str">
        <f t="shared" si="0"/>
        <v>SubProcess</v>
      </c>
      <c r="E13" t="str">
        <f t="shared" ref="E13" si="31">IFERROR(LEFT(B13, FIND("(",B13)-1),B13)</f>
        <v>varchar</v>
      </c>
      <c r="F13" s="7"/>
      <c r="G13" t="str">
        <f t="shared" ref="G13" si="32">IFERROR(MID(B13,FIND("(",B13) +1, FIND(")",B13) - FIND("(",B13) - 1),"")</f>
        <v>50</v>
      </c>
      <c r="H13" t="str">
        <f>+VLOOKUP(E13,'Data Type Mapping'!A:B,2,)</f>
        <v>string</v>
      </c>
      <c r="I13" t="str">
        <f t="shared" ref="I13" si="33">IF(H13="string",REPT(CHAR(9),2)&amp;"public const int Max"&amp;D13&amp;"Length = "&amp;G13&amp;";"&amp;$E$3,"" )</f>
        <v xml:space="preserve">		public const int MaxSubProcessLength = 50;
</v>
      </c>
      <c r="J13" t="str">
        <f t="shared" ref="J13" si="34">IF(F13="","",REPT(CHAR(9),2)&amp;"[Column(TypeName="""&amp;F13&amp;""")]"&amp;$E$3)&amp;IF(C13="Checked","",$I$3)&amp;IF(H13="string",REPT(CHAR(9),2)&amp;"[StringLength(Max"&amp;D13&amp;"Length"&amp;")]"&amp;$E$3,"")&amp;REPT(CHAR(9),2)&amp;"public virtual "&amp;H13&amp;IF(C13="?","? "," ")&amp;D13&amp;" { get; set; }" &amp; "
"</f>
        <v xml:space="preserve">		[StringLength(MaxSubProcessLength)]
		public virtual string SubProcess { get; set; }
</v>
      </c>
      <c r="K13" s="7"/>
      <c r="L13" t="str">
        <f t="shared" si="5"/>
        <v/>
      </c>
      <c r="M13" t="str">
        <f t="shared" ref="M13" si="35">REPT(CHAR(9),2)&amp;"public virtual "&amp;IF(OR(H13="DateTime",H13="TimeSpan"),H13&amp;"?",H13)&amp;IF(C13="?","? "," ")&amp;D13&amp;" { get; set; }" &amp; "
"</f>
        <v xml:space="preserve">		public virtual string SubProcess { get; set; }
</v>
      </c>
      <c r="N13" t="str">
        <f t="shared" ref="N13" si="36">IF(C13="Checked","",$I$3)&amp;IF(H13="string",REPT(CHAR(9),2)&amp;"[StringLength("&amp;$B$3&amp;"Consts.Max"&amp;D13&amp;"Length"&amp;")]"&amp;$E$3,"")&amp;REPT(CHAR(9),2)&amp;"public virtual "&amp;IF(OR(H13="DateTime",H13="TimeSpan"),H13&amp;"?",H13)&amp;IF(C13="?","? "," ")&amp;D13&amp;" { get; set; }" &amp; "
"</f>
        <v xml:space="preserve">		[StringLength(MstLgaPlcSignalConsts.MaxSubProcessLength)]
		public virtual string SubProcess { get; set; }
</v>
      </c>
      <c r="O13" t="str">
        <f t="shared" ref="O13" si="37">IF(OR(H13="string",H13="DateTime",H13="int"),REPT(CHAR(9),2)&amp;"public virtual "&amp;IF(OR(H13="DateTime",H13="TimeSpan"),H13&amp;"?",H13)&amp;IF(C13="?","? "," ")&amp;D13&amp;" { get; set; }"&amp;$E$3,"")</f>
        <v xml:space="preserve">		public virtual string SubProcess { get; set; }
</v>
      </c>
      <c r="P13" t="str">
        <f t="shared" ref="P13" si="38">REPT(CHAR(9),7)&amp;D13&amp;" = o." &amp;D13 &amp;","</f>
        <v xml:space="preserve">							SubProcess = o.SubProcess,</v>
      </c>
      <c r="T13" s="69" t="str">
        <f t="shared" ref="T13" si="39">REPT(CHAR(9),8)&amp;"("""&amp;D13&amp;"""),"</f>
        <v xml:space="preserve">								("SubProcess"),</v>
      </c>
      <c r="V13" s="70" t="str">
        <f t="shared" ref="V13" si="40">REPT(CHAR(9),8)&amp;"_ =&gt; _."&amp;D13&amp;","</f>
        <v xml:space="preserve">								_ =&gt; _.SubProcess,</v>
      </c>
      <c r="W13" s="69" t="str">
        <f t="shared" ref="W13" si="41">IF(H13="string",REPT(CHAR(9),4)&amp;".WhereIf(!string.IsNullOrWhiteSpace(input."&amp;D13&amp;"), e =&gt; e."&amp;D13&amp;".Contains(input."&amp;D13&amp;"))",IF(H13="DateTime",REPT(CHAR(9),4)&amp;".WhereIf(input."&amp;D13&amp;".HasValue, t =&gt; t."&amp;D13&amp;" == input."&amp;D13&amp;".Value)",""))</f>
        <v xml:space="preserve">				.WhereIf(!string.IsNullOrWhiteSpace(input.SubProcess), e =&gt; e.SubProcess.Contains(input.SubProcess))</v>
      </c>
    </row>
    <row r="14" spans="1:23" customFormat="1" ht="22.5" customHeight="1" x14ac:dyDescent="0.25">
      <c r="A14" t="s">
        <v>319</v>
      </c>
      <c r="B14" t="s">
        <v>303</v>
      </c>
      <c r="C14" t="s">
        <v>1</v>
      </c>
      <c r="D14" t="str">
        <f t="shared" si="0"/>
        <v>SignalCode</v>
      </c>
      <c r="E14" t="str">
        <f t="shared" ref="E14" si="42">IFERROR(LEFT(B14, FIND("(",B14)-1),B14)</f>
        <v>varchar</v>
      </c>
      <c r="F14" s="7"/>
      <c r="G14" t="str">
        <f t="shared" ref="G14" si="43">IFERROR(MID(B14,FIND("(",B14) +1, FIND(")",B14) - FIND("(",B14) - 1),"")</f>
        <v>50</v>
      </c>
      <c r="H14" t="str">
        <f>+VLOOKUP(E14,'Data Type Mapping'!A:B,2,)</f>
        <v>string</v>
      </c>
      <c r="I14" t="str">
        <f t="shared" ref="I14" si="44">IF(H14="string",REPT(CHAR(9),2)&amp;"public const int Max"&amp;D14&amp;"Length = "&amp;G14&amp;";"&amp;$E$3,"" )</f>
        <v xml:space="preserve">		public const int MaxSignalCodeLength = 50;
</v>
      </c>
      <c r="J14" t="str">
        <f t="shared" ref="J14" si="45">IF(F14="","",REPT(CHAR(9),2)&amp;"[Column(TypeName="""&amp;F14&amp;""")]"&amp;$E$3)&amp;IF(C14="Checked","",$I$3)&amp;IF(H14="string",REPT(CHAR(9),2)&amp;"[StringLength(Max"&amp;D14&amp;"Length"&amp;")]"&amp;$E$3,"")&amp;REPT(CHAR(9),2)&amp;"public virtual "&amp;H14&amp;IF(C14="?","? "," ")&amp;D14&amp;" { get; set; }" &amp; "
"</f>
        <v xml:space="preserve">		[StringLength(MaxSignalCodeLength)]
		public virtual string SignalCode { get; set; }
</v>
      </c>
      <c r="K14" s="7" t="s">
        <v>206</v>
      </c>
      <c r="L14" t="str">
        <f t="shared" si="5"/>
        <v xml:space="preserve">	[Index(nameof(SignalCode), Name="IX_MstLgaPlcSignal_SignalCode")]</v>
      </c>
      <c r="M14" t="str">
        <f t="shared" ref="M14" si="46">REPT(CHAR(9),2)&amp;"public virtual "&amp;IF(OR(H14="DateTime",H14="TimeSpan"),H14&amp;"?",H14)&amp;IF(C14="?","? "," ")&amp;D14&amp;" { get; set; }" &amp; "
"</f>
        <v xml:space="preserve">		public virtual string SignalCode { get; set; }
</v>
      </c>
      <c r="N14" t="str">
        <f t="shared" ref="N14" si="47">IF(C14="Checked","",$I$3)&amp;IF(H14="string",REPT(CHAR(9),2)&amp;"[StringLength("&amp;$B$3&amp;"Consts.Max"&amp;D14&amp;"Length"&amp;")]"&amp;$E$3,"")&amp;REPT(CHAR(9),2)&amp;"public virtual "&amp;IF(OR(H14="DateTime",H14="TimeSpan"),H14&amp;"?",H14)&amp;IF(C14="?","? "," ")&amp;D14&amp;" { get; set; }" &amp; "
"</f>
        <v xml:space="preserve">		[StringLength(MstLgaPlcSignalConsts.MaxSignalCodeLength)]
		public virtual string SignalCode { get; set; }
</v>
      </c>
      <c r="O14" t="str">
        <f t="shared" ref="O14" si="48">IF(OR(H14="string",H14="DateTime",H14="int"),REPT(CHAR(9),2)&amp;"public virtual "&amp;IF(OR(H14="DateTime",H14="TimeSpan"),H14&amp;"?",H14)&amp;IF(C14="?","? "," ")&amp;D14&amp;" { get; set; }"&amp;$E$3,"")</f>
        <v xml:space="preserve">		public virtual string SignalCode { get; set; }
</v>
      </c>
      <c r="P14" t="str">
        <f t="shared" ref="P14" si="49">REPT(CHAR(9),7)&amp;D14&amp;" = o." &amp;D14 &amp;","</f>
        <v xml:space="preserve">							SignalCode = o.SignalCode,</v>
      </c>
      <c r="T14" s="69" t="str">
        <f t="shared" ref="T14" si="50">REPT(CHAR(9),8)&amp;"("""&amp;D14&amp;"""),"</f>
        <v xml:space="preserve">								("SignalCode"),</v>
      </c>
      <c r="V14" s="70" t="str">
        <f t="shared" ref="V14" si="51">REPT(CHAR(9),8)&amp;"_ =&gt; _."&amp;D14&amp;","</f>
        <v xml:space="preserve">								_ =&gt; _.SignalCode,</v>
      </c>
      <c r="W14" s="69" t="str">
        <f t="shared" ref="W14" si="52">IF(H14="string",REPT(CHAR(9),4)&amp;".WhereIf(!string.IsNullOrWhiteSpace(input."&amp;D14&amp;"), e =&gt; e."&amp;D14&amp;".Contains(input."&amp;D14&amp;"))",IF(H14="DateTime",REPT(CHAR(9),4)&amp;".WhereIf(input."&amp;D14&amp;".HasValue, t =&gt; t."&amp;D14&amp;" == input."&amp;D14&amp;".Value)",""))</f>
        <v xml:space="preserve">				.WhereIf(!string.IsNullOrWhiteSpace(input.SignalCode), e =&gt; e.SignalCode.Contains(input.SignalCode))</v>
      </c>
    </row>
    <row r="15" spans="1:23" customFormat="1" ht="22.5" customHeight="1" x14ac:dyDescent="0.25">
      <c r="A15" t="s">
        <v>320</v>
      </c>
      <c r="B15" t="s">
        <v>321</v>
      </c>
      <c r="C15" t="s">
        <v>1</v>
      </c>
      <c r="D15" t="str">
        <f t="shared" si="0"/>
        <v>SignalDescription</v>
      </c>
      <c r="E15" t="str">
        <f t="shared" ref="E15:E16" si="53">IFERROR(LEFT(B15, FIND("(",B15)-1),B15)</f>
        <v>varchar</v>
      </c>
      <c r="F15" s="7"/>
      <c r="G15" t="str">
        <f t="shared" ref="G15:G16" si="54">IFERROR(MID(B15,FIND("(",B15) +1, FIND(")",B15) - FIND("(",B15) - 1),"")</f>
        <v>500</v>
      </c>
      <c r="H15" t="str">
        <f>+VLOOKUP(E15,'Data Type Mapping'!A:B,2,)</f>
        <v>string</v>
      </c>
      <c r="I15" t="str">
        <f t="shared" ref="I15:I16" si="55">IF(H15="string",REPT(CHAR(9),2)&amp;"public const int Max"&amp;D15&amp;"Length = "&amp;G15&amp;";"&amp;$E$3,"" )</f>
        <v xml:space="preserve">		public const int MaxSignalDescriptionLength = 500;
</v>
      </c>
      <c r="J15" t="str">
        <f t="shared" ref="J15:J16" si="56">IF(F15="","",REPT(CHAR(9),2)&amp;"[Column(TypeName="""&amp;F15&amp;""")]"&amp;$E$3)&amp;IF(C15="Checked","",$I$3)&amp;IF(H15="string",REPT(CHAR(9),2)&amp;"[StringLength(Max"&amp;D15&amp;"Length"&amp;")]"&amp;$E$3,"")&amp;REPT(CHAR(9),2)&amp;"public virtual "&amp;H15&amp;IF(C15="?","? "," ")&amp;D15&amp;" { get; set; }" &amp; "
"</f>
        <v xml:space="preserve">		[StringLength(MaxSignalDescriptionLength)]
		public virtual string SignalDescription { get; set; }
</v>
      </c>
      <c r="K15" s="7"/>
      <c r="L15" t="str">
        <f t="shared" si="5"/>
        <v/>
      </c>
      <c r="M15" t="str">
        <f t="shared" ref="M15:M16" si="57">REPT(CHAR(9),2)&amp;"public virtual "&amp;IF(OR(H15="DateTime",H15="TimeSpan"),H15&amp;"?",H15)&amp;IF(C15="?","? "," ")&amp;D15&amp;" { get; set; }" &amp; "
"</f>
        <v xml:space="preserve">		public virtual string SignalDescription { get; set; }
</v>
      </c>
      <c r="N15" t="str">
        <f t="shared" ref="N15:N16" si="58">IF(C15="Checked","",$I$3)&amp;IF(H15="string",REPT(CHAR(9),2)&amp;"[StringLength("&amp;$B$3&amp;"Consts.Max"&amp;D15&amp;"Length"&amp;")]"&amp;$E$3,"")&amp;REPT(CHAR(9),2)&amp;"public virtual "&amp;IF(OR(H15="DateTime",H15="TimeSpan"),H15&amp;"?",H15)&amp;IF(C15="?","? "," ")&amp;D15&amp;" { get; set; }" &amp; "
"</f>
        <v xml:space="preserve">		[StringLength(MstLgaPlcSignalConsts.MaxSignalDescriptionLength)]
		public virtual string SignalDescription { get; set; }
</v>
      </c>
      <c r="O15" t="str">
        <f t="shared" ref="O15:O16" si="59">IF(OR(H15="string",H15="DateTime",H15="int"),REPT(CHAR(9),2)&amp;"public virtual "&amp;IF(OR(H15="DateTime",H15="TimeSpan"),H15&amp;"?",H15)&amp;IF(C15="?","? "," ")&amp;D15&amp;" { get; set; }"&amp;$E$3,"")</f>
        <v xml:space="preserve">		public virtual string SignalDescription { get; set; }
</v>
      </c>
      <c r="P15" t="str">
        <f t="shared" ref="P15:P16" si="60">REPT(CHAR(9),7)&amp;D15&amp;" = o." &amp;D15 &amp;","</f>
        <v xml:space="preserve">							SignalDescription = o.SignalDescription,</v>
      </c>
      <c r="T15" s="69" t="str">
        <f t="shared" ref="T15:T16" si="61">REPT(CHAR(9),8)&amp;"("""&amp;D15&amp;"""),"</f>
        <v xml:space="preserve">								("SignalDescription"),</v>
      </c>
      <c r="V15" s="70" t="str">
        <f t="shared" ref="V15:V16" si="62">REPT(CHAR(9),8)&amp;"_ =&gt; _."&amp;D15&amp;","</f>
        <v xml:space="preserve">								_ =&gt; _.SignalDescription,</v>
      </c>
      <c r="W15" s="69" t="str">
        <f t="shared" ref="W15:W16" si="63">IF(H15="string",REPT(CHAR(9),4)&amp;".WhereIf(!string.IsNullOrWhiteSpace(input."&amp;D15&amp;"), e =&gt; e."&amp;D15&amp;".Contains(input."&amp;D15&amp;"))",IF(H15="DateTime",REPT(CHAR(9),4)&amp;".WhereIf(input."&amp;D15&amp;".HasValue, t =&gt; t."&amp;D15&amp;" == input."&amp;D15&amp;".Value)",""))</f>
        <v xml:space="preserve">				.WhereIf(!string.IsNullOrWhiteSpace(input.SignalDescription), e =&gt; e.SignalDescription.Contains(input.SignalDescription))</v>
      </c>
    </row>
    <row r="16" spans="1:23" customFormat="1" ht="21" customHeight="1" x14ac:dyDescent="0.25">
      <c r="A16" t="s">
        <v>302</v>
      </c>
      <c r="B16" t="s">
        <v>313</v>
      </c>
      <c r="C16" t="s">
        <v>1</v>
      </c>
      <c r="D16" t="str">
        <f t="shared" ref="D16" si="64">SUBSTITUTE(PROPER(A16),"_","")</f>
        <v>IsActive</v>
      </c>
      <c r="E16" t="str">
        <f t="shared" si="53"/>
        <v>varchar</v>
      </c>
      <c r="F16" s="7"/>
      <c r="G16" t="str">
        <f t="shared" si="54"/>
        <v>1</v>
      </c>
      <c r="H16" t="str">
        <f>+VLOOKUP(E16,'Data Type Mapping'!A:B,2,)</f>
        <v>string</v>
      </c>
      <c r="I16" t="str">
        <f t="shared" si="55"/>
        <v xml:space="preserve">		public const int MaxIsActiveLength = 1;
</v>
      </c>
      <c r="J16" t="str">
        <f t="shared" si="56"/>
        <v xml:space="preserve">		[StringLength(MaxIsActiveLength)]
		public virtual string IsActive { get; set; }
</v>
      </c>
      <c r="K16" s="7" t="s">
        <v>206</v>
      </c>
      <c r="L16" t="str">
        <f t="shared" ref="L16" si="65">IF(K16="","",REPT(CHAR(9),1)&amp;"[Index(nameof("&amp;IF(D16="","",""&amp;D16)&amp;")"&amp;", Name="&amp;"""IX_"&amp;$B$7&amp;"_"&amp;D16&amp;""")]")</f>
        <v xml:space="preserve">	[Index(nameof(IsActive), Name="IX_MstLgaPlcSignal_IsActive")]</v>
      </c>
      <c r="M16" t="str">
        <f t="shared" si="57"/>
        <v xml:space="preserve">		public virtual string IsActive { get; set; }
</v>
      </c>
      <c r="N16" t="str">
        <f t="shared" si="58"/>
        <v xml:space="preserve">		[StringLength(MstLgaPlcSignalConsts.MaxIsActiveLength)]
		public virtual string IsActive { get; set; }
</v>
      </c>
      <c r="O16" t="str">
        <f t="shared" si="59"/>
        <v xml:space="preserve">		public virtual string IsActive { get; set; }
</v>
      </c>
      <c r="P16" t="str">
        <f t="shared" si="60"/>
        <v xml:space="preserve">							IsActive = o.IsActive,</v>
      </c>
      <c r="T16" s="69" t="str">
        <f t="shared" si="61"/>
        <v xml:space="preserve">								("IsActive"),</v>
      </c>
      <c r="V16" s="70" t="str">
        <f t="shared" si="62"/>
        <v xml:space="preserve">								_ =&gt; _.IsActive,</v>
      </c>
      <c r="W16" s="69" t="str">
        <f t="shared" si="63"/>
        <v xml:space="preserve">				.WhereIf(!string.IsNullOrWhiteSpace(input.IsActive), e =&gt; e.IsActive.Contains(input.IsActive))</v>
      </c>
    </row>
    <row r="18" spans="8:23" ht="45.75" customHeight="1" x14ac:dyDescent="0.25">
      <c r="H18" s="12"/>
      <c r="I18" s="34" t="str">
        <f ca="1">TEXTJOIN2("
", TRUE,INDIRECT( $H$1):INDIRECT( $H$3))</f>
        <v xml:space="preserve">		public const int MaxSignalPatternLength = 250;
		public const int MaxProdLineLength = 50;
		public const int MaxProcessLength = 50;
		public const int MaxSubProcessLength = 50;
		public const int MaxSignalCodeLength = 50;
		public const int MaxSignalDescriptionLength = 500;
		public const int MaxIsActiveLength = 1;
</v>
      </c>
      <c r="J18" s="33" t="str">
        <f ca="1">TEXTJOIN2("
", TRUE,INDIRECT( $F$1):INDIRECT( $F$3))</f>
        <v xml:space="preserve">		public virtual int SignalIndex { get; set; }
		[StringLength(MaxSignalPatternLength)]
		public virtual string SignalPattern { get; set; }
		[StringLength(MaxProdLineLength)]
		public virtual string ProdLine { get; set; }
		[StringLength(MaxProcessLength)]
		public virtual string Process { get; set; }
		[StringLength(MaxSubProcessLength)]
		public virtual string SubProcess { get; set; }
		[StringLength(MaxSignalCodeLength)]
		public virtual string SignalCode { get; set; }
		[StringLength(MaxSignalDescriptionLength)]
		public virtual string SignalDescription { get; set; }
		[StringLength(MaxIsActiveLength)]
		public virtual string IsActive { get; set; }
</v>
      </c>
      <c r="K18" s="35" t="str">
        <f ca="1">TEXTJOIN2("
", TRUE,INDIRECT( $J$1):INDIRECT( $J$3))</f>
        <v xml:space="preserve">	[Index(nameof(SignalIndex), Name="IX_MstLgaPlcSignal_SignalIndex")]
	[Index(nameof(ProdLine), Name="IX_MstLgaPlcSignal_ProdLine")]
	[Index(nameof(SignalCode), Name="IX_MstLgaPlcSignal_SignalCode")]
	[Index(nameof(IsActive), Name="IX_MstLgaPlcSignal_IsActive")]</v>
      </c>
      <c r="L18" s="13" t="s">
        <v>60</v>
      </c>
      <c r="M18" s="36" t="str">
        <f ca="1">TEXTJOIN2("
",TRUE,INDIRECT( $L$1):INDIRECT($L$3))</f>
        <v xml:space="preserve">		public virtual int SignalIndex { get; set; }
		public virtual string SignalPattern { get; set; }
		public virtual string ProdLine { get; set; }
		public virtual string Process { get; set; }
		public virtual string SubProcess { get; set; }
		public virtual string SignalCode { get; set; }
		public virtual string SignalDescription { get; set; }
		public virtual string IsActive { get; set; }
</v>
      </c>
      <c r="N18" s="33" t="str">
        <f ca="1">TEXTJOIN2("
",TRUE,INDIRECT( $M$1):INDIRECT($M$3))</f>
        <v xml:space="preserve">		public virtual int SignalIndex { get; set; }
		[StringLength(MstLgaPlcSignalConsts.MaxSignalPatternLength)]
		public virtual string SignalPattern { get; set; }
		[StringLength(MstLgaPlcSignalConsts.MaxProdLineLength)]
		public virtual string ProdLine { get; set; }
		[StringLength(MstLgaPlcSignalConsts.MaxProcessLength)]
		public virtual string Process { get; set; }
		[StringLength(MstLgaPlcSignalConsts.MaxSubProcessLength)]
		public virtual string SubProcess { get; set; }
		[StringLength(MstLgaPlcSignalConsts.MaxSignalCodeLength)]
		public virtual string SignalCode { get; set; }
		[StringLength(MstLgaPlcSignalConsts.MaxSignalDescriptionLength)]
		public virtual string SignalDescription { get; set; }
		[StringLength(MstLgaPlcSignalConsts.MaxIsActiveLength)]
		public virtual string IsActive { get; set; }
</v>
      </c>
      <c r="O18" s="33" t="str">
        <f ca="1">TEXTJOIN2("
",TRUE,INDIRECT( $N$1):INDIRECT($N$3))</f>
        <v xml:space="preserve">		public virtual int SignalIndex { get; set; }
		public virtual string SignalPattern { get; set; }
		public virtual string ProdLine { get; set; }
		public virtual string Process { get; set; }
		public virtual string SubProcess { get; set; }
		public virtual string SignalCode { get; set; }
		public virtual string SignalDescription { get; set; }
		public virtual string IsActive { get; set; }
</v>
      </c>
      <c r="P18" s="9" t="str">
        <f ca="1">TEXTJOIN2("
",TRUE,INDIRECT( $O$1):INDIRECT($O$3))</f>
        <v xml:space="preserve">							SignalIndex = o.SignalIndex,
							SignalPattern = o.SignalPattern,
							ProdLine = o.ProdLine,
							Process = o.Process,
							SubProcess = o.SubProcess,
							SignalCode = o.SignalCode,
							SignalDescription = o.SignalDescription,
							IsActive = o.IsActive,</v>
      </c>
      <c r="T18" s="9" t="str">
        <f ca="1">TEXTJOIN2("
",TRUE,INDIRECT( $T$2):INDIRECT($T$3))</f>
        <v xml:space="preserve">								("SignalIndex"),
								("SignalPattern"),
								("ProdLine"),
								("Process"),
								("SubProcess"),
								("SignalCode"),
								("SignalDescription"),
								("IsActive"),</v>
      </c>
      <c r="V18" s="9" t="str">
        <f ca="1">TEXTJOIN2("
",TRUE,INDIRECT( $V$2):INDIRECT($V$3))</f>
        <v xml:space="preserve">								_ =&gt; _.SignalIndex,
								_ =&gt; _.SignalPattern,
								_ =&gt; _.ProdLine,
								_ =&gt; _.Process,
								_ =&gt; _.SubProcess,
								_ =&gt; _.SignalCode,
								_ =&gt; _.SignalDescription,
								_ =&gt; _.IsActive,</v>
      </c>
      <c r="W18" s="9" t="str">
        <f ca="1">TEXTJOIN2("
",TRUE,INDIRECT( $W$2):INDIRECT($W$3))</f>
        <v xml:space="preserve">				.WhereIf(!string.IsNullOrWhiteSpace(input.SignalPattern), e =&gt; e.SignalPattern.Contains(input.SignalPattern))
				.WhereIf(!string.IsNullOrWhiteSpace(input.ProdLine), e =&gt; e.ProdLine.Contains(input.ProdLine))
				.WhereIf(!string.IsNullOrWhiteSpace(input.Process), e =&gt; e.Process.Contains(input.Process))
				.WhereIf(!string.IsNullOrWhiteSpace(input.SubProcess), e =&gt; e.SubProcess.Contains(input.SubProcess))
				.WhereIf(!string.IsNullOrWhiteSpace(input.SignalCode), e =&gt; e.SignalCode.Contains(input.SignalCode))
				.WhereIf(!string.IsNullOrWhiteSpace(input.SignalDescription), e =&gt; e.SignalDescription.Contains(input.SignalDescription))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5"/>
  <sheetViews>
    <sheetView workbookViewId="0">
      <selection activeCell="A15" sqref="A15"/>
    </sheetView>
  </sheetViews>
  <sheetFormatPr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4" width="20.42578125" customWidth="1"/>
    <col min="15" max="15" width="20.5703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30" x14ac:dyDescent="0.25">
      <c r="A1" s="41" t="s">
        <v>212</v>
      </c>
      <c r="B1" s="42" t="s">
        <v>326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25">
      <c r="A2" s="41" t="s">
        <v>237</v>
      </c>
      <c r="B2" s="42" t="str">
        <f>A.Backend!B4</f>
        <v>Master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25">
      <c r="A3" s="41" t="s">
        <v>237</v>
      </c>
      <c r="B3" s="42" t="str">
        <f>LOWER(B2)</f>
        <v>master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25">
      <c r="A4" s="41" t="s">
        <v>214</v>
      </c>
      <c r="B4" s="43" t="str">
        <f>A.Backend!Q3</f>
        <v>LogA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25">
      <c r="A5" s="41" t="s">
        <v>214</v>
      </c>
      <c r="B5" s="43" t="str">
        <f>LOWER(B4)</f>
        <v>loga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25">
      <c r="A6" s="41" t="s">
        <v>224</v>
      </c>
      <c r="B6" s="44" t="str">
        <f>A.Backend!B3</f>
        <v>MstLgaPlcSignal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25">
      <c r="A7" s="41" t="s">
        <v>215</v>
      </c>
      <c r="B7" s="43" t="str">
        <f>A.Backend!B5</f>
        <v>PlcSignal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25">
      <c r="A8" s="41" t="s">
        <v>213</v>
      </c>
      <c r="B8" s="43" t="str">
        <f>LOWER(B7)</f>
        <v>plcsignal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25">
      <c r="A9" s="53" t="s">
        <v>216</v>
      </c>
      <c r="B9" s="54"/>
      <c r="C9" s="53"/>
      <c r="D9" s="53"/>
      <c r="E9" s="53"/>
      <c r="F9" s="53"/>
      <c r="G9" s="53"/>
      <c r="H9" s="45" t="s">
        <v>269</v>
      </c>
      <c r="I9" s="46" t="s">
        <v>270</v>
      </c>
      <c r="J9" s="45" t="s">
        <v>219</v>
      </c>
      <c r="K9" s="47" t="s">
        <v>256</v>
      </c>
      <c r="L9" s="46" t="s">
        <v>260</v>
      </c>
      <c r="M9" s="45" t="s">
        <v>249</v>
      </c>
      <c r="N9" s="45" t="s">
        <v>220</v>
      </c>
      <c r="O9" s="45" t="s">
        <v>221</v>
      </c>
      <c r="P9" s="46" t="s">
        <v>223</v>
      </c>
      <c r="Q9" s="45" t="s">
        <v>250</v>
      </c>
      <c r="R9" s="45" t="s">
        <v>233</v>
      </c>
      <c r="S9" s="31"/>
      <c r="T9" s="31"/>
      <c r="U9" s="31"/>
      <c r="V9" s="31"/>
    </row>
    <row r="10" spans="1:22" ht="18.75" customHeight="1" x14ac:dyDescent="0.25">
      <c r="A10" s="55" t="s">
        <v>217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MstLgaPlcSignalDto, MstLgaPlcSignalServiceProxy } from '@shared/service-proxies/service-proxies';
import { finalize } from 'rxjs/internal/operators/finalize';
import { CreateOrEditPlcSignalModalComponent } from './create-or-edit-plcsignal-modal.component';
import { DatePipe } from '@angular/common';
import { FileDownloadService } from '@shared/utils/file-download.service';
import ceil from 'lodash-es/ceil';
import { Paginator } from 'primeng/paginator';
@Component({
    templateUrl: './plcsignal.component.html',
    styleUrls: ['./plcsignal.component.less'],
})
export class PlcSignalComponent extends AppComponentBase implements OnInit {
    @ViewChild('createOrEditModalPlcSignal', { static: true }) createOrEditModalPlcSignal:| CreateOrEditPlcSignalModalComponent|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MstLgaPlcSignalDto = new MstLgaPlcSignalDto();
    saveSelectedRow: MstLgaPlcSignalDto = new MstLgaPlcSignalDto();
    datas: MstLgaPlcSignalDto = new MstLgaPlcSignalDto();
    isLoading: boolean = false;
    dataParams: GridParams | undefined;
    rowData: any[] = [];
    gridApi!: GridApi;
    rowSelection = 'multiple';
    filter: string = '';
	pipe = new DatePipe('en-US');
	frameworkComponents: FrameworkComponent;
    signalIndex : number = 0 ;
	signalPattern : string = '' ; 
	prodLine : string = '' ; 
	process : string = '' ; 
	subProcess : string = '' ; 
	signalCode : string = '' ; 
signalDescription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MstLgaPlcSignalServiceProxy,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this.l('Signal Index'),headerTooltip: this.l('Signal Index'),field: 'signalIndex',flex: 1},
			{headerName: this.l('Signal Pattern'),headerTooltip: this.l('Signal Pattern'),field: 'signalPattern',flex: 1},
			{headerName: this.l('Prod Line'),headerTooltip: this.l('Prod Line'),field: 'prodLine',flex: 1},
			{headerName: this.l('Process'),headerTooltip: this.l('Process'),field: 'process',flex: 1},
			{headerName: this.l('Sub Process'),headerTooltip: this.l('Sub Process'),field: 'subProcess',flex: 1},
			{headerName: this.l('Signal Code'),headerTooltip: this.l('Signal Code'),field: 'signalCode',flex: 1},
			{headerName: this.l('Signal Description'),headerTooltip: this.l('Signal Description'),field: 'signalDescription',flex: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this.signalIndex,
			this.signalPattern,
			this.prodLine,
			this.process,
			this.subProcess,
			this.signalCode,
			this.signalDescription,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this.signalIndex = 0,
		this.signalPattern = '',
		this.prodLine = '',
		this.process = '',
		this.subProcess = '',
		this.signalCode = '',
this.signalDescription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this.signalIndex,
			this.signalPattern,
			this.prodLine,
			this.process,
			this.subProcess,
			this.signalCode,
			this.signalDescription,
			this.isActive,
			'',
            this.paginationParams.skipCount,
            this.paginationParams.pageSize
        );
    }
    onChangeRowSelection(params: { api: { getSelectedRows: () =&gt; MstLgaPlcSignalDto[] } }) {
        this.saveSelectedRow = params.api.getSelectedRows()[0] ?? new MstLgaPlcSignalDto();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MstLgaPlcSignalDto):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this._service.getPlcSignalToExcel(
			this.signalIndex,
			this.signalPattern,
			this.prodLine,
			this.process,
			this.subProcess,
			this.signalCode,
			this.signalDescription,
			this.isActive,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LogA PLC Signal Master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[(ngModel)]='signalPattern' name='signalPattern'
									class='form-control' [placeholder]="l('Signal Pattern')"
									type='text' (keyup.enter)='searchDatas()'&gt;
								&lt;/div&gt;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[(ngModel)]='process' name='process'
									class='form-control' [placeholder]="l('Process')"
									type='text' (keyup.enter)='searchDatas()'&gt;
								&lt;/div&gt;
								&lt;div class='input-search'&gt;
									&lt;input [(ngModel)]='subProcess' name='subProcess'
									class='form-control' [placeholder]="l('Sub Process')"
									type='text' (keyup.enter)='searchDatas()'&gt;
								&lt;/div&gt;
								&lt;div class='input-search'&gt;
									&lt;input [(ngModel)]='signalCode' name='signalCode'
									class='form-control' [placeholder]="l('Signal Code')"
									type='text' (keyup.enter)='searchDatas()'&gt;
								&lt;/div&gt;
								&lt;div class='input-search'&gt;
									&lt;input [(ngModel)]='signalDescription' name='signalDescription'
									class='form-control' [placeholder]="l('Signal Description')"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(click)="createOrEditModalPlcSignal.show()"&gt;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(click)="createOrEditModalPlcSignal.show(selectedRow)"&gt;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&lt;create-or-edit-plcsignal-modal
    #createOrEditModalPlcSignal
    (modalSave)="callBackDataGrid(dataParams)"
    (modalClose)="onChangeRowSelection(dataParams)"
&gt;
&lt;/create-or-edit-plcsignal-modal&gt;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#createOrEditModalPlcSignal="bs-modal"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PlcSignal')}}&lt;/h3&gt;
                    &lt;h3 *ngIf="!rowdata.id"&gt;{{('Create New PlcSignal')}}&lt;/h3&gt;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title'&gt;Signal Index&lt;/label&gt;
						&lt;input type='number' class='col-md-10 form-control input-text' name='SignalIndex' [(ngModel)]='rowdata.signalIndex'&gt;
					&lt;/div&gt;
					&lt;div class='col-md-12 form-group row'&gt;
						&lt;label class='col-md-2 form-control title'&gt;Signal Pattern&lt;/label&gt;
						&lt;input type='text' class='col-md-10 form-control input-text' name='SignalPattern' [(ngModel)]='rowdata.signalPattern'&gt;
					&lt;/div&gt;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title'&gt;Process&lt;/label&gt;
						&lt;input type='text' class='col-md-10 form-control input-text' name='Process' [(ngModel)]='rowdata.process'&gt;
					&lt;/div&gt;
					&lt;div class='col-md-12 form-group row'&gt;
						&lt;label class='col-md-2 form-control title'&gt;Sub Process&lt;/label&gt;
						&lt;input type='text' class='col-md-10 form-control input-text' name='SubProcess' [(ngModel)]='rowdata.subProcess'&gt;
					&lt;/div&gt;
					&lt;div class='col-md-12 form-group row'&gt;
						&lt;label class='col-md-2 form-control title'&gt;Signal Code&lt;/label&gt;
						&lt;input type='text' class='col-md-10 form-control input-text' name='SignalCode' [(ngModel)]='rowdata.signalCode'&gt;
					&lt;/div&gt;
					&lt;div class='col-md-12 form-group row'&gt;
						&lt;label class='col-md-2 form-control title'&gt;Signal Description&lt;/label&gt;
						&lt;input type='text' class='col-md-10 form-control input-text' name='SignalDescription' [(ngModel)]='rowdata.signalDescription'&gt;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CreateOrEditMstLgaPlcSignalDto, MstLgaPlcSignalServiceProxy } from '@shared/service-proxies/service-proxies';
import { BsDatepickerDirective } from 'ngx-bootstrap/datepicker';
@Component({
    selector: 'create-or-edit-plcsignal-modal',
    templateUrl: './create-or-edit-plcsignal-modal.component.html',
    styleUrls: ['./create-or-edit-plcsignal-modal.component.less']
    })
export class CreateOrEditPlcSignalModalComponent extends AppComponentBase {
    @ViewChild('createOrEditModalPlcSignal',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CreateOrEditMstLgaPlcSignalDto = new CreateOrEditMstLgaPlcSignalDto();
    active: boolean = false;
    saving: boolean = false;
    _isActive: boolean;
    constructor(
        injector: Injector,
        private _mstwptPlcSignalService: MstLgaPlcSignalServiceProxy,
    ) 
    {
        super(injector);
    }
    show(rowdata?: CreateOrEditMstLgaPlcSignalDto): void {
        if (!rowdata) this.rowdata = new CreateOrEditMstLgaPlcSignalDto();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this._mstwptPlcSignalService.createOrEdit(this.rowdata)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PlcSignalRoutingModule } from './plcsignal-routing.module';
import { PlcSignalComponent } from './plcsignal.component';
import { CreateOrEditPlcSignalModalComponent } from './create-or-edit-plcsignal-modal.component';
@NgModule({
    declarations: [
       PlcSignalComponent, 
        CreateOrEditPlcSignalModalComponent
    ],
    imports: [
        AppSharedModule, PlcSignalRoutingModule]
})
export class PlcSignalModule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PlcSignalComponent } from './plcsignal.component';
const routes: Routes = [{
    path: '',
    component: PlcSignalComponent,
    pathMatch: 'full'
}];
@NgModule({
    imports: [RouterModule.forChild(routes)],
    exports: [RouterModule],
})
export class PlcSignalRoutingModule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AppMenuItem("PlcSignal", "Pages.Master.LogA.PlcSignal", "flaticon-book",   "/app/main/master/loga/plcsignal"),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'master/loga/plcsignal',
    loadChildren: () =&gt; import('./master/loga/plcsignal/plcsignal.module').then(m =&gt; m.PlcSignalModule),
    data: { permission: 'Pages.Master.LogA.PlcSignal' }
},</v>
      </c>
      <c r="R10" s="50" t="str">
        <f>SUBSTITUTE(R9,"MstWptCalendar",$B$6)</f>
        <v>ApiServiceProxies.MstLgaPlcSignalServiceProxy,</v>
      </c>
      <c r="S10" s="31"/>
      <c r="T10" s="31"/>
      <c r="U10" s="31"/>
      <c r="V10" s="31"/>
    </row>
    <row r="11" spans="1:22" x14ac:dyDescent="0.2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248</v>
      </c>
      <c r="I11" s="31" t="s">
        <v>261</v>
      </c>
      <c r="J11" s="31"/>
      <c r="K11" s="31" t="s">
        <v>259</v>
      </c>
      <c r="L11" s="31" t="s">
        <v>262</v>
      </c>
      <c r="M11" s="38"/>
      <c r="N11" s="31"/>
      <c r="O11" s="31"/>
      <c r="P11" s="31"/>
      <c r="Q11" s="31"/>
      <c r="R11" s="31"/>
      <c r="S11" s="31" t="s">
        <v>253</v>
      </c>
      <c r="T11" s="31" t="s">
        <v>254</v>
      </c>
      <c r="U11" s="31" t="s">
        <v>263</v>
      </c>
      <c r="V11" s="71" t="s">
        <v>265</v>
      </c>
    </row>
    <row r="12" spans="1:22" x14ac:dyDescent="0.2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H22</v>
      </c>
      <c r="I12" s="31" t="str">
        <f>"I"&amp;COUNTA($A:$A)</f>
        <v>I22</v>
      </c>
      <c r="J12" s="31"/>
      <c r="K12" s="31" t="str">
        <f>"K"&amp;COUNTA($A:$A)</f>
        <v>K22</v>
      </c>
      <c r="L12" s="31" t="str">
        <f>"L"&amp;COUNTA($A:$A)</f>
        <v>L22</v>
      </c>
      <c r="M12" s="31"/>
      <c r="N12" s="31"/>
      <c r="O12" s="31"/>
      <c r="P12" s="31"/>
      <c r="Q12" s="31"/>
      <c r="R12" s="31"/>
      <c r="S12" s="31" t="str">
        <f>"S"&amp;COUNTA($A:$A)</f>
        <v>S22</v>
      </c>
      <c r="T12" s="31" t="str">
        <f>"T"&amp;COUNTA($A:$A)</f>
        <v>T22</v>
      </c>
      <c r="U12" s="31" t="str">
        <f>"U"&amp;COUNTA($A:$A)</f>
        <v>U22</v>
      </c>
      <c r="V12" s="31" t="str">
        <f>"V"&amp;COUNTA($A:$A)</f>
        <v>V22</v>
      </c>
    </row>
    <row r="13" spans="1:22" ht="17.25" customHeight="1" x14ac:dyDescent="0.25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this.l('Signal Index'),headerTooltip: this.l('Signal Index'),field: 'signalIndex',flex: 1},
			{headerName: this.l('Signal Pattern'),headerTooltip: this.l('Signal Pattern'),field: 'signalPattern',flex: 1},
			{headerName: this.l('Prod Line'),headerTooltip: this.l('Prod Line'),field: 'prodLine',flex: 1},
			{headerName: this.l('Process'),headerTooltip: this.l('Process'),field: 'process',flex: 1},
			{headerName: this.l('Sub Process'),headerTooltip: this.l('Sub Process'),field: 'subProcess',flex: 1},
			{headerName: this.l('Signal Code'),headerTooltip: this.l('Signal Code'),field: 'signalCode',flex: 1},
			{headerName: this.l('Signal Description'),headerTooltip: this.l('Signal Description'),field: 'signalDescription',flex: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8" t="str">
        <f ca="1">TEXTJOIN2("
",TRUE,INDIRECT(I11):INDIRECT(I12))</f>
        <v xml:space="preserve">								&lt;div class='input-search'&gt;
									&lt;input [(ngModel)]='signalPattern' name='signalPattern'
									class='form-control' [placeholder]="l('Signal Pattern')"
									type='text' (keyup.enter)='searchDatas()'&gt;
								&lt;/div&gt;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[(ngModel)]='process' name='process'
									class='form-control' [placeholder]="l('Process')"
									type='text' (keyup.enter)='searchDatas()'&gt;
								&lt;/div&gt;
								&lt;div class='input-search'&gt;
									&lt;input [(ngModel)]='subProcess' name='subProcess'
									class='form-control' [placeholder]="l('Sub Process')"
									type='text' (keyup.enter)='searchDatas()'&gt;
								&lt;/div&gt;
								&lt;div class='input-search'&gt;
									&lt;input [(ngModel)]='signalCode' name='signalCode'
									class='form-control' [placeholder]="l('Signal Code')"
									type='text' (keyup.enter)='searchDatas()'&gt;
								&lt;/div&gt;
								&lt;div class='input-search'&gt;
									&lt;input [(ngModel)]='signalDescription' name='signalDescription'
									class='form-control' [placeholder]="l('Signal Description')"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title'&gt;Signal Index&lt;/label&gt;
						&lt;input type='number' class='col-md-10 form-control input-text' name='SignalIndex' [(ngModel)]='rowdata.signalIndex'&gt;
					&lt;/div&gt;
					&lt;div class='col-md-12 form-group row'&gt;
						&lt;label class='col-md-2 form-control title'&gt;Signal Pattern&lt;/label&gt;
						&lt;input type='text' class='col-md-10 form-control input-text' name='SignalPattern' [(ngModel)]='rowdata.signalPattern'&gt;
					&lt;/div&gt;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title'&gt;Process&lt;/label&gt;
						&lt;input type='text' class='col-md-10 form-control input-text' name='Process' [(ngModel)]='rowdata.process'&gt;
					&lt;/div&gt;
					&lt;div class='col-md-12 form-group row'&gt;
						&lt;label class='col-md-2 form-control title'&gt;Sub Process&lt;/label&gt;
						&lt;input type='text' class='col-md-10 form-control input-text' name='SubProcess' [(ngModel)]='rowdata.subProcess'&gt;
					&lt;/div&gt;
					&lt;div class='col-md-12 form-group row'&gt;
						&lt;label class='col-md-2 form-control title'&gt;Signal Code&lt;/label&gt;
						&lt;input type='text' class='col-md-10 form-control input-text' name='SignalCode' [(ngModel)]='rowdata.signalCode'&gt;
					&lt;/div&gt;
					&lt;div class='col-md-12 form-group row'&gt;
						&lt;label class='col-md-2 form-control title'&gt;Signal Description&lt;/label&gt;
						&lt;input type='text' class='col-md-10 form-control input-text' name='SignalDescription' [(ngModel)]='rowdata.signalDescription'&gt;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60" t="str">
        <f ca="1">TEXTJOIN2("
",TRUE,INDIRECT(L11):INDIRECT(L12))</f>
        <v/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 xml:space="preserve">signalIndex : number = 0 ;
	signalPattern : string = '' ; 
	prodLine : string = '' ; 
	process : string = '' ; 
	subProcess : string = '' ; 
	signalCode : string = '' ; 
signalDescription : string = '' ; 
	isActive : string = '' ; </v>
      </c>
      <c r="T13" s="68" t="str">
        <f ca="1">TEXTJOIN2("
",TRUE,INDIRECT(T11):INDIRECT(T12))</f>
        <v xml:space="preserve">			this.signalIndex,
			this.signalPattern,
			this.prodLine,
			this.process,
			this.subProcess,
			this.signalCode,
			this.signalDescription,
			this.isActive,</v>
      </c>
      <c r="U13" s="68" t="str">
        <f ca="1">TEXTJOIN2("
",TRUE,INDIRECT(U11):INDIRECT(U12))</f>
        <v>this.signalIndex = 0,
		this.signalPattern = '',
		this.prodLine = '',
		this.process = '',
		this.subProcess = '',
		this.signalCode = '',
this.signalDescription = '',
		this.isActive = '',</v>
      </c>
      <c r="V13" s="31" t="str">
        <f ca="1">TEXTJOIN2("
",TRUE,INDIRECT(V11):INDIRECT(V12))</f>
        <v>isActive</v>
      </c>
    </row>
    <row r="14" spans="1:22" x14ac:dyDescent="0.25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plcsignal.component.ts</v>
      </c>
      <c r="I14" s="40" t="str">
        <f>B8&amp;".component.html"</f>
        <v>plcsignal.component.html</v>
      </c>
      <c r="J14" s="39" t="str">
        <f>B8&amp;".component.less"</f>
        <v>plcsignal.component.less</v>
      </c>
      <c r="K14" s="40" t="str">
        <f>"create-or-edit-"&amp;B8&amp;"-modal.component.html"</f>
        <v>create-or-edit-plcsignal-modal.component.html</v>
      </c>
      <c r="L14" s="40" t="str">
        <f>"create-or-edit-"&amp;B8&amp;"-modal.component.ts"</f>
        <v>create-or-edit-plcsignal-modal.component.ts</v>
      </c>
      <c r="M14" s="40" t="str">
        <f>"create-or-edit-"&amp;B8&amp;"-modal.component.less"</f>
        <v>create-or-edit-plcsignal-modal.component.less</v>
      </c>
      <c r="N14" s="40" t="str">
        <f>B8&amp;".module.ts"</f>
        <v>plcsignal.module.ts</v>
      </c>
      <c r="O14" s="40" t="str">
        <f>B8&amp;"-routing.module.ts"</f>
        <v>plcsignal-routing.module.ts</v>
      </c>
      <c r="P14" s="40" t="s">
        <v>222</v>
      </c>
      <c r="Q14" s="40" t="s">
        <v>225</v>
      </c>
      <c r="R14" s="41" t="s">
        <v>232</v>
      </c>
      <c r="S14" s="40" t="s">
        <v>251</v>
      </c>
      <c r="T14" s="40" t="s">
        <v>252</v>
      </c>
      <c r="U14" s="40" t="s">
        <v>255</v>
      </c>
      <c r="V14" s="40" t="s">
        <v>264</v>
      </c>
    </row>
    <row r="15" spans="1:22" ht="18" customHeight="1" x14ac:dyDescent="0.25">
      <c r="A15" s="44" t="s">
        <v>314</v>
      </c>
      <c r="B15" s="31" t="str">
        <f>SUBSTITUTE(PROPER(A15),"_","")</f>
        <v>SignalIndex</v>
      </c>
      <c r="C15" s="31" t="str">
        <f>SUBSTITUTE(PROPER(A15),"_"," ")</f>
        <v>Signal Index</v>
      </c>
      <c r="D15" s="31" t="str">
        <f>LOWER(LEFT(B15,1))&amp;RIGHT(B15,LEN(B15) - 1)</f>
        <v>signalIndex</v>
      </c>
      <c r="E15" s="31" t="str">
        <f>A.Backend!H9</f>
        <v>int</v>
      </c>
      <c r="F15" s="31" t="str">
        <f>A.Backend!G9</f>
        <v/>
      </c>
      <c r="G15" s="31" t="str">
        <f>IF(E15="string"," : string = '' ; ",IF(OR(E15="DateTime",E15="TimeSpan")," : any ;",IF(E15="int"," : number = 0 ;","")))</f>
        <v xml:space="preserve"> : number = 0 ;</v>
      </c>
      <c r="H15" s="38" t="str">
        <f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this.l('Signal Index'),headerTooltip: this.l('Signal Index'),field: 'signalIndex',flex: 1},</v>
      </c>
      <c r="I15" s="38" t="str">
        <f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/>
      </c>
      <c r="J15" s="31"/>
      <c r="K15" s="38" t="str">
        <f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title'&gt;Signal Index&lt;/label&gt;
						&lt;input type='number' class='col-md-10 form-control input-text' name='SignalIndex' [(ngModel)]='rowdata.signalIndex'&gt;
					&lt;/div&gt;</v>
      </c>
      <c r="L15" s="60" t="str">
        <f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D15&amp;G15</f>
        <v>signalIndex : number = 0 ;</v>
      </c>
      <c r="T15" s="31" t="str">
        <f>REPT(CHAR(9),3)&amp;"this."&amp;D15&amp;","</f>
        <v xml:space="preserve">			this.signalIndex,</v>
      </c>
      <c r="U15" s="31" t="str">
        <f>IF(E15="int","this."&amp;D15&amp;" = 0,","this."&amp;D15&amp;" = '',")</f>
        <v>this.signalIndex = 0,</v>
      </c>
      <c r="V15" s="31" t="str">
        <f>IF(AND(E15="string",F15="1"),D15,"")</f>
        <v/>
      </c>
    </row>
    <row r="16" spans="1:22" ht="15" customHeight="1" x14ac:dyDescent="0.25">
      <c r="A16" s="44" t="s">
        <v>316</v>
      </c>
      <c r="B16" s="31" t="str">
        <f t="shared" ref="B16:B18" si="0">SUBSTITUTE(PROPER(A16),"_","")</f>
        <v>SignalPattern</v>
      </c>
      <c r="C16" s="31" t="str">
        <f t="shared" ref="C16:C18" si="1">SUBSTITUTE(PROPER(A16),"_"," ")</f>
        <v>Signal Pattern</v>
      </c>
      <c r="D16" s="31" t="str">
        <f t="shared" ref="D16:D18" si="2">LOWER(LEFT(B16,1))&amp;RIGHT(B16,LEN(B16) - 1)</f>
        <v>signalPattern</v>
      </c>
      <c r="E16" s="31" t="str">
        <f>A.Backend!H10</f>
        <v>string</v>
      </c>
      <c r="F16" s="31" t="str">
        <f>A.Backend!G10</f>
        <v>250</v>
      </c>
      <c r="G16" s="31" t="str">
        <f t="shared" ref="G16:G18" si="3">IF(E16="string"," : string = '' ; ",IF(OR(E16="DateTime",E16="TimeSpan")," : any ;",IF(E16="int"," : number = 0 ;","")))</f>
        <v xml:space="preserve"> : string = '' ; </v>
      </c>
      <c r="H16" s="38" t="str">
        <f t="shared" ref="H16:H18" si="4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this.l('Signal Pattern'),headerTooltip: this.l('Signal Pattern'),field: 'signalPattern',flex: 1},</v>
      </c>
      <c r="I16" s="38" t="str">
        <f t="shared" ref="I16:I18" si="5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[(ngModel)]='signalPattern' name='signalPattern'
									class='form-control' [placeholder]="l('Signal Pattern')"
									type='text' (keyup.enter)='searchDatas()'&gt;
								&lt;/div&gt;</v>
      </c>
      <c r="J16" s="31"/>
      <c r="K16" s="38" t="str">
        <f t="shared" ref="K16:K18" si="6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title'&gt;Signal Pattern&lt;/label&gt;
						&lt;input type='text' class='col-md-10 form-control input-text' name='SignalPattern' [(ngModel)]='rowdata.signalPattern'&gt;
					&lt;/div&gt;</v>
      </c>
      <c r="L16" s="60" t="str">
        <f t="shared" ref="L16:L18" si="7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>REPT(CHAR(9),1)&amp;D16&amp;G16</f>
        <v xml:space="preserve">	signalPattern : string = '' ; </v>
      </c>
      <c r="T16" s="31" t="str">
        <f>REPT(CHAR(9),3)&amp;"this."&amp;D16&amp;","</f>
        <v xml:space="preserve">			this.signalPattern,</v>
      </c>
      <c r="U16" s="31" t="str">
        <f>IF(E16="int",REPT(CHAR(9),2)&amp;"this."&amp;D16&amp;" = 0,",REPT(CHAR(9),2)&amp;"this."&amp;D16&amp;" = '',")</f>
        <v xml:space="preserve">		this.signalPattern = '',</v>
      </c>
      <c r="V16" s="31" t="str">
        <f t="shared" ref="V16:V18" si="8">IF(AND(E16="string",F16="1"),D16,"")</f>
        <v/>
      </c>
    </row>
    <row r="17" spans="1:22" ht="18" customHeight="1" x14ac:dyDescent="0.25">
      <c r="A17" s="44" t="s">
        <v>323</v>
      </c>
      <c r="B17" s="31" t="str">
        <f t="shared" ref="B17" si="9">SUBSTITUTE(PROPER(A17),"_","")</f>
        <v>ProdLine</v>
      </c>
      <c r="C17" s="31" t="str">
        <f t="shared" ref="C17" si="10">SUBSTITUTE(PROPER(A17),"_"," ")</f>
        <v>Prod Line</v>
      </c>
      <c r="D17" s="31" t="str">
        <f t="shared" ref="D17" si="11">LOWER(LEFT(B17,1))&amp;RIGHT(B17,LEN(B17) - 1)</f>
        <v>prodLine</v>
      </c>
      <c r="E17" s="31" t="str">
        <f>A.Backend!H11</f>
        <v>string</v>
      </c>
      <c r="F17" s="31" t="str">
        <f>A.Backend!G11</f>
        <v>50</v>
      </c>
      <c r="G17" s="31" t="str">
        <f t="shared" ref="G17" si="12">IF(E17="string"," : string = '' ; ",IF(OR(E17="DateTime",E17="TimeSpan")," : any ;",IF(E17="int"," : number = 0 ;","")))</f>
        <v xml:space="preserve"> : string = '' ; </v>
      </c>
      <c r="H17" s="38" t="str">
        <f t="shared" ref="H17" si="13">IF(E17="DateTime",
REPT(CHAR(9),3)&amp;"{headerName: this.l('"&amp;C17&amp;"'),headerTooltip: this.l('"&amp;C17&amp;"'),field: '"&amp;D17&amp;"',valueGetter: (params) =&gt; this.pipe.transform(params.data?."&amp;D17&amp;", 'dd/MM/yyyy'),flex: 1},",
IF(AND(E17="string",F17="1"),
REPT(CHAR(9),3)&amp;"{headerName: this.l('"&amp;C17&amp;"'),headerTooltip: this.l('"&amp;C17&amp;"'),field:  '"&amp;D17&amp;"', cellClass: ['text-center'], width: 120, cellRenderer: 'agCellButtonComponent',
buttonDefTwo: { text: params =&gt; (params.data?.'"&amp;D17&amp;"' == 'Y') ? 'Active' : 'Inactive',iconName: 'fa fa-circle',className: params =&gt; (params.data?.'"&amp;D17&amp;"' == 'Y') ? 'btnActive' : 'btnInActive',},}",
REPT(CHAR(9),3)&amp;"{headerName: this.l('"&amp;C17&amp;"'),headerTooltip: this.l('"&amp;C17&amp;"'),field: '"&amp;D17&amp;"',flex: 1},"))</f>
        <v xml:space="preserve">			{headerName: this.l('Prod Line'),headerTooltip: this.l('Prod Line'),field: 'prodLine',flex: 1},</v>
      </c>
      <c r="I17" s="38" t="str">
        <f t="shared" ref="I17" si="14">IF(E17="DateTime",
REPT(CHAR(9),8)&amp;"&lt;div class='input-search'&gt;
"&amp;REPT(CHAR(9),9)&amp;"&lt;input type='text' [placeholder]=""l('"&amp;C17&amp;"')"" [(ngModel)]='"&amp;D17&amp;"' 
"&amp;REPT(CHAR(9),9)&amp;"name='"&amp;D17&amp;"'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IF(E17="string",
REPT(CHAR(9),8)&amp;"&lt;div class='input-search'&gt;
"&amp;REPT(CHAR(9),9)&amp;"&lt;input [(ngModel)]='"&amp;D17&amp;"' name='"&amp;D17&amp;"'
"&amp;REPT(CHAR(9),9)&amp;"class='form-control' [placeholder]=""l('"&amp;C17&amp;"')""
"&amp;REPT(CHAR(9),9)&amp;"type='text' (keyup.enter)='searchDatas()'&gt;
"&amp;REPT(CHAR(9),8)&amp;"&lt;/div&gt;",""))</f>
        <v xml:space="preserve">								&lt;div class='input-search'&gt;
									&lt;input [(ngModel)]='prodLine' name='prodLine'
									class='form-control' [placeholder]="l('Prod Line')"
									type='text' (keyup.enter)='searchDatas()'&gt;
								&lt;/div&gt;</v>
      </c>
      <c r="J17" s="31"/>
      <c r="K17" s="38" t="str">
        <f t="shared" ref="K17" si="15">IF(OR(E17="DateTime",E17="TimeSpan"),
REPT(CHAR(9),5)&amp;"&lt;div class='col-md-12 form-group row'&gt;
"&amp;REPT(CHAR(9),6)&amp;"&lt;label class='col-md-2 form-control title'&gt;"&amp;C17&amp;"&lt;/label&gt;
"&amp;REPT(CHAR(9),6)&amp;"&lt;input type='text' class='col-md-10 form-control input-text' name='"&amp;D17&amp;"' 
"&amp;REPT(CHAR(9),6)&amp;"#datepicker='bsDatepicker' [(ngModel)]='rowdata."&amp;D17&amp;"'  bsDatepicker &gt;
"&amp;REPT(CHAR(9),5)&amp;"&lt;/div&gt;",
IF(AND(E17="string",F17="1"),
REPT(CHAR(9),5)&amp;"&lt;div class='col-md-12 form-group row'&gt;
"&amp;REPT(CHAR(9),6)&amp;"&lt;label class='col-md-2 form-control title'&gt;"&amp;C17&amp;"&lt;/label&gt;
"&amp;REPT(CHAR(9),6)&amp;"&lt;new-checkbox [(ngModel)]='_"&amp;D17&amp;"' name='"&amp;D17&amp;"' className='col-md-10' &gt; &lt;/new-checkbox&gt;
"&amp;REPT(CHAR(9),5)&amp;"&lt;/div&gt;",
IF(E17="string",
REPT(CHAR(9),5)&amp;"&lt;div class='col-md-12 form-group row'&gt;
"&amp;REPT(CHAR(9),6)&amp;"&lt;label class='col-md-2 form-control title'&gt;"&amp;C17&amp;"&lt;/label&gt;
"&amp;REPT(CHAR(9),6)&amp;"&lt;input type='text' class='col-md-10 form-control input-text' name='"&amp;B17&amp;"' [(ngModel)]='rowdata."&amp;D17&amp;"'&gt;
"&amp;REPT(CHAR(9),5)&amp;"&lt;/div&gt;",
IF(E17="int",
REPT(CHAR(9),5)&amp;"&lt;div class='col-md-12 form-group row'&gt;
"&amp;REPT(CHAR(9),6)&amp;"&lt;label class='col-md-2 form-control title'&gt;"&amp;C17&amp;"&lt;/label&gt;
"&amp;REPT(CHAR(9),6)&amp;"&lt;input type='number' class='col-md-10 form-control input-text' name='"&amp;B17&amp;"' [(ngModel)]='rowdata."&amp;D17&amp;"'&gt;
"&amp;REPT(CHAR(9),5)&amp;"&lt;/div&gt;",""))))</f>
        <v xml:space="preserve">					&lt;div class='col-md-12 form-group row'&gt;
						&lt;label class='col-md-2 form-control title'&gt;Prod Line&lt;/label&gt;
						&lt;input type='text' class='col-md-10 form-control input-text' name='ProdLine' [(ngModel)]='rowdata.prodLine'&gt;
					&lt;/div&gt;</v>
      </c>
      <c r="L17" s="60" t="str">
        <f t="shared" ref="L17" si="16"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31"/>
      <c r="N17" s="31"/>
      <c r="O17" s="31"/>
      <c r="P17" s="31"/>
      <c r="Q17" s="31"/>
      <c r="R17" s="31"/>
      <c r="S17" s="31" t="str">
        <f t="shared" ref="S17" si="17">REPT(CHAR(9),1)&amp;D17&amp;G17</f>
        <v xml:space="preserve">	prodLine : string = '' ; </v>
      </c>
      <c r="T17" s="31" t="str">
        <f t="shared" ref="T17" si="18">REPT(CHAR(9),3)&amp;"this."&amp;D17&amp;","</f>
        <v xml:space="preserve">			this.prodLine,</v>
      </c>
      <c r="U17" s="31" t="str">
        <f t="shared" ref="U17" si="19">IF(E17="int",REPT(CHAR(9),2)&amp;"this."&amp;D17&amp;" = 0,",REPT(CHAR(9),2)&amp;"this."&amp;D17&amp;" = '',")</f>
        <v xml:space="preserve">		this.prodLine = '',</v>
      </c>
      <c r="V17" s="31" t="str">
        <f t="shared" ref="V17" si="20">IF(AND(E17="string",F17="1"),D17,"")</f>
        <v/>
      </c>
    </row>
    <row r="18" spans="1:22" ht="18" customHeight="1" x14ac:dyDescent="0.25">
      <c r="A18" s="44" t="s">
        <v>317</v>
      </c>
      <c r="B18" s="31" t="str">
        <f t="shared" si="0"/>
        <v>Process</v>
      </c>
      <c r="C18" s="31" t="str">
        <f t="shared" si="1"/>
        <v>Process</v>
      </c>
      <c r="D18" s="31" t="str">
        <f t="shared" si="2"/>
        <v>process</v>
      </c>
      <c r="E18" s="31" t="str">
        <f>A.Backend!H12</f>
        <v>string</v>
      </c>
      <c r="F18" s="31" t="str">
        <f>A.Backend!G12</f>
        <v>50</v>
      </c>
      <c r="G18" s="31" t="str">
        <f t="shared" si="3"/>
        <v xml:space="preserve"> : string = '' ; </v>
      </c>
      <c r="H18" s="38" t="str">
        <f t="shared" si="4"/>
        <v xml:space="preserve">			{headerName: this.l('Process'),headerTooltip: this.l('Process'),field: 'process',flex: 1},</v>
      </c>
      <c r="I18" s="38" t="str">
        <f t="shared" si="5"/>
        <v xml:space="preserve">								&lt;div class='input-search'&gt;
									&lt;input [(ngModel)]='process' name='process'
									class='form-control' [placeholder]="l('Process')"
									type='text' (keyup.enter)='searchDatas()'&gt;
								&lt;/div&gt;</v>
      </c>
      <c r="J18" s="31"/>
      <c r="K18" s="38" t="str">
        <f t="shared" si="6"/>
        <v xml:space="preserve">					&lt;div class='col-md-12 form-group row'&gt;
						&lt;label class='col-md-2 form-control title'&gt;Process&lt;/label&gt;
						&lt;input type='text' class='col-md-10 form-control input-text' name='Process' [(ngModel)]='rowdata.process'&gt;
					&lt;/div&gt;</v>
      </c>
      <c r="L18" s="60" t="str">
        <f t="shared" si="7"/>
        <v/>
      </c>
      <c r="M18" s="31"/>
      <c r="N18" s="31"/>
      <c r="O18" s="31"/>
      <c r="P18" s="31"/>
      <c r="Q18" s="31"/>
      <c r="R18" s="31"/>
      <c r="S18" s="31" t="str">
        <f t="shared" ref="S18" si="21">REPT(CHAR(9),1)&amp;D18&amp;G18</f>
        <v xml:space="preserve">	process : string = '' ; </v>
      </c>
      <c r="T18" s="31" t="str">
        <f t="shared" ref="T18" si="22">REPT(CHAR(9),3)&amp;"this."&amp;D18&amp;","</f>
        <v xml:space="preserve">			this.process,</v>
      </c>
      <c r="U18" s="31" t="str">
        <f t="shared" ref="U18" si="23">IF(E18="int",REPT(CHAR(9),2)&amp;"this."&amp;D18&amp;" = 0,",REPT(CHAR(9),2)&amp;"this."&amp;D18&amp;" = '',")</f>
        <v xml:space="preserve">		this.process = '',</v>
      </c>
      <c r="V18" s="31" t="str">
        <f t="shared" si="8"/>
        <v/>
      </c>
    </row>
    <row r="19" spans="1:22" ht="18" customHeight="1" x14ac:dyDescent="0.25">
      <c r="A19" s="44" t="s">
        <v>318</v>
      </c>
      <c r="B19" s="31" t="str">
        <f>SUBSTITUTE(PROPER(A19),"_","")</f>
        <v>SubProcess</v>
      </c>
      <c r="C19" s="31" t="str">
        <f>SUBSTITUTE(PROPER(A19),"_"," ")</f>
        <v>Sub Process</v>
      </c>
      <c r="D19" s="31" t="str">
        <f>LOWER(LEFT(B19,1))&amp;RIGHT(B19,LEN(B19) - 1)</f>
        <v>subProcess</v>
      </c>
      <c r="E19" s="31" t="str">
        <f>A.Backend!H13</f>
        <v>string</v>
      </c>
      <c r="F19" s="31" t="str">
        <f>A.Backend!G13</f>
        <v>50</v>
      </c>
      <c r="G19" s="31" t="str">
        <f t="shared" ref="G19:G20" si="24">IF(E19="string"," : string = '' ; ",IF(OR(E19="DateTime",E19="TimeSpan")," : any ;",IF(E19="int"," : number = 0 ;","")))</f>
        <v xml:space="preserve"> : string = '' ; </v>
      </c>
      <c r="H19" s="38" t="str">
        <f t="shared" ref="H19:H20" si="25">IF(E19="DateTime",
REPT(CHAR(9),3)&amp;"{headerName: this.l('"&amp;C19&amp;"'),headerTooltip: this.l('"&amp;C19&amp;"'),field: '"&amp;D19&amp;"',valueGetter: (params) =&gt; this.pipe.transform(params.data?."&amp;D19&amp;", 'dd/MM/yyyy'),flex: 1},",
IF(AND(E19="string",F19="1"),
REPT(CHAR(9),3)&amp;"{headerName: this.l('"&amp;C19&amp;"'),headerTooltip: this.l('"&amp;C19&amp;"'),field:  '"&amp;D19&amp;"', cellClass: ['text-center'], width: 120, cellRenderer: 'agCellButtonComponent',
buttonDefTwo: { text: params =&gt; (params.data?.'"&amp;D19&amp;"' == 'Y') ? 'Active' : 'Inactive',iconName: 'fa fa-circle',className: params =&gt; (params.data?.'"&amp;D19&amp;"' == 'Y') ? 'btnActive' : 'btnInActive',},}",
REPT(CHAR(9),3)&amp;"{headerName: this.l('"&amp;C19&amp;"'),headerTooltip: this.l('"&amp;C19&amp;"'),field: '"&amp;D19&amp;"',flex: 1},"))</f>
        <v xml:space="preserve">			{headerName: this.l('Sub Process'),headerTooltip: this.l('Sub Process'),field: 'subProcess',flex: 1},</v>
      </c>
      <c r="I19" s="38" t="str">
        <f t="shared" ref="I19:I20" si="26">IF(E19="DateTime",
REPT(CHAR(9),8)&amp;"&lt;div class='input-search'&gt;
"&amp;REPT(CHAR(9),9)&amp;"&lt;input type='text' [placeholder]=""l('"&amp;C19&amp;"')"" [(ngModel)]='"&amp;D19&amp;"' 
"&amp;REPT(CHAR(9),9)&amp;"name='"&amp;D19&amp;"'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IF(E19="string",
REPT(CHAR(9),8)&amp;"&lt;div class='input-search'&gt;
"&amp;REPT(CHAR(9),9)&amp;"&lt;input [(ngModel)]='"&amp;D19&amp;"' name='"&amp;D19&amp;"'
"&amp;REPT(CHAR(9),9)&amp;"class='form-control' [placeholder]=""l('"&amp;C19&amp;"')""
"&amp;REPT(CHAR(9),9)&amp;"type='text' (keyup.enter)='searchDatas()'&gt;
"&amp;REPT(CHAR(9),8)&amp;"&lt;/div&gt;",""))</f>
        <v xml:space="preserve">								&lt;div class='input-search'&gt;
									&lt;input [(ngModel)]='subProcess' name='subProcess'
									class='form-control' [placeholder]="l('Sub Process')"
									type='text' (keyup.enter)='searchDatas()'&gt;
								&lt;/div&gt;</v>
      </c>
      <c r="J19" s="31"/>
      <c r="K19" s="38" t="str">
        <f t="shared" ref="K19:K20" si="27">IF(OR(E19="DateTime",E19="TimeSpan"),
REPT(CHAR(9),5)&amp;"&lt;div class='col-md-12 form-group row'&gt;
"&amp;REPT(CHAR(9),6)&amp;"&lt;label class='col-md-2 form-control title'&gt;"&amp;C19&amp;"&lt;/label&gt;
"&amp;REPT(CHAR(9),6)&amp;"&lt;input type='text' class='col-md-10 form-control input-text' name='"&amp;D19&amp;"' 
"&amp;REPT(CHAR(9),6)&amp;"#datepicker='bsDatepicker' [(ngModel)]='rowdata."&amp;D19&amp;"'  bsDatepicker &gt;
"&amp;REPT(CHAR(9),5)&amp;"&lt;/div&gt;",
IF(AND(E19="string",F19="1"),
REPT(CHAR(9),5)&amp;"&lt;div class='col-md-12 form-group row'&gt;
"&amp;REPT(CHAR(9),6)&amp;"&lt;label class='col-md-2 form-control title'&gt;"&amp;C19&amp;"&lt;/label&gt;
"&amp;REPT(CHAR(9),6)&amp;"&lt;new-checkbox [(ngModel)]='_"&amp;D19&amp;"' name='"&amp;D19&amp;"' className='col-md-10' &gt; &lt;/new-checkbox&gt;
"&amp;REPT(CHAR(9),5)&amp;"&lt;/div&gt;",
IF(E19="string",
REPT(CHAR(9),5)&amp;"&lt;div class='col-md-12 form-group row'&gt;
"&amp;REPT(CHAR(9),6)&amp;"&lt;label class='col-md-2 form-control title'&gt;"&amp;C19&amp;"&lt;/label&gt;
"&amp;REPT(CHAR(9),6)&amp;"&lt;input type='text' class='col-md-10 form-control input-text' name='"&amp;B19&amp;"' [(ngModel)]='rowdata."&amp;D19&amp;"'&gt;
"&amp;REPT(CHAR(9),5)&amp;"&lt;/div&gt;",
IF(E19="int",
REPT(CHAR(9),5)&amp;"&lt;div class='col-md-12 form-group row'&gt;
"&amp;REPT(CHAR(9),6)&amp;"&lt;label class='col-md-2 form-control title'&gt;"&amp;C19&amp;"&lt;/label&gt;
"&amp;REPT(CHAR(9),6)&amp;"&lt;input type='number' class='col-md-10 form-control input-text' name='"&amp;B19&amp;"' [(ngModel)]='rowdata."&amp;D19&amp;"'&gt;
"&amp;REPT(CHAR(9),5)&amp;"&lt;/div&gt;",""))))</f>
        <v xml:space="preserve">					&lt;div class='col-md-12 form-group row'&gt;
						&lt;label class='col-md-2 form-control title'&gt;Sub Process&lt;/label&gt;
						&lt;input type='text' class='col-md-10 form-control input-text' name='SubProcess' [(ngModel)]='rowdata.subProcess'&gt;
					&lt;/div&gt;</v>
      </c>
      <c r="L19" s="60" t="str">
        <f t="shared" ref="L19:L20" si="28">IF(E19="DateTime",
REPT(CHAR(9),2)&amp;"const dateValue =  this.rowdata."&amp;D19&amp;" ? new Date(this.rowdata."&amp;D19&amp;"?.toString()) : new Date();
"&amp;REPT(CHAR(9),2)&amp;"this.datepicker?.bsValueChange.emit(dateValue);","")</f>
        <v/>
      </c>
      <c r="M19" s="31"/>
      <c r="N19" s="31"/>
      <c r="O19" s="31"/>
      <c r="P19" s="31"/>
      <c r="Q19" s="31"/>
      <c r="R19" s="31"/>
      <c r="S19" s="31" t="str">
        <f t="shared" ref="S19:S20" si="29">REPT(CHAR(9),1)&amp;D19&amp;G19</f>
        <v xml:space="preserve">	subProcess : string = '' ; </v>
      </c>
      <c r="T19" s="31" t="str">
        <f t="shared" ref="T19:T20" si="30">REPT(CHAR(9),3)&amp;"this."&amp;D19&amp;","</f>
        <v xml:space="preserve">			this.subProcess,</v>
      </c>
      <c r="U19" s="31" t="str">
        <f t="shared" ref="U19:U20" si="31">IF(E19="int",REPT(CHAR(9),2)&amp;"this."&amp;D19&amp;" = 0,",REPT(CHAR(9),2)&amp;"this."&amp;D19&amp;" = '',")</f>
        <v xml:space="preserve">		this.subProcess = '',</v>
      </c>
      <c r="V19" s="31" t="str">
        <f t="shared" ref="V19:V20" si="32">IF(AND(E19="string",F19="1"),D19,"")</f>
        <v/>
      </c>
    </row>
    <row r="20" spans="1:22" ht="15" customHeight="1" x14ac:dyDescent="0.25">
      <c r="A20" s="44" t="s">
        <v>319</v>
      </c>
      <c r="B20" s="31" t="str">
        <f t="shared" ref="B20" si="33">SUBSTITUTE(PROPER(A20),"_","")</f>
        <v>SignalCode</v>
      </c>
      <c r="C20" s="31" t="str">
        <f t="shared" ref="C20" si="34">SUBSTITUTE(PROPER(A20),"_"," ")</f>
        <v>Signal Code</v>
      </c>
      <c r="D20" s="31" t="str">
        <f t="shared" ref="D20" si="35">LOWER(LEFT(B20,1))&amp;RIGHT(B20,LEN(B20) - 1)</f>
        <v>signalCode</v>
      </c>
      <c r="E20" s="31" t="str">
        <f>A.Backend!H14</f>
        <v>string</v>
      </c>
      <c r="F20" s="31" t="str">
        <f>A.Backend!G14</f>
        <v>50</v>
      </c>
      <c r="G20" s="31" t="str">
        <f t="shared" si="24"/>
        <v xml:space="preserve"> : string = '' ; </v>
      </c>
      <c r="H20" s="38" t="str">
        <f t="shared" si="25"/>
        <v xml:space="preserve">			{headerName: this.l('Signal Code'),headerTooltip: this.l('Signal Code'),field: 'signalCode',flex: 1},</v>
      </c>
      <c r="I20" s="38" t="str">
        <f t="shared" si="26"/>
        <v xml:space="preserve">								&lt;div class='input-search'&gt;
									&lt;input [(ngModel)]='signalCode' name='signalCode'
									class='form-control' [placeholder]="l('Signal Code')"
									type='text' (keyup.enter)='searchDatas()'&gt;
								&lt;/div&gt;</v>
      </c>
      <c r="J20" s="31"/>
      <c r="K20" s="38" t="str">
        <f t="shared" si="27"/>
        <v xml:space="preserve">					&lt;div class='col-md-12 form-group row'&gt;
						&lt;label class='col-md-2 form-control title'&gt;Signal Code&lt;/label&gt;
						&lt;input type='text' class='col-md-10 form-control input-text' name='SignalCode' [(ngModel)]='rowdata.signalCode'&gt;
					&lt;/div&gt;</v>
      </c>
      <c r="L20" s="60" t="str">
        <f t="shared" si="28"/>
        <v/>
      </c>
      <c r="M20" s="31"/>
      <c r="N20" s="31"/>
      <c r="O20" s="31"/>
      <c r="P20" s="31"/>
      <c r="Q20" s="31"/>
      <c r="R20" s="31"/>
      <c r="S20" s="31" t="str">
        <f t="shared" si="29"/>
        <v xml:space="preserve">	signalCode : string = '' ; </v>
      </c>
      <c r="T20" s="31" t="str">
        <f t="shared" si="30"/>
        <v xml:space="preserve">			this.signalCode,</v>
      </c>
      <c r="U20" s="31" t="str">
        <f t="shared" si="31"/>
        <v xml:space="preserve">		this.signalCode = '',</v>
      </c>
      <c r="V20" s="31" t="str">
        <f t="shared" si="32"/>
        <v/>
      </c>
    </row>
    <row r="21" spans="1:22" ht="18" customHeight="1" x14ac:dyDescent="0.25">
      <c r="A21" s="44" t="s">
        <v>320</v>
      </c>
      <c r="B21" s="31" t="str">
        <f>SUBSTITUTE(PROPER(A21),"_","")</f>
        <v>SignalDescription</v>
      </c>
      <c r="C21" s="31" t="str">
        <f>SUBSTITUTE(PROPER(A21),"_"," ")</f>
        <v>Signal Description</v>
      </c>
      <c r="D21" s="31" t="str">
        <f>LOWER(LEFT(B21,1))&amp;RIGHT(B21,LEN(B21) - 1)</f>
        <v>signalDescription</v>
      </c>
      <c r="E21" s="31" t="str">
        <f>A.Backend!H15</f>
        <v>string</v>
      </c>
      <c r="F21" s="31" t="str">
        <f>A.Backend!G15</f>
        <v>500</v>
      </c>
      <c r="G21" s="31" t="str">
        <f>IF(E21="string"," : string = '' ; ",IF(OR(E21="DateTime",E21="TimeSpan")," : any ;",IF(E21="int"," : number = 0 ;","")))</f>
        <v xml:space="preserve"> : string = '' ; </v>
      </c>
      <c r="H21" s="38" t="str">
        <f>IF(E21="DateTime",
REPT(CHAR(9),3)&amp;"{headerName: this.l('"&amp;C21&amp;"'),headerTooltip: this.l('"&amp;C21&amp;"'),field: '"&amp;D21&amp;"',valueGetter: (params) =&gt; this.pipe.transform(params.data?."&amp;D21&amp;", 'dd/MM/yyyy'),flex: 1},",
IF(AND(E21="string",F21="1"),
REPT(CHAR(9),3)&amp;"{headerName: this.l('"&amp;C21&amp;"'),headerTooltip: this.l('"&amp;C21&amp;"'),field:  '"&amp;D21&amp;"', cellClass: ['text-center'], width: 120, cellRenderer: 'agCellButtonComponent',
buttonDefTwo: { text: params =&gt; (params.data?.'"&amp;D21&amp;"' == 'Y') ? 'Active' : 'Inactive',iconName: 'fa fa-circle',className: params =&gt; (params.data?.'"&amp;D21&amp;"' == 'Y') ? 'btnActive' : 'btnInActive',},}",
REPT(CHAR(9),3)&amp;"{headerName: this.l('"&amp;C21&amp;"'),headerTooltip: this.l('"&amp;C21&amp;"'),field: '"&amp;D21&amp;"',flex: 1},"))</f>
        <v xml:space="preserve">			{headerName: this.l('Signal Description'),headerTooltip: this.l('Signal Description'),field: 'signalDescription',flex: 1},</v>
      </c>
      <c r="I21" s="38" t="str">
        <f>IF(E21="DateTime",
REPT(CHAR(9),8)&amp;"&lt;div class='input-search'&gt;
"&amp;REPT(CHAR(9),9)&amp;"&lt;input type='text' [placeholder]=""l('"&amp;C21&amp;"')"" [(ngModel)]='"&amp;D21&amp;"' 
"&amp;REPT(CHAR(9),9)&amp;"name='"&amp;D21&amp;"'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IF(E21="string",
REPT(CHAR(9),8)&amp;"&lt;div class='input-search'&gt;
"&amp;REPT(CHAR(9),9)&amp;"&lt;input [(ngModel)]='"&amp;D21&amp;"' name='"&amp;D21&amp;"'
"&amp;REPT(CHAR(9),9)&amp;"class='form-control' [placeholder]=""l('"&amp;C21&amp;"')""
"&amp;REPT(CHAR(9),9)&amp;"type='text' (keyup.enter)='searchDatas()'&gt;
"&amp;REPT(CHAR(9),8)&amp;"&lt;/div&gt;",""))</f>
        <v xml:space="preserve">								&lt;div class='input-search'&gt;
									&lt;input [(ngModel)]='signalDescription' name='signalDescription'
									class='form-control' [placeholder]="l('Signal Description')"
									type='text' (keyup.enter)='searchDatas()'&gt;
								&lt;/div&gt;</v>
      </c>
      <c r="J21" s="31"/>
      <c r="K21" s="38" t="str">
        <f>IF(OR(E21="DateTime",E21="TimeSpan"),
REPT(CHAR(9),5)&amp;"&lt;div class='col-md-12 form-group row'&gt;
"&amp;REPT(CHAR(9),6)&amp;"&lt;label class='col-md-2 form-control title'&gt;"&amp;C21&amp;"&lt;/label&gt;
"&amp;REPT(CHAR(9),6)&amp;"&lt;input type='text' class='col-md-10 form-control input-text' name='"&amp;D21&amp;"' 
"&amp;REPT(CHAR(9),6)&amp;"#datepicker='bsDatepicker' [(ngModel)]='rowdata."&amp;D21&amp;"'  bsDatepicker &gt;
"&amp;REPT(CHAR(9),5)&amp;"&lt;/div&gt;",
IF(AND(E21="string",F21="1"),
REPT(CHAR(9),5)&amp;"&lt;div class='col-md-12 form-group row'&gt;
"&amp;REPT(CHAR(9),6)&amp;"&lt;label class='col-md-2 form-control title'&gt;"&amp;C21&amp;"&lt;/label&gt;
"&amp;REPT(CHAR(9),6)&amp;"&lt;new-checkbox [(ngModel)]='_"&amp;D21&amp;"' name='"&amp;D21&amp;"' className='col-md-10' &gt; &lt;/new-checkbox&gt;
"&amp;REPT(CHAR(9),5)&amp;"&lt;/div&gt;",
IF(E21="string",
REPT(CHAR(9),5)&amp;"&lt;div class='col-md-12 form-group row'&gt;
"&amp;REPT(CHAR(9),6)&amp;"&lt;label class='col-md-2 form-control title'&gt;"&amp;C21&amp;"&lt;/label&gt;
"&amp;REPT(CHAR(9),6)&amp;"&lt;input type='text' class='col-md-10 form-control input-text' name='"&amp;B21&amp;"' [(ngModel)]='rowdata."&amp;D21&amp;"'&gt;
"&amp;REPT(CHAR(9),5)&amp;"&lt;/div&gt;",
IF(E21="int",
REPT(CHAR(9),5)&amp;"&lt;div class='col-md-12 form-group row'&gt;
"&amp;REPT(CHAR(9),6)&amp;"&lt;label class='col-md-2 form-control title'&gt;"&amp;C21&amp;"&lt;/label&gt;
"&amp;REPT(CHAR(9),6)&amp;"&lt;input type='number' class='col-md-10 form-control input-text' name='"&amp;B21&amp;"' [(ngModel)]='rowdata."&amp;D21&amp;"'&gt;
"&amp;REPT(CHAR(9),5)&amp;"&lt;/div&gt;",""))))</f>
        <v xml:space="preserve">					&lt;div class='col-md-12 form-group row'&gt;
						&lt;label class='col-md-2 form-control title'&gt;Signal Description&lt;/label&gt;
						&lt;input type='text' class='col-md-10 form-control input-text' name='SignalDescription' [(ngModel)]='rowdata.signalDescription'&gt;
					&lt;/div&gt;</v>
      </c>
      <c r="L21" s="60" t="str">
        <f>IF(E21="DateTime",
REPT(CHAR(9),2)&amp;"const dateValue =  this.rowdata."&amp;D21&amp;" ? new Date(this.rowdata."&amp;D21&amp;"?.toString()) : new Date();
"&amp;REPT(CHAR(9),2)&amp;"this.datepicker?.bsValueChange.emit(dateValue);","")</f>
        <v/>
      </c>
      <c r="M21" s="31"/>
      <c r="N21" s="31"/>
      <c r="O21" s="31"/>
      <c r="P21" s="31"/>
      <c r="Q21" s="31"/>
      <c r="R21" s="31"/>
      <c r="S21" s="31" t="str">
        <f>D21&amp;G21</f>
        <v xml:space="preserve">signalDescription : string = '' ; </v>
      </c>
      <c r="T21" s="31" t="str">
        <f>REPT(CHAR(9),3)&amp;"this."&amp;D21&amp;","</f>
        <v xml:space="preserve">			this.signalDescription,</v>
      </c>
      <c r="U21" s="31" t="str">
        <f>IF(E21="int","this."&amp;D21&amp;" = 0,","this."&amp;D21&amp;" = '',")</f>
        <v>this.signalDescription = '',</v>
      </c>
      <c r="V21" s="31" t="str">
        <f>IF(AND(E21="string",F21="1"),D21,"")</f>
        <v/>
      </c>
    </row>
    <row r="22" spans="1:22" ht="15" customHeight="1" x14ac:dyDescent="0.25">
      <c r="A22" s="44" t="s">
        <v>302</v>
      </c>
      <c r="B22" s="31" t="str">
        <f t="shared" ref="B22" si="36">SUBSTITUTE(PROPER(A22),"_","")</f>
        <v>IsActive</v>
      </c>
      <c r="C22" s="31" t="str">
        <f t="shared" ref="C22" si="37">SUBSTITUTE(PROPER(A22),"_"," ")</f>
        <v>Is Active</v>
      </c>
      <c r="D22" s="31" t="str">
        <f t="shared" ref="D22" si="38">LOWER(LEFT(B22,1))&amp;RIGHT(B22,LEN(B22) - 1)</f>
        <v>isActive</v>
      </c>
      <c r="E22" s="31" t="str">
        <f>A.Backend!H16</f>
        <v>string</v>
      </c>
      <c r="F22" s="31" t="str">
        <f>A.Backend!G16</f>
        <v>1</v>
      </c>
      <c r="G22" s="31" t="str">
        <f t="shared" ref="G22" si="39">IF(E22="string"," : string = '' ; ",IF(OR(E22="DateTime",E22="TimeSpan")," : any ;",IF(E22="int"," : number = 0 ;","")))</f>
        <v xml:space="preserve"> : string = '' ; </v>
      </c>
      <c r="H22" s="38" t="str">
        <f t="shared" ref="H22" si="40">IF(E22="DateTime",
REPT(CHAR(9),3)&amp;"{headerName: this.l('"&amp;C22&amp;"'),headerTooltip: this.l('"&amp;C22&amp;"'),field: '"&amp;D22&amp;"',valueGetter: (params) =&gt; this.pipe.transform(params.data?."&amp;D22&amp;", 'dd/MM/yyyy'),flex: 1},",
IF(AND(E22="string",F22="1"),
REPT(CHAR(9),3)&amp;"{headerName: this.l('"&amp;C22&amp;"'),headerTooltip: this.l('"&amp;C22&amp;"'),field:  '"&amp;D22&amp;"', cellClass: ['text-center'], width: 120, cellRenderer: 'agCellButtonComponent',
buttonDefTwo: { text: params =&gt; (params.data?.'"&amp;D22&amp;"' == 'Y') ? 'Active' : 'Inactive',iconName: 'fa fa-circle',className: params =&gt; (params.data?.'"&amp;D22&amp;"' == 'Y') ? 'btnActive' : 'btnInActive',},}",
REPT(CHAR(9),3)&amp;"{headerName: this.l('"&amp;C22&amp;"'),headerTooltip: this.l('"&amp;C22&amp;"'),field: '"&amp;D22&amp;"',flex: 1},"))</f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22" s="38" t="str">
        <f t="shared" ref="I22" si="41">IF(E22="DateTime",
REPT(CHAR(9),8)&amp;"&lt;div class='input-search'&gt;
"&amp;REPT(CHAR(9),9)&amp;"&lt;input type='text' [placeholder]=""l('"&amp;C22&amp;"')"" [(ngModel)]='"&amp;D22&amp;"' 
"&amp;REPT(CHAR(9),9)&amp;"name='"&amp;D22&amp;"'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IF(E22="string",
REPT(CHAR(9),8)&amp;"&lt;div class='input-search'&gt;
"&amp;REPT(CHAR(9),9)&amp;"&lt;input [(ngModel)]='"&amp;D22&amp;"' name='"&amp;D22&amp;"'
"&amp;REPT(CHAR(9),9)&amp;"class='form-control' [placeholder]=""l('"&amp;C22&amp;"')""
"&amp;REPT(CHAR(9),9)&amp;"type='text' (keyup.enter)='searchDatas()'&gt;
"&amp;REPT(CHAR(9),8)&amp;"&lt;/div&gt;",""))</f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22" s="31"/>
      <c r="K22" s="38" t="str">
        <f t="shared" ref="K22" si="42">IF(OR(E22="DateTime",E22="TimeSpan"),
REPT(CHAR(9),5)&amp;"&lt;div class='col-md-12 form-group row'&gt;
"&amp;REPT(CHAR(9),6)&amp;"&lt;label class='col-md-2 form-control title'&gt;"&amp;C22&amp;"&lt;/label&gt;
"&amp;REPT(CHAR(9),6)&amp;"&lt;input type='text' class='col-md-10 form-control input-text' name='"&amp;D22&amp;"' 
"&amp;REPT(CHAR(9),6)&amp;"#datepicker='bsDatepicker' [(ngModel)]='rowdata."&amp;D22&amp;"'  bsDatepicker &gt;
"&amp;REPT(CHAR(9),5)&amp;"&lt;/div&gt;",
IF(AND(E22="string",F22="1"),
REPT(CHAR(9),5)&amp;"&lt;div class='col-md-12 form-group row'&gt;
"&amp;REPT(CHAR(9),6)&amp;"&lt;label class='col-md-2 form-control title'&gt;"&amp;C22&amp;"&lt;/label&gt;
"&amp;REPT(CHAR(9),6)&amp;"&lt;new-checkbox [(ngModel)]='_"&amp;D22&amp;"' name='"&amp;D22&amp;"' className='col-md-10' &gt; &lt;/new-checkbox&gt;
"&amp;REPT(CHAR(9),5)&amp;"&lt;/div&gt;",
IF(E22="string",
REPT(CHAR(9),5)&amp;"&lt;div class='col-md-12 form-group row'&gt;
"&amp;REPT(CHAR(9),6)&amp;"&lt;label class='col-md-2 form-control title'&gt;"&amp;C22&amp;"&lt;/label&gt;
"&amp;REPT(CHAR(9),6)&amp;"&lt;input type='text' class='col-md-10 form-control input-text' name='"&amp;B22&amp;"' [(ngModel)]='rowdata."&amp;D22&amp;"'&gt;
"&amp;REPT(CHAR(9),5)&amp;"&lt;/div&gt;",
IF(E22="int",
REPT(CHAR(9),5)&amp;"&lt;div class='col-md-12 form-group row'&gt;
"&amp;REPT(CHAR(9),6)&amp;"&lt;label class='col-md-2 form-control title'&gt;"&amp;C22&amp;"&lt;/label&gt;
"&amp;REPT(CHAR(9),6)&amp;"&lt;input type='number' class='col-md-10 form-control input-text' name='"&amp;B22&amp;"' [(ngModel)]='rowdata."&amp;D22&amp;"'&gt;
"&amp;REPT(CHAR(9),5)&amp;"&lt;/div&gt;",""))))</f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22" s="60" t="str">
        <f t="shared" ref="L22" si="43">IF(E22="DateTime",
REPT(CHAR(9),2)&amp;"const dateValue =  this.rowdata."&amp;D22&amp;" ? new Date(this.rowdata."&amp;D22&amp;"?.toString()) : new Date();
"&amp;REPT(CHAR(9),2)&amp;"this.datepicker?.bsValueChange.emit(dateValue);","")</f>
        <v/>
      </c>
      <c r="M22" s="31"/>
      <c r="N22" s="31"/>
      <c r="O22" s="31"/>
      <c r="P22" s="31"/>
      <c r="Q22" s="31"/>
      <c r="R22" s="31"/>
      <c r="S22" s="31" t="str">
        <f>REPT(CHAR(9),1)&amp;D22&amp;G22</f>
        <v xml:space="preserve">	isActive : string = '' ; </v>
      </c>
      <c r="T22" s="31" t="str">
        <f>REPT(CHAR(9),3)&amp;"this."&amp;D22&amp;","</f>
        <v xml:space="preserve">			this.isActive,</v>
      </c>
      <c r="U22" s="31" t="str">
        <f>IF(E22="int",REPT(CHAR(9),2)&amp;"this."&amp;D22&amp;" = 0,",REPT(CHAR(9),2)&amp;"this."&amp;D22&amp;" = '',")</f>
        <v xml:space="preserve">		this.isActive = '',</v>
      </c>
      <c r="V22" s="31" t="str">
        <f t="shared" ref="V22" si="44">IF(AND(E22="string",F22="1"),D22,"")</f>
        <v>isActive</v>
      </c>
    </row>
    <row r="25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topLeftCell="A4" workbookViewId="0">
      <selection activeCell="E18" sqref="E18"/>
    </sheetView>
  </sheetViews>
  <sheetFormatPr defaultRowHeight="15" x14ac:dyDescent="0.25"/>
  <cols>
    <col min="1" max="1" width="22.5703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267</v>
      </c>
      <c r="B20" t="s">
        <v>268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topLeftCell="A76" workbookViewId="0">
      <selection activeCell="E95" sqref="E95"/>
    </sheetView>
  </sheetViews>
  <sheetFormatPr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193</v>
      </c>
      <c r="B2" s="25" t="s">
        <v>190</v>
      </c>
    </row>
    <row r="3" spans="1:2" x14ac:dyDescent="0.25">
      <c r="B3" s="22" t="s">
        <v>115</v>
      </c>
    </row>
    <row r="4" spans="1:2" x14ac:dyDescent="0.25">
      <c r="B4" s="22" t="s">
        <v>116</v>
      </c>
    </row>
    <row r="5" spans="1:2" x14ac:dyDescent="0.25">
      <c r="B5" s="22" t="s">
        <v>117</v>
      </c>
    </row>
    <row r="6" spans="1:2" x14ac:dyDescent="0.25">
      <c r="B6" s="22" t="s">
        <v>118</v>
      </c>
    </row>
    <row r="7" spans="1:2" x14ac:dyDescent="0.25">
      <c r="B7" s="22" t="s">
        <v>119</v>
      </c>
    </row>
    <row r="8" spans="1:2" x14ac:dyDescent="0.25">
      <c r="B8" s="22" t="s">
        <v>120</v>
      </c>
    </row>
    <row r="9" spans="1:2" x14ac:dyDescent="0.25">
      <c r="B9" s="22" t="s">
        <v>121</v>
      </c>
    </row>
    <row r="10" spans="1:2" x14ac:dyDescent="0.25">
      <c r="B10" s="22" t="s">
        <v>122</v>
      </c>
    </row>
    <row r="11" spans="1:2" x14ac:dyDescent="0.25">
      <c r="B11" s="22" t="s">
        <v>123</v>
      </c>
    </row>
    <row r="12" spans="1:2" x14ac:dyDescent="0.25">
      <c r="B12" s="22" t="s">
        <v>124</v>
      </c>
    </row>
    <row r="13" spans="1:2" x14ac:dyDescent="0.25">
      <c r="B13" s="22" t="s">
        <v>125</v>
      </c>
    </row>
    <row r="14" spans="1:2" x14ac:dyDescent="0.25">
      <c r="B14" s="22" t="s">
        <v>126</v>
      </c>
    </row>
    <row r="15" spans="1:2" x14ac:dyDescent="0.25">
      <c r="B15" s="22" t="s">
        <v>127</v>
      </c>
    </row>
    <row r="16" spans="1:2" x14ac:dyDescent="0.25">
      <c r="B16" s="22" t="s">
        <v>128</v>
      </c>
    </row>
    <row r="17" spans="1:3" x14ac:dyDescent="0.25">
      <c r="B17" s="22" t="s">
        <v>129</v>
      </c>
    </row>
    <row r="18" spans="1:3" x14ac:dyDescent="0.25">
      <c r="B18" s="22" t="s">
        <v>130</v>
      </c>
      <c r="C18" t="s">
        <v>192</v>
      </c>
    </row>
    <row r="19" spans="1:3" x14ac:dyDescent="0.25">
      <c r="B19" s="22" t="s">
        <v>131</v>
      </c>
    </row>
    <row r="20" spans="1:3" x14ac:dyDescent="0.25">
      <c r="B20" s="22" t="s">
        <v>132</v>
      </c>
    </row>
    <row r="21" spans="1:3" x14ac:dyDescent="0.25">
      <c r="B21" s="22" t="s">
        <v>133</v>
      </c>
    </row>
    <row r="22" spans="1:3" x14ac:dyDescent="0.25">
      <c r="B22" s="22" t="s">
        <v>134</v>
      </c>
      <c r="C22" t="s">
        <v>197</v>
      </c>
    </row>
    <row r="23" spans="1:3" x14ac:dyDescent="0.25">
      <c r="B23" s="22" t="s">
        <v>135</v>
      </c>
    </row>
    <row r="24" spans="1:3" x14ac:dyDescent="0.25">
      <c r="B24" s="22" t="s">
        <v>136</v>
      </c>
    </row>
    <row r="25" spans="1:3" x14ac:dyDescent="0.25">
      <c r="B25" s="22" t="s">
        <v>137</v>
      </c>
    </row>
    <row r="26" spans="1:3" x14ac:dyDescent="0.25">
      <c r="A26" s="24" t="s">
        <v>194</v>
      </c>
      <c r="B26" s="25" t="s">
        <v>191</v>
      </c>
    </row>
    <row r="27" spans="1:3" x14ac:dyDescent="0.25">
      <c r="B27" s="22" t="s">
        <v>138</v>
      </c>
    </row>
    <row r="28" spans="1:3" x14ac:dyDescent="0.25">
      <c r="B28" s="23" t="s">
        <v>139</v>
      </c>
    </row>
    <row r="29" spans="1:3" x14ac:dyDescent="0.25">
      <c r="B29" s="22" t="s">
        <v>140</v>
      </c>
    </row>
    <row r="30" spans="1:3" x14ac:dyDescent="0.25">
      <c r="B30" s="22" t="s">
        <v>141</v>
      </c>
    </row>
    <row r="31" spans="1:3" x14ac:dyDescent="0.25">
      <c r="B31" s="22" t="s">
        <v>142</v>
      </c>
    </row>
    <row r="32" spans="1:3" x14ac:dyDescent="0.25">
      <c r="B32" s="22" t="s">
        <v>143</v>
      </c>
    </row>
    <row r="33" spans="2:2" x14ac:dyDescent="0.25">
      <c r="B33" s="22" t="s">
        <v>144</v>
      </c>
    </row>
    <row r="34" spans="2:2" x14ac:dyDescent="0.25">
      <c r="B34" s="22" t="s">
        <v>145</v>
      </c>
    </row>
    <row r="35" spans="2:2" x14ac:dyDescent="0.25">
      <c r="B35" s="22" t="s">
        <v>146</v>
      </c>
    </row>
    <row r="36" spans="2:2" x14ac:dyDescent="0.25">
      <c r="B36" s="22" t="s">
        <v>147</v>
      </c>
    </row>
    <row r="37" spans="2:2" x14ac:dyDescent="0.25">
      <c r="B37" s="22" t="s">
        <v>148</v>
      </c>
    </row>
    <row r="38" spans="2:2" x14ac:dyDescent="0.25">
      <c r="B38" s="22" t="s">
        <v>149</v>
      </c>
    </row>
    <row r="39" spans="2:2" x14ac:dyDescent="0.25">
      <c r="B39" s="22" t="s">
        <v>150</v>
      </c>
    </row>
    <row r="40" spans="2:2" x14ac:dyDescent="0.25">
      <c r="B40" s="22" t="s">
        <v>151</v>
      </c>
    </row>
    <row r="41" spans="2:2" x14ac:dyDescent="0.25">
      <c r="B41" s="22" t="s">
        <v>152</v>
      </c>
    </row>
    <row r="42" spans="2:2" x14ac:dyDescent="0.25">
      <c r="B42" s="22" t="s">
        <v>153</v>
      </c>
    </row>
    <row r="43" spans="2:2" x14ac:dyDescent="0.25">
      <c r="B43" s="23" t="s">
        <v>154</v>
      </c>
    </row>
    <row r="44" spans="2:2" x14ac:dyDescent="0.25">
      <c r="B44" s="22" t="s">
        <v>140</v>
      </c>
    </row>
    <row r="45" spans="2:2" x14ac:dyDescent="0.25">
      <c r="B45" s="22" t="s">
        <v>155</v>
      </c>
    </row>
    <row r="46" spans="2:2" x14ac:dyDescent="0.25">
      <c r="B46" s="22" t="s">
        <v>156</v>
      </c>
    </row>
    <row r="47" spans="2:2" x14ac:dyDescent="0.25">
      <c r="B47" s="22" t="s">
        <v>157</v>
      </c>
    </row>
    <row r="48" spans="2:2" x14ac:dyDescent="0.25">
      <c r="B48" s="22" t="s">
        <v>158</v>
      </c>
    </row>
    <row r="49" spans="2:2" x14ac:dyDescent="0.25">
      <c r="B49" s="22" t="s">
        <v>141</v>
      </c>
    </row>
    <row r="50" spans="2:2" x14ac:dyDescent="0.25">
      <c r="B50" s="22" t="s">
        <v>142</v>
      </c>
    </row>
    <row r="51" spans="2:2" x14ac:dyDescent="0.25">
      <c r="B51" s="22" t="s">
        <v>143</v>
      </c>
    </row>
    <row r="52" spans="2:2" x14ac:dyDescent="0.25">
      <c r="B52" s="22" t="s">
        <v>144</v>
      </c>
    </row>
    <row r="53" spans="2:2" x14ac:dyDescent="0.25">
      <c r="B53" s="22" t="s">
        <v>145</v>
      </c>
    </row>
    <row r="54" spans="2:2" x14ac:dyDescent="0.25">
      <c r="B54" s="22" t="s">
        <v>146</v>
      </c>
    </row>
    <row r="55" spans="2:2" x14ac:dyDescent="0.25">
      <c r="B55" s="22" t="s">
        <v>147</v>
      </c>
    </row>
    <row r="56" spans="2:2" x14ac:dyDescent="0.25">
      <c r="B56" s="22" t="s">
        <v>159</v>
      </c>
    </row>
    <row r="57" spans="2:2" x14ac:dyDescent="0.25">
      <c r="B57" s="22" t="s">
        <v>160</v>
      </c>
    </row>
    <row r="58" spans="2:2" x14ac:dyDescent="0.25">
      <c r="B58" s="22" t="s">
        <v>148</v>
      </c>
    </row>
    <row r="59" spans="2:2" x14ac:dyDescent="0.25">
      <c r="B59" s="22" t="s">
        <v>149</v>
      </c>
    </row>
    <row r="60" spans="2:2" x14ac:dyDescent="0.25">
      <c r="B60" s="22" t="s">
        <v>161</v>
      </c>
    </row>
    <row r="61" spans="2:2" x14ac:dyDescent="0.25">
      <c r="B61" s="22" t="s">
        <v>162</v>
      </c>
    </row>
    <row r="62" spans="2:2" x14ac:dyDescent="0.25">
      <c r="B62" s="22" t="s">
        <v>163</v>
      </c>
    </row>
    <row r="63" spans="2:2" x14ac:dyDescent="0.25">
      <c r="B63" s="22" t="s">
        <v>158</v>
      </c>
    </row>
    <row r="64" spans="2:2" x14ac:dyDescent="0.25">
      <c r="B64" s="22" t="s">
        <v>150</v>
      </c>
    </row>
    <row r="65" spans="2:2" x14ac:dyDescent="0.25">
      <c r="B65" s="22" t="s">
        <v>151</v>
      </c>
    </row>
    <row r="66" spans="2:2" x14ac:dyDescent="0.25">
      <c r="B66" s="22" t="s">
        <v>164</v>
      </c>
    </row>
    <row r="67" spans="2:2" x14ac:dyDescent="0.25">
      <c r="B67" s="22" t="s">
        <v>158</v>
      </c>
    </row>
    <row r="68" spans="2:2" x14ac:dyDescent="0.25">
      <c r="B68" s="22" t="s">
        <v>152</v>
      </c>
    </row>
    <row r="69" spans="2:2" x14ac:dyDescent="0.25">
      <c r="B69" s="22" t="s">
        <v>165</v>
      </c>
    </row>
    <row r="70" spans="2:2" x14ac:dyDescent="0.25">
      <c r="B70" s="23" t="s">
        <v>166</v>
      </c>
    </row>
    <row r="71" spans="2:2" x14ac:dyDescent="0.25">
      <c r="B71" s="22" t="s">
        <v>140</v>
      </c>
    </row>
    <row r="72" spans="2:2" x14ac:dyDescent="0.25">
      <c r="B72" s="22" t="s">
        <v>141</v>
      </c>
    </row>
    <row r="73" spans="2:2" x14ac:dyDescent="0.25">
      <c r="B73" s="22" t="s">
        <v>142</v>
      </c>
    </row>
    <row r="74" spans="2:2" x14ac:dyDescent="0.25">
      <c r="B74" s="22" t="s">
        <v>143</v>
      </c>
    </row>
    <row r="75" spans="2:2" x14ac:dyDescent="0.25">
      <c r="B75" s="22" t="s">
        <v>147</v>
      </c>
    </row>
    <row r="76" spans="2:2" x14ac:dyDescent="0.25">
      <c r="B76" s="22" t="s">
        <v>149</v>
      </c>
    </row>
    <row r="77" spans="2:2" x14ac:dyDescent="0.25">
      <c r="B77" s="22" t="s">
        <v>150</v>
      </c>
    </row>
    <row r="78" spans="2:2" x14ac:dyDescent="0.25">
      <c r="B78" s="22" t="s">
        <v>151</v>
      </c>
    </row>
    <row r="79" spans="2:2" x14ac:dyDescent="0.25">
      <c r="B79" s="22" t="s">
        <v>152</v>
      </c>
    </row>
    <row r="80" spans="2:2" x14ac:dyDescent="0.25">
      <c r="B80" s="22" t="s">
        <v>165</v>
      </c>
    </row>
    <row r="81" spans="1:2" x14ac:dyDescent="0.25">
      <c r="B81" s="23" t="s">
        <v>167</v>
      </c>
    </row>
    <row r="82" spans="1:2" x14ac:dyDescent="0.25">
      <c r="B82" s="23" t="s">
        <v>168</v>
      </c>
    </row>
    <row r="83" spans="1:2" x14ac:dyDescent="0.25">
      <c r="B83" s="23" t="s">
        <v>169</v>
      </c>
    </row>
    <row r="84" spans="1:2" x14ac:dyDescent="0.25">
      <c r="B84" s="23" t="s">
        <v>170</v>
      </c>
    </row>
    <row r="85" spans="1:2" x14ac:dyDescent="0.25">
      <c r="B85" s="23" t="s">
        <v>171</v>
      </c>
    </row>
    <row r="86" spans="1:2" x14ac:dyDescent="0.25">
      <c r="B86" s="23" t="s">
        <v>172</v>
      </c>
    </row>
    <row r="87" spans="1:2" x14ac:dyDescent="0.25">
      <c r="B87" s="23" t="s">
        <v>173</v>
      </c>
    </row>
    <row r="88" spans="1:2" x14ac:dyDescent="0.25">
      <c r="A88" s="24" t="s">
        <v>195</v>
      </c>
      <c r="B88" s="26" t="s">
        <v>174</v>
      </c>
    </row>
    <row r="89" spans="1:2" x14ac:dyDescent="0.25">
      <c r="B89" s="22" t="s">
        <v>175</v>
      </c>
    </row>
    <row r="90" spans="1:2" x14ac:dyDescent="0.25">
      <c r="B90" s="22" t="s">
        <v>176</v>
      </c>
    </row>
    <row r="91" spans="1:2" x14ac:dyDescent="0.25">
      <c r="B91" s="22" t="s">
        <v>177</v>
      </c>
    </row>
    <row r="92" spans="1:2" x14ac:dyDescent="0.25">
      <c r="B92" s="22" t="s">
        <v>178</v>
      </c>
    </row>
    <row r="93" spans="1:2" x14ac:dyDescent="0.25">
      <c r="B93" s="22" t="s">
        <v>179</v>
      </c>
    </row>
    <row r="94" spans="1:2" x14ac:dyDescent="0.25">
      <c r="B94" s="22" t="s">
        <v>180</v>
      </c>
    </row>
    <row r="95" spans="1:2" x14ac:dyDescent="0.25">
      <c r="B95" s="22" t="s">
        <v>181</v>
      </c>
    </row>
    <row r="96" spans="1:2" x14ac:dyDescent="0.25">
      <c r="B96" s="22" t="s">
        <v>182</v>
      </c>
    </row>
    <row r="97" spans="2:2" x14ac:dyDescent="0.25">
      <c r="B97" s="22" t="s">
        <v>183</v>
      </c>
    </row>
    <row r="98" spans="2:2" x14ac:dyDescent="0.25">
      <c r="B98" s="22" t="s">
        <v>184</v>
      </c>
    </row>
    <row r="99" spans="2:2" x14ac:dyDescent="0.25">
      <c r="B99" s="22" t="s">
        <v>185</v>
      </c>
    </row>
    <row r="100" spans="2:2" x14ac:dyDescent="0.25">
      <c r="B100" s="22" t="s">
        <v>186</v>
      </c>
    </row>
    <row r="101" spans="2:2" x14ac:dyDescent="0.25">
      <c r="B101" s="22" t="s">
        <v>187</v>
      </c>
    </row>
    <row r="102" spans="2:2" x14ac:dyDescent="0.25">
      <c r="B102" s="22" t="s">
        <v>188</v>
      </c>
    </row>
    <row r="103" spans="2:2" x14ac:dyDescent="0.2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2022-08-16T11:00:02Z</dcterms:modified>
</cp:coreProperties>
</file>
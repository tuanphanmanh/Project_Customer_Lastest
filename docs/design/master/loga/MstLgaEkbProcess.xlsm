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a\"/>
    </mc:Choice>
  </mc:AlternateContent>
  <bookViews>
    <workbookView xWindow="0" yWindow="495" windowWidth="28800" windowHeight="1642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C25" i="5"/>
  <c r="B25" i="5"/>
  <c r="D25" i="5" s="1"/>
  <c r="T25" i="5" s="1"/>
  <c r="I24" i="5"/>
  <c r="C24" i="5"/>
  <c r="B24" i="5"/>
  <c r="D24" i="5" s="1"/>
  <c r="I23" i="5"/>
  <c r="C23" i="5"/>
  <c r="B23" i="5"/>
  <c r="D23" i="5" s="1"/>
  <c r="T23" i="5" s="1"/>
  <c r="L18" i="1"/>
  <c r="G18" i="1"/>
  <c r="E18" i="1"/>
  <c r="H18" i="1" s="1"/>
  <c r="D18" i="1"/>
  <c r="V18" i="1" s="1"/>
  <c r="G17" i="1"/>
  <c r="E17" i="1"/>
  <c r="H17" i="1" s="1"/>
  <c r="D17" i="1"/>
  <c r="T17" i="1" s="1"/>
  <c r="L16" i="1"/>
  <c r="H16" i="1"/>
  <c r="M16" i="1" s="1"/>
  <c r="G16" i="1"/>
  <c r="E16" i="1"/>
  <c r="D16" i="1"/>
  <c r="T16" i="1" s="1"/>
  <c r="G24" i="5" l="1"/>
  <c r="L24" i="5"/>
  <c r="H23" i="5"/>
  <c r="H25" i="5"/>
  <c r="H24" i="5"/>
  <c r="K24" i="5"/>
  <c r="T24" i="5"/>
  <c r="S24" i="5"/>
  <c r="U24" i="5"/>
  <c r="V24" i="5"/>
  <c r="I25" i="5"/>
  <c r="K23" i="5"/>
  <c r="U23" i="5"/>
  <c r="K25" i="5"/>
  <c r="U25" i="5"/>
  <c r="G23" i="5"/>
  <c r="S23" i="5" s="1"/>
  <c r="L23" i="5"/>
  <c r="V23" i="5"/>
  <c r="G25" i="5"/>
  <c r="S25" i="5" s="1"/>
  <c r="L25" i="5"/>
  <c r="V25" i="5"/>
  <c r="P18" i="1"/>
  <c r="W18" i="1"/>
  <c r="O18" i="1"/>
  <c r="J18" i="1"/>
  <c r="N18" i="1"/>
  <c r="I18" i="1"/>
  <c r="M18" i="1"/>
  <c r="T18" i="1"/>
  <c r="P16" i="1"/>
  <c r="W17" i="1"/>
  <c r="O17" i="1"/>
  <c r="J17" i="1"/>
  <c r="M17" i="1"/>
  <c r="N17" i="1"/>
  <c r="I17" i="1"/>
  <c r="V17" i="1"/>
  <c r="I16" i="1"/>
  <c r="N16" i="1"/>
  <c r="V16" i="1"/>
  <c r="L17" i="1"/>
  <c r="P17" i="1"/>
  <c r="J16" i="1"/>
  <c r="O16" i="1"/>
  <c r="W16" i="1"/>
  <c r="C19" i="5"/>
  <c r="B19" i="5"/>
  <c r="D19" i="5" s="1"/>
  <c r="T19" i="5" s="1"/>
  <c r="C18" i="5"/>
  <c r="B18" i="5"/>
  <c r="D18" i="5" s="1"/>
  <c r="C17" i="5"/>
  <c r="B17" i="5"/>
  <c r="D17" i="5" s="1"/>
  <c r="L12" i="1"/>
  <c r="G12" i="1"/>
  <c r="E12" i="1"/>
  <c r="H12" i="1" s="1"/>
  <c r="D12" i="1"/>
  <c r="V12" i="1" s="1"/>
  <c r="G11" i="1"/>
  <c r="E11" i="1"/>
  <c r="H11" i="1" s="1"/>
  <c r="D11" i="1"/>
  <c r="V11" i="1" s="1"/>
  <c r="L17" i="5" l="1"/>
  <c r="G17" i="5"/>
  <c r="S17" i="5" s="1"/>
  <c r="V17" i="5"/>
  <c r="I18" i="5"/>
  <c r="U17" i="5"/>
  <c r="T18" i="5"/>
  <c r="U18" i="5"/>
  <c r="K18" i="5"/>
  <c r="I17" i="5"/>
  <c r="T17" i="5"/>
  <c r="G18" i="5"/>
  <c r="S18" i="5" s="1"/>
  <c r="L18" i="5"/>
  <c r="V18" i="5"/>
  <c r="H17" i="5"/>
  <c r="K17" i="5"/>
  <c r="H18" i="5"/>
  <c r="N12" i="1"/>
  <c r="I12" i="1"/>
  <c r="M12" i="1"/>
  <c r="W12" i="1"/>
  <c r="O12" i="1"/>
  <c r="J12" i="1"/>
  <c r="P12" i="1"/>
  <c r="T12" i="1"/>
  <c r="W11" i="1"/>
  <c r="O11" i="1"/>
  <c r="J11" i="1"/>
  <c r="N11" i="1"/>
  <c r="I11" i="1"/>
  <c r="M11" i="1"/>
  <c r="P11" i="1"/>
  <c r="T11" i="1"/>
  <c r="C22" i="5"/>
  <c r="B22" i="5"/>
  <c r="D22" i="5" s="1"/>
  <c r="T22" i="5" l="1"/>
  <c r="L19" i="1" l="1"/>
  <c r="G19" i="1"/>
  <c r="E19" i="1"/>
  <c r="H19" i="1" s="1"/>
  <c r="D19" i="1"/>
  <c r="V19" i="1" s="1"/>
  <c r="N19" i="1" l="1"/>
  <c r="I19" i="1"/>
  <c r="M19" i="1"/>
  <c r="W19" i="1"/>
  <c r="O19" i="1"/>
  <c r="J19" i="1"/>
  <c r="P19" i="1"/>
  <c r="T19" i="1"/>
  <c r="Q3" i="1"/>
  <c r="B16" i="5" l="1"/>
  <c r="D16" i="5" s="1"/>
  <c r="C16" i="5"/>
  <c r="B20" i="5"/>
  <c r="D20" i="5" s="1"/>
  <c r="C20" i="5"/>
  <c r="B21" i="5"/>
  <c r="D21" i="5" s="1"/>
  <c r="C21" i="5"/>
  <c r="B26" i="5"/>
  <c r="D26" i="5" s="1"/>
  <c r="C26" i="5"/>
  <c r="C15" i="5"/>
  <c r="B15" i="5"/>
  <c r="D15" i="5" s="1"/>
  <c r="T15" i="5" s="1"/>
  <c r="G20" i="1"/>
  <c r="E20" i="1"/>
  <c r="H20" i="1" s="1"/>
  <c r="D20" i="1"/>
  <c r="V20" i="1" s="1"/>
  <c r="G15" i="1"/>
  <c r="E15" i="1"/>
  <c r="H15" i="1" s="1"/>
  <c r="D15" i="1"/>
  <c r="V15" i="1" s="1"/>
  <c r="L14" i="1"/>
  <c r="G14" i="1"/>
  <c r="E14" i="1"/>
  <c r="H14" i="1" s="1"/>
  <c r="D14" i="1"/>
  <c r="V14" i="1" s="1"/>
  <c r="G13" i="1"/>
  <c r="E13" i="1"/>
  <c r="H13" i="1" s="1"/>
  <c r="D13" i="1"/>
  <c r="V13" i="1" s="1"/>
  <c r="G10" i="1"/>
  <c r="E10" i="1"/>
  <c r="H10" i="1" s="1"/>
  <c r="D10" i="1"/>
  <c r="T10" i="1" s="1"/>
  <c r="G9" i="1"/>
  <c r="F15" i="5" s="1"/>
  <c r="E9" i="1"/>
  <c r="H9" i="1" s="1"/>
  <c r="E15" i="5" s="1"/>
  <c r="D9" i="1"/>
  <c r="T9" i="1" s="1"/>
  <c r="V19" i="5" l="1"/>
  <c r="U19" i="5"/>
  <c r="H19" i="5"/>
  <c r="G19" i="5"/>
  <c r="S19" i="5" s="1"/>
  <c r="L19" i="5"/>
  <c r="I19" i="5"/>
  <c r="K19" i="5"/>
  <c r="U22" i="5"/>
  <c r="L22" i="5"/>
  <c r="V22" i="5"/>
  <c r="I22" i="5"/>
  <c r="K22" i="5"/>
  <c r="G22" i="5"/>
  <c r="S22" i="5" s="1"/>
  <c r="H22" i="5"/>
  <c r="O20" i="1"/>
  <c r="G20" i="5"/>
  <c r="L20" i="5"/>
  <c r="O15" i="1"/>
  <c r="G16" i="5"/>
  <c r="V16" i="5"/>
  <c r="G21" i="5"/>
  <c r="S21" i="5" s="1"/>
  <c r="V21" i="5"/>
  <c r="H26" i="5"/>
  <c r="G15" i="5"/>
  <c r="S15" i="5" s="1"/>
  <c r="V15" i="5"/>
  <c r="P13" i="1"/>
  <c r="I26" i="5"/>
  <c r="I20" i="5"/>
  <c r="H20" i="5"/>
  <c r="I21" i="5"/>
  <c r="H21" i="5"/>
  <c r="H16" i="5"/>
  <c r="I16" i="5"/>
  <c r="L21" i="5"/>
  <c r="U21" i="5"/>
  <c r="U15" i="5"/>
  <c r="T26" i="5"/>
  <c r="T21" i="5"/>
  <c r="K21" i="5"/>
  <c r="H15" i="5"/>
  <c r="I15" i="5"/>
  <c r="K15" i="5"/>
  <c r="L16" i="5"/>
  <c r="L15" i="5"/>
  <c r="V20" i="5"/>
  <c r="P15" i="1"/>
  <c r="V10" i="1"/>
  <c r="T15" i="1"/>
  <c r="P20" i="1"/>
  <c r="T20" i="1"/>
  <c r="M14" i="1"/>
  <c r="W14" i="1"/>
  <c r="J14" i="1"/>
  <c r="I14" i="1"/>
  <c r="O14" i="1"/>
  <c r="N14" i="1"/>
  <c r="I10" i="1"/>
  <c r="O10" i="1"/>
  <c r="J10" i="1"/>
  <c r="N10" i="1"/>
  <c r="M10" i="1"/>
  <c r="W10" i="1"/>
  <c r="W13" i="1"/>
  <c r="J13" i="1"/>
  <c r="M13" i="1"/>
  <c r="I13" i="1"/>
  <c r="O13" i="1"/>
  <c r="N13" i="1"/>
  <c r="P14" i="1"/>
  <c r="I15" i="1"/>
  <c r="I20" i="1"/>
  <c r="T14" i="1"/>
  <c r="J15" i="1"/>
  <c r="W15" i="1"/>
  <c r="J20" i="1"/>
  <c r="W20" i="1"/>
  <c r="T13" i="1"/>
  <c r="M15" i="1"/>
  <c r="M20" i="1"/>
  <c r="P10" i="1"/>
  <c r="N15" i="1"/>
  <c r="N20" i="1"/>
  <c r="P9" i="1"/>
  <c r="V9" i="1"/>
  <c r="W9" i="1"/>
  <c r="J9" i="1"/>
  <c r="I9" i="1"/>
  <c r="O9" i="1"/>
  <c r="N9" i="1"/>
  <c r="M9" i="1"/>
  <c r="U26" i="5" l="1"/>
  <c r="L26" i="5"/>
  <c r="K26" i="5"/>
  <c r="G26" i="5"/>
  <c r="S26" i="5" s="1"/>
  <c r="V26" i="5"/>
  <c r="K20" i="5"/>
  <c r="U20" i="5"/>
  <c r="T20" i="5"/>
  <c r="S20" i="5"/>
  <c r="U16" i="5"/>
  <c r="K16" i="5"/>
  <c r="T16" i="5"/>
  <c r="S16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V22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2" i="1"/>
  <c r="T7" i="1" l="1"/>
  <c r="W22" i="1"/>
  <c r="G6" i="1" l="1"/>
  <c r="S13" i="5"/>
  <c r="H13" i="5"/>
  <c r="U13" i="5"/>
  <c r="K13" i="5"/>
  <c r="L13" i="5"/>
  <c r="I13" i="5"/>
  <c r="V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15" i="1" s="1"/>
  <c r="L9" i="1" l="1"/>
  <c r="L11" i="1"/>
  <c r="L13" i="1"/>
  <c r="L10" i="1"/>
  <c r="L20" i="1"/>
  <c r="C7" i="1"/>
  <c r="N22" i="1"/>
  <c r="J22" i="1"/>
  <c r="O22" i="1"/>
  <c r="P22" i="1"/>
  <c r="I22" i="1"/>
  <c r="Q7" i="1" l="1"/>
  <c r="M58" i="3" s="1"/>
  <c r="L7" i="1"/>
  <c r="G58" i="3" s="1"/>
  <c r="K58" i="3"/>
  <c r="J58" i="3"/>
  <c r="M22" i="1"/>
  <c r="K22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<sst xmlns="http://schemas.openxmlformats.org/spreadsheetml/2006/main" count="452" uniqueCount="341">
  <si>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</si>
  <si>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</si>
  <si>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</si>
  <si>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</si>
  <si>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</si>
  <si>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</si>
  <si>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</si>
  <si>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</si>
  <si>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</si>
  <si>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</si>
  <si>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</si>
  <si>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</si>
  <si>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</si>
  <si>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</si>
  <si>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</si>
  <si>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</si>
  <si>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</si>
  <si>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</si>
  <si>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</si>
  <si>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</si>
  <si>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</si>
  <si>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</si>
  <si>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</si>
  <si>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</si>
  <si>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</si>
  <si>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</si>
  <si>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</si>
  <si>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</si>
  <si>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</si>
  <si>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</si>
  <si>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</si>
  <si>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</si>
  <si>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</si>
  <si>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</si>
  <si>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</si>
  <si>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</si>
  <si>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</si>
  <si>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</si>
  <si>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</si>
  <si>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</si>
  <si>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</si>
  <si>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</si>
  <si>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</si>
  <si>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</si>
  <si>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</si>
  <si>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</si>
  <si>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</si>
  <si>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</si>
  <si>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</si>
  <si>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</si>
  <si>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</si>
  <si>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</si>
  <si>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</si>
  <si>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</si>
  <si>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</si>
  <si>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</si>
  <si>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</si>
  <si>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</si>
  <si>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</si>
  <si>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</si>
  <si>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</si>
  <si>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</si>
  <si>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</si>
  <si>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</si>
  <si>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</si>
  <si>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</si>
  <si>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</si>
  <si>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</si>
  <si>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</si>
  <si>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</si>
  <si>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</si>
  <si>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</si>
  <si>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</si>
  <si>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</si>
  <si>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</si>
  <si>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</si>
  <si>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</si>
  <si>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</si>
  <si>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</si>
  <si>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</si>
  <si>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</si>
  <si>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</si>
  <si>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</si>
  <si>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</si>
  <si>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</si>
  <si>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</si>
  <si>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</si>
  <si>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</si>
  <si>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</si>
  <si>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</si>
  <si>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</si>
  <si>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</si>
  <si>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</si>
  <si>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</si>
  <si>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</si>
  <si>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</si>
  <si>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</si>
  <si>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</si>
  <si>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</si>
  <si>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</si>
  <si>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</si>
  <si>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</si>
  <si>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</si>
  <si>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</si>
  <si>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</si>
  <si>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</si>
  <si>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</si>
  <si>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</si>
  <si>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</si>
  <si>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</si>
  <si>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</si>
  <si>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</si>
  <si>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</si>
  <si>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</si>
  <si>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</si>
  <si>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</si>
  <si>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</si>
  <si>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</si>
  <si>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</si>
  <si>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</si>
  <si>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</si>
  <si>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</si>
  <si>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</si>
  <si>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</si>
  <si>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</si>
  <si>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</si>
  <si>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</si>
  <si>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</si>
  <si>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</si>
  <si>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</si>
  <si>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</si>
  <si>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</si>
  <si>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</si>
  <si>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</si>
  <si>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</si>
  <si>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</si>
  <si>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</si>
  <si>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</si>
  <si>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</si>
  <si>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</si>
  <si>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</si>
  <si>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</si>
  <si>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</si>
  <si>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</si>
  <si>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</si>
  <si>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</si>
  <si>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</si>
  <si>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</si>
  <si>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</si>
  <si>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</si>
  <si>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</si>
  <si>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</si>
  <si>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</si>
  <si>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</si>
  <si>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</si>
  <si>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</si>
  <si>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</si>
  <si>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</si>
  <si>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</si>
  <si>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</si>
  <si>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</si>
  <si>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</si>
  <si>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</si>
  <si>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</si>
  <si>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</si>
  <si>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</si>
  <si>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</si>
  <si>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</si>
  <si>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</si>
  <si>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</si>
  <si>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</si>
  <si>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</si>
  <si>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</si>
  <si>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</si>
  <si>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</si>
  <si>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</si>
  <si>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</si>
  <si>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</si>
  <si>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</si>
  <si>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</si>
  <si>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</si>
  <si>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</si>
  <si>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</si>
  <si>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</si>
  <si>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</si>
  <si>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</si>
  <si>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</si>
  <si>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</si>
  <si>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</si>
  <si>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</si>
  <si>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</si>
  <si>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</si>
  <si>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</si>
  <si>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</si>
  <si>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</si>
  <si>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</si>
  <si>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</si>
  <si>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</si>
  <si>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</si>
  <si>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</si>
  <si>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</si>
  <si>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</si>
  <si>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</si>
  <si>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</si>
  <si>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</si>
  <si>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</si>
  <si>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</si>
  <si>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</si>
  <si>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</si>
  <si>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</si>
  <si>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</si>
  <si>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</si>
  <si>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</si>
  <si>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</si>
  <si>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</si>
  <si>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</si>
  <si>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</si>
  <si>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</si>
  <si>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</si>
  <si>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</si>
  <si>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</si>
  <si>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</si>
  <si>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</si>
  <si>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</si>
  <si>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</si>
  <si>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</si>
  <si>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</si>
  <si>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</si>
  <si>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</si>
  <si>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</si>
  <si>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</si>
  <si>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</si>
  <si>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</si>
  <si>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</si>
  <si>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</si>
  <si>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</si>
  <si>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</si>
  <si>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</si>
  <si>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</si>
  <si>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</si>
  <si>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</si>
  <si>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</si>
  <si>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</si>
  <si>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</si>
  <si>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</si>
  <si>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</si>
  <si>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</si>
  <si>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</si>
  <si>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</si>
  <si>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</si>
  <si>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</si>
  <si>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</si>
  <si>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</si>
  <si>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</si>
  <si>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</si>
  <si>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</si>
  <si>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</si>
  <si>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</si>
  <si>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</si>
  <si>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</si>
  <si>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</si>
  <si>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</si>
  <si>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</si>
  <si>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</si>
  <si>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</si>
  <si>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</si>
  <si>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</si>
  <si>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</si>
  <si>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</si>
  <si>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</si>
  <si>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</si>
  <si>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</si>
  <si>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</si>
  <si>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</si>
  <si>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</si>
  <si>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</si>
  <si>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</si>
  <si>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</si>
  <si>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</si>
  <si>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</si>
  <si>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</si>
  <si>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</si>
  <si>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</si>
  <si>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</si>
  <si>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</si>
  <si>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</si>
  <si>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</si>
  <si>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</si>
  <si>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</si>
  <si>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</si>
  <si>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</si>
  <si>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</si>
  <si>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</si>
  <si>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</si>
  <si>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</si>
  <si>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</si>
  <si>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</si>
  <si>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</si>
  <si>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</si>
  <si>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</si>
  <si>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</si>
  <si>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</si>
  <si>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</si>
  <si>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</si>
  <si>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</si>
  <si>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</si>
  <si>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</si>
  <si>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</si>
  <si>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</si>
  <si>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</si>
  <si>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</si>
  <si>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</si>
  <si>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</si>
  <si>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</si>
  <si>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</si>
  <si>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</si>
  <si>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</si>
  <si>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</si>
  <si>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</si>
  <si>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</si>
  <si>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</si>
  <si>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Master.LogA</t>
  </si>
  <si>
    <t>CODE</t>
  </si>
  <si>
    <t>PROD_LINE</t>
  </si>
  <si>
    <t>SORTING</t>
  </si>
  <si>
    <t>IS_ACTIVE</t>
  </si>
  <si>
    <t>varchar(1)</t>
  </si>
  <si>
    <t>PROCESS_NAME</t>
  </si>
  <si>
    <t>LEAD_TIME</t>
  </si>
  <si>
    <t>PROCESS_TYPE</t>
  </si>
  <si>
    <t>PROCESS_GROUP</t>
  </si>
  <si>
    <t>PROCESS_SUBGROUP</t>
  </si>
  <si>
    <t>Barcode</t>
  </si>
  <si>
    <t>Bar</t>
  </si>
  <si>
    <t>LgaBar</t>
  </si>
  <si>
    <t>MstLgaEkbProcess</t>
  </si>
  <si>
    <t>EkbProcess</t>
  </si>
  <si>
    <t>Master LA Ekanban Process</t>
  </si>
  <si>
    <t>CYCLE_TIME</t>
  </si>
  <si>
    <t>CURRENT_NO_IN_DATE</t>
  </si>
  <si>
    <t>NEXT_NO_IN_DATE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</si>
</sst>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7"/>
  <sheetViews>
    <sheetView topLeftCell="A6" workbookViewId="0">
      <selection activeCell="E29" sqref="E2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306</v>
      </c>
      <c r="F33" s="1" t="s">
        <v>307</v>
      </c>
      <c r="G33" s="17" t="s">
        <v>307</v>
      </c>
    </row>
    <row r="34" spans="1:8" x14ac:dyDescent="0.25">
      <c r="A34" s="1"/>
      <c r="B34" s="17"/>
      <c r="D34" t="s">
        <v>309</v>
      </c>
      <c r="F34" s="1" t="s">
        <v>310</v>
      </c>
      <c r="G34" s="17" t="s">
        <v>311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312</v>
      </c>
    </row>
    <row r="36" spans="1:8" x14ac:dyDescent="0.25">
      <c r="A36" s="1"/>
      <c r="B36" s="17"/>
      <c r="D36" t="s">
        <v>313</v>
      </c>
      <c r="F36" s="1" t="s">
        <v>314</v>
      </c>
      <c r="G36" s="17" t="s">
        <v>315</v>
      </c>
    </row>
    <row r="37" spans="1:8" x14ac:dyDescent="0.25">
      <c r="A37" s="1"/>
      <c r="B37" s="17"/>
      <c r="D37" t="s">
        <v>316</v>
      </c>
      <c r="F37" s="1" t="s">
        <v>317</v>
      </c>
      <c r="G37" s="17" t="s">
        <v>318</v>
      </c>
    </row>
    <row r="38" spans="1:8" x14ac:dyDescent="0.25">
      <c r="A38" s="1"/>
      <c r="B38" s="17"/>
      <c r="D38" t="s">
        <v>332</v>
      </c>
      <c r="F38" s="1" t="s">
        <v>333</v>
      </c>
      <c r="G38" s="17" t="s">
        <v>334</v>
      </c>
    </row>
    <row r="39" spans="1:8" x14ac:dyDescent="0.25">
      <c r="A39" s="1"/>
      <c r="B39" s="17"/>
      <c r="C39" t="s">
        <v>319</v>
      </c>
      <c r="F39" s="1" t="s">
        <v>301</v>
      </c>
      <c r="G39" s="17" t="s">
        <v>301</v>
      </c>
    </row>
    <row r="40" spans="1:8" x14ac:dyDescent="0.25">
      <c r="A40" s="1"/>
      <c r="B40" s="17"/>
      <c r="D40" t="s">
        <v>304</v>
      </c>
      <c r="F40" s="1" t="s">
        <v>304</v>
      </c>
      <c r="G40" s="17" t="s">
        <v>305</v>
      </c>
      <c r="H40" s="17"/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[Table("MstLgaEkbProcess")]
	[Index(nameof(Code), Name="IX_MstLgaEkbProcess_Code")]
	[Index(nameof(ProdLine), Name="IX_MstLgaEkbProcess_ProdLine")]
	[Index(nameof(Sorting), Name="IX_MstLgaEkbProcess_Sorting")]
	[Index(nameof(IsActive), Name="IX_MstLgaEkbProcess_IsActive")]	public class MstLgaEkbProcess: FullAuditedEntity&lt;long&gt;, IEntity&lt;long&gt;	
	{
		public const int MaxCodeLength = 50;
		public const int MaxProcessNameLength = 50;
		public const int MaxProcessGroupLength = 50;
		public const int MaxProcessSubgroupLength = 50;
		public const int MaxProdLineLength = 50;
		public const int MaxProcessTypeLength = 50;
		public const int MaxIsActiveLength = 1;
		[StringLength(MaxCodeLength)]
		public virtual string Code { get; set; }
		[StringLength(MaxProcessNameLength)]
		public virtual string ProcessName { get; set; }
		[StringLength(MaxProcessGroupLength)]
		public virtual string ProcessGroup { get; set; }
		[StringLength(MaxProcessSubgroupLength)]
		public virtual string ProcessSubgroup { get; set; }
		[StringLength(MaxProdLineLength)]
		public virtual string ProdLine { get; set; }
		public virtual int LeadTime { get; set; }
		public virtual int Sorting { get; set; }
		public virtual int CycleTime { get; set; }
		public virtual int CurrentNoInDate { get; set; }
		public virtual int NextNoInDate { get; set; }
		[StringLength(MaxProcessTypeLength)]
		public virtual string ProcessType { get; set; }
		[StringLength(MaxIsActiveLength)]
		public virtual string IsActive { get; set; }
	}
}
</v>
      </c>
      <c r="D58" s="51" t="str">
        <f>A.Backend!O7</f>
        <v xml:space="preserve">		public const string Pages_Master_LogA_EkbProcess = "Pages.Master.LogA.EkbProcess";
		public const string Pages_Master_LogA_EkbProcess_CreateEdit = "Pages.Master.LogA.EkbProcess.CreateEdit";
		public const string Pages_Master_LogA_EkbProcess_Delete = "Pages.Master.LogA.EkbProcess.Delete";
</v>
      </c>
      <c r="E58" s="51" t="str">
        <f>A.Backend!N7</f>
        <v xml:space="preserve">		var perMstLgaEkbProcess = PARENTS.CreateChildPermission(AppPermissions.Pages_Master_LogA_EkbProcess, L( "MasterLogAEkbProcess"), multiTenancySides: MultiTenancySides.Tenant);
		perMstLgaEkbProcess.CreateChildPermission(AppPermissions.Pages_Master_LogA_EkbProcess_CreateEdit, L( "MasterLogAEkbProcessCreateEdit"), multiTenancySides: MultiTenancySides.Tenant);
		perMstLgaEkbProcess.CreateChildPermission(AppPermissions.Pages_Master_LogA_EkbProcess_Delete, L( "MasterLogAEkbProcessDelete"), multiTenancySides: MultiTenancySides.Tenant);</v>
      </c>
      <c r="F58" s="51" t="str">
        <f>A.Backend!K7</f>
        <v>public virtual DbSet&lt;MstLgaEkbProcess&gt; MstLgaEkbProcesss { get; set; }</v>
      </c>
      <c r="G58" s="51" t="str">
        <f ca="1">A.Backend!L7</f>
        <v xml:space="preserve">namespace vovina.Master.LogA
{
	public class MstLgaEkbProcessConsts	
	{
		public const int MaxCodeLength = 50;
		public const int MaxProcessNameLength = 50;
		public const int MaxProcessGroupLength = 50;
		public const int MaxProcessSubgroupLength = 50;
		public const int MaxProdLineLength = 50;
		public const int MaxProcessTypeLength = 50;
		public const int MaxIsActiveLength = 1;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vovina.Master.LogA.Dto
{
	public class MstLgaEkbProcessDto : EntityDto&lt;long?&gt;	
	{
		public virtual string Code { get; set; }
		public virtual string ProcessName { get; set; }
		public virtual string ProcessGroup { get; set; }
		public virtual string ProcessSubgroup { get; set; }
		public virtual string ProdLine { get; set; }
		public virtual int LeadTime { get; set; }
		public virtual int Sorting { get; set; }
		public virtual int CycleTime { get; set; }
		public virtual int CurrentNoInDate { get; set; }
		public virtual int NextNoInDate { get; set; }
		public virtual string ProcessType { get; set; }
		public virtual string IsActive { get; set; }
	}
	public class CreateOrEditMstLgaEkbProcessDto : EntityDto&lt;long?&gt;	
	{
		[StringLength(MstLgaEkbProcessConsts.MaxCodeLength)]
		public virtual string Code { get; set; }
		[StringLength(MstLgaEkbProcessConsts.MaxProcessNameLength)]
		public virtual string ProcessName { get; set; }
		[StringLength(MstLgaEkbProcessConsts.MaxProcessGroupLength)]
		public virtual string ProcessGroup { get; set; }
		[StringLength(MstLgaEkbProcessConsts.MaxProcessSubgroupLength)]
		public virtual string ProcessSubgroup { get; set; }
		[StringLength(MstLgaEkbProcessConsts.MaxProdLineLength)]
		public virtual string ProdLine { get; set; }
		public virtual int LeadTime { get; set; }
		public virtual int Sorting { get; set; }
		public virtual int CycleTime { get; set; }
		public virtual int CurrentNoInDate { get; set; }
		public virtual int NextNoInDate { get; set; }
		[StringLength(MstLgaEkbProcessConsts.MaxProcessTypeLength)]
		public virtual string ProcessType { get; set; }
		[StringLength(MstLgaEkbProcessConsts.MaxIsActiveLength)]
		public virtual string IsActive { get; set; }
	}
	public class GetMstLgaEkbProcessInput : PagedAndSortedResultRequestDto	
	{
		public virtual string Code { get; set; }
		public virtual string ProcessName { get; set; }
		public virtual string ProcessGroup { get; set; }
		public virtual string ProcessSubgroup { get; set; }
		public virtual string ProdLine { get; set; }
		public virtual int LeadTime { get; set; }
		public virtual int Sorting { get; set; }
		public virtual int CycleTime { get; set; }
		public virtual int CurrentNoInDate { get; set; }
		public virtual int NextNoInDate { get; set; }
		public virtual string ProcessType { get; set; }
		public virtual string IsActive { get; set; }
	}
}
</v>
      </c>
      <c r="I58" s="51" t="str">
        <f ca="1">A.Backend!R7</f>
        <v xml:space="preserve">using Abp.Application.Services.Dto;
using System;
using System.ComponentModel.DataAnnotations;
namespace vovina.Master.LogA.Dto
{
	public class MstLgaEkbProcessExportInput{
		public virtual string Code { get; set; }
		public virtual string ProcessName { get; set; }
		public virtual string ProcessGroup { get; set; }
		public virtual string ProcessSubgroup { get; set; }
		public virtual string ProdLine { get; set; }
		public virtual int LeadTime { get; set; }
		public virtual int Sorting { get; set; }
		public virtual int CycleTime { get; set; }
		public virtual int CurrentNoInDate { get; set; }
		public virtual int NextNoInDate { get; set; }
		public virtual string ProcessType { get; set; }
		public virtual string IsActive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vovina.Master.LogA.Dto;
namespace vovina.Master.LogA
{
	public interface IMstLgaEkbProcessAppService : IApplicationService
	{
		Task&lt;PagedResultDto&lt;MstLgaEkbProcessDto&gt;&gt; GetAll(GetMstLgaEkbProcessInput input);
		Task CreateOrEdit(CreateOrEditMstLgaEkbProcessDto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IMstLgaEkbProcessExcelExporter : IApplicationService
	{
		FileDto ExportToFile(List&lt;MstLgaEkbProcessDto&gt; mstlgaekbprocess);
	}
}
</v>
      </c>
      <c r="L58" s="51" t="str">
        <f ca="1">A.Backend!T7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MstLgaEkbProcessExcelExporter : NpoiExcelExporterBase, IMstLgaEkbProcessExcelExporter
    {
        public MstLgaEkbProcessExcelExporter(ITempFileCacheManager tempFileCacheManager) : base(tempFileCacheManager) { }
        public FileDto ExportToFile(List&lt;MstLgaEkbProcessDto&gt; ekbprocess)
        {
            return CreateExcelPackage(
				"MasterLogAEkbProcess.xlsx",
				excelPackage =&gt;
				 {
					var sheet = excelPackage.CreateSheet("EkbProcess");
					AddHeader(
								sheet,
								("Code"),
								("ProcessName"),
								("ProcessGroup"),
								("ProcessSubgroup"),
								("ProdLine"),
								("LeadTime"),
								("Sorting"),
								("CycleTime"),
								("CurrentNoInDate"),
								("NextNoInDate"),
								("ProcessType"),
								("IsActive"),
							   );
					AddObjects(
						 sheet, 1, ekbprocess,                                       
								_ =&gt; _.Code,
								_ =&gt; _.ProcessName,
								_ =&gt; _.ProcessGroup,
								_ =&gt; _.ProcessSubgroup,
								_ =&gt; _.ProdLine,
								_ =&gt; _.LeadTime,
								_ =&gt; _.Sorting,
								_ =&gt; _.CycleTime,
								_ =&gt; _.CurrentNoInDate,
								_ =&gt; _.NextNoInDate,
								_ =&gt; _.ProcessType,
								_ =&gt; _.IsActive,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[AbpAuthorize(AppPermissions.Pages_Master_LogA_EkbProcess)]
    public class MstLgaEkbProcessAppService : vovinaAppServiceBase, IMstLgaEkbProcessAppService
    {
        private readonly IDapperRepository&lt;MstLgaEkbProcess, long&gt; _dapperRepo;
        private readonly IRepository&lt;MstLgaEkbProcess, long&gt; _repo;
        private readonly IMstLgaEkbProcessExcelExporter _calendarListExcelExporter;
        public MstLgaEkbProcessAppService(IRepository&lt;MstLgaEkbProcess,long&gt; repo, 
                                         IDapperRepository&lt;MstLgaEkbProcess,long&gt; dapperRepo,
                                        IMstLgaEkbProcessExcelExporter calendarListExcelExporter
            )
        {
            _repo = repo;
            _dapperRepo = dapperRepo;
            _calendarListExcelExporter = calendarListExcelExporter;
        }
        [AbpAuthorize(AppPermissions.Pages_Master_LogA_EkbProcess_CreateEdit)]
        public async Task CreateOrEdit(CreateOrEditMstLgaEkbProcessDto input)
        {
            if (input.Id == null) await Create(input);
            else await Update(input);
        }
        //CREATE
        private async Task Create(CreateOrEditMstLgaEkbProcessDto input)
        {          
            var mainObj = ObjectMapper.Map&lt;MstLgaEkbProcess&gt;(input);
            await CurrentUnitOfWork.GetDbContext&lt;vovinaDbContext&gt;().AddAsync(mainObj);
        }
        // EDIT
        private async Task Update(CreateOrEditMstLgaEkbProcessDto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[AbpAuthorize(AppPermissions.Pages_Master_LogA_EkbProcess_Delete)]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Task&lt;PagedResultDto&lt;MstLgaEkbProcessDto&gt;&gt; GetAll(GetMstLgaEkbProcessInput input)
        {
            var filtered = _repo.GetAll()
				.WhereIf(!string.IsNullOrWhiteSpace(input.Code), e =&gt; e.Code.Contains(input.Code))
				.WhereIf(!string.IsNullOrWhiteSpace(input.ProcessName), e =&gt; e.ProcessName.Contains(input.ProcessName))
				.WhereIf(!string.IsNullOrWhiteSpace(input.ProcessGroup), e =&gt; e.ProcessGroup.Contains(input.ProcessGroup))
				.WhereIf(!string.IsNullOrWhiteSpace(input.ProcessSubgroup), e =&gt; e.ProcessSubgroup.Contains(input.ProcessSubgroup))
				.WhereIf(!string.IsNullOrWhiteSpace(input.ProdLine), e =&gt; e.ProdLine.Contains(input.ProdLine))
				.WhereIf(!string.IsNullOrWhiteSpace(input.ProcessType), e =&gt; e.ProcessType.Contains(input.ProcessType))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MstLgaEkbProcessDto
                        {
							Id = o.Id,
							Code = o.Code,
							ProcessName = o.ProcessName,
							ProcessGroup = o.ProcessGroup,
							ProcessSubgroup = o.ProcessSubgroup,
							ProdLine = o.ProdLine,
							LeadTime = o.LeadTime,
							Sorting = o.Sorting,
							CycleTime = o.CycleTime,
							CurrentNoInDate = o.CurrentNoInDate,
							NextNoInDate = o.NextNoInDate,
							ProcessType = o.ProcessType,
							IsActive = o.IsActive,
                        };
            var totalCount = await filtered.CountAsync();
			var paged = system.PageBy(input);
            return new PagedResultDto&lt;MstLgaEkbProcessDto&gt;(
                totalCount,
                 await paged.ToListAsync()
            );
        }
        public async Task&lt;FileDto&gt; GetEkbProcessToExcel(MstLgaEkbProcessExportInput input)
        {
            var query = from o in _repo.GetAll()
                        select new MstLgaEkbProcessDto
                        {
							Id = o.Id,
							Code = o.Code,
							ProcessName = o.ProcessName,
							ProcessGroup = o.ProcessGroup,
							ProcessSubgroup = o.ProcessSubgroup,
							ProdLine = o.ProdLine,
							LeadTime = o.LeadTime,
							Sorting = o.Sorting,
							CycleTime = o.CycleTime,
							CurrentNoInDate = o.CurrentNoInDate,
							NextNoInDate = o.NextNoInDate,
							ProcessType = o.ProcessType,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_dapperRepo.ExecuteAsync(MstLgaEkbProcessConsts.SP_MST_WPT_CALENDAR_GENERATE);
       // }
    }
}</v>
      </c>
      <c r="N58" s="62" t="str">
        <f>A.Backend!U7</f>
        <v xml:space="preserve">  configuration.CreateMap&lt;MstLgaEkbProcessDto, MstLgaEkbProcess&gt;();
  configuration.CreateMap&lt;MstLgaEkbProcess, MstLgaEkbProcessDto&gt;();
  configuration.CreateMap&lt;CreateOrEditMstLgaEkbProcessDto, MstLgaEkbProcess&gt;();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ekbprocess</v>
      </c>
      <c r="C63" s="72" t="str">
        <f>"create folder " &amp;B63</f>
        <v>create folder ekbprocess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ekbprocess.component.ts</v>
      </c>
      <c r="D64" s="31" t="str">
        <f>B.Frontend!I14</f>
        <v>ekbprocess.component.html</v>
      </c>
      <c r="E64" s="31" t="str">
        <f>B.Frontend!J14</f>
        <v>ekbprocess.component.less</v>
      </c>
      <c r="F64" s="31" t="str">
        <f>B.Frontend!K14</f>
        <v>create-or-edit-ekbprocess-modal.component.html</v>
      </c>
      <c r="G64" s="31" t="str">
        <f>B.Frontend!L14</f>
        <v>create-or-edit-ekbprocess-modal.component.ts</v>
      </c>
      <c r="H64" s="31" t="str">
        <f>B.Frontend!M14</f>
        <v>create-or-edit-ekbprocess-modal.component.less</v>
      </c>
      <c r="I64" s="31" t="str">
        <f>B.Frontend!N14</f>
        <v>ekbprocess.module.ts</v>
      </c>
      <c r="J64" s="31" t="str">
        <f>B.Frontend!O14</f>
        <v>ekbprocess-routing.module.ts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MstLgaEkbProcessDto, MstLgaEkbProcessServiceProxy } from '@shared/service-proxies/service-proxies';
import { finalize } from 'rxjs/internal/operators/finalize';
import { CreateOrEditEkbProcessModalComponent } from './create-or-edit-ekbprocess-modal.component';
import { DatePipe } from '@angular/common';
import { FileDownloadService } from '@shared/utils/file-download.service';
import ceil from 'lodash-es/ceil';
import { Paginator } from 'primeng/paginator';
@Component({
    templateUrl: './ekbprocess.component.html',
    styleUrls: ['./ekbprocess.component.less'],
})
export class EkbProcessComponent extends AppComponentBase implements OnInit {
    @ViewChild('createOrEditModalEkbProcess', { static: true }) createOrEditModalEkbProcess:| CreateOrEditEkbProcessModalComponent|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MstLgaEkbProcessDto = new MstLgaEkbProcessDto();
    saveSelectedRow: MstLgaEkbProcessDto = new MstLgaEkbProcessDto();
    datas: MstLgaEkbProcessDto = new MstLgaEkbProcessDto();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processName : string = '' ; 
	processGroup : string = '' ; 
	processSubgroup : string = '' ; 
	prodLine : string = '' ; 
	leadTime : number = 0 ;
	sorting : number = 0 ;
	cycleTime : number = 0 ;
	currentNoInDate : number = 0 ;
	nextNoInDate : number = 0 ;
	processType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MstLgaEkbProcessServiceProxy,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this.l('Process Name'),headerTooltip: this.l('Process Name'),field: 'processName',flex: 1},
			{headerName: this.l('Process Group'),headerTooltip: this.l('Process Group'),field: 'processGroup',flex: 1},
			{headerName: this.l('Process Subgroup'),headerTooltip: this.l('Process Subgroup'),field: 'processSubgroup',flex: 1},
			{headerName: this.l('Prod Line'),headerTooltip: this.l('Prod Line'),field: 'prodLine',flex: 1},
			{headerName: this.l('Lead Time'),headerTooltip: this.l('Lead Time'),field: 'leadTime',flex: 1},
			{headerName: this.l('Sorting'),headerTooltip: this.l('Sorting'),field: 'sorting',flex: 1},
			{headerName: this.l('Cycle Time'),headerTooltip: this.l('Cycle Time'),field: 'cycleTime',flex: 1},
			{headerName: this.l('Current No In Date'),headerTooltip: this.l('Current No In Date'),field: 'currentNoInDate',flex: 1},
			{headerName: this.l('Next No In Date'),headerTooltip: this.l('Next No In Date'),field: 'nextNoInDate',flex: 1},
			{headerName: this.l('Process Type'),headerTooltip: this.l('Process Type'),field: 'processType',flex: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this.processName,
			this.processGroup,
			this.processSubgroup,
			this.prodLine,
			this.leadTime,
			this.sorting,
			this.cycleTime,
			this.currentNoInDate,
			this.nextNoInDate,
			this.processType,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this.processName = '',
		this.processGroup = '',
		this.processSubgroup = '',
		this.prodLine = '',
		this.leadTime = 0,
		this.sorting = 0,
		this.cycleTime = 0,
		this.currentNoInDate = 0,
		this.nextNoInDate = 0,
		this.processType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this.processName,
			this.processGroup,
			this.processSubgroup,
			this.prodLine,
			this.leadTime,
			this.sorting,
			this.cycleTime,
			this.currentNoInDate,
			this.nextNoInDate,
			this.processType,
			this.isActive,
			'',
            this.paginationParams.skipCount,
            this.paginationParams.pageSize
        );
    }
    onChangeRowSelection(params: { api: { getSelectedRows: () =&gt; MstLgaEkbProcessDto[] } }) {
        this.saveSelectedRow = params.api.getSelectedRows()[0] ?? new MstLgaEkbProcessDto();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MstLgaEkbProcessDto):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this._service.getEkbProcessToExcel(
			this.code,
			this.processName,
			this.processGroup,
			this.processSubgroup,
			this.prodLine,
			this.leadTime,
			this.sorting,
			this.cycleTime,
			this.currentNoInDate,
			this.nextNoInDate,
			this.processType,
			this.isActive,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LA Ekanban Process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[(ngModel)]='processSubgroup' name='processSubgroup'
									class='form-control' [placeholder]="l('Process Subgroup')"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[(ngModel)]='processType' name='processType'
									class='form-control' [placeholder]="l('Process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(click)="createOrEditModalEkbProcess.show()"&gt;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(click)="createOrEditModalEkbProcess.show(selectedRow)"&gt;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&lt;create-or-edit-ekbprocess-modal
    #createOrEditModalEkbProcess
    (modalSave)="callBackDataGrid(dataParams)"
    (modalClose)="onChangeRowSelection(dataParams)"
&gt;
&lt;/create-or-edit-ekbprocess-modal&gt;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#createOrEditModalEkbProcess="bs-modal"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EkbProcess')}}&lt;/h3&gt;
                    &lt;h3 *ngIf="!rowdata.id"&gt;{{('Create New EkbProcess')}}&lt;/h3&gt;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title'&gt;Lead Time&lt;/label&gt;
						&lt;input type='number' class='col-md-10 form-control input-text' name='LeadTime' [(ngModel)]='rowdata.leadTime'&gt;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title'&gt;Cycle Time&lt;/label&gt;
						&lt;input type='number' class='col-md-10 form-control input-text' name='CycleTime' [(ngModel)]='rowdata.cycleTime'&gt;
					&lt;/div&gt;
					&lt;div class='col-md-12 form-group row'&gt;
						&lt;label class='col-md-2 form-control title'&gt;Current No In Date&lt;/label&gt;
						&lt;input type='number' class='col-md-10 form-control input-text' name='CurrentNoInDate' [(ngModel)]='rowdata.currentNoInDate'&gt;
					&lt;/div&gt;
					&lt;div class='col-md-12 form-group row'&gt;
						&lt;label class='col-md-2 form-control title'&gt;Next No In Date&lt;/label&gt;
						&lt;input type='number' class='col-md-10 form-control input-text' name='NextNoInDate' [(ngModel)]='rowdata.nextNoInDate'&gt;
					&lt;/div&gt;
					&lt;div class='col-md-12 form-group row'&gt;
						&lt;label class='col-md-2 form-control title'&gt;Process Type&lt;/label&gt;
						&lt;input type='text' class='col-md-10 form-control input-text' name='ProcessType' [(ngModel)]='rowdata.processType'&gt;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CreateOrEditMstLgaEkbProcessDto, MstLgaEkbProcessServiceProxy } from '@shared/service-proxies/service-proxies';
import { BsDatepickerDirective } from 'ngx-bootstrap/datepicker';
@Component({
    selector: 'create-or-edit-ekbprocess-modal',
    templateUrl: './create-or-edit-ekbprocess-modal.component.html',
    styleUrls: ['./create-or-edit-ekbprocess-modal.component.less']
    })
export class CreateOrEditEkbProcessModalComponent extends AppComponentBase {
    @ViewChild('createOrEditModalEkbProcess',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CreateOrEditMstLgaEkbProcessDto = new CreateOrEditMstLgaEkbProcessDto();
    active: boolean = false;
    saving: boolean = false;
    _isActive: boolean;
    constructor(
        injector: Injector,
        private _mstwptEkbProcessService: MstLgaEkbProcessServiceProxy,
    ) 
    {
        super(injector);
    }
    show(rowdata?: CreateOrEditMstLgaEkbProcessDto): void {
        if (!rowdata) this.rowdata = new CreateOrEditMstLgaEkbProcessDto();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this._mstwptEkbProcessService.createOrEdit(this.rowdata)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EkbProcessRoutingModule } from './ekbprocess-routing.module';
import { EkbProcessComponent } from './ekbprocess.component';
import { CreateOrEditEkbProcessModalComponent } from './create-or-edit-ekbprocess-modal.component';
@NgModule({
    declarations: [
       EkbProcessComponent, 
        CreateOrEditEkbProcessModalComponent
    ],
    imports: [
        AppSharedModule, EkbProcessRoutingModule]
})
export class EkbProcessModule {}</v>
      </c>
      <c r="J65" s="49" t="str">
        <f>B.Frontend!O10</f>
        <v>import {NgModule} from '@angular/core';
import {RouterModule, Routes} from '@angular/router';
import { EkbProcessComponent } from './ekbprocess.component';
const routes: Routes = [{
    path: '',
    component: EkbProcessComponent,
    pathMatch: 'full'
}];
@NgModule({
    imports: [RouterModule.forChild(routes)],
    exports: [RouterModule],
})
export class EkbProcessRoutingModule {}</v>
      </c>
      <c r="K65" s="49" t="str">
        <f>B.Frontend!P10</f>
        <v xml:space="preserve"> new AppMenuItem("EkbProcess", "Pages.Master.LogA.EkbProcess", "flaticon-book",   "/app/main/master/loga/ekbprocess"),</v>
      </c>
      <c r="L65" s="50" t="str">
        <f>B.Frontend!Q10</f>
        <v>{
    path: 'master/loga/ekbprocess',
    loadChildren: () =&gt; import('./master/loga/ekbprocess/ekbprocess.module').then(m =&gt; m.EkbProcessModule),
    data: { permission: 'Pages.Master.LogA.EkbProcess' }
},</v>
      </c>
      <c r="M65" s="48" t="str">
        <f>B.Frontend!R10</f>
        <v>ApiServiceProxies.MstLgaEkbProcessServiceProxy,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2"/>
  <sheetViews>
    <sheetView tabSelected="1" workbookViewId="0">
      <pane xSplit="1" topLeftCell="B1" activePane="topRight" state="frozen"/>
      <selection pane="topRight" activeCell="C17" sqref="C17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vovina.Master.LogA.Dto;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321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335</v>
      </c>
      <c r="C3" s="10" t="s">
        <v>43</v>
      </c>
      <c r="D3" s="10" t="s">
        <v>44</v>
      </c>
      <c r="E3" s="10" t="s">
        <v>39</v>
      </c>
      <c r="F3" s="11" t="str">
        <f>"J"&amp;COUNTA($A:$A)</f>
        <v>J20</v>
      </c>
      <c r="G3" s="4" t="s">
        <v>57</v>
      </c>
      <c r="H3" s="10" t="str">
        <f>"I"&amp;COUNTA($A:$A)</f>
        <v>I20</v>
      </c>
      <c r="I3" s="10" t="str">
        <f>REPT(CHAR(9),2)&amp;"[Required]"&amp;"
"</f>
        <v xml:space="preserve">		[Required]
</v>
      </c>
      <c r="J3" s="11" t="str">
        <f>"L"&amp;COUNTA($A:$A)</f>
        <v>L20</v>
      </c>
      <c r="K3" s="5" t="s">
        <v>56</v>
      </c>
      <c r="L3" s="11" t="str">
        <f>"M"&amp;COUNTA($A:$A)</f>
        <v>M20</v>
      </c>
      <c r="M3" s="11" t="str">
        <f>"N"&amp;COUNTA($A:$A)</f>
        <v>N20</v>
      </c>
      <c r="N3" s="11" t="str">
        <f>"O"&amp;COUNTA($A:$A)</f>
        <v>O20</v>
      </c>
      <c r="O3" s="11" t="str">
        <f>"P"&amp;COUNTA($A:$A)</f>
        <v>P20</v>
      </c>
      <c r="Q3" s="11" t="str">
        <f>RIGHT(B2,(LEN(B2)-FIND(".",B2,1)))</f>
        <v>LogA</v>
      </c>
      <c r="R3" s="32" t="str">
        <f>REPT(CHAR(9),1)&amp;"public class "&amp;B3&amp;"ExportInput"&amp;C3</f>
        <v xml:space="preserve">	public class MstLgaEkbProcessExportInput{
</v>
      </c>
      <c r="S3" s="11" t="str">
        <f>"namespace "&amp;$B$6&amp;".Exporting
"&amp;$C$3</f>
        <v xml:space="preserve">namespace vovina.Master.LogA.Exporting
{
</v>
      </c>
      <c r="T3" s="11" t="str">
        <f>"T"&amp;COUNTA($A:$A)</f>
        <v>T20</v>
      </c>
      <c r="V3" s="11" t="str">
        <f>"V"&amp;COUNTA($A:$A)</f>
        <v>V20</v>
      </c>
      <c r="W3" s="10" t="str">
        <f>"W"&amp;COUNTA($A:$A)</f>
        <v>W20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336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vovina.Master.LogA</v>
      </c>
      <c r="C6" s="11" t="str">
        <f>"namespace "&amp;$B$6&amp;"
"&amp;$C$3</f>
        <v xml:space="preserve">namespace vovina.Master.LogA
{
</v>
      </c>
      <c r="D6" s="11" t="str">
        <f>REPT(CHAR(9),1)&amp;"public class "&amp;B3&amp;G3&amp;REPT(CHAR(9),1)&amp;"
"&amp;REPT(CHAR(9),1)&amp;C3</f>
        <v xml:space="preserve">	public class MstLgaEkbProcess: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MstLgaEkbProcessConsts	
	{
</v>
      </c>
      <c r="F6" s="11" t="str">
        <f>REPT(CHAR(9),1)&amp;"public class "&amp;B3&amp;"Dto"&amp;K3&amp;REPT(CHAR(9),1)&amp;"
"&amp;REPT(CHAR(9),1)&amp;C3</f>
        <v xml:space="preserve">	public class MstLgaEkbProcessDto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CreateOrEditMstLgaEkbProcessDto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GetMstLgaEkbProcessInput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MstLgaEkbProcess</v>
      </c>
      <c r="C7" s="11" t="str">
        <f>REPT(CHAR(9),1)&amp;"[Table("""&amp;B7&amp;""")]"&amp;"
"</f>
        <v xml:space="preserve">	[Table("MstLgaEkbProcess")]
</v>
      </c>
      <c r="D7" s="11"/>
      <c r="E7" s="11"/>
      <c r="F7" s="11"/>
      <c r="G7" s="11"/>
      <c r="H7" s="11"/>
      <c r="I7" s="11"/>
      <c r="J7" s="6" t="str">
        <f ca="1">SUBSTITUTE(SUBSTITUTE((B1&amp;C6&amp;C7&amp;K22&amp;D6&amp;I22&amp;E3&amp;J22&amp;""&amp;REPT(CHAR(9),1)&amp;D3&amp;D3),"WorkingPattern",$Q$3),"Master",$B$4)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[Table("MstLgaEkbProcess")]
	[Index(nameof(Code), Name="IX_MstLgaEkbProcess_Code")]
	[Index(nameof(ProdLine), Name="IX_MstLgaEkbProcess_ProdLine")]
	[Index(nameof(Sorting), Name="IX_MstLgaEkbProcess_Sorting")]
	[Index(nameof(IsActive), Name="IX_MstLgaEkbProcess_IsActive")]	public class MstLgaEkbProcess: FullAuditedEntity&lt;long&gt;, IEntity&lt;long&gt;	
	{
		public const int MaxCodeLength = 50;
		public const int MaxProcessNameLength = 50;
		public const int MaxProcessGroupLength = 50;
		public const int MaxProcessSubgroupLength = 50;
		public const int MaxProdLineLength = 50;
		public const int MaxProcessTypeLength = 50;
		public const int MaxIsActiveLength = 1;
		[StringLength(MaxCodeLength)]
		public virtual string Code { get; set; }
		[StringLength(MaxProcessNameLength)]
		public virtual string ProcessName { get; set; }
		[StringLength(MaxProcessGroupLength)]
		public virtual string ProcessGroup { get; set; }
		[StringLength(MaxProcessSubgroupLength)]
		public virtual string ProcessSubgroup { get; set; }
		[StringLength(MaxProdLineLength)]
		public virtual string ProdLine { get; set; }
		public virtual int LeadTime { get; set; }
		public virtual int Sorting { get; set; }
		public virtual int CycleTime { get; set; }
		public virtual int CurrentNoInDate { get; set; }
		public virtual int NextNoInDate { get; set; }
		[StringLength(MaxProcessTypeLength)]
		public virtual string ProcessType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DbSet&lt;MstLgaEkbProcess&gt; MstLgaEkbProcesss { get; set; }</v>
      </c>
      <c r="L7" t="str">
        <f ca="1">SUBSTITUTE(SUBSTITUTE((C6&amp;E6&amp;I22&amp;"
"&amp;REPT(CHAR(9),2)&amp;"// Define Store Name: Format SP_ + &lt;Store Name&gt; = &lt;Store Name&gt;
"&amp;E3&amp;REPT(CHAR(9),1)&amp;D3&amp;D3),"WorkingPattern",$Q$3),"Master",$B$4)</f>
        <v xml:space="preserve">namespace vovina.Master.LogA
{
	public class MstLgaEkbProcessConsts	
	{
		public const int MaxCodeLength = 50;
		public const int MaxProcessNameLength = 50;
		public const int MaxProcessGroupLength = 50;
		public const int MaxProcessSubgroupLength = 50;
		public const int MaxProdLineLength = 50;
		public const int MaxProcessTypeLength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"&amp;B6&amp;".Dto"&amp;E3&amp;C3&amp;F6&amp;M22&amp;E3&amp;REPT(CHAR(9),1)&amp;D3&amp;G6&amp;N22&amp;REPT(CHAR(9),1)&amp;D3&amp;H6&amp;O22&amp;"
"&amp;REPT(CHAR(9),1)&amp;D3&amp;D3),"WorkingPattern",$Q$3),"Master",$B$4)</f>
        <v xml:space="preserve">using Abp.Application.Services.Dto;
using System;
using System.ComponentModel.DataAnnotations;
namespace vovina.Master.LogA.Dto
{
	public class MstLgaEkbProcessDto : EntityDto&lt;long?&gt;	
	{
		public virtual string Code { get; set; }
		public virtual string ProcessName { get; set; }
		public virtual string ProcessGroup { get; set; }
		public virtual string ProcessSubgroup { get; set; }
		public virtual string ProdLine { get; set; }
		public virtual int LeadTime { get; set; }
		public virtual int Sorting { get; set; }
		public virtual int CycleTime { get; set; }
		public virtual int CurrentNoInDate { get; set; }
		public virtual int NextNoInDate { get; set; }
		public virtual string ProcessType { get; set; }
		public virtual string IsActive { get; set; }
	}
	public class CreateOrEditMstLgaEkbProcessDto : EntityDto&lt;long?&gt;	
	{
		[StringLength(MstLgaEkbProcessConsts.MaxCodeLength)]
		public virtual string Code { get; set; }
		[StringLength(MstLgaEkbProcessConsts.MaxProcessNameLength)]
		public virtual string ProcessName { get; set; }
		[StringLength(MstLgaEkbProcessConsts.MaxProcessGroupLength)]
		public virtual string ProcessGroup { get; set; }
		[StringLength(MstLgaEkbProcessConsts.MaxProcessSubgroupLength)]
		public virtual string ProcessSubgroup { get; set; }
		[StringLength(MstLgaEkbProcessConsts.MaxProdLineLength)]
		public virtual string ProdLine { get; set; }
		public virtual int LeadTime { get; set; }
		public virtual int Sorting { get; set; }
		public virtual int CycleTime { get; set; }
		public virtual int CurrentNoInDate { get; set; }
		public virtual int NextNoInDate { get; set; }
		[StringLength(MstLgaEkbProcessConsts.MaxProcessTypeLength)]
		public virtual string ProcessType { get; set; }
		[StringLength(MstLgaEkbProcessConsts.MaxIsActiveLength)]
		public virtual string IsActive { get; set; }
	}
	public class GetMstLgaEkbProcessInput : PagedAndSortedResultRequestDto	
	{
		public virtual string Code { get; set; }
		public virtual string ProcessName { get; set; }
		public virtual string ProcessGroup { get; set; }
		public virtual string ProcessSubgroup { get; set; }
		public virtual string ProdLine { get; set; }
		public virtual int LeadTime { get; set; }
		public virtual int Sorting { get; set; }
		public virtual int CycleTime { get; set; }
		public virtual int CurrentNoInDate { get; set; }
		public virtual int NextNoInDate { get; set; }
		public virtual string ProcessType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perMstLgaEkbProcess = PARENTS.CreateChildPermission(AppPermissions.Pages_Master_LogA_EkbProcess, L( "MasterLogAEkbProcess"), multiTenancySides: MultiTenancySides.Tenant);
		perMstLgaEkbProcess.CreateChildPermission(AppPermissions.Pages_Master_LogA_EkbProcess_CreateEdit, L( "MasterLogAEkbProcessCreateEdit"), multiTenancySides: MultiTenancySides.Tenant);
		perMstLgaEkbProcess.CreateChildPermission(AppPermissions.Pages_Master_LogA_EkbProcess_Delete, L( "MasterLogAEkbProcessDelete"),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Pages_Master_LogA_EkbProcess = "Pages.Master.LogA.EkbProcess";
		public const string Pages_Master_LogA_EkbProcess_CreateEdit = "Pages.Master.LogA.EkbProcess.CreateEdit";
		public const string Pages_Master_LogA_EkbProcess_Delete = "Pages.Master.LogA.EkbProcess.Delete";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
{
	public interface IMstLgaEkbProcessAppService : IApplicationService
	{
		Task&lt;PagedResultDto&lt;MstLgaEkbProcessDto&gt;&gt; GetAll(GetMstLgaEkbProcessInput input);
		Task CreateOrEdit(CreateOrEditMstLgaEkbProcessDto input);
		Task Delete(EntityDto input);
	}
}
</v>
      </c>
      <c r="Q7" t="str">
        <f ca="1">SUBSTITUTE(SUBSTITUTE(SUBSTITUTE(SUBSTITUTE(SUBSTITUTE(SUBSTITUTE(E1,"MstWptCalendar",$B$3),"&lt;PROPERTIES&gt;",P22),"Calendar",$B$5),"WorkingPattern",$Q$3),"Master",$B$4),"&lt;PARAMS_SEARCH&gt;",$W$22)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[AbpAuthorize(AppPermissions.Pages_Master_LogA_EkbProcess)]
    public class MstLgaEkbProcessAppService : vovinaAppServiceBase, IMstLgaEkbProcessAppService
    {
        private readonly IDapperRepository&lt;MstLgaEkbProcess, long&gt; _dapperRepo;
        private readonly IRepository&lt;MstLgaEkbProcess, long&gt; _repo;
        private readonly IMstLgaEkbProcessExcelExporter _calendarListExcelExporter;
        public MstLgaEkbProcessAppService(IRepository&lt;MstLgaEkbProcess,long&gt; repo, 
                                         IDapperRepository&lt;MstLgaEkbProcess,long&gt; dapperRepo,
                                        IMstLgaEkbProcessExcelExporter calendarListExcelExporter
            )
        {
            _repo = repo;
            _dapperRepo = dapperRepo;
            _calendarListExcelExporter = calendarListExcelExporter;
        }
        [AbpAuthorize(AppPermissions.Pages_Master_LogA_EkbProcess_CreateEdit)]
        public async Task CreateOrEdit(CreateOrEditMstLgaEkbProcessDto input)
        {
            if (input.Id == null) await Create(input);
            else await Update(input);
        }
        //CREATE
        private async Task Create(CreateOrEditMstLgaEkbProcessDto input)
        {          
            var mainObj = ObjectMapper.Map&lt;MstLgaEkbProcess&gt;(input);
            await CurrentUnitOfWork.GetDbContext&lt;vovinaDbContext&gt;().AddAsync(mainObj);
        }
        // EDIT
        private async Task Update(CreateOrEditMstLgaEkbProcessDto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[AbpAuthorize(AppPermissions.Pages_Master_LogA_EkbProcess_Delete)]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Task&lt;PagedResultDto&lt;MstLgaEkbProcessDto&gt;&gt; GetAll(GetMstLgaEkbProcessInput input)
        {
            var filtered = _repo.GetAll()
				.WhereIf(!string.IsNullOrWhiteSpace(input.Code), e =&gt; e.Code.Contains(input.Code))
				.WhereIf(!string.IsNullOrWhiteSpace(input.ProcessName), e =&gt; e.ProcessName.Contains(input.ProcessName))
				.WhereIf(!string.IsNullOrWhiteSpace(input.ProcessGroup), e =&gt; e.ProcessGroup.Contains(input.ProcessGroup))
				.WhereIf(!string.IsNullOrWhiteSpace(input.ProcessSubgroup), e =&gt; e.ProcessSubgroup.Contains(input.ProcessSubgroup))
				.WhereIf(!string.IsNullOrWhiteSpace(input.ProdLine), e =&gt; e.ProdLine.Contains(input.ProdLine))
				.WhereIf(!string.IsNullOrWhiteSpace(input.ProcessType), e =&gt; e.ProcessType.Contains(input.ProcessType))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MstLgaEkbProcessDto
                        {
							Id = o.Id,
							Code = o.Code,
							ProcessName = o.ProcessName,
							ProcessGroup = o.ProcessGroup,
							ProcessSubgroup = o.ProcessSubgroup,
							ProdLine = o.ProdLine,
							LeadTime = o.LeadTime,
							Sorting = o.Sorting,
							CycleTime = o.CycleTime,
							CurrentNoInDate = o.CurrentNoInDate,
							NextNoInDate = o.NextNoInDate,
							ProcessType = o.ProcessType,
							IsActive = o.IsActive,
                        };
            var totalCount = await filtered.CountAsync();
			var paged = system.PageBy(input);
            return new PagedResultDto&lt;MstLgaEkbProcessDto&gt;(
                totalCount,
                 await paged.ToListAsync()
            );
        }
        public async Task&lt;FileDto&gt; GetEkbProcessToExcel(MstLgaEkbProcessExportInput input)
        {
            var query = from o in _repo.GetAll()
                        select new MstLgaEkbProcessDto
                        {
							Id = o.Id,
							Code = o.Code,
							ProcessName = o.ProcessName,
							ProcessGroup = o.ProcessGroup,
							ProcessSubgroup = o.ProcessSubgroup,
							ProdLine = o.ProdLine,
							LeadTime = o.LeadTime,
							Sorting = o.Sorting,
							CycleTime = o.CycleTime,
							CurrentNoInDate = o.CurrentNoInDate,
							NextNoInDate = o.NextNoInDate,
							ProcessType = o.ProcessType,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_dapperRepo.ExecuteAsync(MstLgaEkbProcessConsts.SP_MST_WPT_CALENDAR_GENERATE);
       // }
    }
}</v>
      </c>
      <c r="R7" t="str">
        <f ca="1">SUBSTITUTE(SUBSTITUTE((C1&amp;"namespace "&amp;B6&amp;".Dto"&amp;E3&amp;C3&amp;R3&amp;M22&amp;E3&amp;REPT(CHAR(9),1)&amp;D3&amp;D3),"WorkingPattern",$Q$3),"Master",$B$4)</f>
        <v xml:space="preserve">using Abp.Application.Services.Dto;
using System;
using System.ComponentModel.DataAnnotations;
namespace vovina.Master.LogA.Dto
{
	public class MstLgaEkbProcessExportInput{
		public virtual string Code { get; set; }
		public virtual string ProcessName { get; set; }
		public virtual string ProcessGroup { get; set; }
		public virtual string ProcessSubgroup { get; set; }
		public virtual string ProdLine { get; set; }
		public virtual int LeadTime { get; set; }
		public virtual int Sorting { get; set; }
		public virtual int CycleTime { get; set; }
		public virtual int CurrentNoInDate { get; set; }
		public virtual int NextNoInDate { get; set; }
		public virtual string ProcessType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IMstLgaEkbProcessExcelExporter : IApplicationService
	{
		FileDto ExportToFile(List&lt;MstLgaEkbProcessDto&gt; mstlgaekbprocess);
	}
}
</v>
      </c>
      <c r="T7" s="28" t="str">
        <f ca="1">SUBSTITUTE(SUBSTITUTE(SUBSTITUTE(SUBSTITUTE(SUBSTITUTE(SUBSTITUTE(SUBSTITUTE(T1,"MstWptCalendar",$B$3),"&lt;PROPERTIES1&gt;",V22),"&lt;PROPERTIES&gt;",T22),"Calendar",$B$5),"calendar",LOWER(B5)),"WorkingPattern",$Q$3),"Master",$B$4)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MstLgaEkbProcessExcelExporter : NpoiExcelExporterBase, IMstLgaEkbProcessExcelExporter
    {
        public MstLgaEkbProcessExcelExporter(ITempFileCacheManager tempFileCacheManager) : base(tempFileCacheManager) { }
        public FileDto ExportToFile(List&lt;MstLgaEkbProcessDto&gt; ekbprocess)
        {
            return CreateExcelPackage(
				"MasterLogAEkbProcess.xlsx",
				excelPackage =&gt;
				 {
					var sheet = excelPackage.CreateSheet("EkbProcess");
					AddHeader(
								sheet,
								("Code"),
								("ProcessName"),
								("ProcessGroup"),
								("ProcessSubgroup"),
								("ProdLine"),
								("LeadTime"),
								("Sorting"),
								("CycleTime"),
								("CurrentNoInDate"),
								("NextNoInDate"),
								("ProcessType"),
								("IsActive"),
							   );
					AddObjects(
						 sheet, 1, ekbprocess,                                       
								_ =&gt; _.Code,
								_ =&gt; _.ProcessName,
								_ =&gt; _.ProcessGroup,
								_ =&gt; _.ProcessSubgroup,
								_ =&gt; _.ProdLine,
								_ =&gt; _.LeadTime,
								_ =&gt; _.Sorting,
								_ =&gt; _.CycleTime,
								_ =&gt; _.CurrentNoInDate,
								_ =&gt; _.NextNoInDate,
								_ =&gt; _.ProcessType,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configuration.CreateMap&lt;MstLgaEkbProcessDto, MstLgaEkbProcess&gt;();
  configuration.CreateMap&lt;MstLgaEkbProcess, MstLgaEkbProcessDto&gt;();
  configuration.CreateMap&lt;CreateOrEditMstLgaEkbProcessDto, MstLgaEkbProcess&gt;();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322</v>
      </c>
      <c r="B9" t="s">
        <v>320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Name="IX_MstLgaEkbProcess_Code")]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[StringLength(MstLgaEkbProcessConsts.MaxCodeLength)]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9" t="str">
        <f t="shared" ref="T9" si="10">REPT(CHAR(9),8)&amp;"("""&amp;D9&amp;"""),"</f>
        <v xml:space="preserve">								("Code"),</v>
      </c>
      <c r="V9" s="70" t="str">
        <f t="shared" ref="V9" si="11">REPT(CHAR(9),8)&amp;"_ =&gt; _."&amp;D9&amp;","</f>
        <v xml:space="preserve">								_ =&gt; _.Code,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22.5" customHeight="1" x14ac:dyDescent="0.25">
      <c r="A10" t="s">
        <v>327</v>
      </c>
      <c r="B10" t="s">
        <v>320</v>
      </c>
      <c r="C10" t="s">
        <v>1</v>
      </c>
      <c r="D10" t="str">
        <f>SUBSTITUTE(PROPER(A10),"_","")</f>
        <v>ProcessName</v>
      </c>
      <c r="E10" t="str">
        <f t="shared" ref="E10:E20" si="13">IFERROR(LEFT(B10, FIND("(",B10)-1),B10)</f>
        <v>varchar</v>
      </c>
      <c r="F10" s="7"/>
      <c r="G10" t="str">
        <f t="shared" ref="G10:G20" si="14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20" si="15">IF(H10="string",REPT(CHAR(9),2)&amp;"public const int Max"&amp;D10&amp;"Length = "&amp;G10&amp;";"&amp;$E$3,"" )</f>
        <v xml:space="preserve">		public const int MaxProcessNameLength = 50;
</v>
      </c>
      <c r="J10" t="str">
        <f t="shared" ref="J10:J20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[StringLength(MaxProcessNameLength)]
		public virtual string ProcessName { get; set; }
</v>
      </c>
      <c r="K10" s="7"/>
      <c r="L10" t="str">
        <f>IF(K10="","",REPT(CHAR(9),1)&amp;"[Index(nameof("&amp;IF(D10="","",""&amp;D10)&amp;")"&amp;", Name="&amp;"""IX_"&amp;$B$7&amp;"_"&amp;D10&amp;""")]")</f>
        <v/>
      </c>
      <c r="M10" t="str">
        <f t="shared" ref="M10:M20" si="17">REPT(CHAR(9),2)&amp;"public virtual "&amp;IF(OR(H10="DateTime",H10="TimeSpan"),H10&amp;"?",H10)&amp;IF(C10="?","? "," ")&amp;D10&amp;" { get; set; }" &amp; "
"</f>
        <v xml:space="preserve">		public virtual string ProcessName { get; set; }
</v>
      </c>
      <c r="N10" t="str">
        <f t="shared" ref="N10:N20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[StringLength(MstLgaEkbProcessConsts.MaxProcessNameLength)]
		public virtual string ProcessName { get; set; }
</v>
      </c>
      <c r="O10" t="str">
        <f t="shared" ref="O10:O20" si="19">IF(OR(H10="string",H10="DateTime",H10="int"),REPT(CHAR(9),2)&amp;"public virtual "&amp;IF(OR(H10="DateTime",H10="TimeSpan"),H10&amp;"?",H10)&amp;IF(C10="?","? "," ")&amp;D10&amp;" { get; set; }"&amp;$E$3,"")</f>
        <v xml:space="preserve">		public virtual string ProcessName { get; set; }
</v>
      </c>
      <c r="P10" t="str">
        <f t="shared" ref="P10:P20" si="20">REPT(CHAR(9),7)&amp;D10&amp;" = o." &amp;D10 &amp;","</f>
        <v xml:space="preserve">							ProcessName = o.ProcessName,</v>
      </c>
      <c r="T10" s="69" t="str">
        <f t="shared" ref="T10:T20" si="21">REPT(CHAR(9),8)&amp;"("""&amp;D10&amp;"""),"</f>
        <v xml:space="preserve">								("ProcessName"),</v>
      </c>
      <c r="V10" s="70" t="str">
        <f t="shared" ref="V10:V20" si="22">REPT(CHAR(9),8)&amp;"_ =&gt; _."&amp;D10&amp;","</f>
        <v xml:space="preserve">								_ =&gt; _.ProcessName,</v>
      </c>
      <c r="W10" s="69" t="str">
        <f t="shared" ref="W10:W20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.WhereIf(!string.IsNullOrWhiteSpace(input.ProcessName), e =&gt; e.ProcessName.Contains(input.ProcessName))</v>
      </c>
    </row>
    <row r="11" spans="1:23" customFormat="1" ht="22.5" customHeight="1" x14ac:dyDescent="0.25">
      <c r="A11" t="s">
        <v>330</v>
      </c>
      <c r="B11" t="s">
        <v>320</v>
      </c>
      <c r="C11" t="s">
        <v>1</v>
      </c>
      <c r="D11" t="str">
        <f>SUBSTITUTE(PROPER(A11),"_","")</f>
        <v>ProcessGroup</v>
      </c>
      <c r="E11" t="str">
        <f t="shared" ref="E11" si="24">IFERROR(LEFT(B11, FIND("(",B11)-1),B11)</f>
        <v>varchar</v>
      </c>
      <c r="F11" s="7"/>
      <c r="G11" t="str">
        <f t="shared" ref="G11" si="25">IFERROR(MID(B11,FIND("(",B11) +1, FIND(")",B11) - FIND("(",B11) - 1),"")</f>
        <v>50</v>
      </c>
      <c r="H11" t="str">
        <f>+VLOOKUP(E11,'Data Type Mapping'!A:B,2,)</f>
        <v>string</v>
      </c>
      <c r="I11" t="str">
        <f t="shared" ref="I11" si="26">IF(H11="string",REPT(CHAR(9),2)&amp;"public const int Max"&amp;D11&amp;"Length = "&amp;G11&amp;";"&amp;$E$3,"" )</f>
        <v xml:space="preserve">		public const int MaxProcessGroupLength = 50;
</v>
      </c>
      <c r="J11" t="str">
        <f t="shared" ref="J11" si="27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[StringLength(MaxProcessGroupLength)]
		public virtual string ProcessGroup { get; set; }
</v>
      </c>
      <c r="K11" s="7"/>
      <c r="L11" t="str">
        <f>IF(K11="","",REPT(CHAR(9),1)&amp;"[Index(nameof("&amp;IF(D11="","",""&amp;D11)&amp;")"&amp;", Name="&amp;"""IX_"&amp;$B$7&amp;"_"&amp;D11&amp;""")]")</f>
        <v/>
      </c>
      <c r="M11" t="str">
        <f t="shared" ref="M11" si="28">REPT(CHAR(9),2)&amp;"public virtual "&amp;IF(OR(H11="DateTime",H11="TimeSpan"),H11&amp;"?",H11)&amp;IF(C11="?","? "," ")&amp;D11&amp;" { get; set; }" &amp; "
"</f>
        <v xml:space="preserve">		public virtual string ProcessGroup { get; set; }
</v>
      </c>
      <c r="N11" t="str">
        <f t="shared" ref="N11" si="29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[StringLength(MstLgaEkbProcessConsts.MaxProcessGroupLength)]
		public virtual string ProcessGroup { get; set; }
</v>
      </c>
      <c r="O11" t="str">
        <f t="shared" ref="O11" si="30">IF(OR(H11="string",H11="DateTime",H11="int"),REPT(CHAR(9),2)&amp;"public virtual "&amp;IF(OR(H11="DateTime",H11="TimeSpan"),H11&amp;"?",H11)&amp;IF(C11="?","? "," ")&amp;D11&amp;" { get; set; }"&amp;$E$3,"")</f>
        <v xml:space="preserve">		public virtual string ProcessGroup { get; set; }
</v>
      </c>
      <c r="P11" t="str">
        <f t="shared" ref="P11" si="31">REPT(CHAR(9),7)&amp;D11&amp;" = o." &amp;D11 &amp;","</f>
        <v xml:space="preserve">							ProcessGroup = o.ProcessGroup,</v>
      </c>
      <c r="T11" s="69" t="str">
        <f t="shared" ref="T11" si="32">REPT(CHAR(9),8)&amp;"("""&amp;D11&amp;"""),"</f>
        <v xml:space="preserve">								("ProcessGroup"),</v>
      </c>
      <c r="V11" s="70" t="str">
        <f t="shared" ref="V11" si="33">REPT(CHAR(9),8)&amp;"_ =&gt; _."&amp;D11&amp;","</f>
        <v xml:space="preserve">								_ =&gt; _.ProcessGroup,</v>
      </c>
      <c r="W11" s="69" t="str">
        <f t="shared" ref="W11" si="34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.WhereIf(!string.IsNullOrWhiteSpace(input.ProcessGroup), e =&gt; e.ProcessGroup.Contains(input.ProcessGroup))</v>
      </c>
    </row>
    <row r="12" spans="1:23" customFormat="1" ht="22.5" customHeight="1" x14ac:dyDescent="0.25">
      <c r="A12" t="s">
        <v>331</v>
      </c>
      <c r="B12" t="s">
        <v>320</v>
      </c>
      <c r="C12" t="s">
        <v>1</v>
      </c>
      <c r="D12" t="str">
        <f>SUBSTITUTE(PROPER(A12),"_","")</f>
        <v>ProcessSubgroup</v>
      </c>
      <c r="E12" t="str">
        <f t="shared" ref="E12" si="35">IFERROR(LEFT(B12, FIND("(",B12)-1),B12)</f>
        <v>varchar</v>
      </c>
      <c r="F12" s="7"/>
      <c r="G12" t="str">
        <f t="shared" ref="G12" si="36">IFERROR(MID(B12,FIND("(",B12) +1, FIND(")",B12) - FIND("(",B12) - 1),"")</f>
        <v>50</v>
      </c>
      <c r="H12" t="str">
        <f>+VLOOKUP(E12,'Data Type Mapping'!A:B,2,)</f>
        <v>string</v>
      </c>
      <c r="I12" t="str">
        <f t="shared" ref="I12" si="37">IF(H12="string",REPT(CHAR(9),2)&amp;"public const int Max"&amp;D12&amp;"Length = "&amp;G12&amp;";"&amp;$E$3,"" )</f>
        <v xml:space="preserve">		public const int MaxProcessSubgroupLength = 50;
</v>
      </c>
      <c r="J12" t="str">
        <f t="shared" ref="J12" si="38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[StringLength(MaxProcessSubgroupLength)]
		public virtual string ProcessSubgroup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ref="M12" si="39">REPT(CHAR(9),2)&amp;"public virtual "&amp;IF(OR(H12="DateTime",H12="TimeSpan"),H12&amp;"?",H12)&amp;IF(C12="?","? "," ")&amp;D12&amp;" { get; set; }" &amp; "
"</f>
        <v xml:space="preserve">		public virtual string ProcessSubgroup { get; set; }
</v>
      </c>
      <c r="N12" t="str">
        <f t="shared" ref="N12" si="40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[StringLength(MstLgaEkbProcessConsts.MaxProcessSubgroupLength)]
		public virtual string ProcessSubgroup { get; set; }
</v>
      </c>
      <c r="O12" t="str">
        <f t="shared" ref="O12" si="41">IF(OR(H12="string",H12="DateTime",H12="int"),REPT(CHAR(9),2)&amp;"public virtual "&amp;IF(OR(H12="DateTime",H12="TimeSpan"),H12&amp;"?",H12)&amp;IF(C12="?","? "," ")&amp;D12&amp;" { get; set; }"&amp;$E$3,"")</f>
        <v xml:space="preserve">		public virtual string ProcessSubgroup { get; set; }
</v>
      </c>
      <c r="P12" t="str">
        <f t="shared" ref="P12" si="42">REPT(CHAR(9),7)&amp;D12&amp;" = o." &amp;D12 &amp;","</f>
        <v xml:space="preserve">							ProcessSubgroup = o.ProcessSubgroup,</v>
      </c>
      <c r="T12" s="69" t="str">
        <f t="shared" ref="T12" si="43">REPT(CHAR(9),8)&amp;"("""&amp;D12&amp;"""),"</f>
        <v xml:space="preserve">								("ProcessSubgroup"),</v>
      </c>
      <c r="V12" s="70" t="str">
        <f t="shared" ref="V12" si="44">REPT(CHAR(9),8)&amp;"_ =&gt; _."&amp;D12&amp;","</f>
        <v xml:space="preserve">								_ =&gt; _.ProcessSubgroup,</v>
      </c>
      <c r="W12" s="69" t="str">
        <f t="shared" ref="W12" si="45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.WhereIf(!string.IsNullOrWhiteSpace(input.ProcessSubgroup), e =&gt; e.ProcessSubgroup.Contains(input.ProcessSubgroup))</v>
      </c>
    </row>
    <row r="13" spans="1:23" customFormat="1" ht="22.5" customHeight="1" x14ac:dyDescent="0.25">
      <c r="A13" t="s">
        <v>323</v>
      </c>
      <c r="B13" t="s">
        <v>320</v>
      </c>
      <c r="C13" t="s">
        <v>1</v>
      </c>
      <c r="D13" t="str">
        <f>SUBSTITUTE(PROPER(A13),"_","")</f>
        <v>ProdLine</v>
      </c>
      <c r="E13" t="str">
        <f t="shared" si="13"/>
        <v>varchar</v>
      </c>
      <c r="F13" s="7"/>
      <c r="G13" t="str">
        <f t="shared" si="14"/>
        <v>50</v>
      </c>
      <c r="H13" t="str">
        <f>+VLOOKUP(E13,'Data Type Mapping'!A:B,2,)</f>
        <v>string</v>
      </c>
      <c r="I13" t="str">
        <f t="shared" si="15"/>
        <v xml:space="preserve">		public const int MaxProdLineLength = 50;
</v>
      </c>
      <c r="J13" t="str">
        <f t="shared" si="16"/>
        <v xml:space="preserve">		[StringLength(MaxProdLineLength)]
		public virtual string ProdLine { get; set; }
</v>
      </c>
      <c r="K13" s="7" t="s">
        <v>206</v>
      </c>
      <c r="L13" t="str">
        <f>IF(K13="","",REPT(CHAR(9),1)&amp;"[Index(nameof("&amp;IF(D13="","",""&amp;D13)&amp;")"&amp;", Name="&amp;"""IX_"&amp;$B$7&amp;"_"&amp;D13&amp;""")]")</f>
        <v xml:space="preserve">	[Index(nameof(ProdLine), Name="IX_MstLgaEkbProcess_ProdLine")]</v>
      </c>
      <c r="M13" t="str">
        <f t="shared" si="17"/>
        <v xml:space="preserve">		public virtual string ProdLine { get; set; }
</v>
      </c>
      <c r="N13" t="str">
        <f t="shared" si="18"/>
        <v xml:space="preserve">		[StringLength(MstLgaEkbProcessConsts.MaxProdLineLength)]
		public virtual string ProdLine { get; set; }
</v>
      </c>
      <c r="O13" t="str">
        <f t="shared" si="19"/>
        <v xml:space="preserve">		public virtual string ProdLine { get; set; }
</v>
      </c>
      <c r="P13" t="str">
        <f t="shared" si="20"/>
        <v xml:space="preserve">							ProdLine = o.ProdLine,</v>
      </c>
      <c r="T13" s="69" t="str">
        <f t="shared" si="21"/>
        <v xml:space="preserve">								("ProdLine"),</v>
      </c>
      <c r="V13" s="70" t="str">
        <f t="shared" si="22"/>
        <v xml:space="preserve">								_ =&gt; _.ProdLine,</v>
      </c>
      <c r="W13" s="69" t="str">
        <f t="shared" si="23"/>
        <v xml:space="preserve">				.WhereIf(!string.IsNullOrWhiteSpace(input.ProdLine), e =&gt; e.ProdLine.Contains(input.ProdLine))</v>
      </c>
    </row>
    <row r="14" spans="1:23" customFormat="1" ht="21" customHeight="1" x14ac:dyDescent="0.25">
      <c r="A14" t="s">
        <v>328</v>
      </c>
      <c r="B14" t="s">
        <v>4</v>
      </c>
      <c r="C14" t="s">
        <v>1</v>
      </c>
      <c r="D14" t="str">
        <f t="shared" ref="D14:D15" si="46">SUBSTITUTE(PROPER(A14),"_","")</f>
        <v>LeadTime</v>
      </c>
      <c r="E14" t="str">
        <f t="shared" si="13"/>
        <v>int</v>
      </c>
      <c r="F14" s="7"/>
      <c r="G14" t="str">
        <f t="shared" si="14"/>
        <v/>
      </c>
      <c r="H14" t="str">
        <f>+VLOOKUP(E14,'Data Type Mapping'!A:B,2,)</f>
        <v>int</v>
      </c>
      <c r="I14" t="str">
        <f t="shared" si="15"/>
        <v/>
      </c>
      <c r="J14" t="str">
        <f t="shared" si="16"/>
        <v xml:space="preserve">		public virtual int LeadTime { get; set; }
</v>
      </c>
      <c r="K14" s="7"/>
      <c r="L14" t="str">
        <f t="shared" ref="L14:L15" si="47">IF(K14="","",REPT(CHAR(9),1)&amp;"[Index(nameof("&amp;IF(D14="","",""&amp;D14)&amp;")"&amp;", Name="&amp;"""IX_"&amp;$B$7&amp;"_"&amp;D14&amp;""")]")</f>
        <v/>
      </c>
      <c r="M14" t="str">
        <f t="shared" si="17"/>
        <v xml:space="preserve">		public virtual int LeadTime { get; set; }
</v>
      </c>
      <c r="N14" t="str">
        <f t="shared" si="18"/>
        <v xml:space="preserve">		public virtual int LeadTime { get; set; }
</v>
      </c>
      <c r="O14" t="str">
        <f t="shared" si="19"/>
        <v xml:space="preserve">		public virtual int LeadTime { get; set; }
</v>
      </c>
      <c r="P14" t="str">
        <f t="shared" si="20"/>
        <v xml:space="preserve">							LeadTime = o.LeadTime,</v>
      </c>
      <c r="T14" s="69" t="str">
        <f t="shared" si="21"/>
        <v xml:space="preserve">								("LeadTime"),</v>
      </c>
      <c r="V14" s="70" t="str">
        <f t="shared" si="22"/>
        <v xml:space="preserve">								_ =&gt; _.LeadTime,</v>
      </c>
      <c r="W14" s="69" t="str">
        <f t="shared" si="23"/>
        <v/>
      </c>
    </row>
    <row r="15" spans="1:23" customFormat="1" ht="18.75" customHeight="1" x14ac:dyDescent="0.25">
      <c r="A15" t="s">
        <v>324</v>
      </c>
      <c r="B15" t="s">
        <v>4</v>
      </c>
      <c r="C15" t="s">
        <v>1</v>
      </c>
      <c r="D15" t="str">
        <f t="shared" si="46"/>
        <v>Sorting</v>
      </c>
      <c r="E15" t="str">
        <f t="shared" si="13"/>
        <v>int</v>
      </c>
      <c r="F15" s="7"/>
      <c r="G15" t="str">
        <f t="shared" si="14"/>
        <v/>
      </c>
      <c r="H15" t="str">
        <f>+VLOOKUP(E15,'Data Type Mapping'!A:B,2,)</f>
        <v>int</v>
      </c>
      <c r="I15" t="str">
        <f t="shared" si="15"/>
        <v/>
      </c>
      <c r="J15" t="str">
        <f t="shared" si="16"/>
        <v xml:space="preserve">		public virtual int Sorting { get; set; }
</v>
      </c>
      <c r="K15" s="7" t="s">
        <v>206</v>
      </c>
      <c r="L15" t="str">
        <f t="shared" si="47"/>
        <v xml:space="preserve">	[Index(nameof(Sorting), Name="IX_MstLgaEkbProcess_Sorting")]</v>
      </c>
      <c r="M15" t="str">
        <f t="shared" si="17"/>
        <v xml:space="preserve">		public virtual int Sorting { get; set; }
</v>
      </c>
      <c r="N15" t="str">
        <f t="shared" si="18"/>
        <v xml:space="preserve">		public virtual int Sorting { get; set; }
</v>
      </c>
      <c r="O15" t="str">
        <f t="shared" si="19"/>
        <v xml:space="preserve">		public virtual int Sorting { get; set; }
</v>
      </c>
      <c r="P15" t="str">
        <f t="shared" si="20"/>
        <v xml:space="preserve">							Sorting = o.Sorting,</v>
      </c>
      <c r="T15" s="69" t="str">
        <f t="shared" si="21"/>
        <v xml:space="preserve">								("Sorting"),</v>
      </c>
      <c r="V15" s="70" t="str">
        <f t="shared" si="22"/>
        <v xml:space="preserve">								_ =&gt; _.Sorting,</v>
      </c>
      <c r="W15" s="69" t="str">
        <f t="shared" si="23"/>
        <v/>
      </c>
    </row>
    <row r="16" spans="1:23" customFormat="1" ht="21" customHeight="1" x14ac:dyDescent="0.25">
      <c r="A16" t="s">
        <v>338</v>
      </c>
      <c r="B16" t="s">
        <v>4</v>
      </c>
      <c r="C16" t="s">
        <v>1</v>
      </c>
      <c r="D16" t="str">
        <f t="shared" ref="D16:D17" si="48">SUBSTITUTE(PROPER(A16),"_","")</f>
        <v>CycleTime</v>
      </c>
      <c r="E16" t="str">
        <f t="shared" ref="E16:E17" si="49">IFERROR(LEFT(B16, FIND("(",B16)-1),B16)</f>
        <v>int</v>
      </c>
      <c r="F16" s="7"/>
      <c r="G16" t="str">
        <f t="shared" ref="G16:G17" si="50">IFERROR(MID(B16,FIND("(",B16) +1, FIND(")",B16) - FIND("(",B16) - 1),"")</f>
        <v/>
      </c>
      <c r="H16" t="str">
        <f>+VLOOKUP(E16,'Data Type Mapping'!A:B,2,)</f>
        <v>int</v>
      </c>
      <c r="I16" t="str">
        <f t="shared" ref="I16:I17" si="51">IF(H16="string",REPT(CHAR(9),2)&amp;"public const int Max"&amp;D16&amp;"Length = "&amp;G16&amp;";"&amp;$E$3,"" )</f>
        <v/>
      </c>
      <c r="J16" t="str">
        <f t="shared" ref="J16:J17" si="52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int CycleTime { get; set; }
</v>
      </c>
      <c r="K16" s="7"/>
      <c r="L16" t="str">
        <f t="shared" ref="L16:L17" si="53">IF(K16="","",REPT(CHAR(9),1)&amp;"[Index(nameof("&amp;IF(D16="","",""&amp;D16)&amp;")"&amp;", Name="&amp;"""IX_"&amp;$B$7&amp;"_"&amp;D16&amp;""")]")</f>
        <v/>
      </c>
      <c r="M16" t="str">
        <f t="shared" ref="M16:M17" si="54">REPT(CHAR(9),2)&amp;"public virtual "&amp;IF(OR(H16="DateTime",H16="TimeSpan"),H16&amp;"?",H16)&amp;IF(C16="?","? "," ")&amp;D16&amp;" { get; set; }" &amp; "
"</f>
        <v xml:space="preserve">		public virtual int CycleTime { get; set; }
</v>
      </c>
      <c r="N16" t="str">
        <f t="shared" ref="N16:N17" si="55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int CycleTime { get; set; }
</v>
      </c>
      <c r="O16" t="str">
        <f t="shared" ref="O16:O17" si="56">IF(OR(H16="string",H16="DateTime",H16="int"),REPT(CHAR(9),2)&amp;"public virtual "&amp;IF(OR(H16="DateTime",H16="TimeSpan"),H16&amp;"?",H16)&amp;IF(C16="?","? "," ")&amp;D16&amp;" { get; set; }"&amp;$E$3,"")</f>
        <v xml:space="preserve">		public virtual int CycleTime { get; set; }
</v>
      </c>
      <c r="P16" t="str">
        <f t="shared" ref="P16:P17" si="57">REPT(CHAR(9),7)&amp;D16&amp;" = o." &amp;D16 &amp;","</f>
        <v xml:space="preserve">							CycleTime = o.CycleTime,</v>
      </c>
      <c r="T16" s="69" t="str">
        <f t="shared" ref="T16:T17" si="58">REPT(CHAR(9),8)&amp;"("""&amp;D16&amp;"""),"</f>
        <v xml:space="preserve">								("CycleTime"),</v>
      </c>
      <c r="V16" s="70" t="str">
        <f t="shared" ref="V16:V17" si="59">REPT(CHAR(9),8)&amp;"_ =&gt; _."&amp;D16&amp;","</f>
        <v xml:space="preserve">								_ =&gt; _.CycleTime,</v>
      </c>
      <c r="W16" s="69" t="str">
        <f t="shared" ref="W16:W17" si="60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25">
      <c r="A17" t="s">
        <v>339</v>
      </c>
      <c r="B17" t="s">
        <v>4</v>
      </c>
      <c r="C17" t="s">
        <v>1</v>
      </c>
      <c r="D17" t="str">
        <f t="shared" si="48"/>
        <v>CurrentNoInDate</v>
      </c>
      <c r="E17" t="str">
        <f t="shared" si="49"/>
        <v>int</v>
      </c>
      <c r="F17" s="7"/>
      <c r="G17" t="str">
        <f t="shared" si="50"/>
        <v/>
      </c>
      <c r="H17" t="str">
        <f>+VLOOKUP(E17,'Data Type Mapping'!A:B,2,)</f>
        <v>int</v>
      </c>
      <c r="I17" t="str">
        <f t="shared" si="51"/>
        <v/>
      </c>
      <c r="J17" t="str">
        <f t="shared" si="52"/>
        <v xml:space="preserve">		public virtual int CurrentNoInDate { get; set; }
</v>
      </c>
      <c r="K17" s="7"/>
      <c r="L17" t="str">
        <f t="shared" si="53"/>
        <v/>
      </c>
      <c r="M17" t="str">
        <f t="shared" si="54"/>
        <v xml:space="preserve">		public virtual int CurrentNoInDate { get; set; }
</v>
      </c>
      <c r="N17" t="str">
        <f t="shared" si="55"/>
        <v xml:space="preserve">		public virtual int CurrentNoInDate { get; set; }
</v>
      </c>
      <c r="O17" t="str">
        <f t="shared" si="56"/>
        <v xml:space="preserve">		public virtual int CurrentNoInDate { get; set; }
</v>
      </c>
      <c r="P17" t="str">
        <f t="shared" si="57"/>
        <v xml:space="preserve">							CurrentNoInDate = o.CurrentNoInDate,</v>
      </c>
      <c r="T17" s="69" t="str">
        <f t="shared" si="58"/>
        <v xml:space="preserve">								("CurrentNoInDate"),</v>
      </c>
      <c r="V17" s="70" t="str">
        <f t="shared" si="59"/>
        <v xml:space="preserve">								_ =&gt; _.CurrentNoInDate,</v>
      </c>
      <c r="W17" s="69" t="str">
        <f t="shared" si="60"/>
        <v/>
      </c>
    </row>
    <row r="18" spans="1:23" customFormat="1" ht="18.75" customHeight="1" x14ac:dyDescent="0.25">
      <c r="A18" t="s">
        <v>340</v>
      </c>
      <c r="B18" t="s">
        <v>4</v>
      </c>
      <c r="C18" t="s">
        <v>1</v>
      </c>
      <c r="D18" t="str">
        <f t="shared" ref="D18" si="61">SUBSTITUTE(PROPER(A18),"_","")</f>
        <v>NextNoInDate</v>
      </c>
      <c r="E18" t="str">
        <f t="shared" ref="E18" si="62">IFERROR(LEFT(B18, FIND("(",B18)-1),B18)</f>
        <v>int</v>
      </c>
      <c r="F18" s="7"/>
      <c r="G18" t="str">
        <f t="shared" ref="G18" si="63">IFERROR(MID(B18,FIND("(",B18) +1, FIND(")",B18) - FIND("(",B18) - 1),"")</f>
        <v/>
      </c>
      <c r="H18" t="str">
        <f>+VLOOKUP(E18,'Data Type Mapping'!A:B,2,)</f>
        <v>int</v>
      </c>
      <c r="I18" t="str">
        <f t="shared" ref="I18" si="64">IF(H18="string",REPT(CHAR(9),2)&amp;"public const int Max"&amp;D18&amp;"Length = "&amp;G18&amp;";"&amp;$E$3,"" )</f>
        <v/>
      </c>
      <c r="J18" t="str">
        <f t="shared" ref="J18" si="65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public virtual int NextNoInDate { get; set; }
</v>
      </c>
      <c r="K18" s="7"/>
      <c r="L18" t="str">
        <f t="shared" ref="L18" si="66">IF(K18="","",REPT(CHAR(9),1)&amp;"[Index(nameof("&amp;IF(D18="","",""&amp;D18)&amp;")"&amp;", Name="&amp;"""IX_"&amp;$B$7&amp;"_"&amp;D18&amp;""")]")</f>
        <v/>
      </c>
      <c r="M18" t="str">
        <f t="shared" ref="M18" si="67">REPT(CHAR(9),2)&amp;"public virtual "&amp;IF(OR(H18="DateTime",H18="TimeSpan"),H18&amp;"?",H18)&amp;IF(C18="?","? "," ")&amp;D18&amp;" { get; set; }" &amp; "
"</f>
        <v xml:space="preserve">		public virtual int NextNoInDate { get; set; }
</v>
      </c>
      <c r="N18" t="str">
        <f t="shared" ref="N18" si="68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int NextNoInDate { get; set; }
</v>
      </c>
      <c r="O18" t="str">
        <f t="shared" ref="O18" si="69">IF(OR(H18="string",H18="DateTime",H18="int"),REPT(CHAR(9),2)&amp;"public virtual "&amp;IF(OR(H18="DateTime",H18="TimeSpan"),H18&amp;"?",H18)&amp;IF(C18="?","? "," ")&amp;D18&amp;" { get; set; }"&amp;$E$3,"")</f>
        <v xml:space="preserve">		public virtual int NextNoInDate { get; set; }
</v>
      </c>
      <c r="P18" t="str">
        <f t="shared" ref="P18" si="70">REPT(CHAR(9),7)&amp;D18&amp;" = o." &amp;D18 &amp;","</f>
        <v xml:space="preserve">							NextNoInDate = o.NextNoInDate,</v>
      </c>
      <c r="T18" s="69" t="str">
        <f t="shared" ref="T18" si="71">REPT(CHAR(9),8)&amp;"("""&amp;D18&amp;"""),"</f>
        <v xml:space="preserve">								("NextNoInDate"),</v>
      </c>
      <c r="V18" s="70" t="str">
        <f t="shared" ref="V18" si="72">REPT(CHAR(9),8)&amp;"_ =&gt; _."&amp;D18&amp;","</f>
        <v xml:space="preserve">								_ =&gt; _.NextNoInDate,</v>
      </c>
      <c r="W18" s="69" t="str">
        <f t="shared" ref="W18" si="73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</row>
    <row r="19" spans="1:23" customFormat="1" ht="18.75" customHeight="1" x14ac:dyDescent="0.25">
      <c r="A19" t="s">
        <v>329</v>
      </c>
      <c r="B19" t="s">
        <v>320</v>
      </c>
      <c r="C19" t="s">
        <v>1</v>
      </c>
      <c r="D19" t="str">
        <f t="shared" ref="D19" si="74">SUBSTITUTE(PROPER(A19),"_","")</f>
        <v>ProcessType</v>
      </c>
      <c r="E19" t="str">
        <f t="shared" ref="E19" si="75">IFERROR(LEFT(B19, FIND("(",B19)-1),B19)</f>
        <v>varchar</v>
      </c>
      <c r="F19" s="7"/>
      <c r="G19" t="str">
        <f t="shared" ref="G19" si="76">IFERROR(MID(B19,FIND("(",B19) +1, FIND(")",B19) - FIND("(",B19) - 1),"")</f>
        <v>50</v>
      </c>
      <c r="H19" t="str">
        <f>+VLOOKUP(E19,'Data Type Mapping'!A:B,2,)</f>
        <v>string</v>
      </c>
      <c r="I19" t="str">
        <f t="shared" ref="I19" si="77">IF(H19="string",REPT(CHAR(9),2)&amp;"public const int Max"&amp;D19&amp;"Length = "&amp;G19&amp;";"&amp;$E$3,"" )</f>
        <v xml:space="preserve">		public const int MaxProcessTypeLength = 50;
</v>
      </c>
      <c r="J19" t="str">
        <f t="shared" ref="J19" si="78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[StringLength(MaxProcessTypeLength)]
		public virtual string ProcessType { get; set; }
</v>
      </c>
      <c r="K19" s="7"/>
      <c r="L19" t="str">
        <f t="shared" ref="L19" si="79">IF(K19="","",REPT(CHAR(9),1)&amp;"[Index(nameof("&amp;IF(D19="","",""&amp;D19)&amp;")"&amp;", Name="&amp;"""IX_"&amp;$B$7&amp;"_"&amp;D19&amp;""")]")</f>
        <v/>
      </c>
      <c r="M19" t="str">
        <f t="shared" ref="M19" si="80">REPT(CHAR(9),2)&amp;"public virtual "&amp;IF(OR(H19="DateTime",H19="TimeSpan"),H19&amp;"?",H19)&amp;IF(C19="?","? "," ")&amp;D19&amp;" { get; set; }" &amp; "
"</f>
        <v xml:space="preserve">		public virtual string ProcessType { get; set; }
</v>
      </c>
      <c r="N19" t="str">
        <f t="shared" ref="N19" si="81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[StringLength(MstLgaEkbProcessConsts.MaxProcessTypeLength)]
		public virtual string ProcessType { get; set; }
</v>
      </c>
      <c r="O19" t="str">
        <f t="shared" ref="O19" si="82">IF(OR(H19="string",H19="DateTime",H19="int"),REPT(CHAR(9),2)&amp;"public virtual "&amp;IF(OR(H19="DateTime",H19="TimeSpan"),H19&amp;"?",H19)&amp;IF(C19="?","? "," ")&amp;D19&amp;" { get; set; }"&amp;$E$3,"")</f>
        <v xml:space="preserve">		public virtual string ProcessType { get; set; }
</v>
      </c>
      <c r="P19" t="str">
        <f t="shared" ref="P19" si="83">REPT(CHAR(9),7)&amp;D19&amp;" = o." &amp;D19 &amp;","</f>
        <v xml:space="preserve">							ProcessType = o.ProcessType,</v>
      </c>
      <c r="T19" s="69" t="str">
        <f t="shared" ref="T19" si="84">REPT(CHAR(9),8)&amp;"("""&amp;D19&amp;"""),"</f>
        <v xml:space="preserve">								("ProcessType"),</v>
      </c>
      <c r="V19" s="70" t="str">
        <f t="shared" ref="V19" si="85">REPT(CHAR(9),8)&amp;"_ =&gt; _."&amp;D19&amp;","</f>
        <v xml:space="preserve">								_ =&gt; _.ProcessType,</v>
      </c>
      <c r="W19" s="69" t="str">
        <f t="shared" ref="W19" si="86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.WhereIf(!string.IsNullOrWhiteSpace(input.ProcessType), e =&gt; e.ProcessType.Contains(input.ProcessType))</v>
      </c>
    </row>
    <row r="20" spans="1:23" customFormat="1" ht="22.5" customHeight="1" x14ac:dyDescent="0.25">
      <c r="A20" t="s">
        <v>325</v>
      </c>
      <c r="B20" t="s">
        <v>326</v>
      </c>
      <c r="C20" t="s">
        <v>1</v>
      </c>
      <c r="D20" t="str">
        <f>SUBSTITUTE(PROPER(A20),"_","")</f>
        <v>IsActive</v>
      </c>
      <c r="E20" t="str">
        <f t="shared" si="13"/>
        <v>varchar</v>
      </c>
      <c r="F20" s="7"/>
      <c r="G20" t="str">
        <f t="shared" si="14"/>
        <v>1</v>
      </c>
      <c r="H20" t="str">
        <f>+VLOOKUP(E20,'Data Type Mapping'!A:B,2,)</f>
        <v>string</v>
      </c>
      <c r="I20" t="str">
        <f t="shared" si="15"/>
        <v xml:space="preserve">		public const int MaxIsActiveLength = 1;
</v>
      </c>
      <c r="J20" t="str">
        <f t="shared" si="16"/>
        <v xml:space="preserve">		[StringLength(MaxIsActiveLength)]
		public virtual string IsActive { get; set; }
</v>
      </c>
      <c r="K20" s="7" t="s">
        <v>206</v>
      </c>
      <c r="L20" t="str">
        <f>IF(K20="","",REPT(CHAR(9),1)&amp;"[Index(nameof("&amp;IF(D20="","",""&amp;D20)&amp;")"&amp;", Name="&amp;"""IX_"&amp;$B$7&amp;"_"&amp;D20&amp;""")]")</f>
        <v xml:space="preserve">	[Index(nameof(IsActive), Name="IX_MstLgaEkbProcess_IsActive")]</v>
      </c>
      <c r="M20" t="str">
        <f t="shared" si="17"/>
        <v xml:space="preserve">		public virtual string IsActive { get; set; }
</v>
      </c>
      <c r="N20" t="str">
        <f t="shared" si="18"/>
        <v xml:space="preserve">		[StringLength(MstLgaEkbProcessConsts.MaxIsActiveLength)]
		public virtual string IsActive { get; set; }
</v>
      </c>
      <c r="O20" t="str">
        <f t="shared" si="19"/>
        <v xml:space="preserve">		public virtual string IsActive { get; set; }
</v>
      </c>
      <c r="P20" t="str">
        <f t="shared" si="20"/>
        <v xml:space="preserve">							IsActive = o.IsActive,</v>
      </c>
      <c r="T20" s="69" t="str">
        <f t="shared" si="21"/>
        <v xml:space="preserve">								("IsActive"),</v>
      </c>
      <c r="V20" s="70" t="str">
        <f t="shared" si="22"/>
        <v xml:space="preserve">								_ =&gt; _.IsActive,</v>
      </c>
      <c r="W20" s="69" t="str">
        <f t="shared" si="23"/>
        <v xml:space="preserve">				.WhereIf(!string.IsNullOrWhiteSpace(input.IsActive), e =&gt; e.IsActive.Contains(input.IsActive))</v>
      </c>
    </row>
    <row r="22" spans="1:23" ht="45.75" customHeight="1" x14ac:dyDescent="0.25">
      <c r="H22" s="12"/>
      <c r="I22" s="34" t="str">
        <f ca="1">TEXTJOIN2("
", TRUE,INDIRECT( $H$1):INDIRECT( $H$3))</f>
        <v xml:space="preserve">		public const int MaxCodeLength = 50;
		public const int MaxProcessNameLength = 50;
		public const int MaxProcessGroupLength = 50;
		public const int MaxProcessSubgroupLength = 50;
		public const int MaxProdLineLength = 50;
		public const int MaxProcessTypeLength = 50;
		public const int MaxIsActiveLength = 1;
</v>
      </c>
      <c r="J22" s="33" t="str">
        <f ca="1">TEXTJOIN2("
", TRUE,INDIRECT( $F$1):INDIRECT( $F$3))</f>
        <v xml:space="preserve">		[StringLength(MaxCodeLength)]
		public virtual string Code { get; set; }
		[StringLength(MaxProcessNameLength)]
		public virtual string ProcessName { get; set; }
		[StringLength(MaxProcessGroupLength)]
		public virtual string ProcessGroup { get; set; }
		[StringLength(MaxProcessSubgroupLength)]
		public virtual string ProcessSubgroup { get; set; }
		[StringLength(MaxProdLineLength)]
		public virtual string ProdLine { get; set; }
		public virtual int LeadTime { get; set; }
		public virtual int Sorting { get; set; }
		public virtual int CycleTime { get; set; }
		public virtual int CurrentNoInDate { get; set; }
		public virtual int NextNoInDate { get; set; }
		[StringLength(MaxProcessTypeLength)]
		public virtual string ProcessType { get; set; }
		[StringLength(MaxIsActiveLength)]
		public virtual string IsActive { get; set; }
</v>
      </c>
      <c r="K22" s="35" t="str">
        <f ca="1">TEXTJOIN2("
", TRUE,INDIRECT( $J$1):INDIRECT( $J$3))</f>
        <v xml:space="preserve">	[Index(nameof(Code), Name="IX_MstLgaEkbProcess_Code")]
	[Index(nameof(ProdLine), Name="IX_MstLgaEkbProcess_ProdLine")]
	[Index(nameof(Sorting), Name="IX_MstLgaEkbProcess_Sorting")]
	[Index(nameof(IsActive), Name="IX_MstLgaEkbProcess_IsActive")]</v>
      </c>
      <c r="L22" s="13" t="s">
        <v>60</v>
      </c>
      <c r="M22" s="36" t="str">
        <f ca="1">TEXTJOIN2("
",TRUE,INDIRECT( $L$1):INDIRECT($L$3))</f>
        <v xml:space="preserve">		public virtual string Code { get; set; }
		public virtual string ProcessName { get; set; }
		public virtual string ProcessGroup { get; set; }
		public virtual string ProcessSubgroup { get; set; }
		public virtual string ProdLine { get; set; }
		public virtual int LeadTime { get; set; }
		public virtual int Sorting { get; set; }
		public virtual int CycleTime { get; set; }
		public virtual int CurrentNoInDate { get; set; }
		public virtual int NextNoInDate { get; set; }
		public virtual string ProcessType { get; set; }
		public virtual string IsActive { get; set; }
</v>
      </c>
      <c r="N22" s="33" t="str">
        <f ca="1">TEXTJOIN2("
",TRUE,INDIRECT( $M$1):INDIRECT($M$3))</f>
        <v xml:space="preserve">		[StringLength(MstLgaEkbProcessConsts.MaxCodeLength)]
		public virtual string Code { get; set; }
		[StringLength(MstLgaEkbProcessConsts.MaxProcessNameLength)]
		public virtual string ProcessName { get; set; }
		[StringLength(MstLgaEkbProcessConsts.MaxProcessGroupLength)]
		public virtual string ProcessGroup { get; set; }
		[StringLength(MstLgaEkbProcessConsts.MaxProcessSubgroupLength)]
		public virtual string ProcessSubgroup { get; set; }
		[StringLength(MstLgaEkbProcessConsts.MaxProdLineLength)]
		public virtual string ProdLine { get; set; }
		public virtual int LeadTime { get; set; }
		public virtual int Sorting { get; set; }
		public virtual int CycleTime { get; set; }
		public virtual int CurrentNoInDate { get; set; }
		public virtual int NextNoInDate { get; set; }
		[StringLength(MstLgaEkbProcessConsts.MaxProcessTypeLength)]
		public virtual string ProcessType { get; set; }
		[StringLength(MstLgaEkbProcessConsts.MaxIsActiveLength)]
		public virtual string IsActive { get; set; }
</v>
      </c>
      <c r="O22" s="33" t="str">
        <f ca="1">TEXTJOIN2("
",TRUE,INDIRECT( $N$1):INDIRECT($N$3))</f>
        <v xml:space="preserve">		public virtual string Code { get; set; }
		public virtual string ProcessName { get; set; }
		public virtual string ProcessGroup { get; set; }
		public virtual string ProcessSubgroup { get; set; }
		public virtual string ProdLine { get; set; }
		public virtual int LeadTime { get; set; }
		public virtual int Sorting { get; set; }
		public virtual int CycleTime { get; set; }
		public virtual int CurrentNoInDate { get; set; }
		public virtual int NextNoInDate { get; set; }
		public virtual string ProcessType { get; set; }
		public virtual string IsActive { get; set; }
</v>
      </c>
      <c r="P22" s="9" t="str">
        <f ca="1">TEXTJOIN2("
",TRUE,INDIRECT( $O$1):INDIRECT($O$3))</f>
        <v xml:space="preserve">							Code = o.Code,
							ProcessName = o.ProcessName,
							ProcessGroup = o.ProcessGroup,
							ProcessSubgroup = o.ProcessSubgroup,
							ProdLine = o.ProdLine,
							LeadTime = o.LeadTime,
							Sorting = o.Sorting,
							CycleTime = o.CycleTime,
							CurrentNoInDate = o.CurrentNoInDate,
							NextNoInDate = o.NextNoInDate,
							ProcessType = o.ProcessType,
							IsActive = o.IsActive,</v>
      </c>
      <c r="T22" s="9" t="str">
        <f ca="1">TEXTJOIN2("
",TRUE,INDIRECT( $T$2):INDIRECT($T$3))</f>
        <v xml:space="preserve">								("Code"),
								("ProcessName"),
								("ProcessGroup"),
								("ProcessSubgroup"),
								("ProdLine"),
								("LeadTime"),
								("Sorting"),
								("CycleTime"),
								("CurrentNoInDate"),
								("NextNoInDate"),
								("ProcessType"),
								("IsActive"),</v>
      </c>
      <c r="V22" s="9" t="str">
        <f ca="1">TEXTJOIN2("
",TRUE,INDIRECT( $V$2):INDIRECT($V$3))</f>
        <v xml:space="preserve">								_ =&gt; _.Code,
								_ =&gt; _.ProcessName,
								_ =&gt; _.ProcessGroup,
								_ =&gt; _.ProcessSubgroup,
								_ =&gt; _.ProdLine,
								_ =&gt; _.LeadTime,
								_ =&gt; _.Sorting,
								_ =&gt; _.CycleTime,
								_ =&gt; _.CurrentNoInDate,
								_ =&gt; _.NextNoInDate,
								_ =&gt; _.ProcessType,
								_ =&gt; _.IsActive,</v>
      </c>
      <c r="W22" s="9" t="str">
        <f ca="1">TEXTJOIN2("
",TRUE,INDIRECT( $W$2):INDIRECT($W$3))</f>
        <v xml:space="preserve">				.WhereIf(!string.IsNullOrWhiteSpace(input.Code), e =&gt; e.Code.Contains(input.Code))
				.WhereIf(!string.IsNullOrWhiteSpace(input.ProcessName), e =&gt; e.ProcessName.Contains(input.ProcessName))
				.WhereIf(!string.IsNullOrWhiteSpace(input.ProcessGroup), e =&gt; e.ProcessGroup.Contains(input.ProcessGroup))
				.WhereIf(!string.IsNullOrWhiteSpace(input.ProcessSubgroup), e =&gt; e.ProcessSubgroup.Contains(input.ProcessSubgroup))
				.WhereIf(!string.IsNullOrWhiteSpace(input.ProdLine), e =&gt; e.ProdLine.Contains(input.ProdLine))
				.WhereIf(!string.IsNullOrWhiteSpace(input.ProcessType), e =&gt; e.ProcessType.Contains(input.ProcessType))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"/>
  <sheetViews>
    <sheetView workbookViewId="0">
      <selection activeCell="C23" sqref="C23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337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LogA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loga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MstLgaEkbProcess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EkbProcess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ekbprocess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MstLgaEkbProcessDto, MstLgaEkbProcessServiceProxy } from '@shared/service-proxies/service-proxies';
import { finalize } from 'rxjs/internal/operators/finalize';
import { CreateOrEditEkbProcessModalComponent } from './create-or-edit-ekbprocess-modal.component';
import { DatePipe } from '@angular/common';
import { FileDownloadService } from '@shared/utils/file-download.service';
import ceil from 'lodash-es/ceil';
import { Paginator } from 'primeng/paginator';
@Component({
    templateUrl: './ekbprocess.component.html',
    styleUrls: ['./ekbprocess.component.less'],
})
export class EkbProcessComponent extends AppComponentBase implements OnInit {
    @ViewChild('createOrEditModalEkbProcess', { static: true }) createOrEditModalEkbProcess:| CreateOrEditEkbProcessModalComponent|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MstLgaEkbProcessDto = new MstLgaEkbProcessDto();
    saveSelectedRow: MstLgaEkbProcessDto = new MstLgaEkbProcessDto();
    datas: MstLgaEkbProcessDto = new MstLgaEkbProcessDto();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processName : string = '' ; 
	processGroup : string = '' ; 
	processSubgroup : string = '' ; 
	prodLine : string = '' ; 
	leadTime : number = 0 ;
	sorting : number = 0 ;
	cycleTime : number = 0 ;
	currentNoInDate : number = 0 ;
	nextNoInDate : number = 0 ;
	processType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MstLgaEkbProcessServiceProxy,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this.l('Process Name'),headerTooltip: this.l('Process Name'),field: 'processName',flex: 1},
			{headerName: this.l('Process Group'),headerTooltip: this.l('Process Group'),field: 'processGroup',flex: 1},
			{headerName: this.l('Process Subgroup'),headerTooltip: this.l('Process Subgroup'),field: 'processSubgroup',flex: 1},
			{headerName: this.l('Prod Line'),headerTooltip: this.l('Prod Line'),field: 'prodLine',flex: 1},
			{headerName: this.l('Lead Time'),headerTooltip: this.l('Lead Time'),field: 'leadTime',flex: 1},
			{headerName: this.l('Sorting'),headerTooltip: this.l('Sorting'),field: 'sorting',flex: 1},
			{headerName: this.l('Cycle Time'),headerTooltip: this.l('Cycle Time'),field: 'cycleTime',flex: 1},
			{headerName: this.l('Current No In Date'),headerTooltip: this.l('Current No In Date'),field: 'currentNoInDate',flex: 1},
			{headerName: this.l('Next No In Date'),headerTooltip: this.l('Next No In Date'),field: 'nextNoInDate',flex: 1},
			{headerName: this.l('Process Type'),headerTooltip: this.l('Process Type'),field: 'processType',flex: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this.processName,
			this.processGroup,
			this.processSubgroup,
			this.prodLine,
			this.leadTime,
			this.sorting,
			this.cycleTime,
			this.currentNoInDate,
			this.nextNoInDate,
			this.processType,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this.processName = '',
		this.processGroup = '',
		this.processSubgroup = '',
		this.prodLine = '',
		this.leadTime = 0,
		this.sorting = 0,
		this.cycleTime = 0,
		this.currentNoInDate = 0,
		this.nextNoInDate = 0,
		this.processType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this.processName,
			this.processGroup,
			this.processSubgroup,
			this.prodLine,
			this.leadTime,
			this.sorting,
			this.cycleTime,
			this.currentNoInDate,
			this.nextNoInDate,
			this.processType,
			this.isActive,
			'',
            this.paginationParams.skipCount,
            this.paginationParams.pageSize
        );
    }
    onChangeRowSelection(params: { api: { getSelectedRows: () =&gt; MstLgaEkbProcessDto[] } }) {
        this.saveSelectedRow = params.api.getSelectedRows()[0] ?? new MstLgaEkbProcessDto();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MstLgaEkbProcessDto):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this._service.getEkbProcessToExcel(
			this.code,
			this.processName,
			this.processGroup,
			this.processSubgroup,
			this.prodLine,
			this.leadTime,
			this.sorting,
			this.cycleTime,
			this.currentNoInDate,
			this.nextNoInDate,
			this.processType,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LA Ekanban Process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[(ngModel)]='processSubgroup' name='processSubgroup'
									class='form-control' [placeholder]="l('Process Subgroup')"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[(ngModel)]='processType' name='processType'
									class='form-control' [placeholder]="l('Process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(click)="createOrEditModalEkbProcess.show()"&gt;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(click)="createOrEditModalEkbProcess.show(selectedRow)"&gt;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&lt;create-or-edit-ekbprocess-modal
    #createOrEditModalEkbProcess
    (modalSave)="callBackDataGrid(dataParams)"
    (modalClose)="onChangeRowSelection(dataParams)"
&gt;
&lt;/create-or-edit-ekbprocess-modal&gt;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#createOrEditModalEkbProcess="bs-modal"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EkbProcess')}}&lt;/h3&gt;
                    &lt;h3 *ngIf="!rowdata.id"&gt;{{('Create New EkbProcess')}}&lt;/h3&gt;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title'&gt;Lead Time&lt;/label&gt;
						&lt;input type='number' class='col-md-10 form-control input-text' name='LeadTime' [(ngModel)]='rowdata.leadTime'&gt;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title'&gt;Cycle Time&lt;/label&gt;
						&lt;input type='number' class='col-md-10 form-control input-text' name='CycleTime' [(ngModel)]='rowdata.cycleTime'&gt;
					&lt;/div&gt;
					&lt;div class='col-md-12 form-group row'&gt;
						&lt;label class='col-md-2 form-control title'&gt;Current No In Date&lt;/label&gt;
						&lt;input type='number' class='col-md-10 form-control input-text' name='CurrentNoInDate' [(ngModel)]='rowdata.currentNoInDate'&gt;
					&lt;/div&gt;
					&lt;div class='col-md-12 form-group row'&gt;
						&lt;label class='col-md-2 form-control title'&gt;Next No In Date&lt;/label&gt;
						&lt;input type='number' class='col-md-10 form-control input-text' name='NextNoInDate' [(ngModel)]='rowdata.nextNoInDate'&gt;
					&lt;/div&gt;
					&lt;div class='col-md-12 form-group row'&gt;
						&lt;label class='col-md-2 form-control title'&gt;Process Type&lt;/label&gt;
						&lt;input type='text' class='col-md-10 form-control input-text' name='ProcessType' [(ngModel)]='rowdata.processType'&gt;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CreateOrEditMstLgaEkbProcessDto, MstLgaEkbProcessServiceProxy } from '@shared/service-proxies/service-proxies';
import { BsDatepickerDirective } from 'ngx-bootstrap/datepicker';
@Component({
    selector: 'create-or-edit-ekbprocess-modal',
    templateUrl: './create-or-edit-ekbprocess-modal.component.html',
    styleUrls: ['./create-or-edit-ekbprocess-modal.component.less']
    })
export class CreateOrEditEkbProcessModalComponent extends AppComponentBase {
    @ViewChild('createOrEditModalEkbProcess',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CreateOrEditMstLgaEkbProcessDto = new CreateOrEditMstLgaEkbProcessDto();
    active: boolean = false;
    saving: boolean = false;
    _isActive: boolean;
    constructor(
        injector: Injector,
        private _mstwptEkbProcessService: MstLgaEkbProcessServiceProxy,
    ) 
    {
        super(injector);
    }
    show(rowdata?: CreateOrEditMstLgaEkbProcessDto): void {
        if (!rowdata) this.rowdata = new CreateOrEditMstLgaEkbProcessDto();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this._mstwptEkbProcessService.createOrEdit(this.rowdata)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EkbProcessRoutingModule } from './ekbprocess-routing.module';
import { EkbProcessComponent } from './ekbprocess.component';
import { CreateOrEditEkbProcessModalComponent } from './create-or-edit-ekbprocess-modal.component';
@NgModule({
    declarations: [
       EkbProcessComponent, 
        CreateOrEditEkbProcessModalComponent
    ],
    imports: [
        AppSharedModule, EkbProcessRoutingModule]
})
export class EkbProcessModule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EkbProcessComponent } from './ekbprocess.component';
const routes: Routes = [{
    path: '',
    component: EkbProcessComponent,
    pathMatch: 'full'
}];
@NgModule({
    imports: [RouterModule.forChild(routes)],
    exports: [RouterModule],
})
export class EkbProcessRoutingModule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AppMenuItem("EkbProcess", "Pages.Master.LogA.EkbProcess", "flaticon-book",   "/app/main/master/loga/ekbprocess"),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'master/loga/ekbprocess',
    loadChildren: () =&gt; import('./master/loga/ekbprocess/ekbprocess.module').then(m =&gt; m.EkbProcessModule),
    data: { permission: 'Pages.Master.LogA.EkbProcess' }
},</v>
      </c>
      <c r="R10" s="50" t="str">
        <f>SUBSTITUTE(R9,"MstWptCalendar",$B$6)</f>
        <v>ApiServiceProxies.MstLgaEkbProcessServiceProxy,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H26</v>
      </c>
      <c r="I12" s="31" t="str">
        <f>"I"&amp;COUNTA($A:$A)</f>
        <v>I26</v>
      </c>
      <c r="J12" s="31"/>
      <c r="K12" s="31" t="str">
        <f>"K"&amp;COUNTA($A:$A)</f>
        <v>K26</v>
      </c>
      <c r="L12" s="31" t="str">
        <f>"L"&amp;COUNTA($A:$A)</f>
        <v>L26</v>
      </c>
      <c r="M12" s="31"/>
      <c r="N12" s="31"/>
      <c r="O12" s="31"/>
      <c r="P12" s="31"/>
      <c r="Q12" s="31"/>
      <c r="R12" s="31"/>
      <c r="S12" s="31" t="str">
        <f>"S"&amp;COUNTA($A:$A)</f>
        <v>S26</v>
      </c>
      <c r="T12" s="31" t="str">
        <f>"T"&amp;COUNTA($A:$A)</f>
        <v>T26</v>
      </c>
      <c r="U12" s="31" t="str">
        <f>"U"&amp;COUNTA($A:$A)</f>
        <v>U26</v>
      </c>
      <c r="V12" s="31" t="str">
        <f>"V"&amp;COUNTA($A:$A)</f>
        <v>V26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this.l('Code'),headerTooltip: this.l('Code'),field: 'code',flex: 1},
			{headerName: this.l('Process Name'),headerTooltip: this.l('Process Name'),field: 'processName',flex: 1},
			{headerName: this.l('Process Group'),headerTooltip: this.l('Process Group'),field: 'processGroup',flex: 1},
			{headerName: this.l('Process Subgroup'),headerTooltip: this.l('Process Subgroup'),field: 'processSubgroup',flex: 1},
			{headerName: this.l('Prod Line'),headerTooltip: this.l('Prod Line'),field: 'prodLine',flex: 1},
			{headerName: this.l('Lead Time'),headerTooltip: this.l('Lead Time'),field: 'leadTime',flex: 1},
			{headerName: this.l('Sorting'),headerTooltip: this.l('Sorting'),field: 'sorting',flex: 1},
			{headerName: this.l('Cycle Time'),headerTooltip: this.l('Cycle Time'),field: 'cycleTime',flex: 1},
			{headerName: this.l('Current No In Date'),headerTooltip: this.l('Current No In Date'),field: 'currentNoInDate',flex: 1},
			{headerName: this.l('Next No In Date'),headerTooltip: this.l('Next No In Date'),field: 'nextNoInDate',flex: 1},
			{headerName: this.l('Process Type'),headerTooltip: this.l('Process Type'),field: 'processType',flex: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[(ngModel)]='processSubgroup' name='processSubgroup'
									class='form-control' [placeholder]="l('Process Subgroup')"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[(ngModel)]='processType' name='processType'
									class='form-control' [placeholder]="l('Process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title'&gt;Lead Time&lt;/label&gt;
						&lt;input type='number' class='col-md-10 form-control input-text' name='LeadTime' [(ngModel)]='rowdata.leadTime'&gt;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title'&gt;Cycle Time&lt;/label&gt;
						&lt;input type='number' class='col-md-10 form-control input-text' name='CycleTime' [(ngModel)]='rowdata.cycleTime'&gt;
					&lt;/div&gt;
					&lt;div class='col-md-12 form-group row'&gt;
						&lt;label class='col-md-2 form-control title'&gt;Current No In Date&lt;/label&gt;
						&lt;input type='number' class='col-md-10 form-control input-text' name='CurrentNoInDate' [(ngModel)]='rowdata.currentNoInDate'&gt;
					&lt;/div&gt;
					&lt;div class='col-md-12 form-group row'&gt;
						&lt;label class='col-md-2 form-control title'&gt;Next No In Date&lt;/label&gt;
						&lt;input type='number' class='col-md-10 form-control input-text' name='NextNoInDate' [(ngModel)]='rowdata.nextNoInDate'&gt;
					&lt;/div&gt;
					&lt;div class='col-md-12 form-group row'&gt;
						&lt;label class='col-md-2 form-control title'&gt;Process Type&lt;/label&gt;
						&lt;input type='text' class='col-md-10 form-control input-text' name='ProcessType' [(ngModel)]='rowdata.processType'&gt;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code : string = '' ; 
	processName : string = '' ; 
	processGroup : string = '' ; 
	processSubgroup : string = '' ; 
	prodLine : string = '' ; 
	leadTime : number = 0 ;
	sorting : number = 0 ;
	cycleTime : number = 0 ;
	currentNoInDate : number = 0 ;
	nextNoInDate : number = 0 ;
	processType : string = '' ; 
	isActive : string = '' ; </v>
      </c>
      <c r="T13" s="68" t="str">
        <f ca="1">TEXTJOIN2("
",TRUE,INDIRECT(T11):INDIRECT(T12))</f>
        <v xml:space="preserve">			this.code,
			this.processName,
			this.processGroup,
			this.processSubgroup,
			this.prodLine,
			this.leadTime,
			this.sorting,
			this.cycleTime,
			this.currentNoInDate,
			this.nextNoInDate,
			this.processType,
			this.isActive,</v>
      </c>
      <c r="U13" s="68" t="str">
        <f ca="1">TEXTJOIN2("
",TRUE,INDIRECT(U11):INDIRECT(U12))</f>
        <v>this.code = '',
		this.processName = '',
		this.processGroup = '',
		this.processSubgroup = '',
		this.prodLine = '',
		this.leadTime = 0,
		this.sorting = 0,
		this.cycleTime = 0,
		this.currentNoInDate = 0,
		this.nextNoInDate = 0,
		this.processType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ekbprocess.component.ts</v>
      </c>
      <c r="I14" s="40" t="str">
        <f>B8&amp;".component.html"</f>
        <v>ekbprocess.component.html</v>
      </c>
      <c r="J14" s="39" t="str">
        <f>B8&amp;".component.less"</f>
        <v>ekbprocess.component.less</v>
      </c>
      <c r="K14" s="40" t="str">
        <f>"create-or-edit-"&amp;B8&amp;"-modal.component.html"</f>
        <v>create-or-edit-ekbprocess-modal.component.html</v>
      </c>
      <c r="L14" s="40" t="str">
        <f>"create-or-edit-"&amp;B8&amp;"-modal.component.ts"</f>
        <v>create-or-edit-ekbprocess-modal.component.ts</v>
      </c>
      <c r="M14" s="40" t="str">
        <f>"create-or-edit-"&amp;B8&amp;"-modal.component.less"</f>
        <v>create-or-edit-ekbprocess-modal.component.less</v>
      </c>
      <c r="N14" s="40" t="str">
        <f>B8&amp;".module.ts"</f>
        <v>ekbprocess.module.ts</v>
      </c>
      <c r="O14" s="40" t="str">
        <f>B8&amp;"-routing.module.ts"</f>
        <v>ekbprocess-routing.module.ts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322</v>
      </c>
      <c r="B15" s="31" t="str">
        <f>SUBSTITUTE(PROPER(A15),"_","")</f>
        <v>Code</v>
      </c>
      <c r="C15" s="31" t="str">
        <f>SUBSTITUTE(PROPER(A15),"_"," ")</f>
        <v>Code</v>
      </c>
      <c r="D15" s="31" t="str">
        <f>LOWER(LEFT(B15,1))&amp;RIGHT(B15,LEN(B15) - 1)</f>
        <v>code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code : string = '' ; </v>
      </c>
      <c r="T15" s="31" t="str">
        <f>REPT(CHAR(9),3)&amp;"this."&amp;D15&amp;","</f>
        <v xml:space="preserve">			this.code,</v>
      </c>
      <c r="U15" s="31" t="str">
        <f>IF(E15="int","this."&amp;D15&amp;" = 0,","this."&amp;D15&amp;" = '',")</f>
        <v>this.code = '',</v>
      </c>
      <c r="V15" s="31" t="str">
        <f>IF(AND(E15="string",F15="1"),D15,"")</f>
        <v/>
      </c>
    </row>
    <row r="16" spans="1:22" ht="15" customHeight="1" x14ac:dyDescent="0.25">
      <c r="A16" s="31" t="s">
        <v>327</v>
      </c>
      <c r="B16" s="31" t="str">
        <f t="shared" ref="B16:B26" si="0">SUBSTITUTE(PROPER(A16),"_","")</f>
        <v>ProcessName</v>
      </c>
      <c r="C16" s="31" t="str">
        <f t="shared" ref="C16:C26" si="1">SUBSTITUTE(PROPER(A16),"_"," ")</f>
        <v>Process Name</v>
      </c>
      <c r="D16" s="31" t="str">
        <f t="shared" ref="D16:D26" si="2">LOWER(LEFT(B16,1))&amp;RIGHT(B16,LEN(B16) - 1)</f>
        <v>processName</v>
      </c>
      <c r="E16" s="31" t="str">
        <f>A.Backend!H10</f>
        <v>string</v>
      </c>
      <c r="F16" s="31" t="str">
        <f>A.Backend!G10</f>
        <v>50</v>
      </c>
      <c r="G16" s="31" t="str">
        <f t="shared" ref="G16:G26" si="3">IF(E16="string"," : string = '' ; ",IF(OR(E16="DateTime",E16="TimeSpan")," : any ;",IF(E16="int"," : number = 0 ;","")))</f>
        <v xml:space="preserve"> : string = '' ; </v>
      </c>
      <c r="H16" s="38" t="str">
        <f t="shared" ref="H16:H26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this.l('Process Name'),headerTooltip: this.l('Process Name'),field: 'processName',flex: 1},</v>
      </c>
      <c r="I16" s="38" t="str">
        <f t="shared" ref="I16:I26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[(ngModel)]='processName' name='processName'
									class='form-control' [placeholder]="l('Process Name')"
									type='text' (keyup.enter)='searchDatas()'&gt;
								&lt;/div&gt;</v>
      </c>
      <c r="J16" s="31"/>
      <c r="K16" s="38" t="str">
        <f t="shared" ref="K16:K26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title'&gt;Process Name&lt;/label&gt;
						&lt;input type='text' class='col-md-10 form-control input-text' name='ProcessName' [(ngModel)]='rowdata.processName'&gt;
					&lt;/div&gt;</v>
      </c>
      <c r="L16" s="60" t="str">
        <f t="shared" ref="L16:L26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processName : string = '' ; </v>
      </c>
      <c r="T16" s="31" t="str">
        <f>REPT(CHAR(9),3)&amp;"this."&amp;D16&amp;","</f>
        <v xml:space="preserve">			this.processName,</v>
      </c>
      <c r="U16" s="31" t="str">
        <f>IF(E16="int",REPT(CHAR(9),2)&amp;"this."&amp;D16&amp;" = 0,",REPT(CHAR(9),2)&amp;"this."&amp;D16&amp;" = '',")</f>
        <v xml:space="preserve">		this.processName = '',</v>
      </c>
      <c r="V16" s="31" t="str">
        <f t="shared" ref="V16:V26" si="8">IF(AND(E16="string",F16="1"),D16,"")</f>
        <v/>
      </c>
    </row>
    <row r="17" spans="1:22" ht="18" customHeight="1" x14ac:dyDescent="0.25">
      <c r="A17" s="31" t="s">
        <v>330</v>
      </c>
      <c r="B17" s="31" t="str">
        <f t="shared" ref="B17:B19" si="9">SUBSTITUTE(PROPER(A17),"_","")</f>
        <v>ProcessGroup</v>
      </c>
      <c r="C17" s="31" t="str">
        <f t="shared" ref="C17:C19" si="10">SUBSTITUTE(PROPER(A17),"_"," ")</f>
        <v>Process Group</v>
      </c>
      <c r="D17" s="31" t="str">
        <f t="shared" ref="D17:D19" si="11">LOWER(LEFT(B17,1))&amp;RIGHT(B17,LEN(B17) - 1)</f>
        <v>processGroup</v>
      </c>
      <c r="E17" s="31" t="str">
        <f>A.Backend!H11</f>
        <v>string</v>
      </c>
      <c r="F17" s="31" t="str">
        <f>A.Backend!G11</f>
        <v>50</v>
      </c>
      <c r="G17" s="31" t="str">
        <f t="shared" ref="G17:G19" si="12">IF(E17="string"," : string = '' ; ",IF(OR(E17="DateTime",E17="TimeSpan")," : any ;",IF(E17="int"," : number = 0 ;","")))</f>
        <v xml:space="preserve"> : string = '' ; </v>
      </c>
      <c r="H17" s="38" t="str">
        <f t="shared" ref="H17:H19" si="13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this.l('Process Group'),headerTooltip: this.l('Process Group'),field: 'processGroup',flex: 1},</v>
      </c>
      <c r="I17" s="38" t="str">
        <f t="shared" ref="I17:I19" si="14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[(ngModel)]='processGroup' name='processGroup'
									class='form-control' [placeholder]="l('Process Group')"
									type='text' (keyup.enter)='searchDatas()'&gt;
								&lt;/div&gt;</v>
      </c>
      <c r="J17" s="31"/>
      <c r="K17" s="38" t="str">
        <f t="shared" ref="K17:K19" si="15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title'&gt;Process Group&lt;/label&gt;
						&lt;input type='text' class='col-md-10 form-control input-text' name='ProcessGroup' [(ngModel)]='rowdata.processGroup'&gt;
					&lt;/div&gt;</v>
      </c>
      <c r="L17" s="60" t="str">
        <f t="shared" ref="L17:L19" si="16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:S19" si="17">REPT(CHAR(9),1)&amp;D17&amp;G17</f>
        <v xml:space="preserve">	processGroup : string = '' ; </v>
      </c>
      <c r="T17" s="31" t="str">
        <f t="shared" ref="T17:T19" si="18">REPT(CHAR(9),3)&amp;"this."&amp;D17&amp;","</f>
        <v xml:space="preserve">			this.processGroup,</v>
      </c>
      <c r="U17" s="31" t="str">
        <f t="shared" ref="U17:U19" si="19">IF(E17="int",REPT(CHAR(9),2)&amp;"this."&amp;D17&amp;" = 0,",REPT(CHAR(9),2)&amp;"this."&amp;D17&amp;" = '',")</f>
        <v xml:space="preserve">		this.processGroup = '',</v>
      </c>
      <c r="V17" s="31" t="str">
        <f t="shared" ref="V17:V19" si="20">IF(AND(E17="string",F17="1"),D17,"")</f>
        <v/>
      </c>
    </row>
    <row r="18" spans="1:22" ht="18" customHeight="1" x14ac:dyDescent="0.25">
      <c r="A18" s="31" t="s">
        <v>331</v>
      </c>
      <c r="B18" s="31" t="str">
        <f t="shared" si="9"/>
        <v>ProcessSubgroup</v>
      </c>
      <c r="C18" s="31" t="str">
        <f t="shared" si="10"/>
        <v>Process Subgroup</v>
      </c>
      <c r="D18" s="31" t="str">
        <f t="shared" si="11"/>
        <v>processSubgroup</v>
      </c>
      <c r="E18" s="31" t="str">
        <f>A.Backend!H12</f>
        <v>string</v>
      </c>
      <c r="F18" s="31" t="str">
        <f>A.Backend!G12</f>
        <v>50</v>
      </c>
      <c r="G18" s="31" t="str">
        <f t="shared" si="12"/>
        <v xml:space="preserve"> : string = '' ; </v>
      </c>
      <c r="H18" s="38" t="str">
        <f t="shared" si="13"/>
        <v xml:space="preserve">			{headerName: this.l('Process Subgroup'),headerTooltip: this.l('Process Subgroup'),field: 'processSubgroup',flex: 1},</v>
      </c>
      <c r="I18" s="38" t="str">
        <f t="shared" si="14"/>
        <v xml:space="preserve">								&lt;div class='input-search'&gt;
									&lt;input [(ngModel)]='processSubgroup' name='processSubgroup'
									class='form-control' [placeholder]="l('Process Subgroup')"
									type='text' (keyup.enter)='searchDatas()'&gt;
								&lt;/div&gt;</v>
      </c>
      <c r="J18" s="31"/>
      <c r="K18" s="38" t="str">
        <f t="shared" si="15"/>
        <v xml:space="preserve">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</v>
      </c>
      <c r="L18" s="60" t="str">
        <f t="shared" si="16"/>
        <v/>
      </c>
      <c r="M18" s="31"/>
      <c r="N18" s="31"/>
      <c r="O18" s="31"/>
      <c r="P18" s="31"/>
      <c r="Q18" s="31"/>
      <c r="R18" s="31"/>
      <c r="S18" s="31" t="str">
        <f t="shared" si="17"/>
        <v xml:space="preserve">	processSubgroup : string = '' ; </v>
      </c>
      <c r="T18" s="31" t="str">
        <f t="shared" si="18"/>
        <v xml:space="preserve">			this.processSubgroup,</v>
      </c>
      <c r="U18" s="31" t="str">
        <f t="shared" si="19"/>
        <v xml:space="preserve">		this.processSubgroup = '',</v>
      </c>
      <c r="V18" s="31" t="str">
        <f t="shared" si="20"/>
        <v/>
      </c>
    </row>
    <row r="19" spans="1:22" ht="18" customHeight="1" x14ac:dyDescent="0.25">
      <c r="A19" s="31" t="s">
        <v>323</v>
      </c>
      <c r="B19" s="31" t="str">
        <f t="shared" si="9"/>
        <v>ProdLine</v>
      </c>
      <c r="C19" s="31" t="str">
        <f t="shared" si="10"/>
        <v>Prod Line</v>
      </c>
      <c r="D19" s="31" t="str">
        <f t="shared" si="11"/>
        <v>prodLine</v>
      </c>
      <c r="E19" s="31" t="str">
        <f>A.Backend!H13</f>
        <v>string</v>
      </c>
      <c r="F19" s="31" t="str">
        <f>A.Backend!G13</f>
        <v>50</v>
      </c>
      <c r="G19" s="31" t="str">
        <f t="shared" si="12"/>
        <v xml:space="preserve"> : string = '' ; </v>
      </c>
      <c r="H19" s="38" t="str">
        <f t="shared" si="13"/>
        <v xml:space="preserve">			{headerName: this.l('Prod Line'),headerTooltip: this.l('Prod Line'),field: 'prodLine',flex: 1},</v>
      </c>
      <c r="I19" s="38" t="str">
        <f t="shared" si="14"/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9" s="31"/>
      <c r="K19" s="38" t="str">
        <f t="shared" si="15"/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9" s="60" t="str">
        <f t="shared" si="16"/>
        <v/>
      </c>
      <c r="M19" s="31"/>
      <c r="N19" s="31"/>
      <c r="O19" s="31"/>
      <c r="P19" s="31"/>
      <c r="Q19" s="31"/>
      <c r="R19" s="31"/>
      <c r="S19" s="31" t="str">
        <f t="shared" si="17"/>
        <v xml:space="preserve">	prodLine : string = '' ; </v>
      </c>
      <c r="T19" s="31" t="str">
        <f t="shared" si="18"/>
        <v xml:space="preserve">			this.prodLine,</v>
      </c>
      <c r="U19" s="31" t="str">
        <f t="shared" si="19"/>
        <v xml:space="preserve">		this.prodLine = '',</v>
      </c>
      <c r="V19" s="31" t="str">
        <f t="shared" si="20"/>
        <v/>
      </c>
    </row>
    <row r="20" spans="1:22" ht="18" customHeight="1" x14ac:dyDescent="0.25">
      <c r="A20" s="31" t="s">
        <v>328</v>
      </c>
      <c r="B20" s="31" t="str">
        <f t="shared" si="0"/>
        <v>LeadTime</v>
      </c>
      <c r="C20" s="31" t="str">
        <f t="shared" si="1"/>
        <v>Lead Time</v>
      </c>
      <c r="D20" s="31" t="str">
        <f t="shared" si="2"/>
        <v>leadTime</v>
      </c>
      <c r="E20" s="31" t="str">
        <f>A.Backend!H14</f>
        <v>int</v>
      </c>
      <c r="F20" s="31" t="str">
        <f>A.Backend!G14</f>
        <v/>
      </c>
      <c r="G20" s="31" t="str">
        <f t="shared" si="3"/>
        <v xml:space="preserve"> : number = 0 ;</v>
      </c>
      <c r="H20" s="38" t="str">
        <f t="shared" si="4"/>
        <v xml:space="preserve">			{headerName: this.l('Lead Time'),headerTooltip: this.l('Lead Time'),field: 'leadTime',flex: 1},</v>
      </c>
      <c r="I20" s="38" t="str">
        <f t="shared" si="5"/>
        <v/>
      </c>
      <c r="J20" s="31"/>
      <c r="K20" s="38" t="str">
        <f t="shared" si="6"/>
        <v xml:space="preserve">					&lt;div class='col-md-12 form-group row'&gt;
						&lt;label class='col-md-2 form-control title'&gt;Lead Time&lt;/label&gt;
						&lt;input type='number' class='col-md-10 form-control input-text' name='LeadTime' [(ngModel)]='rowdata.leadTime'&gt;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 t="shared" ref="S20:S26" si="21">REPT(CHAR(9),1)&amp;D20&amp;G20</f>
        <v xml:space="preserve">	leadTime : number = 0 ;</v>
      </c>
      <c r="T20" s="31" t="str">
        <f t="shared" ref="T20:T26" si="22">REPT(CHAR(9),3)&amp;"this."&amp;D20&amp;","</f>
        <v xml:space="preserve">			this.leadTime,</v>
      </c>
      <c r="U20" s="31" t="str">
        <f t="shared" ref="U20:U26" si="23">IF(E20="int",REPT(CHAR(9),2)&amp;"this."&amp;D20&amp;" = 0,",REPT(CHAR(9),2)&amp;"this."&amp;D20&amp;" = '',")</f>
        <v xml:space="preserve">		this.leadTime = 0,</v>
      </c>
      <c r="V20" s="31" t="str">
        <f t="shared" si="8"/>
        <v/>
      </c>
    </row>
    <row r="21" spans="1:22" ht="18" customHeight="1" x14ac:dyDescent="0.25">
      <c r="A21" s="31" t="s">
        <v>324</v>
      </c>
      <c r="B21" s="31" t="str">
        <f t="shared" si="0"/>
        <v>Sorting</v>
      </c>
      <c r="C21" s="31" t="str">
        <f t="shared" si="1"/>
        <v>Sorting</v>
      </c>
      <c r="D21" s="31" t="str">
        <f t="shared" si="2"/>
        <v>sorting</v>
      </c>
      <c r="E21" s="31" t="str">
        <f>A.Backend!H15</f>
        <v>int</v>
      </c>
      <c r="F21" s="31" t="str">
        <f>A.Backend!G15</f>
        <v/>
      </c>
      <c r="G21" s="31" t="str">
        <f t="shared" si="3"/>
        <v xml:space="preserve"> : number = 0 ;</v>
      </c>
      <c r="H21" s="38" t="str">
        <f t="shared" si="4"/>
        <v xml:space="preserve">			{headerName: this.l('Sorting'),headerTooltip: this.l('Sorting'),field: 'sorting',flex: 1},</v>
      </c>
      <c r="I21" s="38" t="str">
        <f t="shared" si="5"/>
        <v/>
      </c>
      <c r="J21" s="31"/>
      <c r="K21" s="38" t="str">
        <f t="shared" si="6"/>
        <v xml:space="preserve">					&lt;div class='col-md-12 form-group row'&gt;
						&lt;label class='col-md-2 form-control title'&gt;Sorting&lt;/label&gt;
						&lt;input type='number' class='col-md-10 form-control input-text' name='Sorting' [(ngModel)]='rowdata.sorting'&gt;
					&lt;/div&gt;</v>
      </c>
      <c r="L21" s="60" t="str">
        <f t="shared" si="7"/>
        <v/>
      </c>
      <c r="M21" s="31"/>
      <c r="N21" s="31"/>
      <c r="O21" s="31"/>
      <c r="P21" s="31"/>
      <c r="Q21" s="31"/>
      <c r="R21" s="31"/>
      <c r="S21" s="31" t="str">
        <f t="shared" si="21"/>
        <v xml:space="preserve">	sorting : number = 0 ;</v>
      </c>
      <c r="T21" s="31" t="str">
        <f t="shared" si="22"/>
        <v xml:space="preserve">			this.sorting,</v>
      </c>
      <c r="U21" s="31" t="str">
        <f t="shared" si="23"/>
        <v xml:space="preserve">		this.sorting = 0,</v>
      </c>
      <c r="V21" s="31" t="str">
        <f t="shared" si="8"/>
        <v/>
      </c>
    </row>
    <row r="22" spans="1:22" ht="18" customHeight="1" x14ac:dyDescent="0.25">
      <c r="A22" s="31" t="s">
        <v>338</v>
      </c>
      <c r="B22" s="31" t="str">
        <f t="shared" ref="B22:B25" si="24">SUBSTITUTE(PROPER(A22),"_","")</f>
        <v>CycleTime</v>
      </c>
      <c r="C22" s="31" t="str">
        <f t="shared" ref="C22:C25" si="25">SUBSTITUTE(PROPER(A22),"_"," ")</f>
        <v>Cycle Time</v>
      </c>
      <c r="D22" s="31" t="str">
        <f t="shared" ref="D22:D25" si="26">LOWER(LEFT(B22,1))&amp;RIGHT(B22,LEN(B22) - 1)</f>
        <v>cycleTime</v>
      </c>
      <c r="E22" s="31" t="str">
        <f>A.Backend!H16</f>
        <v>int</v>
      </c>
      <c r="F22" s="31" t="str">
        <f>A.Backend!G16</f>
        <v/>
      </c>
      <c r="G22" s="31" t="str">
        <f t="shared" ref="G22:G25" si="27">IF(E22="string"," : string = '' ; ",IF(OR(E22="DateTime",E22="TimeSpan")," : any ;",IF(E22="int"," : number = 0 ;","")))</f>
        <v xml:space="preserve"> : number = 0 ;</v>
      </c>
      <c r="H22" s="38" t="str">
        <f t="shared" ref="H22:H25" si="28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this.l('Cycle Time'),headerTooltip: this.l('Cycle Time'),field: 'cycleTime',flex: 1},</v>
      </c>
      <c r="I22" s="38" t="str">
        <f t="shared" ref="I22:I25" si="29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/>
      </c>
      <c r="J22" s="31"/>
      <c r="K22" s="38" t="str">
        <f t="shared" ref="K22:K25" si="30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title'&gt;Cycle Time&lt;/label&gt;
						&lt;input type='number' class='col-md-10 form-control input-text' name='CycleTime' [(ngModel)]='rowdata.cycleTime'&gt;
					&lt;/div&gt;</v>
      </c>
      <c r="L22" s="60" t="str">
        <f t="shared" ref="L22:L25" si="31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:S25" si="32">REPT(CHAR(9),1)&amp;D22&amp;G22</f>
        <v xml:space="preserve">	cycleTime : number = 0 ;</v>
      </c>
      <c r="T22" s="31" t="str">
        <f t="shared" ref="T22:T25" si="33">REPT(CHAR(9),3)&amp;"this."&amp;D22&amp;","</f>
        <v xml:space="preserve">			this.cycleTime,</v>
      </c>
      <c r="U22" s="31" t="str">
        <f t="shared" ref="U22:U25" si="34">IF(E22="int",REPT(CHAR(9),2)&amp;"this."&amp;D22&amp;" = 0,",REPT(CHAR(9),2)&amp;"this."&amp;D22&amp;" = '',")</f>
        <v xml:space="preserve">		this.cycleTime = 0,</v>
      </c>
      <c r="V22" s="31" t="str">
        <f t="shared" ref="V22:V25" si="35">IF(AND(E22="string",F22="1"),D22,"")</f>
        <v/>
      </c>
    </row>
    <row r="23" spans="1:22" ht="18" customHeight="1" x14ac:dyDescent="0.25">
      <c r="A23" s="31" t="s">
        <v>339</v>
      </c>
      <c r="B23" s="31" t="str">
        <f t="shared" si="24"/>
        <v>CurrentNoInDate</v>
      </c>
      <c r="C23" s="31" t="str">
        <f t="shared" si="25"/>
        <v>Current No In Date</v>
      </c>
      <c r="D23" s="31" t="str">
        <f t="shared" si="26"/>
        <v>currentNoInDate</v>
      </c>
      <c r="E23" s="31" t="str">
        <f>A.Backend!H17</f>
        <v>int</v>
      </c>
      <c r="F23" s="31" t="str">
        <f>A.Backend!G17</f>
        <v/>
      </c>
      <c r="G23" s="31" t="str">
        <f t="shared" si="27"/>
        <v xml:space="preserve"> : number = 0 ;</v>
      </c>
      <c r="H23" s="38" t="str">
        <f t="shared" si="28"/>
        <v xml:space="preserve">			{headerName: this.l('Current No In Date'),headerTooltip: this.l('Current No In Date'),field: 'currentNoInDate',flex: 1},</v>
      </c>
      <c r="I23" s="38" t="str">
        <f t="shared" si="29"/>
        <v/>
      </c>
      <c r="J23" s="31"/>
      <c r="K23" s="38" t="str">
        <f t="shared" si="30"/>
        <v xml:space="preserve">					&lt;div class='col-md-12 form-group row'&gt;
						&lt;label class='col-md-2 form-control title'&gt;Current No In Date&lt;/label&gt;
						&lt;input type='number' class='col-md-10 form-control input-text' name='CurrentNoInDate' [(ngModel)]='rowdata.currentNoInDate'&gt;
					&lt;/div&gt;</v>
      </c>
      <c r="L23" s="60" t="str">
        <f t="shared" si="31"/>
        <v/>
      </c>
      <c r="M23" s="31"/>
      <c r="N23" s="31"/>
      <c r="O23" s="31"/>
      <c r="P23" s="31"/>
      <c r="Q23" s="31"/>
      <c r="R23" s="31"/>
      <c r="S23" s="31" t="str">
        <f t="shared" si="32"/>
        <v xml:space="preserve">	currentNoInDate : number = 0 ;</v>
      </c>
      <c r="T23" s="31" t="str">
        <f t="shared" si="33"/>
        <v xml:space="preserve">			this.currentNoInDate,</v>
      </c>
      <c r="U23" s="31" t="str">
        <f t="shared" si="34"/>
        <v xml:space="preserve">		this.currentNoInDate = 0,</v>
      </c>
      <c r="V23" s="31" t="str">
        <f t="shared" si="35"/>
        <v/>
      </c>
    </row>
    <row r="24" spans="1:22" ht="18" customHeight="1" x14ac:dyDescent="0.25">
      <c r="A24" s="31" t="s">
        <v>340</v>
      </c>
      <c r="B24" s="31" t="str">
        <f t="shared" si="24"/>
        <v>NextNoInDate</v>
      </c>
      <c r="C24" s="31" t="str">
        <f t="shared" si="25"/>
        <v>Next No In Date</v>
      </c>
      <c r="D24" s="31" t="str">
        <f t="shared" si="26"/>
        <v>nextNoInDate</v>
      </c>
      <c r="E24" s="31" t="str">
        <f>A.Backend!H18</f>
        <v>int</v>
      </c>
      <c r="F24" s="31" t="str">
        <f>A.Backend!G18</f>
        <v/>
      </c>
      <c r="G24" s="31" t="str">
        <f t="shared" si="27"/>
        <v xml:space="preserve"> : number = 0 ;</v>
      </c>
      <c r="H24" s="38" t="str">
        <f t="shared" si="28"/>
        <v xml:space="preserve">			{headerName: this.l('Next No In Date'),headerTooltip: this.l('Next No In Date'),field: 'nextNoInDate',flex: 1},</v>
      </c>
      <c r="I24" s="38" t="str">
        <f t="shared" si="29"/>
        <v/>
      </c>
      <c r="J24" s="31"/>
      <c r="K24" s="38" t="str">
        <f t="shared" si="30"/>
        <v xml:space="preserve">					&lt;div class='col-md-12 form-group row'&gt;
						&lt;label class='col-md-2 form-control title'&gt;Next No In Date&lt;/label&gt;
						&lt;input type='number' class='col-md-10 form-control input-text' name='NextNoInDate' [(ngModel)]='rowdata.nextNoInDate'&gt;
					&lt;/div&gt;</v>
      </c>
      <c r="L24" s="60" t="str">
        <f t="shared" si="31"/>
        <v/>
      </c>
      <c r="M24" s="31"/>
      <c r="N24" s="31"/>
      <c r="O24" s="31"/>
      <c r="P24" s="31"/>
      <c r="Q24" s="31"/>
      <c r="R24" s="31"/>
      <c r="S24" s="31" t="str">
        <f t="shared" si="32"/>
        <v xml:space="preserve">	nextNoInDate : number = 0 ;</v>
      </c>
      <c r="T24" s="31" t="str">
        <f t="shared" si="33"/>
        <v xml:space="preserve">			this.nextNoInDate,</v>
      </c>
      <c r="U24" s="31" t="str">
        <f t="shared" si="34"/>
        <v xml:space="preserve">		this.nextNoInDate = 0,</v>
      </c>
      <c r="V24" s="31" t="str">
        <f t="shared" si="35"/>
        <v/>
      </c>
    </row>
    <row r="25" spans="1:22" ht="18" customHeight="1" x14ac:dyDescent="0.25">
      <c r="A25" s="31" t="s">
        <v>329</v>
      </c>
      <c r="B25" s="31" t="str">
        <f t="shared" si="24"/>
        <v>ProcessType</v>
      </c>
      <c r="C25" s="31" t="str">
        <f t="shared" si="25"/>
        <v>Process Type</v>
      </c>
      <c r="D25" s="31" t="str">
        <f t="shared" si="26"/>
        <v>processType</v>
      </c>
      <c r="E25" s="31" t="str">
        <f>A.Backend!H19</f>
        <v>string</v>
      </c>
      <c r="F25" s="31" t="str">
        <f>A.Backend!G19</f>
        <v>50</v>
      </c>
      <c r="G25" s="31" t="str">
        <f t="shared" si="27"/>
        <v xml:space="preserve"> : string = '' ; </v>
      </c>
      <c r="H25" s="38" t="str">
        <f t="shared" si="28"/>
        <v xml:space="preserve">			{headerName: this.l('Process Type'),headerTooltip: this.l('Process Type'),field: 'processType',flex: 1},</v>
      </c>
      <c r="I25" s="38" t="str">
        <f t="shared" si="29"/>
        <v xml:space="preserve">								&lt;div class='input-search'&gt;
									&lt;input [(ngModel)]='processType' name='processType'
									class='form-control' [placeholder]="l('Process Type')"
									type='text' (keyup.enter)='searchDatas()'&gt;
								&lt;/div&gt;</v>
      </c>
      <c r="J25" s="31"/>
      <c r="K25" s="38" t="str">
        <f t="shared" si="30"/>
        <v xml:space="preserve">					&lt;div class='col-md-12 form-group row'&gt;
						&lt;label class='col-md-2 form-control title'&gt;Process Type&lt;/label&gt;
						&lt;input type='text' class='col-md-10 form-control input-text' name='ProcessType' [(ngModel)]='rowdata.processType'&gt;
					&lt;/div&gt;</v>
      </c>
      <c r="L25" s="60" t="str">
        <f t="shared" si="31"/>
        <v/>
      </c>
      <c r="M25" s="31"/>
      <c r="N25" s="31"/>
      <c r="O25" s="31"/>
      <c r="P25" s="31"/>
      <c r="Q25" s="31"/>
      <c r="R25" s="31"/>
      <c r="S25" s="31" t="str">
        <f t="shared" si="32"/>
        <v xml:space="preserve">	processType : string = '' ; </v>
      </c>
      <c r="T25" s="31" t="str">
        <f t="shared" si="33"/>
        <v xml:space="preserve">			this.processType,</v>
      </c>
      <c r="U25" s="31" t="str">
        <f t="shared" si="34"/>
        <v xml:space="preserve">		this.processType = '',</v>
      </c>
      <c r="V25" s="31" t="str">
        <f t="shared" si="35"/>
        <v/>
      </c>
    </row>
    <row r="26" spans="1:22" ht="15" customHeight="1" x14ac:dyDescent="0.25">
      <c r="A26" s="31" t="s">
        <v>325</v>
      </c>
      <c r="B26" s="31" t="str">
        <f t="shared" si="0"/>
        <v>IsActive</v>
      </c>
      <c r="C26" s="31" t="str">
        <f t="shared" si="1"/>
        <v>Is Active</v>
      </c>
      <c r="D26" s="31" t="str">
        <f t="shared" si="2"/>
        <v>isActive</v>
      </c>
      <c r="E26" s="31" t="str">
        <f>A.Backend!H20</f>
        <v>string</v>
      </c>
      <c r="F26" s="31" t="str">
        <f>A.Backend!G20</f>
        <v>1</v>
      </c>
      <c r="G26" s="31" t="str">
        <f t="shared" si="3"/>
        <v xml:space="preserve"> : string = '' ; </v>
      </c>
      <c r="H26" s="38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6" s="38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6" s="31"/>
      <c r="K26" s="38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6" s="60" t="str">
        <f t="shared" si="7"/>
        <v/>
      </c>
      <c r="M26" s="31"/>
      <c r="N26" s="31"/>
      <c r="O26" s="31"/>
      <c r="P26" s="31"/>
      <c r="Q26" s="31"/>
      <c r="R26" s="31"/>
      <c r="S26" s="31" t="str">
        <f t="shared" si="21"/>
        <v xml:space="preserve">	isActive : string = '' ; </v>
      </c>
      <c r="T26" s="31" t="str">
        <f t="shared" si="22"/>
        <v xml:space="preserve">			this.isActive,</v>
      </c>
      <c r="U26" s="31" t="str">
        <f t="shared" si="23"/>
        <v xml:space="preserve">		this.isActive = '',</v>
      </c>
      <c r="V26" s="31" t="str">
        <f t="shared" si="8"/>
        <v>isActive</v>
      </c>
    </row>
    <row r="2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2023-03-09T10:26:31Z</dcterms:modified>
</cp:coreProperties>
</file>
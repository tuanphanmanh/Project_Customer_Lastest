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workingpattern\"/>
    </mc:Choice>
  </mc:AlternateContent>
  <bookViews>
    <workbookView xWindow="0" yWindow="0" windowWidth="28800" windowHeight="1180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5" l="1"/>
  <c r="B16" i="5"/>
  <c r="C17" i="5"/>
  <c r="B17" i="5"/>
  <c r="C15" i="5" l="1"/>
  <c r="C16" i="5"/>
  <c r="V12" i="5" l="1"/>
  <c r="U12" i="5"/>
  <c r="T12" i="5"/>
  <c r="S12" i="5"/>
  <c r="L12" i="5"/>
  <c r="K12" i="5"/>
  <c r="I12" i="5"/>
  <c r="H12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0" i="1"/>
  <c r="D11" i="1"/>
  <c r="V11" i="1" l="1"/>
  <c r="T11" i="1"/>
  <c r="V10" i="1"/>
  <c r="T10" i="1"/>
  <c r="D15" i="5"/>
  <c r="V13" i="1"/>
  <c r="T15" i="5" l="1"/>
  <c r="D17" i="5"/>
  <c r="D16" i="5"/>
  <c r="T16" i="5" l="1"/>
  <c r="T17" i="5"/>
  <c r="R3" i="1"/>
  <c r="D1" i="1"/>
  <c r="F6" i="1"/>
  <c r="T13" i="5"/>
  <c r="L11" i="1" l="1"/>
  <c r="G9" i="1"/>
  <c r="F15" i="5" s="1"/>
  <c r="G10" i="1"/>
  <c r="F16" i="5" s="1"/>
  <c r="G11" i="1"/>
  <c r="F17" i="5" s="1"/>
  <c r="E9" i="1"/>
  <c r="H9" i="1" s="1"/>
  <c r="E10" i="1"/>
  <c r="H10" i="1" s="1"/>
  <c r="E11" i="1"/>
  <c r="H11" i="1" s="1"/>
  <c r="P9" i="1"/>
  <c r="P10" i="1"/>
  <c r="P11" i="1"/>
  <c r="T13" i="1"/>
  <c r="W11" i="1" l="1"/>
  <c r="O11" i="1"/>
  <c r="M11" i="1"/>
  <c r="N11" i="1"/>
  <c r="E17" i="5"/>
  <c r="W10" i="1"/>
  <c r="N10" i="1"/>
  <c r="M10" i="1"/>
  <c r="O10" i="1"/>
  <c r="E16" i="5"/>
  <c r="E15" i="5"/>
  <c r="M9" i="1"/>
  <c r="O9" i="1"/>
  <c r="N9" i="1"/>
  <c r="W9" i="1"/>
  <c r="T7" i="1"/>
  <c r="I11" i="1"/>
  <c r="I10" i="1"/>
  <c r="I9" i="1"/>
  <c r="W13" i="1"/>
  <c r="L15" i="5" l="1"/>
  <c r="V15" i="5"/>
  <c r="G15" i="5"/>
  <c r="S15" i="5" s="1"/>
  <c r="I15" i="5"/>
  <c r="U15" i="5"/>
  <c r="K15" i="5"/>
  <c r="H15" i="5"/>
  <c r="G16" i="5"/>
  <c r="S16" i="5" s="1"/>
  <c r="L16" i="5"/>
  <c r="V16" i="5"/>
  <c r="I16" i="5"/>
  <c r="K16" i="5"/>
  <c r="H16" i="5"/>
  <c r="U16" i="5"/>
  <c r="L17" i="5"/>
  <c r="V17" i="5"/>
  <c r="G17" i="5"/>
  <c r="S17" i="5" s="1"/>
  <c r="H17" i="5"/>
  <c r="U17" i="5"/>
  <c r="K17" i="5"/>
  <c r="I17" i="5"/>
  <c r="G6" i="1"/>
  <c r="S13" i="5"/>
  <c r="I13" i="5"/>
  <c r="H13" i="5"/>
  <c r="L13" i="5"/>
  <c r="U13" i="5"/>
  <c r="V13" i="5"/>
  <c r="K13" i="5"/>
  <c r="K10" i="5" l="1"/>
  <c r="F45" i="3" s="1"/>
  <c r="L10" i="5"/>
  <c r="G45" i="3" s="1"/>
  <c r="H10" i="5"/>
  <c r="C45" i="3" s="1"/>
  <c r="I10" i="5"/>
  <c r="D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9" i="1" l="1"/>
  <c r="L10" i="1"/>
  <c r="J11" i="1"/>
  <c r="J9" i="1"/>
  <c r="J10" i="1"/>
  <c r="C7" i="1"/>
  <c r="N13" i="1"/>
  <c r="J13" i="1"/>
  <c r="O13" i="1"/>
  <c r="P13" i="1"/>
  <c r="I13" i="1"/>
  <c r="Q7" i="1" l="1"/>
  <c r="M38" i="3" s="1"/>
  <c r="L7" i="1"/>
  <c r="G38" i="3" s="1"/>
  <c r="K38" i="3"/>
  <c r="J38" i="3"/>
  <c r="K13" i="1"/>
  <c r="M13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<sst xmlns="http://schemas.openxmlformats.org/spreadsheetml/2006/main" count="337" uniqueCount="278">
  <si>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</si>
  <si>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</si>
  <si>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</si>
  <si>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</si>
  <si>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</si>
  <si>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</si>
  <si>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</si>
  <si>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</si>
  <si>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</si>
  <si>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</si>
  <si>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</si>
  <si>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</si>
  <si>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</si>
  <si>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</si>
  <si>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</si>
  <si>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</si>
  <si>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</si>
  <si>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</si>
  <si>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</si>
  <si>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</si>
  <si>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</si>
  <si>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</si>
  <si>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</si>
  <si>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</si>
  <si>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</si>
  <si>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</si>
  <si>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</si>
  <si>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</si>
  <si>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</si>
  <si>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</si>
  <si>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</si>
  <si>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</si>
  <si>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</si>
  <si>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</si>
  <si>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</si>
  <si>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</si>
  <si>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</si>
  <si>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</si>
  <si>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</si>
  <si>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</si>
  <si>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</si>
  <si>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</si>
  <si>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</si>
  <si>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</si>
  <si>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</si>
  <si>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</si>
  <si>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</si>
  <si>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</si>
  <si>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</si>
  <si>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</si>
  <si>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</si>
  <si>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</si>
  <si>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</si>
  <si>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</si>
  <si>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</si>
  <si>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</si>
  <si>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</si>
  <si>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</si>
  <si>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</si>
  <si>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</si>
  <si>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</si>
  <si>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</si>
  <si>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</si>
  <si>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</si>
  <si>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</si>
  <si>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</si>
  <si>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</si>
  <si>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</si>
  <si>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</si>
  <si>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</si>
  <si>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</si>
  <si>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</si>
  <si>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</si>
  <si>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</si>
  <si>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</si>
  <si>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</si>
  <si>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</si>
  <si>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</si>
  <si>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</si>
  <si>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</si>
  <si>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</si>
  <si>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</si>
  <si>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</si>
  <si>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</si>
  <si>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</si>
  <si>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</si>
  <si>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</si>
  <si>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</si>
  <si>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</si>
  <si>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</si>
  <si>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</si>
  <si>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</si>
  <si>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</si>
  <si>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</si>
  <si>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</si>
  <si>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</si>
  <si>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</si>
  <si>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</si>
  <si>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</si>
  <si>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</si>
  <si>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</si>
  <si>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</si>
  <si>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</si>
  <si>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</si>
  <si>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</si>
  <si>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</si>
  <si>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</si>
  <si>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</si>
  <si>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</si>
  <si>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</si>
  <si>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</si>
  <si>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</si>
  <si>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</si>
  <si>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</si>
  <si>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</si>
  <si>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</si>
  <si>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</si>
  <si>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</si>
  <si>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</si>
  <si>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</si>
  <si>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</si>
  <si>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</si>
  <si>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</si>
  <si>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</si>
  <si>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</si>
  <si>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</si>
  <si>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</si>
  <si>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</si>
  <si>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</si>
  <si>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</si>
  <si>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</si>
  <si>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</si>
  <si>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</si>
  <si>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</si>
  <si>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</si>
  <si>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</si>
  <si>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</si>
  <si>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</si>
  <si>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</si>
  <si>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</si>
  <si>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</si>
  <si>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</si>
  <si>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</si>
  <si>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</si>
  <si>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</si>
  <si>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</si>
  <si>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</si>
  <si>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</si>
  <si>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</si>
  <si>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</si>
  <si>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</si>
  <si>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</si>
  <si>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</si>
  <si>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</si>
  <si>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</si>
  <si>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</si>
  <si>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</si>
  <si>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</si>
  <si>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</si>
  <si>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</si>
  <si>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</si>
  <si>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</si>
  <si>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</si>
  <si>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</si>
  <si>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</si>
  <si>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</si>
  <si>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</si>
  <si>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</si>
  <si>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</si>
  <si>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</si>
  <si>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</si>
  <si>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</si>
  <si>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</si>
  <si>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</si>
  <si>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</si>
  <si>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</si>
  <si>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</si>
  <si>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</si>
  <si>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</si>
  <si>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</si>
  <si>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</si>
  <si>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</si>
  <si>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</si>
  <si>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</si>
  <si>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</si>
  <si>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</si>
  <si>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</si>
  <si>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</si>
  <si>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</si>
  <si>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</si>
  <si>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</si>
  <si>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</si>
  <si>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</si>
  <si>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</si>
  <si>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</si>
  <si>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</si>
  <si>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</si>
  <si>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</si>
  <si>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</si>
  <si>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</si>
  <si>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</si>
  <si>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</si>
  <si>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</si>
  <si>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</si>
  <si>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</si>
  <si>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</si>
  <si>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</si>
  <si>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</si>
  <si>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</si>
  <si>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</si>
  <si>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</si>
  <si>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</si>
  <si>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</si>
  <si>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</si>
  <si>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</si>
  <si>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</si>
  <si>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</si>
  <si>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</si>
  <si>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</si>
  <si>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</si>
  <si>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</si>
  <si>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</si>
  <si>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</si>
  <si>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</si>
  <si>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</si>
  <si>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</si>
  <si>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</si>
  <si>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</si>
  <si>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</si>
  <si>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</si>
  <si>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</si>
  <si>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</si>
  <si>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</si>
  <si>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</si>
  <si>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</si>
  <si>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</si>
  <si>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</si>
  <si>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</si>
  <si>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</si>
  <si>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</si>
  <si>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</si>
  <si>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</si>
  <si>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</si>
  <si>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</si>
  <si>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</si>
  <si>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</si>
  <si>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</si>
  <si>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</si>
  <si>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</si>
  <si>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</si>
  <si>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</si>
  <si>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</si>
  <si>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</si>
  <si>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</si>
  <si>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</si>
  <si>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</si>
  <si>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</si>
  <si>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</si>
  <si>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</si>
  <si>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</si>
  <si>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</si>
  <si>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</si>
  <si>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</si>
  <si>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</si>
  <si>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</si>
  <si>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</si>
  <si>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</si>
  <si>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</si>
  <si>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</si>
  <si>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Master.WorkingPattern</t>
  </si>
  <si>
    <t>MstWptSeasonMonth</t>
  </si>
  <si>
    <t>SeasonMonth</t>
  </si>
  <si>
    <t>Master Working Pattern Season Month</t>
  </si>
  <si>
    <t>SEASON_MONTH</t>
  </si>
  <si>
    <t>SEASON_TYPE</t>
  </si>
  <si>
    <t>varchar(10)</t>
  </si>
  <si>
    <t>IS_ACTIVE</t>
  </si>
  <si>
    <t>varchar(1)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</si>
</sst>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0" fillId="14" borderId="3" xfId="0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/>
    </xf>
    <xf numFmtId="0" fontId="0" fillId="14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abSelected="1" topLeftCell="A26" workbookViewId="0">
      <selection activeCell="F32" sqref="F32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2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1" t="s">
        <v>226</v>
      </c>
      <c r="C38" s="50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[Table("MstWptSeasonMonth")]
	[Index(nameof(SeasonMonth), Name="IX_MstWptSeasonMonth_SeasonMonth")]
	public class MstWptSeasonMonth: FullAuditedEntity&lt;long&gt;, IEntity&lt;long&gt;	
	{
		public const int MaxSeasonTypeLength = 10;
		public const int MaxIsActiveLength = 1;
		public virtual DateTime SeasonMonth { get; set; }
		[StringLength(MaxSeasonTypeLength)]
		public virtual string SeasonType { get; set; }
		[StringLength(MaxIsActiveLength)]
		public virtual string IsActive { get; set; }
	}
}
</v>
      </c>
      <c r="D38" s="50" t="str">
        <f>A.Backend!O7</f>
        <v xml:space="preserve">		public const string Pages_Master_WorkingPattern_SeasonMonth = "Pages.Master.WorkingPattern.SeasonMonth";
		public const string Pages_Master_WorkingPattern_SeasonMonth_CreateEdit = "Pages.Master.WorkingPattern.SeasonMonth.CreateEdit";
		public const string Pages_Master_WorkingPattern_SeasonMonth_Delete = "Pages.Master.WorkingPattern.SeasonMonth.Delete";
</v>
      </c>
      <c r="E38" s="50" t="str">
        <f>A.Backend!N7</f>
        <v xml:space="preserve">		var perMstWptSeasonMonth = PARENTS.CreateChildPermission(AppPermissions.Pages_Master_WorkingPattern_SeasonMonth, L( "MasterWorkingPatternSeasonMonth"));
		perMstWptSeasonMonth.CreateChildPermission(AppPermissions.Pages_Master_WorkingPattern_SeasonMonth_CreateEdit, L( "MasterWorkingPatternSeasonMonthCreateEdit"));
		perMstWptSeasonMonth.CreateChildPermission(AppPermissions.Pages_Master_WorkingPattern_SeasonMonth_Delete, L( "MasterWorkingPatternSeasonMonthDelete"));</v>
      </c>
      <c r="F38" s="50" t="str">
        <f>A.Backend!K7</f>
        <v>public virtual DbSet&lt;MstWptSeasonMonth&gt; MstWptSeasonMonths { get; set; }</v>
      </c>
      <c r="G38" s="50" t="str">
        <f ca="1">A.Backend!L7</f>
        <v xml:space="preserve">namespace vovina.Master.WorkingPattern
{
	public class MstWptSeasonMonthConsts	
	{
		public const int MaxSeasonTypeLength = 10;
		public const int MaxIsActiveLength = 1;
		// Define Store Name: Format SP_ + &lt;Store Name&gt; = &lt;Store Name&gt;
	}
}
</v>
      </c>
      <c r="H38" s="50" t="str">
        <f ca="1">A.Backend!M7</f>
        <v xml:space="preserve">using Abp.Application.Services.Dto;
using System;
using System.ComponentModel.DataAnnotations;
namespace vovina.Master.WorkingPattern.Dto
{
	public class MstWptSeasonMonthDto : EntityDto&lt;long?&gt;	
	{
		public virtual DateTime? SeasonMonth { get; set; }
		public virtual string SeasonType { get; set; }
		public virtual string IsActive { get; set; }
	}
	public class CreateOrEditMstWptSeasonMonthDto : EntityDto&lt;long?&gt;	
	{
		public virtual DateTime? SeasonMonth { get; set; }
		[StringLength(MstWptSeasonMonthConsts.MaxSeasonTypeLength)]
		public virtual string SeasonType { get; set; }
		[StringLength(MstWptSeasonMonthConsts.MaxIsActiveLength)]
		public virtual string IsActive { get; set; }
	}
	public class GetMstWptSeasonMonthInput : PagedAndSortedResultRequestDto	
	{
		public virtual DateTime? SeasonMonth { get; set; }
		public virtual string SeasonType { get; set; }
		public virtual string IsActive { get; set; }
	}
}
</v>
      </c>
      <c r="I38" s="50" t="str">
        <f ca="1">A.Backend!R7</f>
        <v xml:space="preserve">using Abp.Application.Services.Dto;
using System;
using System.ComponentModel.DataAnnotations;
namespace vovina.Master.WorkingPattern.Dto
{
	public class MstWptSeasonMonthExportInput{
		public virtual DateTime? SeasonMonth { get; set; }
		public virtual string SeasonType { get; set; }
		public virtual string IsActive { get; set; }
	}
}
</v>
      </c>
      <c r="J38" s="50" t="str">
        <f>A.Backend!P7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IMstWptSeasonMonthAppService : IApplicationService
	{
		Task&lt;PagedResultDto&lt;MstWptSeasonMonthDto&gt;&gt; GetAll(GetMstWptSeasonMonthInput input);
		Task CreateOrEdit(CreateOrEditMstWptSeasonMonthDto input);
		Task Delete(EntityDto input);
	}
}
</v>
      </c>
      <c r="K38" s="50" t="str">
        <f>A.Backend!S7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IMstWptSeasonMonthExcelExporter : IApplicationService
	{
		FileDto ExportToFile(List&lt;MstWptSeasonMonthDto&gt; mstwptseasonmonth);
	}
}
</v>
      </c>
      <c r="L38" s="50" t="str">
        <f ca="1">A.Backend!T7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MstWptSeasonMonthExcelExporter : NpoiExcelExporterBase, IMstWptSeasonMonthExcelExporter
    {
        public MstWptSeasonMonthExcelExporter(ITempFileCacheManager tempFileCacheManager) : base(tempFileCacheManager) { }
        public FileDto ExportToFile(List&lt;MstWptSeasonMonthDto&gt; seasonmonth)
        {
            return CreateExcelPackage(
				"MasterWorkingPatternSeasonMonth.xlsx",
				excelPackage =&gt;
				 {
					var sheet = excelPackage.CreateSheet("SeasonMonth");
					AddHeader(
								sheet,
								("SeasonMonth"),
								("SeasonType"),
								("IsActive"),
							   );
					AddObjects(
						 sheet, 1, seasonmonth,                                       
								_ =&gt; _.SeasonMonth,
								_ =&gt; _.SeasonType,
								_ =&gt; _.IsActive,
								);
			for (var i = 0; i &lt; 8; i++)
				{
					sheet.AutoSizeColumn(i);
				}
			});
        }
    }
}</v>
      </c>
      <c r="M38" s="58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[AbpAuthorize(AppPermissions.Pages_Master_WorkingPattern_SeasonMonth)]
    public class MstWptSeasonMonthAppService : vovinaAppServiceBase, IMstWptSeasonMonthAppService
    {
        private readonly IDapperRepository&lt;MstWptSeasonMonth, long&gt; _dapperRepo;
        private readonly IRepository&lt;MstWptSeasonMonth, long&gt; _repo;
        private readonly IMstWptSeasonMonthExcelExporter _calendarListExcelExporter;
        public MstWptSeasonMonthAppService(IRepository&lt;MstWptSeasonMonth,long&gt; repo, 
                                         IDapperRepository&lt;MstWptSeasonMonth,long&gt; dapperRepo,
                                        IMstWptSeasonMonthExcelExporter calendarListExcelExporter
            )
        {
            _repo = repo;
            _dapperRepo = dapperRepo;
            _calendarListExcelExporter = calendarListExcelExporter;
        }
        [AbpAuthorize(AppPermissions.Pages_Master_WorkingPattern_SeasonMonth_CreateEdit)]
        public async Task CreateOrEdit(CreateOrEditMstWptSeasonMonthDto input)
        {
            if (input.Id == null) await Create(input);
            else await Update(input);
        }
        //CREATE
        private async Task Create(CreateOrEditMstWptSeasonMonthDto input)
        {          
            var mainObj = ObjectMapper.Map&lt;MstWptSeasonMonth&gt;(input);
            await CurrentUnitOfWork.GetDbContext&lt;vovinaDbContext&gt;().AddAsync(mainObj);
        }
        // EDIT
        private async Task Update(CreateOrEditMstWptSeasonMonthDto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[AbpAuthorize(AppPermissions.Pages_Master_WorkingPattern_SeasonMonth_Delete)]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Task&lt;PagedResultDto&lt;MstWptSeasonMonthDto&gt;&gt; GetAll(GetMstWptSeasonMonthInput input)
        {
            var filtered = _repo.GetAll()
				.WhereIf(input.SeasonMonth.HasValue, t =&gt; t.SeasonMonth == input.SeasonMonth.Value)
				.WhereIf(!string.IsNullOrWhiteSpace(input.SeasonType), e =&gt; e.SeasonType.Contains(input.SeasonType))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MstWptSeasonMonthDto
                        {
							Id = o.Id,
							SeasonMonth = o.SeasonMonth,
							SeasonType = o.SeasonType,
							IsActive = o.IsActive,
                        };
            var totalCount = await filtered.CountAsync();
			var paged = system.PageBy(input);
            return new PagedResultDto&lt;MstWptSeasonMonthDto&gt;(
                totalCount,
                 await paged.ToListAsync()
            );
        }
        public async Task&lt;FileDto&gt; GetSeasonMonthToExcel(MstWptSeasonMonthExportInput input)
        {
            var query = from o in _repo.GetAll()
                        select new MstWptSeasonMonthDto
                        {
							Id = o.Id,
							SeasonMonth = o.SeasonMonth,
							SeasonType = o.SeasonType,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_dapperRepo.ExecuteAsync(MstWptSeasonMonthConsts.SP_MST_WPT_CALENDAR_GENERATE);
       // }
    }
}</v>
      </c>
      <c r="N38" s="61" t="str">
        <f>A.Backend!U7</f>
        <v xml:space="preserve">  configuration.CreateMap&lt;MstWptSeasonMonthDto, MstWptSeasonMonth&gt;();
  configuration.CreateMap&lt;MstWptSeasonMonth, MstWptSeasonMonthDto&gt;();
  configuration.CreateMap&lt;CreateOrEditMstWptSeasonMonthDto, MstWptSeasonMonth&gt;();</v>
      </c>
    </row>
    <row r="39" spans="1:14" s="16" customFormat="1" ht="21.75" customHeight="1" x14ac:dyDescent="0.25">
      <c r="C39" s="64"/>
      <c r="D39" s="29"/>
      <c r="E39" s="29"/>
      <c r="F39" s="29"/>
      <c r="G39" s="29"/>
      <c r="H39" s="65"/>
      <c r="I39" s="66"/>
      <c r="J39" s="29"/>
      <c r="K39" s="29"/>
      <c r="M39" s="65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seasonmonth</v>
      </c>
      <c r="C43" s="71" t="str">
        <f>"create folder " &amp;B43</f>
        <v>create folder seasonmonth</v>
      </c>
      <c r="D43" s="71"/>
      <c r="E43" s="71"/>
      <c r="F43" s="71"/>
      <c r="G43" s="71"/>
      <c r="H43" s="71"/>
      <c r="I43" s="71"/>
      <c r="J43" s="71"/>
      <c r="K43" s="72" t="s">
        <v>228</v>
      </c>
      <c r="L43" s="72"/>
      <c r="M43" s="31"/>
    </row>
    <row r="44" spans="1:14" s="28" customFormat="1" ht="18" customHeight="1" x14ac:dyDescent="0.25">
      <c r="B44" s="59" t="s">
        <v>229</v>
      </c>
      <c r="C44" s="31" t="str">
        <f>B.Frontend!H14</f>
        <v>seasonmonth.component.ts</v>
      </c>
      <c r="D44" s="31" t="str">
        <f>B.Frontend!I14</f>
        <v>seasonmonth.component.html</v>
      </c>
      <c r="E44" s="31" t="str">
        <f>B.Frontend!J14</f>
        <v>seasonmonth.component.less</v>
      </c>
      <c r="F44" s="31" t="str">
        <f>B.Frontend!K14</f>
        <v>create-or-edit-seasonmonth-modal.component.html</v>
      </c>
      <c r="G44" s="31" t="str">
        <f>B.Frontend!L14</f>
        <v>create-or-edit-seasonmonth-modal.component.ts</v>
      </c>
      <c r="H44" s="31" t="str">
        <f>B.Frontend!M14</f>
        <v>create-or-edit-seasonmonth-modal.component.less</v>
      </c>
      <c r="I44" s="31" t="str">
        <f>B.Frontend!N14</f>
        <v>seasonmonth.module.ts</v>
      </c>
      <c r="J44" s="31" t="str">
        <f>B.Frontend!O14</f>
        <v>seasonmonth-routing.module.ts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59" t="s">
        <v>232</v>
      </c>
    </row>
    <row r="45" spans="1:14" ht="21.75" customHeight="1" x14ac:dyDescent="0.25">
      <c r="B45" s="60" t="s">
        <v>226</v>
      </c>
      <c r="C45" s="48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MstWptSeasonMonthDto, MstWptSeasonMonthServiceProxy } from '@shared/service-proxies/service-proxies';
import { finalize } from 'rxjs/internal/operators/finalize';
import { CreateOrEditSeasonMonthModalComponent } from './create-or-edit-seasonmonth-modal.component';
import { DatePipe } from '@angular/common';
import { FileDownloadService } from '@shared/utils/file-download.service';
import ceil from 'lodash-es/ceil';
import { Paginator } from 'primeng/paginator';
@Component({
    templateUrl: './seasonmonth.component.html',
    styleUrls: ['./seasonmonth.component.less'],
})
export class SeasonMonthComponent extends AppComponentBase implements OnInit {
    @ViewChild('createOrEditModalSeasonMonth', { static: true }) createOrEditModalSeasonMonth:| CreateOrEditSeasonMonthModalComponent|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MstWptSeasonMonthDto = new MstWptSeasonMonthDto();
    saveSelectedRow: MstWptSeasonMonthDto = new MstWptSeasonMonthDto();
    datas: MstWptSeasonMonthDto = new MstWptSeasonMonthDto();
    isLoading: boolean = false;
    dataParams: GridParams | undefined;
    rowData: any[] = [];
    gridApi!: GridApi;
    rowSelection = 'multiple';
    filter: string = '';
	pipe = new DatePipe('en-US');
    seasonMonth : any ;
	seasonType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MstWptSeasonMonthServiceProxy,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this.l('Season Month'),headerTooltip: this.l('Season Month'),field: 'seasonMonth',valueGetter: (params) =&gt; this.pipe.transform(params.data?.seasonMonth, 'dd/MM/yyyy'),flex: 1},
			{headerName: this.l('Season Type'),headerTooltip: this.l('Season Type'),field: 'seasonType',flex: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this.seasonMonth,
			this.seasonType,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this.seasonMonth = '',
		this.seasonType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this.seasonMonth,
			this.seasonType,
			this.isActive,
			'',
            this.paginationParams.skipCount,
            this.paginationParams.pageSize
        );
    }
    onChangeRowSelection(params: { api: { getSelectedRows: () =&gt; MstWptSeasonMonthDto[] } }) {
        this.saveSelectedRow = params.api.getSelectedRows()[0] ?? new MstWptSeasonMonthDto();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MstWptSeasonMonthDto):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this._service.getSeasonMonthToExcel(
			this.seasonMonth,
			this.seasonType,
			this.isActive,
            )
            .subscribe((result) =&gt; {
                this._fileDownloadService.downloadTempFile(result);
        });
    }
}</v>
      </c>
      <c r="D45" s="48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Season Month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type='text' [placeholder]="l('Season Month')" [(ngModel)]='seasonMonth' 
									name='seasonMonth'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(click)="createOrEditModalSeasonMonth.show()"&gt;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(click)="createOrEditModalSeasonMonth.show(selectedRow)"&gt;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&lt;create-or-edit-seasonmonth-modal
    #createOrEditModalSeasonMonth
    (modalSave)="callBackDataGrid(dataParams)"
    (modalClose)="onChangeRowSelection(dataParams)"
&gt;
&lt;/create-or-edit-seasonmonth-modal&gt;</v>
      </c>
      <c r="E45" s="48" t="str">
        <f>B.Frontend!J10</f>
        <v>.input-search{
    width: 250px;
    border-radius: 10px;
    margin-left: 10px;
}
.btn-search{
    width: 50px;
    margin-left: 10px;
}</v>
      </c>
      <c r="F45" s="48" t="str">
        <f ca="1">B.Frontend!K10</f>
        <v>&lt;div bsModal #createOrEditModalSeasonMonth="bs-modal"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SeasonMonth')}}&lt;/h3&gt;
                    &lt;h3 *ngIf="!rowdata.id"&gt;{{('Create New SeasonMonth')}}&lt;/h3&gt;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title'&gt;Season Month&lt;/label&gt;
						&lt;input type='text' class='col-md-10 form-control input-text' name='seasonMonth' 
						#datepicker='bsDatepicker' [(ngModel)]='rowdata.seasonMonth'  bsDatepicker 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8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CreateOrEditMstWptSeasonMonthDto, MstWptSeasonMonthServiceProxy } from '@shared/service-proxies/service-proxies';
import { BsDatepickerDirective } from 'ngx-bootstrap/datepicker';
@Component({
    selector: 'create-or-edit-seasonmonth-modal',
    templateUrl: './create-or-edit-seasonmonth-modal.component.html',
    styleUrls: ['./create-or-edit-seasonmonth-modal.component.less']
    })
export class CreateOrEditSeasonMonthModalComponent extends AppComponentBase {
    @ViewChild('createOrEditModalSeasonMonth',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CreateOrEditMstWptSeasonMonthDto = new CreateOrEditMstWptSeasonMonthDto();
    active: boolean = false;
    saving: boolean = false;
    _isActive: boolean;
    constructor(
        injector: Injector,
        private _mstwptSeasonMonthService: MstWptSeasonMonthServiceProxy,
    ) 
    {
        super(injector);
    }
    show(rowdata?: CreateOrEditMstWptSeasonMonthDto): void {
        if (!rowdata) this.rowdata = new CreateOrEditMstWptSeasonMonthDto();
        else this.rowdata = rowdata;
		const dateValue =  this.rowdata.seasonMonth ? new Date(this.rowdata.seasonMonth?.toString())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this._mstwptSeasonMonthService.createOrEdit(this.rowdata)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8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8" t="str">
        <f>B.Frontend!N10</f>
        <v>import {NgModule} from '@angular/core';
import {AppSharedModule} from '@app/shared/app-shared.module';
import { SeasonMonthRoutingModule } from './seasonmonth-routing.module';
import { SeasonMonthComponent } from './seasonmonth.component';
import { CreateOrEditSeasonMonthModalComponent } from './create-or-edit-seasonmonth-modal.component';
@NgModule({
    declarations: [
       SeasonMonthComponent, 
        CreateOrEditSeasonMonthModalComponent
    ],
    imports: [
        AppSharedModule, SeasonMonthRoutingModule]
})
export class SeasonMonthModule {}</v>
      </c>
      <c r="J45" s="48" t="str">
        <f>B.Frontend!O10</f>
        <v>import {NgModule} from '@angular/core';
import {RouterModule, Routes} from '@angular/router';
import { SeasonMonthComponent } from './seasonmonth.component';
const routes: Routes = [{
    path: '',
    component: SeasonMonthComponent,
    pathMatch: 'full'
}];
@NgModule({
    imports: [RouterModule.forChild(routes)],
    exports: [RouterModule],
})
export class SeasonMonthRoutingModule {}</v>
      </c>
      <c r="K45" s="48" t="str">
        <f>B.Frontend!P10</f>
        <v xml:space="preserve"> new AppMenuItem("SeasonMonth", "Pages.Master.WorkingPattern.SeasonMonth", "flaticon-book",   "/app/main/master/workingpattern/seasonmonth"),</v>
      </c>
      <c r="L45" s="49" t="str">
        <f>B.Frontend!Q10</f>
        <v>{
    path: 'master/workingpattern/seasonmonth',
    loadChildren: () =&gt; import('./master/workingpattern/seasonmonth/seasonmonth.module').then(m =&gt; m.SeasonMonthModule),
    data: { permission: 'Pages.Master.WorkingPattern.SeasonMonth' }
},</v>
      </c>
      <c r="M45" s="47" t="str">
        <f>B.Frontend!R10</f>
        <v>ApiServiceProxies.MstWptSeasonMonthServiceProxy,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workbookViewId="0">
      <pane xSplit="1" topLeftCell="B1" activePane="topRight" state="frozen"/>
      <selection pane="topRight" activeCell="K11" sqref="K11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vovina.Master.WorkingPattern.Dto;</v>
      </c>
      <c r="E1" s="10" t="s">
        <v>268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ht="30" x14ac:dyDescent="0.25">
      <c r="A2" s="1" t="s">
        <v>12</v>
      </c>
      <c r="B2" s="30" t="s">
        <v>269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270</v>
      </c>
      <c r="C3" s="10" t="s">
        <v>43</v>
      </c>
      <c r="D3" s="10" t="s">
        <v>44</v>
      </c>
      <c r="E3" s="10" t="s">
        <v>39</v>
      </c>
      <c r="F3" s="11" t="str">
        <f>"J"&amp;COUNTA($A:$A)</f>
        <v>J11</v>
      </c>
      <c r="G3" s="4" t="s">
        <v>57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56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WorkingPattern</v>
      </c>
      <c r="R3" s="32" t="str">
        <f>REPT(CHAR(9),1)&amp;"public class "&amp;B3&amp;"ExportInput"&amp;C3</f>
        <v xml:space="preserve">	public class MstWptSeasonMonthExportInput{
</v>
      </c>
      <c r="S3" s="11" t="str">
        <f>"namespace "&amp;$B$6&amp;".Exporting
"&amp;$C$3</f>
        <v xml:space="preserve">namespace vovina.Master.WorkingPattern.Exporting
{
</v>
      </c>
      <c r="T3" s="11" t="str">
        <f>"T"&amp;COUNTA($A:$A)</f>
        <v>T11</v>
      </c>
      <c r="V3" s="11" t="str">
        <f>"V"&amp;COUNTA($A:$A)</f>
        <v>V11</v>
      </c>
      <c r="W3" s="10" t="str">
        <f>"W"&amp;COUNTA($A:$A)</f>
        <v>W11</v>
      </c>
    </row>
    <row r="4" spans="1:23" s="11" customFormat="1" ht="33" customHeight="1" x14ac:dyDescent="0.25">
      <c r="A4" s="1" t="s">
        <v>237</v>
      </c>
      <c r="B4" s="63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3" t="s">
        <v>271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vovina.Master.WorkingPattern</v>
      </c>
      <c r="C6" s="11" t="str">
        <f>"namespace "&amp;$B$6&amp;"
"&amp;$C$3</f>
        <v xml:space="preserve">namespace vovina.Master.WorkingPattern
{
</v>
      </c>
      <c r="D6" s="11" t="str">
        <f>REPT(CHAR(9),1)&amp;"public class "&amp;B3&amp;G3&amp;REPT(CHAR(9),1)&amp;"
"&amp;REPT(CHAR(9),1)&amp;C3</f>
        <v xml:space="preserve">	public class MstWptSeasonMonth: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MstWptSeasonMonthConsts	
	{
</v>
      </c>
      <c r="F6" s="11" t="str">
        <f>REPT(CHAR(9),1)&amp;"public class "&amp;B3&amp;"Dto"&amp;K3&amp;REPT(CHAR(9),1)&amp;"
"&amp;REPT(CHAR(9),1)&amp;C3</f>
        <v xml:space="preserve">	public class MstWptSeasonMonthDto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CreateOrEditMstWptSeasonMonthDto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GetMstWptSeasonMonthInput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MstWptSeasonMonth</v>
      </c>
      <c r="C7" s="11" t="str">
        <f>REPT(CHAR(9),1)&amp;"[Table("""&amp;B7&amp;""")]"&amp;"
"</f>
        <v xml:space="preserve">	[Table("MstWptSeasonMonth")]
</v>
      </c>
      <c r="D7" s="11"/>
      <c r="E7" s="11"/>
      <c r="F7" s="11"/>
      <c r="G7" s="11"/>
      <c r="H7" s="11"/>
      <c r="I7" s="11"/>
      <c r="J7" s="6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[Table("MstWptSeasonMonth")]
	[Index(nameof(SeasonMonth), Name="IX_MstWptSeasonMonth_SeasonMonth")]
	public class MstWptSeasonMonth: FullAuditedEntity&lt;long&gt;, IEntity&lt;long&gt;	
	{
		public const int MaxSeasonTypeLength = 10;
		public const int MaxIsActiveLength = 1;
		public virtual DateTime SeasonMonth { get; set; }
		[StringLength(MaxSeasonTypeLength)]
		public virtual string SeasonType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DbSet&lt;MstWptSeasonMonth&gt; MstWptSeasonMonths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vovina.Master.WorkingPattern
{
	public class MstWptSeasonMonthConsts	
	{
		public const int MaxSeasonTypeLength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vovina.Master.WorkingPattern.Dto
{
	public class MstWptSeasonMonthDto : EntityDto&lt;long?&gt;	
	{
		public virtual DateTime? SeasonMonth { get; set; }
		public virtual string SeasonType { get; set; }
		public virtual string IsActive { get; set; }
	}
	public class CreateOrEditMstWptSeasonMonthDto : EntityDto&lt;long?&gt;	
	{
		public virtual DateTime? SeasonMonth { get; set; }
		[StringLength(MstWptSeasonMonthConsts.MaxSeasonTypeLength)]
		public virtual string SeasonType { get; set; }
		[StringLength(MstWptSeasonMonthConsts.MaxIsActiveLength)]
		public virtual string IsActive { get; set; }
	}
	public class GetMstWptSeasonMonthInput : PagedAndSortedResultRequestDto	
	{
		public virtual DateTime? SeasonMonth { get; set; }
		public virtual string SeasonType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perMstWptSeasonMonth = PARENTS.CreateChildPermission(AppPermissions.Pages_Master_WorkingPattern_SeasonMonth, L( "MasterWorkingPatternSeasonMonth"));
		perMstWptSeasonMonth.CreateChildPermission(AppPermissions.Pages_Master_WorkingPattern_SeasonMonth_CreateEdit, L( "MasterWorkingPatternSeasonMonthCreateEdit"));
		perMstWptSeasonMonth.CreateChildPermission(AppPermissions.Pages_Master_WorkingPattern_SeasonMonth_Delete, L( "MasterWorkingPatternSeasonMonthDelete"));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Pages_Master_WorkingPattern_SeasonMonth = "Pages.Master.WorkingPattern.SeasonMonth";
		public const string Pages_Master_WorkingPattern_SeasonMonth_CreateEdit = "Pages.Master.WorkingPattern.SeasonMonth.CreateEdit";
		public const string Pages_Master_WorkingPattern_SeasonMonth_Delete = "Pages.Master.WorkingPattern.SeasonMonth.Delete";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IMstWptSeasonMonthAppService : IApplicationService
	{
		Task&lt;PagedResultDto&lt;MstWptSeasonMonthDto&gt;&gt; GetAll(GetMstWptSeasonMonthInput input);
		Task CreateOrEdit(CreateOrEditMstWptSeasonMonthDto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[AbpAuthorize(AppPermissions.Pages_Master_WorkingPattern_SeasonMonth)]
    public class MstWptSeasonMonthAppService : vovinaAppServiceBase, IMstWptSeasonMonthAppService
    {
        private readonly IDapperRepository&lt;MstWptSeasonMonth, long&gt; _dapperRepo;
        private readonly IRepository&lt;MstWptSeasonMonth, long&gt; _repo;
        private readonly IMstWptSeasonMonthExcelExporter _calendarListExcelExporter;
        public MstWptSeasonMonthAppService(IRepository&lt;MstWptSeasonMonth,long&gt; repo, 
                                         IDapperRepository&lt;MstWptSeasonMonth,long&gt; dapperRepo,
                                        IMstWptSeasonMonthExcelExporter calendarListExcelExporter
            )
        {
            _repo = repo;
            _dapperRepo = dapperRepo;
            _calendarListExcelExporter = calendarListExcelExporter;
        }
        [AbpAuthorize(AppPermissions.Pages_Master_WorkingPattern_SeasonMonth_CreateEdit)]
        public async Task CreateOrEdit(CreateOrEditMstWptSeasonMonthDto input)
        {
            if (input.Id == null) await Create(input);
            else await Update(input);
        }
        //CREATE
        private async Task Create(CreateOrEditMstWptSeasonMonthDto input)
        {          
            var mainObj = ObjectMapper.Map&lt;MstWptSeasonMonth&gt;(input);
            await CurrentUnitOfWork.GetDbContext&lt;vovinaDbContext&gt;().AddAsync(mainObj);
        }
        // EDIT
        private async Task Update(CreateOrEditMstWptSeasonMonthDto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[AbpAuthorize(AppPermissions.Pages_Master_WorkingPattern_SeasonMonth_Delete)]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Task&lt;PagedResultDto&lt;MstWptSeasonMonthDto&gt;&gt; GetAll(GetMstWptSeasonMonthInput input)
        {
            var filtered = _repo.GetAll()
				.WhereIf(input.SeasonMonth.HasValue, t =&gt; t.SeasonMonth == input.SeasonMonth.Value)
				.WhereIf(!string.IsNullOrWhiteSpace(input.SeasonType), e =&gt; e.SeasonType.Contains(input.SeasonType))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MstWptSeasonMonthDto
                        {
							Id = o.Id,
							SeasonMonth = o.SeasonMonth,
							SeasonType = o.SeasonType,
							IsActive = o.IsActive,
                        };
            var totalCount = await filtered.CountAsync();
			var paged = system.PageBy(input);
            return new PagedResultDto&lt;MstWptSeasonMonthDto&gt;(
                totalCount,
                 await paged.ToListAsync()
            );
        }
        public async Task&lt;FileDto&gt; GetSeasonMonthToExcel(MstWptSeasonMonthExportInput input)
        {
            var query = from o in _repo.GetAll()
                        select new MstWptSeasonMonthDto
                        {
							Id = o.Id,
							SeasonMonth = o.SeasonMonth,
							SeasonType = o.SeasonType,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_dapperRepo.ExecuteAsync(MstWptSeasonMonthConsts.SP_MST_WPT_CALENDAR_GENERATE);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vovina.Master.WorkingPattern.Dto
{
	public class MstWptSeasonMonthExportInput{
		public virtual DateTime? SeasonMonth { get; set; }
		public virtual string SeasonType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IMstWptSeasonMonthExcelExporter : IApplicationService
	{
		FileDto ExportToFile(List&lt;MstWptSeasonMonthDto&gt; mstwptseasonmonth);
	}
}
</v>
      </c>
      <c r="T7" s="28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MstWptSeasonMonthExcelExporter : NpoiExcelExporterBase, IMstWptSeasonMonthExcelExporter
    {
        public MstWptSeasonMonthExcelExporter(ITempFileCacheManager tempFileCacheManager) : base(tempFileCacheManager) { }
        public FileDto ExportToFile(List&lt;MstWptSeasonMonthDto&gt; seasonmonth)
        {
            return CreateExcelPackage(
				"MasterWorkingPatternSeasonMonth.xlsx",
				excelPackage =&gt;
				 {
					var sheet = excelPackage.CreateSheet("SeasonMonth");
					AddHeader(
								sheet,
								("SeasonMonth"),
								("SeasonType"),
								("IsActive"),
							   );
					AddObjects(
						 sheet, 1, seasonmonth,                                       
								_ =&gt; _.SeasonMonth,
								_ =&gt; _.SeasonType,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configuration.CreateMap&lt;MstWptSeasonMonthDto, MstWptSeasonMonth&gt;();
  configuration.CreateMap&lt;MstWptSeasonMonth, MstWptSeasonMonthDto&gt;();
  configuration.CreateMap&lt;CreateOrEditMstWptSeasonMonthDto, MstWptSeasonMonth&gt;();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273</v>
      </c>
      <c r="B9" t="s">
        <v>2</v>
      </c>
      <c r="C9" t="s">
        <v>1</v>
      </c>
      <c r="D9" t="str">
        <f>SUBSTITUTE(PROPER(A9),"_","")</f>
        <v>SeasonMonth</v>
      </c>
      <c r="E9" t="str">
        <f t="shared" ref="E9:E11" si="0">IFERROR(LEFT(B9, FIND("(",B9)-1),B9)</f>
        <v>date</v>
      </c>
      <c r="F9" s="7"/>
      <c r="G9" t="str">
        <f t="shared" ref="G9:G11" si="1">IFERROR(MID(B9,FIND("(",B9) +1, FIND(")",B9) - FIND("(",B9) - 1),"")</f>
        <v/>
      </c>
      <c r="H9" t="str">
        <f>+VLOOKUP(E9,'Data Type Mapping'!A:B,2,)</f>
        <v>DateTime</v>
      </c>
      <c r="I9" t="str">
        <f t="shared" ref="I9:I11" si="2">IF(H9="string",REPT(CHAR(9),2)&amp;"public const int Max"&amp;D9&amp;"Length = "&amp;G9&amp;";"&amp;$E$3,"" )</f>
        <v/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DateTime SeasonMonth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[Index(nameof(SeasonMonth), Name="IX_MstWptSeasonMonth_SeasonMonth")]</v>
      </c>
      <c r="M9" t="str">
        <f>REPT(CHAR(9),2)&amp;"public virtual "&amp;IF(H9="DateTime",H9&amp;"?",H9)&amp;IF(C9="?","? "," ")&amp;D9&amp;" { get; set; }" &amp; "
"</f>
        <v xml:space="preserve">		public virtual DateTime? SeasonMonth { get; set; }
</v>
      </c>
      <c r="N9" t="str">
        <f>IF(C9="Checked","",$I$3)&amp;IF(H9="string",REPT(CHAR(9),2)&amp;"[StringLength("&amp;$B$3&amp;"Consts.Max"&amp;D9&amp;"Length"&amp;")]"&amp;$E$3,"")&amp;REPT(CHAR(9),2)&amp;"public virtual "&amp;IF(H9="DateTime",H9&amp;"?",H9)&amp;IF(C9="?","? "," ")&amp;D9&amp;" { get; set; }" &amp; "
"</f>
        <v xml:space="preserve">		public virtual DateTime? SeasonMonth { get; set; }
</v>
      </c>
      <c r="O9" t="str">
        <f>IF(OR(H9="string",H9="DateTime",H9="int"),REPT(CHAR(9),2)&amp;"public virtual "&amp;IF(H9="DateTime",H9&amp;"?",H9)&amp;IF(C9="?","? "," ")&amp;D9&amp;" { get; set; }"&amp;$E$3,"")</f>
        <v xml:space="preserve">		public virtual DateTime? SeasonMonth { get; set; }
</v>
      </c>
      <c r="P9" t="str">
        <f t="shared" ref="P9:P11" si="4">REPT(CHAR(9),7)&amp;D9&amp;" = o." &amp;D9 &amp;","</f>
        <v xml:space="preserve">							SeasonMonth = o.SeasonMonth,</v>
      </c>
      <c r="T9" s="68" t="str">
        <f>REPT(CHAR(9),8)&amp;"("""&amp;D9&amp;"""),"</f>
        <v xml:space="preserve">								("SeasonMonth"),</v>
      </c>
      <c r="V9" s="69" t="str">
        <f>REPT(CHAR(9),8)&amp;"_ =&gt; _."&amp;D9&amp;","</f>
        <v xml:space="preserve">								_ =&gt; _.SeasonMonth,</v>
      </c>
      <c r="W9" s="68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.WhereIf(input.SeasonMonth.HasValue, t =&gt; t.SeasonMonth == input.SeasonMonth.Value)</v>
      </c>
    </row>
    <row r="10" spans="1:23" customFormat="1" ht="21" customHeight="1" x14ac:dyDescent="0.25">
      <c r="A10" t="s">
        <v>274</v>
      </c>
      <c r="B10" t="s">
        <v>275</v>
      </c>
      <c r="C10" t="s">
        <v>1</v>
      </c>
      <c r="D10" t="str">
        <f t="shared" ref="D10:D11" si="5">SUBSTITUTE(PROPER(A10),"_","")</f>
        <v>SeasonType</v>
      </c>
      <c r="E10" t="str">
        <f t="shared" si="0"/>
        <v>varchar</v>
      </c>
      <c r="F10" s="7"/>
      <c r="G10" t="str">
        <f t="shared" si="1"/>
        <v>10</v>
      </c>
      <c r="H10" t="str">
        <f>+VLOOKUP(E10,'Data Type Mapping'!A:B,2,)</f>
        <v>string</v>
      </c>
      <c r="I10" t="str">
        <f t="shared" si="2"/>
        <v xml:space="preserve">		public const int MaxSeasonTypeLength = 10;
</v>
      </c>
      <c r="J10" t="str">
        <f t="shared" si="3"/>
        <v xml:space="preserve">		[StringLength(MaxSeasonTypeLength)]
		public virtual string SeasonType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1" si="7">REPT(CHAR(9),2)&amp;"public virtual "&amp;IF(H10="DateTime",H10&amp;"?",H10)&amp;IF(C10="?","? "," ")&amp;D10&amp;" { get; set; }" &amp; "
"</f>
        <v xml:space="preserve">		public virtual string SeasonType { get; set; }
</v>
      </c>
      <c r="N10" t="str">
        <f t="shared" ref="N10:N11" si="8">IF(C10="Checked","",$I$3)&amp;IF(H10="string",REPT(CHAR(9),2)&amp;"[StringLength("&amp;$B$3&amp;"Consts.Max"&amp;D10&amp;"Length"&amp;")]"&amp;$E$3,"")&amp;REPT(CHAR(9),2)&amp;"public virtual "&amp;IF(H10="DateTime",H10&amp;"?",H10)&amp;IF(C10="?","? "," ")&amp;D10&amp;" { get; set; }" &amp; "
"</f>
        <v xml:space="preserve">		[StringLength(MstWptSeasonMonthConsts.MaxSeasonTypeLength)]
		public virtual string SeasonType { get; set; }
</v>
      </c>
      <c r="O10" t="str">
        <f t="shared" ref="O10:O11" si="9">IF(OR(H10="string",H10="DateTime",H10="int"),REPT(CHAR(9),2)&amp;"public virtual "&amp;IF(H10="DateTime",H10&amp;"?",H10)&amp;IF(C10="?","? "," ")&amp;D10&amp;" { get; set; }"&amp;$E$3,"")</f>
        <v xml:space="preserve">		public virtual string SeasonType { get; set; }
</v>
      </c>
      <c r="P10" t="str">
        <f t="shared" si="4"/>
        <v xml:space="preserve">							SeasonType = o.SeasonType,</v>
      </c>
      <c r="T10" s="68" t="str">
        <f t="shared" ref="T10:T11" si="10">REPT(CHAR(9),8)&amp;"("""&amp;D10&amp;"""),"</f>
        <v xml:space="preserve">								("SeasonType"),</v>
      </c>
      <c r="V10" s="69" t="str">
        <f t="shared" ref="V10:V11" si="11">REPT(CHAR(9),8)&amp;"_ =&gt; _."&amp;D10&amp;","</f>
        <v xml:space="preserve">								_ =&gt; _.SeasonType,</v>
      </c>
      <c r="W10" s="68" t="str">
        <f t="shared" ref="W10:W11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.WhereIf(!string.IsNullOrWhiteSpace(input.SeasonType), e =&gt; e.SeasonType.Contains(input.SeasonType))</v>
      </c>
    </row>
    <row r="11" spans="1:23" customFormat="1" ht="18.75" customHeight="1" x14ac:dyDescent="0.25">
      <c r="A11" t="s">
        <v>276</v>
      </c>
      <c r="B11" t="s">
        <v>277</v>
      </c>
      <c r="C11" t="s">
        <v>1</v>
      </c>
      <c r="D11" t="str">
        <f t="shared" si="5"/>
        <v>IsActive</v>
      </c>
      <c r="E11" t="str">
        <f t="shared" si="0"/>
        <v>varchar</v>
      </c>
      <c r="F11" s="7"/>
      <c r="G11" t="str">
        <f t="shared" si="1"/>
        <v>1</v>
      </c>
      <c r="H11" t="str">
        <f>+VLOOKUP(E11,'Data Type Mapping'!A:B,2,)</f>
        <v>string</v>
      </c>
      <c r="I11" t="str">
        <f t="shared" si="2"/>
        <v xml:space="preserve">		public const int MaxIsActiveLength = 1;
</v>
      </c>
      <c r="J11" t="str">
        <f t="shared" si="3"/>
        <v xml:space="preserve">		[StringLength(MaxIsActiveLength)]
		public virtual string IsActive { get; set; }
</v>
      </c>
      <c r="K11" s="7"/>
      <c r="L11" t="str">
        <f t="shared" si="6"/>
        <v/>
      </c>
      <c r="M11" t="str">
        <f t="shared" si="7"/>
        <v xml:space="preserve">		public virtual string IsActive { get; set; }
</v>
      </c>
      <c r="N11" t="str">
        <f t="shared" si="8"/>
        <v xml:space="preserve">		[StringLength(MstWptSeasonMonthConsts.MaxIsActiveLength)]
		public virtual string IsActive { get; set; }
</v>
      </c>
      <c r="O11" t="str">
        <f t="shared" si="9"/>
        <v xml:space="preserve">		public virtual string IsActive { get; set; }
</v>
      </c>
      <c r="P11" t="str">
        <f t="shared" si="4"/>
        <v xml:space="preserve">							IsActive = o.IsActive,</v>
      </c>
      <c r="T11" s="68" t="str">
        <f t="shared" si="10"/>
        <v xml:space="preserve">								("IsActive"),</v>
      </c>
      <c r="V11" s="69" t="str">
        <f t="shared" si="11"/>
        <v xml:space="preserve">								_ =&gt; _.IsActive,</v>
      </c>
      <c r="W11" s="68" t="str">
        <f t="shared" si="12"/>
        <v xml:space="preserve">				.WhereIf(!string.IsNullOrWhiteSpace(input.IsActive), e =&gt; e.IsActive.Contains(input.IsActive))</v>
      </c>
    </row>
    <row r="13" spans="1:23" ht="45.75" customHeight="1" x14ac:dyDescent="0.25">
      <c r="H13" s="12"/>
      <c r="I13" s="34" t="str">
        <f ca="1">TEXTJOIN2("
", TRUE,INDIRECT( $H$1):INDIRECT( $H$3))</f>
        <v xml:space="preserve">		public const int MaxSeasonTypeLength = 10;
		public const int MaxIsActiveLength = 1;
</v>
      </c>
      <c r="J13" s="33" t="str">
        <f ca="1">TEXTJOIN2("
", TRUE,INDIRECT( $F$1):INDIRECT( $F$3))</f>
        <v xml:space="preserve">		public virtual DateTime SeasonMonth { get; set; }
		[StringLength(MaxSeasonTypeLength)]
		public virtual string SeasonType { get; set; }
		[StringLength(MaxIsActiveLength)]
		public virtual string IsActive { get; set; }
</v>
      </c>
      <c r="K13" s="35" t="str">
        <f ca="1">TEXTJOIN2("
", TRUE,INDIRECT( $J$1):INDIRECT( $J$3))</f>
        <v xml:space="preserve">	[Index(nameof(SeasonMonth), Name="IX_MstWptSeasonMonth_SeasonMonth")]
</v>
      </c>
      <c r="L13" s="13" t="s">
        <v>60</v>
      </c>
      <c r="M13" s="36" t="str">
        <f ca="1">TEXTJOIN2("
",TRUE,INDIRECT( $L$1):INDIRECT($L$3))</f>
        <v xml:space="preserve">		public virtual DateTime? SeasonMonth { get; set; }
		public virtual string SeasonType { get; set; }
		public virtual string IsActive { get; set; }
</v>
      </c>
      <c r="N13" s="33" t="str">
        <f ca="1">TEXTJOIN2("
",TRUE,INDIRECT( $M$1):INDIRECT($M$3))</f>
        <v xml:space="preserve">		public virtual DateTime? SeasonMonth { get; set; }
		[StringLength(MstWptSeasonMonthConsts.MaxSeasonTypeLength)]
		public virtual string SeasonType { get; set; }
		[StringLength(MstWptSeasonMonthConsts.MaxIsActiveLength)]
		public virtual string IsActive { get; set; }
</v>
      </c>
      <c r="O13" s="33" t="str">
        <f ca="1">TEXTJOIN2("
",TRUE,INDIRECT( $N$1):INDIRECT($N$3))</f>
        <v xml:space="preserve">		public virtual DateTime? SeasonMonth { get; set; }
		public virtual string SeasonType { get; set; }
		public virtual string IsActive { get; set; }
</v>
      </c>
      <c r="P13" s="9" t="str">
        <f ca="1">TEXTJOIN2("
",TRUE,INDIRECT( $O$1):INDIRECT($O$3))</f>
        <v xml:space="preserve">							SeasonMonth = o.SeasonMonth,
							SeasonType = o.SeasonType,
							IsActive = o.IsActive,</v>
      </c>
      <c r="T13" s="9" t="str">
        <f ca="1">TEXTJOIN2("
",TRUE,INDIRECT( $T$2):INDIRECT($T$3))</f>
        <v xml:space="preserve">								("SeasonMonth"),
								("SeasonType"),
								("IsActive"),</v>
      </c>
      <c r="V13" s="9" t="str">
        <f ca="1">TEXTJOIN2("
",TRUE,INDIRECT( $V$2):INDIRECT($V$3))</f>
        <v xml:space="preserve">								_ =&gt; _.SeasonMonth,
								_ =&gt; _.SeasonType,
								_ =&gt; _.IsActive,</v>
      </c>
      <c r="W13" s="9" t="str">
        <f ca="1">TEXTJOIN2("
",TRUE,INDIRECT( $W$2):INDIRECT($W$3))</f>
        <v xml:space="preserve">				.WhereIf(input.SeasonMonth.HasValue, t =&gt; t.SeasonMonth == input.SeasonMonth.Value)
				.WhereIf(!string.IsNullOrWhiteSpace(input.SeasonType), e =&gt; e.SeasonType.Contains(input.SeasonType))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0"/>
  <sheetViews>
    <sheetView workbookViewId="0">
      <selection activeCell="A15" sqref="A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272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73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73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74" t="str">
        <f>A.Backend!Q3</f>
        <v>WorkingPattern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74" t="str">
        <f>LOWER(B4)</f>
        <v>workingpattern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75" t="str">
        <f>A.Backend!B3</f>
        <v>MstWptSeasonMonth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74" t="str">
        <f>A.Backend!B5</f>
        <v>SeasonMonth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74" t="str">
        <f>LOWER(B7)</f>
        <v>seasonmonth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2" t="s">
        <v>216</v>
      </c>
      <c r="B9" s="53"/>
      <c r="C9" s="52"/>
      <c r="D9" s="52"/>
      <c r="E9" s="52"/>
      <c r="F9" s="52"/>
      <c r="G9" s="52"/>
      <c r="H9" s="44" t="s">
        <v>262</v>
      </c>
      <c r="I9" s="45" t="s">
        <v>256</v>
      </c>
      <c r="J9" s="44" t="s">
        <v>219</v>
      </c>
      <c r="K9" s="46" t="s">
        <v>257</v>
      </c>
      <c r="L9" s="45" t="s">
        <v>261</v>
      </c>
      <c r="M9" s="44" t="s">
        <v>249</v>
      </c>
      <c r="N9" s="44" t="s">
        <v>220</v>
      </c>
      <c r="O9" s="44" t="s">
        <v>221</v>
      </c>
      <c r="P9" s="45" t="s">
        <v>223</v>
      </c>
      <c r="Q9" s="44" t="s">
        <v>250</v>
      </c>
      <c r="R9" s="44" t="s">
        <v>233</v>
      </c>
      <c r="S9" s="31"/>
      <c r="T9" s="31"/>
      <c r="U9" s="31"/>
      <c r="V9" s="31"/>
    </row>
    <row r="10" spans="1:22" ht="18.75" customHeight="1" x14ac:dyDescent="0.25">
      <c r="A10" s="54" t="s">
        <v>217</v>
      </c>
      <c r="B10" s="55"/>
      <c r="C10" s="56"/>
      <c r="D10" s="56"/>
      <c r="E10" s="56"/>
      <c r="F10" s="56"/>
      <c r="G10" s="56"/>
      <c r="H10" s="47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MstWptSeasonMonthDto, MstWptSeasonMonthServiceProxy } from '@shared/service-proxies/service-proxies';
import { finalize } from 'rxjs/internal/operators/finalize';
import { CreateOrEditSeasonMonthModalComponent } from './create-or-edit-seasonmonth-modal.component';
import { DatePipe } from '@angular/common';
import { FileDownloadService } from '@shared/utils/file-download.service';
import ceil from 'lodash-es/ceil';
import { Paginator } from 'primeng/paginator';
@Component({
    templateUrl: './seasonmonth.component.html',
    styleUrls: ['./seasonmonth.component.less'],
})
export class SeasonMonthComponent extends AppComponentBase implements OnInit {
    @ViewChild('createOrEditModalSeasonMonth', { static: true }) createOrEditModalSeasonMonth:| CreateOrEditSeasonMonthModalComponent|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MstWptSeasonMonthDto = new MstWptSeasonMonthDto();
    saveSelectedRow: MstWptSeasonMonthDto = new MstWptSeasonMonthDto();
    datas: MstWptSeasonMonthDto = new MstWptSeasonMonthDto();
    isLoading: boolean = false;
    dataParams: GridParams | undefined;
    rowData: any[] = [];
    gridApi!: GridApi;
    rowSelection = 'multiple';
    filter: string = '';
	pipe = new DatePipe('en-US');
    seasonMonth : any ;
	seasonType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MstWptSeasonMonthServiceProxy,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this.l('Season Month'),headerTooltip: this.l('Season Month'),field: 'seasonMonth',valueGetter: (params) =&gt; this.pipe.transform(params.data?.seasonMonth, 'dd/MM/yyyy'),flex: 1},
			{headerName: this.l('Season Type'),headerTooltip: this.l('Season Type'),field: 'seasonType',flex: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this.seasonMonth,
			this.seasonType,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this.seasonMonth = '',
		this.seasonType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this.seasonMonth,
			this.seasonType,
			this.isActive,
			'',
            this.paginationParams.skipCount,
            this.paginationParams.pageSize
        );
    }
    onChangeRowSelection(params: { api: { getSelectedRows: () =&gt; MstWptSeasonMonthDto[] } }) {
        this.saveSelectedRow = params.api.getSelectedRows()[0] ?? new MstWptSeasonMonthDto();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MstWptSeasonMonthDto):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this._service.getSeasonMonthToExcel(
			this.seasonMonth,
			this.seasonType,
			this.isActive,
            )
            .subscribe((result) =&gt; {
                this._fileDownloadService.downloadTempFile(result);
        });
    }
}</v>
      </c>
      <c r="I10" s="47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Season Month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type='text' [placeholder]="l('Season Month')" [(ngModel)]='seasonMonth' 
									name='seasonMonth'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(click)="createOrEditModalSeasonMonth.show()"&gt;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(click)="createOrEditModalSeasonMonth.show(selectedRow)"&gt;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&lt;create-or-edit-seasonmonth-modal
    #createOrEditModalSeasonMonth
    (modalSave)="callBackDataGrid(dataParams)"
    (modalClose)="onChangeRowSelection(dataParams)"
&gt;
&lt;/create-or-edit-seasonmonth-modal&gt;</v>
      </c>
      <c r="J10" s="47" t="str">
        <f>J9</f>
        <v>.input-search{
    width: 250px;
    border-radius: 10px;
    margin-left: 10px;
}
.btn-search{
    width: 50px;
    margin-left: 10px;
}</v>
      </c>
      <c r="K10" s="47" t="str">
        <f ca="1">SUBSTITUTE(SUBSTITUTE(SUBSTITUTE(SUBSTITUTE(K9,"MstWptCalendar",$B$6),"Calendar",$B$7),"calendar",$B$8),"&lt;PROPERTIES&gt;",K13)</f>
        <v>&lt;div bsModal #createOrEditModalSeasonMonth="bs-modal"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SeasonMonth')}}&lt;/h3&gt;
                    &lt;h3 *ngIf="!rowdata.id"&gt;{{('Create New SeasonMonth')}}&lt;/h3&gt;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title'&gt;Season Month&lt;/label&gt;
						&lt;input type='text' class='col-md-10 form-control input-text' name='seasonMonth' 
						#datepicker='bsDatepicker' [(ngModel)]='rowdata.seasonMonth'  bsDatepicker 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7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CreateOrEditMstWptSeasonMonthDto, MstWptSeasonMonthServiceProxy } from '@shared/service-proxies/service-proxies';
import { BsDatepickerDirective } from 'ngx-bootstrap/datepicker';
@Component({
    selector: 'create-or-edit-seasonmonth-modal',
    templateUrl: './create-or-edit-seasonmonth-modal.component.html',
    styleUrls: ['./create-or-edit-seasonmonth-modal.component.less']
    })
export class CreateOrEditSeasonMonthModalComponent extends AppComponentBase {
    @ViewChild('createOrEditModalSeasonMonth',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CreateOrEditMstWptSeasonMonthDto = new CreateOrEditMstWptSeasonMonthDto();
    active: boolean = false;
    saving: boolean = false;
    _isActive: boolean;
    constructor(
        injector: Injector,
        private _mstwptSeasonMonthService: MstWptSeasonMonthServiceProxy,
    ) 
    {
        super(injector);
    }
    show(rowdata?: CreateOrEditMstWptSeasonMonthDto): void {
        if (!rowdata) this.rowdata = new CreateOrEditMstWptSeasonMonthDto();
        else this.rowdata = rowdata;
		const dateValue =  this.rowdata.seasonMonth ? new Date(this.rowdata.seasonMonth?.toString())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this._mstwptSeasonMonthService.createOrEdit(this.rowdata)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7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7" t="str">
        <f>SUBSTITUTE(SUBSTITUTE(SUBSTITUTE(N9,"MstWptCalendar",$B$6),"Calendar",$B$7),"calendar",$B$8)</f>
        <v>import {NgModule} from '@angular/core';
import {AppSharedModule} from '@app/shared/app-shared.module';
import { SeasonMonthRoutingModule } from './seasonmonth-routing.module';
import { SeasonMonthComponent } from './seasonmonth.component';
import { CreateOrEditSeasonMonthModalComponent } from './create-or-edit-seasonmonth-modal.component';
@NgModule({
    declarations: [
       SeasonMonthComponent, 
        CreateOrEditSeasonMonthModalComponent
    ],
    imports: [
        AppSharedModule, SeasonMonthRoutingModule]
})
export class SeasonMonthModule {}</v>
      </c>
      <c r="O10" s="47" t="str">
        <f>SUBSTITUTE(SUBSTITUTE(SUBSTITUTE(O9,"MstWptCalendar",$B$6),"Calendar",$B$7),"calendar",$B$8)</f>
        <v>import {NgModule} from '@angular/core';
import {RouterModule, Routes} from '@angular/router';
import { SeasonMonthComponent } from './seasonmonth.component';
const routes: Routes = [{
    path: '',
    component: SeasonMonthComponent,
    pathMatch: 'full'
}];
@NgModule({
    imports: [RouterModule.forChild(routes)],
    exports: [RouterModule],
})
export class SeasonMonthRoutingModule {}</v>
      </c>
      <c r="P10" s="47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AppMenuItem("SeasonMonth", "Pages.Master.WorkingPattern.SeasonMonth", "flaticon-book",   "/app/main/master/workingpattern/seasonmonth"),</v>
      </c>
      <c r="Q10" s="47" t="str">
        <f>SUBSTITUTE(SUBSTITUTE(SUBSTITUTE(SUBSTITUTE(SUBSTITUTE(SUBSTITUTE(SUBSTITUTE(Q9,"MstWptCalendar",$B$6),"Calendar",$B$7),"calendar",$B$8),"WorkingPattern",$B$4),"workingpattern",$B$5),"Master",$B$2),"master",$B$3)</f>
        <v>{
    path: 'master/workingpattern/seasonmonth',
    loadChildren: () =&gt; import('./master/workingpattern/seasonmonth/seasonmonth.module').then(m =&gt; m.SeasonMonthModule),
    data: { permission: 'Pages.Master.WorkingPattern.SeasonMonth' }
},</v>
      </c>
      <c r="R10" s="49" t="str">
        <f>SUBSTITUTE(R9,"MstWptCalendar",$B$6)</f>
        <v>ApiServiceProxies.MstWptSeasonMonthServiceProxy,</v>
      </c>
      <c r="S10" s="31"/>
      <c r="T10" s="31"/>
      <c r="U10" s="31"/>
      <c r="V10" s="31"/>
    </row>
    <row r="11" spans="1:22" x14ac:dyDescent="0.25">
      <c r="A11" s="57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263</v>
      </c>
      <c r="J11" s="31"/>
      <c r="K11" s="31" t="s">
        <v>260</v>
      </c>
      <c r="L11" s="31" t="s">
        <v>264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265</v>
      </c>
      <c r="V11" s="70" t="s">
        <v>267</v>
      </c>
    </row>
    <row r="12" spans="1:22" x14ac:dyDescent="0.25">
      <c r="A12" s="57">
        <v>2</v>
      </c>
      <c r="B12" s="37"/>
      <c r="C12" s="31"/>
      <c r="D12" s="31"/>
      <c r="E12" s="31"/>
      <c r="F12" s="31"/>
      <c r="G12" s="31"/>
      <c r="H12" s="31" t="str">
        <f>"H"&amp;COUNTA($A:$A)</f>
        <v>H17</v>
      </c>
      <c r="I12" s="31" t="str">
        <f>"I"&amp;COUNTA($A:$A)</f>
        <v>I17</v>
      </c>
      <c r="J12" s="31"/>
      <c r="K12" s="31" t="str">
        <f>"K"&amp;COUNTA($A:$A)</f>
        <v>K17</v>
      </c>
      <c r="L12" s="31" t="str">
        <f>"L"&amp;COUNTA($A:$A)</f>
        <v>L17</v>
      </c>
      <c r="M12" s="31"/>
      <c r="N12" s="31"/>
      <c r="O12" s="31"/>
      <c r="P12" s="31"/>
      <c r="Q12" s="31"/>
      <c r="R12" s="31"/>
      <c r="S12" s="31" t="str">
        <f>"S"&amp;COUNTA($A:$A)</f>
        <v>S17</v>
      </c>
      <c r="T12" s="31" t="str">
        <f>"T"&amp;COUNTA($A:$A)</f>
        <v>T17</v>
      </c>
      <c r="U12" s="31" t="str">
        <f>"U"&amp;COUNTA($A:$A)</f>
        <v>U17</v>
      </c>
      <c r="V12" s="31" t="str">
        <f>"V"&amp;COUNTA($A:$A)</f>
        <v>V17</v>
      </c>
    </row>
    <row r="13" spans="1:22" ht="17.25" customHeight="1" x14ac:dyDescent="0.25">
      <c r="A13" s="57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this.l('Season Month'),headerTooltip: this.l('Season Month'),field: 'seasonMonth',valueGetter: (params) =&gt; this.pipe.transform(params.data?.seasonMonth, 'dd/MM/yyyy'),flex: 1},
			{headerName: this.l('Season Type'),headerTooltip: this.l('Season Type'),field: 'seasonType',flex: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type='text' [placeholder]="l('Season Month')" [(ngModel)]='seasonMonth' 
									name='seasonMonth'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title'&gt;Season Month&lt;/label&gt;
						&lt;input type='text' class='col-md-10 form-control input-text' name='seasonMonth' 
						#datepicker='bsDatepicker' [(ngModel)]='rowdata.seasonMonth'  bsDatepicker 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59" t="str">
        <f ca="1">TEXTJOIN2("
",TRUE,INDIRECT(L11):INDIRECT(L12))</f>
        <v xml:space="preserve">		const dateValue =  this.rowdata.seasonMonth ? new Date(this.rowdata.seasonMonth?.toString()) : new Date();
		this.datepicker?.bsValueChange.emit(dateValue);
</v>
      </c>
      <c r="M13" s="31"/>
      <c r="N13" s="31"/>
      <c r="O13" s="31"/>
      <c r="P13" s="31"/>
      <c r="Q13" s="31"/>
      <c r="R13" s="31"/>
      <c r="S13" s="67" t="str">
        <f ca="1">TEXTJOIN2("
",TRUE,INDIRECT(S11):INDIRECT(S12))</f>
        <v xml:space="preserve">seasonMonth : any ;
	seasonType : string = '' ; 
	isActive : string = '' ; </v>
      </c>
      <c r="T13" s="67" t="str">
        <f ca="1">TEXTJOIN2("
",TRUE,INDIRECT(T11):INDIRECT(T12))</f>
        <v xml:space="preserve">			this.seasonMonth,
			this.seasonType,
			this.isActive,</v>
      </c>
      <c r="U13" s="67" t="str">
        <f ca="1">TEXTJOIN2("
",TRUE,INDIRECT(U11):INDIRECT(U12))</f>
        <v>this.seasonMonth = '',
		this.seasonType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seasonmonth.component.ts</v>
      </c>
      <c r="I14" s="40" t="str">
        <f>B8&amp;".component.html"</f>
        <v>seasonmonth.component.html</v>
      </c>
      <c r="J14" s="39" t="str">
        <f>B8&amp;".component.less"</f>
        <v>seasonmonth.component.less</v>
      </c>
      <c r="K14" s="40" t="str">
        <f>"create-or-edit-"&amp;B8&amp;"-modal.component.html"</f>
        <v>create-or-edit-seasonmonth-modal.component.html</v>
      </c>
      <c r="L14" s="40" t="str">
        <f>"create-or-edit-"&amp;B8&amp;"-modal.component.ts"</f>
        <v>create-or-edit-seasonmonth-modal.component.ts</v>
      </c>
      <c r="M14" s="40" t="str">
        <f>"create-or-edit-"&amp;B8&amp;"-modal.component.less"</f>
        <v>create-or-edit-seasonmonth-modal.component.less</v>
      </c>
      <c r="N14" s="40" t="str">
        <f>B8&amp;".module.ts"</f>
        <v>seasonmonth.module.ts</v>
      </c>
      <c r="O14" s="40" t="str">
        <f>B8&amp;"-routing.module.ts"</f>
        <v>seasonmonth-routing.module.ts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266</v>
      </c>
    </row>
    <row r="15" spans="1:22" ht="18" customHeight="1" x14ac:dyDescent="0.25">
      <c r="A15" s="43" t="s">
        <v>273</v>
      </c>
      <c r="B15" s="31" t="str">
        <f>SUBSTITUTE(PROPER(A15),"_","")</f>
        <v>SeasonMonth</v>
      </c>
      <c r="C15" s="31" t="str">
        <f>SUBSTITUTE(PROPER(A15),"_"," ")</f>
        <v>Season Month</v>
      </c>
      <c r="D15" s="31" t="str">
        <f>LOWER(LEFT(B15,1))&amp;RIGHT(B15,LEN(B15) - 1)</f>
        <v>seasonMonth</v>
      </c>
      <c r="E15" s="31" t="str">
        <f>A.Backend!H9</f>
        <v>DateTime</v>
      </c>
      <c r="F15" s="31" t="str">
        <f>A.Backend!G9</f>
        <v/>
      </c>
      <c r="G15" s="31" t="str">
        <f>IF(E15="string"," : string = '' ; ",IF(E15="DateTime"," : any ;",IF(E15="int"," : number = 0 ;","")))</f>
        <v xml:space="preserve"> : any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this.l('Season Month'),headerTooltip: this.l('Season Month'),field: 'seasonMonth',valueGetter: (params) =&gt; this.pipe.transform(params.data?.seasonMonth, 'dd/MM/yyyy'),flex: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type='text' [placeholder]="l('Season Month')" [(ngModel)]='seasonMonth' 
									name='seasonMonth' (keydown)='searchDatas()' class='form-control' 
									bsDatepicker #d='bsDatepicker' placement='bottom left'&gt;
									&lt;i class='fa fa-calendar-alt' (click)='d.toggle()'&gt;&lt;/i&gt;
								&lt;/div&gt;</v>
      </c>
      <c r="J15" s="31"/>
      <c r="K15" s="38" t="str">
        <f>IF(E15="DateTime",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"&amp;REPT(CHAR(9),5)&amp;"&lt;/div&gt;","")))</f>
        <v xml:space="preserve">					&lt;div class='col-md-12 form-group row'&gt;
						&lt;label class='col-md-2 form-control title'&gt;Season Month&lt;/label&gt;
						&lt;input type='text' class='col-md-10 form-control input-text' name='seasonMonth' 
						#datepicker='bsDatepicker' [(ngModel)]='rowdata.seasonMonth'  bsDatepicker &gt;
					&lt;/div&gt;</v>
      </c>
      <c r="L15" s="59" t="str">
        <f>IF(E15="DateTime",
REPT(CHAR(9),2)&amp;"const dateValue =  this.rowdata."&amp;D15&amp;" ? new Date(this.rowdata."&amp;D15&amp;"?.toString()) : new Date();
"&amp;REPT(CHAR(9),2)&amp;"this.datepicker?.bsValueChange.emit(dateValue);","")</f>
        <v xml:space="preserve">		const dateValue =  this.rowdata.seasonMonth ? new Date(this.rowdata.seasonMonth?.toString()) : new Date();
		this.datepicker?.bsValueChange.emit(dateValue);</v>
      </c>
      <c r="M15" s="31"/>
      <c r="N15" s="31"/>
      <c r="O15" s="31"/>
      <c r="P15" s="31"/>
      <c r="Q15" s="31"/>
      <c r="R15" s="31"/>
      <c r="S15" s="31" t="str">
        <f>D15&amp;G15</f>
        <v>seasonMonth : any ;</v>
      </c>
      <c r="T15" s="31" t="str">
        <f>REPT(CHAR(9),3)&amp;"this."&amp;D15&amp;","</f>
        <v xml:space="preserve">			this.seasonMonth,</v>
      </c>
      <c r="U15" s="31" t="str">
        <f>IF(E15="int","this."&amp;D15&amp;" = 0,","this."&amp;D15&amp;" = '',")</f>
        <v>this.seasonMonth = '',</v>
      </c>
      <c r="V15" s="31" t="str">
        <f>IF(AND(E15="string",F15="1"),D15,"")</f>
        <v/>
      </c>
    </row>
    <row r="16" spans="1:22" ht="15" customHeight="1" x14ac:dyDescent="0.25">
      <c r="A16" s="43" t="s">
        <v>274</v>
      </c>
      <c r="B16" s="31" t="str">
        <f t="shared" ref="B16:B17" si="0">SUBSTITUTE(PROPER(A16),"_","")</f>
        <v>SeasonType</v>
      </c>
      <c r="C16" s="31" t="str">
        <f t="shared" ref="C16:C17" si="1">SUBSTITUTE(PROPER(A16),"_"," ")</f>
        <v>Season Type</v>
      </c>
      <c r="D16" s="31" t="str">
        <f t="shared" ref="D16:D17" si="2">LOWER(LEFT(B16,1))&amp;RIGHT(B16,LEN(B16) - 1)</f>
        <v>seasonType</v>
      </c>
      <c r="E16" s="31" t="str">
        <f>A.Backend!H10</f>
        <v>string</v>
      </c>
      <c r="F16" s="31" t="str">
        <f>A.Backend!G10</f>
        <v>10</v>
      </c>
      <c r="G16" s="31" t="str">
        <f t="shared" ref="G16:G17" si="3">IF(E16="string"," : string = '' ; ",IF(E16="DateTime","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this.l('Season Type'),headerTooltip: this.l('Season Type'),field: 'seasonType',flex: 1},</v>
      </c>
      <c r="I16" s="38" t="str">
        <f t="shared" ref="I16:I17" si="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[(ngModel)]='seasonType' name='seasonType'
									class='form-control' [placeholder]="l('Season Type')"
									type='text' (keyup.enter)='searchDatas()'&gt;
								&lt;/div&gt;</v>
      </c>
      <c r="J16" s="31"/>
      <c r="K16" s="38" t="str">
        <f t="shared" ref="K16:K17" si="5">IF(E16="DateTime",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"&amp;REPT(CHAR(9),5)&amp;"&lt;/div&gt;","")))</f>
        <v xml:space="preserve">					&lt;div class='col-md-12 form-group row'&gt;
						&lt;label class='col-md-2 form-control title'&gt;Season Type&lt;/label&gt;
						&lt;input type='text' class='col-md-10 form-control input-text' name='SeasonType' [(ngModel)]='rowdata.seasonType'&gt;
					&lt;/div&gt;</v>
      </c>
      <c r="L16" s="59" t="str">
        <f t="shared" ref="L16:L17" si="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seasonType : string = '' ; </v>
      </c>
      <c r="T16" s="31" t="str">
        <f>REPT(CHAR(9),3)&amp;"this."&amp;D16&amp;","</f>
        <v xml:space="preserve">			this.seasonType,</v>
      </c>
      <c r="U16" s="31" t="str">
        <f>IF(E16="int",REPT(CHAR(9),2)&amp;"this."&amp;D16&amp;" = 0,",REPT(CHAR(9),2)&amp;"this."&amp;D16&amp;" = '',")</f>
        <v xml:space="preserve">		this.seasonType = '',</v>
      </c>
      <c r="V16" s="31" t="str">
        <f t="shared" ref="V16:V17" si="7">IF(AND(E16="string",F16="1"),D16,"")</f>
        <v/>
      </c>
    </row>
    <row r="17" spans="1:22" ht="18" customHeight="1" x14ac:dyDescent="0.25">
      <c r="A17" s="43" t="s">
        <v>276</v>
      </c>
      <c r="B17" s="31" t="str">
        <f t="shared" si="0"/>
        <v>IsActive</v>
      </c>
      <c r="C17" s="31" t="str">
        <f t="shared" si="1"/>
        <v>Is Active</v>
      </c>
      <c r="D17" s="31" t="str">
        <f t="shared" si="2"/>
        <v>isActive</v>
      </c>
      <c r="E17" s="31" t="str">
        <f>A.Backend!H11</f>
        <v>string</v>
      </c>
      <c r="F17" s="31" t="str">
        <f>A.Backend!G11</f>
        <v>1</v>
      </c>
      <c r="G17" s="31" t="str">
        <f t="shared" si="3"/>
        <v xml:space="preserve"> : string = '' ; </v>
      </c>
      <c r="H17" s="38" t="str">
        <f t="shared" ref="H17" si="8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this.l('Is Active'),headerTooltip: this.l('Is Active'),field: 'isActive',flex: 1},</v>
      </c>
      <c r="I17" s="38" t="str">
        <f t="shared" si="4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31"/>
      <c r="K17" s="38" t="str">
        <f t="shared" si="5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7" s="59" t="str">
        <f t="shared" si="6"/>
        <v/>
      </c>
      <c r="M17" s="31"/>
      <c r="N17" s="31"/>
      <c r="O17" s="31"/>
      <c r="P17" s="31"/>
      <c r="Q17" s="31"/>
      <c r="R17" s="31"/>
      <c r="S17" s="31" t="str">
        <f t="shared" ref="S17" si="9">REPT(CHAR(9),1)&amp;D17&amp;G17</f>
        <v xml:space="preserve">	isActive : string = '' ; </v>
      </c>
      <c r="T17" s="31" t="str">
        <f t="shared" ref="T17" si="10">REPT(CHAR(9),3)&amp;"this."&amp;D17&amp;","</f>
        <v xml:space="preserve">			this.isActive,</v>
      </c>
      <c r="U17" s="31" t="str">
        <f t="shared" ref="U17" si="11">IF(E17="int",REPT(CHAR(9),2)&amp;"this."&amp;D17&amp;" = 0,",REPT(CHAR(9),2)&amp;"this."&amp;D17&amp;" = '',")</f>
        <v xml:space="preserve">		this.isActive = '',</v>
      </c>
      <c r="V17" s="31" t="str">
        <f t="shared" si="7"/>
        <v>isActive</v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2022-05-24T11:46:59Z</dcterms:modified>
</cp:coreProperties>
</file>
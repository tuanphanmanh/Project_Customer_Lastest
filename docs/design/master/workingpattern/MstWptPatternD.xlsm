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workingpattern\"/>
    </mc:Choice>
  </mc:AlternateContent>
  <xr:revisionPtr revIDLastSave="0" documentId="13_ncr:1_{C2E66F3F-0716-452B-971A-9FB60430C55F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K21" i="5"/>
  <c r="K22" i="5"/>
  <c r="K15" i="5"/>
  <c r="I17" i="5" l="1"/>
  <c r="O10" i="1" l="1"/>
  <c r="O11" i="1"/>
  <c r="O12" i="1"/>
  <c r="O13" i="1"/>
  <c r="O14" i="1"/>
  <c r="O15" i="1"/>
  <c r="O16" i="1"/>
  <c r="O9" i="1"/>
  <c r="N10" i="1"/>
  <c r="N11" i="1"/>
  <c r="N12" i="1"/>
  <c r="N13" i="1"/>
  <c r="N14" i="1"/>
  <c r="N15" i="1"/>
  <c r="N16" i="1"/>
  <c r="N9" i="1"/>
  <c r="M10" i="1"/>
  <c r="M11" i="1"/>
  <c r="M12" i="1"/>
  <c r="M13" i="1"/>
  <c r="M14" i="1"/>
  <c r="M15" i="1"/>
  <c r="M16" i="1"/>
  <c r="M9" i="1"/>
  <c r="I16" i="5" l="1"/>
  <c r="I18" i="5"/>
  <c r="I19" i="5"/>
  <c r="I20" i="5"/>
  <c r="I21" i="5"/>
  <c r="I22" i="5"/>
  <c r="H16" i="5"/>
  <c r="H17" i="5"/>
  <c r="H18" i="5"/>
  <c r="H19" i="5"/>
  <c r="H20" i="5"/>
  <c r="H21" i="5"/>
  <c r="H22" i="5"/>
  <c r="G16" i="5"/>
  <c r="G17" i="5"/>
  <c r="G18" i="5"/>
  <c r="G19" i="5"/>
  <c r="G20" i="5"/>
  <c r="G21" i="5"/>
  <c r="G22" i="5"/>
  <c r="F16" i="5" l="1"/>
  <c r="F17" i="5"/>
  <c r="F18" i="5"/>
  <c r="F19" i="5"/>
  <c r="F20" i="5"/>
  <c r="F21" i="5"/>
  <c r="F22" i="5"/>
  <c r="D16" i="5"/>
  <c r="D17" i="5"/>
  <c r="D18" i="5"/>
  <c r="D19" i="5"/>
  <c r="D20" i="5"/>
  <c r="D21" i="5"/>
  <c r="D22" i="5"/>
  <c r="E16" i="5"/>
  <c r="E17" i="5"/>
  <c r="E18" i="5"/>
  <c r="E19" i="5"/>
  <c r="E20" i="5"/>
  <c r="E21" i="5"/>
  <c r="E22" i="5"/>
  <c r="L12" i="1" l="1"/>
  <c r="G12" i="1"/>
  <c r="E12" i="1"/>
  <c r="H12" i="1" s="1"/>
  <c r="D12" i="1"/>
  <c r="V12" i="1" s="1"/>
  <c r="L11" i="1"/>
  <c r="G11" i="1"/>
  <c r="E11" i="1"/>
  <c r="H11" i="1" s="1"/>
  <c r="D11" i="1"/>
  <c r="P11" i="1" s="1"/>
  <c r="G10" i="1"/>
  <c r="E10" i="1"/>
  <c r="H10" i="1" s="1"/>
  <c r="D10" i="1"/>
  <c r="V10" i="1" s="1"/>
  <c r="V20" i="5"/>
  <c r="T20" i="5"/>
  <c r="C20" i="5"/>
  <c r="B20" i="5"/>
  <c r="C19" i="5"/>
  <c r="B19" i="5"/>
  <c r="T18" i="5"/>
  <c r="C18" i="5"/>
  <c r="B18" i="5"/>
  <c r="P12" i="1" l="1"/>
  <c r="T10" i="1"/>
  <c r="P10" i="1"/>
  <c r="T11" i="1"/>
  <c r="W12" i="1"/>
  <c r="J12" i="1"/>
  <c r="I12" i="1"/>
  <c r="I10" i="1"/>
  <c r="W10" i="1"/>
  <c r="I11" i="1"/>
  <c r="W11" i="1"/>
  <c r="J11" i="1"/>
  <c r="T12" i="1"/>
  <c r="V11" i="1"/>
  <c r="T19" i="5"/>
  <c r="U19" i="5"/>
  <c r="S19" i="5"/>
  <c r="L19" i="5"/>
  <c r="V19" i="5"/>
  <c r="U20" i="5"/>
  <c r="S20" i="5"/>
  <c r="L20" i="5"/>
  <c r="L13" i="1"/>
  <c r="G13" i="1"/>
  <c r="E13" i="1"/>
  <c r="H13" i="1" s="1"/>
  <c r="D13" i="1"/>
  <c r="V13" i="1" s="1"/>
  <c r="C17" i="5"/>
  <c r="B17" i="5"/>
  <c r="W13" i="1" l="1"/>
  <c r="J13" i="1"/>
  <c r="I13" i="1"/>
  <c r="P13" i="1"/>
  <c r="T13" i="1"/>
  <c r="T17" i="5"/>
  <c r="L14" i="1"/>
  <c r="G14" i="1"/>
  <c r="E14" i="1"/>
  <c r="H14" i="1" s="1"/>
  <c r="D14" i="1"/>
  <c r="V14" i="1" s="1"/>
  <c r="C21" i="5"/>
  <c r="B21" i="5"/>
  <c r="P14" i="1" l="1"/>
  <c r="T14" i="1"/>
  <c r="I14" i="1"/>
  <c r="W14" i="1"/>
  <c r="J14" i="1"/>
  <c r="T21" i="5"/>
  <c r="B15" i="5"/>
  <c r="B16" i="5"/>
  <c r="C22" i="5"/>
  <c r="B22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5" i="1"/>
  <c r="D16" i="1"/>
  <c r="V16" i="1" l="1"/>
  <c r="T16" i="1"/>
  <c r="V15" i="1"/>
  <c r="T15" i="1"/>
  <c r="D15" i="5"/>
  <c r="V18" i="1"/>
  <c r="T15" i="5" l="1"/>
  <c r="T16" i="5" l="1"/>
  <c r="T22" i="5"/>
  <c r="R3" i="1"/>
  <c r="D1" i="1"/>
  <c r="F6" i="1"/>
  <c r="T13" i="5"/>
  <c r="L16" i="1" l="1"/>
  <c r="G9" i="1"/>
  <c r="F15" i="5" s="1"/>
  <c r="G15" i="1"/>
  <c r="G16" i="1"/>
  <c r="E9" i="1"/>
  <c r="H9" i="1" s="1"/>
  <c r="E15" i="1"/>
  <c r="H15" i="1" s="1"/>
  <c r="E16" i="1"/>
  <c r="H16" i="1" s="1"/>
  <c r="P9" i="1"/>
  <c r="P15" i="1"/>
  <c r="P16" i="1"/>
  <c r="T18" i="1"/>
  <c r="V18" i="5" l="1"/>
  <c r="S18" i="5"/>
  <c r="L18" i="5"/>
  <c r="U18" i="5"/>
  <c r="L21" i="5"/>
  <c r="S21" i="5"/>
  <c r="W16" i="1"/>
  <c r="W15" i="1"/>
  <c r="E15" i="5"/>
  <c r="W9" i="1"/>
  <c r="T7" i="1"/>
  <c r="I16" i="1"/>
  <c r="I15" i="1"/>
  <c r="I9" i="1"/>
  <c r="W18" i="1"/>
  <c r="V21" i="5" l="1"/>
  <c r="U21" i="5"/>
  <c r="L17" i="5"/>
  <c r="S17" i="5"/>
  <c r="U17" i="5"/>
  <c r="V17" i="5"/>
  <c r="L15" i="5"/>
  <c r="V15" i="5"/>
  <c r="G15" i="5"/>
  <c r="S15" i="5" s="1"/>
  <c r="I15" i="5"/>
  <c r="U15" i="5"/>
  <c r="H15" i="5"/>
  <c r="S16" i="5"/>
  <c r="L16" i="5"/>
  <c r="V16" i="5"/>
  <c r="U16" i="5"/>
  <c r="L22" i="5"/>
  <c r="V22" i="5"/>
  <c r="S22" i="5"/>
  <c r="U22" i="5"/>
  <c r="G6" i="1"/>
  <c r="K13" i="5"/>
  <c r="U13" i="5"/>
  <c r="L13" i="5"/>
  <c r="S13" i="5"/>
  <c r="I13" i="5"/>
  <c r="H13" i="5"/>
  <c r="V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0" i="1" s="1"/>
  <c r="J10" i="1" l="1"/>
  <c r="L9" i="1"/>
  <c r="L15" i="1"/>
  <c r="J16" i="1"/>
  <c r="J9" i="1"/>
  <c r="J15" i="1"/>
  <c r="C7" i="1"/>
  <c r="O18" i="1"/>
  <c r="I18" i="1"/>
  <c r="P18" i="1"/>
  <c r="N18" i="1"/>
  <c r="J18" i="1"/>
  <c r="Q7" i="1" l="1"/>
  <c r="M38" i="3" s="1"/>
  <c r="L7" i="1"/>
  <c r="G38" i="3" s="1"/>
  <c r="K38" i="3"/>
  <c r="J38" i="3"/>
  <c r="M18" i="1"/>
  <c r="K18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<sst xmlns="http://schemas.openxmlformats.org/spreadsheetml/2006/main" count="360" uniqueCount="288">
  <si>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</si>
  <si>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</si>
  <si>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</si>
  <si>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</si>
  <si>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</si>
  <si>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</si>
  <si>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</si>
  <si>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</si>
  <si>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</si>
  <si>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</si>
  <si>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</si>
  <si>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</si>
  <si>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</si>
  <si>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</si>
  <si>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</si>
  <si>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</si>
  <si>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</si>
  <si>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</si>
  <si>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</si>
  <si>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</si>
  <si>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</si>
  <si>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</si>
  <si>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</si>
  <si>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</si>
  <si>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</si>
  <si>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</si>
  <si>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</si>
  <si>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</si>
  <si>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</si>
  <si>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</si>
  <si>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</si>
  <si>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</si>
  <si>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</si>
  <si>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</si>
  <si>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</si>
  <si>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</si>
  <si>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</si>
  <si>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</si>
  <si>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</si>
  <si>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</si>
  <si>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</si>
  <si>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</si>
  <si>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</si>
  <si>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</si>
  <si>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</si>
  <si>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</si>
  <si>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</si>
  <si>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</si>
  <si>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</si>
  <si>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</si>
  <si>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</si>
  <si>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</si>
  <si>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</si>
  <si>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</si>
  <si>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</si>
  <si>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</si>
  <si>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</si>
  <si>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</si>
  <si>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</si>
  <si>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</si>
  <si>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</si>
  <si>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</si>
  <si>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</si>
  <si>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</si>
  <si>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</si>
  <si>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</si>
  <si>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</si>
  <si>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</si>
  <si>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</si>
  <si>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</si>
  <si>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</si>
  <si>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</si>
  <si>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</si>
  <si>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</si>
  <si>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</si>
  <si>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</si>
  <si>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</si>
  <si>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</si>
  <si>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</si>
  <si>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</si>
  <si>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</si>
  <si>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</si>
  <si>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</si>
  <si>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</si>
  <si>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</si>
  <si>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</si>
  <si>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</si>
  <si>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</si>
  <si>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</si>
  <si>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</si>
  <si>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</si>
  <si>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</si>
  <si>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</si>
  <si>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</si>
  <si>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</si>
  <si>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</si>
  <si>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</si>
  <si>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</si>
  <si>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</si>
  <si>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</si>
  <si>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</si>
  <si>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</si>
  <si>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</si>
  <si>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</si>
  <si>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</si>
  <si>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</si>
  <si>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</si>
  <si>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</si>
  <si>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</si>
  <si>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</si>
  <si>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</si>
  <si>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</si>
  <si>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</si>
  <si>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</si>
  <si>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</si>
  <si>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</si>
  <si>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</si>
  <si>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</si>
  <si>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</si>
  <si>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</si>
  <si>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</si>
  <si>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</si>
  <si>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</si>
  <si>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</si>
  <si>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</si>
  <si>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</si>
  <si>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</si>
  <si>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</si>
  <si>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</si>
  <si>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</si>
  <si>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</si>
  <si>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</si>
  <si>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</si>
  <si>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</si>
  <si>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</si>
  <si>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</si>
  <si>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</si>
  <si>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</si>
  <si>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</si>
  <si>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</si>
  <si>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</si>
  <si>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</si>
  <si>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</si>
  <si>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</si>
  <si>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</si>
  <si>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</si>
  <si>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</si>
  <si>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</si>
  <si>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</si>
  <si>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</si>
  <si>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</si>
  <si>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</si>
  <si>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</si>
  <si>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</si>
  <si>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</si>
  <si>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</si>
  <si>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</si>
  <si>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</si>
  <si>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</si>
  <si>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</si>
  <si>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</si>
  <si>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</si>
  <si>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</si>
  <si>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</si>
  <si>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</si>
  <si>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</si>
  <si>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</si>
  <si>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</si>
  <si>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</si>
  <si>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</si>
  <si>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</si>
  <si>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</si>
  <si>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</si>
  <si>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</si>
  <si>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</si>
  <si>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</si>
  <si>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</si>
  <si>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</si>
  <si>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</si>
  <si>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</si>
  <si>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</si>
  <si>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</si>
  <si>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</si>
  <si>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</si>
  <si>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</si>
  <si>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</si>
  <si>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</si>
  <si>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</si>
  <si>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</si>
  <si>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</si>
  <si>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</si>
  <si>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</si>
  <si>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</si>
  <si>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</si>
  <si>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</si>
  <si>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</si>
  <si>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</si>
  <si>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</si>
  <si>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</si>
  <si>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</si>
  <si>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</si>
  <si>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</si>
  <si>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</si>
  <si>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</si>
  <si>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</si>
  <si>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</si>
  <si>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</si>
  <si>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</si>
  <si>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</si>
  <si>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</si>
  <si>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</si>
  <si>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</si>
  <si>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</si>
  <si>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</si>
  <si>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</si>
  <si>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</si>
  <si>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</si>
  <si>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</si>
  <si>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</si>
  <si>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</si>
  <si>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</si>
  <si>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</si>
  <si>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</si>
  <si>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</si>
  <si>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</si>
  <si>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</si>
  <si>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</si>
  <si>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</si>
  <si>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</si>
  <si>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</si>
  <si>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</si>
  <si>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</si>
  <si>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</si>
  <si>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</si>
  <si>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</si>
  <si>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</si>
  <si>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</si>
  <si>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</si>
  <si>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</si>
  <si>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</si>
  <si>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</si>
  <si>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</si>
  <si>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</si>
  <si>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</si>
  <si>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</si>
  <si>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</si>
  <si>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</si>
  <si>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</si>
  <si>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</si>
  <si>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</si>
  <si>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</si>
  <si>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</si>
  <si>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</si>
  <si>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</si>
  <si>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</si>
  <si>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</si>
  <si>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</si>
  <si>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</si>
  <si>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</si>
  <si>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</si>
  <si>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</si>
  <si>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</si>
  <si>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</si>
  <si>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</si>
  <si>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</si>
  <si>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</si>
  <si>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</si>
  <si>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</si>
  <si>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</si>
  <si>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</si>
  <si>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IS_ACTIVE</t>
  </si>
  <si>
    <t>varchar(1)</t>
  </si>
  <si>
    <t>Unchecked</t>
  </si>
  <si>
    <t>MstWptPatternD</t>
  </si>
  <si>
    <t>PatternD</t>
  </si>
  <si>
    <t>Master Working Pattern D</t>
  </si>
  <si>
    <t>PATTERN_H_ID</t>
  </si>
  <si>
    <t>SHIFT_NO</t>
  </si>
  <si>
    <t>SHIFT_NAME</t>
  </si>
  <si>
    <t>START_TIME</t>
  </si>
  <si>
    <t>END_TIME</t>
  </si>
  <si>
    <t>DAY_OF_WEEK</t>
  </si>
  <si>
    <t>SEASON_TYPE</t>
  </si>
  <si>
    <t>varchar(10)</t>
  </si>
  <si>
    <t>time(7)</t>
  </si>
  <si>
    <t>varchar(100)</t>
  </si>
  <si>
    <t>time</t>
  </si>
  <si>
    <t>TimeSpan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</si>
</sst>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31" workbookViewId="0">
      <selection activeCell="C38" sqref="C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[Table("MstWptPatternD")]
	[Index(nameof(PatternHId), Name="IX_MstWptPatternD_PatternHId")]
	[Index(nameof(ShiftNo), Name="IX_MstWptPatternD_ShiftNo")]
	public class MstWptPatternD: FullAuditedEntity&lt;long&gt;, IEntity&lt;long&gt;	
	{
		public const int MaxShiftNameLength = 10;
		public const int MaxDayOfWeekLength = 100;
		public const int MaxSeasonTypeLength = 10;
		public const int MaxIsActiveLength = 1;
		[Required]
		public virtual int PatternHId { get; set; }
		[Required]
		public virtual int ShiftNo { get; set; }
		[StringLength(MaxShiftNameLength)]
		public virtual string ShiftName { get; set; }
		public virtual TimeSpan StartTime { get; set; }
		public virtual TimeSpan EndTime { get; set; }
		[StringLength(MaxDayOfWeekLength)]
		public virtual string DayOfWeek { get; set; }
		[StringLength(MaxSeasonTypeLength)]
		public virtual string SeasonType { get; set; }
		[StringLength(MaxIsActiveLength)]
		public virtual string IsActive { get; set; }
	}
}
</v>
      </c>
      <c r="D38" s="50" t="str">
        <f>A.Backend!O7</f>
        <v xml:space="preserve">		public const string Pages_Master_WorkingPattern_PatternD = "Pages.Master.WorkingPattern.PatternD";
		public const string Pages_Master_WorkingPattern_PatternD_CreateEdit = "Pages.Master.WorkingPattern.PatternD.CreateEdit";
		public const string Pages_Master_WorkingPattern_PatternD_Delete = "Pages.Master.WorkingPattern.PatternD.Delete";
</v>
      </c>
      <c r="E38" s="50" t="str">
        <f>A.Backend!N7</f>
        <v xml:space="preserve">		var perMstWptPatternD = PARENTS.CreateChildPermission(AppPermissions.Pages_Master_WorkingPattern_PatternD, L( "MasterWorkingPatternPatternD"));
		perMstWptPatternD.CreateChildPermission(AppPermissions.Pages_Master_WorkingPattern_PatternD_CreateEdit, L( "MasterWorkingPatternPatternDCreateEdit"));
		perMstWptPatternD.CreateChildPermission(AppPermissions.Pages_Master_WorkingPattern_PatternD_Delete, L( "MasterWorkingPatternPatternDDelete"));</v>
      </c>
      <c r="F38" s="50" t="str">
        <f>A.Backend!K7</f>
        <v>public virtual DbSet&lt;MstWptPatternD&gt; MstWptPatternDs { get; set; }</v>
      </c>
      <c r="G38" s="50" t="str">
        <f ca="1">A.Backend!L7</f>
        <v xml:space="preserve">namespace vovina.Master.WorkingPattern
{
	public class MstWptPatternDConsts	
	{
		public const int MaxShiftNameLength = 10;
		public const int MaxDayOfWeekLength = 100;
		public const int MaxSeasonTypeLength = 10;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MstWptPatternDDto : EntityDto&lt;long?&gt;	
	{
		public virtual int PatternHId { get; set; }
		public virtual int ShiftNo { get; set; }
		public virtual string ShiftName { get; set; }
		public virtual TimeSpan? StartTime { get; set; }
		public virtual TimeSpan? EndTime { get; set; }
		public virtual string DayOfWeek { get; set; }
		public virtual string SeasonType { get; set; }
		public virtual string IsActive { get; set; }
	}
	public class CreateOrEditMstWptPatternDDto : EntityDto&lt;long?&gt;	
	{
		[Required]
		public virtual int PatternHId { get; set; }
		[Required]
		public virtual int ShiftNo { get; set; }
		[StringLength(MstWptPatternDConsts.MaxShiftNameLength)]
		public virtual string ShiftName { get; set; }
		public virtual TimeSpan? StartTime { get; set; }
		public virtual TimeSpan? EndTime { get; set; }
		[StringLength(MstWptPatternDConsts.MaxDayOfWeekLength)]
		public virtual string DayOfWeek { get; set; }
		[StringLength(MstWptPatternDConsts.MaxSeasonTypeLength)]
		public virtual string SeasonType { get; set; }
		[StringLength(MstWptPatternDConsts.MaxIsActiveLength)]
		public virtual string IsActive { get; set; }
	}
	public class GetMstWptPatternDInput : PagedAndSortedResultRequestDto	
	{
		public virtual int PatternHId { get; set; }
		public virtual int ShiftNo { get; set; }
		public virtual string ShiftName { get; set; }
		public virtual string DayOfWeek { get; set; }
		public virtual string SeasonType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MstWptPatternDExportInput{
		public virtual int PatternHId { get; set; }
		public virtual int ShiftNo { get; set; }
		public virtual string ShiftName { get; set; }
		public virtual TimeSpan? StartTime { get; set; }
		public virtual TimeSpan? EndTime { get; set; }
		public virtual string DayOfWeek { get; set; }
		public virtual string SeasonType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IMstWptPatternDAppService : IApplicationService
	{
		Task&lt;PagedResultDto&lt;MstWptPatternDDto&gt;&gt; GetAll(GetMstWptPatternDInput input);
		Task CreateOrEdit(CreateOrEditMstWptPatternDDto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IMstWptPatternDExcelExporter : IApplicationService
	{
		FileDto ExportToFile(List&lt;MstWptPatternDDto&gt; mstwptpatternd);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MstWptPatternDExcelExporter : NpoiExcelExporterBase, IMstWptPatternDExcelExporter
    {
        public MstWptPatternDExcelExporter(ITempFileCacheManager tempFileCacheManager) : base(tempFileCacheManager) { }
        public FileDto ExportToFile(List&lt;MstWptPatternDDto&gt; patternd)
        {
            return CreateExcelPackage(
				"MasterWorkingPatternPatternD.xlsx",
				excelPackage =&gt;
				 {
					var sheet = excelPackage.CreateSheet("PatternD");
					AddHeader(
								sheet,
								("PatternHId"),
								("ShiftNo"),
								("ShiftName"),
								("StartTime"),
								("EndTime"),
								("DayOfWeek"),
								("SeasonType"),
								("IsActive"),
							   );
					AddObjects(
						 sheet, 1, patternd,                                       
								_ =&gt; _.PatternHId,
								_ =&gt; _.ShiftNo,
								_ =&gt; _.ShiftName,
								_ =&gt; _.StartTime,
								_ =&gt; _.EndTime,
								_ =&gt; _.DayOfWeek,
								_ =&gt; _.SeasonType,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[AbpAuthorize(AppPermissions.Pages_Master_WorkingPattern_PatternD)]
    public class MstWptPatternDAppService : vovinaAppServiceBase, IMstWptPatternDAppService
    {
        private readonly IDapperRepository&lt;MstWptPatternD, long&gt; _dapperRepo;
        private readonly IRepository&lt;MstWptPatternD, long&gt; _repo;
        private readonly IMstWptPatternDExcelExporter _calendarListExcelExporter;
        public MstWptPatternDAppService(IRepository&lt;MstWptPatternD,long&gt; repo, 
                                         IDapperRepository&lt;MstWptPatternD,long&gt; dapperRepo,
                                        IMstWptPatternDExcelExporter calendarListExcelExporter
            )
        {
            _repo = repo;
            _dapperRepo = dapperRepo;
            _calendarListExcelExporter = calendarListExcelExporter;
        }
        [AbpAuthorize(AppPermissions.Pages_Master_WorkingPattern_PatternD_CreateEdit)]
        public async Task CreateOrEdit(CreateOrEditMstWptPatternDDto input)
        {
            if (input.Id == null) await Create(input);
            else await Update(input);
        }
        //CREATE
        private async Task Create(CreateOrEditMstWptPatternDDto input)
        {          
            var mainObj = ObjectMapper.Map&lt;MstWptPatternD&gt;(input);
            await CurrentUnitOfWork.GetDbContext&lt;vovinaDbContext&gt;().AddAsync(mainObj);
        }
        // EDIT
        private async Task Update(CreateOrEditMstWptPatternDDto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[AbpAuthorize(AppPermissions.Pages_Master_WorkingPattern_PatternD_Delete)]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Task&lt;PagedResultDto&lt;MstWptPatternDDto&gt;&gt; GetAll(GetMstWptPatternDInput input)
        {
            var filtered = _repo.GetAll()
				.WhereIf(!string.IsNullOrWhiteSpace(input.ShiftName), e =&gt; e.ShiftName.Contains(input.ShiftName))
				.WhereIf(!string.IsNullOrWhiteSpace(input.DayOfWeek), e =&gt; e.DayOfWeek.Contains(input.DayOfWeek))
				.WhereIf(!string.IsNullOrWhiteSpace(input.SeasonType), e =&gt; e.SeasonType.Contains(input.SeasonType))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MstWptPatternDDto
                        {
							Id = o.Id,
							PatternHId = o.PatternHId,
							ShiftNo = o.ShiftNo,
							ShiftName = o.ShiftName,
							StartTime = o.StartTime,
							EndTime = o.EndTime,
							DayOfWeek = o.DayOfWeek,
							SeasonType = o.SeasonType,
							IsActive = o.IsActive,
                        };
            var totalCount = await filtered.CountAsync();
			var paged = system.PageBy(input);
            return new PagedResultDto&lt;MstWptPatternDDto&gt;(
                totalCount,
                 await paged.ToListAsync()
            );
        }
        public async Task&lt;FileDto&gt; GetPatternDToExcel(MstWptPatternDExportInput input)
        {
            var query = from o in _repo.GetAll()
                        select new MstWptPatternDDto
                        {
							Id = o.Id,
							PatternHId = o.PatternHId,
							ShiftNo = o.ShiftNo,
							ShiftName = o.ShiftName,
							StartTime = o.StartTime,
							EndTime = o.EndTime,
							DayOfWeek = o.DayOfWeek,
							SeasonType = o.SeasonType,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_dapperRepo.ExecuteAsync(MstWptPatternDConsts.SP_MST_WPT_CALENDAR_GENERATE);
       // }
    }
}</v>
      </c>
      <c r="N38" s="61" t="str">
        <f>A.Backend!U7</f>
        <v xml:space="preserve">  configuration.CreateMap&lt;MstWptPatternDDto, MstWptPatternD&gt;();
  configuration.CreateMap&lt;MstWptPatternD, MstWptPatternDDto&gt;();
  configuration.CreateMap&lt;CreateOrEditMstWptPatternDDto, MstWptPatternD&gt;();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patternd</v>
      </c>
      <c r="C43" s="74" t="str">
        <f>"create folder " &amp;B43</f>
        <v>create folder patternd</v>
      </c>
      <c r="D43" s="74"/>
      <c r="E43" s="74"/>
      <c r="F43" s="74"/>
      <c r="G43" s="74"/>
      <c r="H43" s="74"/>
      <c r="I43" s="74"/>
      <c r="J43" s="74"/>
      <c r="K43" s="75" t="s">
        <v>228</v>
      </c>
      <c r="L43" s="75"/>
      <c r="M43" s="31"/>
    </row>
    <row r="44" spans="1:14" s="28" customFormat="1" ht="18" customHeight="1" x14ac:dyDescent="0.25">
      <c r="B44" s="59" t="s">
        <v>229</v>
      </c>
      <c r="C44" s="31" t="str">
        <f>B.Frontend!H14</f>
        <v>patternd.component.ts</v>
      </c>
      <c r="D44" s="31" t="str">
        <f>B.Frontend!I14</f>
        <v>patternd.component.html</v>
      </c>
      <c r="E44" s="31" t="str">
        <f>B.Frontend!J14</f>
        <v>patternd.component.less</v>
      </c>
      <c r="F44" s="31" t="str">
        <f>B.Frontend!K14</f>
        <v>create-or-edit-patternd-modal.component.html</v>
      </c>
      <c r="G44" s="31" t="str">
        <f>B.Frontend!L14</f>
        <v>create-or-edit-patternd-modal.component.ts</v>
      </c>
      <c r="H44" s="31" t="str">
        <f>B.Frontend!M14</f>
        <v>create-or-edit-patternd-modal.component.less</v>
      </c>
      <c r="I44" s="31" t="str">
        <f>B.Frontend!N14</f>
        <v>patternd.module.ts</v>
      </c>
      <c r="J44" s="31" t="str">
        <f>B.Frontend!O14</f>
        <v>patternd-routing.module.ts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MstWptPatternDDto, MstWptPatternDServiceProxy } from '@shared/service-proxies/service-proxies';
import { finalize } from 'rxjs/internal/operators/finalize';
import { CreateOrEditPatternDModalComponent } from './create-or-edit-patternd-modal.component';
import { DatePipe } from '@angular/common';
import { FileDownloadService } from '@shared/utils/file-download.service';
import ceil from 'lodash-es/ceil';
import { Paginator } from 'primeng/paginator';
@Component({
    templateUrl: './patternd.component.html',
    styleUrls: ['./patternd.component.less'],
})
export class PatternDComponent extends AppComponentBase implements OnInit {
    @ViewChild('createOrEditModalPatternD', { static: true }) createOrEditModalPatternD:| CreateOrEditPatternDModalComponent|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MstWptPatternDDto = new MstWptPatternDDto();
    saveSelectedRow: MstWptPatternDDto = new MstWptPatternDDto();
    datas: MstWptPatternDDto = new MstWptPatternDDto();
    isLoading: boolean = false;
    dataParams: GridParams | undefined;
    rowData: any[] = [];
    gridApi!: GridApi;
    rowSelection = 'multiple';
    filter: string = '';
	pipe = new DatePipe('en-US');
    patternHId : number = 0 ;
	shiftNo : number = 0 ;
	shiftName : string = '' ; 
startTime
	endTime
	dayOfWeek : string = '' ; 
seasonType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MstWptPatternDServiceProxy,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this.l('Pattern H Id'),headerTooltip: this.l('Pattern H Id'),field: 'patternHId',flex: 1},
			{headerName: this.l('Shift No'),headerTooltip: this.l('Shift No'),field: 'shiftNo',flex: 1},
			{headerName: this.l('Shift Name'),headerTooltip: this.l('Shift Name'),field: 'shiftName',flex: 1},
			{headerName: this.l('Start Time'),headerTooltip: this.l('Start Time'),field: 'startTime',flex: 1},
			{headerName: this.l('End Time'),headerTooltip: this.l('End Time'),field: 'endTime',flex: 1},
			{headerName: this.l('Day Of Week'),headerTooltip: this.l('Day Of Week'),field: 'dayOfWeek',flex: 1},
			{headerName: this.l('Season Type'),headerTooltip: this.l('Season Type'),field: 'seasonType',flex: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this.patternHId,
			this.shiftNo,
			this.shiftName,
			this.startTime,
			this.endTime,
			this.dayOfWeek,
			this.seasonType,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this.patternHId = 0,
		this.shiftNo = 0,
		this.shiftName = '',
this.startTime = '',
		this.endTime = '',
		this.dayOfWeek = '',
this.seasonType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this.patternHId,
			this.shiftNo,
			this.shiftName,
			this.startTime,
			this.endTime,
			this.dayOfWeek,
			this.seasonType,
			this.isActive,
			'',
            this.paginationParams.skipCount,
            this.paginationParams.pageSize
        );
    }
    onChangeRowSelection(params: { api: { getSelectedRows: () =&gt; MstWptPatternDDto[] } }) {
        this.saveSelectedRow = params.api.getSelectedRows()[0] ?? new MstWptPatternDDto();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MstWptPatternDDto):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this._service.getPatternDToExcel(
			this.patternHId,
			this.shiftNo,
			this.shiftName,
			this.startTime,
			this.endTime,
			this.dayOfWeek,
			this.seasonType,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(click)="createOrEditModalPatternD.show()"&gt;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(click)="createOrEditModalPatternD.show(selectedRow)"&gt;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&lt;create-or-edit-patternd-modal
    #createOrEditModalPatternD
    (modalSave)="callBackDataGrid(dataParams)"
    (modalClose)="onChangeRowSelection(dataParams)"
&gt;
&lt;/create-or-edit-patternd-modal&gt;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#createOrEditModalPatternD="bs-modal"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PatternD')}}&lt;/h3&gt;
                    &lt;h3 *ngIf="!rowdata.id"&gt;{{('Create New PatternD')}}&lt;/h3&gt;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title'&gt;Pattern H Id&lt;/label&gt;
						&lt;input type='number' class='col-md-10 form-control input-text' name='PatternHId' [(ngModel)]='rowdata.patternHId'&gt;
					&lt;/div&gt;
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CreateOrEditMstWptPatternDDto, MstWptPatternDServiceProxy } from '@shared/service-proxies/service-proxies';
import { BsDatepickerDirective } from 'ngx-bootstrap/datepicker';
@Component({
    selector: 'create-or-edit-patternd-modal',
    templateUrl: './create-or-edit-patternd-modal.component.html',
    styleUrls: ['./create-or-edit-patternd-modal.component.less']
    })
export class CreateOrEditPatternDModalComponent extends AppComponentBase {
    @ViewChild('createOrEditModalPatternD',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CreateOrEditMstWptPatternDDto = new CreateOrEditMstWptPatternDDto();
    active: boolean = false;
    saving: boolean = false;
    _isActive: boolean;
    constructor(
        injector: Injector,
        private _mstwptPatternDService: MstWptPatternDServiceProxy,
    ) 
    {
        super(injector);
    }
    show(rowdata?: CreateOrEditMstWptPatternDDto): void {
        if (!rowdata) this.rowdata = new CreateOrEditMstWptPatternDDto();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this._mstwptPatternDService.createOrEdit(this.rowdata)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PatternDRoutingModule } from './patternd-routing.module';
import { PatternDComponent } from './patternd.component';
import { CreateOrEditPatternDModalComponent } from './create-or-edit-patternd-modal.component';
@NgModule({
    declarations: [
       PatternDComponent, 
        CreateOrEditPatternDModalComponent
    ],
    imports: [
        AppSharedModule, PatternDRoutingModule]
})
export class PatternDModule {}</v>
      </c>
      <c r="J45" s="48" t="str">
        <f>B.Frontend!O10</f>
        <v>import {NgModule} from '@angular/core';
import {RouterModule, Routes} from '@angular/router';
import { PatternDComponent } from './patternd.component';
const routes: Routes = [{
    path: '',
    component: PatternDComponent,
    pathMatch: 'full'
}];
@NgModule({
    imports: [RouterModule.forChild(routes)],
    exports: [RouterModule],
})
export class PatternDRoutingModule {}</v>
      </c>
      <c r="K45" s="48" t="str">
        <f>B.Frontend!P10</f>
        <v xml:space="preserve"> new AppMenuItem("PatternD", "Pages.Master.WorkingPattern.PatternD", "flaticon-book",   "/app/main/master/workingpattern/patternd"),</v>
      </c>
      <c r="L45" s="49" t="str">
        <f>B.Frontend!Q10</f>
        <v>{
    path: 'master/workingpattern/patternd',
    loadChildren: () =&gt; import('./master/workingpattern/patternd/patternd.module').then(m =&gt; m.PatternDModule),
    data: { permission: 'Pages.Master.WorkingPattern.PatternD' }
},</v>
      </c>
      <c r="M45" s="47" t="str">
        <f>B.Frontend!R10</f>
        <v>ApiServiceProxies.MstWptPatternDServiceProxy,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8"/>
  <sheetViews>
    <sheetView workbookViewId="0">
      <pane xSplit="1" topLeftCell="G1" activePane="topRight" state="frozen"/>
      <selection pane="topRight" activeCell="L27" sqref="L2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273</v>
      </c>
      <c r="C3" s="10" t="s">
        <v>43</v>
      </c>
      <c r="D3" s="10" t="s">
        <v>44</v>
      </c>
      <c r="E3" s="10" t="s">
        <v>39</v>
      </c>
      <c r="F3" s="11" t="str">
        <f>"J"&amp;COUNTA($A:$A)</f>
        <v>J16</v>
      </c>
      <c r="G3" s="4" t="s">
        <v>57</v>
      </c>
      <c r="H3" s="10" t="str">
        <f>"I"&amp;COUNTA($A:$A)</f>
        <v>I16</v>
      </c>
      <c r="I3" s="10" t="str">
        <f>REPT(CHAR(9),2)&amp;"[Required]"&amp;"
"</f>
        <v xml:space="preserve">		[Required]
</v>
      </c>
      <c r="J3" s="11" t="str">
        <f>"L"&amp;COUNTA($A:$A)</f>
        <v>L16</v>
      </c>
      <c r="K3" s="5" t="s">
        <v>56</v>
      </c>
      <c r="L3" s="11" t="str">
        <f>"M"&amp;COUNTA($A:$A)</f>
        <v>M16</v>
      </c>
      <c r="M3" s="11" t="str">
        <f>"N"&amp;COUNTA($A:$A)</f>
        <v>N16</v>
      </c>
      <c r="N3" s="11" t="str">
        <f>"O"&amp;COUNTA($A:$A)</f>
        <v>O16</v>
      </c>
      <c r="O3" s="11" t="str">
        <f>"P"&amp;COUNTA($A:$A)</f>
        <v>P16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MstWptPatternDExportInput{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T16</v>
      </c>
      <c r="V3" s="11" t="str">
        <f>"V"&amp;COUNTA($A:$A)</f>
        <v>V16</v>
      </c>
      <c r="W3" s="10" t="str">
        <f>"W"&amp;COUNTA($A:$A)</f>
        <v>W16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274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MstWptPatternD: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MstWptPatternDConsts	
	{
</v>
      </c>
      <c r="F6" s="11" t="str">
        <f>REPT(CHAR(9),1)&amp;"public class "&amp;B3&amp;"Dto"&amp;K3&amp;REPT(CHAR(9),1)&amp;"
"&amp;REPT(CHAR(9),1)&amp;C3</f>
        <v xml:space="preserve">	public class MstWptPatternDDto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CreateOrEditMstWptPatternDDto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GetMstWptPatternDInput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MstWptPatternD</v>
      </c>
      <c r="C7" s="11" t="str">
        <f>REPT(CHAR(9),1)&amp;"[Table("""&amp;B7&amp;""")]"&amp;"
"</f>
        <v xml:space="preserve">	[Table("MstWptPatternD")]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[Table("MstWptPatternD")]
	[Index(nameof(PatternHId), Name="IX_MstWptPatternD_PatternHId")]
	[Index(nameof(ShiftNo), Name="IX_MstWptPatternD_ShiftNo")]
	public class MstWptPatternD: FullAuditedEntity&lt;long&gt;, IEntity&lt;long&gt;	
	{
		public const int MaxShiftNameLength = 10;
		public const int MaxDayOfWeekLength = 100;
		public const int MaxSeasonTypeLength = 10;
		public const int MaxIsActiveLength = 1;
		[Required]
		public virtual int PatternHId { get; set; }
		[Required]
		public virtual int ShiftNo { get; set; }
		[StringLength(MaxShiftNameLength)]
		public virtual string ShiftName { get; set; }
		public virtual TimeSpan StartTime { get; set; }
		public virtual TimeSpan EndTime { get; set; }
		[StringLength(MaxDayOfWeekLength)]
		public virtual string DayOfWeek { get; set; }
		[StringLength(MaxSeasonTypeLength)]
		public virtual string SeasonType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DbSet&lt;MstWptPatternD&gt; MstWptPatternDs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MstWptPatternDConsts	
	{
		public const int MaxShiftNameLength = 10;
		public const int MaxDayOfWeekLength = 100;
		public const int MaxSeasonTypeLength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vovina.Master.WorkingPattern.Dto
{
	public class MstWptPatternDDto : EntityDto&lt;long?&gt;	
	{
		public virtual int PatternHId { get; set; }
		public virtual int ShiftNo { get; set; }
		public virtual string ShiftName { get; set; }
		public virtual TimeSpan? StartTime { get; set; }
		public virtual TimeSpan? EndTime { get; set; }
		public virtual string DayOfWeek { get; set; }
		public virtual string SeasonType { get; set; }
		public virtual string IsActive { get; set; }
	}
	public class CreateOrEditMstWptPatternDDto : EntityDto&lt;long?&gt;	
	{
		[Required]
		public virtual int PatternHId { get; set; }
		[Required]
		public virtual int ShiftNo { get; set; }
		[StringLength(MstWptPatternDConsts.MaxShiftNameLength)]
		public virtual string ShiftName { get; set; }
		public virtual TimeSpan? StartTime { get; set; }
		public virtual TimeSpan? EndTime { get; set; }
		[StringLength(MstWptPatternDConsts.MaxDayOfWeekLength)]
		public virtual string DayOfWeek { get; set; }
		[StringLength(MstWptPatternDConsts.MaxSeasonTypeLength)]
		public virtual string SeasonType { get; set; }
		[StringLength(MstWptPatternDConsts.MaxIsActiveLength)]
		public virtual string IsActive { get; set; }
	}
	public class GetMstWptPatternDInput : PagedAndSortedResultRequestDto	
	{
		public virtual int PatternHId { get; set; }
		public virtual int ShiftNo { get; set; }
		public virtual string ShiftName { get; set; }
		public virtual string DayOfWeek { get; set; }
		public virtual string SeasonType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perMstWptPatternD = PARENTS.CreateChildPermission(AppPermissions.Pages_Master_WorkingPattern_PatternD, L( "MasterWorkingPatternPatternD"));
		perMstWptPatternD.CreateChildPermission(AppPermissions.Pages_Master_WorkingPattern_PatternD_CreateEdit, L( "MasterWorkingPatternPatternDCreateEdit"));
		perMstWptPatternD.CreateChildPermission(AppPermissions.Pages_Master_WorkingPattern_PatternD_Delete, L( "MasterWorkingPatternPatternDDelete"));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Pages_Master_WorkingPattern_PatternD = "Pages.Master.WorkingPattern.PatternD";
		public const string Pages_Master_WorkingPattern_PatternD_CreateEdit = "Pages.Master.WorkingPattern.PatternD.CreateEdit";
		public const string Pages_Master_WorkingPattern_PatternD_Delete = "Pages.Master.WorkingPattern.PatternD.Delete";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IMstWptPatternDAppService : IApplicationService
	{
		Task&lt;PagedResultDto&lt;MstWptPatternDDto&gt;&gt; GetAll(GetMstWptPatternDInput input);
		Task CreateOrEdit(CreateOrEditMstWptPatternDDto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[AbpAuthorize(AppPermissions.Pages_Master_WorkingPattern_PatternD)]
    public class MstWptPatternDAppService : vovinaAppServiceBase, IMstWptPatternDAppService
    {
        private readonly IDapperRepository&lt;MstWptPatternD, long&gt; _dapperRepo;
        private readonly IRepository&lt;MstWptPatternD, long&gt; _repo;
        private readonly IMstWptPatternDExcelExporter _calendarListExcelExporter;
        public MstWptPatternDAppService(IRepository&lt;MstWptPatternD,long&gt; repo, 
                                         IDapperRepository&lt;MstWptPatternD,long&gt; dapperRepo,
                                        IMstWptPatternDExcelExporter calendarListExcelExporter
            )
        {
            _repo = repo;
            _dapperRepo = dapperRepo;
            _calendarListExcelExporter = calendarListExcelExporter;
        }
        [AbpAuthorize(AppPermissions.Pages_Master_WorkingPattern_PatternD_CreateEdit)]
        public async Task CreateOrEdit(CreateOrEditMstWptPatternDDto input)
        {
            if (input.Id == null) await Create(input);
            else await Update(input);
        }
        //CREATE
        private async Task Create(CreateOrEditMstWptPatternDDto input)
        {          
            var mainObj = ObjectMapper.Map&lt;MstWptPatternD&gt;(input);
            await CurrentUnitOfWork.GetDbContext&lt;vovinaDbContext&gt;().AddAsync(mainObj);
        }
        // EDIT
        private async Task Update(CreateOrEditMstWptPatternDDto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[AbpAuthorize(AppPermissions.Pages_Master_WorkingPattern_PatternD_Delete)]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Task&lt;PagedResultDto&lt;MstWptPatternDDto&gt;&gt; GetAll(GetMstWptPatternDInput input)
        {
            var filtered = _repo.GetAll()
				.WhereIf(!string.IsNullOrWhiteSpace(input.ShiftName), e =&gt; e.ShiftName.Contains(input.ShiftName))
				.WhereIf(!string.IsNullOrWhiteSpace(input.DayOfWeek), e =&gt; e.DayOfWeek.Contains(input.DayOfWeek))
				.WhereIf(!string.IsNullOrWhiteSpace(input.SeasonType), e =&gt; e.SeasonType.Contains(input.SeasonType))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MstWptPatternDDto
                        {
							Id = o.Id,
							PatternHId = o.PatternHId,
							ShiftNo = o.ShiftNo,
							ShiftName = o.ShiftName,
							StartTime = o.StartTime,
							EndTime = o.EndTime,
							DayOfWeek = o.DayOfWeek,
							SeasonType = o.SeasonType,
							IsActive = o.IsActive,
                        };
            var totalCount = await filtered.CountAsync();
			var paged = system.PageBy(input);
            return new PagedResultDto&lt;MstWptPatternDDto&gt;(
                totalCount,
                 await paged.ToListAsync()
            );
        }
        public async Task&lt;FileDto&gt; GetPatternDToExcel(MstWptPatternDExportInput input)
        {
            var query = from o in _repo.GetAll()
                        select new MstWptPatternDDto
                        {
							Id = o.Id,
							PatternHId = o.PatternHId,
							ShiftNo = o.ShiftNo,
							ShiftName = o.ShiftName,
							StartTime = o.StartTime,
							EndTime = o.EndTime,
							DayOfWeek = o.DayOfWeek,
							SeasonType = o.SeasonType,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_dapperRepo.ExecuteAsync(MstWptPatternDConsts.SP_MST_WPT_CALENDAR_GENERATE);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vovina.Master.WorkingPattern.Dto
{
	public class MstWptPatternDExportInput{
		public virtual int PatternHId { get; set; }
		public virtual int ShiftNo { get; set; }
		public virtual string ShiftName { get; set; }
		public virtual TimeSpan? StartTime { get; set; }
		public virtual TimeSpan? EndTime { get; set; }
		public virtual string DayOfWeek { get; set; }
		public virtual string SeasonType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IMstWptPatternDExcelExporter : IApplicationService
	{
		FileDto ExportToFile(List&lt;MstWptPatternDDto&gt; mstwptpatternd);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MstWptPatternDExcelExporter : NpoiExcelExporterBase, IMstWptPatternDExcelExporter
    {
        public MstWptPatternDExcelExporter(ITempFileCacheManager tempFileCacheManager) : base(tempFileCacheManager) { }
        public FileDto ExportToFile(List&lt;MstWptPatternDDto&gt; patternd)
        {
            return CreateExcelPackage(
				"MasterWorkingPatternPatternD.xlsx",
				excelPackage =&gt;
				 {
					var sheet = excelPackage.CreateSheet("PatternD");
					AddHeader(
								sheet,
								("PatternHId"),
								("ShiftNo"),
								("ShiftName"),
								("StartTime"),
								("EndTime"),
								("DayOfWeek"),
								("SeasonType"),
								("IsActive"),
							   );
					AddObjects(
						 sheet, 1, patternd,                                       
								_ =&gt; _.PatternHId,
								_ =&gt; _.ShiftNo,
								_ =&gt; _.ShiftName,
								_ =&gt; _.StartTime,
								_ =&gt; _.EndTime,
								_ =&gt; _.DayOfWeek,
								_ =&gt; _.SeasonType,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configuration.CreateMap&lt;MstWptPatternDDto, MstWptPatternD&gt;();
  configuration.CreateMap&lt;MstWptPatternD, MstWptPatternDDto&gt;();
  configuration.CreateMap&lt;CreateOrEditMstWptPatternDDto, MstWptPatternD&gt;();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276</v>
      </c>
      <c r="B9" t="s">
        <v>4</v>
      </c>
      <c r="C9" t="s">
        <v>272</v>
      </c>
      <c r="D9" t="str">
        <f>SUBSTITUTE(PROPER(A9),"_","")</f>
        <v>PatternHId</v>
      </c>
      <c r="E9" t="str">
        <f t="shared" ref="E9:E16" si="0">IFERROR(LEFT(B9, FIND("(",B9)-1),B9)</f>
        <v>int</v>
      </c>
      <c r="F9" s="7"/>
      <c r="G9" t="str">
        <f t="shared" ref="G9:G16" si="1">IFERROR(MID(B9,FIND("(",B9) +1, FIND(")",B9) - FIND("(",B9) - 1),"")</f>
        <v/>
      </c>
      <c r="H9" t="str">
        <f>+VLOOKUP(E9,'Data Type Mapping'!A:B,2,)</f>
        <v>int</v>
      </c>
      <c r="I9" t="str">
        <f t="shared" ref="I9:I16" si="2">IF(H9="string",REPT(CHAR(9),2)&amp;"public const int Max"&amp;D9&amp;"Length = "&amp;G9&amp;";"&amp;$E$3,"" )</f>
        <v/>
      </c>
      <c r="J9" t="str">
        <f t="shared" ref="J9:J16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public virtual int PatternHId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[Index(nameof(PatternHId), Name="IX_MstWptPatternD_PatternHId")]</v>
      </c>
      <c r="M9" t="str">
        <f>REPT(CHAR(9),2)&amp;"public virtual "&amp;IF(OR(H9="DateTime",H9="TimeSpan"),H9&amp;"?",H9)&amp;IF(C9="?","? "," ")&amp;D9&amp;" { get; set; }" &amp; "
"</f>
        <v xml:space="preserve">		public virtual int PatternHId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public virtual int PatternHId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PatternHId { get; set; }
</v>
      </c>
      <c r="P9" t="str">
        <f t="shared" ref="P9:P16" si="4">REPT(CHAR(9),7)&amp;D9&amp;" = o." &amp;D9 &amp;","</f>
        <v xml:space="preserve">							PatternHId = o.PatternHId,</v>
      </c>
      <c r="T9" s="68" t="str">
        <f>REPT(CHAR(9),8)&amp;"("""&amp;D9&amp;"""),"</f>
        <v xml:space="preserve">								("PatternHId"),</v>
      </c>
      <c r="V9" s="69" t="str">
        <f>REPT(CHAR(9),8)&amp;"_ =&gt; _."&amp;D9&amp;","</f>
        <v xml:space="preserve">								_ =&gt; _.PatternHId,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277</v>
      </c>
      <c r="B10" t="s">
        <v>4</v>
      </c>
      <c r="C10" t="s">
        <v>272</v>
      </c>
      <c r="D10" t="str">
        <f t="shared" ref="D10:D12" si="5">SUBSTITUTE(PROPER(A10),"_","")</f>
        <v>ShiftNo</v>
      </c>
      <c r="E10" t="str">
        <f t="shared" ref="E10:E12" si="6">IFERROR(LEFT(B10, FIND("(",B10)-1),B10)</f>
        <v>int</v>
      </c>
      <c r="F10" s="7"/>
      <c r="G10" t="str">
        <f t="shared" ref="G10:G12" si="7">IFERROR(MID(B10,FIND("(",B10) +1, FIND(")",B10) - FIND("(",B10) - 1),"")</f>
        <v/>
      </c>
      <c r="H10" t="str">
        <f>+VLOOKUP(E10,'Data Type Mapping'!A:B,2,)</f>
        <v>int</v>
      </c>
      <c r="I10" t="str">
        <f t="shared" ref="I10:I12" si="8">IF(H10="string",REPT(CHAR(9),2)&amp;"public const int Max"&amp;D10&amp;"Length = "&amp;G10&amp;";"&amp;$E$3,"" )</f>
        <v/>
      </c>
      <c r="J10" t="str">
        <f t="shared" ref="J10:J12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[Required]
		public virtual int ShiftNo { get; set; }
</v>
      </c>
      <c r="K10" s="7" t="s">
        <v>206</v>
      </c>
      <c r="L10" t="str">
        <f t="shared" ref="L10:L12" si="10">IF(K10="","",REPT(CHAR(9),1)&amp;"[Index(nameof("&amp;IF(D10="","",""&amp;D10)&amp;")"&amp;", Name="&amp;"""IX_"&amp;$B$7&amp;"_"&amp;D10&amp;""")]")</f>
        <v xml:space="preserve">	[Index(nameof(ShiftNo), Name="IX_MstWptPatternD_ShiftNo")]</v>
      </c>
      <c r="M10" t="str">
        <f t="shared" ref="M10:M16" si="11">REPT(CHAR(9),2)&amp;"public virtual "&amp;IF(OR(H10="DateTime",H10="TimeSpan"),H10&amp;"?",H10)&amp;IF(C10="?","? "," ")&amp;D10&amp;" { get; set; }" &amp; "
"</f>
        <v xml:space="preserve">		public virtual int ShiftNo { get; set; }
</v>
      </c>
      <c r="N10" t="str">
        <f t="shared" ref="N10:N16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public virtual int ShiftNo { get; set; }
</v>
      </c>
      <c r="O10" t="str">
        <f t="shared" ref="O10:O16" si="13">IF(OR(H10="string",H10="DateTime",H10="int"),REPT(CHAR(9),2)&amp;"public virtual "&amp;IF(OR(H10="DateTime",H10="TimeSpan"),H10&amp;"?",H10)&amp;IF(C10="?","? "," ")&amp;D10&amp;" { get; set; }"&amp;$E$3,"")</f>
        <v xml:space="preserve">		public virtual int ShiftNo { get; set; }
</v>
      </c>
      <c r="P10" t="str">
        <f t="shared" ref="P10:P12" si="14">REPT(CHAR(9),7)&amp;D10&amp;" = o." &amp;D10 &amp;","</f>
        <v xml:space="preserve">							ShiftNo = o.ShiftNo,</v>
      </c>
      <c r="T10" s="68" t="str">
        <f t="shared" ref="T10:T12" si="15">REPT(CHAR(9),8)&amp;"("""&amp;D10&amp;"""),"</f>
        <v xml:space="preserve">								("ShiftNo"),</v>
      </c>
      <c r="V10" s="69" t="str">
        <f t="shared" ref="V10:V12" si="16">REPT(CHAR(9),8)&amp;"_ =&gt; _."&amp;D10&amp;","</f>
        <v xml:space="preserve">								_ =&gt; _.ShiftNo,</v>
      </c>
      <c r="W10" s="68" t="str">
        <f t="shared" ref="W10:W12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1" customHeight="1" x14ac:dyDescent="0.25">
      <c r="A11" t="s">
        <v>278</v>
      </c>
      <c r="B11" t="s">
        <v>283</v>
      </c>
      <c r="C11" t="s">
        <v>1</v>
      </c>
      <c r="D11" t="str">
        <f t="shared" si="5"/>
        <v>ShiftName</v>
      </c>
      <c r="E11" t="str">
        <f t="shared" si="6"/>
        <v>varchar</v>
      </c>
      <c r="F11" s="7"/>
      <c r="G11" t="str">
        <f t="shared" si="7"/>
        <v>10</v>
      </c>
      <c r="H11" t="str">
        <f>+VLOOKUP(E11,'Data Type Mapping'!A:B,2,)</f>
        <v>string</v>
      </c>
      <c r="I11" t="str">
        <f t="shared" si="8"/>
        <v xml:space="preserve">		public const int MaxShiftNameLength = 10;
</v>
      </c>
      <c r="J11" t="str">
        <f t="shared" si="9"/>
        <v xml:space="preserve">		[StringLength(MaxShiftNameLength)]
		public virtual string ShiftName { get; set; }
</v>
      </c>
      <c r="K11" s="7"/>
      <c r="L11" t="str">
        <f t="shared" si="10"/>
        <v/>
      </c>
      <c r="M11" t="str">
        <f t="shared" si="11"/>
        <v xml:space="preserve">		public virtual string ShiftName { get; set; }
</v>
      </c>
      <c r="N11" t="str">
        <f t="shared" si="12"/>
        <v xml:space="preserve">		[StringLength(MstWptPatternDConsts.MaxShiftNameLength)]
		public virtual string ShiftName { get; set; }
</v>
      </c>
      <c r="O11" t="str">
        <f t="shared" si="13"/>
        <v xml:space="preserve">		public virtual string ShiftName { get; set; }
</v>
      </c>
      <c r="P11" t="str">
        <f t="shared" si="14"/>
        <v xml:space="preserve">							ShiftName = o.ShiftName,</v>
      </c>
      <c r="T11" s="68" t="str">
        <f t="shared" si="15"/>
        <v xml:space="preserve">								("ShiftName"),</v>
      </c>
      <c r="V11" s="69" t="str">
        <f t="shared" si="16"/>
        <v xml:space="preserve">								_ =&gt; _.ShiftName,</v>
      </c>
      <c r="W11" s="68" t="str">
        <f t="shared" si="17"/>
        <v xml:space="preserve">				.WhereIf(!string.IsNullOrWhiteSpace(input.ShiftName), e =&gt; e.ShiftName.Contains(input.ShiftName))</v>
      </c>
    </row>
    <row r="12" spans="1:23" customFormat="1" ht="21" customHeight="1" x14ac:dyDescent="0.25">
      <c r="A12" t="s">
        <v>279</v>
      </c>
      <c r="B12" t="s">
        <v>284</v>
      </c>
      <c r="C12" t="s">
        <v>1</v>
      </c>
      <c r="D12" t="str">
        <f t="shared" si="5"/>
        <v>StartTime</v>
      </c>
      <c r="E12" t="str">
        <f t="shared" si="6"/>
        <v>time</v>
      </c>
      <c r="F12" s="7"/>
      <c r="G12" t="str">
        <f t="shared" si="7"/>
        <v>7</v>
      </c>
      <c r="H12" t="str">
        <f>+VLOOKUP(E12,'Data Type Mapping'!A:B,2,)</f>
        <v>TimeSpan</v>
      </c>
      <c r="I12" t="str">
        <f t="shared" si="8"/>
        <v/>
      </c>
      <c r="J12" t="str">
        <f t="shared" si="9"/>
        <v xml:space="preserve">		public virtual TimeSpan StartTime { get; set; }
</v>
      </c>
      <c r="K12" s="7"/>
      <c r="L12" t="str">
        <f t="shared" si="10"/>
        <v/>
      </c>
      <c r="M12" t="str">
        <f t="shared" si="11"/>
        <v xml:space="preserve">		public virtual TimeSpan? StartTime { get; set; }
</v>
      </c>
      <c r="N12" t="str">
        <f t="shared" si="12"/>
        <v xml:space="preserve">		public virtual TimeSpan? StartTime { get; set; }
</v>
      </c>
      <c r="O12" t="str">
        <f t="shared" si="13"/>
        <v/>
      </c>
      <c r="P12" t="str">
        <f t="shared" si="14"/>
        <v xml:space="preserve">							StartTime = o.StartTime,</v>
      </c>
      <c r="T12" s="68" t="str">
        <f t="shared" si="15"/>
        <v xml:space="preserve">								("StartTime"),</v>
      </c>
      <c r="V12" s="69" t="str">
        <f t="shared" si="16"/>
        <v xml:space="preserve">								_ =&gt; _.StartTime,</v>
      </c>
      <c r="W12" s="68" t="str">
        <f t="shared" si="17"/>
        <v/>
      </c>
    </row>
    <row r="13" spans="1:23" customFormat="1" ht="21" customHeight="1" x14ac:dyDescent="0.25">
      <c r="A13" t="s">
        <v>280</v>
      </c>
      <c r="B13" t="s">
        <v>284</v>
      </c>
      <c r="C13" t="s">
        <v>1</v>
      </c>
      <c r="D13" t="str">
        <f t="shared" ref="D13" si="18">SUBSTITUTE(PROPER(A13),"_","")</f>
        <v>EndTime</v>
      </c>
      <c r="E13" t="str">
        <f t="shared" si="0"/>
        <v>time</v>
      </c>
      <c r="F13" s="7"/>
      <c r="G13" t="str">
        <f t="shared" si="1"/>
        <v>7</v>
      </c>
      <c r="H13" t="str">
        <f>+VLOOKUP(E13,'Data Type Mapping'!A:B,2,)</f>
        <v>TimeSpan</v>
      </c>
      <c r="I13" t="str">
        <f t="shared" si="2"/>
        <v/>
      </c>
      <c r="J13" t="str">
        <f t="shared" si="3"/>
        <v xml:space="preserve">		public virtual TimeSpan EndTime { get; set; }
</v>
      </c>
      <c r="K13" s="7"/>
      <c r="L13" t="str">
        <f t="shared" ref="L13" si="19">IF(K13="","",REPT(CHAR(9),1)&amp;"[Index(nameof("&amp;IF(D13="","",""&amp;D13)&amp;")"&amp;", Name="&amp;"""IX_"&amp;$B$7&amp;"_"&amp;D13&amp;""")]")</f>
        <v/>
      </c>
      <c r="M13" t="str">
        <f t="shared" si="11"/>
        <v xml:space="preserve">		public virtual TimeSpan? EndTime { get; set; }
</v>
      </c>
      <c r="N13" t="str">
        <f t="shared" si="12"/>
        <v xml:space="preserve">		public virtual TimeSpan? EndTime { get; set; }
</v>
      </c>
      <c r="O13" t="str">
        <f t="shared" si="13"/>
        <v/>
      </c>
      <c r="P13" t="str">
        <f t="shared" si="4"/>
        <v xml:space="preserve">							EndTime = o.EndTime,</v>
      </c>
      <c r="T13" s="68" t="str">
        <f t="shared" ref="T13" si="20">REPT(CHAR(9),8)&amp;"("""&amp;D13&amp;"""),"</f>
        <v xml:space="preserve">								("EndTime"),</v>
      </c>
      <c r="V13" s="69" t="str">
        <f t="shared" ref="V13" si="21">REPT(CHAR(9),8)&amp;"_ =&gt; _."&amp;D13&amp;","</f>
        <v xml:space="preserve">								_ =&gt; _.EndTime,</v>
      </c>
      <c r="W13" s="68" t="str">
        <f t="shared" ref="W13" si="22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1" customHeight="1" x14ac:dyDescent="0.25">
      <c r="A14" t="s">
        <v>281</v>
      </c>
      <c r="B14" t="s">
        <v>285</v>
      </c>
      <c r="C14" t="s">
        <v>1</v>
      </c>
      <c r="D14" t="str">
        <f t="shared" ref="D14" si="23">SUBSTITUTE(PROPER(A14),"_","")</f>
        <v>DayOfWeek</v>
      </c>
      <c r="E14" t="str">
        <f t="shared" ref="E14" si="24">IFERROR(LEFT(B14, FIND("(",B14)-1),B14)</f>
        <v>varchar</v>
      </c>
      <c r="F14" s="7"/>
      <c r="G14" t="str">
        <f t="shared" ref="G14" si="25">IFERROR(MID(B14,FIND("(",B14) +1, FIND(")",B14) - FIND("(",B14) - 1),"")</f>
        <v>100</v>
      </c>
      <c r="H14" t="str">
        <f>+VLOOKUP(E14,'Data Type Mapping'!A:B,2,)</f>
        <v>string</v>
      </c>
      <c r="I14" t="str">
        <f t="shared" ref="I14" si="26">IF(H14="string",REPT(CHAR(9),2)&amp;"public const int Max"&amp;D14&amp;"Length = "&amp;G14&amp;";"&amp;$E$3,"" )</f>
        <v xml:space="preserve">		public const int MaxDayOfWeekLength = 100;
</v>
      </c>
      <c r="J14" t="str">
        <f t="shared" ref="J14" si="27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[StringLength(MaxDayOfWeekLength)]
		public virtual string DayOfWeek { get; set; }
</v>
      </c>
      <c r="K14" s="7"/>
      <c r="L14" t="str">
        <f t="shared" ref="L14" si="28">IF(K14="","",REPT(CHAR(9),1)&amp;"[Index(nameof("&amp;IF(D14="","",""&amp;D14)&amp;")"&amp;", Name="&amp;"""IX_"&amp;$B$7&amp;"_"&amp;D14&amp;""")]")</f>
        <v/>
      </c>
      <c r="M14" t="str">
        <f t="shared" si="11"/>
        <v xml:space="preserve">		public virtual string DayOfWeek { get; set; }
</v>
      </c>
      <c r="N14" t="str">
        <f t="shared" si="12"/>
        <v xml:space="preserve">		[StringLength(MstWptPatternDConsts.MaxDayOfWeekLength)]
		public virtual string DayOfWeek { get; set; }
</v>
      </c>
      <c r="O14" t="str">
        <f t="shared" si="13"/>
        <v xml:space="preserve">		public virtual string DayOfWeek { get; set; }
</v>
      </c>
      <c r="P14" t="str">
        <f t="shared" ref="P14" si="29">REPT(CHAR(9),7)&amp;D14&amp;" = o." &amp;D14 &amp;","</f>
        <v xml:space="preserve">							DayOfWeek = o.DayOfWeek,</v>
      </c>
      <c r="T14" s="68" t="str">
        <f t="shared" ref="T14" si="30">REPT(CHAR(9),8)&amp;"("""&amp;D14&amp;"""),"</f>
        <v xml:space="preserve">								("DayOfWeek"),</v>
      </c>
      <c r="V14" s="69" t="str">
        <f t="shared" ref="V14" si="31">REPT(CHAR(9),8)&amp;"_ =&gt; _."&amp;D14&amp;","</f>
        <v xml:space="preserve">								_ =&gt; _.DayOfWeek,</v>
      </c>
      <c r="W14" s="68" t="str">
        <f t="shared" ref="W14" si="3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.WhereIf(!string.IsNullOrWhiteSpace(input.DayOfWeek), e =&gt; e.DayOfWeek.Contains(input.DayOfWeek))</v>
      </c>
    </row>
    <row r="15" spans="1:23" customFormat="1" ht="21" customHeight="1" x14ac:dyDescent="0.25">
      <c r="A15" t="s">
        <v>282</v>
      </c>
      <c r="B15" t="s">
        <v>283</v>
      </c>
      <c r="C15" t="s">
        <v>1</v>
      </c>
      <c r="D15" t="str">
        <f t="shared" ref="D15:D16" si="33">SUBSTITUTE(PROPER(A15),"_","")</f>
        <v>SeasonType</v>
      </c>
      <c r="E15" t="str">
        <f t="shared" si="0"/>
        <v>varchar</v>
      </c>
      <c r="F15" s="7"/>
      <c r="G15" t="str">
        <f t="shared" si="1"/>
        <v>10</v>
      </c>
      <c r="H15" t="str">
        <f>+VLOOKUP(E15,'Data Type Mapping'!A:B,2,)</f>
        <v>string</v>
      </c>
      <c r="I15" t="str">
        <f t="shared" si="2"/>
        <v xml:space="preserve">		public const int MaxSeasonTypeLength = 10;
</v>
      </c>
      <c r="J15" t="str">
        <f t="shared" si="3"/>
        <v xml:space="preserve">		[StringLength(MaxSeasonTypeLength)]
		public virtual string SeasonType { get; set; }
</v>
      </c>
      <c r="K15" s="7"/>
      <c r="L15" t="str">
        <f t="shared" ref="L15:L16" si="34">IF(K15="","",REPT(CHAR(9),1)&amp;"[Index(nameof("&amp;IF(D15="","",""&amp;D15)&amp;")"&amp;", Name="&amp;"""IX_"&amp;$B$7&amp;"_"&amp;D15&amp;""")]")</f>
        <v/>
      </c>
      <c r="M15" t="str">
        <f t="shared" si="11"/>
        <v xml:space="preserve">		public virtual string SeasonType { get; set; }
</v>
      </c>
      <c r="N15" t="str">
        <f t="shared" si="12"/>
        <v xml:space="preserve">		[StringLength(MstWptPatternDConsts.MaxSeasonTypeLength)]
		public virtual string SeasonType { get; set; }
</v>
      </c>
      <c r="O15" t="str">
        <f t="shared" si="13"/>
        <v xml:space="preserve">		public virtual string SeasonType { get; set; }
</v>
      </c>
      <c r="P15" t="str">
        <f t="shared" si="4"/>
        <v xml:space="preserve">							SeasonType = o.SeasonType,</v>
      </c>
      <c r="T15" s="68" t="str">
        <f t="shared" ref="T15:T16" si="35">REPT(CHAR(9),8)&amp;"("""&amp;D15&amp;"""),"</f>
        <v xml:space="preserve">								("SeasonType"),</v>
      </c>
      <c r="V15" s="69" t="str">
        <f t="shared" ref="V15:V16" si="36">REPT(CHAR(9),8)&amp;"_ =&gt; _."&amp;D15&amp;","</f>
        <v xml:space="preserve">								_ =&gt; _.SeasonType,</v>
      </c>
      <c r="W15" s="68" t="str">
        <f t="shared" ref="W15:W16" si="37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.WhereIf(!string.IsNullOrWhiteSpace(input.SeasonType), e =&gt; e.SeasonType.Contains(input.SeasonType))</v>
      </c>
    </row>
    <row r="16" spans="1:23" customFormat="1" ht="18.75" customHeight="1" x14ac:dyDescent="0.25">
      <c r="A16" t="s">
        <v>270</v>
      </c>
      <c r="B16" t="s">
        <v>271</v>
      </c>
      <c r="C16" t="s">
        <v>1</v>
      </c>
      <c r="D16" t="str">
        <f t="shared" si="33"/>
        <v>IsActive</v>
      </c>
      <c r="E16" t="str">
        <f t="shared" si="0"/>
        <v>varchar</v>
      </c>
      <c r="F16" s="7"/>
      <c r="G16" t="str">
        <f t="shared" si="1"/>
        <v>1</v>
      </c>
      <c r="H16" t="str">
        <f>+VLOOKUP(E16,'Data Type Mapping'!A:B,2,)</f>
        <v>string</v>
      </c>
      <c r="I16" t="str">
        <f t="shared" si="2"/>
        <v xml:space="preserve">		public const int MaxIsActiveLength = 1;
</v>
      </c>
      <c r="J16" t="str">
        <f t="shared" si="3"/>
        <v xml:space="preserve">		[StringLength(MaxIsActiveLength)]
		public virtual string IsActive { get; set; }
</v>
      </c>
      <c r="K16" s="7"/>
      <c r="L16" t="str">
        <f t="shared" si="34"/>
        <v/>
      </c>
      <c r="M16" t="str">
        <f t="shared" si="11"/>
        <v xml:space="preserve">		public virtual string IsActive { get; set; }
</v>
      </c>
      <c r="N16" t="str">
        <f t="shared" si="12"/>
        <v xml:space="preserve">		[StringLength(MstWptPatternDConsts.MaxIsActiveLength)]
		public virtual string IsActive { get; set; }
</v>
      </c>
      <c r="O16" t="str">
        <f t="shared" si="13"/>
        <v xml:space="preserve">		public virtual string IsActive { get; set; }
</v>
      </c>
      <c r="P16" t="str">
        <f t="shared" si="4"/>
        <v xml:space="preserve">							IsActive = o.IsActive,</v>
      </c>
      <c r="T16" s="68" t="str">
        <f t="shared" si="35"/>
        <v xml:space="preserve">								("IsActive"),</v>
      </c>
      <c r="V16" s="69" t="str">
        <f t="shared" si="36"/>
        <v xml:space="preserve">								_ =&gt; _.IsActive,</v>
      </c>
      <c r="W16" s="68" t="str">
        <f t="shared" si="37"/>
        <v xml:space="preserve">				.WhereIf(!string.IsNullOrWhiteSpace(input.IsActive), e =&gt; e.IsActive.Contains(input.IsActive))</v>
      </c>
    </row>
    <row r="18" spans="8:23" ht="45.75" customHeight="1" x14ac:dyDescent="0.25">
      <c r="H18" s="12"/>
      <c r="I18" s="34" t="str">
        <f ca="1">TEXTJOIN2("
", TRUE,INDIRECT( $H$1):INDIRECT( $H$3))</f>
        <v xml:space="preserve">		public const int MaxShiftNameLength = 10;
		public const int MaxDayOfWeekLength = 100;
		public const int MaxSeasonTypeLength = 10;
		public const int MaxIsActiveLength = 1;
</v>
      </c>
      <c r="J18" s="33" t="str">
        <f ca="1">TEXTJOIN2("
", TRUE,INDIRECT( $F$1):INDIRECT( $F$3))</f>
        <v xml:space="preserve">		[Required]
		public virtual int PatternHId { get; set; }
		[Required]
		public virtual int ShiftNo { get; set; }
		[StringLength(MaxShiftNameLength)]
		public virtual string ShiftName { get; set; }
		public virtual TimeSpan StartTime { get; set; }
		public virtual TimeSpan EndTime { get; set; }
		[StringLength(MaxDayOfWeekLength)]
		public virtual string DayOfWeek { get; set; }
		[StringLength(MaxSeasonTypeLength)]
		public virtual string SeasonType { get; set; }
		[StringLength(MaxIsActiveLength)]
		public virtual string IsActive { get; set; }
</v>
      </c>
      <c r="K18" s="35" t="str">
        <f ca="1">TEXTJOIN2("
", TRUE,INDIRECT( $J$1):INDIRECT( $J$3))</f>
        <v xml:space="preserve">	[Index(nameof(PatternHId), Name="IX_MstWptPatternD_PatternHId")]
	[Index(nameof(ShiftNo), Name="IX_MstWptPatternD_ShiftNo")]
</v>
      </c>
      <c r="L18" s="13" t="s">
        <v>60</v>
      </c>
      <c r="M18" s="36" t="str">
        <f ca="1">TEXTJOIN2("
",TRUE,INDIRECT( $L$1):INDIRECT($L$3))</f>
        <v xml:space="preserve">		public virtual int PatternHId { get; set; }
		public virtual int ShiftNo { get; set; }
		public virtual string ShiftName { get; set; }
		public virtual TimeSpan? StartTime { get; set; }
		public virtual TimeSpan? EndTime { get; set; }
		public virtual string DayOfWeek { get; set; }
		public virtual string SeasonType { get; set; }
		public virtual string IsActive { get; set; }
</v>
      </c>
      <c r="N18" s="33" t="str">
        <f ca="1">TEXTJOIN2("
",TRUE,INDIRECT( $M$1):INDIRECT($M$3))</f>
        <v xml:space="preserve">		[Required]
		public virtual int PatternHId { get; set; }
		[Required]
		public virtual int ShiftNo { get; set; }
		[StringLength(MstWptPatternDConsts.MaxShiftNameLength)]
		public virtual string ShiftName { get; set; }
		public virtual TimeSpan? StartTime { get; set; }
		public virtual TimeSpan? EndTime { get; set; }
		[StringLength(MstWptPatternDConsts.MaxDayOfWeekLength)]
		public virtual string DayOfWeek { get; set; }
		[StringLength(MstWptPatternDConsts.MaxSeasonTypeLength)]
		public virtual string SeasonType { get; set; }
		[StringLength(MstWptPatternDConsts.MaxIsActiveLength)]
		public virtual string IsActive { get; set; }
</v>
      </c>
      <c r="O18" s="33" t="str">
        <f ca="1">TEXTJOIN2("
",TRUE,INDIRECT( $N$1):INDIRECT($N$3))</f>
        <v xml:space="preserve">		public virtual int PatternHId { get; set; }
		public virtual int ShiftNo { get; set; }
		public virtual string ShiftName { get; set; }
		public virtual string DayOfWeek { get; set; }
		public virtual string SeasonType { get; set; }
		public virtual string IsActive { get; set; }
</v>
      </c>
      <c r="P18" s="9" t="str">
        <f ca="1">TEXTJOIN2("
",TRUE,INDIRECT( $O$1):INDIRECT($O$3))</f>
        <v xml:space="preserve">							PatternHId = o.PatternHId,
							ShiftNo = o.ShiftNo,
							ShiftName = o.ShiftName,
							StartTime = o.StartTime,
							EndTime = o.EndTime,
							DayOfWeek = o.DayOfWeek,
							SeasonType = o.SeasonType,
							IsActive = o.IsActive,</v>
      </c>
      <c r="T18" s="9" t="str">
        <f ca="1">TEXTJOIN2("
",TRUE,INDIRECT( $T$2):INDIRECT($T$3))</f>
        <v xml:space="preserve">								("PatternHId"),
								("ShiftNo"),
								("ShiftName"),
								("StartTime"),
								("EndTime"),
								("DayOfWeek"),
								("SeasonType"),
								("IsActive"),</v>
      </c>
      <c r="V18" s="9" t="str">
        <f ca="1">TEXTJOIN2("
",TRUE,INDIRECT( $V$2):INDIRECT($V$3))</f>
        <v xml:space="preserve">								_ =&gt; _.PatternHId,
								_ =&gt; _.ShiftNo,
								_ =&gt; _.ShiftName,
								_ =&gt; _.StartTime,
								_ =&gt; _.EndTime,
								_ =&gt; _.DayOfWeek,
								_ =&gt; _.SeasonType,
								_ =&gt; _.IsActive,</v>
      </c>
      <c r="W18" s="9" t="str">
        <f ca="1">TEXTJOIN2("
",TRUE,INDIRECT( $W$2):INDIRECT($W$3))</f>
        <v xml:space="preserve">				.WhereIf(!string.IsNullOrWhiteSpace(input.ShiftName), e =&gt; e.ShiftName.Contains(input.ShiftName))
				.WhereIf(!string.IsNullOrWhiteSpace(input.DayOfWeek), e =&gt; e.DayOfWeek.Contains(input.DayOfWeek))
				.WhereIf(!string.IsNullOrWhiteSpace(input.SeasonType), e =&gt; e.SeasonType.Contains(input.SeasonType))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5"/>
  <sheetViews>
    <sheetView tabSelected="1" topLeftCell="A7" workbookViewId="0">
      <selection activeCell="F25" sqref="F2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275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1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1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2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2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3" t="str">
        <f>A.Backend!B3</f>
        <v>MstWptPatternD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2" t="str">
        <f>A.Backend!B5</f>
        <v>PatternD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2" t="str">
        <f>LOWER(B7)</f>
        <v>patternd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MstWptPatternDDto, MstWptPatternDServiceProxy } from '@shared/service-proxies/service-proxies';
import { finalize } from 'rxjs/internal/operators/finalize';
import { CreateOrEditPatternDModalComponent } from './create-or-edit-patternd-modal.component';
import { DatePipe } from '@angular/common';
import { FileDownloadService } from '@shared/utils/file-download.service';
import ceil from 'lodash-es/ceil';
import { Paginator } from 'primeng/paginator';
@Component({
    templateUrl: './patternd.component.html',
    styleUrls: ['./patternd.component.less'],
})
export class PatternDComponent extends AppComponentBase implements OnInit {
    @ViewChild('createOrEditModalPatternD', { static: true }) createOrEditModalPatternD:| CreateOrEditPatternDModalComponent|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MstWptPatternDDto = new MstWptPatternDDto();
    saveSelectedRow: MstWptPatternDDto = new MstWptPatternDDto();
    datas: MstWptPatternDDto = new MstWptPatternDDto();
    isLoading: boolean = false;
    dataParams: GridParams | undefined;
    rowData: any[] = [];
    gridApi!: GridApi;
    rowSelection = 'multiple';
    filter: string = '';
	pipe = new DatePipe('en-US');
    patternHId : number = 0 ;
	shiftNo : number = 0 ;
	shiftName : string = '' ; 
startTime
	endTime
	dayOfWeek : string = '' ; 
seasonType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MstWptPatternDServiceProxy,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this.l('Pattern H Id'),headerTooltip: this.l('Pattern H Id'),field: 'patternHId',flex: 1},
			{headerName: this.l('Shift No'),headerTooltip: this.l('Shift No'),field: 'shiftNo',flex: 1},
			{headerName: this.l('Shift Name'),headerTooltip: this.l('Shift Name'),field: 'shiftName',flex: 1},
			{headerName: this.l('Start Time'),headerTooltip: this.l('Start Time'),field: 'startTime',flex: 1},
			{headerName: this.l('End Time'),headerTooltip: this.l('End Time'),field: 'endTime',flex: 1},
			{headerName: this.l('Day Of Week'),headerTooltip: this.l('Day Of Week'),field: 'dayOfWeek',flex: 1},
			{headerName: this.l('Season Type'),headerTooltip: this.l('Season Type'),field: 'seasonType',flex: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this.patternHId,
			this.shiftNo,
			this.shiftName,
			this.startTime,
			this.endTime,
			this.dayOfWeek,
			this.seasonType,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this.patternHId = 0,
		this.shiftNo = 0,
		this.shiftName = '',
this.startTime = '',
		this.endTime = '',
		this.dayOfWeek = '',
this.seasonType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this.patternHId,
			this.shiftNo,
			this.shiftName,
			this.startTime,
			this.endTime,
			this.dayOfWeek,
			this.seasonType,
			this.isActive,
			'',
            this.paginationParams.skipCount,
            this.paginationParams.pageSize
        );
    }
    onChangeRowSelection(params: { api: { getSelectedRows: () =&gt; MstWptPatternDDto[] } }) {
        this.saveSelectedRow = params.api.getSelectedRows()[0] ?? new MstWptPatternDDto();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MstWptPatternDDto):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this._service.getPatternDToExcel(
			this.patternHId,
			this.shiftNo,
			this.shiftName,
			this.startTime,
			this.endTime,
			this.dayOfWeek,
			this.seasonType,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(click)="createOrEditModalPatternD.show()"&gt;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(click)="createOrEditModalPatternD.show(selectedRow)"&gt;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&lt;create-or-edit-patternd-modal
    #createOrEditModalPatternD
    (modalSave)="callBackDataGrid(dataParams)"
    (modalClose)="onChangeRowSelection(dataParams)"
&gt;
&lt;/create-or-edit-patternd-modal&gt;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#createOrEditModalPatternD="bs-modal"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PatternD')}}&lt;/h3&gt;
                    &lt;h3 *ngIf="!rowdata.id"&gt;{{('Create New PatternD')}}&lt;/h3&gt;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title'&gt;Pattern H Id&lt;/label&gt;
						&lt;input type='number' class='col-md-10 form-control input-text' name='PatternHId' [(ngModel)]='rowdata.patternHId'&gt;
					&lt;/div&gt;
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CreateOrEditMstWptPatternDDto, MstWptPatternDServiceProxy } from '@shared/service-proxies/service-proxies';
import { BsDatepickerDirective } from 'ngx-bootstrap/datepicker';
@Component({
    selector: 'create-or-edit-patternd-modal',
    templateUrl: './create-or-edit-patternd-modal.component.html',
    styleUrls: ['./create-or-edit-patternd-modal.component.less']
    })
export class CreateOrEditPatternDModalComponent extends AppComponentBase {
    @ViewChild('createOrEditModalPatternD',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CreateOrEditMstWptPatternDDto = new CreateOrEditMstWptPatternDDto();
    active: boolean = false;
    saving: boolean = false;
    _isActive: boolean;
    constructor(
        injector: Injector,
        private _mstwptPatternDService: MstWptPatternDServiceProxy,
    ) 
    {
        super(injector);
    }
    show(rowdata?: CreateOrEditMstWptPatternDDto): void {
        if (!rowdata) this.rowdata = new CreateOrEditMstWptPatternDDto();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this._mstwptPatternDService.createOrEdit(this.rowdata)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PatternDRoutingModule } from './patternd-routing.module';
import { PatternDComponent } from './patternd.component';
import { CreateOrEditPatternDModalComponent } from './create-or-edit-patternd-modal.component';
@NgModule({
    declarations: [
       PatternDComponent, 
        CreateOrEditPatternDModalComponent
    ],
    imports: [
        AppSharedModule, PatternDRoutingModule]
})
export class PatternDModule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PatternDComponent } from './patternd.component';
const routes: Routes = [{
    path: '',
    component: PatternDComponent,
    pathMatch: 'full'
}];
@NgModule({
    imports: [RouterModule.forChild(routes)],
    exports: [RouterModule],
})
export class PatternDRoutingModule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AppMenuItem("PatternD", "Pages.Master.WorkingPattern.PatternD", "flaticon-book",   "/app/main/master/workingpattern/patternd"),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'master/workingpattern/patternd',
    loadChildren: () =&gt; import('./master/workingpattern/patternd/patternd.module').then(m =&gt; m.PatternDModule),
    data: { permission: 'Pages.Master.WorkingPattern.PatternD' }
},</v>
      </c>
      <c r="R10" s="49" t="str">
        <f>SUBSTITUTE(R9,"MstWptCalendar",$B$6)</f>
        <v>ApiServiceProxies.MstWptPatternDServiceProxy,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this.l('Pattern H Id'),headerTooltip: this.l('Pattern H Id'),field: 'patternHId',flex: 1},
			{headerName: this.l('Shift No'),headerTooltip: this.l('Shift No'),field: 'shiftNo',flex: 1},
			{headerName: this.l('Shift Name'),headerTooltip: this.l('Shift Name'),field: 'shiftName',flex: 1},
			{headerName: this.l('Start Time'),headerTooltip: this.l('Start Time'),field: 'startTime',flex: 1},
			{headerName: this.l('End Time'),headerTooltip: this.l('End Time'),field: 'endTime',flex: 1},
			{headerName: this.l('Day Of Week'),headerTooltip: this.l('Day Of Week'),field: 'dayOfWeek',flex: 1},
			{headerName: this.l('Season Type'),headerTooltip: this.l('Season Type'),field: 'seasonType',flex: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[(ngModel)]='shiftName' name='shiftName'
									class='form-control' [placeholder]="l('Shift Name')"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title'&gt;Pattern H Id&lt;/label&gt;
						&lt;input type='number' class='col-md-10 form-control input-text' name='PatternHId' [(ngModel)]='rowdata.patternHId'&gt;
					&lt;/div&gt;
					&lt;div class='col-md-12 form-group row'&gt;
						&lt;label class='col-md-2 form-control title'&gt;Shift No&lt;/label&gt;
						&lt;input type='number' class='col-md-10 form-control input-text' name='ShiftNo' [(ngModel)]='rowdata.shiftNo'&gt;
					&lt;/div&gt;
					&lt;div class='col-md-12 form-group row'&gt;
						&lt;label class='col-md-2 form-control title'&gt;Shift Name&lt;/label&gt;
						&lt;input type='text' class='col-md-10 form-control input-text' name='ShiftName' [(ngModel)]='rowdata.shiftName'&gt;
					&lt;/div&gt;
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
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patternHId : number = 0 ;
	shiftNo : number = 0 ;
	shiftName : string = '' ; 
startTime
	endTime
	dayOfWeek : string = '' ; 
seasonType : string = '' ; 
	isActive : string = '' ; </v>
      </c>
      <c r="T13" s="67" t="str">
        <f ca="1">TEXTJOIN2("
",TRUE,INDIRECT(T11):INDIRECT(T12))</f>
        <v xml:space="preserve">			this.patternHId,
			this.shiftNo,
			this.shiftName,
			this.startTime,
			this.endTime,
			this.dayOfWeek,
			this.seasonType,
			this.isActive,</v>
      </c>
      <c r="U13" s="67" t="str">
        <f ca="1">TEXTJOIN2("
",TRUE,INDIRECT(U11):INDIRECT(U12))</f>
        <v>this.patternHId = 0,
		this.shiftNo = 0,
		this.shiftName = '',
this.startTime = '',
		this.endTime = '',
		this.dayOfWeek = '',
this.seasonType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patternd.component.ts</v>
      </c>
      <c r="I14" s="40" t="str">
        <f>B8&amp;".component.html"</f>
        <v>patternd.component.html</v>
      </c>
      <c r="J14" s="39" t="str">
        <f>B8&amp;".component.less"</f>
        <v>patternd.component.less</v>
      </c>
      <c r="K14" s="40" t="str">
        <f>"create-or-edit-"&amp;B8&amp;"-modal.component.html"</f>
        <v>create-or-edit-patternd-modal.component.html</v>
      </c>
      <c r="L14" s="40" t="str">
        <f>"create-or-edit-"&amp;B8&amp;"-modal.component.ts"</f>
        <v>create-or-edit-patternd-modal.component.ts</v>
      </c>
      <c r="M14" s="40" t="str">
        <f>"create-or-edit-"&amp;B8&amp;"-modal.component.less"</f>
        <v>create-or-edit-patternd-modal.component.less</v>
      </c>
      <c r="N14" s="40" t="str">
        <f>B8&amp;".module.ts"</f>
        <v>patternd.module.ts</v>
      </c>
      <c r="O14" s="40" t="str">
        <f>B8&amp;"-routing.module.ts"</f>
        <v>patternd-routing.module.ts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276</v>
      </c>
      <c r="B15" s="31" t="str">
        <f>SUBSTITUTE(PROPER(A15),"_","")</f>
        <v>PatternHId</v>
      </c>
      <c r="C15" s="31" t="str">
        <f>SUBSTITUTE(PROPER(A15),"_"," ")</f>
        <v>Pattern H Id</v>
      </c>
      <c r="D15" s="31" t="str">
        <f>LOWER(LEFT(B15,1))&amp;RIGHT(B15,LEN(B15) - 1)</f>
        <v>patternHId</v>
      </c>
      <c r="E15" s="31" t="str">
        <f>A.Backend!H9</f>
        <v>int</v>
      </c>
      <c r="F15" s="31" t="str">
        <f>A.Backend!G9</f>
        <v/>
      </c>
      <c r="G15" s="31" t="str">
        <f>IF(E15="string"," : string = '' ; ",IF(E15="DateTime"," : any ;",IF(E15="int"," : number = 0 ;","")))</f>
        <v xml:space="preserve"> : number = 0 ;</v>
      </c>
      <c r="H15" s="38" t="str">
        <f t="shared" ref="H15:H22" si="0"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this.l('Pattern H Id'),headerTooltip: this.l('Pattern H Id'),field: 'patternHId',flex: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title'&gt;Pattern H Id&lt;/label&gt;
						&lt;input type='number' class='col-md-10 form-control input-text' name='PatternHId' [(ngModel)]='rowdata.patternHId'&gt;
					&lt;/div&gt;</v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patternHId : number = 0 ;</v>
      </c>
      <c r="T15" s="31" t="str">
        <f t="shared" ref="T15:T21" si="1">REPT(CHAR(9),3)&amp;"this."&amp;D15&amp;","</f>
        <v xml:space="preserve">			this.patternHId,</v>
      </c>
      <c r="U15" s="31" t="str">
        <f>IF(E15="int","this."&amp;D15&amp;" = 0,","this."&amp;D15&amp;" = '',")</f>
        <v>this.patternHId = 0,</v>
      </c>
      <c r="V15" s="31" t="str">
        <f>IF(AND(E15="string",F15="1"),D15,"")</f>
        <v/>
      </c>
    </row>
    <row r="16" spans="1:22" ht="15" customHeight="1" x14ac:dyDescent="0.25">
      <c r="A16" s="43" t="s">
        <v>277</v>
      </c>
      <c r="B16" s="31" t="str">
        <f t="shared" ref="B16:B22" si="2">SUBSTITUTE(PROPER(A16),"_","")</f>
        <v>ShiftNo</v>
      </c>
      <c r="C16" s="31" t="str">
        <f t="shared" ref="C16:C22" si="3">SUBSTITUTE(PROPER(A16),"_"," ")</f>
        <v>Shift No</v>
      </c>
      <c r="D16" s="31" t="str">
        <f t="shared" ref="D16:D22" si="4">LOWER(LEFT(B16,1))&amp;RIGHT(B16,LEN(B16) - 1)</f>
        <v>shiftNo</v>
      </c>
      <c r="E16" s="31" t="str">
        <f>A.Backend!H10</f>
        <v>int</v>
      </c>
      <c r="F16" s="31" t="str">
        <f>A.Backend!G10</f>
        <v/>
      </c>
      <c r="G16" s="31" t="str">
        <f t="shared" ref="G16:G22" si="5">IF(E16="string"," : string = '' ; ",IF(E16="DateTime"," : any ;",IF(E16="int"," : number = 0 ;","")))</f>
        <v xml:space="preserve"> : number = 0 ;</v>
      </c>
      <c r="H16" s="38" t="str">
        <f t="shared" si="0"/>
        <v xml:space="preserve">			{headerName: this.l('Shift No'),headerTooltip: this.l('Shift No'),field: 'shiftNo',flex: 1},</v>
      </c>
      <c r="I16" s="38" t="str">
        <f t="shared" ref="I16:I22" si="6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22" si="7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title'&gt;Shift No&lt;/label&gt;
						&lt;input type='number' class='col-md-10 form-control input-text' name='ShiftNo' [(ngModel)]='rowdata.shiftNo'&gt;
					&lt;/div&gt;</v>
      </c>
      <c r="L16" s="59" t="str">
        <f t="shared" ref="L16:L22" si="8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shiftNo : number = 0 ;</v>
      </c>
      <c r="T16" s="31" t="str">
        <f t="shared" si="1"/>
        <v xml:space="preserve">			this.shiftNo,</v>
      </c>
      <c r="U16" s="31" t="str">
        <f>IF(E16="int",REPT(CHAR(9),2)&amp;"this."&amp;D16&amp;" = 0,",REPT(CHAR(9),2)&amp;"this."&amp;D16&amp;" = '',")</f>
        <v xml:space="preserve">		this.shiftNo = 0,</v>
      </c>
      <c r="V16" s="31" t="str">
        <f t="shared" ref="V16:V22" si="9">IF(AND(E16="string",F16="1"),D16,"")</f>
        <v/>
      </c>
    </row>
    <row r="17" spans="1:22" ht="15" customHeight="1" x14ac:dyDescent="0.25">
      <c r="A17" s="43" t="s">
        <v>278</v>
      </c>
      <c r="B17" s="31" t="str">
        <f t="shared" ref="B17" si="10">SUBSTITUTE(PROPER(A17),"_","")</f>
        <v>ShiftName</v>
      </c>
      <c r="C17" s="31" t="str">
        <f t="shared" ref="C17" si="11">SUBSTITUTE(PROPER(A17),"_"," ")</f>
        <v>Shift Name</v>
      </c>
      <c r="D17" s="31" t="str">
        <f t="shared" si="4"/>
        <v>shiftName</v>
      </c>
      <c r="E17" s="31" t="str">
        <f>A.Backend!H11</f>
        <v>string</v>
      </c>
      <c r="F17" s="31" t="str">
        <f>A.Backend!G11</f>
        <v>10</v>
      </c>
      <c r="G17" s="31" t="str">
        <f t="shared" si="5"/>
        <v xml:space="preserve"> : string = '' ; </v>
      </c>
      <c r="H17" s="38" t="str">
        <f t="shared" si="0"/>
        <v xml:space="preserve">			{headerName: this.l('Shift Name'),headerTooltip: this.l('Shift Name'),field: 'shiftName',flex: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[(ngModel)]='shiftName' name='shiftName'
									class='form-control' [placeholder]="l('Shift Name')"
									type='text' (keyup.enter)='searchDatas()'&gt;
								&lt;/div&gt;</v>
      </c>
      <c r="J17" s="31"/>
      <c r="K17" s="38" t="str">
        <f t="shared" si="7"/>
        <v xml:space="preserve">					&lt;div class='col-md-12 form-group row'&gt;
						&lt;label class='col-md-2 form-control title'&gt;Shift Name&lt;/label&gt;
						&lt;input type='text' class='col-md-10 form-control input-text' name='ShiftName' [(ngModel)]='rowdata.shiftName'&gt;
					&lt;/div&gt;</v>
      </c>
      <c r="L17" s="59" t="str">
        <f t="shared" ref="L17" si="12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shiftName : string = '' ; </v>
      </c>
      <c r="T17" s="31" t="str">
        <f t="shared" si="1"/>
        <v xml:space="preserve">			this.shiftName,</v>
      </c>
      <c r="U17" s="31" t="str">
        <f>IF(E17="int",REPT(CHAR(9),2)&amp;"this."&amp;D17&amp;" = 0,",REPT(CHAR(9),2)&amp;"this."&amp;D17&amp;" = '',")</f>
        <v xml:space="preserve">		this.shiftName = '',</v>
      </c>
      <c r="V17" s="31" t="str">
        <f t="shared" ref="V17" si="13">IF(AND(E17="string",F17="1"),D17,"")</f>
        <v/>
      </c>
    </row>
    <row r="18" spans="1:22" ht="18" customHeight="1" x14ac:dyDescent="0.25">
      <c r="A18" s="43" t="s">
        <v>279</v>
      </c>
      <c r="B18" s="31" t="str">
        <f>SUBSTITUTE(PROPER(A18),"_","")</f>
        <v>StartTime</v>
      </c>
      <c r="C18" s="31" t="str">
        <f>SUBSTITUTE(PROPER(A18),"_"," ")</f>
        <v>Start Time</v>
      </c>
      <c r="D18" s="31" t="str">
        <f t="shared" si="4"/>
        <v>startTime</v>
      </c>
      <c r="E18" s="31" t="str">
        <f>A.Backend!H12</f>
        <v>TimeSpan</v>
      </c>
      <c r="F18" s="31" t="str">
        <f>A.Backend!G12</f>
        <v>7</v>
      </c>
      <c r="G18" s="31" t="str">
        <f t="shared" si="5"/>
        <v/>
      </c>
      <c r="H18" s="38" t="str">
        <f t="shared" si="0"/>
        <v xml:space="preserve">			{headerName: this.l('Start Time'),headerTooltip: this.l('Start Time'),field: 'startTime',flex: 1},</v>
      </c>
      <c r="I18" s="38" t="str">
        <f t="shared" si="6"/>
        <v/>
      </c>
      <c r="J18" s="31"/>
      <c r="K18" s="38" t="str">
        <f t="shared" si="7"/>
        <v xml:space="preserve">					&lt;div class='col-md-12 form-group row'&gt;
						&lt;label class='col-md-2 form-control title'&gt;Start Time&lt;/label&gt;
						&lt;input type='text' class='col-md-10 form-control input-text' name='startTime' 
						#datepicker='bsDatepicker' [(ngModel)]='rowdata.startTime'  bsDatepicker &gt;
					&lt;/div&gt;</v>
      </c>
      <c r="L18" s="59" t="str">
        <f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D18&amp;G18</f>
        <v>startTime</v>
      </c>
      <c r="T18" s="31" t="str">
        <f t="shared" si="1"/>
        <v xml:space="preserve">			this.startTime,</v>
      </c>
      <c r="U18" s="31" t="str">
        <f>IF(E18="int","this."&amp;D18&amp;" = 0,","this."&amp;D18&amp;" = '',")</f>
        <v>this.startTime = '',</v>
      </c>
      <c r="V18" s="31" t="str">
        <f>IF(AND(E18="string",F18="1"),D18,"")</f>
        <v/>
      </c>
    </row>
    <row r="19" spans="1:22" ht="15" customHeight="1" x14ac:dyDescent="0.25">
      <c r="A19" s="43" t="s">
        <v>280</v>
      </c>
      <c r="B19" s="31" t="str">
        <f t="shared" ref="B19:B20" si="14">SUBSTITUTE(PROPER(A19),"_","")</f>
        <v>EndTime</v>
      </c>
      <c r="C19" s="31" t="str">
        <f t="shared" ref="C19:C20" si="15">SUBSTITUTE(PROPER(A19),"_"," ")</f>
        <v>End Time</v>
      </c>
      <c r="D19" s="31" t="str">
        <f t="shared" si="4"/>
        <v>endTime</v>
      </c>
      <c r="E19" s="31" t="str">
        <f>A.Backend!H13</f>
        <v>TimeSpan</v>
      </c>
      <c r="F19" s="31" t="str">
        <f>A.Backend!G13</f>
        <v>7</v>
      </c>
      <c r="G19" s="31" t="str">
        <f t="shared" si="5"/>
        <v/>
      </c>
      <c r="H19" s="38" t="str">
        <f t="shared" si="0"/>
        <v xml:space="preserve">			{headerName: this.l('End Time'),headerTooltip: this.l('End Time'),field: 'endTime',flex: 1},</v>
      </c>
      <c r="I19" s="38" t="str">
        <f t="shared" si="6"/>
        <v/>
      </c>
      <c r="J19" s="31"/>
      <c r="K19" s="38" t="str">
        <f t="shared" si="7"/>
        <v xml:space="preserve">					&lt;div class='col-md-12 form-group row'&gt;
						&lt;label class='col-md-2 form-control title'&gt;End Time&lt;/label&gt;
						&lt;input type='text' class='col-md-10 form-control input-text' name='endTime' 
						#datepicker='bsDatepicker' [(ngModel)]='rowdata.endTime'  bsDatepicker &gt;
					&lt;/div&gt;</v>
      </c>
      <c r="L19" s="59" t="str">
        <f t="shared" ref="L19:L20" si="16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endTime</v>
      </c>
      <c r="T19" s="31" t="str">
        <f t="shared" si="1"/>
        <v xml:space="preserve">			this.endTime,</v>
      </c>
      <c r="U19" s="31" t="str">
        <f>IF(E19="int",REPT(CHAR(9),2)&amp;"this."&amp;D19&amp;" = 0,",REPT(CHAR(9),2)&amp;"this."&amp;D19&amp;" = '',")</f>
        <v xml:space="preserve">		this.endTime = '',</v>
      </c>
      <c r="V19" s="31" t="str">
        <f t="shared" ref="V19:V20" si="17">IF(AND(E19="string",F19="1"),D19,"")</f>
        <v/>
      </c>
    </row>
    <row r="20" spans="1:22" ht="15" customHeight="1" x14ac:dyDescent="0.25">
      <c r="A20" s="43" t="s">
        <v>281</v>
      </c>
      <c r="B20" s="31" t="str">
        <f t="shared" si="14"/>
        <v>DayOfWeek</v>
      </c>
      <c r="C20" s="31" t="str">
        <f t="shared" si="15"/>
        <v>Day Of Week</v>
      </c>
      <c r="D20" s="31" t="str">
        <f t="shared" si="4"/>
        <v>dayOfWeek</v>
      </c>
      <c r="E20" s="31" t="str">
        <f>A.Backend!H14</f>
        <v>string</v>
      </c>
      <c r="F20" s="31" t="str">
        <f>A.Backend!G14</f>
        <v>100</v>
      </c>
      <c r="G20" s="31" t="str">
        <f t="shared" si="5"/>
        <v xml:space="preserve"> : string = '' ; </v>
      </c>
      <c r="H20" s="38" t="str">
        <f t="shared" si="0"/>
        <v xml:space="preserve">			{headerName: this.l('Day Of Week'),headerTooltip: this.l('Day Of Week'),field: 'dayOfWeek',flex: 1},</v>
      </c>
      <c r="I20" s="38" t="str">
        <f t="shared" si="6"/>
        <v xml:space="preserve">								&lt;div class='input-search'&gt;
									&lt;input [(ngModel)]='dayOfWeek' name='dayOfWeek'
									class='form-control' [placeholder]="l('Day Of Week')"
									type='text' (keyup.enter)='searchDatas()'&gt;
								&lt;/div&gt;</v>
      </c>
      <c r="J20" s="31"/>
      <c r="K20" s="38" t="str">
        <f t="shared" si="7"/>
        <v xml:space="preserve">					&lt;div class='col-md-12 form-group row'&gt;
						&lt;label class='col-md-2 form-control title'&gt;Day Of Week&lt;/label&gt;
						&lt;input type='text' class='col-md-10 form-control input-text' name='DayOfWeek' [(ngModel)]='rowdata.dayOfWeek'&gt;
					&lt;/div&gt;</v>
      </c>
      <c r="L20" s="59" t="str">
        <f t="shared" si="16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dayOfWeek : string = '' ; </v>
      </c>
      <c r="T20" s="31" t="str">
        <f t="shared" si="1"/>
        <v xml:space="preserve">			this.dayOfWeek,</v>
      </c>
      <c r="U20" s="31" t="str">
        <f>IF(E20="int",REPT(CHAR(9),2)&amp;"this."&amp;D20&amp;" = 0,",REPT(CHAR(9),2)&amp;"this."&amp;D20&amp;" = '',")</f>
        <v xml:space="preserve">		this.dayOfWeek = '',</v>
      </c>
      <c r="V20" s="31" t="str">
        <f t="shared" si="17"/>
        <v/>
      </c>
    </row>
    <row r="21" spans="1:22" ht="18" customHeight="1" x14ac:dyDescent="0.25">
      <c r="A21" s="43" t="s">
        <v>282</v>
      </c>
      <c r="B21" s="31" t="str">
        <f>SUBSTITUTE(PROPER(A21),"_","")</f>
        <v>SeasonType</v>
      </c>
      <c r="C21" s="31" t="str">
        <f>SUBSTITUTE(PROPER(A21),"_"," ")</f>
        <v>Season Type</v>
      </c>
      <c r="D21" s="31" t="str">
        <f t="shared" si="4"/>
        <v>seasonType</v>
      </c>
      <c r="E21" s="31" t="str">
        <f>A.Backend!H15</f>
        <v>string</v>
      </c>
      <c r="F21" s="31" t="str">
        <f>A.Backend!G15</f>
        <v>10</v>
      </c>
      <c r="G21" s="31" t="str">
        <f t="shared" si="5"/>
        <v xml:space="preserve"> : string = '' ; </v>
      </c>
      <c r="H21" s="38" t="str">
        <f t="shared" si="0"/>
        <v xml:space="preserve">			{headerName: this.l('Season Type'),headerTooltip: this.l('Season Type'),field: 'seasonType',flex: 1},</v>
      </c>
      <c r="I21" s="38" t="str">
        <f t="shared" si="6"/>
        <v xml:space="preserve">								&lt;div class='input-search'&gt;
									&lt;input [(ngModel)]='seasonType' name='seasonType'
									class='form-control' [placeholder]="l('Season Type')"
									type='text' (keyup.enter)='searchDatas()'&gt;
								&lt;/div&gt;</v>
      </c>
      <c r="J21" s="31"/>
      <c r="K21" s="38" t="str">
        <f t="shared" si="7"/>
        <v xml:space="preserve">					&lt;div class='col-md-12 form-group row'&gt;
						&lt;label class='col-md-2 form-control title'&gt;Season Type&lt;/label&gt;
						&lt;input type='text' class='col-md-10 form-control input-text' name='SeasonType' [(ngModel)]='rowdata.seasonType'&gt;
					&lt;/div&gt;</v>
      </c>
      <c r="L21" s="59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seasonType : string = '' ; </v>
      </c>
      <c r="T21" s="31" t="str">
        <f t="shared" si="1"/>
        <v xml:space="preserve">			this.seasonType,</v>
      </c>
      <c r="U21" s="31" t="str">
        <f>IF(E21="int","this."&amp;D21&amp;" = 0,","this."&amp;D21&amp;" = '',")</f>
        <v>this.seasonType = '',</v>
      </c>
      <c r="V21" s="31" t="str">
        <f>IF(AND(E21="string",F21="1"),D21,"")</f>
        <v/>
      </c>
    </row>
    <row r="22" spans="1:22" ht="18" customHeight="1" x14ac:dyDescent="0.25">
      <c r="A22" s="43" t="s">
        <v>270</v>
      </c>
      <c r="B22" s="31" t="str">
        <f t="shared" si="2"/>
        <v>IsActive</v>
      </c>
      <c r="C22" s="31" t="str">
        <f t="shared" si="3"/>
        <v>Is Active</v>
      </c>
      <c r="D22" s="31" t="str">
        <f t="shared" si="4"/>
        <v>isActive</v>
      </c>
      <c r="E22" s="31" t="str">
        <f>A.Backend!H16</f>
        <v>string</v>
      </c>
      <c r="F22" s="31" t="str">
        <f>A.Backend!G16</f>
        <v>1</v>
      </c>
      <c r="G22" s="31" t="str">
        <f t="shared" si="5"/>
        <v xml:space="preserve"> : string = '' ; </v>
      </c>
      <c r="H22" s="38" t="str">
        <f t="shared" si="0"/>
        <v xml:space="preserve">			{headerName: this.l('Is Active'),headerTooltip: this.l('Is Active'),field: 'isActive',flex: 1},</v>
      </c>
      <c r="I22" s="38" t="str">
        <f t="shared" si="6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si="7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22" s="59" t="str">
        <f t="shared" si="8"/>
        <v/>
      </c>
      <c r="M22" s="31"/>
      <c r="N22" s="31"/>
      <c r="O22" s="31"/>
      <c r="P22" s="31"/>
      <c r="Q22" s="31"/>
      <c r="R22" s="31"/>
      <c r="S22" s="31" t="str">
        <f t="shared" ref="S22" si="18">REPT(CHAR(9),1)&amp;D22&amp;G22</f>
        <v xml:space="preserve">	isActive : string = '' ; </v>
      </c>
      <c r="T22" s="31" t="str">
        <f t="shared" ref="T22" si="19">REPT(CHAR(9),3)&amp;"this."&amp;D22&amp;","</f>
        <v xml:space="preserve">			this.isActive,</v>
      </c>
      <c r="U22" s="31" t="str">
        <f t="shared" ref="U22" si="20">IF(E22="int",REPT(CHAR(9),2)&amp;"this."&amp;D22&amp;" = 0,",REPT(CHAR(9),2)&amp;"this."&amp;D22&amp;" = '',")</f>
        <v xml:space="preserve">		this.isActive = '',</v>
      </c>
      <c r="V22" s="31" t="str">
        <f t="shared" si="9"/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A20" sqref="A20:XFD20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286</v>
      </c>
      <c r="B20" t="s">
        <v>287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2022-05-25T04:17:24Z</dcterms:modified>
</cp:coreProperties>
</file>
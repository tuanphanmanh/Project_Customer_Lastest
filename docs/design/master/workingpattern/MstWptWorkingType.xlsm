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master\workingpattern\"/>
    </mc:Choice>
  </mc:AlternateContent>
  <bookViews>
    <workbookView xWindow="0" yWindow="0" windowWidth="28800" windowHeight="11805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" i="5" l="1"/>
  <c r="B16" i="5"/>
  <c r="C17" i="5"/>
  <c r="B17" i="5"/>
  <c r="C15" i="5" l="1"/>
  <c r="C16" i="5"/>
  <c r="V12" i="5" l="1"/>
  <c r="U12" i="5"/>
  <c r="T12" i="5"/>
  <c r="S12" i="5"/>
  <c r="L12" i="5"/>
  <c r="K12" i="5"/>
  <c r="I12" i="5"/>
  <c r="H12" i="5"/>
  <c r="W3" i="1" l="1"/>
  <c r="V3" i="1"/>
  <c r="B2" i="5" l="1"/>
  <c r="B3" i="5" s="1"/>
  <c r="B6" i="5" l="1"/>
  <c r="U7" i="1" l="1"/>
  <c r="B7" i="5" l="1"/>
  <c r="Q3" i="1" l="1"/>
  <c r="O7" i="1" s="1"/>
  <c r="T3" i="1"/>
  <c r="F3" i="1"/>
  <c r="B4" i="5" l="1"/>
  <c r="N7" i="1"/>
  <c r="E38" i="3" s="1"/>
  <c r="K7" i="1"/>
  <c r="H6" i="1"/>
  <c r="R10" i="5" l="1"/>
  <c r="M45" i="3" s="1"/>
  <c r="N38" i="3" l="1"/>
  <c r="B8" i="5"/>
  <c r="B5" i="5"/>
  <c r="D9" i="1"/>
  <c r="T9" i="1" l="1"/>
  <c r="V9" i="1"/>
  <c r="P10" i="5"/>
  <c r="K45" i="3" s="1"/>
  <c r="Q10" i="5"/>
  <c r="L45" i="3" s="1"/>
  <c r="B43" i="3"/>
  <c r="C43" i="3" s="1"/>
  <c r="M14" i="5"/>
  <c r="H44" i="3" s="1"/>
  <c r="L14" i="5"/>
  <c r="G44" i="3" s="1"/>
  <c r="K14" i="5"/>
  <c r="F44" i="3" s="1"/>
  <c r="L44" i="3"/>
  <c r="K44" i="3"/>
  <c r="O14" i="5"/>
  <c r="J44" i="3" s="1"/>
  <c r="N14" i="5"/>
  <c r="I44" i="3" s="1"/>
  <c r="J14" i="5"/>
  <c r="E44" i="3" s="1"/>
  <c r="I14" i="5"/>
  <c r="D44" i="3" s="1"/>
  <c r="H14" i="5"/>
  <c r="C44" i="3" s="1"/>
  <c r="O10" i="5"/>
  <c r="J45" i="3" s="1"/>
  <c r="N10" i="5"/>
  <c r="I45" i="3" s="1"/>
  <c r="M10" i="5"/>
  <c r="H45" i="3" s="1"/>
  <c r="J10" i="5"/>
  <c r="E45" i="3" s="1"/>
  <c r="N3" i="1" l="1"/>
  <c r="M3" i="1"/>
  <c r="O3" i="1"/>
  <c r="D10" i="1"/>
  <c r="D11" i="1"/>
  <c r="V11" i="1" l="1"/>
  <c r="T11" i="1"/>
  <c r="V10" i="1"/>
  <c r="T10" i="1"/>
  <c r="D15" i="5"/>
  <c r="V13" i="1"/>
  <c r="T15" i="5" l="1"/>
  <c r="D17" i="5"/>
  <c r="D16" i="5"/>
  <c r="T16" i="5" l="1"/>
  <c r="T17" i="5"/>
  <c r="R3" i="1"/>
  <c r="D1" i="1"/>
  <c r="F6" i="1"/>
  <c r="T13" i="5"/>
  <c r="L11" i="1" l="1"/>
  <c r="G9" i="1"/>
  <c r="F15" i="5" s="1"/>
  <c r="G10" i="1"/>
  <c r="F16" i="5" s="1"/>
  <c r="G11" i="1"/>
  <c r="F17" i="5" s="1"/>
  <c r="E9" i="1"/>
  <c r="H9" i="1" s="1"/>
  <c r="E10" i="1"/>
  <c r="H10" i="1" s="1"/>
  <c r="E11" i="1"/>
  <c r="H11" i="1" s="1"/>
  <c r="P9" i="1"/>
  <c r="P10" i="1"/>
  <c r="P11" i="1"/>
  <c r="T13" i="1"/>
  <c r="W11" i="1" l="1"/>
  <c r="O11" i="1"/>
  <c r="M11" i="1"/>
  <c r="N11" i="1"/>
  <c r="E17" i="5"/>
  <c r="W10" i="1"/>
  <c r="N10" i="1"/>
  <c r="M10" i="1"/>
  <c r="O10" i="1"/>
  <c r="E16" i="5"/>
  <c r="E15" i="5"/>
  <c r="M9" i="1"/>
  <c r="O9" i="1"/>
  <c r="N9" i="1"/>
  <c r="W9" i="1"/>
  <c r="T7" i="1"/>
  <c r="I11" i="1"/>
  <c r="I10" i="1"/>
  <c r="I9" i="1"/>
  <c r="W13" i="1"/>
  <c r="L15" i="5" l="1"/>
  <c r="V15" i="5"/>
  <c r="G15" i="5"/>
  <c r="S15" i="5" s="1"/>
  <c r="I15" i="5"/>
  <c r="U15" i="5"/>
  <c r="K15" i="5"/>
  <c r="H15" i="5"/>
  <c r="G16" i="5"/>
  <c r="S16" i="5" s="1"/>
  <c r="L16" i="5"/>
  <c r="V16" i="5"/>
  <c r="I16" i="5"/>
  <c r="K16" i="5"/>
  <c r="H16" i="5"/>
  <c r="U16" i="5"/>
  <c r="L17" i="5"/>
  <c r="V17" i="5"/>
  <c r="G17" i="5"/>
  <c r="S17" i="5" s="1"/>
  <c r="H17" i="5"/>
  <c r="U17" i="5"/>
  <c r="K17" i="5"/>
  <c r="I17" i="5"/>
  <c r="G6" i="1"/>
  <c r="H13" i="5"/>
  <c r="L13" i="5"/>
  <c r="S13" i="5"/>
  <c r="V13" i="5"/>
  <c r="K13" i="5"/>
  <c r="U13" i="5"/>
  <c r="I13" i="5"/>
  <c r="K10" i="5" l="1"/>
  <c r="F45" i="3" s="1"/>
  <c r="L10" i="5"/>
  <c r="G45" i="3" s="1"/>
  <c r="H10" i="5"/>
  <c r="C45" i="3" s="1"/>
  <c r="I10" i="5"/>
  <c r="D45" i="3" s="1"/>
  <c r="L38" i="3"/>
  <c r="D38" i="3"/>
  <c r="D6" i="1"/>
  <c r="B6" i="1" l="1"/>
  <c r="L3" i="1"/>
  <c r="J3" i="1"/>
  <c r="H3" i="1"/>
  <c r="C6" i="1" l="1"/>
  <c r="P7" i="1" s="1"/>
  <c r="S3" i="1"/>
  <c r="S7" i="1" s="1"/>
  <c r="E6" i="1"/>
  <c r="F38" i="3"/>
  <c r="I3" i="1" l="1"/>
  <c r="B7" i="1"/>
  <c r="L9" i="1" l="1"/>
  <c r="L10" i="1"/>
  <c r="J11" i="1"/>
  <c r="J9" i="1"/>
  <c r="J10" i="1"/>
  <c r="C7" i="1"/>
  <c r="O13" i="1"/>
  <c r="I13" i="1"/>
  <c r="J13" i="1"/>
  <c r="P13" i="1"/>
  <c r="N13" i="1"/>
  <c r="Q7" i="1" l="1"/>
  <c r="M38" i="3" s="1"/>
  <c r="L7" i="1"/>
  <c r="G38" i="3" s="1"/>
  <c r="K38" i="3"/>
  <c r="J38" i="3"/>
  <c r="K13" i="1"/>
  <c r="M13" i="1"/>
  <c r="R7" i="1" l="1"/>
  <c r="I38" i="3" s="1"/>
  <c r="M7" i="1"/>
  <c r="H38" i="3" s="1"/>
  <c r="J7" i="1"/>
  <c r="C3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3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J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3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L3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M3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N3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<sst xmlns="http://schemas.openxmlformats.org/spreadsheetml/2006/main" count="337" uniqueCount="278">
  <si>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</si>
  <si>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</si>
  <si>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</si>
  <si>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</si>
  <si>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</si>
  <si>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</si>
  <si>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</si>
  <si>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</si>
  <si>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</si>
  <si>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</si>
  <si>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</si>
  <si>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</si>
  <si>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</si>
  <si>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</si>
  <si>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</si>
  <si>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</si>
  <si>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</si>
  <si>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</si>
  <si>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</si>
  <si>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</si>
  <si>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</si>
  <si>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</si>
  <si>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</si>
  <si>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</si>
  <si>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</si>
  <si>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</si>
  <si>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</si>
  <si>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</si>
  <si>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</si>
  <si>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</si>
  <si>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</si>
  <si>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</si>
  <si>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</si>
  <si>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</si>
  <si>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</si>
  <si>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</si>
  <si>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</si>
  <si>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</si>
  <si>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</si>
  <si>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</si>
  <si>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</si>
  <si>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</si>
  <si>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</si>
  <si>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</si>
  <si>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</si>
  <si>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</si>
  <si>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</si>
  <si>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</si>
  <si>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</si>
  <si>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</si>
  <si>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</si>
  <si>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</si>
  <si>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</si>
  <si>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</si>
  <si>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</si>
  <si>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</si>
  <si>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</si>
  <si>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</si>
  <si>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</si>
  <si>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</si>
  <si>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</si>
  <si>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</si>
  <si>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</si>
  <si>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</si>
  <si>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</si>
  <si>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</si>
  <si>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</si>
  <si>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</si>
  <si>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</si>
  <si>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</si>
  <si>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</si>
  <si>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</si>
  <si>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</si>
  <si>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</si>
  <si>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</si>
  <si>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</si>
  <si>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</si>
  <si>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</si>
  <si>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</si>
  <si>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</si>
  <si>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</si>
  <si>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</si>
  <si>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</si>
  <si>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</si>
  <si>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</si>
  <si>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</si>
  <si>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</si>
  <si>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</si>
  <si>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</si>
  <si>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</si>
  <si>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</si>
  <si>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</si>
  <si>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</si>
  <si>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</si>
  <si>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</si>
  <si>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</si>
  <si>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</si>
  <si>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</si>
  <si>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</si>
  <si>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</si>
  <si>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</si>
  <si>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</si>
  <si>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</si>
  <si>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</si>
  <si>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</si>
  <si>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</si>
  <si>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</si>
  <si>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</si>
  <si>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</si>
  <si>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</si>
  <si>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</si>
  <si>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</si>
  <si>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</si>
  <si>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</si>
  <si>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</si>
  <si>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</si>
  <si>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</si>
  <si>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</si>
  <si>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</si>
  <si>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</si>
  <si>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</si>
  <si>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</si>
  <si>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</si>
  <si>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</si>
  <si>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</si>
  <si>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</si>
  <si>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</si>
  <si>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</si>
  <si>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</si>
  <si>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</si>
  <si>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</si>
  <si>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</si>
  <si>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</si>
  <si>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</si>
  <si>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</si>
  <si>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</si>
  <si>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</si>
  <si>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</si>
  <si>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</si>
  <si>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</si>
  <si>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</si>
  <si>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</si>
  <si>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</si>
  <si>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</si>
  <si>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</si>
  <si>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</si>
  <si>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</si>
  <si>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</si>
  <si>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</si>
  <si>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</si>
  <si>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</si>
  <si>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</si>
  <si>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</si>
  <si>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</si>
  <si>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</si>
  <si>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</si>
  <si>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</si>
  <si>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</si>
  <si>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</si>
  <si>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</si>
  <si>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</si>
  <si>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</si>
  <si>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</si>
  <si>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</si>
  <si>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</si>
  <si>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</si>
  <si>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</si>
  <si>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</si>
  <si>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</si>
  <si>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</si>
  <si>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</si>
  <si>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</si>
  <si>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</si>
  <si>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</si>
  <si>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</si>
  <si>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</si>
  <si>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</si>
  <si>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</si>
  <si>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</si>
  <si>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</si>
  <si>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</si>
  <si>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</si>
  <si>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</si>
  <si>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</si>
  <si>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</si>
  <si>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</si>
  <si>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</si>
  <si>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</si>
  <si>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</si>
  <si>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</si>
  <si>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</si>
  <si>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</si>
  <si>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</si>
  <si>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</si>
  <si>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</si>
  <si>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</si>
  <si>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</si>
  <si>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</si>
  <si>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</si>
  <si>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</si>
  <si>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</si>
  <si>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</si>
  <si>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</si>
  <si>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</si>
  <si>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</si>
  <si>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</si>
  <si>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</si>
  <si>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</si>
  <si>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</si>
  <si>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</si>
  <si>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</si>
  <si>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</si>
  <si>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</si>
  <si>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</si>
  <si>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</si>
  <si>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</si>
  <si>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</si>
  <si>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</si>
  <si>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</si>
  <si>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</si>
  <si>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</si>
  <si>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</si>
  <si>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</si>
  <si>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</si>
  <si>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</si>
  <si>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</si>
  <si>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</si>
  <si>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</si>
  <si>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</si>
  <si>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</si>
  <si>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</si>
  <si>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</si>
  <si>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</si>
  <si>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</si>
  <si>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</si>
  <si>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</si>
  <si>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</si>
  <si>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</si>
  <si>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</si>
  <si>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</si>
  <si>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</si>
  <si>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</si>
  <si>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</si>
  <si>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</si>
  <si>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</si>
  <si>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</si>
  <si>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</si>
  <si>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</si>
  <si>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</si>
  <si>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</si>
  <si>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</si>
  <si>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</si>
  <si>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</si>
  <si>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</si>
  <si>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</si>
  <si>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</si>
  <si>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</si>
  <si>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</si>
  <si>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</si>
  <si>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</si>
  <si>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</si>
  <si>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</si>
  <si>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import {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</si>
  <si>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</si>
  <si>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</si>
  <si>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</si>
  <si>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</si>
  <si>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</si>
  <si>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</si>
  <si>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Master.WorkingPattern</t>
  </si>
  <si>
    <t>IS_ACTIVE</t>
  </si>
  <si>
    <t>varchar(1)</t>
  </si>
  <si>
    <t>MstWptWorkingType</t>
  </si>
  <si>
    <t>WorkingType</t>
  </si>
  <si>
    <t>Master Working Pattern Working Type</t>
  </si>
  <si>
    <t>WORKING_TYPE</t>
  </si>
  <si>
    <t>DESCRIPTION</t>
  </si>
  <si>
    <t>nvarchar(250)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</si>
</sst>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6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0" fillId="14" borderId="3" xfId="0" applyFill="1" applyBorder="1" applyAlignment="1">
      <alignment horizontal="left" vertical="top" wrapText="1"/>
    </xf>
    <xf numFmtId="0" fontId="0" fillId="14" borderId="3" xfId="0" applyFill="1" applyBorder="1" applyAlignment="1">
      <alignment horizontal="left" vertical="top"/>
    </xf>
    <xf numFmtId="0" fontId="0" fillId="14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47"/>
  <sheetViews>
    <sheetView tabSelected="1" topLeftCell="A26" workbookViewId="0">
      <selection activeCell="C34" sqref="C34"/>
    </sheetView>
  </sheetViews>
  <sheetFormatPr defaultRowHeight="15" x14ac:dyDescent="0.25"/>
  <cols>
    <col min="1" max="1" width="3.5703125" customWidth="1"/>
    <col min="2" max="2" width="18.5703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6" ht="23.25" x14ac:dyDescent="0.35">
      <c r="A1" s="15" t="s">
        <v>74</v>
      </c>
    </row>
    <row r="2" spans="1:6" ht="15.75" x14ac:dyDescent="0.25">
      <c r="A2" s="1"/>
      <c r="B2" s="27" t="s">
        <v>196</v>
      </c>
    </row>
    <row r="3" spans="1:6" x14ac:dyDescent="0.25">
      <c r="A3" s="1"/>
      <c r="B3" s="1" t="s">
        <v>77</v>
      </c>
    </row>
    <row r="4" spans="1:6" x14ac:dyDescent="0.25">
      <c r="A4" s="1"/>
      <c r="B4" s="17" t="s">
        <v>76</v>
      </c>
    </row>
    <row r="5" spans="1:6" x14ac:dyDescent="0.25">
      <c r="A5" s="1"/>
      <c r="B5" s="17" t="s">
        <v>79</v>
      </c>
    </row>
    <row r="6" spans="1:6" x14ac:dyDescent="0.25">
      <c r="A6" s="1"/>
      <c r="B6" s="17" t="s">
        <v>87</v>
      </c>
    </row>
    <row r="7" spans="1:6" x14ac:dyDescent="0.25">
      <c r="A7" s="1"/>
      <c r="B7" s="17"/>
      <c r="C7" s="2" t="s">
        <v>97</v>
      </c>
      <c r="D7" s="2"/>
      <c r="E7" s="2"/>
      <c r="F7" s="2" t="s">
        <v>105</v>
      </c>
    </row>
    <row r="8" spans="1:6" x14ac:dyDescent="0.25">
      <c r="A8" s="1"/>
      <c r="B8" s="17"/>
      <c r="C8" t="s">
        <v>89</v>
      </c>
      <c r="F8" s="1" t="s">
        <v>234</v>
      </c>
    </row>
    <row r="9" spans="1:6" x14ac:dyDescent="0.25">
      <c r="A9" s="1"/>
      <c r="B9" s="17"/>
      <c r="C9" t="s">
        <v>88</v>
      </c>
      <c r="F9" s="1" t="s">
        <v>98</v>
      </c>
    </row>
    <row r="10" spans="1:6" x14ac:dyDescent="0.25">
      <c r="A10" s="1"/>
      <c r="B10" s="17"/>
      <c r="D10" t="s">
        <v>89</v>
      </c>
      <c r="F10" s="1" t="s">
        <v>234</v>
      </c>
    </row>
    <row r="11" spans="1:6" x14ac:dyDescent="0.25">
      <c r="A11" s="1"/>
      <c r="B11" s="17"/>
      <c r="D11" t="s">
        <v>90</v>
      </c>
      <c r="F11" s="1" t="s">
        <v>99</v>
      </c>
    </row>
    <row r="12" spans="1:6" x14ac:dyDescent="0.25">
      <c r="A12" s="1"/>
      <c r="B12" s="17"/>
      <c r="D12" t="s">
        <v>91</v>
      </c>
      <c r="F12" s="1" t="s">
        <v>100</v>
      </c>
    </row>
    <row r="13" spans="1:6" x14ac:dyDescent="0.25">
      <c r="A13" s="1"/>
      <c r="B13" s="17"/>
      <c r="D13" t="s">
        <v>92</v>
      </c>
      <c r="F13" s="1" t="s">
        <v>101</v>
      </c>
    </row>
    <row r="14" spans="1:6" x14ac:dyDescent="0.25">
      <c r="A14" s="1"/>
      <c r="B14" s="17"/>
      <c r="D14" t="s">
        <v>93</v>
      </c>
      <c r="F14" s="1" t="s">
        <v>102</v>
      </c>
    </row>
    <row r="15" spans="1:6" x14ac:dyDescent="0.25">
      <c r="A15" s="1"/>
      <c r="B15" s="17"/>
      <c r="D15" t="s">
        <v>94</v>
      </c>
      <c r="F15" s="1" t="s">
        <v>103</v>
      </c>
    </row>
    <row r="16" spans="1:6" x14ac:dyDescent="0.25">
      <c r="A16" s="1"/>
      <c r="B16" s="17"/>
      <c r="C16" t="s">
        <v>91</v>
      </c>
      <c r="F16" s="1" t="s">
        <v>100</v>
      </c>
    </row>
    <row r="17" spans="1:6" x14ac:dyDescent="0.25">
      <c r="A17" s="1"/>
      <c r="B17" s="17"/>
      <c r="D17" t="s">
        <v>95</v>
      </c>
      <c r="F17" s="1" t="s">
        <v>114</v>
      </c>
    </row>
    <row r="18" spans="1:6" x14ac:dyDescent="0.25">
      <c r="A18" s="1"/>
      <c r="B18" s="17"/>
      <c r="D18" t="s">
        <v>96</v>
      </c>
      <c r="F18" s="1" t="s">
        <v>104</v>
      </c>
    </row>
    <row r="19" spans="1:6" x14ac:dyDescent="0.25">
      <c r="A19" s="1"/>
      <c r="B19" s="17"/>
      <c r="C19" t="s">
        <v>92</v>
      </c>
      <c r="F19" s="1" t="s">
        <v>101</v>
      </c>
    </row>
    <row r="20" spans="1:6" x14ac:dyDescent="0.25">
      <c r="A20" s="1"/>
      <c r="B20" s="17"/>
      <c r="C20" t="s">
        <v>93</v>
      </c>
      <c r="F20" s="1" t="s">
        <v>102</v>
      </c>
    </row>
    <row r="21" spans="1:6" x14ac:dyDescent="0.25">
      <c r="A21" s="1"/>
      <c r="B21" s="17"/>
    </row>
    <row r="22" spans="1:6" x14ac:dyDescent="0.25">
      <c r="A22" s="1"/>
      <c r="B22" s="17" t="s">
        <v>86</v>
      </c>
    </row>
    <row r="23" spans="1:6" x14ac:dyDescent="0.25">
      <c r="A23" s="1"/>
      <c r="B23" s="17" t="s">
        <v>83</v>
      </c>
    </row>
    <row r="24" spans="1:6" x14ac:dyDescent="0.25">
      <c r="A24" s="1"/>
      <c r="B24" s="17"/>
      <c r="C24" s="19" t="s">
        <v>80</v>
      </c>
    </row>
    <row r="25" spans="1:6" x14ac:dyDescent="0.25">
      <c r="A25" s="1"/>
      <c r="B25" s="17"/>
      <c r="C25" s="18" t="s">
        <v>81</v>
      </c>
    </row>
    <row r="26" spans="1:6" x14ac:dyDescent="0.25">
      <c r="A26" s="1"/>
      <c r="B26" s="17"/>
      <c r="C26" s="18" t="s">
        <v>82</v>
      </c>
    </row>
    <row r="27" spans="1:6" x14ac:dyDescent="0.25">
      <c r="A27" s="1"/>
      <c r="B27" s="17" t="s">
        <v>106</v>
      </c>
      <c r="C27" s="18"/>
    </row>
    <row r="28" spans="1:6" x14ac:dyDescent="0.25">
      <c r="A28" s="1"/>
      <c r="B28" s="17"/>
      <c r="C28" s="18" t="s">
        <v>107</v>
      </c>
    </row>
    <row r="29" spans="1:6" x14ac:dyDescent="0.25">
      <c r="A29" s="1"/>
      <c r="B29" s="17"/>
      <c r="C29" s="18" t="s">
        <v>108</v>
      </c>
    </row>
    <row r="30" spans="1:6" x14ac:dyDescent="0.25">
      <c r="A30" s="1"/>
      <c r="B30" s="17"/>
      <c r="C30" s="18" t="s">
        <v>109</v>
      </c>
    </row>
    <row r="31" spans="1:6" x14ac:dyDescent="0.25">
      <c r="A31" s="1"/>
      <c r="B31" s="17"/>
      <c r="C31" s="18" t="s">
        <v>111</v>
      </c>
    </row>
    <row r="32" spans="1:6" x14ac:dyDescent="0.25">
      <c r="A32" s="1"/>
      <c r="B32" s="17"/>
      <c r="C32" s="18" t="s">
        <v>113</v>
      </c>
    </row>
    <row r="33" spans="1:14" x14ac:dyDescent="0.25">
      <c r="A33" s="1"/>
      <c r="B33" s="17"/>
      <c r="C33" s="18" t="s">
        <v>112</v>
      </c>
    </row>
    <row r="34" spans="1:14" x14ac:dyDescent="0.25">
      <c r="A34" s="1"/>
      <c r="B34" s="17"/>
      <c r="C34" s="18" t="s">
        <v>110</v>
      </c>
    </row>
    <row r="35" spans="1:14" ht="21" customHeight="1" x14ac:dyDescent="0.25">
      <c r="B35" s="21" t="s">
        <v>78</v>
      </c>
    </row>
    <row r="36" spans="1:14" ht="21" customHeight="1" x14ac:dyDescent="0.25">
      <c r="B36" s="62" t="s">
        <v>231</v>
      </c>
    </row>
    <row r="37" spans="1:14" ht="15.75" thickBot="1" x14ac:dyDescent="0.3">
      <c r="C37" s="1" t="s">
        <v>72</v>
      </c>
      <c r="D37" s="1" t="s">
        <v>207</v>
      </c>
      <c r="E37" s="1" t="s">
        <v>208</v>
      </c>
      <c r="F37" s="1" t="s">
        <v>198</v>
      </c>
      <c r="G37" s="1" t="s">
        <v>199</v>
      </c>
      <c r="H37" s="1" t="s">
        <v>200</v>
      </c>
      <c r="I37" s="1" t="s">
        <v>201</v>
      </c>
      <c r="J37" s="1" t="s">
        <v>205</v>
      </c>
      <c r="K37" s="1" t="s">
        <v>209</v>
      </c>
      <c r="L37" s="1" t="s">
        <v>210</v>
      </c>
      <c r="M37" s="1" t="s">
        <v>211</v>
      </c>
      <c r="N37" s="1" t="s">
        <v>227</v>
      </c>
    </row>
    <row r="38" spans="1:14" s="16" customFormat="1" ht="21.75" customHeight="1" thickBot="1" x14ac:dyDescent="0.3">
      <c r="B38" s="51" t="s">
        <v>226</v>
      </c>
      <c r="C38" s="50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vovina.Master.WorkingPattern
{
	[Table("MstWptWorkingType")]
	[Index(nameof(WorkingType), Name="IX_MstWptWorkingType_WorkingType")]
	public class MstWptWorkingType: FullAuditedEntity&lt;long&gt;, IEntity&lt;long&gt;	
	{
		public const int MaxDescriptionLength = 250;
		public const int MaxIsActiveLength = 1;
		public virtual int WorkingType { get; set; }
		[StringLength(MaxDescriptionLength)]
		public virtual string Description { get; set; }
		[StringLength(MaxIsActiveLength)]
		public virtual string IsActive { get; set; }
	}
}
</v>
      </c>
      <c r="D38" s="50" t="str">
        <f>A.Backend!O7</f>
        <v xml:space="preserve">		public const string Pages_Master_WorkingPattern_WorkingType = "Pages.Master.WorkingPattern.WorkingType";
		public const string Pages_Master_WorkingPattern_WorkingType_CreateEdit = "Pages.Master.WorkingPattern.WorkingType.CreateEdit";
		public const string Pages_Master_WorkingPattern_WorkingType_Delete = "Pages.Master.WorkingPattern.WorkingType.Delete";
</v>
      </c>
      <c r="E38" s="50" t="str">
        <f>A.Backend!N7</f>
        <v xml:space="preserve">		var perMstWptWorkingType = PARENTS.CreateChildPermission(AppPermissions.Pages_Master_WorkingPattern_WorkingType, L( "MasterWorkingPatternWorkingType"));
		perMstWptWorkingType.CreateChildPermission(AppPermissions.Pages_Master_WorkingPattern_WorkingType_CreateEdit, L( "MasterWorkingPatternWorkingTypeCreateEdit"));
		perMstWptWorkingType.CreateChildPermission(AppPermissions.Pages_Master_WorkingPattern_WorkingType_Delete, L( "MasterWorkingPatternWorkingTypeDelete"));</v>
      </c>
      <c r="F38" s="50" t="str">
        <f>A.Backend!K7</f>
        <v>public virtual DbSet&lt;MstWptWorkingType&gt; MstWptWorkingTypes { get; set; }</v>
      </c>
      <c r="G38" s="50" t="str">
        <f ca="1">A.Backend!L7</f>
        <v xml:space="preserve">namespace vovina.Master.WorkingPattern
{
	public class MstWptWorkingTypeConsts	
	{
		public const int MaxDescriptionLength = 250;
		public const int MaxIsActiveLength = 1;
		// Define Store Name: Format SP_ + &lt;Store Name&gt; = &lt;Store Name&gt;
	}
}
</v>
      </c>
      <c r="H38" s="50" t="str">
        <f ca="1">A.Backend!M7</f>
        <v xml:space="preserve">using Abp.Application.Services.Dto;
using System;
using System.ComponentModel.DataAnnotations;
namespace vovina.Master.WorkingPattern.Dto
{
	public class MstWptWorkingTypeDto : EntityDto&lt;long?&gt;	
	{
		public virtual int WorkingType { get; set; }
		public virtual string Description { get; set; }
		public virtual string IsActive { get; set; }
	}
	public class CreateOrEditMstWptWorkingTypeDto : EntityDto&lt;long?&gt;	
	{
		public virtual int WorkingType { get; set; }
		[StringLength(MstWptWorkingTypeConsts.MaxDescriptionLength)]
		public virtual string Description { get; set; }
		[StringLength(MstWptWorkingTypeConsts.MaxIsActiveLength)]
		public virtual string IsActive { get; set; }
	}
	public class GetMstWptWorkingTypeInput : PagedAndSortedResultRequestDto	
	{
		public virtual int WorkingType { get; set; }
		public virtual string Description { get; set; }
		public virtual string IsActive { get; set; }
	}
}
</v>
      </c>
      <c r="I38" s="50" t="str">
        <f ca="1">A.Backend!R7</f>
        <v xml:space="preserve">using Abp.Application.Services.Dto;
using System;
using System.ComponentModel.DataAnnotations;
namespace vovina.Master.WorkingPattern.Dto
{
	public class MstWptWorkingTypeExportInput{
		public virtual int WorkingType { get; set; }
		public virtual string Description { get; set; }
		public virtual string IsActive { get; set; }
	}
}
</v>
      </c>
      <c r="J38" s="50" t="str">
        <f>A.Backend!P7</f>
        <v xml:space="preserve">using Abp.Application.Services;
using Abp.Application.Services.Dto;
using System.Collections.Generic;using vovina.Dto;
using System.Threading.Tasks;
using vovina.Master.WorkingPattern.Dto;
namespace vovina.Master.WorkingPattern
{
	public interface IMstWptWorkingTypeAppService : IApplicationService
	{
		Task&lt;PagedResultDto&lt;MstWptWorkingTypeDto&gt;&gt; GetAll(GetMstWptWorkingTypeInput input);
		Task CreateOrEdit(CreateOrEditMstWptWorkingTypeDto input);
		Task Delete(EntityDto input);
	}
}
</v>
      </c>
      <c r="K38" s="50" t="str">
        <f>A.Backend!S7</f>
        <v xml:space="preserve">using Abp.Application.Services;
using Abp.Application.Services.Dto;
using System.Collections.Generic;using vovina.Dto;
using System.Threading.Tasks;
using vovina.Master.WorkingPattern.Dto;
namespace vovina.Master.WorkingPattern.Exporting
{
	public interface IMstWptWorkingTypeExcelExporter : IApplicationService
	{
		FileDto ExportToFile(List&lt;MstWptWorkingTypeDto&gt; mstwptworkingtype);
	}
}
</v>
      </c>
      <c r="L38" s="50" t="str">
        <f ca="1">A.Backend!T7</f>
        <v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MstWptWorkingTypeExcelExporter : NpoiExcelExporterBase, IMstWptWorkingTypeExcelExporter
    {
        public MstWptWorkingTypeExcelExporter(ITempFileCacheManager tempFileCacheManager) : base(tempFileCacheManager) { }
        public FileDto ExportToFile(List&lt;MstWptWorkingTypeDto&gt; workingtype)
        {
            return CreateExcelPackage(
				"MasterWorkingPatternWorkingType.xlsx",
				excelPackage =&gt;
				 {
					var sheet = excelPackage.CreateSheet("WorkingType");
					AddHeader(
								sheet,
								("WorkingType"),
								("Description"),
								("IsActive"),
							   );
					AddObjects(
						 sheet, 1, workingtype,                                       
								_ =&gt; _.WorkingType,
								_ =&gt; _.Description,
								_ =&gt; _.IsActive,
								);
			for (var i = 0; i &lt; 8; i++)
				{
					sheet.AutoSizeColumn(i);
				}
			});
        }
    }
}</v>
      </c>
      <c r="M38" s="58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[AbpAuthorize(AppPermissions.Pages_Master_WorkingPattern_WorkingType)]
    public class MstWptWorkingTypeAppService : vovinaAppServiceBase, IMstWptWorkingTypeAppService
    {
        private readonly IDapperRepository&lt;MstWptWorkingType, long&gt; _dapperRepo;
        private readonly IRepository&lt;MstWptWorkingType, long&gt; _repo;
        private readonly IMstWptWorkingTypeExcelExporter _calendarListExcelExporter;
        public MstWptWorkingTypeAppService(IRepository&lt;MstWptWorkingType,long&gt; repo, 
                                         IDapperRepository&lt;MstWptWorkingType,long&gt; dapperRepo,
                                        IMstWptWorkingTypeExcelExporter calendarListExcelExporter
            )
        {
            _repo = repo;
            _dapperRepo = dapperRepo;
            _calendarListExcelExporter = calendarListExcelExporter;
        }
        [AbpAuthorize(AppPermissions.Pages_Master_WorkingPattern_WorkingType_CreateEdit)]
        public async Task CreateOrEdit(CreateOrEditMstWptWorkingTypeDto input)
        {
            if (input.Id == null) await Create(input);
            else await Update(input);
        }
        //CREATE
        private async Task Create(CreateOrEditMstWptWorkingTypeDto input)
        {          
            var mainObj = ObjectMapper.Map&lt;MstWptWorkingType&gt;(input);
            await CurrentUnitOfWork.GetDbContext&lt;vovinaDbContext&gt;().AddAsync(mainObj);
        }
        // EDIT
        private async Task Update(CreateOrEditMstWptWorkingTypeDto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[AbpAuthorize(AppPermissions.Pages_Master_WorkingPattern_WorkingType_Delete)]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Task&lt;PagedResultDto&lt;MstWptWorkingTypeDto&gt;&gt; GetAll(GetMstWptWorkingTypeInput input)
        {
            var filtered = _repo.GetAll()
				.WhereIf(!string.IsNullOrWhiteSpace(input.Description), e =&gt; e.Description.Contains(input.Description))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MstWptWorkingTypeDto
                        {
							Id = o.Id,
							WorkingType = o.WorkingType,
							Description = o.Description,
							IsActive = o.IsActive,
                        };
            var totalCount = await filtered.CountAsync();
			var paged = system.PageBy(input);
            return new PagedResultDto&lt;MstWptWorkingTypeDto&gt;(
                totalCount,
                 await paged.ToListAsync()
            );
        }
        public async Task&lt;FileDto&gt; GetWorkingTypeToExcel(MstWptWorkingTypeExportInput input)
        {
            var query = from o in _repo.GetAll()
                        select new MstWptWorkingTypeDto
                        {
							Id = o.Id,
							WorkingType = o.WorkingType,
							Description = o.Description,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_dapperRepo.ExecuteAsync(MstWptWorkingTypeConsts.SP_MST_WPT_CALENDAR_GENERATE);
       // }
    }
}</v>
      </c>
      <c r="N38" s="61" t="str">
        <f>A.Backend!U7</f>
        <v xml:space="preserve">  configuration.CreateMap&lt;MstWptWorkingTypeDto, MstWptWorkingType&gt;();
  configuration.CreateMap&lt;MstWptWorkingType, MstWptWorkingTypeDto&gt;();
  configuration.CreateMap&lt;CreateOrEditMstWptWorkingTypeDto, MstWptWorkingType&gt;();</v>
      </c>
    </row>
    <row r="39" spans="1:14" s="16" customFormat="1" ht="21.75" customHeight="1" x14ac:dyDescent="0.25">
      <c r="C39" s="64"/>
      <c r="D39" s="29"/>
      <c r="E39" s="29"/>
      <c r="F39" s="29"/>
      <c r="G39" s="29"/>
      <c r="H39" s="65"/>
      <c r="I39" s="66"/>
      <c r="J39" s="29"/>
      <c r="K39" s="29"/>
      <c r="M39" s="65"/>
    </row>
    <row r="40" spans="1:14" s="16" customFormat="1" ht="21.75" customHeight="1" x14ac:dyDescent="0.25">
      <c r="C40" s="29"/>
      <c r="D40" s="29"/>
      <c r="E40" s="29"/>
      <c r="F40" s="29"/>
      <c r="G40" s="29"/>
      <c r="H40" s="29"/>
      <c r="J40" s="29"/>
      <c r="K40" s="29"/>
      <c r="M40" s="29"/>
    </row>
    <row r="41" spans="1:14" s="16" customFormat="1" ht="21.75" customHeight="1" x14ac:dyDescent="0.25">
      <c r="C41" s="29"/>
      <c r="D41" s="29"/>
      <c r="E41" s="29"/>
      <c r="G41" s="29"/>
      <c r="H41" s="29"/>
    </row>
    <row r="42" spans="1:14" x14ac:dyDescent="0.25">
      <c r="B42" s="1" t="s">
        <v>73</v>
      </c>
    </row>
    <row r="43" spans="1:14" ht="21" x14ac:dyDescent="0.35">
      <c r="B43" t="str">
        <f>B.Frontend!B8</f>
        <v>workingtype</v>
      </c>
      <c r="C43" s="74" t="str">
        <f>"create folder " &amp;B43</f>
        <v>create folder workingtype</v>
      </c>
      <c r="D43" s="74"/>
      <c r="E43" s="74"/>
      <c r="F43" s="74"/>
      <c r="G43" s="74"/>
      <c r="H43" s="74"/>
      <c r="I43" s="74"/>
      <c r="J43" s="74"/>
      <c r="K43" s="75" t="s">
        <v>228</v>
      </c>
      <c r="L43" s="75"/>
      <c r="M43" s="31"/>
    </row>
    <row r="44" spans="1:14" s="28" customFormat="1" ht="18" customHeight="1" x14ac:dyDescent="0.25">
      <c r="B44" s="59" t="s">
        <v>229</v>
      </c>
      <c r="C44" s="31" t="str">
        <f>B.Frontend!H14</f>
        <v>workingtype.component.ts</v>
      </c>
      <c r="D44" s="31" t="str">
        <f>B.Frontend!I14</f>
        <v>workingtype.component.html</v>
      </c>
      <c r="E44" s="31" t="str">
        <f>B.Frontend!J14</f>
        <v>workingtype.component.less</v>
      </c>
      <c r="F44" s="31" t="str">
        <f>B.Frontend!K14</f>
        <v>create-or-edit-workingtype-modal.component.html</v>
      </c>
      <c r="G44" s="31" t="str">
        <f>B.Frontend!L14</f>
        <v>create-or-edit-workingtype-modal.component.ts</v>
      </c>
      <c r="H44" s="31" t="str">
        <f>B.Frontend!M14</f>
        <v>create-or-edit-workingtype-modal.component.less</v>
      </c>
      <c r="I44" s="31" t="str">
        <f>B.Frontend!N14</f>
        <v>workingtype.module.ts</v>
      </c>
      <c r="J44" s="31" t="str">
        <f>B.Frontend!O14</f>
        <v>workingtype-routing.module.ts</v>
      </c>
      <c r="K44" s="31" t="str">
        <f>B.Frontend!P14</f>
        <v>app.navigation.service.ts</v>
      </c>
      <c r="L44" s="31" t="str">
        <f>B.Frontend!Q14</f>
        <v>main.routing.module.ts</v>
      </c>
      <c r="M44" s="59" t="s">
        <v>232</v>
      </c>
    </row>
    <row r="45" spans="1:14" ht="21.75" customHeight="1" x14ac:dyDescent="0.25">
      <c r="B45" s="60" t="s">
        <v>226</v>
      </c>
      <c r="C45" s="48" t="str">
        <f ca="1">B.Frontend!H10</f>
        <v>import {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MstWptWorkingTypeDto, MstWptWorkingTypeServiceProxy } from '@shared/service-proxies/service-proxies';
import { finalize } from 'rxjs/internal/operators/finalize';
import { CreateOrEditWorkingTypeModalComponent } from './create-or-edit-workingtype-modal.component';
import { DatePipe } from '@angular/common';
import { FileDownloadService } from '@shared/utils/file-download.service';
import ceil from 'lodash-es/ceil';
import { Paginator } from 'primeng/paginator';
@Component({
    templateUrl: './workingtype.component.html',
    styleUrls: ['./workingtype.component.less'],
})
export class WorkingTypeComponent extends AppComponentBase implements OnInit {
    @ViewChild('createOrEditModalWorkingType', { static: true }) createOrEditModalWorkingType:| CreateOrEditWorkingTypeModalComponent|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MstWptWorkingTypeDto = new MstWptWorkingTypeDto();
    saveSelectedRow: MstWptWorkingTypeDto = new MstWptWorkingTypeDto();
    datas: MstWptWorkingTypeDto = new MstWptWorkingTypeDto();
    isLoading: boolean = false;
    dataParams: GridParams | undefined;
    rowData: any[] = [];
    gridApi!: GridApi;
    rowSelection = 'multiple';
    filter: string = '';
	pipe = new DatePipe('en-US');
    workingType : number = 0 ;
	description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MstWptWorkingTypeServiceProxy,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this.l('Working Type'),headerTooltip: this.l('Working Type'),field: 'workingType',flex: 1},
			{headerName: this.l('Description'),headerTooltip: this.l('Description'),field: 'description',flex: 1},
			{headerName: this.l('Is Active'),headerTooltip: this.l('Is Active'),field: 'isActive',flex: 1},      	  
        ];
    }
    ngOnInit(): void {
        this.paginationParams = { pageNum: 1, pageSize: 20, totalCount: 0 };
    }
    searchDatas(): void {
        // this.paginator.changePage(this.paginator.getPage());
        this._service.getAll(
			this.workingType,
			this.description,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this.workingType = 0,
		this.description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this.workingType,
			this.description,
			this.isActive,
			'',
            this.paginationParams.skipCount,
            this.paginationParams.pageSize
        );
    }
    onChangeRowSelection(params: { api: { getSelectedRows: () =&gt; MstWptWorkingTypeDto[] } }) {
        this.saveSelectedRow = params.api.getSelectedRows()[0] ?? new MstWptWorkingTypeDto();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MstWptWorkingTypeDto):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this._service.getWorkingTypeToExcel(
			this.workingType,
			this.description,
			this.isActive,
            )
            .subscribe((result) =&gt; {
                this._fileDownloadService.downloadTempFile(result);
        });
    }
}</v>
      </c>
      <c r="D45" s="48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Working Pattern Working Type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[(ngModel)]='description' name='description'
									class='form-control' [placeholder]="l('Description')"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(click)="createOrEditModalWorkingType.show()"&gt;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(click)="createOrEditModalWorkingType.show(selectedRow)"&gt;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&lt;create-or-edit-workingtype-modal
    #createOrEditModalWorkingType
    (modalSave)="callBackDataGrid(dataParams)"
    (modalClose)="onChangeRowSelection(dataParams)"
&gt;
&lt;/create-or-edit-workingtype-modal&gt;</v>
      </c>
      <c r="E45" s="48" t="str">
        <f>B.Frontend!J10</f>
        <v>.input-search{
    width: 250px;
    border-radius: 10px;
    margin-left: 10px;
}
.btn-search{
    width: 50px;
    margin-left: 10px;
}</v>
      </c>
      <c r="F45" s="48" t="str">
        <f ca="1">B.Frontend!K10</f>
        <v>&lt;div bsModal #createOrEditModalWorkingType="bs-modal"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WorkingType')}}&lt;/h3&gt;
                    &lt;h3 *ngIf="!rowdata.id"&gt;{{('Create New WorkingType')}}&lt;/h3&gt;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title'&gt;Description&lt;/label&gt;
						&lt;input type='text' class='col-md-10 form-control input-text' name='Description' [(ngModel)]='rowdata.description'&gt;
					&lt;/div&gt;
					&lt;div class='col-md-12 form-group row'&gt;
						&lt;label class='col-md-2 form-control title'&gt;Is Active&lt;/label&gt;
						&lt;input class='col-md-10 form-control checkboxActive' type='checkbox' name='isActive'
						[checked]='_isActive' (change)='changeActive($event)'&gt;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45" s="48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CreateOrEditMstWptWorkingTypeDto, MstWptWorkingTypeServiceProxy } from '@shared/service-proxies/service-proxies';
import { BsDatepickerDirective } from 'ngx-bootstrap/datepicker';
@Component({
    selector: 'create-or-edit-workingtype-modal',
    templateUrl: './create-or-edit-workingtype-modal.component.html',
    styleUrls: ['./create-or-edit-workingtype-modal.component.less']
    })
export class CreateOrEditWorkingTypeModalComponent extends AppComponentBase {
    @ViewChild('createOrEditModalWorkingType',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CreateOrEditMstWptWorkingTypeDto = new CreateOrEditMstWptWorkingTypeDto();
    active: boolean = false;
    saving: boolean = false;
    _isActive: boolean;
    constructor(
        injector: Injector,
        private _mstwptWorkingTypeService: MstWptWorkingTypeServiceProxy,
    ) 
    {
        super(injector);
    }
    show(rowdata?: CreateOrEditMstWptWorkingTypeDto): void {
        if (!rowdata) this.rowdata = new CreateOrEditMstWptWorkingTypeDto();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this._mstwptWorkingTypeService.createOrEdit(this.rowdata)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45" s="48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45" s="48" t="str">
        <f>B.Frontend!N10</f>
        <v>import {NgModule} from '@angular/core';
import {AppSharedModule} from '@app/shared/app-shared.module';
import { WorkingTypeRoutingModule } from './workingtype-routing.module';
import { WorkingTypeComponent } from './workingtype.component';
import { CreateOrEditWorkingTypeModalComponent } from './create-or-edit-workingtype-modal.component';
@NgModule({
    declarations: [
       WorkingTypeComponent, 
        CreateOrEditWorkingTypeModalComponent
    ],
    imports: [
        AppSharedModule, WorkingTypeRoutingModule]
})
export class WorkingTypeModule {}</v>
      </c>
      <c r="J45" s="48" t="str">
        <f>B.Frontend!O10</f>
        <v>import {NgModule} from '@angular/core';
import {RouterModule, Routes} from '@angular/router';
import { WorkingTypeComponent } from './workingtype.component';
const routes: Routes = [{
    path: '',
    component: WorkingTypeComponent,
    pathMatch: 'full'
}];
@NgModule({
    imports: [RouterModule.forChild(routes)],
    exports: [RouterModule],
})
export class WorkingTypeRoutingModule {}</v>
      </c>
      <c r="K45" s="48" t="str">
        <f>B.Frontend!P10</f>
        <v xml:space="preserve"> new AppMenuItem("WorkingType", "Pages.Master.WorkingPattern.WorkingType", "flaticon-book",   "/app/main/master/workingpattern/workingtype"),</v>
      </c>
      <c r="L45" s="49" t="str">
        <f>B.Frontend!Q10</f>
        <v>{
    path: 'master/workingpattern/workingtype',
    loadChildren: () =&gt; import('./master/workingpattern/workingtype/workingtype.module').then(m =&gt; m.WorkingTypeModule),
    data: { permission: 'Pages.Master.WorkingPattern.WorkingType' }
},</v>
      </c>
      <c r="M45" s="47" t="str">
        <f>B.Frontend!R10</f>
        <v>ApiServiceProxies.MstWptWorkingTypeServiceProxy,</v>
      </c>
    </row>
    <row r="47" spans="1:14" x14ac:dyDescent="0.25">
      <c r="B47" s="1" t="s">
        <v>75</v>
      </c>
    </row>
  </sheetData>
  <mergeCells count="2">
    <mergeCell ref="C43:J43"/>
    <mergeCell ref="K43:L4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3"/>
  <sheetViews>
    <sheetView workbookViewId="0">
      <pane xSplit="1" topLeftCell="B1" activePane="topRight" state="frozen"/>
      <selection pane="topRight" activeCell="K10" sqref="K10:K11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vovina.Master.WorkingPattern.Dto;</v>
      </c>
      <c r="E1" s="10" t="s">
        <v>268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259</v>
      </c>
      <c r="U1" s="10" t="s">
        <v>230</v>
      </c>
      <c r="W1" s="10"/>
    </row>
    <row r="2" spans="1:23" s="11" customFormat="1" ht="30" x14ac:dyDescent="0.25">
      <c r="A2" s="1" t="s">
        <v>12</v>
      </c>
      <c r="B2" s="30" t="s">
        <v>269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258</v>
      </c>
    </row>
    <row r="3" spans="1:23" s="11" customFormat="1" ht="33" customHeight="1" x14ac:dyDescent="0.25">
      <c r="A3" s="1" t="s">
        <v>5</v>
      </c>
      <c r="B3" s="30" t="s">
        <v>272</v>
      </c>
      <c r="C3" s="10" t="s">
        <v>43</v>
      </c>
      <c r="D3" s="10" t="s">
        <v>44</v>
      </c>
      <c r="E3" s="10" t="s">
        <v>39</v>
      </c>
      <c r="F3" s="11" t="str">
        <f>"J"&amp;COUNTA($A:$A)</f>
        <v>J11</v>
      </c>
      <c r="G3" s="4" t="s">
        <v>57</v>
      </c>
      <c r="H3" s="10" t="str">
        <f>"I"&amp;COUNTA($A:$A)</f>
        <v>I11</v>
      </c>
      <c r="I3" s="10" t="str">
        <f>REPT(CHAR(9),2)&amp;"[Required]"&amp;"
"</f>
        <v xml:space="preserve">		[Required]
</v>
      </c>
      <c r="J3" s="11" t="str">
        <f>"L"&amp;COUNTA($A:$A)</f>
        <v>L11</v>
      </c>
      <c r="K3" s="5" t="s">
        <v>56</v>
      </c>
      <c r="L3" s="11" t="str">
        <f>"M"&amp;COUNTA($A:$A)</f>
        <v>M11</v>
      </c>
      <c r="M3" s="11" t="str">
        <f>"N"&amp;COUNTA($A:$A)</f>
        <v>N11</v>
      </c>
      <c r="N3" s="11" t="str">
        <f>"O"&amp;COUNTA($A:$A)</f>
        <v>O11</v>
      </c>
      <c r="O3" s="11" t="str">
        <f>"P"&amp;COUNTA($A:$A)</f>
        <v>P11</v>
      </c>
      <c r="Q3" s="11" t="str">
        <f>RIGHT(B2,(LEN(B2)-FIND(".",B2,1)))</f>
        <v>WorkingPattern</v>
      </c>
      <c r="R3" s="32" t="str">
        <f>REPT(CHAR(9),1)&amp;"public class "&amp;B3&amp;"ExportInput"&amp;C3</f>
        <v xml:space="preserve">	public class MstWptWorkingTypeExportInput{
</v>
      </c>
      <c r="S3" s="11" t="str">
        <f>"namespace "&amp;$B$6&amp;".Exporting
"&amp;$C$3</f>
        <v xml:space="preserve">namespace vovina.Master.WorkingPattern.Exporting
{
</v>
      </c>
      <c r="T3" s="11" t="str">
        <f>"T"&amp;COUNTA($A:$A)</f>
        <v>T11</v>
      </c>
      <c r="V3" s="11" t="str">
        <f>"V"&amp;COUNTA($A:$A)</f>
        <v>V11</v>
      </c>
      <c r="W3" s="10" t="str">
        <f>"W"&amp;COUNTA($A:$A)</f>
        <v>W11</v>
      </c>
    </row>
    <row r="4" spans="1:23" s="11" customFormat="1" ht="33" customHeight="1" x14ac:dyDescent="0.25">
      <c r="A4" s="1" t="s">
        <v>237</v>
      </c>
      <c r="B4" s="63" t="s">
        <v>88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3" t="s">
        <v>273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vovina.Master.WorkingPattern</v>
      </c>
      <c r="C6" s="11" t="str">
        <f>"namespace "&amp;$B$6&amp;"
"&amp;$C$3</f>
        <v xml:space="preserve">namespace vovina.Master.WorkingPattern
{
</v>
      </c>
      <c r="D6" s="11" t="str">
        <f>REPT(CHAR(9),1)&amp;"public class "&amp;B3&amp;G3&amp;REPT(CHAR(9),1)&amp;"
"&amp;REPT(CHAR(9),1)&amp;C3</f>
        <v xml:space="preserve">	public class MstWptWorkingType: FullAuditedEntity&lt;long&gt;, IEntity&lt;long&gt;	
	{
</v>
      </c>
      <c r="E6" s="11" t="str">
        <f>REPT(CHAR(9),1)&amp;"public class "&amp;B3&amp;"Consts"&amp;REPT(CHAR(9),1)&amp;"
"&amp;REPT(CHAR(9),1)&amp;C3</f>
        <v xml:space="preserve">	public class MstWptWorkingTypeConsts	
	{
</v>
      </c>
      <c r="F6" s="11" t="str">
        <f>REPT(CHAR(9),1)&amp;"public class "&amp;B3&amp;"Dto"&amp;K3&amp;REPT(CHAR(9),1)&amp;"
"&amp;REPT(CHAR(9),1)&amp;C3</f>
        <v xml:space="preserve">	public class MstWptWorkingTypeDto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CreateOrEditMstWptWorkingTypeDto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GetMstWptWorkingTypeInput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MstWptWorkingType</v>
      </c>
      <c r="C7" s="11" t="str">
        <f>REPT(CHAR(9),1)&amp;"[Table("""&amp;B7&amp;""")]"&amp;"
"</f>
        <v xml:space="preserve">	[Table("MstWptWorkingType")]
</v>
      </c>
      <c r="D7" s="11"/>
      <c r="E7" s="11"/>
      <c r="F7" s="11"/>
      <c r="G7" s="11"/>
      <c r="H7" s="11"/>
      <c r="I7" s="11"/>
      <c r="J7" s="6" t="str">
        <f ca="1">SUBSTITUTE(SUBSTITUTE((B1&amp;C6&amp;C7&amp;K13&amp;D6&amp;I13&amp;E3&amp;J13&amp;""&amp;REPT(CHAR(9),1)&amp;D3&amp;D3),"WorkingPattern",$Q$3),"Master",$B$4)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vovina.Master.WorkingPattern
{
	[Table("MstWptWorkingType")]
	[Index(nameof(WorkingType), Name="IX_MstWptWorkingType_WorkingType")]
	public class MstWptWorkingType: FullAuditedEntity&lt;long&gt;, IEntity&lt;long&gt;	
	{
		public const int MaxDescriptionLength = 250;
		public const int MaxIsActiveLength = 1;
		public virtual int WorkingType { get; set; }
		[StringLength(MaxDescriptionLength)]
		public virtual string Description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DbSet&lt;MstWptWorkingType&gt; MstWptWorkingTypes { get; set; }</v>
      </c>
      <c r="L7" t="str">
        <f ca="1">SUBSTITUTE(SUBSTITUTE((C6&amp;E6&amp;I13&amp;"
"&amp;REPT(CHAR(9),2)&amp;"// Define Store Name: Format SP_ + &lt;Store Name&gt; = &lt;Store Name&gt;
"&amp;E3&amp;REPT(CHAR(9),1)&amp;D3&amp;D3),"WorkingPattern",$Q$3),"Master",$B$4)</f>
        <v xml:space="preserve">namespace vovina.Master.WorkingPattern
{
	public class MstWptWorkingTypeConsts	
	{
		public const int MaxDescriptionLength = 250;
		public const int MaxIsActiveLength = 1;
		// Define Store Name: Format SP_ + &lt;Store Name&gt; = &lt;Store Name&gt;
	}
}
</v>
      </c>
      <c r="M7" t="str">
        <f ca="1">SUBSTITUTE(SUBSTITUTE((C1&amp;"namespace "&amp;B6&amp;".Dto"&amp;E3&amp;C3&amp;F6&amp;M13&amp;E3&amp;REPT(CHAR(9),1)&amp;D3&amp;G6&amp;N13&amp;REPT(CHAR(9),1)&amp;D3&amp;H6&amp;O13&amp;"
"&amp;REPT(CHAR(9),1)&amp;D3&amp;D3),"WorkingPattern",$Q$3),"Master",$B$4)</f>
        <v xml:space="preserve">using Abp.Application.Services.Dto;
using System;
using System.ComponentModel.DataAnnotations;
namespace vovina.Master.WorkingPattern.Dto
{
	public class MstWptWorkingTypeDto : EntityDto&lt;long?&gt;	
	{
		public virtual int WorkingType { get; set; }
		public virtual string Description { get; set; }
		public virtual string IsActive { get; set; }
	}
	public class CreateOrEditMstWptWorkingTypeDto : EntityDto&lt;long?&gt;	
	{
		public virtual int WorkingType { get; set; }
		[StringLength(MstWptWorkingTypeConsts.MaxDescriptionLength)]
		public virtual string Description { get; set; }
		[StringLength(MstWptWorkingTypeConsts.MaxIsActiveLength)]
		public virtual string IsActive { get; set; }
	}
	public class GetMstWptWorkingTypeInput : PagedAndSortedResultRequestDto	
	{
		public virtual int WorkingType { get; set; }
		public virtual string Description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perMstWptWorkingType = PARENTS.CreateChildPermission(AppPermissions.Pages_Master_WorkingPattern_WorkingType, L( "MasterWorkingPatternWorkingType"));
		perMstWptWorkingType.CreateChildPermission(AppPermissions.Pages_Master_WorkingPattern_WorkingType_CreateEdit, L( "MasterWorkingPatternWorkingTypeCreateEdit"));
		perMstWptWorkingType.CreateChildPermission(AppPermissions.Pages_Master_WorkingPattern_WorkingType_Delete, L( "MasterWorkingPatternWorkingTypeDelete"));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Pages_Master_WorkingPattern_WorkingType = "Pages.Master.WorkingPattern.WorkingType";
		public const string Pages_Master_WorkingPattern_WorkingType_CreateEdit = "Pages.Master.WorkingPattern.WorkingType.CreateEdit";
		public const string Pages_Master_WorkingPattern_WorkingType_Delete = "Pages.Master.WorkingPattern.WorkingType.Delete";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vovina.Master.WorkingPattern.Dto;
namespace vovina.Master.WorkingPattern
{
	public interface IMstWptWorkingTypeAppService : IApplicationService
	{
		Task&lt;PagedResultDto&lt;MstWptWorkingTypeDto&gt;&gt; GetAll(GetMstWptWorkingTypeInput input);
		Task CreateOrEdit(CreateOrEditMstWptWorkingTypeDto input);
		Task Delete(EntityDto input);
	}
}
</v>
      </c>
      <c r="Q7" t="str">
        <f ca="1">SUBSTITUTE(SUBSTITUTE(SUBSTITUTE(SUBSTITUTE(SUBSTITUTE(SUBSTITUTE(E1,"MstWptCalendar",$B$3),"&lt;PROPERTIES&gt;",P13),"Calendar",$B$5),"WorkingPattern",$Q$3),"Master",$B$4),"&lt;PARAMS_SEARCH&gt;",$W$13)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[AbpAuthorize(AppPermissions.Pages_Master_WorkingPattern_WorkingType)]
    public class MstWptWorkingTypeAppService : vovinaAppServiceBase, IMstWptWorkingTypeAppService
    {
        private readonly IDapperRepository&lt;MstWptWorkingType, long&gt; _dapperRepo;
        private readonly IRepository&lt;MstWptWorkingType, long&gt; _repo;
        private readonly IMstWptWorkingTypeExcelExporter _calendarListExcelExporter;
        public MstWptWorkingTypeAppService(IRepository&lt;MstWptWorkingType,long&gt; repo, 
                                         IDapperRepository&lt;MstWptWorkingType,long&gt; dapperRepo,
                                        IMstWptWorkingTypeExcelExporter calendarListExcelExporter
            )
        {
            _repo = repo;
            _dapperRepo = dapperRepo;
            _calendarListExcelExporter = calendarListExcelExporter;
        }
        [AbpAuthorize(AppPermissions.Pages_Master_WorkingPattern_WorkingType_CreateEdit)]
        public async Task CreateOrEdit(CreateOrEditMstWptWorkingTypeDto input)
        {
            if (input.Id == null) await Create(input);
            else await Update(input);
        }
        //CREATE
        private async Task Create(CreateOrEditMstWptWorkingTypeDto input)
        {          
            var mainObj = ObjectMapper.Map&lt;MstWptWorkingType&gt;(input);
            await CurrentUnitOfWork.GetDbContext&lt;vovinaDbContext&gt;().AddAsync(mainObj);
        }
        // EDIT
        private async Task Update(CreateOrEditMstWptWorkingTypeDto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[AbpAuthorize(AppPermissions.Pages_Master_WorkingPattern_WorkingType_Delete)]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Task&lt;PagedResultDto&lt;MstWptWorkingTypeDto&gt;&gt; GetAll(GetMstWptWorkingTypeInput input)
        {
            var filtered = _repo.GetAll()
				.WhereIf(!string.IsNullOrWhiteSpace(input.Description), e =&gt; e.Description.Contains(input.Description))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MstWptWorkingTypeDto
                        {
							Id = o.Id,
							WorkingType = o.WorkingType,
							Description = o.Description,
							IsActive = o.IsActive,
                        };
            var totalCount = await filtered.CountAsync();
			var paged = system.PageBy(input);
            return new PagedResultDto&lt;MstWptWorkingTypeDto&gt;(
                totalCount,
                 await paged.ToListAsync()
            );
        }
        public async Task&lt;FileDto&gt; GetWorkingTypeToExcel(MstWptWorkingTypeExportInput input)
        {
            var query = from o in _repo.GetAll()
                        select new MstWptWorkingTypeDto
                        {
							Id = o.Id,
							WorkingType = o.WorkingType,
							Description = o.Description,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_dapperRepo.ExecuteAsync(MstWptWorkingTypeConsts.SP_MST_WPT_CALENDAR_GENERATE);
       // }
    }
}</v>
      </c>
      <c r="R7" t="str">
        <f ca="1">SUBSTITUTE(SUBSTITUTE((C1&amp;"namespace "&amp;B6&amp;".Dto"&amp;E3&amp;C3&amp;R3&amp;M13&amp;E3&amp;REPT(CHAR(9),1)&amp;D3&amp;D3),"WorkingPattern",$Q$3),"Master",$B$4)</f>
        <v xml:space="preserve">using Abp.Application.Services.Dto;
using System;
using System.ComponentModel.DataAnnotations;
namespace vovina.Master.WorkingPattern.Dto
{
	public class MstWptWorkingTypeExportInput{
		public virtual int WorkingType { get; set; }
		public virtual string Description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vovina.Master.WorkingPattern.Dto;
namespace vovina.Master.WorkingPattern.Exporting
{
	public interface IMstWptWorkingTypeExcelExporter : IApplicationService
	{
		FileDto ExportToFile(List&lt;MstWptWorkingTypeDto&gt; mstwptworkingtype);
	}
}
</v>
      </c>
      <c r="T7" s="28" t="str">
        <f ca="1">SUBSTITUTE(SUBSTITUTE(SUBSTITUTE(SUBSTITUTE(SUBSTITUTE(SUBSTITUTE(SUBSTITUTE(T1,"MstWptCalendar",$B$3),"&lt;PROPERTIES1&gt;",V13),"&lt;PROPERTIES&gt;",T13),"Calendar",$B$5),"calendar",LOWER(B5)),"WorkingPattern",$Q$3),"Master",$B$4)</f>
        <v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MstWptWorkingTypeExcelExporter : NpoiExcelExporterBase, IMstWptWorkingTypeExcelExporter
    {
        public MstWptWorkingTypeExcelExporter(ITempFileCacheManager tempFileCacheManager) : base(tempFileCacheManager) { }
        public FileDto ExportToFile(List&lt;MstWptWorkingTypeDto&gt; workingtype)
        {
            return CreateExcelPackage(
				"MasterWorkingPatternWorkingType.xlsx",
				excelPackage =&gt;
				 {
					var sheet = excelPackage.CreateSheet("WorkingType");
					AddHeader(
								sheet,
								("WorkingType"),
								("Description"),
								("IsActive"),
							   );
					AddObjects(
						 sheet, 1, workingtype,                                       
								_ =&gt; _.WorkingType,
								_ =&gt; _.Description,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configuration.CreateMap&lt;MstWptWorkingTypeDto, MstWptWorkingType&gt;();
  configuration.CreateMap&lt;MstWptWorkingType, MstWptWorkingTypeDto&gt;();
  configuration.CreateMap&lt;CreateOrEditMstWptWorkingTypeDto, MstWptWorkingType&gt;();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22.5" customHeight="1" x14ac:dyDescent="0.25">
      <c r="A9" t="s">
        <v>275</v>
      </c>
      <c r="B9" t="s">
        <v>4</v>
      </c>
      <c r="C9" t="s">
        <v>1</v>
      </c>
      <c r="D9" t="str">
        <f>SUBSTITUTE(PROPER(A9),"_","")</f>
        <v>WorkingType</v>
      </c>
      <c r="E9" t="str">
        <f t="shared" ref="E9:E11" si="0">IFERROR(LEFT(B9, FIND("(",B9)-1),B9)</f>
        <v>int</v>
      </c>
      <c r="F9" s="7"/>
      <c r="G9" t="str">
        <f t="shared" ref="G9:G11" si="1">IFERROR(MID(B9,FIND("(",B9) +1, FIND(")",B9) - FIND("(",B9) - 1),"")</f>
        <v/>
      </c>
      <c r="H9" t="str">
        <f>+VLOOKUP(E9,'Data Type Mapping'!A:B,2,)</f>
        <v>int</v>
      </c>
      <c r="I9" t="str">
        <f t="shared" ref="I9:I11" si="2">IF(H9="string",REPT(CHAR(9),2)&amp;"public const int Max"&amp;D9&amp;"Length = "&amp;G9&amp;";"&amp;$E$3,"" )</f>
        <v/>
      </c>
      <c r="J9" t="str">
        <f t="shared" ref="J9:J11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public virtual int WorkingType { get; set; }
</v>
      </c>
      <c r="K9" s="7" t="s">
        <v>206</v>
      </c>
      <c r="L9" t="str">
        <f>IF(K9="","",REPT(CHAR(9),1)&amp;"[Index(nameof("&amp;IF(D9="","",""&amp;D9)&amp;")"&amp;", Name="&amp;"""IX_"&amp;$B$7&amp;"_"&amp;D9&amp;""")]")</f>
        <v xml:space="preserve">	[Index(nameof(WorkingType), Name="IX_MstWptWorkingType_WorkingType")]</v>
      </c>
      <c r="M9" t="str">
        <f>REPT(CHAR(9),2)&amp;"public virtual "&amp;IF(H9="DateTime",H9&amp;"?",H9)&amp;IF(C9="?","? "," ")&amp;D9&amp;" { get; set; }" &amp; "
"</f>
        <v xml:space="preserve">		public virtual int WorkingType { get; set; }
</v>
      </c>
      <c r="N9" t="str">
        <f>IF(C9="Checked","",$I$3)&amp;IF(H9="string",REPT(CHAR(9),2)&amp;"[StringLength("&amp;$B$3&amp;"Consts.Max"&amp;D9&amp;"Length"&amp;")]"&amp;$E$3,"")&amp;REPT(CHAR(9),2)&amp;"public virtual "&amp;IF(H9="DateTime",H9&amp;"?",H9)&amp;IF(C9="?","? "," ")&amp;D9&amp;" { get; set; }" &amp; "
"</f>
        <v xml:space="preserve">		public virtual int WorkingType { get; set; }
</v>
      </c>
      <c r="O9" t="str">
        <f>IF(OR(H9="string",H9="DateTime",H9="int"),REPT(CHAR(9),2)&amp;"public virtual "&amp;IF(H9="DateTime",H9&amp;"?",H9)&amp;IF(C9="?","? "," ")&amp;D9&amp;" { get; set; }"&amp;$E$3,"")</f>
        <v xml:space="preserve">		public virtual int WorkingType { get; set; }
</v>
      </c>
      <c r="P9" t="str">
        <f t="shared" ref="P9:P11" si="4">REPT(CHAR(9),7)&amp;D9&amp;" = o." &amp;D9 &amp;","</f>
        <v xml:space="preserve">							WorkingType = o.WorkingType,</v>
      </c>
      <c r="T9" s="68" t="str">
        <f>REPT(CHAR(9),8)&amp;"("""&amp;D9&amp;"""),"</f>
        <v xml:space="preserve">								("WorkingType"),</v>
      </c>
      <c r="V9" s="69" t="str">
        <f>REPT(CHAR(9),8)&amp;"_ =&gt; _."&amp;D9&amp;","</f>
        <v xml:space="preserve">								_ =&gt; _.WorkingType,</v>
      </c>
      <c r="W9" s="68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/>
      </c>
    </row>
    <row r="10" spans="1:23" customFormat="1" ht="21" customHeight="1" x14ac:dyDescent="0.25">
      <c r="A10" t="s">
        <v>276</v>
      </c>
      <c r="B10" t="s">
        <v>277</v>
      </c>
      <c r="C10" t="s">
        <v>1</v>
      </c>
      <c r="D10" t="str">
        <f t="shared" ref="D10:D11" si="5">SUBSTITUTE(PROPER(A10),"_","")</f>
        <v>Description</v>
      </c>
      <c r="E10" t="str">
        <f t="shared" si="0"/>
        <v>nvarchar</v>
      </c>
      <c r="F10" s="7"/>
      <c r="G10" t="str">
        <f t="shared" si="1"/>
        <v>250</v>
      </c>
      <c r="H10" t="str">
        <f>+VLOOKUP(E10,'Data Type Mapping'!A:B,2,)</f>
        <v>string</v>
      </c>
      <c r="I10" t="str">
        <f t="shared" si="2"/>
        <v xml:space="preserve">		public const int MaxDescriptionLength = 250;
</v>
      </c>
      <c r="J10" t="str">
        <f t="shared" si="3"/>
        <v xml:space="preserve">		[StringLength(MaxDescriptionLength)]
		public virtual string Description { get; set; }
</v>
      </c>
      <c r="K10" s="7"/>
      <c r="L10" t="str">
        <f t="shared" ref="L10:L11" si="6">IF(K10="","",REPT(CHAR(9),1)&amp;"[Index(nameof("&amp;IF(D10="","",""&amp;D10)&amp;")"&amp;", Name="&amp;"""IX_"&amp;$B$7&amp;"_"&amp;D10&amp;""")]")</f>
        <v/>
      </c>
      <c r="M10" t="str">
        <f t="shared" ref="M10:M11" si="7">REPT(CHAR(9),2)&amp;"public virtual "&amp;IF(H10="DateTime",H10&amp;"?",H10)&amp;IF(C10="?","? "," ")&amp;D10&amp;" { get; set; }" &amp; "
"</f>
        <v xml:space="preserve">		public virtual string Description { get; set; }
</v>
      </c>
      <c r="N10" t="str">
        <f t="shared" ref="N10:N11" si="8">IF(C10="Checked","",$I$3)&amp;IF(H10="string",REPT(CHAR(9),2)&amp;"[StringLength("&amp;$B$3&amp;"Consts.Max"&amp;D10&amp;"Length"&amp;")]"&amp;$E$3,"")&amp;REPT(CHAR(9),2)&amp;"public virtual "&amp;IF(H10="DateTime",H10&amp;"?",H10)&amp;IF(C10="?","? "," ")&amp;D10&amp;" { get; set; }" &amp; "
"</f>
        <v xml:space="preserve">		[StringLength(MstWptWorkingTypeConsts.MaxDescriptionLength)]
		public virtual string Description { get; set; }
</v>
      </c>
      <c r="O10" t="str">
        <f t="shared" ref="O10:O11" si="9">IF(OR(H10="string",H10="DateTime",H10="int"),REPT(CHAR(9),2)&amp;"public virtual "&amp;IF(H10="DateTime",H10&amp;"?",H10)&amp;IF(C10="?","? "," ")&amp;D10&amp;" { get; set; }"&amp;$E$3,"")</f>
        <v xml:space="preserve">		public virtual string Description { get; set; }
</v>
      </c>
      <c r="P10" t="str">
        <f t="shared" si="4"/>
        <v xml:space="preserve">							Description = o.Description,</v>
      </c>
      <c r="T10" s="68" t="str">
        <f t="shared" ref="T10:T11" si="10">REPT(CHAR(9),8)&amp;"("""&amp;D10&amp;"""),"</f>
        <v xml:space="preserve">								("Description"),</v>
      </c>
      <c r="V10" s="69" t="str">
        <f t="shared" ref="V10:V11" si="11">REPT(CHAR(9),8)&amp;"_ =&gt; _."&amp;D10&amp;","</f>
        <v xml:space="preserve">								_ =&gt; _.Description,</v>
      </c>
      <c r="W10" s="68" t="str">
        <f t="shared" ref="W10:W11" si="12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.WhereIf(!string.IsNullOrWhiteSpace(input.Description), e =&gt; e.Description.Contains(input.Description))</v>
      </c>
    </row>
    <row r="11" spans="1:23" customFormat="1" ht="18.75" customHeight="1" x14ac:dyDescent="0.25">
      <c r="A11" t="s">
        <v>270</v>
      </c>
      <c r="B11" t="s">
        <v>271</v>
      </c>
      <c r="C11" t="s">
        <v>1</v>
      </c>
      <c r="D11" t="str">
        <f t="shared" si="5"/>
        <v>IsActive</v>
      </c>
      <c r="E11" t="str">
        <f t="shared" si="0"/>
        <v>varchar</v>
      </c>
      <c r="F11" s="7"/>
      <c r="G11" t="str">
        <f t="shared" si="1"/>
        <v>1</v>
      </c>
      <c r="H11" t="str">
        <f>+VLOOKUP(E11,'Data Type Mapping'!A:B,2,)</f>
        <v>string</v>
      </c>
      <c r="I11" t="str">
        <f t="shared" si="2"/>
        <v xml:space="preserve">		public const int MaxIsActiveLength = 1;
</v>
      </c>
      <c r="J11" t="str">
        <f t="shared" si="3"/>
        <v xml:space="preserve">		[StringLength(MaxIsActiveLength)]
		public virtual string IsActive { get; set; }
</v>
      </c>
      <c r="K11" s="7"/>
      <c r="L11" t="str">
        <f t="shared" si="6"/>
        <v/>
      </c>
      <c r="M11" t="str">
        <f t="shared" si="7"/>
        <v xml:space="preserve">		public virtual string IsActive { get; set; }
</v>
      </c>
      <c r="N11" t="str">
        <f t="shared" si="8"/>
        <v xml:space="preserve">		[StringLength(MstWptWorkingTypeConsts.MaxIsActiveLength)]
		public virtual string IsActive { get; set; }
</v>
      </c>
      <c r="O11" t="str">
        <f t="shared" si="9"/>
        <v xml:space="preserve">		public virtual string IsActive { get; set; }
</v>
      </c>
      <c r="P11" t="str">
        <f t="shared" si="4"/>
        <v xml:space="preserve">							IsActive = o.IsActive,</v>
      </c>
      <c r="T11" s="68" t="str">
        <f t="shared" si="10"/>
        <v xml:space="preserve">								("IsActive"),</v>
      </c>
      <c r="V11" s="69" t="str">
        <f t="shared" si="11"/>
        <v xml:space="preserve">								_ =&gt; _.IsActive,</v>
      </c>
      <c r="W11" s="68" t="str">
        <f t="shared" si="12"/>
        <v xml:space="preserve">				.WhereIf(!string.IsNullOrWhiteSpace(input.IsActive), e =&gt; e.IsActive.Contains(input.IsActive))</v>
      </c>
    </row>
    <row r="13" spans="1:23" ht="45.75" customHeight="1" x14ac:dyDescent="0.25">
      <c r="H13" s="12"/>
      <c r="I13" s="34" t="str">
        <f ca="1">TEXTJOIN2("
", TRUE,INDIRECT( $H$1):INDIRECT( $H$3))</f>
        <v xml:space="preserve">		public const int MaxDescriptionLength = 250;
		public const int MaxIsActiveLength = 1;
</v>
      </c>
      <c r="J13" s="33" t="str">
        <f ca="1">TEXTJOIN2("
", TRUE,INDIRECT( $F$1):INDIRECT( $F$3))</f>
        <v xml:space="preserve">		public virtual int WorkingType { get; set; }
		[StringLength(MaxDescriptionLength)]
		public virtual string Description { get; set; }
		[StringLength(MaxIsActiveLength)]
		public virtual string IsActive { get; set; }
</v>
      </c>
      <c r="K13" s="35" t="str">
        <f ca="1">TEXTJOIN2("
", TRUE,INDIRECT( $J$1):INDIRECT( $J$3))</f>
        <v xml:space="preserve">	[Index(nameof(WorkingType), Name="IX_MstWptWorkingType_WorkingType")]
</v>
      </c>
      <c r="L13" s="13" t="s">
        <v>60</v>
      </c>
      <c r="M13" s="36" t="str">
        <f ca="1">TEXTJOIN2("
",TRUE,INDIRECT( $L$1):INDIRECT($L$3))</f>
        <v xml:space="preserve">		public virtual int WorkingType { get; set; }
		public virtual string Description { get; set; }
		public virtual string IsActive { get; set; }
</v>
      </c>
      <c r="N13" s="33" t="str">
        <f ca="1">TEXTJOIN2("
",TRUE,INDIRECT( $M$1):INDIRECT($M$3))</f>
        <v xml:space="preserve">		public virtual int WorkingType { get; set; }
		[StringLength(MstWptWorkingTypeConsts.MaxDescriptionLength)]
		public virtual string Description { get; set; }
		[StringLength(MstWptWorkingTypeConsts.MaxIsActiveLength)]
		public virtual string IsActive { get; set; }
</v>
      </c>
      <c r="O13" s="33" t="str">
        <f ca="1">TEXTJOIN2("
",TRUE,INDIRECT( $N$1):INDIRECT($N$3))</f>
        <v xml:space="preserve">		public virtual int WorkingType { get; set; }
		public virtual string Description { get; set; }
		public virtual string IsActive { get; set; }
</v>
      </c>
      <c r="P13" s="9" t="str">
        <f ca="1">TEXTJOIN2("
",TRUE,INDIRECT( $O$1):INDIRECT($O$3))</f>
        <v xml:space="preserve">							WorkingType = o.WorkingType,
							Description = o.Description,
							IsActive = o.IsActive,</v>
      </c>
      <c r="T13" s="9" t="str">
        <f ca="1">TEXTJOIN2("
",TRUE,INDIRECT( $T$2):INDIRECT($T$3))</f>
        <v xml:space="preserve">								("WorkingType"),
								("Description"),
								("IsActive"),</v>
      </c>
      <c r="V13" s="9" t="str">
        <f ca="1">TEXTJOIN2("
",TRUE,INDIRECT( $V$2):INDIRECT($V$3))</f>
        <v xml:space="preserve">								_ =&gt; _.WorkingType,
								_ =&gt; _.Description,
								_ =&gt; _.IsActive,</v>
      </c>
      <c r="W13" s="9" t="str">
        <f ca="1">TEXTJOIN2("
",TRUE,INDIRECT( $W$2):INDIRECT($W$3))</f>
        <v xml:space="preserve">				.WhereIf(!string.IsNullOrWhiteSpace(input.Description), e =&gt; e.Description.Contains(input.Description))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0"/>
  <sheetViews>
    <sheetView workbookViewId="0">
      <selection activeCell="A15" sqref="A15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4" width="20.42578125" customWidth="1"/>
    <col min="15" max="15" width="20.5703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45" x14ac:dyDescent="0.25">
      <c r="A1" s="41" t="s">
        <v>212</v>
      </c>
      <c r="B1" s="42" t="s">
        <v>274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71" t="str">
        <f>A.Backend!B4</f>
        <v>Master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71" t="str">
        <f>LOWER(B2)</f>
        <v>master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72" t="str">
        <f>A.Backend!Q3</f>
        <v>WorkingPattern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72" t="str">
        <f>LOWER(B4)</f>
        <v>workingpattern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73" t="str">
        <f>A.Backend!B3</f>
        <v>MstWptWorkingType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72" t="str">
        <f>A.Backend!B5</f>
        <v>WorkingType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72" t="str">
        <f>LOWER(B7)</f>
        <v>workingtype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2" t="s">
        <v>216</v>
      </c>
      <c r="B9" s="53"/>
      <c r="C9" s="52"/>
      <c r="D9" s="52"/>
      <c r="E9" s="52"/>
      <c r="F9" s="52"/>
      <c r="G9" s="52"/>
      <c r="H9" s="44" t="s">
        <v>262</v>
      </c>
      <c r="I9" s="45" t="s">
        <v>256</v>
      </c>
      <c r="J9" s="44" t="s">
        <v>219</v>
      </c>
      <c r="K9" s="46" t="s">
        <v>257</v>
      </c>
      <c r="L9" s="45" t="s">
        <v>261</v>
      </c>
      <c r="M9" s="44" t="s">
        <v>249</v>
      </c>
      <c r="N9" s="44" t="s">
        <v>220</v>
      </c>
      <c r="O9" s="44" t="s">
        <v>221</v>
      </c>
      <c r="P9" s="45" t="s">
        <v>223</v>
      </c>
      <c r="Q9" s="44" t="s">
        <v>250</v>
      </c>
      <c r="R9" s="44" t="s">
        <v>233</v>
      </c>
      <c r="S9" s="31"/>
      <c r="T9" s="31"/>
      <c r="U9" s="31"/>
      <c r="V9" s="31"/>
    </row>
    <row r="10" spans="1:22" ht="18.75" customHeight="1" x14ac:dyDescent="0.25">
      <c r="A10" s="54" t="s">
        <v>217</v>
      </c>
      <c r="B10" s="55"/>
      <c r="C10" s="56"/>
      <c r="D10" s="56"/>
      <c r="E10" s="56"/>
      <c r="F10" s="56"/>
      <c r="G10" s="56"/>
      <c r="H10" s="47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MstWptWorkingTypeDto, MstWptWorkingTypeServiceProxy } from '@shared/service-proxies/service-proxies';
import { finalize } from 'rxjs/internal/operators/finalize';
import { CreateOrEditWorkingTypeModalComponent } from './create-or-edit-workingtype-modal.component';
import { DatePipe } from '@angular/common';
import { FileDownloadService } from '@shared/utils/file-download.service';
import ceil from 'lodash-es/ceil';
import { Paginator } from 'primeng/paginator';
@Component({
    templateUrl: './workingtype.component.html',
    styleUrls: ['./workingtype.component.less'],
})
export class WorkingTypeComponent extends AppComponentBase implements OnInit {
    @ViewChild('createOrEditModalWorkingType', { static: true }) createOrEditModalWorkingType:| CreateOrEditWorkingTypeModalComponent|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MstWptWorkingTypeDto = new MstWptWorkingTypeDto();
    saveSelectedRow: MstWptWorkingTypeDto = new MstWptWorkingTypeDto();
    datas: MstWptWorkingTypeDto = new MstWptWorkingTypeDto();
    isLoading: boolean = false;
    dataParams: GridParams | undefined;
    rowData: any[] = [];
    gridApi!: GridApi;
    rowSelection = 'multiple';
    filter: string = '';
	pipe = new DatePipe('en-US');
    workingType : number = 0 ;
	description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MstWptWorkingTypeServiceProxy,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this.l('Working Type'),headerTooltip: this.l('Working Type'),field: 'workingType',flex: 1},
			{headerName: this.l('Description'),headerTooltip: this.l('Description'),field: 'description',flex: 1},
			{headerName: this.l('Is Active'),headerTooltip: this.l('Is Active'),field: 'isActive',flex: 1},      	  
        ];
    }
    ngOnInit(): void {
        this.paginationParams = { pageNum: 1, pageSize: 20, totalCount: 0 };
    }
    searchDatas(): void {
        // this.paginator.changePage(this.paginator.getPage());
        this._service.getAll(
			this.workingType,
			this.description,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this.workingType = 0,
		this.description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this.workingType,
			this.description,
			this.isActive,
			'',
            this.paginationParams.skipCount,
            this.paginationParams.pageSize
        );
    }
    onChangeRowSelection(params: { api: { getSelectedRows: () =&gt; MstWptWorkingTypeDto[] } }) {
        this.saveSelectedRow = params.api.getSelectedRows()[0] ?? new MstWptWorkingTypeDto();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MstWptWorkingTypeDto):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this._service.getWorkingTypeToExcel(
			this.workingType,
			this.description,
			this.isActive,
            )
            .subscribe((result) =&gt; {
                this._fileDownloadService.downloadTempFile(result);
        });
    }
}</v>
      </c>
      <c r="I10" s="47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Working Pattern Working Type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[(ngModel)]='description' name='description'
									class='form-control' [placeholder]="l('Description')"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(click)="createOrEditModalWorkingType.show()"&gt;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(click)="createOrEditModalWorkingType.show(selectedRow)"&gt;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&lt;create-or-edit-workingtype-modal
    #createOrEditModalWorkingType
    (modalSave)="callBackDataGrid(dataParams)"
    (modalClose)="onChangeRowSelection(dataParams)"
&gt;
&lt;/create-or-edit-workingtype-modal&gt;</v>
      </c>
      <c r="J10" s="47" t="str">
        <f>J9</f>
        <v>.input-search{
    width: 250px;
    border-radius: 10px;
    margin-left: 10px;
}
.btn-search{
    width: 50px;
    margin-left: 10px;
}</v>
      </c>
      <c r="K10" s="47" t="str">
        <f ca="1">SUBSTITUTE(SUBSTITUTE(SUBSTITUTE(SUBSTITUTE(K9,"MstWptCalendar",$B$6),"Calendar",$B$7),"calendar",$B$8),"&lt;PROPERTIES&gt;",K13)</f>
        <v>&lt;div bsModal #createOrEditModalWorkingType="bs-modal"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WorkingType')}}&lt;/h3&gt;
                    &lt;h3 *ngIf="!rowdata.id"&gt;{{('Create New WorkingType')}}&lt;/h3&gt;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title'&gt;Description&lt;/label&gt;
						&lt;input type='text' class='col-md-10 form-control input-text' name='Description' [(ngModel)]='rowdata.description'&gt;
					&lt;/div&gt;
					&lt;div class='col-md-12 form-group row'&gt;
						&lt;label class='col-md-2 form-control title'&gt;Is Active&lt;/label&gt;
						&lt;input class='col-md-10 form-control checkboxActive' type='checkbox' name='isActive'
						[checked]='_isActive' (change)='changeActive($event)'&gt;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7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CreateOrEditMstWptWorkingTypeDto, MstWptWorkingTypeServiceProxy } from '@shared/service-proxies/service-proxies';
import { BsDatepickerDirective } from 'ngx-bootstrap/datepicker';
@Component({
    selector: 'create-or-edit-workingtype-modal',
    templateUrl: './create-or-edit-workingtype-modal.component.html',
    styleUrls: ['./create-or-edit-workingtype-modal.component.less']
    })
export class CreateOrEditWorkingTypeModalComponent extends AppComponentBase {
    @ViewChild('createOrEditModalWorkingType',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CreateOrEditMstWptWorkingTypeDto = new CreateOrEditMstWptWorkingTypeDto();
    active: boolean = false;
    saving: boolean = false;
    _isActive: boolean;
    constructor(
        injector: Injector,
        private _mstwptWorkingTypeService: MstWptWorkingTypeServiceProxy,
    ) 
    {
        super(injector);
    }
    show(rowdata?: CreateOrEditMstWptWorkingTypeDto): void {
        if (!rowdata) this.rowdata = new CreateOrEditMstWptWorkingTypeDto();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this._mstwptWorkingTypeService.createOrEdit(this.rowdata)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7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7" t="str">
        <f>SUBSTITUTE(SUBSTITUTE(SUBSTITUTE(N9,"MstWptCalendar",$B$6),"Calendar",$B$7),"calendar",$B$8)</f>
        <v>import {NgModule} from '@angular/core';
import {AppSharedModule} from '@app/shared/app-shared.module';
import { WorkingTypeRoutingModule } from './workingtype-routing.module';
import { WorkingTypeComponent } from './workingtype.component';
import { CreateOrEditWorkingTypeModalComponent } from './create-or-edit-workingtype-modal.component';
@NgModule({
    declarations: [
       WorkingTypeComponent, 
        CreateOrEditWorkingTypeModalComponent
    ],
    imports: [
        AppSharedModule, WorkingTypeRoutingModule]
})
export class WorkingTypeModule {}</v>
      </c>
      <c r="O10" s="47" t="str">
        <f>SUBSTITUTE(SUBSTITUTE(SUBSTITUTE(O9,"MstWptCalendar",$B$6),"Calendar",$B$7),"calendar",$B$8)</f>
        <v>import {NgModule} from '@angular/core';
import {RouterModule, Routes} from '@angular/router';
import { WorkingTypeComponent } from './workingtype.component';
const routes: Routes = [{
    path: '',
    component: WorkingTypeComponent,
    pathMatch: 'full'
}];
@NgModule({
    imports: [RouterModule.forChild(routes)],
    exports: [RouterModule],
})
export class WorkingTypeRoutingModule {}</v>
      </c>
      <c r="P10" s="47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AppMenuItem("WorkingType", "Pages.Master.WorkingPattern.WorkingType", "flaticon-book",   "/app/main/master/workingpattern/workingtype"),</v>
      </c>
      <c r="Q10" s="47" t="str">
        <f>SUBSTITUTE(SUBSTITUTE(SUBSTITUTE(SUBSTITUTE(SUBSTITUTE(SUBSTITUTE(SUBSTITUTE(Q9,"MstWptCalendar",$B$6),"Calendar",$B$7),"calendar",$B$8),"WorkingPattern",$B$4),"workingpattern",$B$5),"Master",$B$2),"master",$B$3)</f>
        <v>{
    path: 'master/workingpattern/workingtype',
    loadChildren: () =&gt; import('./master/workingpattern/workingtype/workingtype.module').then(m =&gt; m.WorkingTypeModule),
    data: { permission: 'Pages.Master.WorkingPattern.WorkingType' }
},</v>
      </c>
      <c r="R10" s="49" t="str">
        <f>SUBSTITUTE(R9,"MstWptCalendar",$B$6)</f>
        <v>ApiServiceProxies.MstWptWorkingTypeServiceProxy,</v>
      </c>
      <c r="S10" s="31"/>
      <c r="T10" s="31"/>
      <c r="U10" s="31"/>
      <c r="V10" s="31"/>
    </row>
    <row r="11" spans="1:22" x14ac:dyDescent="0.25">
      <c r="A11" s="57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263</v>
      </c>
      <c r="J11" s="31"/>
      <c r="K11" s="31" t="s">
        <v>260</v>
      </c>
      <c r="L11" s="31" t="s">
        <v>264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265</v>
      </c>
      <c r="V11" s="70" t="s">
        <v>267</v>
      </c>
    </row>
    <row r="12" spans="1:22" x14ac:dyDescent="0.25">
      <c r="A12" s="57">
        <v>2</v>
      </c>
      <c r="B12" s="37"/>
      <c r="C12" s="31"/>
      <c r="D12" s="31"/>
      <c r="E12" s="31"/>
      <c r="F12" s="31"/>
      <c r="G12" s="31"/>
      <c r="H12" s="31" t="str">
        <f>"H"&amp;COUNTA($A:$A)</f>
        <v>H17</v>
      </c>
      <c r="I12" s="31" t="str">
        <f>"I"&amp;COUNTA($A:$A)</f>
        <v>I17</v>
      </c>
      <c r="J12" s="31"/>
      <c r="K12" s="31" t="str">
        <f>"K"&amp;COUNTA($A:$A)</f>
        <v>K17</v>
      </c>
      <c r="L12" s="31" t="str">
        <f>"L"&amp;COUNTA($A:$A)</f>
        <v>L17</v>
      </c>
      <c r="M12" s="31"/>
      <c r="N12" s="31"/>
      <c r="O12" s="31"/>
      <c r="P12" s="31"/>
      <c r="Q12" s="31"/>
      <c r="R12" s="31"/>
      <c r="S12" s="31" t="str">
        <f>"S"&amp;COUNTA($A:$A)</f>
        <v>S17</v>
      </c>
      <c r="T12" s="31" t="str">
        <f>"T"&amp;COUNTA($A:$A)</f>
        <v>T17</v>
      </c>
      <c r="U12" s="31" t="str">
        <f>"U"&amp;COUNTA($A:$A)</f>
        <v>U17</v>
      </c>
      <c r="V12" s="31" t="str">
        <f>"V"&amp;COUNTA($A:$A)</f>
        <v>V17</v>
      </c>
    </row>
    <row r="13" spans="1:22" ht="17.25" customHeight="1" x14ac:dyDescent="0.25">
      <c r="A13" s="57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this.l('Working Type'),headerTooltip: this.l('Working Type'),field: 'workingType',flex: 1},
			{headerName: this.l('Description'),headerTooltip: this.l('Description'),field: 'description',flex: 1},
			{headerName: this.l('Is Active'),headerTooltip: this.l('Is Active'),field: 'isActive',flex: 1},</v>
      </c>
      <c r="I13" s="38" t="str">
        <f ca="1">TEXTJOIN2("
",TRUE,INDIRECT(I11):INDIRECT(I12))</f>
        <v xml:space="preserve">								&lt;div class='input-search'&gt;
									&lt;input [(ngModel)]='description' name='description'
									class='form-control' [placeholder]="l('Description')"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title'&gt;Description&lt;/label&gt;
						&lt;input type='text' class='col-md-10 form-control input-text' name='Description' [(ngModel)]='rowdata.description'&gt;
					&lt;/div&gt;
					&lt;div class='col-md-12 form-group row'&gt;
						&lt;label class='col-md-2 form-control title'&gt;Is Active&lt;/label&gt;
						&lt;input class='col-md-10 form-control checkboxActive' type='checkbox' name='isActive'
						[checked]='_isActive' (change)='changeActive($event)'&gt;
					&lt;/div&gt;</v>
      </c>
      <c r="L13" s="59" t="str">
        <f ca="1">TEXTJOIN2("
",TRUE,INDIRECT(L11):INDIRECT(L12))</f>
        <v/>
      </c>
      <c r="M13" s="31"/>
      <c r="N13" s="31"/>
      <c r="O13" s="31"/>
      <c r="P13" s="31"/>
      <c r="Q13" s="31"/>
      <c r="R13" s="31"/>
      <c r="S13" s="67" t="str">
        <f ca="1">TEXTJOIN2("
",TRUE,INDIRECT(S11):INDIRECT(S12))</f>
        <v xml:space="preserve">workingType : number = 0 ;
	description : string = '' ; 
	isActive : string = '' ; </v>
      </c>
      <c r="T13" s="67" t="str">
        <f ca="1">TEXTJOIN2("
",TRUE,INDIRECT(T11):INDIRECT(T12))</f>
        <v xml:space="preserve">			this.workingType,
			this.description,
			this.isActive,</v>
      </c>
      <c r="U13" s="67" t="str">
        <f ca="1">TEXTJOIN2("
",TRUE,INDIRECT(U11):INDIRECT(U12))</f>
        <v>this.workingType = 0,
		this.description = '',
		this.isActive = '',</v>
      </c>
      <c r="V13" s="31" t="str">
        <f ca="1">TEXTJOIN2("
",TRUE,INDIRECT(V11):INDIRECT(V12))</f>
        <v>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workingtype.component.ts</v>
      </c>
      <c r="I14" s="40" t="str">
        <f>B8&amp;".component.html"</f>
        <v>workingtype.component.html</v>
      </c>
      <c r="J14" s="39" t="str">
        <f>B8&amp;".component.less"</f>
        <v>workingtype.component.less</v>
      </c>
      <c r="K14" s="40" t="str">
        <f>"create-or-edit-"&amp;B8&amp;"-modal.component.html"</f>
        <v>create-or-edit-workingtype-modal.component.html</v>
      </c>
      <c r="L14" s="40" t="str">
        <f>"create-or-edit-"&amp;B8&amp;"-modal.component.ts"</f>
        <v>create-or-edit-workingtype-modal.component.ts</v>
      </c>
      <c r="M14" s="40" t="str">
        <f>"create-or-edit-"&amp;B8&amp;"-modal.component.less"</f>
        <v>create-or-edit-workingtype-modal.component.less</v>
      </c>
      <c r="N14" s="40" t="str">
        <f>B8&amp;".module.ts"</f>
        <v>workingtype.module.ts</v>
      </c>
      <c r="O14" s="40" t="str">
        <f>B8&amp;"-routing.module.ts"</f>
        <v>workingtype-routing.module.ts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266</v>
      </c>
    </row>
    <row r="15" spans="1:22" ht="18" customHeight="1" x14ac:dyDescent="0.25">
      <c r="A15" s="43" t="s">
        <v>275</v>
      </c>
      <c r="B15" s="31" t="str">
        <f>SUBSTITUTE(PROPER(A15),"_","")</f>
        <v>WorkingType</v>
      </c>
      <c r="C15" s="31" t="str">
        <f>SUBSTITUTE(PROPER(A15),"_"," ")</f>
        <v>Working Type</v>
      </c>
      <c r="D15" s="31" t="str">
        <f>LOWER(LEFT(B15,1))&amp;RIGHT(B15,LEN(B15) - 1)</f>
        <v>workingType</v>
      </c>
      <c r="E15" s="31" t="str">
        <f>A.Backend!H9</f>
        <v>int</v>
      </c>
      <c r="F15" s="31" t="str">
        <f>A.Backend!G9</f>
        <v/>
      </c>
      <c r="G15" s="31" t="str">
        <f>IF(E15="string"," : string = '' ; ",IF(E15="DateTime"," : any ;",IF(E15="int"," : number = 0 ;","")))</f>
        <v xml:space="preserve"> : number = 0 ;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REPT(CHAR(9),3)&amp;"{headerName: this.l('"&amp;C15&amp;"'),headerTooltip: this.l('"&amp;C15&amp;"'),field: '"&amp;D15&amp;"',flex: 1},")</f>
        <v xml:space="preserve">			{headerName: this.l('Working Type'),headerTooltip: this.l('Working Type'),field: 'workingType',flex: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/>
      </c>
      <c r="J15" s="31"/>
      <c r="K15" s="38" t="str">
        <f>IF(E15="DateTime",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"&amp;REPT(CHAR(9),6)&amp;"&lt;input class='col-md-10 form-control checkboxActive' type='checkbox' name='"&amp;D15&amp;"'
"&amp;REPT(CHAR(9),6)&amp;"[checked]='_"&amp;D15&amp;"' (change)='changeActive($event)'&gt;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"&amp;REPT(CHAR(9),5)&amp;"&lt;/div&gt;","")))</f>
        <v/>
      </c>
      <c r="L15" s="59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>workingType : number = 0 ;</v>
      </c>
      <c r="T15" s="31" t="str">
        <f>REPT(CHAR(9),3)&amp;"this."&amp;D15&amp;","</f>
        <v xml:space="preserve">			this.workingType,</v>
      </c>
      <c r="U15" s="31" t="str">
        <f>IF(E15="int","this."&amp;D15&amp;" = 0,","this."&amp;D15&amp;" = '',")</f>
        <v>this.workingType = 0,</v>
      </c>
      <c r="V15" s="31" t="str">
        <f>IF(AND(E15="string",F15="1"),D15,"")</f>
        <v/>
      </c>
    </row>
    <row r="16" spans="1:22" ht="15" customHeight="1" x14ac:dyDescent="0.25">
      <c r="A16" s="43" t="s">
        <v>276</v>
      </c>
      <c r="B16" s="31" t="str">
        <f t="shared" ref="B16:B17" si="0">SUBSTITUTE(PROPER(A16),"_","")</f>
        <v>Description</v>
      </c>
      <c r="C16" s="31" t="str">
        <f t="shared" ref="C16:C17" si="1">SUBSTITUTE(PROPER(A16),"_"," ")</f>
        <v>Description</v>
      </c>
      <c r="D16" s="31" t="str">
        <f t="shared" ref="D16:D17" si="2">LOWER(LEFT(B16,1))&amp;RIGHT(B16,LEN(B16) - 1)</f>
        <v>description</v>
      </c>
      <c r="E16" s="31" t="str">
        <f>A.Backend!H10</f>
        <v>string</v>
      </c>
      <c r="F16" s="31" t="str">
        <f>A.Backend!G10</f>
        <v>250</v>
      </c>
      <c r="G16" s="31" t="str">
        <f t="shared" ref="G16:G17" si="3">IF(E16="string"," : string = '' ; ",IF(E16="DateTime"," : any ;",IF(E16="int"," : number = 0 ;","")))</f>
        <v xml:space="preserve"> : string = '' ; </v>
      </c>
      <c r="H16" s="38" t="str">
        <f>IF(E16="DateTime",
REPT(CHAR(9),3)&amp;"{headerName: this.l('"&amp;C16&amp;"'),headerTooltip: this.l('"&amp;C16&amp;"'),field: '"&amp;D16&amp;"',valueGetter: (params) =&gt; this.pipe.transform(params.data?."&amp;D16&amp;", 'dd/MM/yyyy'),flex: 1},",
REPT(CHAR(9),3)&amp;"{headerName: this.l('"&amp;C16&amp;"'),headerTooltip: this.l('"&amp;C16&amp;"'),field: '"&amp;D16&amp;"',flex: 1},")</f>
        <v xml:space="preserve">			{headerName: this.l('Description'),headerTooltip: this.l('Description'),field: 'description',flex: 1},</v>
      </c>
      <c r="I16" s="38" t="str">
        <f t="shared" ref="I16:I17" si="4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[(ngModel)]='description' name='description'
									class='form-control' [placeholder]="l('Description')"
									type='text' (keyup.enter)='searchDatas()'&gt;
								&lt;/div&gt;</v>
      </c>
      <c r="J16" s="31"/>
      <c r="K16" s="38" t="str">
        <f t="shared" ref="K16:K17" si="5">IF(E16="DateTime",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"&amp;REPT(CHAR(9),6)&amp;"&lt;input class='col-md-10 form-control checkboxActive' type='checkbox' name='"&amp;D16&amp;"'
"&amp;REPT(CHAR(9),6)&amp;"[checked]='_"&amp;D16&amp;"' (change)='changeActive($event)'&gt;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"&amp;REPT(CHAR(9),5)&amp;"&lt;/div&gt;","")))</f>
        <v xml:space="preserve">					&lt;div class='col-md-12 form-group row'&gt;
						&lt;label class='col-md-2 form-control title'&gt;Description&lt;/label&gt;
						&lt;input type='text' class='col-md-10 form-control input-text' name='Description' [(ngModel)]='rowdata.description'&gt;
					&lt;/div&gt;</v>
      </c>
      <c r="L16" s="59" t="str">
        <f t="shared" ref="L16:L17" si="6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description : string = '' ; </v>
      </c>
      <c r="T16" s="31" t="str">
        <f>REPT(CHAR(9),3)&amp;"this."&amp;D16&amp;","</f>
        <v xml:space="preserve">			this.description,</v>
      </c>
      <c r="U16" s="31" t="str">
        <f>IF(E16="int",REPT(CHAR(9),2)&amp;"this."&amp;D16&amp;" = 0,",REPT(CHAR(9),2)&amp;"this."&amp;D16&amp;" = '',")</f>
        <v xml:space="preserve">		this.description = '',</v>
      </c>
      <c r="V16" s="31" t="str">
        <f t="shared" ref="V16:V17" si="7">IF(AND(E16="string",F16="1"),D16,"")</f>
        <v/>
      </c>
    </row>
    <row r="17" spans="1:22" ht="18" customHeight="1" x14ac:dyDescent="0.25">
      <c r="A17" s="43" t="s">
        <v>270</v>
      </c>
      <c r="B17" s="31" t="str">
        <f t="shared" si="0"/>
        <v>IsActive</v>
      </c>
      <c r="C17" s="31" t="str">
        <f t="shared" si="1"/>
        <v>Is Active</v>
      </c>
      <c r="D17" s="31" t="str">
        <f t="shared" si="2"/>
        <v>isActive</v>
      </c>
      <c r="E17" s="31" t="str">
        <f>A.Backend!H11</f>
        <v>string</v>
      </c>
      <c r="F17" s="31" t="str">
        <f>A.Backend!G11</f>
        <v>1</v>
      </c>
      <c r="G17" s="31" t="str">
        <f t="shared" si="3"/>
        <v xml:space="preserve"> : string = '' ; </v>
      </c>
      <c r="H17" s="38" t="str">
        <f t="shared" ref="H17" si="8">IF(E17="DateTime",
REPT(CHAR(9),3)&amp;"{headerName: this.l('"&amp;C17&amp;"'),headerTooltip: this.l('"&amp;C17&amp;"'),field: '"&amp;D17&amp;"',valueGetter: (params) =&gt; this.pipe.transform(params.data?."&amp;D17&amp;", 'dd/MM/yyyy'),flex: 1},",
REPT(CHAR(9),3)&amp;"{headerName: this.l('"&amp;C17&amp;"'),headerTooltip: this.l('"&amp;C17&amp;"'),field: '"&amp;D17&amp;"',flex: 1},")</f>
        <v xml:space="preserve">			{headerName: this.l('Is Active'),headerTooltip: this.l('Is Active'),field: 'isActive',flex: 1},</v>
      </c>
      <c r="I17" s="38" t="str">
        <f t="shared" si="4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17" s="31"/>
      <c r="K17" s="38" t="str">
        <f t="shared" si="5"/>
        <v xml:space="preserve">					&lt;div class='col-md-12 form-group row'&gt;
						&lt;label class='col-md-2 form-control title'&gt;Is Active&lt;/label&gt;
						&lt;input class='col-md-10 form-control checkboxActive' type='checkbox' name='isActive'
						[checked]='_isActive' (change)='changeActive($event)'&gt;
					&lt;/div&gt;</v>
      </c>
      <c r="L17" s="59" t="str">
        <f t="shared" si="6"/>
        <v/>
      </c>
      <c r="M17" s="31"/>
      <c r="N17" s="31"/>
      <c r="O17" s="31"/>
      <c r="P17" s="31"/>
      <c r="Q17" s="31"/>
      <c r="R17" s="31"/>
      <c r="S17" s="31" t="str">
        <f t="shared" ref="S17" si="9">REPT(CHAR(9),1)&amp;D17&amp;G17</f>
        <v xml:space="preserve">	isActive : string = '' ; </v>
      </c>
      <c r="T17" s="31" t="str">
        <f t="shared" ref="T17" si="10">REPT(CHAR(9),3)&amp;"this."&amp;D17&amp;","</f>
        <v xml:space="preserve">			this.isActive,</v>
      </c>
      <c r="U17" s="31" t="str">
        <f t="shared" ref="U17" si="11">IF(E17="int",REPT(CHAR(9),2)&amp;"this."&amp;D17&amp;" = 0,",REPT(CHAR(9),2)&amp;"this."&amp;D17&amp;" = '',")</f>
        <v xml:space="preserve">		this.isActive = '',</v>
      </c>
      <c r="V17" s="31" t="str">
        <f t="shared" si="7"/>
        <v>isActive</v>
      </c>
    </row>
    <row r="20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9"/>
  <sheetViews>
    <sheetView workbookViewId="0">
      <selection activeCell="B1" sqref="B1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2022-05-24T11:51:37Z</dcterms:modified>
</cp:coreProperties>
</file>
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workingpattern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G10" i="1"/>
  <c r="E10" i="1"/>
  <c r="H10" i="1" s="1"/>
  <c r="D10" i="1"/>
  <c r="V10" i="1" s="1"/>
  <c r="C17" i="5"/>
  <c r="B17" i="5"/>
  <c r="D17" i="5" s="1"/>
  <c r="W10" i="1" l="1"/>
  <c r="O10" i="1"/>
  <c r="J10" i="1"/>
  <c r="N10" i="1"/>
  <c r="I10" i="1"/>
  <c r="M10" i="1"/>
  <c r="P10" i="1"/>
  <c r="T10" i="1"/>
  <c r="T17" i="5"/>
  <c r="L11" i="1"/>
  <c r="G11" i="1"/>
  <c r="E11" i="1"/>
  <c r="H11" i="1" s="1"/>
  <c r="D11" i="1"/>
  <c r="V11" i="1" s="1"/>
  <c r="C18" i="5"/>
  <c r="B18" i="5"/>
  <c r="D18" i="5" s="1"/>
  <c r="P11" i="1" l="1"/>
  <c r="T11" i="1"/>
  <c r="N11" i="1"/>
  <c r="I11" i="1"/>
  <c r="M11" i="1"/>
  <c r="W11" i="1"/>
  <c r="O11" i="1"/>
  <c r="J11" i="1"/>
  <c r="T18" i="5"/>
  <c r="B15" i="5"/>
  <c r="B16" i="5"/>
  <c r="C19" i="5"/>
  <c r="B19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2" i="1"/>
  <c r="D13" i="1"/>
  <c r="V13" i="1" l="1"/>
  <c r="T13" i="1"/>
  <c r="V12" i="1"/>
  <c r="T12" i="1"/>
  <c r="D15" i="5"/>
  <c r="V15" i="1"/>
  <c r="T15" i="5" l="1"/>
  <c r="D19" i="5"/>
  <c r="D16" i="5"/>
  <c r="T16" i="5" l="1"/>
  <c r="T19" i="5"/>
  <c r="R3" i="1"/>
  <c r="D1" i="1"/>
  <c r="F6" i="1"/>
  <c r="T13" i="5"/>
  <c r="L13" i="1" l="1"/>
  <c r="G9" i="1"/>
  <c r="F15" i="5" s="1"/>
  <c r="G12" i="1"/>
  <c r="F16" i="5" s="1"/>
  <c r="G13" i="1"/>
  <c r="F17" i="5" s="1"/>
  <c r="E9" i="1"/>
  <c r="H9" i="1" s="1"/>
  <c r="E12" i="1"/>
  <c r="H12" i="1" s="1"/>
  <c r="E13" i="1"/>
  <c r="H13" i="1" s="1"/>
  <c r="P9" i="1"/>
  <c r="P12" i="1"/>
  <c r="P13" i="1"/>
  <c r="T15" i="1"/>
  <c r="E18" i="5" l="1"/>
  <c r="L18" i="5" s="1"/>
  <c r="E17" i="5"/>
  <c r="F19" i="5"/>
  <c r="F18" i="5"/>
  <c r="V18" i="5" s="1"/>
  <c r="G18" i="5"/>
  <c r="S18" i="5" s="1"/>
  <c r="H18" i="5"/>
  <c r="W13" i="1"/>
  <c r="O13" i="1"/>
  <c r="M13" i="1"/>
  <c r="N13" i="1"/>
  <c r="E19" i="5"/>
  <c r="W12" i="1"/>
  <c r="N12" i="1"/>
  <c r="M12" i="1"/>
  <c r="O12" i="1"/>
  <c r="E16" i="5"/>
  <c r="E15" i="5"/>
  <c r="M9" i="1"/>
  <c r="O9" i="1"/>
  <c r="N9" i="1"/>
  <c r="W9" i="1"/>
  <c r="T7" i="1"/>
  <c r="I13" i="1"/>
  <c r="I12" i="1"/>
  <c r="I9" i="1"/>
  <c r="W15" i="1"/>
  <c r="I18" i="5" l="1"/>
  <c r="U18" i="5"/>
  <c r="K18" i="5"/>
  <c r="L17" i="5"/>
  <c r="G17" i="5"/>
  <c r="S17" i="5" s="1"/>
  <c r="I17" i="5"/>
  <c r="U17" i="5"/>
  <c r="K17" i="5"/>
  <c r="V17" i="5"/>
  <c r="H17" i="5"/>
  <c r="L15" i="5"/>
  <c r="V15" i="5"/>
  <c r="G15" i="5"/>
  <c r="S15" i="5" s="1"/>
  <c r="I15" i="5"/>
  <c r="U15" i="5"/>
  <c r="K15" i="5"/>
  <c r="H15" i="5"/>
  <c r="G16" i="5"/>
  <c r="S16" i="5" s="1"/>
  <c r="L16" i="5"/>
  <c r="V16" i="5"/>
  <c r="I16" i="5"/>
  <c r="K16" i="5"/>
  <c r="H16" i="5"/>
  <c r="U16" i="5"/>
  <c r="L19" i="5"/>
  <c r="V19" i="5"/>
  <c r="G19" i="5"/>
  <c r="S19" i="5" s="1"/>
  <c r="H19" i="5"/>
  <c r="U19" i="5"/>
  <c r="K19" i="5"/>
  <c r="I19" i="5"/>
  <c r="G6" i="1"/>
  <c r="L13" i="5"/>
  <c r="V13" i="5"/>
  <c r="I13" i="5"/>
  <c r="S13" i="5"/>
  <c r="H13" i="5"/>
  <c r="U13" i="5"/>
  <c r="K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9" i="1" l="1"/>
  <c r="L12" i="1"/>
  <c r="J13" i="1"/>
  <c r="J9" i="1"/>
  <c r="J12" i="1"/>
  <c r="C7" i="1"/>
  <c r="J15" i="1"/>
  <c r="O15" i="1"/>
  <c r="N15" i="1"/>
  <c r="I15" i="1"/>
  <c r="P15" i="1"/>
  <c r="Q7" i="1" l="1"/>
  <c r="M38" i="3" s="1"/>
  <c r="L7" i="1"/>
  <c r="G38" i="3" s="1"/>
  <c r="K38" i="3"/>
  <c r="J38" i="3"/>
  <c r="M15" i="1"/>
  <c r="K15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<sst xmlns="http://schemas.openxmlformats.org/spreadsheetml/2006/main" count="349" uniqueCount="283">
  <si>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</si>
  <si>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</si>
  <si>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</si>
  <si>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</si>
  <si>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</si>
  <si>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</si>
  <si>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</si>
  <si>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</si>
  <si>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</si>
  <si>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</si>
  <si>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</si>
  <si>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</si>
  <si>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</si>
  <si>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</si>
  <si>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</si>
  <si>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</si>
  <si>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</si>
  <si>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</si>
  <si>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</si>
  <si>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</si>
  <si>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</si>
  <si>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</si>
  <si>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</si>
  <si>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</si>
  <si>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</si>
  <si>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</si>
  <si>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</si>
  <si>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</si>
  <si>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</si>
  <si>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</si>
  <si>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</si>
  <si>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</si>
  <si>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</si>
  <si>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</si>
  <si>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</si>
  <si>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</si>
  <si>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</si>
  <si>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</si>
  <si>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</si>
  <si>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</si>
  <si>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</si>
  <si>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</si>
  <si>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</si>
  <si>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</si>
  <si>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</si>
  <si>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</si>
  <si>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</si>
  <si>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</si>
  <si>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</si>
  <si>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</si>
  <si>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</si>
  <si>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</si>
  <si>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</si>
  <si>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</si>
  <si>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</si>
  <si>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</si>
  <si>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</si>
  <si>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</si>
  <si>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</si>
  <si>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</si>
  <si>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</si>
  <si>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</si>
  <si>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</si>
  <si>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</si>
  <si>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</si>
  <si>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</si>
  <si>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</si>
  <si>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</si>
  <si>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</si>
  <si>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</si>
  <si>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</si>
  <si>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</si>
  <si>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</si>
  <si>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</si>
  <si>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</si>
  <si>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</si>
  <si>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</si>
  <si>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</si>
  <si>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</si>
  <si>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</si>
  <si>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</si>
  <si>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</si>
  <si>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</si>
  <si>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</si>
  <si>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</si>
  <si>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</si>
  <si>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</si>
  <si>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</si>
  <si>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</si>
  <si>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</si>
  <si>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</si>
  <si>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</si>
  <si>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</si>
  <si>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</si>
  <si>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</si>
  <si>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</si>
  <si>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</si>
  <si>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</si>
  <si>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</si>
  <si>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</si>
  <si>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</si>
  <si>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</si>
  <si>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</si>
  <si>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</si>
  <si>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</si>
  <si>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</si>
  <si>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</si>
  <si>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</si>
  <si>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</si>
  <si>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</si>
  <si>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</si>
  <si>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</si>
  <si>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</si>
  <si>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</si>
  <si>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</si>
  <si>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</si>
  <si>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</si>
  <si>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</si>
  <si>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</si>
  <si>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</si>
  <si>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</si>
  <si>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</si>
  <si>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</si>
  <si>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</si>
  <si>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</si>
  <si>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</si>
  <si>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</si>
  <si>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</si>
  <si>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</si>
  <si>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</si>
  <si>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</si>
  <si>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</si>
  <si>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</si>
  <si>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</si>
  <si>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</si>
  <si>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</si>
  <si>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</si>
  <si>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</si>
  <si>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</si>
  <si>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</si>
  <si>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</si>
  <si>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</si>
  <si>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</si>
  <si>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</si>
  <si>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</si>
  <si>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</si>
  <si>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</si>
  <si>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</si>
  <si>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</si>
  <si>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</si>
  <si>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</si>
  <si>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</si>
  <si>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</si>
  <si>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</si>
  <si>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</si>
  <si>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</si>
  <si>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</si>
  <si>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</si>
  <si>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</si>
  <si>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</si>
  <si>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</si>
  <si>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</si>
  <si>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</si>
  <si>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</si>
  <si>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</si>
  <si>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</si>
  <si>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</si>
  <si>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</si>
  <si>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</si>
  <si>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</si>
  <si>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</si>
  <si>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</si>
  <si>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</si>
  <si>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</si>
  <si>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</si>
  <si>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</si>
  <si>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</si>
  <si>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</si>
  <si>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</si>
  <si>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</si>
  <si>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</si>
  <si>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</si>
  <si>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</si>
  <si>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</si>
  <si>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</si>
  <si>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</si>
  <si>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</si>
  <si>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</si>
  <si>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</si>
  <si>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</si>
  <si>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</si>
  <si>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</si>
  <si>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</si>
  <si>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</si>
  <si>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</si>
  <si>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</si>
  <si>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</si>
  <si>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</si>
  <si>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</si>
  <si>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</si>
  <si>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</si>
  <si>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</si>
  <si>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</si>
  <si>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</si>
  <si>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</si>
  <si>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</si>
  <si>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</si>
  <si>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</si>
  <si>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</si>
  <si>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</si>
  <si>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</si>
  <si>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</si>
  <si>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</si>
  <si>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</si>
  <si>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</si>
  <si>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</si>
  <si>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</si>
  <si>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</si>
  <si>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</si>
  <si>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</si>
  <si>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</si>
  <si>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</si>
  <si>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</si>
  <si>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</si>
  <si>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</si>
  <si>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</si>
  <si>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</si>
  <si>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</si>
  <si>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</si>
  <si>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</si>
  <si>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</si>
  <si>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</si>
  <si>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</si>
  <si>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</si>
  <si>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</si>
  <si>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</si>
  <si>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</si>
  <si>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</si>
  <si>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</si>
  <si>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</si>
  <si>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</si>
  <si>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</si>
  <si>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</si>
  <si>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</si>
  <si>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</si>
  <si>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</si>
  <si>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</si>
  <si>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</si>
  <si>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</si>
  <si>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</si>
  <si>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</si>
  <si>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</si>
  <si>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</si>
  <si>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</si>
  <si>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</si>
  <si>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</si>
  <si>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</si>
  <si>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</si>
  <si>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</si>
  <si>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</si>
  <si>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</si>
  <si>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</si>
  <si>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</si>
  <si>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</si>
  <si>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</si>
  <si>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</si>
  <si>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</si>
  <si>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</si>
  <si>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</si>
  <si>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</si>
  <si>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IS_ACTIVE</t>
  </si>
  <si>
    <t>varchar(1)</t>
  </si>
  <si>
    <t>MstWptPatternH</t>
  </si>
  <si>
    <t>PatternH</t>
  </si>
  <si>
    <t>TYPE</t>
  </si>
  <si>
    <t>START_DATE</t>
  </si>
  <si>
    <t>END_DATE</t>
  </si>
  <si>
    <t>DESCRIPTION</t>
  </si>
  <si>
    <t>Unchecked</t>
  </si>
  <si>
    <t>nvarchar(250)</t>
  </si>
  <si>
    <t>time</t>
  </si>
  <si>
    <t>TimeSpan</t>
  </si>
  <si>
    <t>Master Working Pattern Pattern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</si>
</sst>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31" workbookViewId="0">
      <selection activeCell="F38" sqref="F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[Table("MstWptPatternH")]
	[Index(nameof(Type), Name="IX_MstWptPatternH_Type")]
	public class MstWptPatternH: FullAuditedEntity&lt;long&gt;, IEntity&lt;long&gt;	
	{
		public const int MaxDescriptionLength = 250;
		public const int MaxIsActiveLength = 1;
		[Required]
		public virtual int Type { get; set; }
		[Column(TypeName="date")]
		public virtual DateTime StartDate { get; set; }
		[Column(TypeName="date")]
		public virtual DateTime EndDate { get; set; }
		[StringLength(MaxDescriptionLength)]
		public virtual string Description { get; set; }
		[StringLength(MaxIsActiveLength)]
		public virtual string IsActive { get; set; }
	}
}
</v>
      </c>
      <c r="D38" s="50" t="str">
        <f>A.Backend!O7</f>
        <v xml:space="preserve">		public const string Pages_Master_WorkingPattern_PatternH = "Pages.Master.WorkingPattern.PatternH";
		public const string Pages_Master_WorkingPattern_PatternH_CreateEdit = "Pages.Master.WorkingPattern.PatternH.CreateEdit";
		public const string Pages_Master_WorkingPattern_PatternH_Delete = "Pages.Master.WorkingPattern.PatternH.Delete";
</v>
      </c>
      <c r="E38" s="50" t="str">
        <f>A.Backend!N7</f>
        <v xml:space="preserve">		var perMstWptPatternH = PARENTS.CreateChildPermission(AppPermissions.Pages_Master_WorkingPattern_PatternH, L( "MasterWorkingPatternPatternH"));
		perMstWptPatternH.CreateChildPermission(AppPermissions.Pages_Master_WorkingPattern_PatternH_CreateEdit, L( "MasterWorkingPatternPatternHCreateEdit"));
		perMstWptPatternH.CreateChildPermission(AppPermissions.Pages_Master_WorkingPattern_PatternH_Delete, L( "MasterWorkingPatternPatternHDelete"));</v>
      </c>
      <c r="F38" s="50" t="str">
        <f>A.Backend!K7</f>
        <v>public virtual DbSet&lt;MstWptPatternH&gt; MstWptPatternHs { get; set; }</v>
      </c>
      <c r="G38" s="50" t="str">
        <f ca="1">A.Backend!L7</f>
        <v xml:space="preserve">namespace vovina.Master.WorkingPattern
{
	public class MstWptPatternHConsts	
	{
		public const int MaxDescriptionLength = 250;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MstWptPatternHDto : EntityDto&lt;long?&gt;	
	{
		public virtual int Type { get; set; }
		public virtual DateTime? StartDate { get; set; }
		public virtual DateTime? EndDate { get; set; }
		public virtual string Description { get; set; }
		public virtual string IsActive { get; set; }
	}
	public class CreateOrEditMstWptPatternHDto : EntityDto&lt;long?&gt;	
	{
		[Required]
		public virtual int Type { get; set; }
		public virtual DateTime? StartDate { get; set; }
		public virtual DateTime? EndDate { get; set; }
		[StringLength(MstWptPatternHConsts.MaxDescriptionLength)]
		public virtual string Description { get; set; }
		[StringLength(MstWptPatternHConsts.MaxIsActiveLength)]
		public virtual string IsActive { get; set; }
	}
	public class GetMstWptPatternHInput : PagedAndSortedResultRequestDto	
	{
		public virtual int Type { get; set; }
		public virtual DateTime? StartDate { get; set; }
		public virtual DateTime? EndDate { get; set; }
		public virtual string Description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MstWptPatternHExportInput{
		public virtual int Type { get; set; }
		public virtual DateTime? StartDate { get; set; }
		public virtual DateTime? EndDate { get; set; }
		public virtual string Description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IMstWptPatternHAppService : IApplicationService
	{
		Task&lt;PagedResultDto&lt;MstWptPatternHDto&gt;&gt; GetAll(GetMstWptPatternHInput input);
		Task CreateOrEdit(CreateOrEditMstWptPatternHDto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IMstWptPatternHExcelExporter : IApplicationService
	{
		FileDto ExportToFile(List&lt;MstWptPatternHDto&gt; mstwptpatternh);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MstWptPatternHExcelExporter : NpoiExcelExporterBase, IMstWptPatternHExcelExporter
    {
        public MstWptPatternHExcelExporter(ITempFileCacheManager tempFileCacheManager) : base(tempFileCacheManager) { }
        public FileDto ExportToFile(List&lt;MstWptPatternHDto&gt; patternh)
        {
            return CreateExcelPackage(
				"MasterWorkingPatternPatternH.xlsx",
				excelPackage =&gt;
				 {
					var sheet = excelPackage.CreateSheet("PatternH");
					AddHeader(
								sheet,
								("Type"),
								("StartDate"),
								("EndDate"),
								("Description"),
								("IsActive"),
							   );
					AddObjects(
						 sheet, 1, patternh,                                       
								_ =&gt; _.Type,
								_ =&gt; _.StartDate,
								_ =&gt; _.EndDate,
								_ =&gt; _.Description,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[AbpAuthorize(AppPermissions.Pages_Master_WorkingPattern_PatternH)]
    public class MstWptPatternHAppService : vovinaAppServiceBase, IMstWptPatternHAppService
    {
        private readonly IDapperRepository&lt;MstWptPatternH, long&gt; _dapperRepo;
        private readonly IRepository&lt;MstWptPatternH, long&gt; _repo;
        private readonly IMstWptPatternHExcelExporter _calendarListExcelExporter;
        public MstWptPatternHAppService(IRepository&lt;MstWptPatternH,long&gt; repo, 
                                         IDapperRepository&lt;MstWptPatternH,long&gt; dapperRepo,
                                        IMstWptPatternHExcelExporter calendarListExcelExporter
            )
        {
            _repo = repo;
            _dapperRepo = dapperRepo;
            _calendarListExcelExporter = calendarListExcelExporter;
        }
        [AbpAuthorize(AppPermissions.Pages_Master_WorkingPattern_PatternH_CreateEdit)]
        public async Task CreateOrEdit(CreateOrEditMstWptPatternHDto input)
        {
            if (input.Id == null) await Create(input);
            else await Update(input);
        }
        //CREATE
        private async Task Create(CreateOrEditMstWptPatternHDto input)
        {          
            var mainObj = ObjectMapper.Map&lt;MstWptPatternH&gt;(input);
            await CurrentUnitOfWork.GetDbContext&lt;vovinaDbContext&gt;().AddAsync(mainObj);
        }
        // EDIT
        private async Task Update(CreateOrEditMstWptPatternHDto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[AbpAuthorize(AppPermissions.Pages_Master_WorkingPattern_PatternH_Delete)]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Task&lt;PagedResultDto&lt;MstWptPatternHDto&gt;&gt; GetAll(GetMstWptPatternHInput input)
        {
            var filtered = _repo.GetAll()
				.WhereIf(input.StartDate.HasValue, t =&gt; t.StartDate == input.StartDate.Value)
				.WhereIf(input.EndDate.HasValue, t =&gt; t.EndDate == input.EndDate.Value)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MstWptPatternHDto
                        {
							Id = o.Id,
							Type = o.Type,
							StartDate = o.StartDate,
							EndDate = o.EndDate,
							Description = o.Description,
							IsActive = o.IsActive,
                        };
            var totalCount = await filtered.CountAsync();
			var paged = system.PageBy(input);
            return new PagedResultDto&lt;MstWptPatternHDto&gt;(
                totalCount,
                 await paged.ToListAsync()
            );
        }
        public async Task&lt;FileDto&gt; GetPatternHToExcel(MstWptPatternHExportInput input)
        {
            var query = from o in _repo.GetAll()
                        select new MstWptPatternHDto
                        {
							Id = o.Id,
							Type = o.Type,
							StartDate = o.StartDate,
							EndDate = o.EndDate,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_dapperRepo.ExecuteAsync(MstWptPatternHConsts.SP_MST_WPT_CALENDAR_GENERATE);
       // }
    }
}</v>
      </c>
      <c r="N38" s="61" t="str">
        <f>A.Backend!U7</f>
        <v xml:space="preserve">  configuration.CreateMap&lt;MstWptPatternHDto, MstWptPatternH&gt;();
  configuration.CreateMap&lt;MstWptPatternH, MstWptPatternHDto&gt;();
  configuration.CreateMap&lt;CreateOrEditMstWptPatternHDto, MstWptPatternH&gt;();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patternh</v>
      </c>
      <c r="C43" s="74" t="str">
        <f>"create folder " &amp;B43</f>
        <v>create folder patternh</v>
      </c>
      <c r="D43" s="74"/>
      <c r="E43" s="74"/>
      <c r="F43" s="74"/>
      <c r="G43" s="74"/>
      <c r="H43" s="74"/>
      <c r="I43" s="74"/>
      <c r="J43" s="74"/>
      <c r="K43" s="75" t="s">
        <v>228</v>
      </c>
      <c r="L43" s="75"/>
      <c r="M43" s="31"/>
    </row>
    <row r="44" spans="1:14" s="28" customFormat="1" ht="18" customHeight="1" x14ac:dyDescent="0.25">
      <c r="B44" s="59" t="s">
        <v>229</v>
      </c>
      <c r="C44" s="31" t="str">
        <f>B.Frontend!H14</f>
        <v>patternh.component.ts</v>
      </c>
      <c r="D44" s="31" t="str">
        <f>B.Frontend!I14</f>
        <v>patternh.component.html</v>
      </c>
      <c r="E44" s="31" t="str">
        <f>B.Frontend!J14</f>
        <v>patternh.component.less</v>
      </c>
      <c r="F44" s="31" t="str">
        <f>B.Frontend!K14</f>
        <v>create-or-edit-patternh-modal.component.html</v>
      </c>
      <c r="G44" s="31" t="str">
        <f>B.Frontend!L14</f>
        <v>create-or-edit-patternh-modal.component.ts</v>
      </c>
      <c r="H44" s="31" t="str">
        <f>B.Frontend!M14</f>
        <v>create-or-edit-patternh-modal.component.less</v>
      </c>
      <c r="I44" s="31" t="str">
        <f>B.Frontend!N14</f>
        <v>patternh.module.ts</v>
      </c>
      <c r="J44" s="31" t="str">
        <f>B.Frontend!O14</f>
        <v>patternh-routing.module.ts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MstWptPatternHDto, MstWptPatternHServiceProxy } from '@shared/service-proxies/service-proxies';
import { finalize } from 'rxjs/internal/operators/finalize';
import { CreateOrEditPatternHModalComponent } from './create-or-edit-patternh-modal.component';
import { DatePipe } from '@angular/common';
import { FileDownloadService } from '@shared/utils/file-download.service';
import ceil from 'lodash-es/ceil';
import { Paginator } from 'primeng/paginator';
@Component({
    templateUrl: './patternh.component.html',
    styleUrls: ['./patternh.component.less'],
})
export class PatternHComponent extends AppComponentBase implements OnInit {
    @ViewChild('createOrEditModalPatternH', { static: true }) createOrEditModalPatternH:| CreateOrEditPatternHModalComponent|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MstWptPatternHDto = new MstWptPatternHDto();
    saveSelectedRow: MstWptPatternHDto = new MstWptPatternHDto();
    datas: MstWptPatternHDto = new MstWptPatternHDto();
    isLoading: boolean = false;
    dataParams: GridParams | undefined;
    rowData: any[] = [];
    gridApi!: GridApi;
    rowSelection = 'multiple';
    filter: string = '';
	pipe = new DatePipe('en-US');
    type : number = 0 ;
	startDate : string = '' ; 
	endDate : string = '' ; 
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MstWptPatternHServiceProxy,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this.l('Type'),headerTooltip: this.l('Type'),field: 'type',flex: 1},
			{headerName: this.l('Start Date'),headerTooltip: this.l('Start Date'),field: 'startDate',flex: 1},
			{headerName: this.l('End Date'),headerTooltip: this.l('End Date'),field: 'endDate',flex: 1},
			{headerName: this.l('Description'),headerTooltip: this.l('Description'),field: 'description',flex: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this.type,
			this.startDate,
			this.endDate,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this.type = 0,
		this.startDate = '',
		this.endDate = '',
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this.type,
			this.startDate,
			this.endDate,
			this.description,
			this.isActive,
			'',
            this.paginationParams.skipCount,
            this.paginationParams.pageSize
        );
    }
    onChangeRowSelection(params: { api: { getSelectedRows: () =&gt; MstWptPatternHDto[] } }) {
        this.saveSelectedRow = params.api.getSelectedRows()[0] ?? new MstWptPatternHDto();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MstWptPatternHDto):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this._service.getPatternHToExcel(
			this.type,
			this.startDate,
			this.endDate,
			this.description,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Pattern H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[(ngModel)]='startDate' name='startDate'
									class='form-control' [placeholder]="l('Start Date')"
									type='text' (keyup.enter)='searchDatas()'&gt;
								&lt;/div&gt;
								&lt;div class='input-search'&gt;
									&lt;input [(ngModel)]='endDate' name='endDate'
									class='form-control' [placeholder]="l('End Date')"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(click)="createOrEditModalPatternH.show()"&gt;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(click)="createOrEditModalPatternH.show(selectedRow)"&gt;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&lt;create-or-edit-patternh-modal
    #createOrEditModalPatternH
    (modalSave)="callBackDataGrid(dataParams)"
    (modalClose)="onChangeRowSelection(dataParams)"
&gt;
&lt;/create-or-edit-patternh-modal&gt;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#createOrEditModalPatternH="bs-modal"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PatternH')}}&lt;/h3&gt;
                    &lt;h3 *ngIf="!rowdata.id"&gt;{{('Create New PatternH')}}&lt;/h3&gt;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title'&gt;Start Date&lt;/label&gt;
						&lt;input type='text' class='col-md-10 form-control input-text' name='StartDate' [(ngModel)]='rowdata.startDate'&gt;
					&lt;/div&gt;
					&lt;div class='col-md-12 form-group row'&gt;
						&lt;label class='col-md-2 form-control title'&gt;End Date&lt;/label&gt;
						&lt;input class='col-md-10 form-control checkboxActive' type='checkbox' name='endDate'
						[checked]='_endDate' (change)='changeActive($event)'&gt;
					&lt;/div&gt;
					&lt;div class='col-md-12 form-group row'&gt;
						&lt;label class='col-md-2 form-control title'&gt;Description&lt;/label&gt;
						&lt;input class='col-md-10 form-control checkboxActive' type='checkbox' name='description'
						[checked]='_description'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CreateOrEditMstWptPatternHDto, MstWptPatternHServiceProxy } from '@shared/service-proxies/service-proxies';
import { BsDatepickerDirective } from 'ngx-bootstrap/datepicker';
@Component({
    selector: 'create-or-edit-patternh-modal',
    templateUrl: './create-or-edit-patternh-modal.component.html',
    styleUrls: ['./create-or-edit-patternh-modal.component.less']
    })
export class CreateOrEditPatternHModalComponent extends AppComponentBase {
    @ViewChild('createOrEditModalPatternH',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CreateOrEditMstWptPatternHDto = new CreateOrEditMstWptPatternHDto();
    active: boolean = false;
    saving: boolean = false;
    _endDate
description
isActive: boolean;
    constructor(
        injector: Injector,
        private _mstwptPatternHService: MstWptPatternHServiceProxy,
    ) 
    {
        super(injector);
    }
    show(rowdata?: CreateOrEditMstWptPatternHDto): void {
        if (!rowdata) this.rowdata = new CreateOrEditMstWptPatternHDto();
        else this.rowdata = rowdata;
        this._endDate
description
isActive = (this.rowdata.endDate
description
isActive == "N")? false: true;
        this.active = true;
        this.modal.show();
    } 
    changeActive(event){
        this._endDate
description
isActive = event.target.checked;
    }
    save(): void {
    this.saving = true; 
    this.rowdata.endDate
description
isActive = (this._endDate
description
isActive == true) ? 'Y' : 'N'
    this._mstwptPatternHService.createOrEdit(this.rowdata)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PatternHRoutingModule } from './patternh-routing.module';
import { PatternHComponent } from './patternh.component';
import { CreateOrEditPatternHModalComponent } from './create-or-edit-patternh-modal.component';
@NgModule({
    declarations: [
       PatternHComponent, 
        CreateOrEditPatternHModalComponent
    ],
    imports: [
        AppSharedModule, PatternHRoutingModule]
})
export class PatternHModule {}</v>
      </c>
      <c r="J45" s="48" t="str">
        <f>B.Frontend!O10</f>
        <v>import {NgModule} from '@angular/core';
import {RouterModule, Routes} from '@angular/router';
import { PatternHComponent } from './patternh.component';
const routes: Routes = [{
    path: '',
    component: PatternHComponent,
    pathMatch: 'full'
}];
@NgModule({
    imports: [RouterModule.forChild(routes)],
    exports: [RouterModule],
})
export class PatternHRoutingModule {}</v>
      </c>
      <c r="K45" s="48" t="str">
        <f>B.Frontend!P10</f>
        <v xml:space="preserve"> new AppMenuItem("PatternH", "Pages.Master.WorkingPattern.PatternH", "flaticon-book",   "/app/main/master/workingpattern/patternh"),</v>
      </c>
      <c r="L45" s="49" t="str">
        <f>B.Frontend!Q10</f>
        <v>{
    path: 'master/workingpattern/patternh',
    loadChildren: () =&gt; import('./master/workingpattern/patternh/patternh.module').then(m =&gt; m.PatternHModule),
    data: { permission: 'Pages.Master.WorkingPattern.PatternH' }
},</v>
      </c>
      <c r="M45" s="47" t="str">
        <f>B.Frontend!R10</f>
        <v>ApiServiceProxies.MstWptPatternHServiceProxy,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tabSelected="1"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272</v>
      </c>
      <c r="C3" s="10" t="s">
        <v>43</v>
      </c>
      <c r="D3" s="10" t="s">
        <v>44</v>
      </c>
      <c r="E3" s="10" t="s">
        <v>39</v>
      </c>
      <c r="F3" s="11" t="str">
        <f>"J"&amp;COUNTA($A:$A)</f>
        <v>J13</v>
      </c>
      <c r="G3" s="4" t="s">
        <v>57</v>
      </c>
      <c r="H3" s="10" t="str">
        <f>"I"&amp;COUNTA($A:$A)</f>
        <v>I13</v>
      </c>
      <c r="I3" s="10" t="str">
        <f>REPT(CHAR(9),2)&amp;"[Required]"&amp;"
"</f>
        <v xml:space="preserve">		[Required]
</v>
      </c>
      <c r="J3" s="11" t="str">
        <f>"L"&amp;COUNTA($A:$A)</f>
        <v>L13</v>
      </c>
      <c r="K3" s="5" t="s">
        <v>56</v>
      </c>
      <c r="L3" s="11" t="str">
        <f>"M"&amp;COUNTA($A:$A)</f>
        <v>M13</v>
      </c>
      <c r="M3" s="11" t="str">
        <f>"N"&amp;COUNTA($A:$A)</f>
        <v>N13</v>
      </c>
      <c r="N3" s="11" t="str">
        <f>"O"&amp;COUNTA($A:$A)</f>
        <v>O13</v>
      </c>
      <c r="O3" s="11" t="str">
        <f>"P"&amp;COUNTA($A:$A)</f>
        <v>P13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MstWptPatternHExportInput{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T13</v>
      </c>
      <c r="V3" s="11" t="str">
        <f>"V"&amp;COUNTA($A:$A)</f>
        <v>V13</v>
      </c>
      <c r="W3" s="10" t="str">
        <f>"W"&amp;COUNTA($A:$A)</f>
        <v>W13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273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MstWptPatternH: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MstWptPatternHConsts	
	{
</v>
      </c>
      <c r="F6" s="11" t="str">
        <f>REPT(CHAR(9),1)&amp;"public class "&amp;B3&amp;"Dto"&amp;K3&amp;REPT(CHAR(9),1)&amp;"
"&amp;REPT(CHAR(9),1)&amp;C3</f>
        <v xml:space="preserve">	public class MstWptPatternHDto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CreateOrEditMstWptPatternHDto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GetMstWptPatternHInput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MstWptPatternH</v>
      </c>
      <c r="C7" s="11" t="str">
        <f>REPT(CHAR(9),1)&amp;"[Table("""&amp;B7&amp;""")]"&amp;"
"</f>
        <v xml:space="preserve">	[Table("MstWptPatternH")]
</v>
      </c>
      <c r="D7" s="11"/>
      <c r="E7" s="11"/>
      <c r="F7" s="11"/>
      <c r="G7" s="11"/>
      <c r="H7" s="11"/>
      <c r="I7" s="11"/>
      <c r="J7" s="6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[Table("MstWptPatternH")]
	[Index(nameof(Type), Name="IX_MstWptPatternH_Type")]
	public class MstWptPatternH: FullAuditedEntity&lt;long&gt;, IEntity&lt;long&gt;	
	{
		public const int MaxDescriptionLength = 250;
		public const int MaxIsActiveLength = 1;
		[Required]
		public virtual int Type { get; set; }
		[Column(TypeName="date")]
		public virtual DateTime StartDate { get; set; }
		[Column(TypeName="date")]
		public virtual DateTime EndDate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DbSet&lt;MstWptPatternH&gt; MstWptPatternHs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MstWptPatternHConsts	
	{
		public const int MaxDescriptionLength = 250;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vovina.Master.WorkingPattern.Dto
{
	public class MstWptPatternHDto : EntityDto&lt;long?&gt;	
	{
		public virtual int Type { get; set; }
		public virtual DateTime? StartDate { get; set; }
		public virtual DateTime? EndDate { get; set; }
		public virtual string Description { get; set; }
		public virtual string IsActive { get; set; }
	}
	public class CreateOrEditMstWptPatternHDto : EntityDto&lt;long?&gt;	
	{
		[Required]
		public virtual int Type { get; set; }
		public virtual DateTime? StartDate { get; set; }
		public virtual DateTime? EndDate { get; set; }
		[StringLength(MstWptPatternHConsts.MaxDescriptionLength)]
		public virtual string Description { get; set; }
		[StringLength(MstWptPatternHConsts.MaxIsActiveLength)]
		public virtual string IsActive { get; set; }
	}
	public class GetMstWptPatternHInput : PagedAndSortedResultRequestDto	
	{
		public virtual int Type { get; set; }
		public virtual DateTime? StartDate { get; set; }
		public virtual DateTime? EndDate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perMstWptPatternH = PARENTS.CreateChildPermission(AppPermissions.Pages_Master_WorkingPattern_PatternH, L( "MasterWorkingPatternPatternH"));
		perMstWptPatternH.CreateChildPermission(AppPermissions.Pages_Master_WorkingPattern_PatternH_CreateEdit, L( "MasterWorkingPatternPatternHCreateEdit"));
		perMstWptPatternH.CreateChildPermission(AppPermissions.Pages_Master_WorkingPattern_PatternH_Delete, L( "MasterWorkingPatternPatternHDelete"));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Pages_Master_WorkingPattern_PatternH = "Pages.Master.WorkingPattern.PatternH";
		public const string Pages_Master_WorkingPattern_PatternH_CreateEdit = "Pages.Master.WorkingPattern.PatternH.CreateEdit";
		public const string Pages_Master_WorkingPattern_PatternH_Delete = "Pages.Master.WorkingPattern.PatternH.Delete";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IMstWptPatternHAppService : IApplicationService
	{
		Task&lt;PagedResultDto&lt;MstWptPatternHDto&gt;&gt; GetAll(GetMstWptPatternHInput input);
		Task CreateOrEdit(CreateOrEditMstWptPatternHDto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[AbpAuthorize(AppPermissions.Pages_Master_WorkingPattern_PatternH)]
    public class MstWptPatternHAppService : vovinaAppServiceBase, IMstWptPatternHAppService
    {
        private readonly IDapperRepository&lt;MstWptPatternH, long&gt; _dapperRepo;
        private readonly IRepository&lt;MstWptPatternH, long&gt; _repo;
        private readonly IMstWptPatternHExcelExporter _calendarListExcelExporter;
        public MstWptPatternHAppService(IRepository&lt;MstWptPatternH,long&gt; repo, 
                                         IDapperRepository&lt;MstWptPatternH,long&gt; dapperRepo,
                                        IMstWptPatternHExcelExporter calendarListExcelExporter
            )
        {
            _repo = repo;
            _dapperRepo = dapperRepo;
            _calendarListExcelExporter = calendarListExcelExporter;
        }
        [AbpAuthorize(AppPermissions.Pages_Master_WorkingPattern_PatternH_CreateEdit)]
        public async Task CreateOrEdit(CreateOrEditMstWptPatternHDto input)
        {
            if (input.Id == null) await Create(input);
            else await Update(input);
        }
        //CREATE
        private async Task Create(CreateOrEditMstWptPatternHDto input)
        {          
            var mainObj = ObjectMapper.Map&lt;MstWptPatternH&gt;(input);
            await CurrentUnitOfWork.GetDbContext&lt;vovinaDbContext&gt;().AddAsync(mainObj);
        }
        // EDIT
        private async Task Update(CreateOrEditMstWptPatternHDto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[AbpAuthorize(AppPermissions.Pages_Master_WorkingPattern_PatternH_Delete)]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Task&lt;PagedResultDto&lt;MstWptPatternHDto&gt;&gt; GetAll(GetMstWptPatternHInput input)
        {
            var filtered = _repo.GetAll()
				.WhereIf(input.StartDate.HasValue, t =&gt; t.StartDate == input.StartDate.Value)
				.WhereIf(input.EndDate.HasValue, t =&gt; t.EndDate == input.EndDate.Value)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MstWptPatternHDto
                        {
							Id = o.Id,
							Type = o.Type,
							StartDate = o.StartDate,
							EndDate = o.EndDate,
							Description = o.Description,
							IsActive = o.IsActive,
                        };
            var totalCount = await filtered.CountAsync();
			var paged = system.PageBy(input);
            return new PagedResultDto&lt;MstWptPatternHDto&gt;(
                totalCount,
                 await paged.ToListAsync()
            );
        }
        public async Task&lt;FileDto&gt; GetPatternHToExcel(MstWptPatternHExportInput input)
        {
            var query = from o in _repo.GetAll()
                        select new MstWptPatternHDto
                        {
							Id = o.Id,
							Type = o.Type,
							StartDate = o.StartDate,
							EndDate = o.EndDate,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_dapperRepo.ExecuteAsync(MstWptPatternHConsts.SP_MST_WPT_CALENDAR_GENERATE);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vovina.Master.WorkingPattern.Dto
{
	public class MstWptPatternHExportInput{
		public virtual int Type { get; set; }
		public virtual DateTime? StartDate { get; set; }
		public virtual DateTime? EndDate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IMstWptPatternHExcelExporter : IApplicationService
	{
		FileDto ExportToFile(List&lt;MstWptPatternHDto&gt; mstwptpatternh);
	}
}
</v>
      </c>
      <c r="T7" s="28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MstWptPatternHExcelExporter : NpoiExcelExporterBase, IMstWptPatternHExcelExporter
    {
        public MstWptPatternHExcelExporter(ITempFileCacheManager tempFileCacheManager) : base(tempFileCacheManager) { }
        public FileDto ExportToFile(List&lt;MstWptPatternHDto&gt; patternh)
        {
            return CreateExcelPackage(
				"MasterWorkingPatternPatternH.xlsx",
				excelPackage =&gt;
				 {
					var sheet = excelPackage.CreateSheet("PatternH");
					AddHeader(
								sheet,
								("Type"),
								("StartDate"),
								("EndDate"),
								("Description"),
								("IsActive"),
							   );
					AddObjects(
						 sheet, 1, patternh,                                       
								_ =&gt; _.Type,
								_ =&gt; _.StartDate,
								_ =&gt; _.EndDate,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configuration.CreateMap&lt;MstWptPatternHDto, MstWptPatternH&gt;();
  configuration.CreateMap&lt;MstWptPatternH, MstWptPatternHDto&gt;();
  configuration.CreateMap&lt;CreateOrEditMstWptPatternHDto, MstWptPatternH&gt;();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274</v>
      </c>
      <c r="B9" t="s">
        <v>4</v>
      </c>
      <c r="C9" t="s">
        <v>278</v>
      </c>
      <c r="D9" t="str">
        <f>SUBSTITUTE(PROPER(A9),"_","")</f>
        <v>Type</v>
      </c>
      <c r="E9" t="str">
        <f t="shared" ref="E9:E13" si="0">IFERROR(LEFT(B9, FIND("(",B9)-1),B9)</f>
        <v>int</v>
      </c>
      <c r="F9" s="7"/>
      <c r="G9" t="str">
        <f t="shared" ref="G9:G13" si="1">IFERROR(MID(B9,FIND("(",B9) +1, FIND(")",B9) - FIND("(",B9) - 1),"")</f>
        <v/>
      </c>
      <c r="H9" t="str">
        <f>+VLOOKUP(E9,'Data Type Mapping'!A:B,2,)</f>
        <v>int</v>
      </c>
      <c r="I9" t="str">
        <f t="shared" ref="I9:I13" si="2">IF(H9="string",REPT(CHAR(9),2)&amp;"public const int Max"&amp;D9&amp;"Length = "&amp;G9&amp;";"&amp;$E$3,"" )</f>
        <v/>
      </c>
      <c r="J9" t="str">
        <f t="shared" ref="J9:J13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int Type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[Index(nameof(Type), Name="IX_MstWptPatternH_Type")]</v>
      </c>
      <c r="M9" t="str">
        <f>REPT(CHAR(9),2)&amp;"public virtual "&amp;IF(H9="DateTime",H9&amp;"?",H9)&amp;IF(C9="?","? "," ")&amp;D9&amp;" { get; set; }" &amp; "
"</f>
        <v xml:space="preserve">		public virtual int Type { get; set; }
</v>
      </c>
      <c r="N9" t="str">
        <f>IF(C9="Checked","",$I$3)&amp;IF(H9="string",REPT(CHAR(9),2)&amp;"[StringLength("&amp;$B$3&amp;"Consts.Max"&amp;D9&amp;"Length"&amp;")]"&amp;$E$3,"")&amp;REPT(CHAR(9),2)&amp;"public virtual "&amp;IF(H9="DateTime",H9&amp;"?",H9)&amp;IF(C9="?","? "," ")&amp;D9&amp;" { get; set; }" &amp; "
"</f>
        <v xml:space="preserve">		[Required]
		public virtual int Type { get; set; }
</v>
      </c>
      <c r="O9" t="str">
        <f>IF(OR(H9="string",H9="DateTime",H9="int"),REPT(CHAR(9),2)&amp;"public virtual "&amp;IF(H9="DateTime",H9&amp;"?",H9)&amp;IF(C9="?","? "," ")&amp;D9&amp;" { get; set; }"&amp;$E$3,"")</f>
        <v xml:space="preserve">		public virtual int Type { get; set; }
</v>
      </c>
      <c r="P9" t="str">
        <f t="shared" ref="P9:P13" si="4">REPT(CHAR(9),7)&amp;D9&amp;" = o." &amp;D9 &amp;","</f>
        <v xml:space="preserve">							Type = o.Type,</v>
      </c>
      <c r="T9" s="68" t="str">
        <f>REPT(CHAR(9),8)&amp;"("""&amp;D9&amp;"""),"</f>
        <v xml:space="preserve">								("Type"),</v>
      </c>
      <c r="V9" s="69" t="str">
        <f>REPT(CHAR(9),8)&amp;"_ =&gt; _."&amp;D9&amp;","</f>
        <v xml:space="preserve">								_ =&gt; _.Type,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275</v>
      </c>
      <c r="B10" t="s">
        <v>2</v>
      </c>
      <c r="C10" t="s">
        <v>1</v>
      </c>
      <c r="D10" t="str">
        <f t="shared" ref="D10" si="5">SUBSTITUTE(PROPER(A10),"_","")</f>
        <v>StartDate</v>
      </c>
      <c r="E10" t="str">
        <f t="shared" si="0"/>
        <v>date</v>
      </c>
      <c r="F10" s="7" t="s">
        <v>2</v>
      </c>
      <c r="G10" t="str">
        <f t="shared" si="1"/>
        <v/>
      </c>
      <c r="H10" t="str">
        <f>+VLOOKUP(E10,'Data Type Mapping'!A:B,2,)</f>
        <v>DateTime</v>
      </c>
      <c r="I10" t="str">
        <f t="shared" si="2"/>
        <v/>
      </c>
      <c r="J10" t="str">
        <f t="shared" si="3"/>
        <v xml:space="preserve">		[Column(TypeName="date")]
		public virtual DateTime StartDate { get; set; }
</v>
      </c>
      <c r="K10" s="7"/>
      <c r="L10" t="str">
        <f t="shared" ref="L10" si="6">IF(K10="","",REPT(CHAR(9),1)&amp;"[Index(nameof("&amp;IF(D10="","",""&amp;D10)&amp;")"&amp;", Name="&amp;"""IX_"&amp;$B$7&amp;"_"&amp;D10&amp;""")]")</f>
        <v/>
      </c>
      <c r="M10" t="str">
        <f t="shared" ref="M10" si="7">REPT(CHAR(9),2)&amp;"public virtual "&amp;IF(H10="DateTime",H10&amp;"?",H10)&amp;IF(C10="?","? "," ")&amp;D10&amp;" { get; set; }" &amp; "
"</f>
        <v xml:space="preserve">		public virtual DateTime? StartDate { get; set; }
</v>
      </c>
      <c r="N10" t="str">
        <f t="shared" ref="N10" si="8">IF(C10="Checked","",$I$3)&amp;IF(H10="string",REPT(CHAR(9),2)&amp;"[StringLength("&amp;$B$3&amp;"Consts.Max"&amp;D10&amp;"Length"&amp;")]"&amp;$E$3,"")&amp;REPT(CHAR(9),2)&amp;"public virtual "&amp;IF(H10="DateTime",H10&amp;"?",H10)&amp;IF(C10="?","? "," ")&amp;D10&amp;" { get; set; }" &amp; "
"</f>
        <v xml:space="preserve">		public virtual DateTime? StartDate { get; set; }
</v>
      </c>
      <c r="O10" t="str">
        <f t="shared" ref="O10" si="9">IF(OR(H10="string",H10="DateTime",H10="int"),REPT(CHAR(9),2)&amp;"public virtual "&amp;IF(H10="DateTime",H10&amp;"?",H10)&amp;IF(C10="?","? "," ")&amp;D10&amp;" { get; set; }"&amp;$E$3,"")</f>
        <v xml:space="preserve">		public virtual DateTime? StartDate { get; set; }
</v>
      </c>
      <c r="P10" t="str">
        <f t="shared" si="4"/>
        <v xml:space="preserve">							StartDate = o.StartDate,</v>
      </c>
      <c r="T10" s="68" t="str">
        <f t="shared" ref="T10" si="10">REPT(CHAR(9),8)&amp;"("""&amp;D10&amp;"""),"</f>
        <v xml:space="preserve">								("StartDate"),</v>
      </c>
      <c r="V10" s="69" t="str">
        <f t="shared" ref="V10" si="11">REPT(CHAR(9),8)&amp;"_ =&gt; _."&amp;D10&amp;","</f>
        <v xml:space="preserve">								_ =&gt; _.StartDate,</v>
      </c>
      <c r="W10" s="68" t="str">
        <f t="shared" ref="W10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.WhereIf(input.StartDate.HasValue, t =&gt; t.StartDate == input.StartDate.Value)</v>
      </c>
    </row>
    <row r="11" spans="1:23" customFormat="1" ht="21" customHeight="1" x14ac:dyDescent="0.25">
      <c r="A11" t="s">
        <v>276</v>
      </c>
      <c r="B11" t="s">
        <v>2</v>
      </c>
      <c r="C11" t="s">
        <v>1</v>
      </c>
      <c r="D11" t="str">
        <f t="shared" ref="D11" si="13">SUBSTITUTE(PROPER(A11),"_","")</f>
        <v>EndDate</v>
      </c>
      <c r="E11" t="str">
        <f t="shared" ref="E11" si="14">IFERROR(LEFT(B11, FIND("(",B11)-1),B11)</f>
        <v>date</v>
      </c>
      <c r="F11" s="7" t="s">
        <v>2</v>
      </c>
      <c r="G11" t="str">
        <f t="shared" ref="G11" si="15">IFERROR(MID(B11,FIND("(",B11) +1, FIND(")",B11) - FIND("(",B11) - 1),"")</f>
        <v/>
      </c>
      <c r="H11" t="str">
        <f>+VLOOKUP(E11,'Data Type Mapping'!A:B,2,)</f>
        <v>DateTime</v>
      </c>
      <c r="I11" t="str">
        <f t="shared" ref="I11" si="16">IF(H11="string",REPT(CHAR(9),2)&amp;"public const int Max"&amp;D11&amp;"Length = "&amp;G11&amp;";"&amp;$E$3,"" )</f>
        <v/>
      </c>
      <c r="J11" t="str">
        <f t="shared" ref="J11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[Column(TypeName="date")]
		public virtual DateTime EndDate { get; set; }
</v>
      </c>
      <c r="K11" s="7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ref="M11" si="19">REPT(CHAR(9),2)&amp;"public virtual "&amp;IF(H11="DateTime",H11&amp;"?",H11)&amp;IF(C11="?","? "," ")&amp;D11&amp;" { get; set; }" &amp; "
"</f>
        <v xml:space="preserve">		public virtual DateTime? EndDate { get; set; }
</v>
      </c>
      <c r="N11" t="str">
        <f t="shared" ref="N11" si="20">IF(C11="Checked","",$I$3)&amp;IF(H11="string",REPT(CHAR(9),2)&amp;"[StringLength("&amp;$B$3&amp;"Consts.Max"&amp;D11&amp;"Length"&amp;")]"&amp;$E$3,"")&amp;REPT(CHAR(9),2)&amp;"public virtual "&amp;IF(H11="DateTime",H11&amp;"?",H11)&amp;IF(C11="?","? "," ")&amp;D11&amp;" { get; set; }" &amp; "
"</f>
        <v xml:space="preserve">		public virtual DateTime? EndDate { get; set; }
</v>
      </c>
      <c r="O11" t="str">
        <f t="shared" ref="O11" si="21">IF(OR(H11="string",H11="DateTime",H11="int"),REPT(CHAR(9),2)&amp;"public virtual "&amp;IF(H11="DateTime",H11&amp;"?",H11)&amp;IF(C11="?","? "," ")&amp;D11&amp;" { get; set; }"&amp;$E$3,"")</f>
        <v xml:space="preserve">		public virtual DateTime? EndDate { get; set; }
</v>
      </c>
      <c r="P11" t="str">
        <f t="shared" ref="P11" si="22">REPT(CHAR(9),7)&amp;D11&amp;" = o." &amp;D11 &amp;","</f>
        <v xml:space="preserve">							EndDate = o.EndDate,</v>
      </c>
      <c r="T11" s="68" t="str">
        <f t="shared" ref="T11" si="23">REPT(CHAR(9),8)&amp;"("""&amp;D11&amp;"""),"</f>
        <v xml:space="preserve">								("EndDate"),</v>
      </c>
      <c r="V11" s="69" t="str">
        <f t="shared" ref="V11" si="24">REPT(CHAR(9),8)&amp;"_ =&gt; _."&amp;D11&amp;","</f>
        <v xml:space="preserve">								_ =&gt; _.EndDate,</v>
      </c>
      <c r="W11" s="68" t="str">
        <f t="shared" ref="W11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.WhereIf(input.EndDate.HasValue, t =&gt; t.EndDate == input.EndDate.Value)</v>
      </c>
    </row>
    <row r="12" spans="1:23" customFormat="1" ht="21" customHeight="1" x14ac:dyDescent="0.25">
      <c r="A12" t="s">
        <v>277</v>
      </c>
      <c r="B12" t="s">
        <v>279</v>
      </c>
      <c r="C12" t="s">
        <v>1</v>
      </c>
      <c r="D12" t="str">
        <f t="shared" ref="D12:D13" si="26">SUBSTITUTE(PROPER(A12),"_","")</f>
        <v>Description</v>
      </c>
      <c r="E12" t="str">
        <f t="shared" si="0"/>
        <v>nvarchar</v>
      </c>
      <c r="F12" s="7"/>
      <c r="G12" t="str">
        <f t="shared" si="1"/>
        <v>250</v>
      </c>
      <c r="H12" t="str">
        <f>+VLOOKUP(E12,'Data Type Mapping'!A:B,2,)</f>
        <v>string</v>
      </c>
      <c r="I12" t="str">
        <f t="shared" si="2"/>
        <v xml:space="preserve">		public const int MaxDescriptionLength = 250;
</v>
      </c>
      <c r="J12" t="str">
        <f t="shared" si="3"/>
        <v xml:space="preserve">		[StringLength(MaxDescriptionLength)]
		public virtual string Description { get; set; }
</v>
      </c>
      <c r="K12" s="7"/>
      <c r="L12" t="str">
        <f t="shared" ref="L12:L13" si="27">IF(K12="","",REPT(CHAR(9),1)&amp;"[Index(nameof("&amp;IF(D12="","",""&amp;D12)&amp;")"&amp;", Name="&amp;"""IX_"&amp;$B$7&amp;"_"&amp;D12&amp;""")]")</f>
        <v/>
      </c>
      <c r="M12" t="str">
        <f t="shared" ref="M12:M13" si="28">REPT(CHAR(9),2)&amp;"public virtual "&amp;IF(H12="DateTime",H12&amp;"?",H12)&amp;IF(C12="?","? "," ")&amp;D12&amp;" { get; set; }" &amp; "
"</f>
        <v xml:space="preserve">		public virtual string Description { get; set; }
</v>
      </c>
      <c r="N12" t="str">
        <f t="shared" ref="N12:N13" si="29">IF(C12="Checked","",$I$3)&amp;IF(H12="string",REPT(CHAR(9),2)&amp;"[StringLength("&amp;$B$3&amp;"Consts.Max"&amp;D12&amp;"Length"&amp;")]"&amp;$E$3,"")&amp;REPT(CHAR(9),2)&amp;"public virtual "&amp;IF(H12="DateTime",H12&amp;"?",H12)&amp;IF(C12="?","? "," ")&amp;D12&amp;" { get; set; }" &amp; "
"</f>
        <v xml:space="preserve">		[StringLength(MstWptPatternHConsts.MaxDescriptionLength)]
		public virtual string Description { get; set; }
</v>
      </c>
      <c r="O12" t="str">
        <f t="shared" ref="O12:O13" si="30">IF(OR(H12="string",H12="DateTime",H12="int"),REPT(CHAR(9),2)&amp;"public virtual "&amp;IF(H12="DateTime",H12&amp;"?",H12)&amp;IF(C12="?","? "," ")&amp;D12&amp;" { get; set; }"&amp;$E$3,"")</f>
        <v xml:space="preserve">		public virtual string Description { get; set; }
</v>
      </c>
      <c r="P12" t="str">
        <f t="shared" si="4"/>
        <v xml:space="preserve">							Description = o.Description,</v>
      </c>
      <c r="T12" s="68" t="str">
        <f t="shared" ref="T12:T13" si="31">REPT(CHAR(9),8)&amp;"("""&amp;D12&amp;"""),"</f>
        <v xml:space="preserve">								("Description"),</v>
      </c>
      <c r="V12" s="69" t="str">
        <f t="shared" ref="V12:V13" si="32">REPT(CHAR(9),8)&amp;"_ =&gt; _."&amp;D12&amp;","</f>
        <v xml:space="preserve">								_ =&gt; _.Description,</v>
      </c>
      <c r="W12" s="68" t="str">
        <f t="shared" ref="W12:W13" si="33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.WhereIf(!string.IsNullOrWhiteSpace(input.Description), e =&gt; e.Description.Contains(input.Description))</v>
      </c>
    </row>
    <row r="13" spans="1:23" customFormat="1" ht="18.75" customHeight="1" x14ac:dyDescent="0.25">
      <c r="A13" t="s">
        <v>270</v>
      </c>
      <c r="B13" t="s">
        <v>271</v>
      </c>
      <c r="C13" t="s">
        <v>1</v>
      </c>
      <c r="D13" t="str">
        <f t="shared" si="26"/>
        <v>IsActive</v>
      </c>
      <c r="E13" t="str">
        <f t="shared" si="0"/>
        <v>varchar</v>
      </c>
      <c r="F13" s="7"/>
      <c r="G13" t="str">
        <f t="shared" si="1"/>
        <v>1</v>
      </c>
      <c r="H13" t="str">
        <f>+VLOOKUP(E13,'Data Type Mapping'!A:B,2,)</f>
        <v>string</v>
      </c>
      <c r="I13" t="str">
        <f t="shared" si="2"/>
        <v xml:space="preserve">		public const int MaxIsActiveLength = 1;
</v>
      </c>
      <c r="J13" t="str">
        <f t="shared" si="3"/>
        <v xml:space="preserve">		[StringLength(MaxIsActiveLength)]
		public virtual string IsActive { get; set; }
</v>
      </c>
      <c r="K13" s="7"/>
      <c r="L13" t="str">
        <f t="shared" si="27"/>
        <v/>
      </c>
      <c r="M13" t="str">
        <f t="shared" si="28"/>
        <v xml:space="preserve">		public virtual string IsActive { get; set; }
</v>
      </c>
      <c r="N13" t="str">
        <f t="shared" si="29"/>
        <v xml:space="preserve">		[StringLength(MstWptPatternHConsts.MaxIsActiveLength)]
		public virtual string IsActive { get; set; }
</v>
      </c>
      <c r="O13" t="str">
        <f t="shared" si="30"/>
        <v xml:space="preserve">		public virtual string IsActive { get; set; }
</v>
      </c>
      <c r="P13" t="str">
        <f t="shared" si="4"/>
        <v xml:space="preserve">							IsActive = o.IsActive,</v>
      </c>
      <c r="T13" s="68" t="str">
        <f t="shared" si="31"/>
        <v xml:space="preserve">								("IsActive"),</v>
      </c>
      <c r="V13" s="69" t="str">
        <f t="shared" si="32"/>
        <v xml:space="preserve">								_ =&gt; _.IsActive,</v>
      </c>
      <c r="W13" s="68" t="str">
        <f t="shared" si="33"/>
        <v xml:space="preserve">				.WhereIf(!string.IsNullOrWhiteSpace(input.IsActive), e =&gt; e.IsActive.Contains(input.IsActive))</v>
      </c>
    </row>
    <row r="15" spans="1:23" ht="45.75" customHeight="1" x14ac:dyDescent="0.25">
      <c r="H15" s="12"/>
      <c r="I15" s="34" t="str">
        <f ca="1">TEXTJOIN2("
", TRUE,INDIRECT( $H$1):INDIRECT( $H$3))</f>
        <v xml:space="preserve">		public const int MaxDescriptionLength = 250;
		public const int MaxIsActiveLength = 1;
</v>
      </c>
      <c r="J15" s="33" t="str">
        <f ca="1">TEXTJOIN2("
", TRUE,INDIRECT( $F$1):INDIRECT( $F$3))</f>
        <v xml:space="preserve">		[Required]
		public virtual int Type { get; set; }
		[Column(TypeName="date")]
		public virtual DateTime StartDate { get; set; }
		[Column(TypeName="date")]
		public virtual DateTime EndDate { get; set; }
		[StringLength(MaxDescriptionLength)]
		public virtual string Description { get; set; }
		[StringLength(MaxIsActiveLength)]
		public virtual string IsActive { get; set; }
</v>
      </c>
      <c r="K15" s="35" t="str">
        <f ca="1">TEXTJOIN2("
", TRUE,INDIRECT( $J$1):INDIRECT( $J$3))</f>
        <v xml:space="preserve">	[Index(nameof(Type), Name="IX_MstWptPatternH_Type")]
</v>
      </c>
      <c r="L15" s="13" t="s">
        <v>60</v>
      </c>
      <c r="M15" s="36" t="str">
        <f ca="1">TEXTJOIN2("
",TRUE,INDIRECT( $L$1):INDIRECT($L$3))</f>
        <v xml:space="preserve">		public virtual int Type { get; set; }
		public virtual DateTime? StartDate { get; set; }
		public virtual DateTime? EndDate { get; set; }
		public virtual string Description { get; set; }
		public virtual string IsActive { get; set; }
</v>
      </c>
      <c r="N15" s="33" t="str">
        <f ca="1">TEXTJOIN2("
",TRUE,INDIRECT( $M$1):INDIRECT($M$3))</f>
        <v xml:space="preserve">		[Required]
		public virtual int Type { get; set; }
		public virtual DateTime? StartDate { get; set; }
		public virtual DateTime? EndDate { get; set; }
		[StringLength(MstWptPatternHConsts.MaxDescriptionLength)]
		public virtual string Description { get; set; }
		[StringLength(MstWptPatternHConsts.MaxIsActiveLength)]
		public virtual string IsActive { get; set; }
</v>
      </c>
      <c r="O15" s="33" t="str">
        <f ca="1">TEXTJOIN2("
",TRUE,INDIRECT( $N$1):INDIRECT($N$3))</f>
        <v xml:space="preserve">		public virtual int Type { get; set; }
		public virtual DateTime? StartDate { get; set; }
		public virtual DateTime? EndDate { get; set; }
		public virtual string Description { get; set; }
		public virtual string IsActive { get; set; }
</v>
      </c>
      <c r="P15" s="9" t="str">
        <f ca="1">TEXTJOIN2("
",TRUE,INDIRECT( $O$1):INDIRECT($O$3))</f>
        <v xml:space="preserve">							Type = o.Type,
							StartDate = o.StartDate,
							EndDate = o.EndDate,
							Description = o.Description,
							IsActive = o.IsActive,</v>
      </c>
      <c r="T15" s="9" t="str">
        <f ca="1">TEXTJOIN2("
",TRUE,INDIRECT( $T$2):INDIRECT($T$3))</f>
        <v xml:space="preserve">								("Type"),
								("StartDate"),
								("EndDate"),
								("Description"),
								("IsActive"),</v>
      </c>
      <c r="V15" s="9" t="str">
        <f ca="1">TEXTJOIN2("
",TRUE,INDIRECT( $V$2):INDIRECT($V$3))</f>
        <v xml:space="preserve">								_ =&gt; _.Type,
								_ =&gt; _.StartDate,
								_ =&gt; _.EndDate,
								_ =&gt; _.Description,
								_ =&gt; _.IsActive,</v>
      </c>
      <c r="W15" s="9" t="str">
        <f ca="1">TEXTJOIN2("
",TRUE,INDIRECT( $W$2):INDIRECT($W$3))</f>
        <v xml:space="preserve">				.WhereIf(input.StartDate.HasValue, t =&gt; t.StartDate == input.StartDate.Value)
				.WhereIf(input.EndDate.HasValue, t =&gt; t.EndDate == input.EndDate.Value)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D16" sqref="D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282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1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1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2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2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3" t="str">
        <f>A.Backend!B3</f>
        <v>MstWptPatternH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2" t="str">
        <f>A.Backend!B5</f>
        <v>PatternH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2" t="str">
        <f>LOWER(B7)</f>
        <v>patternh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MstWptPatternHDto, MstWptPatternHServiceProxy } from '@shared/service-proxies/service-proxies';
import { finalize } from 'rxjs/internal/operators/finalize';
import { CreateOrEditPatternHModalComponent } from './create-or-edit-patternh-modal.component';
import { DatePipe } from '@angular/common';
import { FileDownloadService } from '@shared/utils/file-download.service';
import ceil from 'lodash-es/ceil';
import { Paginator } from 'primeng/paginator';
@Component({
    templateUrl: './patternh.component.html',
    styleUrls: ['./patternh.component.less'],
})
export class PatternHComponent extends AppComponentBase implements OnInit {
    @ViewChild('createOrEditModalPatternH', { static: true }) createOrEditModalPatternH:| CreateOrEditPatternHModalComponent|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MstWptPatternHDto = new MstWptPatternHDto();
    saveSelectedRow: MstWptPatternHDto = new MstWptPatternHDto();
    datas: MstWptPatternHDto = new MstWptPatternHDto();
    isLoading: boolean = false;
    dataParams: GridParams | undefined;
    rowData: any[] = [];
    gridApi!: GridApi;
    rowSelection = 'multiple';
    filter: string = '';
	pipe = new DatePipe('en-US');
    type : number = 0 ;
	startDate : string = '' ; 
	endDate : string = '' ; 
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MstWptPatternHServiceProxy,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this.l('Type'),headerTooltip: this.l('Type'),field: 'type',flex: 1},
			{headerName: this.l('Start Date'),headerTooltip: this.l('Start Date'),field: 'startDate',flex: 1},
			{headerName: this.l('End Date'),headerTooltip: this.l('End Date'),field: 'endDate',flex: 1},
			{headerName: this.l('Description'),headerTooltip: this.l('Description'),field: 'description',flex: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this.type,
			this.startDate,
			this.endDate,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this.type = 0,
		this.startDate = '',
		this.endDate = '',
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this.type,
			this.startDate,
			this.endDate,
			this.description,
			this.isActive,
			'',
            this.paginationParams.skipCount,
            this.paginationParams.pageSize
        );
    }
    onChangeRowSelection(params: { api: { getSelectedRows: () =&gt; MstWptPatternHDto[] } }) {
        this.saveSelectedRow = params.api.getSelectedRows()[0] ?? new MstWptPatternHDto();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MstWptPatternHDto):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this._service.getPatternHToExcel(
			this.type,
			this.startDate,
			this.endDate,
			this.description,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Pattern H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[(ngModel)]='startDate' name='startDate'
									class='form-control' [placeholder]="l('Start Date')"
									type='text' (keyup.enter)='searchDatas()'&gt;
								&lt;/div&gt;
								&lt;div class='input-search'&gt;
									&lt;input [(ngModel)]='endDate' name='endDate'
									class='form-control' [placeholder]="l('End Date')"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(click)="createOrEditModalPatternH.show()"&gt;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(click)="createOrEditModalPatternH.show(selectedRow)"&gt;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&lt;create-or-edit-patternh-modal
    #createOrEditModalPatternH
    (modalSave)="callBackDataGrid(dataParams)"
    (modalClose)="onChangeRowSelection(dataParams)"
&gt;
&lt;/create-or-edit-patternh-modal&gt;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#createOrEditModalPatternH="bs-modal"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PatternH')}}&lt;/h3&gt;
                    &lt;h3 *ngIf="!rowdata.id"&gt;{{('Create New PatternH')}}&lt;/h3&gt;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title'&gt;Start Date&lt;/label&gt;
						&lt;input type='text' class='col-md-10 form-control input-text' name='StartDate' [(ngModel)]='rowdata.startDate'&gt;
					&lt;/div&gt;
					&lt;div class='col-md-12 form-group row'&gt;
						&lt;label class='col-md-2 form-control title'&gt;End Date&lt;/label&gt;
						&lt;input class='col-md-10 form-control checkboxActive' type='checkbox' name='endDate'
						[checked]='_endDate' (change)='changeActive($event)'&gt;
					&lt;/div&gt;
					&lt;div class='col-md-12 form-group row'&gt;
						&lt;label class='col-md-2 form-control title'&gt;Description&lt;/label&gt;
						&lt;input class='col-md-10 form-control checkboxActive' type='checkbox' name='description'
						[checked]='_description'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CreateOrEditMstWptPatternHDto, MstWptPatternHServiceProxy } from '@shared/service-proxies/service-proxies';
import { BsDatepickerDirective } from 'ngx-bootstrap/datepicker';
@Component({
    selector: 'create-or-edit-patternh-modal',
    templateUrl: './create-or-edit-patternh-modal.component.html',
    styleUrls: ['./create-or-edit-patternh-modal.component.less']
    })
export class CreateOrEditPatternHModalComponent extends AppComponentBase {
    @ViewChild('createOrEditModalPatternH',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CreateOrEditMstWptPatternHDto = new CreateOrEditMstWptPatternHDto();
    active: boolean = false;
    saving: boolean = false;
    _endDate
description
isActive: boolean;
    constructor(
        injector: Injector,
        private _mstwptPatternHService: MstWptPatternHServiceProxy,
    ) 
    {
        super(injector);
    }
    show(rowdata?: CreateOrEditMstWptPatternHDto): void {
        if (!rowdata) this.rowdata = new CreateOrEditMstWptPatternHDto();
        else this.rowdata = rowdata;
        this._endDate
description
isActive = (this.rowdata.endDate
description
isActive == "N")? false: true;
        this.active = true;
        this.modal.show();
    } 
    changeActive(event){
        this._endDate
description
isActive = event.target.checked;
    }
    save(): void {
    this.saving = true; 
    this.rowdata.endDate
description
isActive = (this._endDate
description
isActive == true) ? 'Y' : 'N'
    this._mstwptPatternHService.createOrEdit(this.rowdata)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PatternHRoutingModule } from './patternh-routing.module';
import { PatternHComponent } from './patternh.component';
import { CreateOrEditPatternHModalComponent } from './create-or-edit-patternh-modal.component';
@NgModule({
    declarations: [
       PatternHComponent, 
        CreateOrEditPatternHModalComponent
    ],
    imports: [
        AppSharedModule, PatternHRoutingModule]
})
export class PatternHModule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PatternHComponent } from './patternh.component';
const routes: Routes = [{
    path: '',
    component: PatternHComponent,
    pathMatch: 'full'
}];
@NgModule({
    imports: [RouterModule.forChild(routes)],
    exports: [RouterModule],
})
export class PatternHRoutingModule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AppMenuItem("PatternH", "Pages.Master.WorkingPattern.PatternH", "flaticon-book",   "/app/main/master/workingpattern/patternh"),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'master/workingpattern/patternh',
    loadChildren: () =&gt; import('./master/workingpattern/patternh/patternh.module').then(m =&gt; m.PatternHModule),
    data: { permission: 'Pages.Master.WorkingPattern.PatternH' }
},</v>
      </c>
      <c r="R10" s="49" t="str">
        <f>SUBSTITUTE(R9,"MstWptCalendar",$B$6)</f>
        <v>ApiServiceProxies.MstWptPatternHServiceProxy,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H19</v>
      </c>
      <c r="I12" s="31" t="str">
        <f>"I"&amp;COUNTA($A:$A)</f>
        <v>I19</v>
      </c>
      <c r="J12" s="31"/>
      <c r="K12" s="31" t="str">
        <f>"K"&amp;COUNTA($A:$A)</f>
        <v>K19</v>
      </c>
      <c r="L12" s="31" t="str">
        <f>"L"&amp;COUNTA($A:$A)</f>
        <v>L19</v>
      </c>
      <c r="M12" s="31"/>
      <c r="N12" s="31"/>
      <c r="O12" s="31"/>
      <c r="P12" s="31"/>
      <c r="Q12" s="31"/>
      <c r="R12" s="31"/>
      <c r="S12" s="31" t="str">
        <f>"S"&amp;COUNTA($A:$A)</f>
        <v>S19</v>
      </c>
      <c r="T12" s="31" t="str">
        <f>"T"&amp;COUNTA($A:$A)</f>
        <v>T19</v>
      </c>
      <c r="U12" s="31" t="str">
        <f>"U"&amp;COUNTA($A:$A)</f>
        <v>U19</v>
      </c>
      <c r="V12" s="31" t="str">
        <f>"V"&amp;COUNTA($A:$A)</f>
        <v>V19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this.l('Type'),headerTooltip: this.l('Type'),field: 'type',flex: 1},
			{headerName: this.l('Start Date'),headerTooltip: this.l('Start Date'),field: 'startDate',flex: 1},
			{headerName: this.l('End Date'),headerTooltip: this.l('End Date'),field: 'endDate',flex: 1},
			{headerName: this.l('Description'),headerTooltip: this.l('Description'),field: 'description',flex: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[(ngModel)]='startDate' name='startDate'
									class='form-control' [placeholder]="l('Start Date')"
									type='text' (keyup.enter)='searchDatas()'&gt;
								&lt;/div&gt;
								&lt;div class='input-search'&gt;
									&lt;input [(ngModel)]='endDate' name='endDate'
									class='form-control' [placeholder]="l('End Date')"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title'&gt;Start Date&lt;/label&gt;
						&lt;input type='text' class='col-md-10 form-control input-text' name='StartDate' [(ngModel)]='rowdata.startDate'&gt;
					&lt;/div&gt;
					&lt;div class='col-md-12 form-group row'&gt;
						&lt;label class='col-md-2 form-control title'&gt;End Date&lt;/label&gt;
						&lt;input class='col-md-10 form-control checkboxActive' type='checkbox' name='endDate'
						[checked]='_endDate' (change)='changeActive($event)'&gt;
					&lt;/div&gt;
					&lt;div class='col-md-12 form-group row'&gt;
						&lt;label class='col-md-2 form-control title'&gt;Description&lt;/label&gt;
						&lt;input class='col-md-10 form-control checkboxActive' type='checkbox' name='description'
						[checked]='_description'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type : number = 0 ;
	startDate : string = '' ; 
	endDate : string = '' ; 
description : string = '' ; 
	isActive : string = '' ; </v>
      </c>
      <c r="T13" s="67" t="str">
        <f ca="1">TEXTJOIN2("
",TRUE,INDIRECT(T11):INDIRECT(T12))</f>
        <v xml:space="preserve">			this.type,
			this.startDate,
			this.endDate,
			this.description,
			this.isActive,</v>
      </c>
      <c r="U13" s="67" t="str">
        <f ca="1">TEXTJOIN2("
",TRUE,INDIRECT(U11):INDIRECT(U12))</f>
        <v>this.type = 0,
		this.startDate = '',
		this.endDate = '',
this.description = '',
		this.isActive = '',</v>
      </c>
      <c r="V13" s="31" t="str">
        <f ca="1">TEXTJOIN2("
",TRUE,INDIRECT(V11):INDIRECT(V12))</f>
        <v>endDate
description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patternh.component.ts</v>
      </c>
      <c r="I14" s="40" t="str">
        <f>B8&amp;".component.html"</f>
        <v>patternh.component.html</v>
      </c>
      <c r="J14" s="39" t="str">
        <f>B8&amp;".component.less"</f>
        <v>patternh.component.less</v>
      </c>
      <c r="K14" s="40" t="str">
        <f>"create-or-edit-"&amp;B8&amp;"-modal.component.html"</f>
        <v>create-or-edit-patternh-modal.component.html</v>
      </c>
      <c r="L14" s="40" t="str">
        <f>"create-or-edit-"&amp;B8&amp;"-modal.component.ts"</f>
        <v>create-or-edit-patternh-modal.component.ts</v>
      </c>
      <c r="M14" s="40" t="str">
        <f>"create-or-edit-"&amp;B8&amp;"-modal.component.less"</f>
        <v>create-or-edit-patternh-modal.component.less</v>
      </c>
      <c r="N14" s="40" t="str">
        <f>B8&amp;".module.ts"</f>
        <v>patternh.module.ts</v>
      </c>
      <c r="O14" s="40" t="str">
        <f>B8&amp;"-routing.module.ts"</f>
        <v>patternh-routing.module.ts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274</v>
      </c>
      <c r="B15" s="31" t="str">
        <f>SUBSTITUTE(PROPER(A15),"_","")</f>
        <v>Type</v>
      </c>
      <c r="C15" s="31" t="str">
        <f>SUBSTITUTE(PROPER(A15),"_"," ")</f>
        <v>Type</v>
      </c>
      <c r="D15" s="31" t="str">
        <f>LOWER(LEFT(B15,1))&amp;RIGHT(B15,LEN(B15) - 1)</f>
        <v>type</v>
      </c>
      <c r="E15" s="31" t="str">
        <f>A.Backend!H9</f>
        <v>int</v>
      </c>
      <c r="F15" s="31" t="str">
        <f>A.Backend!G9</f>
        <v/>
      </c>
      <c r="G15" s="31" t="str">
        <f>IF(E15="string"," : string = '' ; ",IF(E15="DateTime","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this.l('Type'),headerTooltip: this.l('Type'),field: 'type',flex: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IF(E15="DateTime",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"&amp;REPT(CHAR(9),5)&amp;"&lt;/div&gt;","")))</f>
        <v/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type : number = 0 ;</v>
      </c>
      <c r="T15" s="31" t="str">
        <f>REPT(CHAR(9),3)&amp;"this."&amp;D15&amp;","</f>
        <v xml:space="preserve">			this.type,</v>
      </c>
      <c r="U15" s="31" t="str">
        <f>IF(E15="int","this."&amp;D15&amp;" = 0,","this."&amp;D15&amp;" = '',")</f>
        <v>this.type = 0,</v>
      </c>
      <c r="V15" s="31" t="str">
        <f>IF(AND(E15="string",F15="1"),D15,"")</f>
        <v/>
      </c>
    </row>
    <row r="16" spans="1:22" ht="15" customHeight="1" x14ac:dyDescent="0.25">
      <c r="A16" s="43" t="s">
        <v>275</v>
      </c>
      <c r="B16" s="31" t="str">
        <f t="shared" ref="B16:B19" si="0">SUBSTITUTE(PROPER(A16),"_","")</f>
        <v>StartDate</v>
      </c>
      <c r="C16" s="31" t="str">
        <f t="shared" ref="C16:C19" si="1">SUBSTITUTE(PROPER(A16),"_"," ")</f>
        <v>Start Date</v>
      </c>
      <c r="D16" s="31" t="str">
        <f t="shared" ref="D16:D19" si="2">LOWER(LEFT(B16,1))&amp;RIGHT(B16,LEN(B16) - 1)</f>
        <v>startDate</v>
      </c>
      <c r="E16" s="31" t="str">
        <f>A.Backend!H12</f>
        <v>string</v>
      </c>
      <c r="F16" s="31" t="str">
        <f>A.Backend!G12</f>
        <v>250</v>
      </c>
      <c r="G16" s="31" t="str">
        <f t="shared" ref="G16:G19" si="3">IF(E16="string"," : string = '' ; ",IF(E16="DateTime","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this.l('Start Date'),headerTooltip: this.l('Start Date'),field: 'startDate',flex: 1},</v>
      </c>
      <c r="I16" s="38" t="str">
        <f t="shared" ref="I16:I19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[(ngModel)]='startDate' name='startDate'
									class='form-control' [placeholder]="l('Start Date')"
									type='text' (keyup.enter)='searchDatas()'&gt;
								&lt;/div&gt;</v>
      </c>
      <c r="J16" s="31"/>
      <c r="K16" s="38" t="str">
        <f t="shared" ref="K16:K19" si="5">IF(E16="DateTime",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"&amp;REPT(CHAR(9),5)&amp;"&lt;/div&gt;","")))</f>
        <v xml:space="preserve">					&lt;div class='col-md-12 form-group row'&gt;
						&lt;label class='col-md-2 form-control title'&gt;Start Date&lt;/label&gt;
						&lt;input type='text' class='col-md-10 form-control input-text' name='StartDate' [(ngModel)]='rowdata.startDate'&gt;
					&lt;/div&gt;</v>
      </c>
      <c r="L16" s="59" t="str">
        <f t="shared" ref="L16:L19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startDate : string = '' ; </v>
      </c>
      <c r="T16" s="31" t="str">
        <f>REPT(CHAR(9),3)&amp;"this."&amp;D16&amp;","</f>
        <v xml:space="preserve">			this.startDate,</v>
      </c>
      <c r="U16" s="31" t="str">
        <f>IF(E16="int",REPT(CHAR(9),2)&amp;"this."&amp;D16&amp;" = 0,",REPT(CHAR(9),2)&amp;"this."&amp;D16&amp;" = '',")</f>
        <v xml:space="preserve">		this.startDate = '',</v>
      </c>
      <c r="V16" s="31" t="str">
        <f t="shared" ref="V16:V19" si="7">IF(AND(E16="string",F16="1"),D16,"")</f>
        <v/>
      </c>
    </row>
    <row r="17" spans="1:22" ht="15" customHeight="1" x14ac:dyDescent="0.25">
      <c r="A17" s="43" t="s">
        <v>276</v>
      </c>
      <c r="B17" s="31" t="str">
        <f t="shared" ref="B17" si="8">SUBSTITUTE(PROPER(A17),"_","")</f>
        <v>EndDate</v>
      </c>
      <c r="C17" s="31" t="str">
        <f t="shared" ref="C17" si="9">SUBSTITUTE(PROPER(A17),"_"," ")</f>
        <v>End Date</v>
      </c>
      <c r="D17" s="31" t="str">
        <f t="shared" ref="D17" si="10">LOWER(LEFT(B17,1))&amp;RIGHT(B17,LEN(B17) - 1)</f>
        <v>endDate</v>
      </c>
      <c r="E17" s="31" t="str">
        <f>A.Backend!H13</f>
        <v>string</v>
      </c>
      <c r="F17" s="31" t="str">
        <f>A.Backend!G13</f>
        <v>1</v>
      </c>
      <c r="G17" s="31" t="str">
        <f t="shared" ref="G17" si="11">IF(E17="string"," : string = '' ; ",IF(E17="DateTime","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this.l('End Date'),headerTooltip: this.l('End Date'),field: 'endDate',flex: 1},</v>
      </c>
      <c r="I17" s="38" t="str">
        <f t="shared" ref="I17" si="12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[(ngModel)]='endDate' name='endDate'
									class='form-control' [placeholder]="l('End Date')"
									type='text' (keyup.enter)='searchDatas()'&gt;
								&lt;/div&gt;</v>
      </c>
      <c r="J17" s="31"/>
      <c r="K17" s="38" t="str">
        <f t="shared" ref="K17" si="13">IF(E17="DateTime",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"&amp;REPT(CHAR(9),5)&amp;"&lt;/div&gt;","")))</f>
        <v xml:space="preserve">					&lt;div class='col-md-12 form-group row'&gt;
						&lt;label class='col-md-2 form-control title'&gt;End Date&lt;/label&gt;
						&lt;input class='col-md-10 form-control checkboxActive' type='checkbox' name='endDate'
						[checked]='_endDate' (change)='changeActive($event)'&gt;
					&lt;/div&gt;</v>
      </c>
      <c r="L17" s="59" t="str">
        <f t="shared" ref="L17" si="14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endDate : string = '' ; </v>
      </c>
      <c r="T17" s="31" t="str">
        <f>REPT(CHAR(9),3)&amp;"this."&amp;D17&amp;","</f>
        <v xml:space="preserve">			this.endDate,</v>
      </c>
      <c r="U17" s="31" t="str">
        <f>IF(E17="int",REPT(CHAR(9),2)&amp;"this."&amp;D17&amp;" = 0,",REPT(CHAR(9),2)&amp;"this."&amp;D17&amp;" = '',")</f>
        <v xml:space="preserve">		this.endDate = '',</v>
      </c>
      <c r="V17" s="31" t="str">
        <f t="shared" ref="V17" si="15">IF(AND(E17="string",F17="1"),D17,"")</f>
        <v>endDate</v>
      </c>
    </row>
    <row r="18" spans="1:22" ht="18" customHeight="1" x14ac:dyDescent="0.25">
      <c r="A18" s="43" t="s">
        <v>277</v>
      </c>
      <c r="B18" s="31" t="str">
        <f>SUBSTITUTE(PROPER(A18),"_","")</f>
        <v>Description</v>
      </c>
      <c r="C18" s="31" t="str">
        <f>SUBSTITUTE(PROPER(A18),"_"," ")</f>
        <v>Description</v>
      </c>
      <c r="D18" s="31" t="str">
        <f>LOWER(LEFT(B18,1))&amp;RIGHT(B18,LEN(B18) - 1)</f>
        <v>description</v>
      </c>
      <c r="E18" s="31" t="str">
        <f>A.Backend!H13</f>
        <v>string</v>
      </c>
      <c r="F18" s="31" t="str">
        <f>A.Backend!G13</f>
        <v>1</v>
      </c>
      <c r="G18" s="31" t="str">
        <f>IF(E18="string"," : string = '' ; ",IF(E18="DateTime"," : any ;",IF(E18="int"," : number = 0 ;","")))</f>
        <v xml:space="preserve"> : string = '' ; </v>
      </c>
      <c r="H18" s="38" t="str">
        <f>IF(E18="DateTime",
REPT(CHAR(9),3)&amp;"{headerName: this.l('"&amp;C18&amp;"'),headerTooltip: this.l('"&amp;C18&amp;"'),field: '"&amp;D18&amp;"',valueGetter: (params) =&gt; this.pipe.transform(params.data?."&amp;D18&amp;", 'dd/MM/yyyy'),flex: 1},",
REPT(CHAR(9),3)&amp;"{headerName: this.l('"&amp;C18&amp;"'),headerTooltip: this.l('"&amp;C18&amp;"'),field: '"&amp;D18&amp;"',flex: 1},")</f>
        <v xml:space="preserve">			{headerName: this.l('Description'),headerTooltip: this.l('Description'),field: 'description',flex: 1},</v>
      </c>
      <c r="I18" s="38" t="str">
        <f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8" s="31"/>
      <c r="K18" s="38" t="str">
        <f>IF(E18="DateTime",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"&amp;REPT(CHAR(9),6)&amp;"&lt;input class='col-md-10 form-control checkboxActive' type='checkbox' name='"&amp;D18&amp;"'
"&amp;REPT(CHAR(9),6)&amp;"[checked]='_"&amp;D18&amp;"' (change)='changeActive($event)'&gt;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"&amp;REPT(CHAR(9),5)&amp;"&lt;/div&gt;","")))</f>
        <v xml:space="preserve">					&lt;div class='col-md-12 form-group row'&gt;
						&lt;label class='col-md-2 form-control title'&gt;Description&lt;/label&gt;
						&lt;input class='col-md-10 form-control checkboxActive' type='checkbox' name='description'
						[checked]='_description' (change)='changeActive($event)'&gt;
					&lt;/div&gt;</v>
      </c>
      <c r="L18" s="59" t="str">
        <f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D18&amp;G18</f>
        <v xml:space="preserve">description : string = '' ; </v>
      </c>
      <c r="T18" s="31" t="str">
        <f>REPT(CHAR(9),3)&amp;"this."&amp;D18&amp;","</f>
        <v xml:space="preserve">			this.description,</v>
      </c>
      <c r="U18" s="31" t="str">
        <f>IF(E18="int","this."&amp;D18&amp;" = 0,","this."&amp;D18&amp;" = '',")</f>
        <v>this.description = '',</v>
      </c>
      <c r="V18" s="31" t="str">
        <f>IF(AND(E18="string",F18="1"),D18,"")</f>
        <v>description</v>
      </c>
    </row>
    <row r="19" spans="1:22" ht="18" customHeight="1" x14ac:dyDescent="0.25">
      <c r="A19" s="43" t="s">
        <v>270</v>
      </c>
      <c r="B19" s="31" t="str">
        <f t="shared" si="0"/>
        <v>IsActive</v>
      </c>
      <c r="C19" s="31" t="str">
        <f t="shared" si="1"/>
        <v>Is Active</v>
      </c>
      <c r="D19" s="31" t="str">
        <f t="shared" si="2"/>
        <v>isActive</v>
      </c>
      <c r="E19" s="31" t="str">
        <f>A.Backend!H13</f>
        <v>string</v>
      </c>
      <c r="F19" s="31" t="str">
        <f>A.Backend!G13</f>
        <v>1</v>
      </c>
      <c r="G19" s="31" t="str">
        <f t="shared" si="3"/>
        <v xml:space="preserve"> : string = '' ; </v>
      </c>
      <c r="H19" s="38" t="str">
        <f t="shared" ref="H19" si="16">IF(E19="DateTime",
REPT(CHAR(9),3)&amp;"{headerName: this.l('"&amp;C19&amp;"'),headerTooltip: this.l('"&amp;C19&amp;"'),field: '"&amp;D19&amp;"',valueGetter: (params) =&gt; this.pipe.transform(params.data?."&amp;D19&amp;", 'dd/MM/yyyy'),flex: 1},",
REPT(CHAR(9),3)&amp;"{headerName: this.l('"&amp;C19&amp;"'),headerTooltip: this.l('"&amp;C19&amp;"'),field: '"&amp;D19&amp;"',flex: 1},")</f>
        <v xml:space="preserve">			{headerName: this.l('Is Active'),headerTooltip: this.l('Is Active'),field: 'isActive',flex: 1},</v>
      </c>
      <c r="I19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9" s="31"/>
      <c r="K19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9" s="59" t="str">
        <f t="shared" si="6"/>
        <v/>
      </c>
      <c r="M19" s="31"/>
      <c r="N19" s="31"/>
      <c r="O19" s="31"/>
      <c r="P19" s="31"/>
      <c r="Q19" s="31"/>
      <c r="R19" s="31"/>
      <c r="S19" s="31" t="str">
        <f t="shared" ref="S19" si="17">REPT(CHAR(9),1)&amp;D19&amp;G19</f>
        <v xml:space="preserve">	isActive : string = '' ; </v>
      </c>
      <c r="T19" s="31" t="str">
        <f t="shared" ref="T19" si="18">REPT(CHAR(9),3)&amp;"this."&amp;D19&amp;","</f>
        <v xml:space="preserve">			this.isActive,</v>
      </c>
      <c r="U19" s="31" t="str">
        <f t="shared" ref="U19" si="19">IF(E19="int",REPT(CHAR(9),2)&amp;"this."&amp;D19&amp;" = 0,",REPT(CHAR(9),2)&amp;"this."&amp;D19&amp;" = '',")</f>
        <v xml:space="preserve">		this.isActive = '',</v>
      </c>
      <c r="V19" s="31" t="str">
        <f t="shared" si="7"/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D21" sqref="D2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280</v>
      </c>
      <c r="B20" t="s">
        <v>281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2022-05-25T07:07:22Z</dcterms:modified>
</cp:coreProperties>
</file>
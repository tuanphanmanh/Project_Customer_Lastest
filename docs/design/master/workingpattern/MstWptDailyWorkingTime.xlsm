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workingpattern\"/>
    </mc:Choice>
  </mc:AlternateContent>
  <xr:revisionPtr revIDLastSave="0" documentId="13_ncr:1_{0FA709A5-4D49-4D00-88E7-1BC3B52F5CBE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5" l="1"/>
  <c r="G17" i="5"/>
  <c r="G18" i="5"/>
  <c r="G19" i="5"/>
  <c r="G20" i="5"/>
  <c r="G21" i="5"/>
  <c r="G22" i="5"/>
  <c r="G23" i="5"/>
  <c r="G24" i="5"/>
  <c r="G25" i="5"/>
  <c r="G26" i="5"/>
  <c r="F16" i="5"/>
  <c r="F17" i="5"/>
  <c r="F18" i="5"/>
  <c r="F19" i="5"/>
  <c r="F20" i="5"/>
  <c r="F21" i="5"/>
  <c r="F22" i="5"/>
  <c r="F23" i="5"/>
  <c r="F24" i="5"/>
  <c r="F25" i="5"/>
  <c r="F26" i="5"/>
  <c r="B16" i="5"/>
  <c r="D16" i="5" s="1"/>
  <c r="B17" i="5"/>
  <c r="B18" i="5"/>
  <c r="B19" i="5"/>
  <c r="B20" i="5"/>
  <c r="B21" i="5"/>
  <c r="D21" i="5" s="1"/>
  <c r="B22" i="5"/>
  <c r="B23" i="5"/>
  <c r="B24" i="5"/>
  <c r="D24" i="5" s="1"/>
  <c r="B25" i="5"/>
  <c r="B26" i="5"/>
  <c r="C16" i="5"/>
  <c r="C17" i="5"/>
  <c r="C18" i="5"/>
  <c r="C19" i="5"/>
  <c r="C20" i="5"/>
  <c r="C21" i="5"/>
  <c r="C22" i="5"/>
  <c r="C23" i="5"/>
  <c r="C24" i="5"/>
  <c r="C25" i="5"/>
  <c r="C26" i="5"/>
  <c r="D17" i="5"/>
  <c r="D18" i="5"/>
  <c r="D19" i="5"/>
  <c r="D20" i="5"/>
  <c r="D22" i="5"/>
  <c r="D23" i="5"/>
  <c r="D25" i="5"/>
  <c r="D26" i="5"/>
  <c r="E16" i="5"/>
  <c r="E17" i="5"/>
  <c r="E18" i="5"/>
  <c r="E19" i="5"/>
  <c r="E20" i="5"/>
  <c r="E21" i="5"/>
  <c r="E22" i="5"/>
  <c r="E23" i="5"/>
  <c r="E24" i="5"/>
  <c r="E25" i="5"/>
  <c r="E26" i="5"/>
  <c r="M45" i="3"/>
  <c r="L14" i="1" l="1"/>
  <c r="G14" i="1"/>
  <c r="E14" i="1"/>
  <c r="H14" i="1" s="1"/>
  <c r="L21" i="5" s="1"/>
  <c r="D14" i="1"/>
  <c r="V14" i="1" s="1"/>
  <c r="L13" i="1"/>
  <c r="G13" i="1"/>
  <c r="E13" i="1"/>
  <c r="H13" i="1" s="1"/>
  <c r="M13" i="1" s="1"/>
  <c r="D13" i="1"/>
  <c r="T13" i="1" s="1"/>
  <c r="G15" i="1"/>
  <c r="E15" i="1"/>
  <c r="H15" i="1" s="1"/>
  <c r="D15" i="1"/>
  <c r="V15" i="1" s="1"/>
  <c r="G12" i="1"/>
  <c r="E12" i="1"/>
  <c r="H12" i="1" s="1"/>
  <c r="M12" i="1" s="1"/>
  <c r="D12" i="1"/>
  <c r="T12" i="1" s="1"/>
  <c r="G11" i="1"/>
  <c r="E11" i="1"/>
  <c r="H11" i="1" s="1"/>
  <c r="L16" i="5" s="1"/>
  <c r="D11" i="1"/>
  <c r="V11" i="1" s="1"/>
  <c r="G10" i="1"/>
  <c r="E10" i="1"/>
  <c r="H10" i="1" s="1"/>
  <c r="M10" i="1" s="1"/>
  <c r="D10" i="1"/>
  <c r="T10" i="1" s="1"/>
  <c r="V17" i="5" l="1"/>
  <c r="V16" i="5"/>
  <c r="S16" i="5"/>
  <c r="S21" i="5"/>
  <c r="V21" i="5"/>
  <c r="H20" i="5"/>
  <c r="K16" i="5"/>
  <c r="V20" i="5"/>
  <c r="K21" i="5"/>
  <c r="T16" i="5"/>
  <c r="T21" i="5"/>
  <c r="U16" i="5"/>
  <c r="U20" i="5"/>
  <c r="K20" i="5"/>
  <c r="T20" i="5"/>
  <c r="U21" i="5"/>
  <c r="I17" i="5"/>
  <c r="L19" i="5"/>
  <c r="I16" i="5"/>
  <c r="V19" i="5"/>
  <c r="I21" i="5"/>
  <c r="L17" i="5"/>
  <c r="P14" i="1"/>
  <c r="P15" i="1"/>
  <c r="P11" i="1"/>
  <c r="T14" i="1"/>
  <c r="W14" i="1"/>
  <c r="O14" i="1"/>
  <c r="J14" i="1"/>
  <c r="N14" i="1"/>
  <c r="I14" i="1"/>
  <c r="M14" i="1"/>
  <c r="V13" i="1"/>
  <c r="J13" i="1"/>
  <c r="O13" i="1"/>
  <c r="I10" i="1"/>
  <c r="I13" i="1"/>
  <c r="N13" i="1"/>
  <c r="W13" i="1"/>
  <c r="P13" i="1"/>
  <c r="W15" i="1"/>
  <c r="O15" i="1"/>
  <c r="J15" i="1"/>
  <c r="N15" i="1"/>
  <c r="I15" i="1"/>
  <c r="M15" i="1"/>
  <c r="W11" i="1"/>
  <c r="O11" i="1"/>
  <c r="J11" i="1"/>
  <c r="N11" i="1"/>
  <c r="I11" i="1"/>
  <c r="M11" i="1"/>
  <c r="N10" i="1"/>
  <c r="I12" i="1"/>
  <c r="N12" i="1"/>
  <c r="V12" i="1"/>
  <c r="J10" i="1"/>
  <c r="O10" i="1"/>
  <c r="W10" i="1"/>
  <c r="T11" i="1"/>
  <c r="J12" i="1"/>
  <c r="O12" i="1"/>
  <c r="W12" i="1"/>
  <c r="T15" i="1"/>
  <c r="P10" i="1"/>
  <c r="P12" i="1"/>
  <c r="V10" i="1"/>
  <c r="H16" i="5" l="1"/>
  <c r="I20" i="5"/>
  <c r="L20" i="5"/>
  <c r="S20" i="5"/>
  <c r="H21" i="5"/>
  <c r="T18" i="5"/>
  <c r="S17" i="5"/>
  <c r="T17" i="5"/>
  <c r="S19" i="5"/>
  <c r="T19" i="5"/>
  <c r="H19" i="5"/>
  <c r="U17" i="5"/>
  <c r="U19" i="5"/>
  <c r="I19" i="5"/>
  <c r="K17" i="5"/>
  <c r="K19" i="5"/>
  <c r="H17" i="5"/>
  <c r="W3" i="1"/>
  <c r="V3" i="1"/>
  <c r="B2" i="5" l="1"/>
  <c r="B3" i="5" s="1"/>
  <c r="L19" i="1"/>
  <c r="G19" i="1"/>
  <c r="E19" i="1"/>
  <c r="H19" i="1" s="1"/>
  <c r="D19" i="1"/>
  <c r="L18" i="1"/>
  <c r="G18" i="1"/>
  <c r="E18" i="1"/>
  <c r="H18" i="1" s="1"/>
  <c r="D18" i="1"/>
  <c r="G17" i="1"/>
  <c r="E17" i="1"/>
  <c r="H17" i="1" s="1"/>
  <c r="D17" i="1"/>
  <c r="T17" i="1" l="1"/>
  <c r="V17" i="1"/>
  <c r="V18" i="1"/>
  <c r="T18" i="1"/>
  <c r="V19" i="1"/>
  <c r="T19" i="1"/>
  <c r="O19" i="1"/>
  <c r="M19" i="1"/>
  <c r="N19" i="1"/>
  <c r="N17" i="1"/>
  <c r="O17" i="1"/>
  <c r="M17" i="1"/>
  <c r="N18" i="1"/>
  <c r="O18" i="1"/>
  <c r="M18" i="1"/>
  <c r="W19" i="1"/>
  <c r="W17" i="1"/>
  <c r="W18" i="1"/>
  <c r="T24" i="5"/>
  <c r="T26" i="5"/>
  <c r="P18" i="1"/>
  <c r="J17" i="1"/>
  <c r="I17" i="1"/>
  <c r="I19" i="1"/>
  <c r="J19" i="1"/>
  <c r="I18" i="1"/>
  <c r="P17" i="1"/>
  <c r="J18" i="1"/>
  <c r="P19" i="1"/>
  <c r="B6" i="5"/>
  <c r="K25" i="5" l="1"/>
  <c r="K26" i="5"/>
  <c r="K24" i="5"/>
  <c r="S25" i="5"/>
  <c r="I25" i="5"/>
  <c r="L25" i="5"/>
  <c r="U25" i="5"/>
  <c r="V25" i="5"/>
  <c r="S26" i="5"/>
  <c r="I26" i="5"/>
  <c r="U26" i="5"/>
  <c r="L26" i="5"/>
  <c r="V26" i="5"/>
  <c r="H26" i="5"/>
  <c r="S24" i="5"/>
  <c r="I24" i="5"/>
  <c r="U24" i="5"/>
  <c r="L24" i="5"/>
  <c r="V24" i="5"/>
  <c r="T25" i="5"/>
  <c r="H24" i="5"/>
  <c r="H25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6" i="1"/>
  <c r="D20" i="1"/>
  <c r="V16" i="1" l="1"/>
  <c r="T16" i="1"/>
  <c r="T20" i="1"/>
  <c r="V20" i="1"/>
  <c r="C15" i="5"/>
  <c r="B15" i="5"/>
  <c r="D15" i="5" s="1"/>
  <c r="V22" i="1"/>
  <c r="L12" i="5" l="1"/>
  <c r="I12" i="5"/>
  <c r="U12" i="5"/>
  <c r="K12" i="5"/>
  <c r="V12" i="5"/>
  <c r="S12" i="5"/>
  <c r="T12" i="5"/>
  <c r="H12" i="5"/>
  <c r="T15" i="5"/>
  <c r="T22" i="5"/>
  <c r="T23" i="5" l="1"/>
  <c r="R3" i="1"/>
  <c r="D1" i="1"/>
  <c r="F6" i="1"/>
  <c r="T13" i="5"/>
  <c r="G9" i="1" l="1"/>
  <c r="F15" i="5" s="1"/>
  <c r="G16" i="1"/>
  <c r="G20" i="1"/>
  <c r="E9" i="1"/>
  <c r="H9" i="1" s="1"/>
  <c r="E16" i="1"/>
  <c r="H16" i="1" s="1"/>
  <c r="E20" i="1"/>
  <c r="H20" i="1" s="1"/>
  <c r="P9" i="1"/>
  <c r="P16" i="1"/>
  <c r="P20" i="1"/>
  <c r="T22" i="1"/>
  <c r="S18" i="5" l="1"/>
  <c r="K18" i="5"/>
  <c r="L18" i="5"/>
  <c r="U18" i="5"/>
  <c r="H18" i="5"/>
  <c r="I18" i="5"/>
  <c r="V18" i="5"/>
  <c r="O20" i="1"/>
  <c r="M20" i="1"/>
  <c r="N20" i="1"/>
  <c r="O16" i="1"/>
  <c r="M16" i="1"/>
  <c r="N16" i="1"/>
  <c r="O9" i="1"/>
  <c r="M9" i="1"/>
  <c r="N9" i="1"/>
  <c r="W20" i="1"/>
  <c r="K23" i="5"/>
  <c r="E15" i="5"/>
  <c r="K15" i="5" s="1"/>
  <c r="W9" i="1"/>
  <c r="W16" i="1"/>
  <c r="K22" i="5"/>
  <c r="T7" i="1"/>
  <c r="I20" i="1"/>
  <c r="I16" i="1"/>
  <c r="I9" i="1"/>
  <c r="W22" i="1"/>
  <c r="S22" i="5" l="1"/>
  <c r="I22" i="5"/>
  <c r="H22" i="5"/>
  <c r="L22" i="5"/>
  <c r="U22" i="5"/>
  <c r="V22" i="5"/>
  <c r="G15" i="5"/>
  <c r="S15" i="5" s="1"/>
  <c r="I15" i="5"/>
  <c r="L15" i="5"/>
  <c r="V15" i="5"/>
  <c r="H15" i="5"/>
  <c r="U15" i="5"/>
  <c r="S23" i="5"/>
  <c r="I23" i="5"/>
  <c r="U23" i="5"/>
  <c r="L23" i="5"/>
  <c r="V23" i="5"/>
  <c r="H23" i="5"/>
  <c r="G6" i="1"/>
  <c r="I13" i="5"/>
  <c r="K13" i="5"/>
  <c r="H13" i="5"/>
  <c r="V13" i="5"/>
  <c r="S13" i="5"/>
  <c r="U13" i="5"/>
  <c r="L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5" i="1" l="1"/>
  <c r="L11" i="1"/>
  <c r="L10" i="1"/>
  <c r="L20" i="1"/>
  <c r="L17" i="1"/>
  <c r="L12" i="1"/>
  <c r="L9" i="1"/>
  <c r="L16" i="1"/>
  <c r="J20" i="1"/>
  <c r="J9" i="1"/>
  <c r="J16" i="1"/>
  <c r="C7" i="1"/>
  <c r="I22" i="1"/>
  <c r="J22" i="1"/>
  <c r="O22" i="1"/>
  <c r="P22" i="1"/>
  <c r="N22" i="1"/>
  <c r="Q7" i="1" l="1"/>
  <c r="M38" i="3" s="1"/>
  <c r="L7" i="1"/>
  <c r="G38" i="3" s="1"/>
  <c r="K38" i="3"/>
  <c r="J38" i="3"/>
  <c r="K22" i="1"/>
  <c r="M22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<sst xmlns="http://schemas.openxmlformats.org/spreadsheetml/2006/main" count="381" uniqueCount="291">
  <si>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</si>
  <si>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</si>
  <si>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</si>
  <si>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</si>
  <si>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</si>
  <si>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</si>
  <si>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</si>
  <si>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</si>
  <si>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</si>
  <si>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</si>
  <si>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</si>
  <si>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</si>
  <si>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</si>
  <si>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</si>
  <si>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</si>
  <si>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</si>
  <si>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</si>
  <si>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</si>
  <si>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</si>
  <si>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</si>
  <si>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</si>
  <si>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</si>
  <si>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</si>
  <si>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</si>
  <si>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</si>
  <si>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</si>
  <si>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</si>
  <si>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</si>
  <si>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</si>
  <si>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</si>
  <si>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</si>
  <si>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</si>
  <si>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</si>
  <si>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</si>
  <si>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</si>
  <si>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</si>
  <si>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</si>
  <si>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</si>
  <si>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</si>
  <si>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</si>
  <si>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</si>
  <si>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</si>
  <si>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</si>
  <si>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</si>
  <si>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</si>
  <si>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</si>
  <si>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</si>
  <si>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</si>
  <si>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</si>
  <si>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</si>
  <si>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</si>
  <si>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</si>
  <si>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</si>
  <si>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</si>
  <si>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</si>
  <si>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</si>
  <si>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</si>
  <si>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</si>
  <si>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</si>
  <si>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</si>
  <si>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</si>
  <si>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</si>
  <si>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</si>
  <si>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</si>
  <si>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</si>
  <si>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</si>
  <si>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</si>
  <si>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</si>
  <si>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</si>
  <si>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</si>
  <si>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</si>
  <si>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</si>
  <si>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</si>
  <si>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</si>
  <si>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</si>
  <si>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</si>
  <si>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</si>
  <si>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</si>
  <si>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</si>
  <si>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</si>
  <si>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</si>
  <si>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</si>
  <si>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</si>
  <si>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</si>
  <si>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</si>
  <si>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</si>
  <si>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</si>
  <si>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</si>
  <si>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</si>
  <si>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</si>
  <si>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</si>
  <si>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</si>
  <si>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</si>
  <si>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</si>
  <si>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</si>
  <si>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</si>
  <si>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</si>
  <si>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</si>
  <si>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</si>
  <si>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</si>
  <si>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</si>
  <si>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</si>
  <si>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</si>
  <si>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</si>
  <si>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</si>
  <si>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</si>
  <si>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</si>
  <si>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</si>
  <si>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</si>
  <si>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</si>
  <si>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</si>
  <si>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</si>
  <si>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</si>
  <si>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</si>
  <si>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</si>
  <si>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</si>
  <si>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</si>
  <si>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</si>
  <si>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</si>
  <si>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</si>
  <si>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</si>
  <si>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</si>
  <si>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</si>
  <si>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</si>
  <si>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</si>
  <si>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</si>
  <si>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</si>
  <si>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</si>
  <si>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</si>
  <si>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</si>
  <si>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</si>
  <si>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</si>
  <si>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</si>
  <si>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</si>
  <si>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</si>
  <si>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</si>
  <si>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</si>
  <si>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</si>
  <si>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</si>
  <si>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</si>
  <si>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</si>
  <si>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</si>
  <si>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</si>
  <si>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</si>
  <si>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</si>
  <si>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</si>
  <si>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</si>
  <si>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</si>
  <si>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</si>
  <si>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</si>
  <si>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</si>
  <si>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</si>
  <si>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</si>
  <si>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</si>
  <si>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</si>
  <si>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</si>
  <si>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</si>
  <si>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</si>
  <si>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</si>
  <si>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</si>
  <si>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</si>
  <si>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</si>
  <si>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</si>
  <si>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</si>
  <si>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</si>
  <si>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</si>
  <si>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</si>
  <si>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</si>
  <si>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</si>
  <si>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</si>
  <si>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</si>
  <si>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</si>
  <si>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</si>
  <si>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</si>
  <si>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</si>
  <si>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</si>
  <si>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</si>
  <si>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</si>
  <si>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</si>
  <si>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</si>
  <si>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</si>
  <si>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</si>
  <si>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</si>
  <si>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</si>
  <si>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</si>
  <si>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</si>
  <si>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</si>
  <si>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</si>
  <si>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</si>
  <si>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</si>
  <si>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</si>
  <si>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</si>
  <si>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</si>
  <si>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</si>
  <si>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</si>
  <si>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</si>
  <si>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</si>
  <si>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</si>
  <si>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</si>
  <si>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</si>
  <si>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</si>
  <si>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</si>
  <si>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</si>
  <si>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</si>
  <si>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</si>
  <si>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</si>
  <si>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</si>
  <si>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</si>
  <si>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</si>
  <si>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</si>
  <si>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</si>
  <si>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</si>
  <si>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</si>
  <si>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</si>
  <si>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</si>
  <si>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</si>
  <si>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</si>
  <si>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</si>
  <si>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</si>
  <si>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</si>
  <si>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</si>
  <si>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</si>
  <si>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</si>
  <si>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</si>
  <si>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</si>
  <si>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</si>
  <si>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</si>
  <si>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</si>
  <si>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</si>
  <si>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</si>
  <si>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</si>
  <si>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</si>
  <si>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</si>
  <si>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</si>
  <si>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</si>
  <si>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</si>
  <si>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</si>
  <si>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</si>
  <si>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</si>
  <si>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</si>
  <si>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</si>
  <si>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</si>
  <si>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</si>
  <si>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</si>
  <si>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</si>
  <si>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</si>
  <si>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</si>
  <si>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</si>
  <si>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</si>
  <si>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</si>
  <si>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</si>
  <si>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</si>
  <si>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</si>
  <si>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</si>
  <si>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</si>
  <si>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</si>
  <si>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</si>
  <si>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</si>
  <si>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</si>
  <si>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</si>
  <si>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</si>
  <si>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</si>
  <si>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</si>
  <si>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</si>
  <si>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</si>
  <si>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</si>
  <si>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</si>
  <si>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</si>
  <si>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</si>
  <si>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</si>
  <si>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</si>
  <si>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SHIFT_NO</t>
  </si>
  <si>
    <t>SHIFT_NAME</t>
  </si>
  <si>
    <t>varchar(40)</t>
  </si>
  <si>
    <t>SHOP_ID</t>
  </si>
  <si>
    <t>WORKING_DATE</t>
  </si>
  <si>
    <t>START_TIME</t>
  </si>
  <si>
    <t>time(7)</t>
  </si>
  <si>
    <t>END_TIME</t>
  </si>
  <si>
    <t>WORKING_TYPE</t>
  </si>
  <si>
    <t>DESCRIPTION</t>
  </si>
  <si>
    <t>nvarchar(250)</t>
  </si>
  <si>
    <t>IS_ACTIVE</t>
  </si>
  <si>
    <t>varchar(1)</t>
  </si>
  <si>
    <t>FROM_TIME</t>
  </si>
  <si>
    <t>TO_TIME</t>
  </si>
  <si>
    <t>IS_MANUAL</t>
  </si>
  <si>
    <t>Master.WorkingPattern</t>
  </si>
  <si>
    <t>MstWptDailyWorkingTime</t>
  </si>
  <si>
    <t>DailyWorkingTime</t>
  </si>
  <si>
    <t>Master Working Pattern Daily Working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</si>
</sst>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K37" workbookViewId="0">
      <selection activeCell="M45" sqref="M45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[Table("MstWptDailyWorkingTime")]
	[Index(nameof(ShiftNo), Name="IX_MstWptDailyWorkingTime_ShiftNo")]
	[Index(nameof(ShiftName), Name="IX_MstWptDailyWorkingTime_ShiftName")]
	[Index(nameof(ShopId), Name="IX_MstWptDailyWorkingTime_ShopId")]
	[Index(nameof(WorkingDate), Name="IX_MstWptDailyWorkingTime_WorkingDate")]
	[Index(nameof(WorkingType), Name="IX_MstWptDailyWorkingTime_WorkingType")]
	[Index(nameof(IsActive), Name="IX_MstWptDailyWorkingTime_IsActive")]	public class MstWptDailyWorkingTime: FullAuditedEntity&lt;long&gt;, IEntity&lt;long&gt;	
	{
		public const int MaxShiftNameLength = 40;
		public const int MaxDescriptionLength = 250;
		public const int MaxIsManualLength = 1;
		public const int MaxIsActiveLength = 1;
		public virtual int ShiftNo { get; set; }
		[StringLength(MaxShiftNameLength)]
		public virtual string ShiftName { get; set; }
		public virtual int ShopId { get; set; }
		[Column(TypeName="date")]
		public virtual DateTime WorkingDate { get; set; }
		public virtual TimeSpan StartTime { get; set; }
		public virtual TimeSpan EndTime { get; set; }
		public virtual int WorkingType { get; set; }
		[StringLength(MaxDescriptionLength)]
		public virtual string Description { get; set; }
		public virtual DateTime FromTime { get; set; }
		public virtual DateTime ToTime { get; set; }
		[StringLength(MaxIsManualLength)]
		public virtual string IsManual { get; set; }
		[StringLength(MaxIsActiveLength)]
		public virtual string IsActive { get; set; }
	}
}
</v>
      </c>
      <c r="D38" s="51" t="str">
        <f>A.Backend!O7</f>
        <v xml:space="preserve">		public const string Pages_Master_WorkingPattern_DailyWorkingTime = "Pages.Master.WorkingPattern.DailyWorkingTime";
		public const string Pages_Master_WorkingPattern_DailyWorkingTime_CreateEdit = "Pages.Master.WorkingPattern.DailyWorkingTime.CreateEdit";
		public const string Pages_Master_WorkingPattern_DailyWorkingTime_Delete = "Pages.Master.WorkingPattern.DailyWorkingTime.Delete";
</v>
      </c>
      <c r="E38" s="51" t="str">
        <f>A.Backend!N7</f>
        <v xml:space="preserve">		var perMstWptDailyWorkingTime = PARENTS.CreateChildPermission(AppPermissions.Pages_Master_WorkingPattern_DailyWorkingTime, L( "MasterWorkingPatternDailyWorkingTime"));
		perMstWptDailyWorkingTime.CreateChildPermission(AppPermissions.Pages_Master_WorkingPattern_DailyWorkingTime_CreateEdit, L( "MasterWorkingPatternDailyWorkingTimeCreateEdit"));
		perMstWptDailyWorkingTime.CreateChildPermission(AppPermissions.Pages_Master_WorkingPattern_DailyWorkingTime_Delete, L( "MasterWorkingPatternDailyWorkingTimeDelete"));</v>
      </c>
      <c r="F38" s="51" t="str">
        <f>A.Backend!K7</f>
        <v>public virtual DbSet&lt;MstWptDailyWorkingTime&gt; MstWptDailyWorkingTimes { get; set; }</v>
      </c>
      <c r="G38" s="51" t="str">
        <f ca="1">A.Backend!L7</f>
        <v xml:space="preserve">namespace vovina.Master.WorkingPattern
{
	public class MstWptDailyWorkingTimeConsts	
	{
		public const int MaxShiftNameLength = 40;
		public const int MaxDescriptionLength = 250;
		public const int MaxIsManualLength = 1;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vovina.Master.WorkingPattern.Dto
{
	public class MstWptDailyWorkingTimeDto : EntityDto&lt;long?&gt;	
	{
		public virtual int ShiftNo { get; set; }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	public class CreateOrEditMstWptDailyWorkingTimeDto : EntityDto&lt;long?&gt;	
	{
		public virtual int ShiftNo { get; set; }
		[StringLength(MstWptDailyWorkingTimeConsts.MaxShiftNameLength)]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[StringLength(MstWptDailyWorkingTimeConsts.MaxDescriptionLength)]
		public virtual string Description { get; set; }
		public virtual DateTime? FromTime { get; set; }
		public virtual DateTime? ToTime { get; set; }
		[StringLength(MstWptDailyWorkingTimeConsts.MaxIsManualLength)]
		public virtual string IsManual { get; set; }
		[StringLength(MstWptDailyWorkingTimeConsts.MaxIsActiveLength)]
		public virtual string IsActive { get; set; }
	}
	public class GetMstWptDailyWorkingTimeInput : PagedAndSortedResultRequestDto	
	{
		public virtual int ShiftNo { get; set; }
		public virtual string ShiftName { get; set; }
		public virtual int ShopId { get; set; }
		public virtual DateTime? WorkingDate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vovina.Master.WorkingPattern.Dto
{
	public class MstWptDailyWorkingTimeExportInput{
		public virtual int ShiftNo { get; set; }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IMstWptDailyWorkingTimeAppService : IApplicationService
	{
		Task&lt;PagedResultDto&lt;MstWptDailyWorkingTimeDto&gt;&gt; GetAll(GetMstWptDailyWorkingTimeInput input);
		Task CreateOrEdit(CreateOrEditMstWptDailyWorkingTimeDto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IMstWptDailyWorkingTimeExcelExporter : IApplicationService
	{
		FileDto ExportToFile(List&lt;MstWptDailyWorkingTimeDto&gt; mstwptdailyworkingtime);
	}
}
</v>
      </c>
      <c r="L38" s="51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MstWptDailyWorkingTimeExcelExporter : NpoiExcelExporterBase, IMstWptDailyWorkingTimeExcelExporter
    {
        public MstWptDailyWorkingTimeExcelExporter(ITempFileCacheManager tempFileCacheManager) : base(tempFileCacheManager) { }
        public FileDto ExportToFile(List&lt;MstWptDailyWorkingTimeDto&gt; dailyworkingtime)
        {
            return CreateExcelPackage(
				"MasterWorkingPatternDailyWorkingTime.xlsx",
				excelPackage =&gt;
				 {
					var sheet = excelPackage.CreateSheet("DailyWorkingTime");
					AddHeader(
								sheet,
								("ShiftNo"),
								("ShiftName"),
								("ShopId"),
								("WorkingDate"),
								("StartTime"),
								("EndTime"),
								("WorkingType"),
								("Description"),
								("FromTime"),
								("ToTime"),
								("IsManual"),
								("IsActive"),
							   );
					AddObjects(
						 sheet, 1, dailyworkingtime,                                       
								_ =&gt; _.ShiftNo,
								_ =&gt; _.ShiftName,
								_ =&gt; _.ShopId,
								_ =&gt; _.WorkingDate,
								_ =&gt; _.StartTime,
								_ =&gt; _.EndTime,
								_ =&gt; _.WorkingType,
								_ =&gt; _.Description,
								_ =&gt; _.FromTime,
								_ =&gt; _.ToTime,
								_ =&gt; _.IsManual,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[AbpAuthorize(AppPermissions.Pages_Master_WorkingPattern_DailyWorkingTime)]
    public class MstWptDailyWorkingTimeAppService : vovinaAppServiceBase, IMstWptDailyWorkingTimeAppService
    {
        private readonly IDapperRepository&lt;MstWptDailyWorkingTime, long&gt; _dapperRepo;
        private readonly IRepository&lt;MstWptDailyWorkingTime, long&gt; _repo;
        private readonly IMstWptDailyWorkingTimeExcelExporter _calendarListExcelExporter;
        public MstWptDailyWorkingTimeAppService(IRepository&lt;MstWptDailyWorkingTime,long&gt; repo, 
                                         IDapperRepository&lt;MstWptDailyWorkingTime,long&gt; dapperRepo,
                                        IMstWptDailyWorkingTimeExcelExporter calendarListExcelExporter
            )
        {
            _repo = repo;
            _dapperRepo = dapperRepo;
            _calendarListExcelExporter = calendarListExcelExporter;
        }
        [AbpAuthorize(AppPermissions.Pages_Master_WorkingPattern_DailyWorkingTime_CreateEdit)]
        public async Task CreateOrEdit(CreateOrEditMstWptDailyWorkingTimeDto input)
        {
            if (input.Id == null) await Create(input);
            else await Update(input);
        }
        //CREATE
        private async Task Create(CreateOrEditMstWptDailyWorkingTimeDto input)
        {          
            var mainObj = ObjectMapper.Map&lt;MstWptDailyWorkingTime&gt;(input);
            await CurrentUnitOfWork.GetDbContext&lt;vovinaDbContext&gt;().AddAsync(mainObj);
        }
        // EDIT
        private async Task Update(CreateOrEditMstWptDailyWorkingTimeDto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[AbpAuthorize(AppPermissions.Pages_Master_WorkingPattern_DailyWorkingTime_Delete)]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Task&lt;PagedResultDto&lt;MstWptDailyWorkingTimeDto&gt;&gt; GetAll(GetMstWptDailyWorkingTimeInput input)
        {
            var filtered = _repo.GetAll()
				.WhereIf(!string.IsNullOrWhiteSpace(input.ShiftName), e =&gt; e.ShiftName.Contains(input.ShiftName))
				.WhereIf(input.WorkingDate.HasValue, t =&gt; t.WorkingDate == input.WorkingDate.Value)
				.WhereIf(!string.IsNullOrWhiteSpace(input.Description), e =&gt; e.Description.Contains(input.Description))
				.WhereIf(input.FromTime.HasValue, t =&gt; t.FromTime == input.FromTime.Value)
				.WhereIf(input.ToTime.HasValue, t =&gt; t.ToTime == input.ToTime.Value)
				.WhereIf(!string.IsNullOrWhiteSpace(input.IsManual), e =&gt; e.IsManual.Contains(input.IsManual))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MstWptDailyWorkingTimeDto
                        {
							Id = o.Id,
							ShiftNo = o.ShiftNo,
							ShiftName = o.ShiftName,
							ShopId = o.ShopId,
							WorkingDate = o.WorkingDate,
							StartTime = o.StartTime,
							EndTime = o.EndTime,
							WorkingType = o.WorkingType,
							Description = o.Description,
							FromTime = o.FromTime,
							ToTime = o.ToTime,
							IsManual = o.IsManual,
							IsActive = o.IsActive,
                        };
            var totalCount = await filtered.CountAsync();
			var paged = system.PageBy(input);
            return new PagedResultDto&lt;MstWptDailyWorkingTimeDto&gt;(
                totalCount,
                 await paged.ToListAsync()
            );
        }
        public async Task&lt;FileDto&gt; GetDailyWorkingTimeToExcel(MstWptDailyWorkingTimeExportInput input)
        {
            var query = from o in _repo.GetAll()
                        select new MstWptDailyWorkingTimeDto
                        {
							Id = o.Id,
							ShiftNo = o.ShiftNo,
							ShiftName = o.ShiftName,
							ShopId = o.ShopId,
							WorkingDate = o.WorkingDate,
							StartTime = o.StartTime,
							EndTime = o.EndTime,
							WorkingType = o.WorkingType,
							Description = o.Description,
							FromTime = o.FromTime,
							ToTime = o.ToTime,
							IsManual = o.IsManual,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_dapperRepo.ExecuteAsync(MstWptDailyWorkingTimeConsts.SP_MST_WPT_CALENDAR_GENERATE);
       // }
    }
}</v>
      </c>
      <c r="N38" s="62" t="str">
        <f>A.Backend!U7</f>
        <v xml:space="preserve">  configuration.CreateMap&lt;MstWptDailyWorkingTimeDto, MstWptDailyWorkingTime&gt;();
  configuration.CreateMap&lt;MstWptDailyWorkingTime, MstWptDailyWorkingTimeDto&gt;();
  configuration.CreateMap&lt;CreateOrEditMstWptDailyWorkingTimeDto, MstWptDailyWorkingTime&gt;();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dailyworkingtime</v>
      </c>
      <c r="C43" s="72" t="str">
        <f>"create folder " &amp;B43</f>
        <v>create folder dailyworkingtime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dailyworkingtime.component.ts</v>
      </c>
      <c r="D44" s="31" t="str">
        <f>B.Frontend!I14</f>
        <v>dailyworkingtime.component.html</v>
      </c>
      <c r="E44" s="31" t="str">
        <f>B.Frontend!J14</f>
        <v>dailyworkingtime.component.less</v>
      </c>
      <c r="F44" s="31" t="str">
        <f>B.Frontend!K14</f>
        <v>create-or-edit-dailyworkingtime-modal.component.html</v>
      </c>
      <c r="G44" s="31" t="str">
        <f>B.Frontend!L14</f>
        <v>create-or-edit-dailyworkingtime-modal.component.ts</v>
      </c>
      <c r="H44" s="31" t="str">
        <f>B.Frontend!M14</f>
        <v>create-or-edit-dailyworkingtime-modal.component.less</v>
      </c>
      <c r="I44" s="31" t="str">
        <f>B.Frontend!N14</f>
        <v>dailyworkingtime.module.ts</v>
      </c>
      <c r="J44" s="31" t="str">
        <f>B.Frontend!O14</f>
        <v>dailyworkingtime-routing.module.ts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MstWptDailyWorkingTimeDto, MstWptDailyWorkingTimeServiceProxy } from '@shared/service-proxies/service-proxies';
import { finalize } from 'rxjs/internal/operators/finalize';
import { CreateOrEditDailyWorkingTimeModalComponent } from './create-or-edit-dailyworkingtime-modal.component';
import { DatePipe } from '@angular/common';
import { FileDownloadService } from '@shared/utils/file-download.service';
import ceil from 'lodash-es/ceil';
import { Paginator } from 'primeng/paginator';
@Component({
    templateUrl: './dailyworkingtime.component.html',
    styleUrls: ['./dailyworkingtime.component.less'],
})
export class DailyWorkingTimeComponent extends AppComponentBase implements OnInit {
    @ViewChild('createOrEditModalDailyWorkingTime', { static: true }) createOrEditModalDailyWorkingTime:| CreateOrEditDailyWorkingTimeModalComponent|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MstWptDailyWorkingTimeDto = new MstWptDailyWorkingTimeDto();
    saveSelectedRow: MstWptDailyWorkingTimeDto = new MstWptDailyWorkingTimeDto();
    datas: MstWptDailyWorkingTimeDto = new MstWptDailyWorkingTimeDto();
    isLoading: boolean = false;
    dataParams: GridParams | undefined;
    rowData: any[] = [];
    gridApi!: GridApi;
    rowSelection = 'multiple';
    filter: string = '';
	pipe = new DatePipe('en-US');
    shiftNo : number = 0 ;
	shiftName : string = '' ; 
	shopId : number = 0 ;
	workingDate : any ;
	startTime : any ;
	endTime : any ;
	workingType : number = 0 ;
	description : string = '' ; 
	fromTime : any ;
	toTime : any ;
	isManual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MstWptDailyWorkingTimeServiceProxy,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this.l('Shift No'),headerTooltip: this.l('Shift No'),field: 'shiftNo',flex: 1},
			{headerName: this.l('Shift Name'),headerTooltip: this.l('Shift Name'),field: 'shiftName',flex: 1},
			{headerName: this.l('Shop Id'),headerTooltip: this.l('Shop Id'),field: 'shopId',flex: 1},
			{headerName: this.l('Working Date'),headerTooltip: this.l('Working Date'),field: 'workingDate',valueGetter: (params) =&gt; this.pipe.transform(params.data?.workingDate, 'dd/MM/yyyy'),flex: 1},
			{headerName: this.l('Start Time'),headerTooltip: this.l('Start Time'),field: 'startTime',flex: 1},
			{headerName: this.l('End Time'),headerTooltip: this.l('End Time'),field: 'endTime',flex: 1},
			{headerName: this.l('Working Type'),headerTooltip: this.l('Working Type'),field: 'workingType',flex: 1},
			{headerName: this.l('Description'),headerTooltip: this.l('Description'),field: 'description',flex: 1},
			{headerName: this.l('From Time'),headerTooltip: this.l('From Time'),field: 'fromTime',valueGetter: (params) =&gt; this.pipe.transform(params.data?.fromTime, 'dd/MM/yyyy'),flex: 1},
			{headerName: this.l('To Time'),headerTooltip: this.l('To Time'),field: 'toTime',valueGetter: (params) =&gt; this.pipe.transform(params.data?.toTime, 'dd/MM/yyyy'),flex: 1},
			{headerName: this.l('Is Manual'),headerTooltip: this.l('Is Manual'),field: 'isManual',flex: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this.shiftNo,
			this.shiftName,
			this.shopId,
			this.workingDate,
			this.startTime,
			this.endTime,
			this.workingType,
			this.description,
			this.fromTime,
			this.toTime,
			this.isManual,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this.shiftNo = 0,
		this.shiftName = '',
		this.shopId = 0,
		this.workingDate = '',
		this.startTime = '',
		this.endTime = '',
		this.workingType = 0,
		this.description = '',
		this.fromTime = '',
		this.toTime = '',
		this.isManual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this.shiftNo,
			this.shiftName,
			this.shopId,
			this.workingDate,
			this.startTime,
			this.endTime,
			this.workingType,
			this.description,
			this.fromTime,
			this.toTime,
			this.isManual,
			this.isActive,
			'',
            this.paginationParams.skipCount,
            this.paginationParams.pageSize
        );
    }
    onChangeRowSelection(params: { api: { getSelectedRows: () =&gt; MstWptDailyWorkingTimeDto[] } }) {
        this.saveSelectedRow = params.api.getSelectedRows()[0] ?? new MstWptDailyWorkingTimeDto();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MstWptDailyWorkingTimeDto):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this._service.getDailyWorkingTimeToExcel(
			this.shiftNo,
			this.shiftName,
			this.shopId,
			this.workingDate,
			this.startTime,
			this.endTime,
			this.workingType,
			this.description,
			this.fromTime,
			this.toTime,
			this.isManual,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Daily Working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type='text' [placeholder]="l('From Time')" [(ngModel)]='fromTime' 
									name='fromTime'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Time')" [(ngModel)]='toTime' 
									name='toTime'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[(ngModel)]='isManual' name='isManual'
									class='form-control' [placeholder]="l('Is Manual')"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(click)="createOrEditModalDailyWorkingTime.show()"&gt;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(click)="createOrEditModalDailyWorkingTime.show(selectedRow)"&gt;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&lt;create-or-edit-dailyworkingtime-modal
    #createOrEditModalDailyWorkingTime
    (modalSave)="callBackDataGrid(dataParams)"
    (modalClose)="onChangeRowSelection(dataParams)"
&gt;
&lt;/create-or-edit-dailyworkingtime-modal&gt;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#createOrEditModalDailyWorkingTime="bs-modal"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DailyWorkingTime')}}&lt;/h3&gt;
                    &lt;h3 *ngIf="!rowdata.id"&gt;{{('Create New DailyWorkingTime')}}&lt;/h3&gt;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title'&gt;Shop Id&lt;/label&gt;
						&lt;input type='number' class='col-md-10 form-control input-text' name='ShopId' [(ngModel)]='rowdata.shopId'&gt;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title'&gt;Working Type&lt;/label&gt;
						&lt;input type='number' class='col-md-10 form-control input-text' name='WorkingType' [(ngModel)]='rowdata.workingType'&gt;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title'&gt;From Time&lt;/label&gt;
						&lt;input type='text' class='col-md-10 form-control input-text' name='fromTime' 
						#datepicker='bsDatepicker' [(ngModel)]='rowdata.fromTime'  bsDatepicker &gt;
					&lt;/div&gt;
					&lt;div class='col-md-12 form-group row'&gt;
						&lt;label class='col-md-2 form-control title'&gt;To Time&lt;/label&gt;
						&lt;input type='text' class='col-md-10 form-control input-text' name='toTime' 
						#datepicker='bsDatepicker' [(ngModel)]='rowdata.toTime'  bsDatepicker &gt;
					&lt;/div&gt;
					&lt;div class='col-md-12 form-group row'&gt;
						&lt;label class='col-md-2 form-control title'&gt;Is Manual&lt;/label&gt;
						&lt;input class='col-md-10 form-control checkboxActive' type='checkbox' name='isManual'
						[checked]='_isManual'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CreateOrEditMstWptDailyWorkingTimeDto, MstWptDailyWorkingTimeServiceProxy } from '@shared/service-proxies/service-proxies';
import { BsDatepickerDirective } from 'ngx-bootstrap/datepicker';
@Component({
    selector: 'create-or-edit-dailyworkingtime-modal',
    templateUrl: './create-or-edit-dailyworkingtime-modal.component.html',
    styleUrls: ['./create-or-edit-dailyworkingtime-modal.component.less']
    })
export class CreateOrEditDailyWorkingTimeModalComponent extends AppComponentBase {
    @ViewChild('createOrEditModalDailyWorkingTime',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CreateOrEditMstWptDailyWorkingTimeDto = new CreateOrEditMstWptDailyWorkingTimeDto();
    active: boolean = false;
    saving: boolean = false;
    _isManual
isActive: boolean;
    constructor(
        injector: Injector,
        private _mstwptDailyWorkingTimeService: MstWptDailyWorkingTimeServiceProxy,
    ) 
    {
        super(injector);
    }
    show(rowdata?: CreateOrEditMstWptDailyWorkingTimeDto): void {
        if (!rowdata) this.rowdata = new CreateOrEditMstWptDailyWorkingTimeDto();
        else this.rowdata = rowdata;
		const dateValue =  this.rowdata.workingDate ? new Date(this.rowdata.workingDate?.toString()) : new Date();
		this.datepicker?.bsValueChange.emit(dateValue);
		const dateValue =  this.rowdata.fromTime ? new Date(this.rowdata.fromTime?.toString()) : new Date();
		this.datepicker?.bsValueChange.emit(dateValue);
		const dateValue =  this.rowdata.toTime ? new Date(this.rowdata.toTime?.toString()) : new Date();
		this.datepicker?.bsValueChange.emit(dateValue);
        this._isManual
isActive = (this.rowdata.isManual
isActive == "N")? false: true;
        this.active = true;
        this.modal.show();
    } 
    changeActive(event){
        this._isManual
isActive = event.target.checked;
    }
    save(): void {
    this.saving = true; 
    this.rowdata.isManual
isActive = (this._isManual
isActive == true) ? 'Y' : 'N'
    this._mstwptDailyWorkingTimeService.createOrEdit(this.rowdata)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DailyWorkingTimeRoutingModule } from './dailyworkingtime-routing.module';
import { DailyWorkingTimeComponent } from './dailyworkingtime.component';
import { CreateOrEditDailyWorkingTimeModalComponent } from './create-or-edit-dailyworkingtime-modal.component';
@NgModule({
    declarations: [
       DailyWorkingTimeComponent, 
        CreateOrEditDailyWorkingTimeModalComponent
    ],
    imports: [
        AppSharedModule, DailyWorkingTimeRoutingModule]
})
export class DailyWorkingTimeModule {}</v>
      </c>
      <c r="J45" s="49" t="str">
        <f>B.Frontend!O10</f>
        <v>import {NgModule} from '@angular/core';
import {RouterModule, Routes} from '@angular/router';
import { DailyWorkingTimeComponent } from './dailyworkingtime.component';
const routes: Routes = [{
    path: '',
    component: DailyWorkingTimeComponent,
    pathMatch: 'full'
}];
@NgModule({
    imports: [RouterModule.forChild(routes)],
    exports: [RouterModule],
})
export class DailyWorkingTimeRoutingModule {}</v>
      </c>
      <c r="K45" s="49" t="str">
        <f>B.Frontend!P10</f>
        <v xml:space="preserve"> new AppMenuItem("DailyWorkingTime", "Pages.Master.WorkingPattern.DailyWorkingTime", "flaticon-book",   "/app/main/master/workingpattern/dailyworkingtime"),</v>
      </c>
      <c r="L45" s="50" t="str">
        <f>B.Frontend!Q10</f>
        <v>{
    path: 'master/workingpattern/dailyworkingtime',
    loadChildren: () =&gt; import('./master/workingpattern/dailyworkingtime/dailyworkingtime.module').then(m =&gt; m.DailyWorkingTimeModule),
    data: { permission: 'Pages.Master.WorkingPattern.DailyWorkingTime' }
},</v>
      </c>
      <c r="M45" s="50" t="str">
        <f>B.Frontend!R10</f>
        <v>ApiServiceProxies.MstWptDailyWorkingTimeServiceProxy,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2"/>
  <sheetViews>
    <sheetView topLeftCell="A13" workbookViewId="0">
      <pane xSplit="1" topLeftCell="B1" activePane="topRight" state="frozen"/>
      <selection pane="topRight" activeCell="F9" sqref="F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287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288</v>
      </c>
      <c r="C3" s="10" t="s">
        <v>43</v>
      </c>
      <c r="D3" s="10" t="s">
        <v>44</v>
      </c>
      <c r="E3" s="10" t="s">
        <v>39</v>
      </c>
      <c r="F3" s="11" t="str">
        <f>"J"&amp;COUNTA($A:$A)</f>
        <v>J20</v>
      </c>
      <c r="G3" s="4" t="s">
        <v>57</v>
      </c>
      <c r="H3" s="10" t="str">
        <f>"I"&amp;COUNTA($A:$A)</f>
        <v>I20</v>
      </c>
      <c r="I3" s="10" t="str">
        <f>REPT(CHAR(9),2)&amp;"[Required]"&amp;"
"</f>
        <v xml:space="preserve">		[Required]
</v>
      </c>
      <c r="J3" s="11" t="str">
        <f>"L"&amp;COUNTA($A:$A)</f>
        <v>L20</v>
      </c>
      <c r="K3" s="5" t="s">
        <v>56</v>
      </c>
      <c r="L3" s="11" t="str">
        <f>"M"&amp;COUNTA($A:$A)</f>
        <v>M20</v>
      </c>
      <c r="M3" s="11" t="str">
        <f>"N"&amp;COUNTA($A:$A)</f>
        <v>N20</v>
      </c>
      <c r="N3" s="11" t="str">
        <f>"O"&amp;COUNTA($A:$A)</f>
        <v>O20</v>
      </c>
      <c r="O3" s="11" t="str">
        <f>"P"&amp;COUNTA($A:$A)</f>
        <v>P20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MstWptDailyWorkingTimeExportInput{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T20</v>
      </c>
      <c r="V3" s="11" t="str">
        <f>"V"&amp;COUNTA($A:$A)</f>
        <v>V20</v>
      </c>
      <c r="W3" s="10" t="str">
        <f>"W"&amp;COUNTA($A:$A)</f>
        <v>W20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MstWptDailyWorkingTime: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MstWptDailyWorkingTimeConsts	
	{
</v>
      </c>
      <c r="F6" s="11" t="str">
        <f>REPT(CHAR(9),1)&amp;"public class "&amp;B3&amp;"Dto"&amp;K3&amp;REPT(CHAR(9),1)&amp;"
"&amp;REPT(CHAR(9),1)&amp;C3</f>
        <v xml:space="preserve">	public class MstWptDailyWorkingTimeDto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CreateOrEditMstWptDailyWorkingTimeDto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GetMstWptDailyWorkingTimeInput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MstWptDailyWorkingTime</v>
      </c>
      <c r="C7" s="11" t="str">
        <f>REPT(CHAR(9),1)&amp;"[Table("""&amp;B7&amp;""")]"&amp;"
"</f>
        <v xml:space="preserve">	[Table("MstWptDailyWorkingTime")]
</v>
      </c>
      <c r="D7" s="11"/>
      <c r="E7" s="11"/>
      <c r="F7" s="11"/>
      <c r="G7" s="11"/>
      <c r="H7" s="11"/>
      <c r="I7" s="11"/>
      <c r="J7" s="6" t="str">
        <f ca="1">SUBSTITUTE(SUBSTITUTE((B1&amp;C6&amp;C7&amp;K22&amp;D6&amp;I22&amp;E3&amp;J22&amp;""&amp;REPT(CHAR(9),1)&amp;D3&amp;D3),"WorkingPattern",$Q$3),"Master",$B$4)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[Table("MstWptDailyWorkingTime")]
	[Index(nameof(ShiftNo), Name="IX_MstWptDailyWorkingTime_ShiftNo")]
	[Index(nameof(ShiftName), Name="IX_MstWptDailyWorkingTime_ShiftName")]
	[Index(nameof(ShopId), Name="IX_MstWptDailyWorkingTime_ShopId")]
	[Index(nameof(WorkingDate), Name="IX_MstWptDailyWorkingTime_WorkingDate")]
	[Index(nameof(WorkingType), Name="IX_MstWptDailyWorkingTime_WorkingType")]
	[Index(nameof(IsActive), Name="IX_MstWptDailyWorkingTime_IsActive")]	public class MstWptDailyWorkingTime: FullAuditedEntity&lt;long&gt;, IEntity&lt;long&gt;	
	{
		public const int MaxShiftNameLength = 40;
		public const int MaxDescriptionLength = 250;
		public const int MaxIsManualLength = 1;
		public const int MaxIsActiveLength = 1;
		public virtual int ShiftNo { get; set; }
		[StringLength(MaxShiftNameLength)]
		public virtual string ShiftName { get; set; }
		public virtual int ShopId { get; set; }
		[Column(TypeName="date")]
		public virtual DateTime WorkingDate { get; set; }
		public virtual TimeSpan StartTime { get; set; }
		public virtual TimeSpan EndTime { get; set; }
		public virtual int WorkingType { get; set; }
		[StringLength(MaxDescriptionLength)]
		public virtual string Description { get; set; }
		public virtual DateTime FromTime { get; set; }
		public virtual DateTime ToTime { get; set; }
		[StringLength(MaxIsManualLength)]
		public virtual string IsManual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DbSet&lt;MstWptDailyWorkingTime&gt; MstWptDailyWorkingTimes { get; set; }</v>
      </c>
      <c r="L7" t="str">
        <f ca="1">SUBSTITUTE(SUBSTITUTE((C6&amp;E6&amp;I22&amp;"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MstWptDailyWorkingTimeConsts	
	{
		public const int MaxShiftNameLength = 40;
		public const int MaxDescriptionLength = 250;
		public const int MaxIsManualLength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"&amp;B6&amp;".Dto"&amp;E3&amp;C3&amp;F6&amp;M22&amp;E3&amp;REPT(CHAR(9),1)&amp;D3&amp;G6&amp;N22&amp;REPT(CHAR(9),1)&amp;D3&amp;H6&amp;O22&amp;"
"&amp;REPT(CHAR(9),1)&amp;D3&amp;D3),"WorkingPattern",$Q$3),"Master",$B$4)</f>
        <v xml:space="preserve">using Abp.Application.Services.Dto;
using System;
using System.ComponentModel.DataAnnotations;
namespace vovina.Master.WorkingPattern.Dto
{
	public class MstWptDailyWorkingTimeDto : EntityDto&lt;long?&gt;	
	{
		public virtual int ShiftNo { get; set; }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	public class CreateOrEditMstWptDailyWorkingTimeDto : EntityDto&lt;long?&gt;	
	{
		public virtual int ShiftNo { get; set; }
		[StringLength(MstWptDailyWorkingTimeConsts.MaxShiftNameLength)]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[StringLength(MstWptDailyWorkingTimeConsts.MaxDescriptionLength)]
		public virtual string Description { get; set; }
		public virtual DateTime? FromTime { get; set; }
		public virtual DateTime? ToTime { get; set; }
		[StringLength(MstWptDailyWorkingTimeConsts.MaxIsManualLength)]
		public virtual string IsManual { get; set; }
		[StringLength(MstWptDailyWorkingTimeConsts.MaxIsActiveLength)]
		public virtual string IsActive { get; set; }
	}
	public class GetMstWptDailyWorkingTimeInput : PagedAndSortedResultRequestDto	
	{
		public virtual int ShiftNo { get; set; }
		public virtual string ShiftName { get; set; }
		public virtual int ShopId { get; set; }
		public virtual DateTime? WorkingDate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perMstWptDailyWorkingTime = PARENTS.CreateChildPermission(AppPermissions.Pages_Master_WorkingPattern_DailyWorkingTime, L( "MasterWorkingPatternDailyWorkingTime"));
		perMstWptDailyWorkingTime.CreateChildPermission(AppPermissions.Pages_Master_WorkingPattern_DailyWorkingTime_CreateEdit, L( "MasterWorkingPatternDailyWorkingTimeCreateEdit"));
		perMstWptDailyWorkingTime.CreateChildPermission(AppPermissions.Pages_Master_WorkingPattern_DailyWorkingTime_Delete, L( "MasterWorkingPatternDailyWorkingTimeDelete"));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Pages_Master_WorkingPattern_DailyWorkingTime = "Pages.Master.WorkingPattern.DailyWorkingTime";
		public const string Pages_Master_WorkingPattern_DailyWorkingTime_CreateEdit = "Pages.Master.WorkingPattern.DailyWorkingTime.CreateEdit";
		public const string Pages_Master_WorkingPattern_DailyWorkingTime_Delete = "Pages.Master.WorkingPattern.DailyWorkingTime.Delete";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IMstWptDailyWorkingTimeAppService : IApplicationService
	{
		Task&lt;PagedResultDto&lt;MstWptDailyWorkingTimeDto&gt;&gt; GetAll(GetMstWptDailyWorkingTimeInput input);
		Task CreateOrEdit(CreateOrEditMstWptDailyWorkingTimeDto input);
		Task Delete(EntityDto input);
	}
}
</v>
      </c>
      <c r="Q7" t="str">
        <f ca="1">SUBSTITUTE(SUBSTITUTE(SUBSTITUTE(SUBSTITUTE(SUBSTITUTE(SUBSTITUTE(E1,"MstWptCalendar",$B$3),"&lt;PROPERTIES&gt;",P22),"Calendar",$B$5),"WorkingPattern",$Q$3),"Master",$B$4),"&lt;PARAMS_SEARCH&gt;",$W$22)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[AbpAuthorize(AppPermissions.Pages_Master_WorkingPattern_DailyWorkingTime)]
    public class MstWptDailyWorkingTimeAppService : vovinaAppServiceBase, IMstWptDailyWorkingTimeAppService
    {
        private readonly IDapperRepository&lt;MstWptDailyWorkingTime, long&gt; _dapperRepo;
        private readonly IRepository&lt;MstWptDailyWorkingTime, long&gt; _repo;
        private readonly IMstWptDailyWorkingTimeExcelExporter _calendarListExcelExporter;
        public MstWptDailyWorkingTimeAppService(IRepository&lt;MstWptDailyWorkingTime,long&gt; repo, 
                                         IDapperRepository&lt;MstWptDailyWorkingTime,long&gt; dapperRepo,
                                        IMstWptDailyWorkingTimeExcelExporter calendarListExcelExporter
            )
        {
            _repo = repo;
            _dapperRepo = dapperRepo;
            _calendarListExcelExporter = calendarListExcelExporter;
        }
        [AbpAuthorize(AppPermissions.Pages_Master_WorkingPattern_DailyWorkingTime_CreateEdit)]
        public async Task CreateOrEdit(CreateOrEditMstWptDailyWorkingTimeDto input)
        {
            if (input.Id == null) await Create(input);
            else await Update(input);
        }
        //CREATE
        private async Task Create(CreateOrEditMstWptDailyWorkingTimeDto input)
        {          
            var mainObj = ObjectMapper.Map&lt;MstWptDailyWorkingTime&gt;(input);
            await CurrentUnitOfWork.GetDbContext&lt;vovinaDbContext&gt;().AddAsync(mainObj);
        }
        // EDIT
        private async Task Update(CreateOrEditMstWptDailyWorkingTimeDto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[AbpAuthorize(AppPermissions.Pages_Master_WorkingPattern_DailyWorkingTime_Delete)]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Task&lt;PagedResultDto&lt;MstWptDailyWorkingTimeDto&gt;&gt; GetAll(GetMstWptDailyWorkingTimeInput input)
        {
            var filtered = _repo.GetAll()
				.WhereIf(!string.IsNullOrWhiteSpace(input.ShiftName), e =&gt; e.ShiftName.Contains(input.ShiftName))
				.WhereIf(input.WorkingDate.HasValue, t =&gt; t.WorkingDate == input.WorkingDate.Value)
				.WhereIf(!string.IsNullOrWhiteSpace(input.Description), e =&gt; e.Description.Contains(input.Description))
				.WhereIf(input.FromTime.HasValue, t =&gt; t.FromTime == input.FromTime.Value)
				.WhereIf(input.ToTime.HasValue, t =&gt; t.ToTime == input.ToTime.Value)
				.WhereIf(!string.IsNullOrWhiteSpace(input.IsManual), e =&gt; e.IsManual.Contains(input.IsManual))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MstWptDailyWorkingTimeDto
                        {
							Id = o.Id,
							ShiftNo = o.ShiftNo,
							ShiftName = o.ShiftName,
							ShopId = o.ShopId,
							WorkingDate = o.WorkingDate,
							StartTime = o.StartTime,
							EndTime = o.EndTime,
							WorkingType = o.WorkingType,
							Description = o.Description,
							FromTime = o.FromTime,
							ToTime = o.ToTime,
							IsManual = o.IsManual,
							IsActive = o.IsActive,
                        };
            var totalCount = await filtered.CountAsync();
			var paged = system.PageBy(input);
            return new PagedResultDto&lt;MstWptDailyWorkingTimeDto&gt;(
                totalCount,
                 await paged.ToListAsync()
            );
        }
        public async Task&lt;FileDto&gt; GetDailyWorkingTimeToExcel(MstWptDailyWorkingTimeExportInput input)
        {
            var query = from o in _repo.GetAll()
                        select new MstWptDailyWorkingTimeDto
                        {
							Id = o.Id,
							ShiftNo = o.ShiftNo,
							ShiftName = o.ShiftName,
							ShopId = o.ShopId,
							WorkingDate = o.WorkingDate,
							StartTime = o.StartTime,
							EndTime = o.EndTime,
							WorkingType = o.WorkingType,
							Description = o.Description,
							FromTime = o.FromTime,
							ToTime = o.ToTime,
							IsManual = o.IsManual,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_dapperRepo.ExecuteAsync(MstWptDailyWorkingTimeConsts.SP_MST_WPT_CALENDAR_GENERATE);
       // }
    }
}</v>
      </c>
      <c r="R7" t="str">
        <f ca="1">SUBSTITUTE(SUBSTITUTE((C1&amp;"namespace "&amp;B6&amp;".Dto"&amp;E3&amp;C3&amp;R3&amp;M22&amp;E3&amp;REPT(CHAR(9),1)&amp;D3&amp;D3),"WorkingPattern",$Q$3),"Master",$B$4)</f>
        <v xml:space="preserve">using Abp.Application.Services.Dto;
using System;
using System.ComponentModel.DataAnnotations;
namespace vovina.Master.WorkingPattern.Dto
{
	public class MstWptDailyWorkingTimeExportInput{
		public virtual int ShiftNo { get; set; }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IMstWptDailyWorkingTimeExcelExporter : IApplicationService
	{
		FileDto ExportToFile(List&lt;MstWptDailyWorkingTimeDto&gt; mstwptdailyworkingtime);
	}
}
</v>
      </c>
      <c r="T7" s="28" t="str">
        <f ca="1">SUBSTITUTE(SUBSTITUTE(SUBSTITUTE(SUBSTITUTE(SUBSTITUTE(SUBSTITUTE(SUBSTITUTE(T1,"MstWptCalendar",$B$3),"&lt;PROPERTIES1&gt;",V22),"&lt;PROPERTIES&gt;",T22),"Calendar",$B$5),"calendar",LOWER(B5)),"WorkingPattern",$Q$3),"Master",$B$4)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MstWptDailyWorkingTimeExcelExporter : NpoiExcelExporterBase, IMstWptDailyWorkingTimeExcelExporter
    {
        public MstWptDailyWorkingTimeExcelExporter(ITempFileCacheManager tempFileCacheManager) : base(tempFileCacheManager) { }
        public FileDto ExportToFile(List&lt;MstWptDailyWorkingTimeDto&gt; dailyworkingtime)
        {
            return CreateExcelPackage(
				"MasterWorkingPatternDailyWorkingTime.xlsx",
				excelPackage =&gt;
				 {
					var sheet = excelPackage.CreateSheet("DailyWorkingTime");
					AddHeader(
								sheet,
								("ShiftNo"),
								("ShiftName"),
								("ShopId"),
								("WorkingDate"),
								("StartTime"),
								("EndTime"),
								("WorkingType"),
								("Description"),
								("FromTime"),
								("ToTime"),
								("IsManual"),
								("IsActive"),
							   );
					AddObjects(
						 sheet, 1, dailyworkingtime,                                       
								_ =&gt; _.ShiftNo,
								_ =&gt; _.ShiftName,
								_ =&gt; _.ShopId,
								_ =&gt; _.WorkingDate,
								_ =&gt; _.StartTime,
								_ =&gt; _.EndTime,
								_ =&gt; _.WorkingType,
								_ =&gt; _.Description,
								_ =&gt; _.FromTime,
								_ =&gt; _.ToTime,
								_ =&gt; _.IsManual,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configuration.CreateMap&lt;MstWptDailyWorkingTimeDto, MstWptDailyWorkingTime&gt;();
  configuration.CreateMap&lt;MstWptDailyWorkingTime, MstWptDailyWorkingTimeDto&gt;();
  configuration.CreateMap&lt;CreateOrEditMstWptDailyWorkingTimeDto, MstWptDailyWorkingTime&gt;();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271</v>
      </c>
      <c r="B9" t="s">
        <v>4</v>
      </c>
      <c r="C9" t="s">
        <v>1</v>
      </c>
      <c r="D9" t="str">
        <f>SUBSTITUTE(PROPER(A9),"_","")</f>
        <v>ShiftNo</v>
      </c>
      <c r="E9" t="str">
        <f t="shared" ref="E9:E16" si="0">IFERROR(LEFT(B9, FIND("(",B9)-1),B9)</f>
        <v>int</v>
      </c>
      <c r="F9" s="7"/>
      <c r="G9" t="str">
        <f t="shared" ref="G9:G16" si="1">IFERROR(MID(B9,FIND("(",B9) +1, FIND(")",B9) - FIND("(",B9) - 1),"")</f>
        <v/>
      </c>
      <c r="H9" t="str">
        <f>+VLOOKUP(E9,'Data Type Mapping'!A:B,2,)</f>
        <v>int</v>
      </c>
      <c r="I9" t="str">
        <f t="shared" ref="I9:I16" si="2">IF(H9="string",REPT(CHAR(9),2)&amp;"public const int Max"&amp;D9&amp;"Length = "&amp;G9&amp;";"&amp;$E$3,"" )</f>
        <v/>
      </c>
      <c r="J9" t="str">
        <f t="shared" ref="J9:J16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ShiftNo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[Index(nameof(ShiftNo), Name="IX_MstWptDailyWorkingTime_ShiftNo")]</v>
      </c>
      <c r="M9" t="str">
        <f>REPT(CHAR(9),2)&amp;"public virtual "&amp;IF(OR(H9="DateTime",H9="TimeSpan"),H9&amp;"?",H9)&amp;IF(C9="?","? "," ")&amp;D9&amp;" { get; set; }" &amp; "
"</f>
        <v xml:space="preserve">		public virtual int ShiftNo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ShiftNo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ShiftNo { get; set; }
</v>
      </c>
      <c r="P9" t="str">
        <f t="shared" ref="P9:P16" si="4">REPT(CHAR(9),7)&amp;D9&amp;" = o." &amp;D9 &amp;","</f>
        <v xml:space="preserve">							ShiftNo = o.ShiftNo,</v>
      </c>
      <c r="T9" s="69" t="str">
        <f>REPT(CHAR(9),8)&amp;"("""&amp;D9&amp;"""),"</f>
        <v xml:space="preserve">								("ShiftNo"),</v>
      </c>
      <c r="V9" s="70" t="str">
        <f>REPT(CHAR(9),8)&amp;"_ =&gt; _."&amp;D9&amp;","</f>
        <v xml:space="preserve">								_ =&gt; _.ShiftNo,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272</v>
      </c>
      <c r="B10" t="s">
        <v>273</v>
      </c>
      <c r="C10" t="s">
        <v>1</v>
      </c>
      <c r="D10" t="str">
        <f t="shared" ref="D10:D11" si="5">SUBSTITUTE(PROPER(A10),"_","")</f>
        <v>ShiftName</v>
      </c>
      <c r="E10" t="str">
        <f t="shared" ref="E10:E15" si="6">IFERROR(LEFT(B10, FIND("(",B10)-1),B10)</f>
        <v>varchar</v>
      </c>
      <c r="F10" s="7"/>
      <c r="G10" t="str">
        <f t="shared" ref="G10:G15" si="7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5" si="8">IF(H10="string",REPT(CHAR(9),2)&amp;"public const int Max"&amp;D10&amp;"Length = "&amp;G10&amp;";"&amp;$E$3,"" )</f>
        <v xml:space="preserve">		public const int MaxShiftNameLength = 40;
</v>
      </c>
      <c r="J10" t="str">
        <f t="shared" ref="J10:J15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[StringLength(MaxShiftNameLength)]
		public virtual string ShiftName { get; set; }
</v>
      </c>
      <c r="K10" s="7" t="s">
        <v>206</v>
      </c>
      <c r="L10" t="str">
        <f t="shared" ref="L10:L11" si="10">IF(K10="","",REPT(CHAR(9),1)&amp;"[Index(nameof("&amp;IF(D10="","",""&amp;D10)&amp;")"&amp;", Name="&amp;"""IX_"&amp;$B$7&amp;"_"&amp;D10&amp;""")]")</f>
        <v xml:space="preserve">	[Index(nameof(ShiftName), Name="IX_MstWptDailyWorkingTime_ShiftName")]</v>
      </c>
      <c r="M10" t="str">
        <f t="shared" ref="M10:M15" si="11">REPT(CHAR(9),2)&amp;"public virtual "&amp;IF(OR(H10="DateTime",H10="TimeSpan"),H10&amp;"?",H10)&amp;IF(C10="?","? "," ")&amp;D10&amp;" { get; set; }" &amp; "
"</f>
        <v xml:space="preserve">		public virtual string ShiftName { get; set; }
</v>
      </c>
      <c r="N10" t="str">
        <f t="shared" ref="N10:N15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[StringLength(MstWptDailyWorkingTimeConsts.MaxShiftNameLength)]
		public virtual string ShiftName { get; set; }
</v>
      </c>
      <c r="O10" t="str">
        <f t="shared" ref="O10:O15" si="13">IF(OR(H10="string",H10="DateTime",H10="int"),REPT(CHAR(9),2)&amp;"public virtual "&amp;IF(OR(H10="DateTime",H10="TimeSpan"),H10&amp;"?",H10)&amp;IF(C10="?","? "," ")&amp;D10&amp;" { get; set; }"&amp;$E$3,"")</f>
        <v xml:space="preserve">		public virtual string ShiftName { get; set; }
</v>
      </c>
      <c r="P10" t="str">
        <f t="shared" ref="P10:P15" si="14">REPT(CHAR(9),7)&amp;D10&amp;" = o." &amp;D10 &amp;","</f>
        <v xml:space="preserve">							ShiftName = o.ShiftName,</v>
      </c>
      <c r="T10" s="69" t="str">
        <f t="shared" ref="T10:T15" si="15">REPT(CHAR(9),8)&amp;"("""&amp;D10&amp;"""),"</f>
        <v xml:space="preserve">								("ShiftName"),</v>
      </c>
      <c r="V10" s="70" t="str">
        <f t="shared" ref="V10:V15" si="16">REPT(CHAR(9),8)&amp;"_ =&gt; _."&amp;D10&amp;","</f>
        <v xml:space="preserve">								_ =&gt; _.ShiftName,</v>
      </c>
      <c r="W10" s="69" t="str">
        <f t="shared" ref="W10:W15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.WhereIf(!string.IsNullOrWhiteSpace(input.ShiftName), e =&gt; e.ShiftName.Contains(input.ShiftName))</v>
      </c>
    </row>
    <row r="11" spans="1:23" customFormat="1" ht="18.75" customHeight="1" x14ac:dyDescent="0.25">
      <c r="A11" t="s">
        <v>274</v>
      </c>
      <c r="B11" t="s">
        <v>4</v>
      </c>
      <c r="C11" t="s">
        <v>1</v>
      </c>
      <c r="D11" t="str">
        <f t="shared" si="5"/>
        <v>ShopId</v>
      </c>
      <c r="E11" t="str">
        <f t="shared" si="6"/>
        <v>int</v>
      </c>
      <c r="F11" s="7"/>
      <c r="G11" t="str">
        <f t="shared" si="7"/>
        <v/>
      </c>
      <c r="H11" t="str">
        <f>+VLOOKUP(E11,'Data Type Mapping'!A:B,2,)</f>
        <v>int</v>
      </c>
      <c r="I11" t="str">
        <f t="shared" si="8"/>
        <v/>
      </c>
      <c r="J11" t="str">
        <f t="shared" si="9"/>
        <v xml:space="preserve">		public virtual int ShopId { get; set; }
</v>
      </c>
      <c r="K11" s="7" t="s">
        <v>206</v>
      </c>
      <c r="L11" t="str">
        <f t="shared" si="10"/>
        <v xml:space="preserve">	[Index(nameof(ShopId), Name="IX_MstWptDailyWorkingTime_ShopId")]</v>
      </c>
      <c r="M11" t="str">
        <f t="shared" si="11"/>
        <v xml:space="preserve">		public virtual int ShopId { get; set; }
</v>
      </c>
      <c r="N11" t="str">
        <f t="shared" si="12"/>
        <v xml:space="preserve">		public virtual int ShopId { get; set; }
</v>
      </c>
      <c r="O11" t="str">
        <f t="shared" si="13"/>
        <v xml:space="preserve">		public virtual int ShopId { get; set; }
</v>
      </c>
      <c r="P11" t="str">
        <f t="shared" si="14"/>
        <v xml:space="preserve">							ShopId = o.ShopId,</v>
      </c>
      <c r="T11" s="69" t="str">
        <f t="shared" si="15"/>
        <v xml:space="preserve">								("ShopId"),</v>
      </c>
      <c r="V11" s="70" t="str">
        <f t="shared" si="16"/>
        <v xml:space="preserve">								_ =&gt; _.ShopId,</v>
      </c>
      <c r="W11" s="69" t="str">
        <f t="shared" si="17"/>
        <v/>
      </c>
    </row>
    <row r="12" spans="1:23" customFormat="1" ht="22.5" customHeight="1" x14ac:dyDescent="0.25">
      <c r="A12" t="s">
        <v>275</v>
      </c>
      <c r="B12" t="s">
        <v>2</v>
      </c>
      <c r="C12" t="s">
        <v>1</v>
      </c>
      <c r="D12" t="str">
        <f>SUBSTITUTE(PROPER(A12),"_","")</f>
        <v>WorkingDate</v>
      </c>
      <c r="E12" t="str">
        <f t="shared" si="6"/>
        <v>date</v>
      </c>
      <c r="F12" s="7" t="s">
        <v>2</v>
      </c>
      <c r="G12" t="str">
        <f t="shared" si="7"/>
        <v/>
      </c>
      <c r="H12" t="str">
        <f>+VLOOKUP(E12,'Data Type Mapping'!A:B,2,)</f>
        <v>DateTime</v>
      </c>
      <c r="I12" t="str">
        <f t="shared" si="8"/>
        <v/>
      </c>
      <c r="J12" t="str">
        <f t="shared" si="9"/>
        <v xml:space="preserve">		[Column(TypeName="date")]
		public virtual DateTime WorkingDate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[Index(nameof(WorkingDate), Name="IX_MstWptDailyWorkingTime_WorkingDate")]</v>
      </c>
      <c r="M12" t="str">
        <f t="shared" si="11"/>
        <v xml:space="preserve">		public virtual DateTime? WorkingDate { get; set; }
</v>
      </c>
      <c r="N12" t="str">
        <f t="shared" si="12"/>
        <v xml:space="preserve">		public virtual DateTime? WorkingDate { get; set; }
</v>
      </c>
      <c r="O12" t="str">
        <f t="shared" si="13"/>
        <v xml:space="preserve">		public virtual DateTime? WorkingDate { get; set; }
</v>
      </c>
      <c r="P12" t="str">
        <f t="shared" si="14"/>
        <v xml:space="preserve">							WorkingDate = o.WorkingDate,</v>
      </c>
      <c r="T12" s="69" t="str">
        <f t="shared" si="15"/>
        <v xml:space="preserve">								("WorkingDate"),</v>
      </c>
      <c r="V12" s="70" t="str">
        <f t="shared" si="16"/>
        <v xml:space="preserve">								_ =&gt; _.WorkingDate,</v>
      </c>
      <c r="W12" s="69" t="str">
        <f t="shared" si="17"/>
        <v xml:space="preserve">				.WhereIf(input.WorkingDate.HasValue, t =&gt; t.WorkingDate == input.WorkingDate.Value)</v>
      </c>
    </row>
    <row r="13" spans="1:23" customFormat="1" ht="21" customHeight="1" x14ac:dyDescent="0.25">
      <c r="A13" t="s">
        <v>276</v>
      </c>
      <c r="B13" t="s">
        <v>277</v>
      </c>
      <c r="C13" t="s">
        <v>1</v>
      </c>
      <c r="D13" t="str">
        <f t="shared" ref="D13:D14" si="18">SUBSTITUTE(PROPER(A13),"_","")</f>
        <v>StartTime</v>
      </c>
      <c r="E13" t="str">
        <f t="shared" ref="E13:E14" si="19">IFERROR(LEFT(B13, FIND("(",B13)-1),B13)</f>
        <v>time</v>
      </c>
      <c r="F13" s="7"/>
      <c r="G13" t="str">
        <f t="shared" ref="G13:G14" si="20">IFERROR(MID(B13,FIND("(",B13) +1, FIND(")",B13) - FIND("(",B13) - 1),"")</f>
        <v>7</v>
      </c>
      <c r="H13" t="str">
        <f>+VLOOKUP(E13,'Data Type Mapping'!A:B,2,)</f>
        <v>TimeSpan</v>
      </c>
      <c r="I13" t="str">
        <f t="shared" ref="I13:I14" si="21">IF(H13="string",REPT(CHAR(9),2)&amp;"public const int Max"&amp;D13&amp;"Length = "&amp;G13&amp;";"&amp;$E$3,"" )</f>
        <v/>
      </c>
      <c r="J13" t="str">
        <f t="shared" ref="J13:J14" si="2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TimeSpan StartTime { get; set; }
</v>
      </c>
      <c r="K13" s="7"/>
      <c r="L13" t="str">
        <f t="shared" ref="L13:L14" si="23">IF(K13="","",REPT(CHAR(9),1)&amp;"[Index(nameof("&amp;IF(D13="","",""&amp;D13)&amp;")"&amp;", Name="&amp;"""IX_"&amp;$B$7&amp;"_"&amp;D13&amp;""")]")</f>
        <v/>
      </c>
      <c r="M13" t="str">
        <f t="shared" ref="M13:M14" si="24">REPT(CHAR(9),2)&amp;"public virtual "&amp;IF(OR(H13="DateTime",H13="TimeSpan"),H13&amp;"?",H13)&amp;IF(C13="?","? "," ")&amp;D13&amp;" { get; set; }" &amp; "
"</f>
        <v xml:space="preserve">		public virtual TimeSpan? StartTime { get; set; }
</v>
      </c>
      <c r="N13" t="str">
        <f t="shared" ref="N13:N14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TimeSpan? StartTime { get; set; }
</v>
      </c>
      <c r="O13" t="str">
        <f t="shared" ref="O13:O14" si="26">IF(OR(H13="string",H13="DateTime",H13="int"),REPT(CHAR(9),2)&amp;"public virtual "&amp;IF(OR(H13="DateTime",H13="TimeSpan"),H13&amp;"?",H13)&amp;IF(C13="?","? "," ")&amp;D13&amp;" { get; set; }"&amp;$E$3,"")</f>
        <v/>
      </c>
      <c r="P13" t="str">
        <f t="shared" ref="P13:P14" si="27">REPT(CHAR(9),7)&amp;D13&amp;" = o." &amp;D13 &amp;","</f>
        <v xml:space="preserve">							StartTime = o.StartTime,</v>
      </c>
      <c r="T13" s="69" t="str">
        <f t="shared" ref="T13:T14" si="28">REPT(CHAR(9),8)&amp;"("""&amp;D13&amp;"""),"</f>
        <v xml:space="preserve">								("StartTime"),</v>
      </c>
      <c r="V13" s="70" t="str">
        <f t="shared" ref="V13:V14" si="29">REPT(CHAR(9),8)&amp;"_ =&gt; _."&amp;D13&amp;","</f>
        <v xml:space="preserve">								_ =&gt; _.StartTime,</v>
      </c>
      <c r="W13" s="69" t="str">
        <f t="shared" ref="W13:W14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1" customHeight="1" x14ac:dyDescent="0.25">
      <c r="A14" t="s">
        <v>278</v>
      </c>
      <c r="B14" t="s">
        <v>277</v>
      </c>
      <c r="C14" t="s">
        <v>1</v>
      </c>
      <c r="D14" t="str">
        <f t="shared" si="18"/>
        <v>EndTime</v>
      </c>
      <c r="E14" t="str">
        <f t="shared" si="19"/>
        <v>time</v>
      </c>
      <c r="F14" s="7"/>
      <c r="G14" t="str">
        <f t="shared" si="20"/>
        <v>7</v>
      </c>
      <c r="H14" t="str">
        <f>+VLOOKUP(E14,'Data Type Mapping'!A:B,2,)</f>
        <v>TimeSpan</v>
      </c>
      <c r="I14" t="str">
        <f t="shared" si="21"/>
        <v/>
      </c>
      <c r="J14" t="str">
        <f t="shared" si="22"/>
        <v xml:space="preserve">		public virtual TimeSpan EndTime { get; set; }
</v>
      </c>
      <c r="K14" s="7"/>
      <c r="L14" t="str">
        <f t="shared" si="23"/>
        <v/>
      </c>
      <c r="M14" t="str">
        <f t="shared" si="24"/>
        <v xml:space="preserve">		public virtual TimeSpan? EndTime { get; set; }
</v>
      </c>
      <c r="N14" t="str">
        <f t="shared" si="25"/>
        <v xml:space="preserve">		public virtual TimeSpan? EndTime { get; set; }
</v>
      </c>
      <c r="O14" t="str">
        <f t="shared" si="26"/>
        <v/>
      </c>
      <c r="P14" t="str">
        <f t="shared" si="27"/>
        <v xml:space="preserve">							EndTime = o.EndTime,</v>
      </c>
      <c r="T14" s="69" t="str">
        <f t="shared" si="28"/>
        <v xml:space="preserve">								("EndTime"),</v>
      </c>
      <c r="V14" s="70" t="str">
        <f t="shared" si="29"/>
        <v xml:space="preserve">								_ =&gt; _.EndTime,</v>
      </c>
      <c r="W14" s="69" t="str">
        <f t="shared" si="30"/>
        <v/>
      </c>
    </row>
    <row r="15" spans="1:23" customFormat="1" ht="21" customHeight="1" x14ac:dyDescent="0.25">
      <c r="A15" t="s">
        <v>279</v>
      </c>
      <c r="B15" t="s">
        <v>4</v>
      </c>
      <c r="C15" t="s">
        <v>1</v>
      </c>
      <c r="D15" t="str">
        <f t="shared" ref="D15" si="31">SUBSTITUTE(PROPER(A15),"_","")</f>
        <v>WorkingType</v>
      </c>
      <c r="E15" t="str">
        <f t="shared" si="6"/>
        <v>int</v>
      </c>
      <c r="F15" s="7"/>
      <c r="G15" t="str">
        <f t="shared" si="7"/>
        <v/>
      </c>
      <c r="H15" t="str">
        <f>+VLOOKUP(E15,'Data Type Mapping'!A:B,2,)</f>
        <v>int</v>
      </c>
      <c r="I15" t="str">
        <f t="shared" si="8"/>
        <v/>
      </c>
      <c r="J15" t="str">
        <f t="shared" si="9"/>
        <v xml:space="preserve">		public virtual int WorkingType { get; set; }
</v>
      </c>
      <c r="K15" s="7" t="s">
        <v>206</v>
      </c>
      <c r="L15" t="str">
        <f t="shared" ref="L15" si="32">IF(K15="","",REPT(CHAR(9),1)&amp;"[Index(nameof("&amp;IF(D15="","",""&amp;D15)&amp;")"&amp;", Name="&amp;"""IX_"&amp;$B$7&amp;"_"&amp;D15&amp;""")]")</f>
        <v xml:space="preserve">	[Index(nameof(WorkingType), Name="IX_MstWptDailyWorkingTime_WorkingType")]</v>
      </c>
      <c r="M15" t="str">
        <f t="shared" si="11"/>
        <v xml:space="preserve">		public virtual int WorkingType { get; set; }
</v>
      </c>
      <c r="N15" t="str">
        <f t="shared" si="12"/>
        <v xml:space="preserve">		public virtual int WorkingType { get; set; }
</v>
      </c>
      <c r="O15" t="str">
        <f t="shared" si="13"/>
        <v xml:space="preserve">		public virtual int WorkingType { get; set; }
</v>
      </c>
      <c r="P15" t="str">
        <f t="shared" si="14"/>
        <v xml:space="preserve">							WorkingType = o.WorkingType,</v>
      </c>
      <c r="T15" s="69" t="str">
        <f t="shared" si="15"/>
        <v xml:space="preserve">								("WorkingType"),</v>
      </c>
      <c r="V15" s="70" t="str">
        <f t="shared" si="16"/>
        <v xml:space="preserve">								_ =&gt; _.WorkingType,</v>
      </c>
      <c r="W15" s="69" t="str">
        <f t="shared" si="17"/>
        <v/>
      </c>
    </row>
    <row r="16" spans="1:23" customFormat="1" ht="21" customHeight="1" x14ac:dyDescent="0.25">
      <c r="A16" t="s">
        <v>280</v>
      </c>
      <c r="B16" t="s">
        <v>281</v>
      </c>
      <c r="C16" t="s">
        <v>1</v>
      </c>
      <c r="D16" t="str">
        <f t="shared" ref="D16" si="33">SUBSTITUTE(PROPER(A16),"_","")</f>
        <v>Description</v>
      </c>
      <c r="E16" t="str">
        <f t="shared" si="0"/>
        <v>nvarchar</v>
      </c>
      <c r="F16" s="7"/>
      <c r="G16" t="str">
        <f t="shared" si="1"/>
        <v>250</v>
      </c>
      <c r="H16" t="str">
        <f>+VLOOKUP(E16,'Data Type Mapping'!A:B,2,)</f>
        <v>string</v>
      </c>
      <c r="I16" t="str">
        <f t="shared" si="2"/>
        <v xml:space="preserve">		public const int MaxDescriptionLength = 250;
</v>
      </c>
      <c r="J16" t="str">
        <f t="shared" si="3"/>
        <v xml:space="preserve">		[StringLength(MaxDescriptionLength)]
		public virtual string Description { get; set; }
</v>
      </c>
      <c r="K16" s="7"/>
      <c r="L16" t="str">
        <f t="shared" ref="L16" si="34">IF(K16="","",REPT(CHAR(9),1)&amp;"[Index(nameof("&amp;IF(D16="","",""&amp;D16)&amp;")"&amp;", Name="&amp;"""IX_"&amp;$B$7&amp;"_"&amp;D16&amp;""")]")</f>
        <v/>
      </c>
      <c r="M16" t="str">
        <f t="shared" ref="M16:M19" si="35">REPT(CHAR(9),2)&amp;"public virtual "&amp;IF(OR(H16="DateTime",H16="TimeSpan"),H16&amp;"?",H16)&amp;IF(C16="?","? "," ")&amp;D16&amp;" { get; set; }" &amp; "
"</f>
        <v xml:space="preserve">		public virtual string Description { get; set; }
</v>
      </c>
      <c r="N16" t="str">
        <f t="shared" ref="N16:N19" si="3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[StringLength(MstWptDailyWorkingTimeConsts.MaxDescriptionLength)]
		public virtual string Description { get; set; }
</v>
      </c>
      <c r="O16" t="str">
        <f t="shared" ref="O16:O19" si="37">IF(OR(H16="string",H16="DateTime",H16="int"),REPT(CHAR(9),2)&amp;"public virtual "&amp;IF(OR(H16="DateTime",H16="TimeSpan"),H16&amp;"?",H16)&amp;IF(C16="?","? "," ")&amp;D16&amp;" { get; set; }"&amp;$E$3,"")</f>
        <v xml:space="preserve">		public virtual string Description { get; set; }
</v>
      </c>
      <c r="P16" t="str">
        <f t="shared" si="4"/>
        <v xml:space="preserve">							Description = o.Description,</v>
      </c>
      <c r="T16" s="69" t="str">
        <f t="shared" ref="T16:T19" si="38">REPT(CHAR(9),8)&amp;"("""&amp;D16&amp;"""),"</f>
        <v xml:space="preserve">								("Description"),</v>
      </c>
      <c r="V16" s="70" t="str">
        <f t="shared" ref="V16:V19" si="39">REPT(CHAR(9),8)&amp;"_ =&gt; _."&amp;D16&amp;","</f>
        <v xml:space="preserve">								_ =&gt; _.Description,</v>
      </c>
      <c r="W16" s="69" t="str">
        <f t="shared" ref="W16:W19" si="40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.WhereIf(!string.IsNullOrWhiteSpace(input.Description), e =&gt; e.Description.Contains(input.Description))</v>
      </c>
    </row>
    <row r="17" spans="1:23" customFormat="1" ht="22.5" customHeight="1" x14ac:dyDescent="0.25">
      <c r="A17" t="s">
        <v>284</v>
      </c>
      <c r="B17" t="s">
        <v>3</v>
      </c>
      <c r="C17" t="s">
        <v>1</v>
      </c>
      <c r="D17" t="str">
        <f>SUBSTITUTE(PROPER(A17),"_","")</f>
        <v>FromTime</v>
      </c>
      <c r="E17" t="str">
        <f t="shared" ref="E17:E19" si="41">IFERROR(LEFT(B17, FIND("(",B17)-1),B17)</f>
        <v>datetime</v>
      </c>
      <c r="F17" s="7"/>
      <c r="G17" t="str">
        <f t="shared" ref="G17:G19" si="42">IFERROR(MID(B17,FIND("(",B17) +1, FIND(")",B17) - FIND("(",B17) - 1),"")</f>
        <v/>
      </c>
      <c r="H17" t="str">
        <f>+VLOOKUP(E17,'Data Type Mapping'!A:B,2,)</f>
        <v>DateTime</v>
      </c>
      <c r="I17" t="str">
        <f t="shared" ref="I17:I19" si="43">IF(H17="string",REPT(CHAR(9),2)&amp;"public const int Max"&amp;D17&amp;"Length = "&amp;G17&amp;";"&amp;$E$3,"" )</f>
        <v/>
      </c>
      <c r="J17" t="str">
        <f t="shared" ref="J17:J19" si="44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DateTime FromTime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si="35"/>
        <v xml:space="preserve">		public virtual DateTime? FromTime { get; set; }
</v>
      </c>
      <c r="N17" t="str">
        <f t="shared" si="36"/>
        <v xml:space="preserve">		public virtual DateTime? FromTime { get; set; }
</v>
      </c>
      <c r="O17" t="str">
        <f t="shared" si="37"/>
        <v xml:space="preserve">		public virtual DateTime? FromTime { get; set; }
</v>
      </c>
      <c r="P17" t="str">
        <f t="shared" ref="P17:P19" si="45">REPT(CHAR(9),7)&amp;D17&amp;" = o." &amp;D17 &amp;","</f>
        <v xml:space="preserve">							FromTime = o.FromTime,</v>
      </c>
      <c r="T17" s="69" t="str">
        <f t="shared" si="38"/>
        <v xml:space="preserve">								("FromTime"),</v>
      </c>
      <c r="V17" s="70" t="str">
        <f t="shared" si="39"/>
        <v xml:space="preserve">								_ =&gt; _.FromTime,</v>
      </c>
      <c r="W17" s="69" t="str">
        <f t="shared" si="40"/>
        <v xml:space="preserve">				.WhereIf(input.FromTime.HasValue, t =&gt; t.FromTime == input.FromTime.Value)</v>
      </c>
    </row>
    <row r="18" spans="1:23" customFormat="1" ht="21" customHeight="1" x14ac:dyDescent="0.25">
      <c r="A18" t="s">
        <v>285</v>
      </c>
      <c r="B18" t="s">
        <v>3</v>
      </c>
      <c r="C18" t="s">
        <v>1</v>
      </c>
      <c r="D18" t="str">
        <f t="shared" ref="D18:D19" si="46">SUBSTITUTE(PROPER(A18),"_","")</f>
        <v>ToTime</v>
      </c>
      <c r="E18" t="str">
        <f t="shared" si="41"/>
        <v>datetime</v>
      </c>
      <c r="F18" s="7"/>
      <c r="G18" t="str">
        <f t="shared" si="42"/>
        <v/>
      </c>
      <c r="H18" t="str">
        <f>+VLOOKUP(E18,'Data Type Mapping'!A:B,2,)</f>
        <v>DateTime</v>
      </c>
      <c r="I18" t="str">
        <f t="shared" si="43"/>
        <v/>
      </c>
      <c r="J18" t="str">
        <f t="shared" si="44"/>
        <v xml:space="preserve">		public virtual DateTime ToTime { get; set; }
</v>
      </c>
      <c r="K18" s="7"/>
      <c r="L18" t="str">
        <f t="shared" ref="L18:L19" si="47">IF(K18="","",REPT(CHAR(9),1)&amp;"[Index(nameof("&amp;IF(D18="","",""&amp;D18)&amp;")"&amp;", Name="&amp;"""IX_"&amp;$B$7&amp;"_"&amp;D18&amp;""")]")</f>
        <v/>
      </c>
      <c r="M18" t="str">
        <f t="shared" si="35"/>
        <v xml:space="preserve">		public virtual DateTime? ToTime { get; set; }
</v>
      </c>
      <c r="N18" t="str">
        <f t="shared" si="36"/>
        <v xml:space="preserve">		public virtual DateTime? ToTime { get; set; }
</v>
      </c>
      <c r="O18" t="str">
        <f t="shared" si="37"/>
        <v xml:space="preserve">		public virtual DateTime? ToTime { get; set; }
</v>
      </c>
      <c r="P18" t="str">
        <f t="shared" si="45"/>
        <v xml:space="preserve">							ToTime = o.ToTime,</v>
      </c>
      <c r="T18" s="69" t="str">
        <f t="shared" si="38"/>
        <v xml:space="preserve">								("ToTime"),</v>
      </c>
      <c r="V18" s="70" t="str">
        <f t="shared" si="39"/>
        <v xml:space="preserve">								_ =&gt; _.ToTime,</v>
      </c>
      <c r="W18" s="69" t="str">
        <f t="shared" si="40"/>
        <v xml:space="preserve">				.WhereIf(input.ToTime.HasValue, t =&gt; t.ToTime == input.ToTime.Value)</v>
      </c>
    </row>
    <row r="19" spans="1:23" customFormat="1" ht="18.75" customHeight="1" x14ac:dyDescent="0.25">
      <c r="A19" t="s">
        <v>286</v>
      </c>
      <c r="B19" t="s">
        <v>283</v>
      </c>
      <c r="C19" t="s">
        <v>1</v>
      </c>
      <c r="D19" t="str">
        <f t="shared" si="46"/>
        <v>IsManual</v>
      </c>
      <c r="E19" t="str">
        <f t="shared" si="41"/>
        <v>varchar</v>
      </c>
      <c r="F19" s="7"/>
      <c r="G19" t="str">
        <f t="shared" si="42"/>
        <v>1</v>
      </c>
      <c r="H19" t="str">
        <f>+VLOOKUP(E19,'Data Type Mapping'!A:B,2,)</f>
        <v>string</v>
      </c>
      <c r="I19" t="str">
        <f t="shared" si="43"/>
        <v xml:space="preserve">		public const int MaxIsManualLength = 1;
</v>
      </c>
      <c r="J19" t="str">
        <f t="shared" si="44"/>
        <v xml:space="preserve">		[StringLength(MaxIsManualLength)]
		public virtual string IsManual { get; set; }
</v>
      </c>
      <c r="K19" s="7"/>
      <c r="L19" t="str">
        <f t="shared" si="47"/>
        <v/>
      </c>
      <c r="M19" t="str">
        <f t="shared" si="35"/>
        <v xml:space="preserve">		public virtual string IsManual { get; set; }
</v>
      </c>
      <c r="N19" t="str">
        <f t="shared" si="36"/>
        <v xml:space="preserve">		[StringLength(MstWptDailyWorkingTimeConsts.MaxIsManualLength)]
		public virtual string IsManual { get; set; }
</v>
      </c>
      <c r="O19" t="str">
        <f t="shared" si="37"/>
        <v xml:space="preserve">		public virtual string IsManual { get; set; }
</v>
      </c>
      <c r="P19" t="str">
        <f t="shared" si="45"/>
        <v xml:space="preserve">							IsManual = o.IsManual,</v>
      </c>
      <c r="T19" s="69" t="str">
        <f t="shared" si="38"/>
        <v xml:space="preserve">								("IsManual"),</v>
      </c>
      <c r="V19" s="70" t="str">
        <f t="shared" si="39"/>
        <v xml:space="preserve">								_ =&gt; _.IsManual,</v>
      </c>
      <c r="W19" s="69" t="str">
        <f t="shared" si="40"/>
        <v xml:space="preserve">				.WhereIf(!string.IsNullOrWhiteSpace(input.IsManual), e =&gt; e.IsManual.Contains(input.IsManual))</v>
      </c>
    </row>
    <row r="20" spans="1:23" customFormat="1" ht="18.75" customHeight="1" x14ac:dyDescent="0.25">
      <c r="A20" t="s">
        <v>282</v>
      </c>
      <c r="B20" t="s">
        <v>283</v>
      </c>
      <c r="C20" t="s">
        <v>1</v>
      </c>
      <c r="D20" t="str">
        <f>SUBSTITUTE(PROPER(A20),"_","")</f>
        <v>IsActive</v>
      </c>
      <c r="E20" t="str">
        <f>IFERROR(LEFT(B20, FIND("(",B20)-1),B20)</f>
        <v>varchar</v>
      </c>
      <c r="F20" s="7"/>
      <c r="G20" t="str">
        <f>IFERROR(MID(B20,FIND("(",B20) +1, FIND(")",B20) - FIND("(",B20) - 1),"")</f>
        <v>1</v>
      </c>
      <c r="H20" t="str">
        <f>+VLOOKUP(E20,'Data Type Mapping'!A:B,2,)</f>
        <v>string</v>
      </c>
      <c r="I20" t="str">
        <f>IF(H20="string",REPT(CHAR(9),2)&amp;"public const int Max"&amp;D20&amp;"Length = "&amp;G20&amp;";"&amp;$E$3,"" )</f>
        <v xml:space="preserve">		public const int MaxIsActiveLength = 1;
</v>
      </c>
      <c r="J20" t="str">
        <f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[StringLength(MaxIsActiveLength)]
		public virtual string IsActive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[Index(nameof(IsActive), Name="IX_MstWptDailyWorkingTime_IsActive")]</v>
      </c>
      <c r="M20" t="str">
        <f>REPT(CHAR(9),2)&amp;"public virtual "&amp;IF(OR(H20="DateTime",H20="TimeSpan"),H20&amp;"?",H20)&amp;IF(C20="?","? "," ")&amp;D20&amp;" { get; set; }" &amp; "
"</f>
        <v xml:space="preserve">		public virtual string IsActive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[StringLength(MstWptDailyWorkingTimeConsts.MaxIsActiveLength)]
		public virtual string IsActive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 xml:space="preserve">		public virtual string IsActive { get; set; }
</v>
      </c>
      <c r="P20" t="str">
        <f>REPT(CHAR(9),7)&amp;D20&amp;" = o." &amp;D20 &amp;","</f>
        <v xml:space="preserve">							IsActive = o.IsActive,</v>
      </c>
      <c r="T20" s="69" t="str">
        <f>REPT(CHAR(9),8)&amp;"("""&amp;D20&amp;"""),"</f>
        <v xml:space="preserve">								("IsActive"),</v>
      </c>
      <c r="V20" s="70" t="str">
        <f>REPT(CHAR(9),8)&amp;"_ =&gt; _."&amp;D20&amp;","</f>
        <v xml:space="preserve">								_ =&gt; _.IsActive,</v>
      </c>
      <c r="W20" s="69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.WhereIf(!string.IsNullOrWhiteSpace(input.IsActive), e =&gt; e.IsActive.Contains(input.IsActive))</v>
      </c>
    </row>
    <row r="22" spans="1:23" ht="45.75" customHeight="1" x14ac:dyDescent="0.25">
      <c r="H22" s="12"/>
      <c r="I22" s="34" t="str">
        <f ca="1">TEXTJOIN2("
", TRUE,INDIRECT( $H$1):INDIRECT( $H$3))</f>
        <v xml:space="preserve">		public const int MaxShiftNameLength = 40;
		public const int MaxDescriptionLength = 250;
		public const int MaxIsManualLength = 1;
		public const int MaxIsActiveLength = 1;
</v>
      </c>
      <c r="J22" s="33" t="str">
        <f ca="1">TEXTJOIN2("
", TRUE,INDIRECT( $F$1):INDIRECT( $F$3))</f>
        <v xml:space="preserve">		public virtual int ShiftNo { get; set; }
		[StringLength(MaxShiftNameLength)]
		public virtual string ShiftName { get; set; }
		public virtual int ShopId { get; set; }
		[Column(TypeName="date")]
		public virtual DateTime WorkingDate { get; set; }
		public virtual TimeSpan StartTime { get; set; }
		public virtual TimeSpan EndTime { get; set; }
		public virtual int WorkingType { get; set; }
		[StringLength(MaxDescriptionLength)]
		public virtual string Description { get; set; }
		public virtual DateTime FromTime { get; set; }
		public virtual DateTime ToTime { get; set; }
		[StringLength(MaxIsManualLength)]
		public virtual string IsManual { get; set; }
		[StringLength(MaxIsActiveLength)]
		public virtual string IsActive { get; set; }
</v>
      </c>
      <c r="K22" s="35" t="str">
        <f ca="1">TEXTJOIN2("
", TRUE,INDIRECT( $J$1):INDIRECT( $J$3))</f>
        <v xml:space="preserve">	[Index(nameof(ShiftNo), Name="IX_MstWptDailyWorkingTime_ShiftNo")]
	[Index(nameof(ShiftName), Name="IX_MstWptDailyWorkingTime_ShiftName")]
	[Index(nameof(ShopId), Name="IX_MstWptDailyWorkingTime_ShopId")]
	[Index(nameof(WorkingDate), Name="IX_MstWptDailyWorkingTime_WorkingDate")]
	[Index(nameof(WorkingType), Name="IX_MstWptDailyWorkingTime_WorkingType")]
	[Index(nameof(IsActive), Name="IX_MstWptDailyWorkingTime_IsActive")]</v>
      </c>
      <c r="L22" s="13" t="s">
        <v>60</v>
      </c>
      <c r="M22" s="36" t="str">
        <f ca="1">TEXTJOIN2("
",TRUE,INDIRECT( $L$1):INDIRECT($L$3))</f>
        <v xml:space="preserve">		public virtual int ShiftNo { get; set; }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</v>
      </c>
      <c r="N22" s="33" t="str">
        <f ca="1">TEXTJOIN2("
",TRUE,INDIRECT( $M$1):INDIRECT($M$3))</f>
        <v xml:space="preserve">		public virtual int ShiftNo { get; set; }
		[StringLength(MstWptDailyWorkingTimeConsts.MaxShiftNameLength)]
		public virtual string ShiftName { get; set; }
		public virtual int ShopId { get; set; }
		public virtual DateTime? WorkingDate { get; set; }
		public virtual TimeSpan? StartTime { get; set; }
		public virtual TimeSpan? EndTime { get; set; }
		public virtual int WorkingType { get; set; }
		[StringLength(MstWptDailyWorkingTimeConsts.MaxDescriptionLength)]
		public virtual string Description { get; set; }
		public virtual DateTime? FromTime { get; set; }
		public virtual DateTime? ToTime { get; set; }
		[StringLength(MstWptDailyWorkingTimeConsts.MaxIsManualLength)]
		public virtual string IsManual { get; set; }
		[StringLength(MstWptDailyWorkingTimeConsts.MaxIsActiveLength)]
		public virtual string IsActive { get; set; }
</v>
      </c>
      <c r="O22" s="33" t="str">
        <f ca="1">TEXTJOIN2("
",TRUE,INDIRECT( $N$1):INDIRECT($N$3))</f>
        <v xml:space="preserve">		public virtual int ShiftNo { get; set; }
		public virtual string ShiftName { get; set; }
		public virtual int ShopId { get; set; }
		public virtual DateTime? WorkingDate { get; set; }
		public virtual int WorkingType { get; set; }
		public virtual string Description { get; set; }
		public virtual DateTime? FromTime { get; set; }
		public virtual DateTime? ToTime { get; set; }
		public virtual string IsManual { get; set; }
		public virtual string IsActive { get; set; }
</v>
      </c>
      <c r="P22" s="9" t="str">
        <f ca="1">TEXTJOIN2("
",TRUE,INDIRECT( $O$1):INDIRECT($O$3))</f>
        <v xml:space="preserve">							ShiftNo = o.ShiftNo,
							ShiftName = o.ShiftName,
							ShopId = o.ShopId,
							WorkingDate = o.WorkingDate,
							StartTime = o.StartTime,
							EndTime = o.EndTime,
							WorkingType = o.WorkingType,
							Description = o.Description,
							FromTime = o.FromTime,
							ToTime = o.ToTime,
							IsManual = o.IsManual,
							IsActive = o.IsActive,</v>
      </c>
      <c r="T22" s="9" t="str">
        <f ca="1">TEXTJOIN2("
",TRUE,INDIRECT( $T$2):INDIRECT($T$3))</f>
        <v xml:space="preserve">								("ShiftNo"),
								("ShiftName"),
								("ShopId"),
								("WorkingDate"),
								("StartTime"),
								("EndTime"),
								("WorkingType"),
								("Description"),
								("FromTime"),
								("ToTime"),
								("IsManual"),
								("IsActive"),</v>
      </c>
      <c r="V22" s="9" t="str">
        <f ca="1">TEXTJOIN2("
",TRUE,INDIRECT( $V$2):INDIRECT($V$3))</f>
        <v xml:space="preserve">								_ =&gt; _.ShiftNo,
								_ =&gt; _.ShiftName,
								_ =&gt; _.ShopId,
								_ =&gt; _.WorkingDate,
								_ =&gt; _.StartTime,
								_ =&gt; _.EndTime,
								_ =&gt; _.WorkingType,
								_ =&gt; _.Description,
								_ =&gt; _.FromTime,
								_ =&gt; _.ToTime,
								_ =&gt; _.IsManual,
								_ =&gt; _.IsActive,</v>
      </c>
      <c r="W22" s="9" t="str">
        <f ca="1">TEXTJOIN2("
",TRUE,INDIRECT( $W$2):INDIRECT($W$3))</f>
        <v xml:space="preserve">				.WhereIf(!string.IsNullOrWhiteSpace(input.ShiftName), e =&gt; e.ShiftName.Contains(input.ShiftName))
				.WhereIf(input.WorkingDate.HasValue, t =&gt; t.WorkingDate == input.WorkingDate.Value)
				.WhereIf(!string.IsNullOrWhiteSpace(input.Description), e =&gt; e.Description.Contains(input.Description))
				.WhereIf(input.FromTime.HasValue, t =&gt; t.FromTime == input.FromTime.Value)
				.WhereIf(input.ToTime.HasValue, t =&gt; t.ToTime == input.ToTime.Value)
				.WhereIf(!string.IsNullOrWhiteSpace(input.IsManual), e =&gt; e.IsManual.Contains(input.IsManual))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9"/>
  <sheetViews>
    <sheetView tabSelected="1" topLeftCell="A10" workbookViewId="0">
      <selection activeCell="G15" sqref="G15:G2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290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MstWptDailyWorkingTime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DailyWorkingTime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dailyworkingtime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262</v>
      </c>
      <c r="I9" s="46" t="s">
        <v>256</v>
      </c>
      <c r="J9" s="45" t="s">
        <v>219</v>
      </c>
      <c r="K9" s="47" t="s">
        <v>257</v>
      </c>
      <c r="L9" s="46" t="s">
        <v>261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MstWptDailyWorkingTimeDto, MstWptDailyWorkingTimeServiceProxy } from '@shared/service-proxies/service-proxies';
import { finalize } from 'rxjs/internal/operators/finalize';
import { CreateOrEditDailyWorkingTimeModalComponent } from './create-or-edit-dailyworkingtime-modal.component';
import { DatePipe } from '@angular/common';
import { FileDownloadService } from '@shared/utils/file-download.service';
import ceil from 'lodash-es/ceil';
import { Paginator } from 'primeng/paginator';
@Component({
    templateUrl: './dailyworkingtime.component.html',
    styleUrls: ['./dailyworkingtime.component.less'],
})
export class DailyWorkingTimeComponent extends AppComponentBase implements OnInit {
    @ViewChild('createOrEditModalDailyWorkingTime', { static: true }) createOrEditModalDailyWorkingTime:| CreateOrEditDailyWorkingTimeModalComponent|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MstWptDailyWorkingTimeDto = new MstWptDailyWorkingTimeDto();
    saveSelectedRow: MstWptDailyWorkingTimeDto = new MstWptDailyWorkingTimeDto();
    datas: MstWptDailyWorkingTimeDto = new MstWptDailyWorkingTimeDto();
    isLoading: boolean = false;
    dataParams: GridParams | undefined;
    rowData: any[] = [];
    gridApi!: GridApi;
    rowSelection = 'multiple';
    filter: string = '';
	pipe = new DatePipe('en-US');
    shiftNo : number = 0 ;
	shiftName : string = '' ; 
	shopId : number = 0 ;
	workingDate : any ;
	startTime : any ;
	endTime : any ;
	workingType : number = 0 ;
	description : string = '' ; 
	fromTime : any ;
	toTime : any ;
	isManual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MstWptDailyWorkingTimeServiceProxy,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this.l('Shift No'),headerTooltip: this.l('Shift No'),field: 'shiftNo',flex: 1},
			{headerName: this.l('Shift Name'),headerTooltip: this.l('Shift Name'),field: 'shiftName',flex: 1},
			{headerName: this.l('Shop Id'),headerTooltip: this.l('Shop Id'),field: 'shopId',flex: 1},
			{headerName: this.l('Working Date'),headerTooltip: this.l('Working Date'),field: 'workingDate',valueGetter: (params) =&gt; this.pipe.transform(params.data?.workingDate, 'dd/MM/yyyy'),flex: 1},
			{headerName: this.l('Start Time'),headerTooltip: this.l('Start Time'),field: 'startTime',flex: 1},
			{headerName: this.l('End Time'),headerTooltip: this.l('End Time'),field: 'endTime',flex: 1},
			{headerName: this.l('Working Type'),headerTooltip: this.l('Working Type'),field: 'workingType',flex: 1},
			{headerName: this.l('Description'),headerTooltip: this.l('Description'),field: 'description',flex: 1},
			{headerName: this.l('From Time'),headerTooltip: this.l('From Time'),field: 'fromTime',valueGetter: (params) =&gt; this.pipe.transform(params.data?.fromTime, 'dd/MM/yyyy'),flex: 1},
			{headerName: this.l('To Time'),headerTooltip: this.l('To Time'),field: 'toTime',valueGetter: (params) =&gt; this.pipe.transform(params.data?.toTime, 'dd/MM/yyyy'),flex: 1},
			{headerName: this.l('Is Manual'),headerTooltip: this.l('Is Manual'),field: 'isManual',flex: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this.shiftNo,
			this.shiftName,
			this.shopId,
			this.workingDate,
			this.startTime,
			this.endTime,
			this.workingType,
			this.description,
			this.fromTime,
			this.toTime,
			this.isManual,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this.shiftNo = 0,
		this.shiftName = '',
		this.shopId = 0,
		this.workingDate = '',
		this.startTime = '',
		this.endTime = '',
		this.workingType = 0,
		this.description = '',
		this.fromTime = '',
		this.toTime = '',
		this.isManual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this.shiftNo,
			this.shiftName,
			this.shopId,
			this.workingDate,
			this.startTime,
			this.endTime,
			this.workingType,
			this.description,
			this.fromTime,
			this.toTime,
			this.isManual,
			this.isActive,
			'',
            this.paginationParams.skipCount,
            this.paginationParams.pageSize
        );
    }
    onChangeRowSelection(params: { api: { getSelectedRows: () =&gt; MstWptDailyWorkingTimeDto[] } }) {
        this.saveSelectedRow = params.api.getSelectedRows()[0] ?? new MstWptDailyWorkingTimeDto();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MstWptDailyWorkingTimeDto):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this._service.getDailyWorkingTimeToExcel(
			this.shiftNo,
			this.shiftName,
			this.shopId,
			this.workingDate,
			this.startTime,
			this.endTime,
			this.workingType,
			this.description,
			this.fromTime,
			this.toTime,
			this.isManual,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Daily Working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type='text' [placeholder]="l('From Time')" [(ngModel)]='fromTime' 
									name='fromTime'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Time')" [(ngModel)]='toTime' 
									name='toTime'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[(ngModel)]='isManual' name='isManual'
									class='form-control' [placeholder]="l('Is Manual')"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(click)="createOrEditModalDailyWorkingTime.show()"&gt;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(click)="createOrEditModalDailyWorkingTime.show(selectedRow)"&gt;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&lt;create-or-edit-dailyworkingtime-modal
    #createOrEditModalDailyWorkingTime
    (modalSave)="callBackDataGrid(dataParams)"
    (modalClose)="onChangeRowSelection(dataParams)"
&gt;
&lt;/create-or-edit-dailyworkingtime-modal&gt;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#createOrEditModalDailyWorkingTime="bs-modal"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DailyWorkingTime')}}&lt;/h3&gt;
                    &lt;h3 *ngIf="!rowdata.id"&gt;{{('Create New DailyWorkingTime')}}&lt;/h3&gt;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title'&gt;Shop Id&lt;/label&gt;
						&lt;input type='number' class='col-md-10 form-control input-text' name='ShopId' [(ngModel)]='rowdata.shopId'&gt;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title'&gt;Working Type&lt;/label&gt;
						&lt;input type='number' class='col-md-10 form-control input-text' name='WorkingType' [(ngModel)]='rowdata.workingType'&gt;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title'&gt;From Time&lt;/label&gt;
						&lt;input type='text' class='col-md-10 form-control input-text' name='fromTime' 
						#datepicker='bsDatepicker' [(ngModel)]='rowdata.fromTime'  bsDatepicker &gt;
					&lt;/div&gt;
					&lt;div class='col-md-12 form-group row'&gt;
						&lt;label class='col-md-2 form-control title'&gt;To Time&lt;/label&gt;
						&lt;input type='text' class='col-md-10 form-control input-text' name='toTime' 
						#datepicker='bsDatepicker' [(ngModel)]='rowdata.toTime'  bsDatepicker &gt;
					&lt;/div&gt;
					&lt;div class='col-md-12 form-group row'&gt;
						&lt;label class='col-md-2 form-control title'&gt;Is Manual&lt;/label&gt;
						&lt;input class='col-md-10 form-control checkboxActive' type='checkbox' name='isManual'
						[checked]='_isManual'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CreateOrEditMstWptDailyWorkingTimeDto, MstWptDailyWorkingTimeServiceProxy } from '@shared/service-proxies/service-proxies';
import { BsDatepickerDirective } from 'ngx-bootstrap/datepicker';
@Component({
    selector: 'create-or-edit-dailyworkingtime-modal',
    templateUrl: './create-or-edit-dailyworkingtime-modal.component.html',
    styleUrls: ['./create-or-edit-dailyworkingtime-modal.component.less']
    })
export class CreateOrEditDailyWorkingTimeModalComponent extends AppComponentBase {
    @ViewChild('createOrEditModalDailyWorkingTime',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CreateOrEditMstWptDailyWorkingTimeDto = new CreateOrEditMstWptDailyWorkingTimeDto();
    active: boolean = false;
    saving: boolean = false;
    _isManual
isActive: boolean;
    constructor(
        injector: Injector,
        private _mstwptDailyWorkingTimeService: MstWptDailyWorkingTimeServiceProxy,
    ) 
    {
        super(injector);
    }
    show(rowdata?: CreateOrEditMstWptDailyWorkingTimeDto): void {
        if (!rowdata) this.rowdata = new CreateOrEditMstWptDailyWorkingTimeDto();
        else this.rowdata = rowdata;
		const dateValue =  this.rowdata.workingDate ? new Date(this.rowdata.workingDate?.toString()) : new Date();
		this.datepicker?.bsValueChange.emit(dateValue);
		const dateValue =  this.rowdata.fromTime ? new Date(this.rowdata.fromTime?.toString()) : new Date();
		this.datepicker?.bsValueChange.emit(dateValue);
		const dateValue =  this.rowdata.toTime ? new Date(this.rowdata.toTime?.toString()) : new Date();
		this.datepicker?.bsValueChange.emit(dateValue);
        this._isManual
isActive = (this.rowdata.isManual
isActive == "N")? false: true;
        this.active = true;
        this.modal.show();
    } 
    changeActive(event){
        this._isManual
isActive = event.target.checked;
    }
    save(): void {
    this.saving = true; 
    this.rowdata.isManual
isActive = (this._isManual
isActive == true) ? 'Y' : 'N'
    this._mstwptDailyWorkingTimeService.createOrEdit(this.rowdata)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DailyWorkingTimeRoutingModule } from './dailyworkingtime-routing.module';
import { DailyWorkingTimeComponent } from './dailyworkingtime.component';
import { CreateOrEditDailyWorkingTimeModalComponent } from './create-or-edit-dailyworkingtime-modal.component';
@NgModule({
    declarations: [
       DailyWorkingTimeComponent, 
        CreateOrEditDailyWorkingTimeModalComponent
    ],
    imports: [
        AppSharedModule, DailyWorkingTimeRoutingModule]
})
export class DailyWorkingTimeModule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DailyWorkingTimeComponent } from './dailyworkingtime.component';
const routes: Routes = [{
    path: '',
    component: DailyWorkingTimeComponent,
    pathMatch: 'full'
}];
@NgModule({
    imports: [RouterModule.forChild(routes)],
    exports: [RouterModule],
})
export class DailyWorkingTimeRoutingModule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AppMenuItem("DailyWorkingTime", "Pages.Master.WorkingPattern.DailyWorkingTime", "flaticon-book",   "/app/main/master/workingpattern/dailyworkingtime"),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'master/workingpattern/dailyworkingtime',
    loadChildren: () =&gt; import('./master/workingpattern/dailyworkingtime/dailyworkingtime.module').then(m =&gt; m.DailyWorkingTimeModule),
    data: { permission: 'Pages.Master.WorkingPattern.DailyWorkingTime' }
},</v>
      </c>
      <c r="R10" s="50" t="str">
        <f>SUBSTITUTE(R9,"MstWptCalendar",$B$6)</f>
        <v>ApiServiceProxies.MstWptDailyWorkingTimeServiceProxy,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1" t="s">
        <v>267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H26</v>
      </c>
      <c r="I12" s="31" t="str">
        <f>"I"&amp;COUNTA($A:$A)</f>
        <v>I26</v>
      </c>
      <c r="J12" s="31"/>
      <c r="K12" s="31" t="str">
        <f>"K"&amp;COUNTA($A:$A)</f>
        <v>K26</v>
      </c>
      <c r="L12" s="31" t="str">
        <f>"L"&amp;COUNTA($A:$A)</f>
        <v>L26</v>
      </c>
      <c r="M12" s="31"/>
      <c r="N12" s="31"/>
      <c r="O12" s="31"/>
      <c r="P12" s="31"/>
      <c r="Q12" s="31"/>
      <c r="R12" s="31"/>
      <c r="S12" s="31" t="str">
        <f>"S"&amp;COUNTA($A:$A)</f>
        <v>S26</v>
      </c>
      <c r="T12" s="31" t="str">
        <f>"T"&amp;COUNTA($A:$A)</f>
        <v>T26</v>
      </c>
      <c r="U12" s="31" t="str">
        <f>"U"&amp;COUNTA($A:$A)</f>
        <v>U26</v>
      </c>
      <c r="V12" s="31" t="str">
        <f>"V"&amp;COUNTA($A:$A)</f>
        <v>V26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this.l('Shift No'),headerTooltip: this.l('Shift No'),field: 'shiftNo',flex: 1},
			{headerName: this.l('Shift Name'),headerTooltip: this.l('Shift Name'),field: 'shiftName',flex: 1},
			{headerName: this.l('Shop Id'),headerTooltip: this.l('Shop Id'),field: 'shopId',flex: 1},
			{headerName: this.l('Working Date'),headerTooltip: this.l('Working Date'),field: 'workingDate',valueGetter: (params) =&gt; this.pipe.transform(params.data?.workingDate, 'dd/MM/yyyy'),flex: 1},
			{headerName: this.l('Start Time'),headerTooltip: this.l('Start Time'),field: 'startTime',flex: 1},
			{headerName: this.l('End Time'),headerTooltip: this.l('End Time'),field: 'endTime',flex: 1},
			{headerName: this.l('Working Type'),headerTooltip: this.l('Working Type'),field: 'workingType',flex: 1},
			{headerName: this.l('Description'),headerTooltip: this.l('Description'),field: 'description',flex: 1},
			{headerName: this.l('From Time'),headerTooltip: this.l('From Time'),field: 'fromTime',valueGetter: (params) =&gt; this.pipe.transform(params.data?.fromTime, 'dd/MM/yyyy'),flex: 1},
			{headerName: this.l('To Time'),headerTooltip: this.l('To Time'),field: 'toTime',valueGetter: (params) =&gt; this.pipe.transform(params.data?.toTime, 'dd/MM/yyyy'),flex: 1},
			{headerName: this.l('Is Manual'),headerTooltip: this.l('Is Manual'),field: 'isManual',flex: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type='text' [placeholder]="l('From Time')" [(ngModel)]='fromTime' 
									name='fromTime'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Time')" [(ngModel)]='toTime' 
									name='toTime'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[(ngModel)]='isManual' name='isManual'
									class='form-control' [placeholder]="l('Is Manual')"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title'&gt;Shop Id&lt;/label&gt;
						&lt;input type='number' class='col-md-10 form-control input-text' name='ShopId' [(ngModel)]='rowdata.shopId'&gt;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title'&gt;Working Type&lt;/label&gt;
						&lt;input type='number' class='col-md-10 form-control input-text' name='WorkingType' [(ngModel)]='rowdata.workingType'&gt;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title'&gt;From Time&lt;/label&gt;
						&lt;input type='text' class='col-md-10 form-control input-text' name='fromTime' 
						#datepicker='bsDatepicker' [(ngModel)]='rowdata.fromTime'  bsDatepicker &gt;
					&lt;/div&gt;
					&lt;div class='col-md-12 form-group row'&gt;
						&lt;label class='col-md-2 form-control title'&gt;To Time&lt;/label&gt;
						&lt;input type='text' class='col-md-10 form-control input-text' name='toTime' 
						#datepicker='bsDatepicker' [(ngModel)]='rowdata.toTime'  bsDatepicker &gt;
					&lt;/div&gt;
					&lt;div class='col-md-12 form-group row'&gt;
						&lt;label class='col-md-2 form-control title'&gt;Is Manual&lt;/label&gt;
						&lt;input class='col-md-10 form-control checkboxActive' type='checkbox' name='isManual'
						[checked]='_isManual'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this.rowdata.fromTime ? new Date(this.rowdata.fromTime?.toString()) : new Date();
		this.datepicker?.bsValueChange.emit(dateValue);
		const dateValue =  this.rowdata.toTime ? new Date(this.rowdata.toTime?.toString())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shiftNo : number = 0 ;
	shiftName : string = '' ; 
	shopId : number = 0 ;
	workingDate : any ;
	startTime : any ;
	endTime : any ;
	workingType : number = 0 ;
	description : string = '' ; 
	fromTime : any ;
	toTime : any ;
	isManual : string = '' ; 
	isActive : string = '' ; </v>
      </c>
      <c r="T13" s="68" t="str">
        <f ca="1">TEXTJOIN2("
",TRUE,INDIRECT(T11):INDIRECT(T12))</f>
        <v xml:space="preserve">			this.shiftNo,
			this.shiftName,
			this.shopId,
			this.workingDate,
			this.startTime,
			this.endTime,
			this.workingType,
			this.description,
			this.fromTime,
			this.toTime,
			this.isManual,
			this.isActive,</v>
      </c>
      <c r="U13" s="68" t="str">
        <f ca="1">TEXTJOIN2("
",TRUE,INDIRECT(U11):INDIRECT(U12))</f>
        <v>this.shiftNo = 0,
		this.shiftName = '',
		this.shopId = 0,
		this.workingDate = '',
		this.startTime = '',
		this.endTime = '',
		this.workingType = 0,
		this.description = '',
		this.fromTime = '',
		this.toTime = '',
		this.isManual = '',
		this.isActive = '',</v>
      </c>
      <c r="V13" s="31" t="str">
        <f ca="1">TEXTJOIN2("
",TRUE,INDIRECT(V11):INDIRECT(V12))</f>
        <v>isManual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dailyworkingtime.component.ts</v>
      </c>
      <c r="I14" s="40" t="str">
        <f>B8&amp;".component.html"</f>
        <v>dailyworkingtime.component.html</v>
      </c>
      <c r="J14" s="39" t="str">
        <f>B8&amp;".component.less"</f>
        <v>dailyworkingtime.component.less</v>
      </c>
      <c r="K14" s="40" t="str">
        <f>"create-or-edit-"&amp;B8&amp;"-modal.component.html"</f>
        <v>create-or-edit-dailyworkingtime-modal.component.html</v>
      </c>
      <c r="L14" s="40" t="str">
        <f>"create-or-edit-"&amp;B8&amp;"-modal.component.ts"</f>
        <v>create-or-edit-dailyworkingtime-modal.component.ts</v>
      </c>
      <c r="M14" s="40" t="str">
        <f>"create-or-edit-"&amp;B8&amp;"-modal.component.less"</f>
        <v>create-or-edit-dailyworkingtime-modal.component.less</v>
      </c>
      <c r="N14" s="40" t="str">
        <f>B8&amp;".module.ts"</f>
        <v>dailyworkingtime.module.ts</v>
      </c>
      <c r="O14" s="40" t="str">
        <f>B8&amp;"-routing.module.ts"</f>
        <v>dailyworkingtime-routing.module.ts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4" t="s">
        <v>271</v>
      </c>
      <c r="B15" s="31" t="str">
        <f>SUBSTITUTE(PROPER(A15),"_","")</f>
        <v>ShiftNo</v>
      </c>
      <c r="C15" s="31" t="str">
        <f>SUBSTITUTE(PROPER(A15),"_"," ")</f>
        <v>Shift No</v>
      </c>
      <c r="D15" s="31" t="str">
        <f>LOWER(LEFT(B15,1))&amp;RIGHT(B15,LEN(B15) - 1)</f>
        <v>shiftNo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this.l('Shift No'),headerTooltip: this.l('Shift No'),field: 'shiftNo',flex: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title'&gt;Shift No&lt;/label&gt;
						&lt;input type='number' class='col-md-10 form-control input-text' name='ShiftNo' [(ngModel)]='rowdata.shiftNo'&gt;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shiftNo : number = 0 ;</v>
      </c>
      <c r="T15" s="31" t="str">
        <f>REPT(CHAR(9),3)&amp;"this."&amp;D15&amp;","</f>
        <v xml:space="preserve">			this.shiftNo,</v>
      </c>
      <c r="U15" s="31" t="str">
        <f>IF(E15="int","this."&amp;D15&amp;" = 0,","this."&amp;D15&amp;" = '',")</f>
        <v>this.shiftNo = 0,</v>
      </c>
      <c r="V15" s="31" t="str">
        <f>IF(AND(E15="string",F15="1"),D15,"")</f>
        <v/>
      </c>
    </row>
    <row r="16" spans="1:22" ht="15" customHeight="1" x14ac:dyDescent="0.25">
      <c r="A16" s="44" t="s">
        <v>272</v>
      </c>
      <c r="B16" s="31" t="str">
        <f t="shared" ref="B16:B26" si="0">SUBSTITUTE(PROPER(A16),"_","")</f>
        <v>ShiftName</v>
      </c>
      <c r="C16" s="31" t="str">
        <f t="shared" ref="C16:C26" si="1">SUBSTITUTE(PROPER(A16),"_"," ")</f>
        <v>Shift Name</v>
      </c>
      <c r="D16" s="31" t="str">
        <f t="shared" ref="D16:D26" si="2">LOWER(LEFT(B16,1))&amp;RIGHT(B16,LEN(B16) - 1)</f>
        <v>shiftName</v>
      </c>
      <c r="E16" s="31" t="str">
        <f>A.Backend!H10</f>
        <v>string</v>
      </c>
      <c r="F16" s="31" t="str">
        <f>A.Backend!G10</f>
        <v>40</v>
      </c>
      <c r="G16" s="31" t="str">
        <f t="shared" ref="G16:G26" si="3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this.l('Shift Name'),headerTooltip: this.l('Shift Name'),field: 'shiftName',flex: 1},</v>
      </c>
      <c r="I16" s="38" t="str">
        <f t="shared" ref="I16:I21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[(ngModel)]='shiftName' name='shiftName'
									class='form-control' [placeholder]="l('Shift Name')"
									type='text' (keyup.enter)='searchDatas()'&gt;
								&lt;/div&gt;</v>
      </c>
      <c r="J16" s="31"/>
      <c r="K16" s="38" t="str">
        <f t="shared" ref="K16:K21" si="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title'&gt;Shift Name&lt;/label&gt;
						&lt;input type='text' class='col-md-10 form-control input-text' name='ShiftName' [(ngModel)]='rowdata.shiftName'&gt;
					&lt;/div&gt;</v>
      </c>
      <c r="L16" s="60" t="str">
        <f t="shared" ref="L16:L21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shiftName : string = '' ; </v>
      </c>
      <c r="T16" s="31" t="str">
        <f>REPT(CHAR(9),3)&amp;"this."&amp;D16&amp;","</f>
        <v xml:space="preserve">			this.shiftName,</v>
      </c>
      <c r="U16" s="31" t="str">
        <f>IF(E16="int",REPT(CHAR(9),2)&amp;"this."&amp;D16&amp;" = 0,",REPT(CHAR(9),2)&amp;"this."&amp;D16&amp;" = '',")</f>
        <v xml:space="preserve">		this.shiftName = '',</v>
      </c>
      <c r="V16" s="31" t="str">
        <f t="shared" ref="V16:V21" si="7">IF(AND(E16="string",F16="1"),D16,"")</f>
        <v/>
      </c>
    </row>
    <row r="17" spans="1:22" ht="18" customHeight="1" x14ac:dyDescent="0.25">
      <c r="A17" s="44" t="s">
        <v>274</v>
      </c>
      <c r="B17" s="31" t="str">
        <f t="shared" si="0"/>
        <v>ShopId</v>
      </c>
      <c r="C17" s="31" t="str">
        <f t="shared" si="1"/>
        <v>Shop Id</v>
      </c>
      <c r="D17" s="31" t="str">
        <f t="shared" si="2"/>
        <v>shopId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ref="H17:H20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this.l('Shop Id'),headerTooltip: this.l('Shop Id'),field: 'shopId',flex: 1},</v>
      </c>
      <c r="I17" s="38" t="str">
        <f t="shared" si="4"/>
        <v/>
      </c>
      <c r="J17" s="31"/>
      <c r="K17" s="38" t="str">
        <f t="shared" si="5"/>
        <v xml:space="preserve">					&lt;div class='col-md-12 form-group row'&gt;
						&lt;label class='col-md-2 form-control title'&gt;Shop Id&lt;/label&gt;
						&lt;input type='number' class='col-md-10 form-control input-text' name='ShopId' [(ngModel)]='rowdata.shopId'&gt;
					&lt;/div&gt;</v>
      </c>
      <c r="L17" s="60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:S21" si="9">REPT(CHAR(9),1)&amp;D17&amp;G17</f>
        <v xml:space="preserve">	shopId : number = 0 ;</v>
      </c>
      <c r="T17" s="31" t="str">
        <f t="shared" ref="T17:T21" si="10">REPT(CHAR(9),3)&amp;"this."&amp;D17&amp;","</f>
        <v xml:space="preserve">			this.shopId,</v>
      </c>
      <c r="U17" s="31" t="str">
        <f t="shared" ref="U17:U21" si="11">IF(E17="int",REPT(CHAR(9),2)&amp;"this."&amp;D17&amp;" = 0,",REPT(CHAR(9),2)&amp;"this."&amp;D17&amp;" = '',")</f>
        <v xml:space="preserve">		this.shopId = 0,</v>
      </c>
      <c r="V17" s="31" t="str">
        <f t="shared" si="7"/>
        <v/>
      </c>
    </row>
    <row r="18" spans="1:22" ht="18" customHeight="1" x14ac:dyDescent="0.25">
      <c r="A18" s="44" t="s">
        <v>275</v>
      </c>
      <c r="B18" s="31" t="str">
        <f t="shared" si="0"/>
        <v>WorkingDate</v>
      </c>
      <c r="C18" s="31" t="str">
        <f t="shared" si="1"/>
        <v>Working Date</v>
      </c>
      <c r="D18" s="31" t="str">
        <f t="shared" si="2"/>
        <v>workingDate</v>
      </c>
      <c r="E18" s="31" t="str">
        <f>A.Backend!H12</f>
        <v>DateTime</v>
      </c>
      <c r="F18" s="31" t="str">
        <f>A.Backend!G12</f>
        <v/>
      </c>
      <c r="G18" s="31" t="str">
        <f t="shared" si="3"/>
        <v xml:space="preserve"> : any ;</v>
      </c>
      <c r="H18" s="38" t="str">
        <f t="shared" ref="H18" si="12">IF(E18="DateTime",
REPT(CHAR(9),3)&amp;"{headerName: this.l('"&amp;C18&amp;"'),headerTooltip: this.l('"&amp;C18&amp;"'),field: '"&amp;D18&amp;"',valueGetter: (params) =&gt; this.pipe.transform(params.data?."&amp;D18&amp;", 'dd/MM/yyyy'),flex: 1},",
REPT(CHAR(9),3)&amp;"{headerName: this.l('"&amp;C18&amp;"'),headerTooltip: this.l('"&amp;C18&amp;"'),field: '"&amp;D18&amp;"',flex: 1},")</f>
        <v xml:space="preserve">			{headerName: this.l('Working Date'),headerTooltip: this.l('Working Date'),field: 'workingDate',valueGetter: (params) =&gt; this.pipe.transform(params.data?.workingDate, 'dd/MM/yyyy'),flex: 1},</v>
      </c>
      <c r="I18" s="38" t="str">
        <f t="shared" ref="I18" si="13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ref="K18" si="14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"&amp;REPT(CHAR(9),6)&amp;"&lt;input class='col-md-10 form-control checkboxActive' type='checkbox' name='"&amp;D18&amp;"'
"&amp;REPT(CHAR(9),6)&amp;"[checked]='_"&amp;D18&amp;"' (change)='changeActive($event)'&gt;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8" s="60" t="str">
        <f t="shared" ref="L18" si="15">IF(E18="DateTime",
REPT(CHAR(9),2)&amp;"const dateValue =  this.rowdata."&amp;D18&amp;" ? new Date(this.rowdata."&amp;D18&amp;"?.toString())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ref="S18" si="16">REPT(CHAR(9),1)&amp;D18&amp;G18</f>
        <v xml:space="preserve">	workingDate : any ;</v>
      </c>
      <c r="T18" s="31" t="str">
        <f t="shared" ref="T18" si="17">REPT(CHAR(9),3)&amp;"this."&amp;D18&amp;","</f>
        <v xml:space="preserve">			this.workingDate,</v>
      </c>
      <c r="U18" s="31" t="str">
        <f t="shared" ref="U18" si="18">IF(E18="int",REPT(CHAR(9),2)&amp;"this."&amp;D18&amp;" = 0,",REPT(CHAR(9),2)&amp;"this."&amp;D18&amp;" = '',")</f>
        <v xml:space="preserve">		this.workingDate = '',</v>
      </c>
      <c r="V18" s="31" t="str">
        <f t="shared" ref="V18" si="19">IF(AND(E18="string",F18="1"),D18,"")</f>
        <v/>
      </c>
    </row>
    <row r="19" spans="1:22" ht="18" customHeight="1" x14ac:dyDescent="0.25">
      <c r="A19" s="44" t="s">
        <v>276</v>
      </c>
      <c r="B19" s="31" t="str">
        <f t="shared" si="0"/>
        <v>StartTime</v>
      </c>
      <c r="C19" s="31" t="str">
        <f t="shared" si="1"/>
        <v>Start Time</v>
      </c>
      <c r="D19" s="31" t="str">
        <f t="shared" si="2"/>
        <v>startTime</v>
      </c>
      <c r="E19" s="31" t="str">
        <f>A.Backend!H13</f>
        <v>TimeSpan</v>
      </c>
      <c r="F19" s="31" t="str">
        <f>A.Backend!G13</f>
        <v>7</v>
      </c>
      <c r="G19" s="31" t="str">
        <f t="shared" si="3"/>
        <v xml:space="preserve"> : any ;</v>
      </c>
      <c r="H19" s="38" t="str">
        <f t="shared" si="8"/>
        <v xml:space="preserve">			{headerName: this.l('Start Time'),headerTooltip: this.l('Start Time'),field: 'startTime',flex: 1},</v>
      </c>
      <c r="I19" s="38" t="str">
        <f t="shared" si="4"/>
        <v/>
      </c>
      <c r="J19" s="31"/>
      <c r="K19" s="38" t="str">
        <f t="shared" si="5"/>
        <v xml:space="preserve">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</v>
      </c>
      <c r="L19" s="60" t="str">
        <f t="shared" si="6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startTime : any ;</v>
      </c>
      <c r="T19" s="31" t="str">
        <f t="shared" si="10"/>
        <v xml:space="preserve">			this.startTime,</v>
      </c>
      <c r="U19" s="31" t="str">
        <f t="shared" si="11"/>
        <v xml:space="preserve">		this.startTime = '',</v>
      </c>
      <c r="V19" s="31" t="str">
        <f t="shared" si="7"/>
        <v/>
      </c>
    </row>
    <row r="20" spans="1:22" ht="15" customHeight="1" x14ac:dyDescent="0.25">
      <c r="A20" s="44" t="s">
        <v>278</v>
      </c>
      <c r="B20" s="31" t="str">
        <f t="shared" si="0"/>
        <v>EndTime</v>
      </c>
      <c r="C20" s="31" t="str">
        <f t="shared" si="1"/>
        <v>End Time</v>
      </c>
      <c r="D20" s="31" t="str">
        <f t="shared" si="2"/>
        <v>endTime</v>
      </c>
      <c r="E20" s="31" t="str">
        <f>A.Backend!H14</f>
        <v>TimeSpan</v>
      </c>
      <c r="F20" s="31" t="str">
        <f>A.Backend!G14</f>
        <v>7</v>
      </c>
      <c r="G20" s="31" t="str">
        <f t="shared" si="3"/>
        <v xml:space="preserve"> : any ;</v>
      </c>
      <c r="H20" s="38" t="str">
        <f t="shared" si="8"/>
        <v xml:space="preserve">			{headerName: this.l('End Time'),headerTooltip: this.l('End Time'),field: 'endTime',flex: 1},</v>
      </c>
      <c r="I20" s="38" t="str">
        <f t="shared" si="4"/>
        <v/>
      </c>
      <c r="J20" s="31"/>
      <c r="K20" s="38" t="str">
        <f t="shared" si="5"/>
        <v xml:space="preserve">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</v>
      </c>
      <c r="L20" s="60" t="str">
        <f t="shared" si="6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endTime : any ;</v>
      </c>
      <c r="T20" s="31" t="str">
        <f t="shared" si="10"/>
        <v xml:space="preserve">			this.endTime,</v>
      </c>
      <c r="U20" s="31" t="str">
        <f t="shared" si="11"/>
        <v xml:space="preserve">		this.endTime = '',</v>
      </c>
      <c r="V20" s="31" t="str">
        <f t="shared" si="7"/>
        <v/>
      </c>
    </row>
    <row r="21" spans="1:22" ht="18" customHeight="1" x14ac:dyDescent="0.25">
      <c r="A21" s="44" t="s">
        <v>279</v>
      </c>
      <c r="B21" s="31" t="str">
        <f t="shared" si="0"/>
        <v>WorkingType</v>
      </c>
      <c r="C21" s="31" t="str">
        <f t="shared" si="1"/>
        <v>Working Type</v>
      </c>
      <c r="D21" s="31" t="str">
        <f t="shared" si="2"/>
        <v>workingType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this.l('Working Type'),headerTooltip: this.l('Working Type'),field: 'workingType',flex: 1},</v>
      </c>
      <c r="I21" s="38" t="str">
        <f t="shared" si="4"/>
        <v/>
      </c>
      <c r="J21" s="31"/>
      <c r="K21" s="38" t="str">
        <f t="shared" si="5"/>
        <v xml:space="preserve">					&lt;div class='col-md-12 form-group row'&gt;
						&lt;label class='col-md-2 form-control title'&gt;Working Type&lt;/label&gt;
						&lt;input type='number' class='col-md-10 form-control input-text' name='WorkingType' [(ngModel)]='rowdata.workingType'&gt;
					&lt;/div&gt;</v>
      </c>
      <c r="L21" s="60" t="str">
        <f t="shared" si="6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workingType : number = 0 ;</v>
      </c>
      <c r="T21" s="31" t="str">
        <f t="shared" si="10"/>
        <v xml:space="preserve">			this.workingType,</v>
      </c>
      <c r="U21" s="31" t="str">
        <f t="shared" si="11"/>
        <v xml:space="preserve">		this.workingType = 0,</v>
      </c>
      <c r="V21" s="31" t="str">
        <f t="shared" si="7"/>
        <v/>
      </c>
    </row>
    <row r="22" spans="1:22" ht="15" customHeight="1" x14ac:dyDescent="0.25">
      <c r="A22" s="44" t="s">
        <v>280</v>
      </c>
      <c r="B22" s="31" t="str">
        <f t="shared" si="0"/>
        <v>Description</v>
      </c>
      <c r="C22" s="31" t="str">
        <f t="shared" si="1"/>
        <v>Description</v>
      </c>
      <c r="D22" s="31" t="str">
        <f t="shared" si="2"/>
        <v>description</v>
      </c>
      <c r="E22" s="31" t="str">
        <f>A.Backend!H16</f>
        <v>string</v>
      </c>
      <c r="F22" s="31" t="str">
        <f>A.Backend!G16</f>
        <v>250</v>
      </c>
      <c r="G22" s="31" t="str">
        <f t="shared" si="3"/>
        <v xml:space="preserve"> : string = '' ; </v>
      </c>
      <c r="H22" s="38" t="str">
        <f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this.l('Description'),headerTooltip: this.l('Description'),field: 'description',flex: 1},</v>
      </c>
      <c r="I22" s="38" t="str">
        <f t="shared" ref="I22:I26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22" s="31"/>
      <c r="K22" s="38" t="str">
        <f t="shared" ref="K22:K26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22" s="60" t="str">
        <f t="shared" ref="L22:L26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description : string = '' ; </v>
      </c>
      <c r="T22" s="31" t="str">
        <f>REPT(CHAR(9),3)&amp;"this."&amp;D22&amp;","</f>
        <v xml:space="preserve">			this.description,</v>
      </c>
      <c r="U22" s="31" t="str">
        <f>IF(E22="int",REPT(CHAR(9),2)&amp;"this."&amp;D22&amp;" = 0,",REPT(CHAR(9),2)&amp;"this."&amp;D22&amp;" = '',")</f>
        <v xml:space="preserve">		this.description = '',</v>
      </c>
      <c r="V22" s="31" t="str">
        <f t="shared" ref="V22:V26" si="23">IF(AND(E22="string",F22="1"),D22,"")</f>
        <v/>
      </c>
    </row>
    <row r="23" spans="1:22" ht="18" customHeight="1" x14ac:dyDescent="0.25">
      <c r="A23" s="44" t="s">
        <v>284</v>
      </c>
      <c r="B23" s="31" t="str">
        <f t="shared" si="0"/>
        <v>FromTime</v>
      </c>
      <c r="C23" s="31" t="str">
        <f t="shared" si="1"/>
        <v>From Time</v>
      </c>
      <c r="D23" s="31" t="str">
        <f t="shared" si="2"/>
        <v>fromTime</v>
      </c>
      <c r="E23" s="31" t="str">
        <f>A.Backend!H17</f>
        <v>DateTime</v>
      </c>
      <c r="F23" s="31" t="str">
        <f>A.Backend!G17</f>
        <v/>
      </c>
      <c r="G23" s="31" t="str">
        <f t="shared" si="3"/>
        <v xml:space="preserve"> : any ;</v>
      </c>
      <c r="H23" s="38" t="str">
        <f t="shared" ref="H23:H25" si="24">IF(E23="DateTime",
REPT(CHAR(9),3)&amp;"{headerName: this.l('"&amp;C23&amp;"'),headerTooltip: this.l('"&amp;C23&amp;"'),field: '"&amp;D23&amp;"',valueGetter: (params) =&gt; this.pipe.transform(params.data?."&amp;D23&amp;", 'dd/MM/yyyy'),flex: 1},",
REPT(CHAR(9),3)&amp;"{headerName: this.l('"&amp;C23&amp;"'),headerTooltip: this.l('"&amp;C23&amp;"'),field: '"&amp;D23&amp;"',flex: 1},")</f>
        <v xml:space="preserve">			{headerName: this.l('From Time'),headerTooltip: this.l('From Time'),field: 'fromTime',valueGetter: (params) =&gt; this.pipe.transform(params.data?.fromTime, 'dd/MM/yyyy'),flex: 1},</v>
      </c>
      <c r="I23" s="38" t="str">
        <f t="shared" si="20"/>
        <v xml:space="preserve">								&lt;div class='input-search'&gt;
									&lt;input type='text' [placeholder]="l('From Time')" [(ngModel)]='fromTime' 
									name='fromTime'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21"/>
        <v xml:space="preserve">					&lt;div class='col-md-12 form-group row'&gt;
						&lt;label class='col-md-2 form-control title'&gt;From Time&lt;/label&gt;
						&lt;input type='text' class='col-md-10 form-control input-text' name='fromTime' 
						#datepicker='bsDatepicker' [(ngModel)]='rowdata.fromTime'  bsDatepicker &gt;
					&lt;/div&gt;</v>
      </c>
      <c r="L23" s="60" t="str">
        <f t="shared" si="22"/>
        <v xml:space="preserve">		const dateValue =  this.rowdata.fromTime ? new Date(this.rowdata.fromTime?.toString())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ref="S23:S26" si="25">REPT(CHAR(9),1)&amp;D23&amp;G23</f>
        <v xml:space="preserve">	fromTime : any ;</v>
      </c>
      <c r="T23" s="31" t="str">
        <f t="shared" ref="T23:T26" si="26">REPT(CHAR(9),3)&amp;"this."&amp;D23&amp;","</f>
        <v xml:space="preserve">			this.fromTime,</v>
      </c>
      <c r="U23" s="31" t="str">
        <f t="shared" ref="U23:U26" si="27">IF(E23="int",REPT(CHAR(9),2)&amp;"this."&amp;D23&amp;" = 0,",REPT(CHAR(9),2)&amp;"this."&amp;D23&amp;" = '',")</f>
        <v xml:space="preserve">		this.fromTime = '',</v>
      </c>
      <c r="V23" s="31" t="str">
        <f t="shared" si="23"/>
        <v/>
      </c>
    </row>
    <row r="24" spans="1:22" ht="18" customHeight="1" x14ac:dyDescent="0.25">
      <c r="A24" s="44" t="s">
        <v>285</v>
      </c>
      <c r="B24" s="31" t="str">
        <f t="shared" si="0"/>
        <v>ToTime</v>
      </c>
      <c r="C24" s="31" t="str">
        <f t="shared" si="1"/>
        <v>To Time</v>
      </c>
      <c r="D24" s="31" t="str">
        <f t="shared" si="2"/>
        <v>toTime</v>
      </c>
      <c r="E24" s="31" t="str">
        <f>A.Backend!H18</f>
        <v>DateTime</v>
      </c>
      <c r="F24" s="31" t="str">
        <f>A.Backend!G18</f>
        <v/>
      </c>
      <c r="G24" s="31" t="str">
        <f t="shared" si="3"/>
        <v xml:space="preserve"> : any ;</v>
      </c>
      <c r="H24" s="38" t="str">
        <f t="shared" si="24"/>
        <v xml:space="preserve">			{headerName: this.l('To Time'),headerTooltip: this.l('To Time'),field: 'toTime',valueGetter: (params) =&gt; this.pipe.transform(params.data?.toTime, 'dd/MM/yyyy'),flex: 1},</v>
      </c>
      <c r="I24" s="38" t="str">
        <f t="shared" si="20"/>
        <v xml:space="preserve">								&lt;div class='input-search'&gt;
									&lt;input type='text' [placeholder]="l('To Time')" [(ngModel)]='toTime' 
									name='toTime'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21"/>
        <v xml:space="preserve">					&lt;div class='col-md-12 form-group row'&gt;
						&lt;label class='col-md-2 form-control title'&gt;To Time&lt;/label&gt;
						&lt;input type='text' class='col-md-10 form-control input-text' name='toTime' 
						#datepicker='bsDatepicker' [(ngModel)]='rowdata.toTime'  bsDatepicker &gt;
					&lt;/div&gt;</v>
      </c>
      <c r="L24" s="60" t="str">
        <f t="shared" si="22"/>
        <v xml:space="preserve">		const dateValue =  this.rowdata.toTime ? new Date(this.rowdata.toTime?.toString())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25"/>
        <v xml:space="preserve">	toTime : any ;</v>
      </c>
      <c r="T24" s="31" t="str">
        <f t="shared" si="26"/>
        <v xml:space="preserve">			this.toTime,</v>
      </c>
      <c r="U24" s="31" t="str">
        <f t="shared" si="27"/>
        <v xml:space="preserve">		this.toTime = '',</v>
      </c>
      <c r="V24" s="31" t="str">
        <f t="shared" si="23"/>
        <v/>
      </c>
    </row>
    <row r="25" spans="1:22" ht="15" customHeight="1" x14ac:dyDescent="0.25">
      <c r="A25" s="44" t="s">
        <v>286</v>
      </c>
      <c r="B25" s="31" t="str">
        <f t="shared" si="0"/>
        <v>IsManual</v>
      </c>
      <c r="C25" s="31" t="str">
        <f t="shared" si="1"/>
        <v>Is Manual</v>
      </c>
      <c r="D25" s="31" t="str">
        <f t="shared" si="2"/>
        <v>isManual</v>
      </c>
      <c r="E25" s="31" t="str">
        <f>A.Backend!H19</f>
        <v>string</v>
      </c>
      <c r="F25" s="31" t="str">
        <f>A.Backend!G19</f>
        <v>1</v>
      </c>
      <c r="G25" s="31" t="str">
        <f t="shared" si="3"/>
        <v xml:space="preserve"> : string = '' ; </v>
      </c>
      <c r="H25" s="38" t="str">
        <f t="shared" si="24"/>
        <v xml:space="preserve">			{headerName: this.l('Is Manual'),headerTooltip: this.l('Is Manual'),field: 'isManual',flex: 1},</v>
      </c>
      <c r="I25" s="38" t="str">
        <f t="shared" si="20"/>
        <v xml:space="preserve">								&lt;div class='input-search'&gt;
									&lt;input [(ngModel)]='isManual' name='isManual'
									class='form-control' [placeholder]="l('Is Manual')"
									type='text' (keyup.enter)='searchDatas()'&gt;
								&lt;/div&gt;</v>
      </c>
      <c r="J25" s="31"/>
      <c r="K25" s="38" t="str">
        <f t="shared" si="21"/>
        <v xml:space="preserve">					&lt;div class='col-md-12 form-group row'&gt;
						&lt;label class='col-md-2 form-control title'&gt;Is Manual&lt;/label&gt;
						&lt;input class='col-md-10 form-control checkboxActive' type='checkbox' name='isManual'
						[checked]='_isManual' (change)='changeActive($event)'&gt;
					&lt;/div&gt;</v>
      </c>
      <c r="L25" s="60" t="str">
        <f t="shared" si="22"/>
        <v/>
      </c>
      <c r="M25" s="31"/>
      <c r="N25" s="31"/>
      <c r="O25" s="31"/>
      <c r="P25" s="31"/>
      <c r="Q25" s="31"/>
      <c r="R25" s="31"/>
      <c r="S25" s="31" t="str">
        <f t="shared" si="25"/>
        <v xml:space="preserve">	isManual : string = '' ; </v>
      </c>
      <c r="T25" s="31" t="str">
        <f t="shared" si="26"/>
        <v xml:space="preserve">			this.isManual,</v>
      </c>
      <c r="U25" s="31" t="str">
        <f t="shared" si="27"/>
        <v xml:space="preserve">		this.isManual = '',</v>
      </c>
      <c r="V25" s="31" t="str">
        <f t="shared" si="23"/>
        <v>isManual</v>
      </c>
    </row>
    <row r="26" spans="1:22" ht="18" customHeight="1" x14ac:dyDescent="0.25">
      <c r="A26" s="44" t="s">
        <v>282</v>
      </c>
      <c r="B26" s="31" t="str">
        <f t="shared" si="0"/>
        <v>IsActive</v>
      </c>
      <c r="C26" s="31" t="str">
        <f t="shared" si="1"/>
        <v>Is Active</v>
      </c>
      <c r="D26" s="31" t="str">
        <f t="shared" si="2"/>
        <v>isActive</v>
      </c>
      <c r="E26" s="31" t="str">
        <f>A.Backend!H20</f>
        <v>string</v>
      </c>
      <c r="F26" s="31" t="str">
        <f>A.Backend!G20</f>
        <v>1</v>
      </c>
      <c r="G26" s="31" t="str">
        <f t="shared" si="3"/>
        <v xml:space="preserve"> : string = '' ; </v>
      </c>
      <c r="H26" s="38" t="str">
        <f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this.l('Is Active'),headerTooltip: this.l('Is Active'),field: 'isActive',flex: 1},</v>
      </c>
      <c r="I26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31"/>
      <c r="K26" s="38" t="str">
        <f t="shared" si="21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si="25"/>
        <v xml:space="preserve">	isActive : string = '' ; </v>
      </c>
      <c r="T26" s="31" t="str">
        <f t="shared" si="26"/>
        <v xml:space="preserve">			this.isActive,</v>
      </c>
      <c r="U26" s="31" t="str">
        <f t="shared" si="27"/>
        <v xml:space="preserve">		this.isActive = '',</v>
      </c>
      <c r="V26" s="31" t="str">
        <f t="shared" si="23"/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2022-05-30T04:14:21Z</dcterms:modified>
</cp:coreProperties>
</file>
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86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ProductTmv\prod\docs\design\master\workingpattern\"/>
    </mc:Choice>
  </mc:AlternateContent>
  <xr:revisionPtr revIDLastSave="0" documentId="13_ncr:1_{600C3831-2CB7-40F8-9A84-CBE873BA33B8}" xr6:coauthVersionLast="36" xr6:coauthVersionMax="36" xr10:uidLastSave="{00000000-0000-0000-0000-000000000000}"/>
  <bookViews>
    <workbookView xWindow="0" yWindow="0" windowWidth="28800" windowHeight="11805" activeTab="1" xr2:uid="{00000000-000D-0000-FFFF-FFFF00000000}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0" i="1" l="1"/>
  <c r="O11" i="1"/>
  <c r="O12" i="1"/>
  <c r="O13" i="1"/>
  <c r="O14" i="1"/>
  <c r="O15" i="1"/>
  <c r="O16" i="1"/>
  <c r="O17" i="1"/>
  <c r="O18" i="1"/>
  <c r="O19" i="1"/>
  <c r="O9" i="1"/>
  <c r="M9" i="1"/>
  <c r="N10" i="1"/>
  <c r="N11" i="1"/>
  <c r="N12" i="1"/>
  <c r="N13" i="1"/>
  <c r="N14" i="1"/>
  <c r="N15" i="1"/>
  <c r="N16" i="1"/>
  <c r="N17" i="1"/>
  <c r="N18" i="1"/>
  <c r="N19" i="1"/>
  <c r="N9" i="1"/>
  <c r="M10" i="1"/>
  <c r="M11" i="1"/>
  <c r="M12" i="1"/>
  <c r="M13" i="1"/>
  <c r="M14" i="1"/>
  <c r="M15" i="1"/>
  <c r="M16" i="1"/>
  <c r="M17" i="1"/>
  <c r="M18" i="1"/>
  <c r="M19" i="1"/>
  <c r="E10" i="1" l="1"/>
  <c r="I17" i="5" l="1"/>
  <c r="I18" i="5"/>
  <c r="I19" i="5"/>
  <c r="I20" i="5"/>
  <c r="I21" i="5"/>
  <c r="I22" i="5"/>
  <c r="I23" i="5"/>
  <c r="I24" i="5"/>
  <c r="I25" i="5"/>
  <c r="H17" i="5"/>
  <c r="H18" i="5"/>
  <c r="H19" i="5"/>
  <c r="H20" i="5"/>
  <c r="H21" i="5"/>
  <c r="H22" i="5"/>
  <c r="H23" i="5"/>
  <c r="H24" i="5"/>
  <c r="H25" i="5"/>
  <c r="G17" i="5"/>
  <c r="G18" i="5"/>
  <c r="G19" i="5"/>
  <c r="G20" i="5"/>
  <c r="G21" i="5"/>
  <c r="G22" i="5"/>
  <c r="G23" i="5"/>
  <c r="G24" i="5"/>
  <c r="G25" i="5"/>
  <c r="G15" i="5"/>
  <c r="F16" i="5" l="1"/>
  <c r="F17" i="5"/>
  <c r="F18" i="5"/>
  <c r="F19" i="5"/>
  <c r="F20" i="5"/>
  <c r="F21" i="5"/>
  <c r="F22" i="5"/>
  <c r="F23" i="5"/>
  <c r="F24" i="5"/>
  <c r="F25" i="5"/>
  <c r="E17" i="5"/>
  <c r="E18" i="5"/>
  <c r="E19" i="5"/>
  <c r="E20" i="5"/>
  <c r="E21" i="5"/>
  <c r="E22" i="5"/>
  <c r="E23" i="5"/>
  <c r="E24" i="5"/>
  <c r="E25" i="5"/>
  <c r="L12" i="1" l="1"/>
  <c r="G12" i="1"/>
  <c r="E12" i="1"/>
  <c r="H12" i="1" s="1"/>
  <c r="W12" i="1" s="1"/>
  <c r="D12" i="1"/>
  <c r="V12" i="1" s="1"/>
  <c r="L11" i="1"/>
  <c r="G11" i="1"/>
  <c r="E11" i="1"/>
  <c r="H11" i="1" s="1"/>
  <c r="D11" i="1"/>
  <c r="T11" i="1" s="1"/>
  <c r="G10" i="1"/>
  <c r="H10" i="1"/>
  <c r="D10" i="1"/>
  <c r="V10" i="1" s="1"/>
  <c r="L21" i="5"/>
  <c r="C21" i="5"/>
  <c r="B21" i="5"/>
  <c r="D21" i="5" s="1"/>
  <c r="C20" i="5"/>
  <c r="B20" i="5"/>
  <c r="D20" i="5" s="1"/>
  <c r="T20" i="5" s="1"/>
  <c r="C19" i="5"/>
  <c r="B19" i="5"/>
  <c r="D19" i="5" s="1"/>
  <c r="W10" i="1" l="1"/>
  <c r="E16" i="5"/>
  <c r="K20" i="5"/>
  <c r="P10" i="1"/>
  <c r="V21" i="5"/>
  <c r="T10" i="1"/>
  <c r="P12" i="1"/>
  <c r="T12" i="1"/>
  <c r="W11" i="1"/>
  <c r="J11" i="1"/>
  <c r="I11" i="1"/>
  <c r="V19" i="5"/>
  <c r="S19" i="5"/>
  <c r="I10" i="1"/>
  <c r="P11" i="1"/>
  <c r="I12" i="1"/>
  <c r="V11" i="1"/>
  <c r="L19" i="5"/>
  <c r="J10" i="1"/>
  <c r="J12" i="1"/>
  <c r="U19" i="5"/>
  <c r="T19" i="5"/>
  <c r="U21" i="5"/>
  <c r="T21" i="5"/>
  <c r="S21" i="5"/>
  <c r="U20" i="5"/>
  <c r="S20" i="5"/>
  <c r="L20" i="5"/>
  <c r="V20" i="5"/>
  <c r="K19" i="5"/>
  <c r="K21" i="5"/>
  <c r="G15" i="1"/>
  <c r="E15" i="1"/>
  <c r="H15" i="1" s="1"/>
  <c r="D15" i="1"/>
  <c r="V15" i="1" s="1"/>
  <c r="L14" i="1"/>
  <c r="G14" i="1"/>
  <c r="E14" i="1"/>
  <c r="H14" i="1" s="1"/>
  <c r="D14" i="1"/>
  <c r="P14" i="1" s="1"/>
  <c r="L13" i="1"/>
  <c r="G13" i="1"/>
  <c r="E13" i="1"/>
  <c r="H13" i="1" s="1"/>
  <c r="D13" i="1"/>
  <c r="V13" i="1" s="1"/>
  <c r="C23" i="5"/>
  <c r="B23" i="5"/>
  <c r="D23" i="5" s="1"/>
  <c r="T23" i="5" s="1"/>
  <c r="C22" i="5"/>
  <c r="B22" i="5"/>
  <c r="D22" i="5" s="1"/>
  <c r="C18" i="5"/>
  <c r="B18" i="5"/>
  <c r="D18" i="5" s="1"/>
  <c r="T18" i="5" s="1"/>
  <c r="G16" i="5" l="1"/>
  <c r="I16" i="5"/>
  <c r="H16" i="5"/>
  <c r="P15" i="1"/>
  <c r="K22" i="5"/>
  <c r="V23" i="5"/>
  <c r="T13" i="1"/>
  <c r="P13" i="1"/>
  <c r="T14" i="1"/>
  <c r="W15" i="1"/>
  <c r="J15" i="1"/>
  <c r="I15" i="1"/>
  <c r="J13" i="1"/>
  <c r="I13" i="1"/>
  <c r="W13" i="1"/>
  <c r="I14" i="1"/>
  <c r="W14" i="1"/>
  <c r="J14" i="1"/>
  <c r="T15" i="1"/>
  <c r="V14" i="1"/>
  <c r="T22" i="5"/>
  <c r="U22" i="5"/>
  <c r="S22" i="5"/>
  <c r="L22" i="5"/>
  <c r="V22" i="5"/>
  <c r="K23" i="5"/>
  <c r="U23" i="5"/>
  <c r="S23" i="5"/>
  <c r="L23" i="5"/>
  <c r="L16" i="1"/>
  <c r="G16" i="1"/>
  <c r="E16" i="1"/>
  <c r="H16" i="1" s="1"/>
  <c r="D16" i="1"/>
  <c r="V16" i="1" s="1"/>
  <c r="C17" i="5"/>
  <c r="B17" i="5"/>
  <c r="D17" i="5" s="1"/>
  <c r="W16" i="1" l="1"/>
  <c r="J16" i="1"/>
  <c r="I16" i="1"/>
  <c r="P16" i="1"/>
  <c r="T16" i="1"/>
  <c r="T17" i="5"/>
  <c r="L17" i="1"/>
  <c r="G17" i="1"/>
  <c r="E17" i="1"/>
  <c r="H17" i="1" s="1"/>
  <c r="D17" i="1"/>
  <c r="V17" i="1" s="1"/>
  <c r="C24" i="5"/>
  <c r="B24" i="5"/>
  <c r="D24" i="5" s="1"/>
  <c r="P17" i="1" l="1"/>
  <c r="T17" i="1"/>
  <c r="I17" i="1"/>
  <c r="W17" i="1"/>
  <c r="J17" i="1"/>
  <c r="T24" i="5"/>
  <c r="B15" i="5"/>
  <c r="B16" i="5"/>
  <c r="C25" i="5"/>
  <c r="B25" i="5"/>
  <c r="C15" i="5" l="1"/>
  <c r="C16" i="5"/>
  <c r="V12" i="5" l="1"/>
  <c r="U12" i="5"/>
  <c r="T12" i="5"/>
  <c r="S12" i="5"/>
  <c r="L12" i="5"/>
  <c r="K12" i="5"/>
  <c r="I12" i="5"/>
  <c r="H12" i="5"/>
  <c r="W3" i="1" l="1"/>
  <c r="V3" i="1"/>
  <c r="B2" i="5" l="1"/>
  <c r="B3" i="5" s="1"/>
  <c r="B6" i="5" l="1"/>
  <c r="U7" i="1" l="1"/>
  <c r="B7" i="5" l="1"/>
  <c r="Q3" i="1" l="1"/>
  <c r="O7" i="1" s="1"/>
  <c r="T3" i="1"/>
  <c r="F3" i="1"/>
  <c r="B4" i="5" l="1"/>
  <c r="N7" i="1"/>
  <c r="E38" i="3" s="1"/>
  <c r="K7" i="1"/>
  <c r="H6" i="1"/>
  <c r="R10" i="5" l="1"/>
  <c r="M45" i="3" s="1"/>
  <c r="N38" i="3" l="1"/>
  <c r="B8" i="5"/>
  <c r="B5" i="5"/>
  <c r="D9" i="1"/>
  <c r="T9" i="1" l="1"/>
  <c r="V9" i="1"/>
  <c r="P10" i="5"/>
  <c r="K45" i="3" s="1"/>
  <c r="Q10" i="5"/>
  <c r="L45" i="3" s="1"/>
  <c r="B43" i="3"/>
  <c r="C43" i="3" s="1"/>
  <c r="M14" i="5"/>
  <c r="H44" i="3" s="1"/>
  <c r="L14" i="5"/>
  <c r="G44" i="3" s="1"/>
  <c r="K14" i="5"/>
  <c r="F44" i="3" s="1"/>
  <c r="L44" i="3"/>
  <c r="K44" i="3"/>
  <c r="O14" i="5"/>
  <c r="J44" i="3" s="1"/>
  <c r="N14" i="5"/>
  <c r="I44" i="3" s="1"/>
  <c r="J14" i="5"/>
  <c r="E44" i="3" s="1"/>
  <c r="I14" i="5"/>
  <c r="D44" i="3" s="1"/>
  <c r="H14" i="5"/>
  <c r="C44" i="3" s="1"/>
  <c r="O10" i="5"/>
  <c r="J45" i="3" s="1"/>
  <c r="N10" i="5"/>
  <c r="I45" i="3" s="1"/>
  <c r="M10" i="5"/>
  <c r="H45" i="3" s="1"/>
  <c r="J10" i="5"/>
  <c r="E45" i="3" s="1"/>
  <c r="N3" i="1" l="1"/>
  <c r="M3" i="1"/>
  <c r="O3" i="1"/>
  <c r="D18" i="1"/>
  <c r="D19" i="1"/>
  <c r="V19" i="1" l="1"/>
  <c r="T19" i="1"/>
  <c r="V18" i="1"/>
  <c r="T18" i="1"/>
  <c r="D15" i="5"/>
  <c r="V21" i="1"/>
  <c r="T15" i="5" l="1"/>
  <c r="D25" i="5"/>
  <c r="D16" i="5"/>
  <c r="T16" i="5" l="1"/>
  <c r="T25" i="5"/>
  <c r="R3" i="1"/>
  <c r="D1" i="1"/>
  <c r="F6" i="1"/>
  <c r="T13" i="5"/>
  <c r="L19" i="1" l="1"/>
  <c r="G9" i="1"/>
  <c r="F15" i="5" s="1"/>
  <c r="G18" i="1"/>
  <c r="G19" i="1"/>
  <c r="E9" i="1"/>
  <c r="H9" i="1" s="1"/>
  <c r="E18" i="1"/>
  <c r="H18" i="1" s="1"/>
  <c r="E19" i="1"/>
  <c r="H19" i="1" s="1"/>
  <c r="P9" i="1"/>
  <c r="P18" i="1"/>
  <c r="P19" i="1"/>
  <c r="T21" i="1"/>
  <c r="V18" i="5" l="1"/>
  <c r="S18" i="5"/>
  <c r="L18" i="5"/>
  <c r="K18" i="5"/>
  <c r="U18" i="5"/>
  <c r="L24" i="5"/>
  <c r="W19" i="1"/>
  <c r="W18" i="1"/>
  <c r="E15" i="5"/>
  <c r="W9" i="1"/>
  <c r="T7" i="1"/>
  <c r="I19" i="1"/>
  <c r="I18" i="1"/>
  <c r="I9" i="1"/>
  <c r="W21" i="1"/>
  <c r="S24" i="5" l="1"/>
  <c r="V24" i="5"/>
  <c r="U24" i="5"/>
  <c r="K24" i="5"/>
  <c r="L17" i="5"/>
  <c r="S17" i="5"/>
  <c r="U17" i="5"/>
  <c r="K17" i="5"/>
  <c r="V17" i="5"/>
  <c r="L15" i="5"/>
  <c r="V15" i="5"/>
  <c r="S15" i="5"/>
  <c r="I15" i="5"/>
  <c r="U15" i="5"/>
  <c r="K15" i="5"/>
  <c r="H15" i="5"/>
  <c r="S16" i="5"/>
  <c r="L16" i="5"/>
  <c r="V16" i="5"/>
  <c r="K16" i="5"/>
  <c r="U16" i="5"/>
  <c r="L25" i="5"/>
  <c r="V25" i="5"/>
  <c r="S25" i="5"/>
  <c r="U25" i="5"/>
  <c r="K25" i="5"/>
  <c r="G6" i="1"/>
  <c r="K13" i="5"/>
  <c r="U13" i="5"/>
  <c r="I13" i="5"/>
  <c r="S13" i="5"/>
  <c r="V13" i="5"/>
  <c r="L13" i="5"/>
  <c r="H13" i="5"/>
  <c r="K10" i="5" l="1"/>
  <c r="F45" i="3" s="1"/>
  <c r="L10" i="5"/>
  <c r="G45" i="3" s="1"/>
  <c r="H10" i="5"/>
  <c r="C45" i="3" s="1"/>
  <c r="I10" i="5"/>
  <c r="D45" i="3" s="1"/>
  <c r="L38" i="3"/>
  <c r="D38" i="3"/>
  <c r="D6" i="1"/>
  <c r="B6" i="1" l="1"/>
  <c r="L3" i="1"/>
  <c r="J3" i="1"/>
  <c r="H3" i="1"/>
  <c r="C6" i="1" l="1"/>
  <c r="P7" i="1" s="1"/>
  <c r="S3" i="1"/>
  <c r="S7" i="1" s="1"/>
  <c r="E6" i="1"/>
  <c r="F38" i="3"/>
  <c r="I3" i="1" l="1"/>
  <c r="B7" i="1"/>
  <c r="L10" i="1" l="1"/>
  <c r="L15" i="1"/>
  <c r="L9" i="1"/>
  <c r="L18" i="1"/>
  <c r="J19" i="1"/>
  <c r="J9" i="1"/>
  <c r="J18" i="1"/>
  <c r="C7" i="1"/>
  <c r="O21" i="1"/>
  <c r="I21" i="1"/>
  <c r="N21" i="1"/>
  <c r="P21" i="1"/>
  <c r="J21" i="1"/>
  <c r="Q7" i="1" l="1"/>
  <c r="M38" i="3" s="1"/>
  <c r="L7" i="1"/>
  <c r="G38" i="3" s="1"/>
  <c r="K38" i="3"/>
  <c r="J38" i="3"/>
  <c r="M21" i="1"/>
  <c r="K21" i="1"/>
  <c r="R7" i="1" l="1"/>
  <c r="I38" i="3" s="1"/>
  <c r="M7" i="1"/>
  <c r="H38" i="3" s="1"/>
  <c r="J7" i="1"/>
  <c r="C38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S_member</author>
    <author>Quang Trung</author>
  </authors>
  <commentList>
    <comment ref="C37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</t>
        </r>
      </text>
    </comment>
    <comment ref="D3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 Authorization</t>
        </r>
      </text>
    </comment>
    <comment ref="E37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 Authorization</t>
        </r>
      </text>
    </comment>
    <comment ref="F3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EF Core</t>
        </r>
      </text>
    </comment>
    <comment ref="G37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 Share</t>
        </r>
      </text>
    </comment>
    <comment ref="H37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 Share</t>
        </r>
      </text>
    </comment>
    <comment ref="I37" authorId="1" shapeId="0" xr:uid="{00000000-0006-0000-0000-000007000000}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 Share</t>
        </r>
      </text>
    </comment>
    <comment ref="J37" authorId="0" shapeId="0" xr:uid="{00000000-0006-0000-0000-000008000000}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Application Share</t>
        </r>
      </text>
    </comment>
    <comment ref="K37" authorId="1" shapeId="0" xr:uid="{00000000-0006-0000-0000-000009000000}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
</t>
        </r>
      </text>
    </comment>
    <comment ref="L37" authorId="1" shapeId="0" xr:uid="{00000000-0006-0000-0000-00000A000000}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
</t>
        </r>
      </text>
    </comment>
    <comment ref="M37" authorId="1" shapeId="0" xr:uid="{00000000-0006-0000-0000-00000B000000}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
</t>
        </r>
      </text>
    </comment>
    <comment ref="N37" authorId="1" shapeId="0" xr:uid="{00000000-0006-0000-0000-00000C000000}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<sst xmlns="http://schemas.openxmlformats.org/spreadsheetml/2006/main" count="373" uniqueCount="291">
  <si>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</si>
  <si>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</si>
  <si>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</si>
  <si>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</si>
  <si>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</si>
  <si>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</si>
  <si>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</si>
  <si>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</si>
  <si>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</si>
  <si>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</si>
  <si>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</si>
  <si>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</si>
  <si>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</si>
  <si>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</si>
  <si>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</si>
  <si>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</si>
  <si>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</si>
  <si>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</si>
  <si>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</si>
  <si>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</si>
  <si>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</si>
  <si>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</si>
  <si>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</si>
  <si>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</si>
  <si>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</si>
  <si>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</si>
  <si>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</si>
  <si>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</si>
  <si>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</si>
  <si>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</si>
  <si>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</si>
  <si>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</si>
  <si>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DateTime</t>
  </si>
  <si>
    <t>string</t>
  </si>
  <si>
    <t>byte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</si>
  <si>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</si>
  <si>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</si>
  <si>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</si>
  <si>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</si>
  <si>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</si>
  <si>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</si>
  <si>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</si>
  <si>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</si>
  <si>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</si>
  <si>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</si>
  <si>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</si>
  <si>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</si>
  <si>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</si>
  <si>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long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</si>
  <si>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</si>
  <si>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</si>
  <si>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</si>
  <si>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</si>
  <si>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</si>
  <si>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</si>
  <si>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</si>
  <si>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</si>
  <si>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</si>
  <si>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</si>
  <si>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</si>
  <si>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</si>
  <si>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</si>
  <si>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</si>
  <si>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</si>
  <si>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</si>
  <si>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</si>
  <si>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</si>
  <si>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</si>
  <si>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</si>
  <si>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</si>
  <si>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</si>
  <si>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</si>
  <si>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</si>
  <si>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</si>
  <si>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</si>
  <si>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</si>
  <si>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</si>
  <si>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</si>
  <si>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</si>
  <si>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</si>
  <si>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</si>
  <si>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</si>
  <si>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</si>
  <si>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</si>
  <si>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</si>
  <si>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</si>
  <si>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</si>
  <si>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</si>
  <si>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</si>
  <si>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</si>
  <si>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</si>
  <si>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</si>
  <si>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</si>
  <si>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</si>
  <si>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</si>
  <si>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</si>
  <si>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</si>
  <si>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</si>
  <si>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</si>
  <si>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</si>
  <si>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</si>
  <si>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</si>
  <si>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</si>
  <si>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</si>
  <si>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</si>
  <si>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</si>
  <si>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</si>
  <si>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</si>
  <si>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</si>
  <si>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</si>
  <si>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</si>
  <si>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</si>
  <si>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</si>
  <si>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</si>
  <si>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</si>
  <si>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</si>
  <si>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</si>
  <si>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</si>
  <si>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</si>
  <si>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</si>
  <si>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</si>
  <si>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</si>
  <si>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</si>
  <si>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</si>
  <si>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</si>
  <si>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</si>
  <si>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</si>
  <si>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</si>
  <si>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</si>
  <si>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</si>
  <si>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</si>
  <si>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</si>
  <si>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</si>
  <si>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</si>
  <si>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</si>
  <si>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</si>
  <si>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</si>
  <si>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</si>
  <si>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</si>
  <si>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</si>
  <si>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</si>
  <si>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</si>
  <si>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</si>
  <si>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</si>
  <si>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</si>
  <si>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</si>
  <si>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</si>
  <si>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</si>
  <si>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</si>
  <si>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</si>
  <si>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</si>
  <si>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</si>
  <si>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</si>
  <si>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</si>
  <si>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</si>
  <si>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</si>
  <si>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</si>
  <si>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</si>
  <si>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</si>
  <si>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</si>
  <si>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</si>
  <si>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</si>
  <si>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</si>
  <si>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</si>
  <si>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</si>
  <si>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</si>
  <si>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</si>
  <si>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</si>
  <si>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</si>
  <si>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</si>
  <si>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</si>
  <si>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</si>
  <si>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</si>
  <si>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</si>
  <si>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</si>
  <si>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</si>
  <si>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</si>
  <si>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</si>
  <si>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</si>
  <si>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</si>
  <si>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</si>
  <si>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</si>
  <si>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</si>
  <si>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</si>
  <si>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</si>
  <si>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</si>
  <si>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</si>
  <si>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</si>
  <si>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</si>
  <si>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</si>
  <si>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</si>
  <si>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</si>
  <si>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</si>
  <si>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</si>
  <si>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</si>
  <si>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</si>
  <si>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</si>
  <si>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</si>
  <si>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</si>
  <si>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</si>
  <si>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</si>
  <si>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</si>
  <si>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</si>
  <si>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</si>
  <si>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</si>
  <si>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</si>
  <si>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Y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</si>
  <si>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</si>
  <si>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</si>
  <si>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</si>
  <si>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</si>
  <si>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</si>
  <si>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</si>
  <si>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</si>
  <si>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</si>
  <si>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</si>
  <si>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</si>
  <si>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</si>
  <si>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</si>
  <si>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</si>
  <si>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</si>
  <si>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</si>
  <si>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</si>
  <si>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</si>
  <si>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</si>
  <si>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</si>
  <si>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</si>
  <si>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</si>
  <si>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</si>
  <si>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</si>
  <si>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</si>
  <si>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</si>
  <si>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</si>
  <si>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</si>
  <si>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</si>
  <si>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</si>
  <si>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</si>
  <si>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</si>
  <si>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</si>
  <si>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</si>
  <si>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</si>
  <si>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</si>
  <si>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</si>
  <si>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</si>
  <si>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</si>
  <si>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</si>
  <si>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</si>
  <si>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</si>
  <si>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</si>
  <si>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</si>
  <si>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</si>
  <si>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</si>
  <si>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</si>
  <si>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</si>
  <si>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</si>
  <si>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</si>
  <si>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</si>
  <si>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</si>
  <si>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</si>
  <si>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</si>
  <si>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</si>
  <si>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</si>
  <si>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import { GridApi, GridReadyEvent } from '@ag-grid-enterprise/all-modules';
import { Component, Injector, OnInit, ViewChild } from '@angular/core';
import { CustomColDef, GridParams, PaginationParamsModel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</si>
  <si>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</si>
  <si>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</si>
  <si>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</si>
  <si>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</si>
  <si>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</si>
  <si>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</si>
  <si>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Master.WorkingPattern</t>
  </si>
  <si>
    <t>IS_ACTIVE</t>
  </si>
  <si>
    <t>varchar(1)</t>
  </si>
  <si>
    <t>PATTERN_H_ID</t>
  </si>
  <si>
    <t>SHIFT_NO</t>
  </si>
  <si>
    <t>START_TIME</t>
  </si>
  <si>
    <t>END_TIME</t>
  </si>
  <si>
    <t>DAY_OF_WEEK</t>
  </si>
  <si>
    <t>SEASON_TYPE</t>
  </si>
  <si>
    <t>varchar(10)</t>
  </si>
  <si>
    <t>time(7)</t>
  </si>
  <si>
    <t>varchar(100)</t>
  </si>
  <si>
    <t>time</t>
  </si>
  <si>
    <t>TimeSpan</t>
  </si>
  <si>
    <t>MstWptWorkingTime</t>
  </si>
  <si>
    <t>WorkingTime</t>
  </si>
  <si>
    <t>Master Working Pattern Pattern D</t>
  </si>
  <si>
    <t>SHOP_ID</t>
  </si>
  <si>
    <t>WORKING_TYPE</t>
  </si>
  <si>
    <t>DESCRIPTION</t>
  </si>
  <si>
    <t>WEEK_WORKING_DAYS</t>
  </si>
  <si>
    <t>nvarchar(250)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</si>
</sst>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9.9978637043366805E-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6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0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applyFont="1"/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0" borderId="0" xfId="0" applyBorder="1" applyAlignment="1">
      <alignment vertical="center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 applyAlignment="1"/>
    <xf numFmtId="0" fontId="0" fillId="10" borderId="3" xfId="0" applyFill="1" applyBorder="1" applyAlignment="1">
      <alignment wrapText="1"/>
    </xf>
    <xf numFmtId="0" fontId="0" fillId="10" borderId="1" xfId="0" applyFill="1" applyBorder="1" applyAlignment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ont="1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10" borderId="3" xfId="0" applyFill="1" applyBorder="1"/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0" fillId="8" borderId="0" xfId="0" applyFill="1" applyBorder="1" applyAlignment="1">
      <alignment wrapText="1"/>
    </xf>
    <xf numFmtId="0" fontId="16" fillId="3" borderId="0" xfId="0" applyFont="1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3" xfId="0" applyFill="1" applyBorder="1"/>
    <xf numFmtId="0" fontId="0" fillId="14" borderId="3" xfId="0" applyFill="1" applyBorder="1" applyAlignment="1">
      <alignment horizontal="left" vertical="top" wrapText="1"/>
    </xf>
    <xf numFmtId="0" fontId="0" fillId="14" borderId="3" xfId="0" applyFill="1" applyBorder="1" applyAlignment="1">
      <alignment horizontal="left" vertical="top"/>
    </xf>
    <xf numFmtId="0" fontId="0" fillId="14" borderId="3" xfId="0" applyFill="1" applyBorder="1"/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N47"/>
  <sheetViews>
    <sheetView topLeftCell="A31" workbookViewId="0">
      <selection activeCell="C38" sqref="C38"/>
    </sheetView>
  </sheetViews>
  <sheetFormatPr defaultRowHeight="15" x14ac:dyDescent="0.25"/>
  <cols>
    <col min="1" max="1" width="3.5703125" customWidth="1"/>
    <col min="2" max="2" width="18.5703125" customWidth="1"/>
    <col min="3" max="5" width="26.140625" customWidth="1"/>
    <col min="6" max="6" width="29.42578125" customWidth="1"/>
    <col min="7" max="10" width="26.140625" customWidth="1"/>
    <col min="11" max="11" width="26.42578125" customWidth="1"/>
    <col min="12" max="12" width="27.7109375" customWidth="1"/>
    <col min="13" max="13" width="25.5703125" customWidth="1"/>
    <col min="14" max="18" width="18.5703125" customWidth="1"/>
  </cols>
  <sheetData>
    <row r="1" spans="1:6" ht="23.25" x14ac:dyDescent="0.35">
      <c r="A1" s="15" t="s">
        <v>74</v>
      </c>
    </row>
    <row r="2" spans="1:6" ht="15.75" x14ac:dyDescent="0.25">
      <c r="A2" s="1"/>
      <c r="B2" s="27" t="s">
        <v>196</v>
      </c>
    </row>
    <row r="3" spans="1:6" x14ac:dyDescent="0.25">
      <c r="A3" s="1"/>
      <c r="B3" s="1" t="s">
        <v>77</v>
      </c>
    </row>
    <row r="4" spans="1:6" x14ac:dyDescent="0.25">
      <c r="A4" s="1"/>
      <c r="B4" s="17" t="s">
        <v>76</v>
      </c>
    </row>
    <row r="5" spans="1:6" x14ac:dyDescent="0.25">
      <c r="A5" s="1"/>
      <c r="B5" s="17" t="s">
        <v>79</v>
      </c>
    </row>
    <row r="6" spans="1:6" x14ac:dyDescent="0.25">
      <c r="A6" s="1"/>
      <c r="B6" s="17" t="s">
        <v>87</v>
      </c>
    </row>
    <row r="7" spans="1:6" x14ac:dyDescent="0.25">
      <c r="A7" s="1"/>
      <c r="B7" s="17"/>
      <c r="C7" s="2" t="s">
        <v>97</v>
      </c>
      <c r="D7" s="2"/>
      <c r="E7" s="2"/>
      <c r="F7" s="2" t="s">
        <v>105</v>
      </c>
    </row>
    <row r="8" spans="1:6" x14ac:dyDescent="0.25">
      <c r="A8" s="1"/>
      <c r="B8" s="17"/>
      <c r="C8" t="s">
        <v>89</v>
      </c>
      <c r="F8" s="1" t="s">
        <v>234</v>
      </c>
    </row>
    <row r="9" spans="1:6" x14ac:dyDescent="0.25">
      <c r="A9" s="1"/>
      <c r="B9" s="17"/>
      <c r="C9" t="s">
        <v>88</v>
      </c>
      <c r="F9" s="1" t="s">
        <v>98</v>
      </c>
    </row>
    <row r="10" spans="1:6" x14ac:dyDescent="0.25">
      <c r="A10" s="1"/>
      <c r="B10" s="17"/>
      <c r="D10" t="s">
        <v>89</v>
      </c>
      <c r="F10" s="1" t="s">
        <v>234</v>
      </c>
    </row>
    <row r="11" spans="1:6" x14ac:dyDescent="0.25">
      <c r="A11" s="1"/>
      <c r="B11" s="17"/>
      <c r="D11" t="s">
        <v>90</v>
      </c>
      <c r="F11" s="1" t="s">
        <v>99</v>
      </c>
    </row>
    <row r="12" spans="1:6" x14ac:dyDescent="0.25">
      <c r="A12" s="1"/>
      <c r="B12" s="17"/>
      <c r="D12" t="s">
        <v>91</v>
      </c>
      <c r="F12" s="1" t="s">
        <v>100</v>
      </c>
    </row>
    <row r="13" spans="1:6" x14ac:dyDescent="0.25">
      <c r="A13" s="1"/>
      <c r="B13" s="17"/>
      <c r="D13" t="s">
        <v>92</v>
      </c>
      <c r="F13" s="1" t="s">
        <v>101</v>
      </c>
    </row>
    <row r="14" spans="1:6" x14ac:dyDescent="0.25">
      <c r="A14" s="1"/>
      <c r="B14" s="17"/>
      <c r="D14" t="s">
        <v>93</v>
      </c>
      <c r="F14" s="1" t="s">
        <v>102</v>
      </c>
    </row>
    <row r="15" spans="1:6" x14ac:dyDescent="0.25">
      <c r="A15" s="1"/>
      <c r="B15" s="17"/>
      <c r="D15" t="s">
        <v>94</v>
      </c>
      <c r="F15" s="1" t="s">
        <v>103</v>
      </c>
    </row>
    <row r="16" spans="1:6" x14ac:dyDescent="0.25">
      <c r="A16" s="1"/>
      <c r="B16" s="17"/>
      <c r="C16" t="s">
        <v>91</v>
      </c>
      <c r="F16" s="1" t="s">
        <v>100</v>
      </c>
    </row>
    <row r="17" spans="1:6" x14ac:dyDescent="0.25">
      <c r="A17" s="1"/>
      <c r="B17" s="17"/>
      <c r="D17" t="s">
        <v>95</v>
      </c>
      <c r="F17" s="1" t="s">
        <v>114</v>
      </c>
    </row>
    <row r="18" spans="1:6" x14ac:dyDescent="0.25">
      <c r="A18" s="1"/>
      <c r="B18" s="17"/>
      <c r="D18" t="s">
        <v>96</v>
      </c>
      <c r="F18" s="1" t="s">
        <v>104</v>
      </c>
    </row>
    <row r="19" spans="1:6" x14ac:dyDescent="0.25">
      <c r="A19" s="1"/>
      <c r="B19" s="17"/>
      <c r="C19" t="s">
        <v>92</v>
      </c>
      <c r="F19" s="1" t="s">
        <v>101</v>
      </c>
    </row>
    <row r="20" spans="1:6" x14ac:dyDescent="0.25">
      <c r="A20" s="1"/>
      <c r="B20" s="17"/>
      <c r="C20" t="s">
        <v>93</v>
      </c>
      <c r="F20" s="1" t="s">
        <v>102</v>
      </c>
    </row>
    <row r="21" spans="1:6" x14ac:dyDescent="0.25">
      <c r="A21" s="1"/>
      <c r="B21" s="17"/>
    </row>
    <row r="22" spans="1:6" x14ac:dyDescent="0.25">
      <c r="A22" s="1"/>
      <c r="B22" s="17" t="s">
        <v>86</v>
      </c>
    </row>
    <row r="23" spans="1:6" x14ac:dyDescent="0.25">
      <c r="A23" s="1"/>
      <c r="B23" s="17" t="s">
        <v>83</v>
      </c>
    </row>
    <row r="24" spans="1:6" x14ac:dyDescent="0.25">
      <c r="A24" s="1"/>
      <c r="B24" s="17"/>
      <c r="C24" s="19" t="s">
        <v>80</v>
      </c>
    </row>
    <row r="25" spans="1:6" x14ac:dyDescent="0.25">
      <c r="A25" s="1"/>
      <c r="B25" s="17"/>
      <c r="C25" s="18" t="s">
        <v>81</v>
      </c>
    </row>
    <row r="26" spans="1:6" x14ac:dyDescent="0.25">
      <c r="A26" s="1"/>
      <c r="B26" s="17"/>
      <c r="C26" s="18" t="s">
        <v>82</v>
      </c>
    </row>
    <row r="27" spans="1:6" x14ac:dyDescent="0.25">
      <c r="A27" s="1"/>
      <c r="B27" s="17" t="s">
        <v>106</v>
      </c>
      <c r="C27" s="18"/>
    </row>
    <row r="28" spans="1:6" x14ac:dyDescent="0.25">
      <c r="A28" s="1"/>
      <c r="B28" s="17"/>
      <c r="C28" s="18" t="s">
        <v>107</v>
      </c>
    </row>
    <row r="29" spans="1:6" x14ac:dyDescent="0.25">
      <c r="A29" s="1"/>
      <c r="B29" s="17"/>
      <c r="C29" s="18" t="s">
        <v>108</v>
      </c>
    </row>
    <row r="30" spans="1:6" x14ac:dyDescent="0.25">
      <c r="A30" s="1"/>
      <c r="B30" s="17"/>
      <c r="C30" s="18" t="s">
        <v>109</v>
      </c>
    </row>
    <row r="31" spans="1:6" x14ac:dyDescent="0.25">
      <c r="A31" s="1"/>
      <c r="B31" s="17"/>
      <c r="C31" s="18" t="s">
        <v>111</v>
      </c>
    </row>
    <row r="32" spans="1:6" x14ac:dyDescent="0.25">
      <c r="A32" s="1"/>
      <c r="B32" s="17"/>
      <c r="C32" s="18" t="s">
        <v>113</v>
      </c>
    </row>
    <row r="33" spans="1:14" x14ac:dyDescent="0.25">
      <c r="A33" s="1"/>
      <c r="B33" s="17"/>
      <c r="C33" s="18" t="s">
        <v>112</v>
      </c>
    </row>
    <row r="34" spans="1:14" x14ac:dyDescent="0.25">
      <c r="A34" s="1"/>
      <c r="B34" s="17"/>
      <c r="C34" s="18" t="s">
        <v>110</v>
      </c>
    </row>
    <row r="35" spans="1:14" ht="21" customHeight="1" x14ac:dyDescent="0.25">
      <c r="B35" s="21" t="s">
        <v>78</v>
      </c>
    </row>
    <row r="36" spans="1:14" ht="21" customHeight="1" x14ac:dyDescent="0.25">
      <c r="B36" s="62" t="s">
        <v>231</v>
      </c>
    </row>
    <row r="37" spans="1:14" ht="15.75" thickBot="1" x14ac:dyDescent="0.3">
      <c r="C37" s="1" t="s">
        <v>72</v>
      </c>
      <c r="D37" s="1" t="s">
        <v>207</v>
      </c>
      <c r="E37" s="1" t="s">
        <v>208</v>
      </c>
      <c r="F37" s="1" t="s">
        <v>198</v>
      </c>
      <c r="G37" s="1" t="s">
        <v>199</v>
      </c>
      <c r="H37" s="1" t="s">
        <v>200</v>
      </c>
      <c r="I37" s="1" t="s">
        <v>201</v>
      </c>
      <c r="J37" s="1" t="s">
        <v>205</v>
      </c>
      <c r="K37" s="1" t="s">
        <v>209</v>
      </c>
      <c r="L37" s="1" t="s">
        <v>210</v>
      </c>
      <c r="M37" s="1" t="s">
        <v>211</v>
      </c>
      <c r="N37" s="1" t="s">
        <v>227</v>
      </c>
    </row>
    <row r="38" spans="1:14" s="16" customFormat="1" ht="21.75" customHeight="1" thickBot="1" x14ac:dyDescent="0.3">
      <c r="B38" s="51" t="s">
        <v>226</v>
      </c>
      <c r="C38" s="50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vovina.Master.WorkingPattern
{
	[Table("MstWptWorkingTime")]
	[Index(nameof(ShiftNo), Name="IX_MstWptWorkingTime_ShiftNo")]
	[Index(nameof(ShopId), Name="IX_MstWptWorkingTime_ShopId")]
	[Index(nameof(PatternHId), Name="IX_MstWptWorkingTime_PatternHId")]
	public class MstWptWorkingTime: FullAuditedEntity&lt;long&gt;, IEntity&lt;long&gt;	
	{
		public const int MaxDescriptionLength = 250;
		public const int MaxSeasonTypeLength = 10;
		public const int MaxDayOfWeekLength = 100;
		public const int MaxIsActiveLength = 1;
		public virtual int ShiftNo { get; set; }
		public virtual int ShopId { get; set; }
		public virtual int WorkingType { get; set; }
		public virtual TimeSpan StartTime { get; set; }
		public virtual TimeSpan EndTime { get; set; }
		[StringLength(MaxDescriptionLength)]
		public virtual string Description { get; set; }
		public virtual int PatternHId { get; set; }
		[StringLength(MaxSeasonTypeLength)]
		public virtual string SeasonType { get; set; }
		[StringLength(MaxDayOfWeekLength)]
		public virtual string DayOfWeek { get; set; }
		public virtual int WeekWorkingDays { get; set; }
		[StringLength(MaxIsActiveLength)]
		public virtual string IsActive { get; set; }
	}
}
</v>
      </c>
      <c r="D38" s="50" t="str">
        <f>A.Backend!O7</f>
        <v xml:space="preserve">		public const string Pages_Master_WorkingPattern_WorkingTime = "Pages.Master.WorkingPattern.WorkingTime";
		public const string Pages_Master_WorkingPattern_WorkingTime_CreateEdit = "Pages.Master.WorkingPattern.WorkingTime.CreateEdit";
		public const string Pages_Master_WorkingPattern_WorkingTime_Delete = "Pages.Master.WorkingPattern.WorkingTime.Delete";
</v>
      </c>
      <c r="E38" s="50" t="str">
        <f>A.Backend!N7</f>
        <v xml:space="preserve">		var perMstWptWorkingTime = PARENTS.CreateChildPermission(AppPermissions.Pages_Master_WorkingPattern_WorkingTime, L( "MasterWorkingPatternWorkingTime"));
		perMstWptWorkingTime.CreateChildPermission(AppPermissions.Pages_Master_WorkingPattern_WorkingTime_CreateEdit, L( "MasterWorkingPatternWorkingTimeCreateEdit"));
		perMstWptWorkingTime.CreateChildPermission(AppPermissions.Pages_Master_WorkingPattern_WorkingTime_Delete, L( "MasterWorkingPatternWorkingTimeDelete"));</v>
      </c>
      <c r="F38" s="50" t="str">
        <f>A.Backend!K7</f>
        <v>public virtual DbSet&lt;MstWptWorkingTime&gt; MstWptWorkingTimes { get; set; }</v>
      </c>
      <c r="G38" s="50" t="str">
        <f ca="1">A.Backend!L7</f>
        <v xml:space="preserve">namespace vovina.Master.WorkingPattern
{
	public class MstWptWorkingTimeConsts	
	{
		public const int MaxDescriptionLength = 250;
		public const int MaxSeasonTypeLength = 10;
		public const int MaxDayOfWeekLength = 100;
		public const int MaxIsActiveLength = 1;
		// Define Store Name: Format SP_ + &lt;Store Name&gt; = &lt;Store Name&gt;
	}
}
</v>
      </c>
      <c r="H38" s="50" t="str">
        <f ca="1">A.Backend!M7</f>
        <v xml:space="preserve">using Abp.Application.Services.Dto;
using System;
using System.ComponentModel.DataAnnotations;
namespace vovina.Master.WorkingPattern.Dto
{
	public class MstWptWorkingTimeDto : EntityDto&lt;long?&gt;	
	{
		public virtual int ShiftNo { get; set; }
		public virtual int ShopId { get; set; }
		public virtual int WorkingType { get; set; }
		public virtual TimeSpan? StartTime { get; set; }
		public virtual TimeSpan? EndTime { get; set; }
		public virtual string Description { get; set; }
		public virtual int PatternHId { get; set; }
		public virtual string SeasonType { get; set; }
		public virtual string DayOfWeek { get; set; }
		public virtual int WeekWorkingDays { get; set; }
		public virtual string IsActive { get; set; }
	}
	public class CreateOrEditMstWptWorkingTimeDto : EntityDto&lt;long?&gt;	
	{
		public virtual int ShiftNo { get; set; }
		public virtual int ShopId { get; set; }
		public virtual int WorkingType { get; set; }
		public virtual TimeSpan? StartTime { get; set; }
		public virtual TimeSpan? EndTime { get; set; }
		[StringLength(MstWptWorkingTimeConsts.MaxDescriptionLength)]
		public virtual string Description { get; set; }
		public virtual int PatternHId { get; set; }
		[StringLength(MstWptWorkingTimeConsts.MaxSeasonTypeLength)]
		public virtual string SeasonType { get; set; }
		[StringLength(MstWptWorkingTimeConsts.MaxDayOfWeekLength)]
		public virtual string DayOfWeek { get; set; }
		public virtual int WeekWorkingDays { get; set; }
		[StringLength(MstWptWorkingTimeConsts.MaxIsActiveLength)]
		public virtual string IsActive { get; set; }
	}
	public class GetMstWptWorkingTimeInput : PagedAndSortedResultRequestDto	
	{
		public virtual int ShiftNo { get; set; }
		public virtual int ShopId { get; set; }
		public virtual int WorkingType { get; set; }
		public virtual string Description { get; set; }
		public virtual int PatternHId { get; set; }
		public virtual string SeasonType { get; set; }
		public virtual string DayOfWeek { get; set; }
		public virtual int WeekWorkingDays { get; set; }
		public virtual string IsActive { get; set; }
	}
}
</v>
      </c>
      <c r="I38" s="50" t="str">
        <f ca="1">A.Backend!R7</f>
        <v xml:space="preserve">using Abp.Application.Services.Dto;
using System;
using System.ComponentModel.DataAnnotations;
namespace vovina.Master.WorkingPattern.Dto
{
	public class MstWptWorkingTimeExportInput{
		public virtual int ShiftNo { get; set; }
		public virtual int ShopId { get; set; }
		public virtual int WorkingType { get; set; }
		public virtual TimeSpan? StartTime { get; set; }
		public virtual TimeSpan? EndTime { get; set; }
		public virtual string Description { get; set; }
		public virtual int PatternHId { get; set; }
		public virtual string SeasonType { get; set; }
		public virtual string DayOfWeek { get; set; }
		public virtual int WeekWorkingDays { get; set; }
		public virtual string IsActive { get; set; }
	}
}
</v>
      </c>
      <c r="J38" s="50" t="str">
        <f>A.Backend!P7</f>
        <v xml:space="preserve">using Abp.Application.Services;
using Abp.Application.Services.Dto;
using System.Collections.Generic;using vovina.Dto;
using System.Threading.Tasks;
using vovina.Master.WorkingPattern.Dto;
namespace vovina.Master.WorkingPattern
{
	public interface IMstWptWorkingTimeAppService : IApplicationService
	{
		Task&lt;PagedResultDto&lt;MstWptWorkingTimeDto&gt;&gt; GetAll(GetMstWptWorkingTimeInput input);
		Task CreateOrEdit(CreateOrEditMstWptWorkingTimeDto input);
		Task Delete(EntityDto input);
	}
}
</v>
      </c>
      <c r="K38" s="50" t="str">
        <f>A.Backend!S7</f>
        <v xml:space="preserve">using Abp.Application.Services;
using Abp.Application.Services.Dto;
using System.Collections.Generic;using vovina.Dto;
using System.Threading.Tasks;
using vovina.Master.WorkingPattern.Dto;
namespace vovina.Master.WorkingPattern.Exporting
{
	public interface IMstWptWorkingTimeExcelExporter : IApplicationService
	{
		FileDto ExportToFile(List&lt;MstWptWorkingTimeDto&gt; mstwptworkingtime);
	}
}
</v>
      </c>
      <c r="L38" s="50" t="str">
        <f ca="1">A.Backend!T7</f>
        <v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MstWptWorkingTimeExcelExporter : NpoiExcelExporterBase, IMstWptWorkingTimeExcelExporter
    {
        public MstWptWorkingTimeExcelExporter(ITempFileCacheManager tempFileCacheManager) : base(tempFileCacheManager) { }
        public FileDto ExportToFile(List&lt;MstWptWorkingTimeDto&gt; workingtime)
        {
            return CreateExcelPackage(
				"MasterWorkingPatternWorkingTime.xlsx",
				excelPackage =&gt;
				 {
					var sheet = excelPackage.CreateSheet("WorkingTime");
					AddHeader(
								sheet,
								("ShiftNo"),
								("ShopId"),
								("WorkingType"),
								("StartTime"),
								("EndTime"),
								("Description"),
								("PatternHId"),
								("SeasonType"),
								("DayOfWeek"),
								("WeekWorkingDays"),
								("IsActive"),
							   );
					AddObjects(
						 sheet, 1, workingtime,                                       
								_ =&gt; _.ShiftNo,
								_ =&gt; _.ShopId,
								_ =&gt; _.WorkingType,
								_ =&gt; _.StartTime,
								_ =&gt; _.EndTime,
								_ =&gt; _.Description,
								_ =&gt; _.PatternHId,
								_ =&gt; _.SeasonType,
								_ =&gt; _.DayOfWeek,
								_ =&gt; _.WeekWorkingDays,
								_ =&gt; _.IsActive,
								);
			for (var i = 0; i &lt; 8; i++)
				{
					sheet.AutoSizeColumn(i);
				}
			});
        }
    }
}</v>
      </c>
      <c r="M38" s="58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[AbpAuthorize(AppPermissions.Pages_Master_WorkingPattern_WorkingTime)]
    public class MstWptWorkingTimeAppService : vovinaAppServiceBase, IMstWptWorkingTimeAppService
    {
        private readonly IDapperRepository&lt;MstWptWorkingTime, long&gt; _dapperRepo;
        private readonly IRepository&lt;MstWptWorkingTime, long&gt; _repo;
        private readonly IMstWptWorkingTimeExcelExporter _calendarListExcelExporter;
        public MstWptWorkingTimeAppService(IRepository&lt;MstWptWorkingTime,long&gt; repo, 
                                         IDapperRepository&lt;MstWptWorkingTime,long&gt; dapperRepo,
                                        IMstWptWorkingTimeExcelExporter calendarListExcelExporter
            )
        {
            _repo = repo;
            _dapperRepo = dapperRepo;
            _calendarListExcelExporter = calendarListExcelExporter;
        }
        [AbpAuthorize(AppPermissions.Pages_Master_WorkingPattern_WorkingTime_CreateEdit)]
        public async Task CreateOrEdit(CreateOrEditMstWptWorkingTimeDto input)
        {
            if (input.Id == null) await Create(input);
            else await Update(input);
        }
        //CREATE
        private async Task Create(CreateOrEditMstWptWorkingTimeDto input)
        {          
            var mainObj = ObjectMapper.Map&lt;MstWptWorkingTime&gt;(input);
            await CurrentUnitOfWork.GetDbContext&lt;vovinaDbContext&gt;().AddAsync(mainObj);
        }
        // EDIT
        private async Task Update(CreateOrEditMstWptWorkingTimeDto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[AbpAuthorize(AppPermissions.Pages_Master_WorkingPattern_WorkingTime_Delete)]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Task&lt;PagedResultDto&lt;MstWptWorkingTimeDto&gt;&gt; GetAll(GetMstWptWorkingTimeInput input)
        {
            var filtered = _repo.GetAll()
				.WhereIf(!string.IsNullOrWhiteSpace(input.Description), e =&gt; e.Description.Contains(input.Description))
				.WhereIf(!string.IsNullOrWhiteSpace(input.SeasonType), e =&gt; e.SeasonType.Contains(input.SeasonType))
				.WhereIf(!string.IsNullOrWhiteSpace(input.DayOfWeek), e =&gt; e.DayOfWeek.Contains(input.DayOfWeek))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MstWptWorkingTimeDto
                        {
							Id = o.Id,
							ShiftNo = o.ShiftNo,
							ShopId = o.ShopId,
							WorkingType = o.WorkingType,
							StartTime = o.StartTime,
							EndTime = o.EndTime,
							Description = o.Description,
							PatternHId = o.PatternHId,
							SeasonType = o.SeasonType,
							DayOfWeek = o.DayOfWeek,
							WeekWorkingDays = o.WeekWorkingDays,
							IsActive = o.IsActive,
                        };
            var totalCount = await filtered.CountAsync();
			var paged = system.PageBy(input);
            return new PagedResultDto&lt;MstWptWorkingTimeDto&gt;(
                totalCount,
                 await paged.ToListAsync()
            );
        }
        public async Task&lt;FileDto&gt; GetWorkingTimeToExcel(MstWptWorkingTimeExportInput input)
        {
            var query = from o in _repo.GetAll()
                        select new MstWptWorkingTimeDto
                        {
							Id = o.Id,
							ShiftNo = o.ShiftNo,
							ShopId = o.ShopId,
							WorkingType = o.WorkingType,
							StartTime = o.StartTime,
							EndTime = o.EndTime,
							Description = o.Description,
							PatternHId = o.PatternHId,
							SeasonType = o.SeasonType,
							DayOfWeek = o.DayOfWeek,
							WeekWorkingDays = o.WeekWorkingDays,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_dapperRepo.ExecuteAsync(MstWptWorkingTimeConsts.SP_MST_WPT_CALENDAR_GENERATE);
       // }
    }
}</v>
      </c>
      <c r="N38" s="61" t="str">
        <f>A.Backend!U7</f>
        <v xml:space="preserve">  configuration.CreateMap&lt;MstWptWorkingTimeDto, MstWptWorkingTime&gt;();
  configuration.CreateMap&lt;MstWptWorkingTime, MstWptWorkingTimeDto&gt;();
  configuration.CreateMap&lt;CreateOrEditMstWptWorkingTimeDto, MstWptWorkingTime&gt;();</v>
      </c>
    </row>
    <row r="39" spans="1:14" s="16" customFormat="1" ht="21.75" customHeight="1" x14ac:dyDescent="0.25">
      <c r="C39" s="64"/>
      <c r="D39" s="29"/>
      <c r="E39" s="29"/>
      <c r="F39" s="29"/>
      <c r="G39" s="29"/>
      <c r="H39" s="65"/>
      <c r="I39" s="66"/>
      <c r="J39" s="29"/>
      <c r="K39" s="29"/>
      <c r="M39" s="65"/>
    </row>
    <row r="40" spans="1:14" s="16" customFormat="1" ht="21.75" customHeight="1" x14ac:dyDescent="0.25">
      <c r="C40" s="29"/>
      <c r="D40" s="29"/>
      <c r="E40" s="29"/>
      <c r="F40" s="29"/>
      <c r="G40" s="29"/>
      <c r="H40" s="29"/>
      <c r="J40" s="29"/>
      <c r="K40" s="29"/>
      <c r="M40" s="29"/>
    </row>
    <row r="41" spans="1:14" s="16" customFormat="1" ht="21.75" customHeight="1" x14ac:dyDescent="0.25">
      <c r="C41" s="29"/>
      <c r="D41" s="29"/>
      <c r="E41" s="29"/>
      <c r="G41" s="29"/>
      <c r="H41" s="29"/>
    </row>
    <row r="42" spans="1:14" x14ac:dyDescent="0.25">
      <c r="B42" s="1" t="s">
        <v>73</v>
      </c>
    </row>
    <row r="43" spans="1:14" ht="21" x14ac:dyDescent="0.35">
      <c r="B43" t="str">
        <f>B.Frontend!B8</f>
        <v>workingtime</v>
      </c>
      <c r="C43" s="74" t="str">
        <f>"create folder " &amp;B43</f>
        <v>create folder workingtime</v>
      </c>
      <c r="D43" s="74"/>
      <c r="E43" s="74"/>
      <c r="F43" s="74"/>
      <c r="G43" s="74"/>
      <c r="H43" s="74"/>
      <c r="I43" s="74"/>
      <c r="J43" s="74"/>
      <c r="K43" s="75" t="s">
        <v>228</v>
      </c>
      <c r="L43" s="75"/>
      <c r="M43" s="31"/>
    </row>
    <row r="44" spans="1:14" s="28" customFormat="1" ht="18" customHeight="1" x14ac:dyDescent="0.25">
      <c r="B44" s="59" t="s">
        <v>229</v>
      </c>
      <c r="C44" s="31" t="str">
        <f>B.Frontend!H14</f>
        <v>workingtime.component.ts</v>
      </c>
      <c r="D44" s="31" t="str">
        <f>B.Frontend!I14</f>
        <v>workingtime.component.html</v>
      </c>
      <c r="E44" s="31" t="str">
        <f>B.Frontend!J14</f>
        <v>workingtime.component.less</v>
      </c>
      <c r="F44" s="31" t="str">
        <f>B.Frontend!K14</f>
        <v>create-or-edit-workingtime-modal.component.html</v>
      </c>
      <c r="G44" s="31" t="str">
        <f>B.Frontend!L14</f>
        <v>create-or-edit-workingtime-modal.component.ts</v>
      </c>
      <c r="H44" s="31" t="str">
        <f>B.Frontend!M14</f>
        <v>create-or-edit-workingtime-modal.component.less</v>
      </c>
      <c r="I44" s="31" t="str">
        <f>B.Frontend!N14</f>
        <v>workingtime.module.ts</v>
      </c>
      <c r="J44" s="31" t="str">
        <f>B.Frontend!O14</f>
        <v>workingtime-routing.module.ts</v>
      </c>
      <c r="K44" s="31" t="str">
        <f>B.Frontend!P14</f>
        <v>app.navigation.service.ts</v>
      </c>
      <c r="L44" s="31" t="str">
        <f>B.Frontend!Q14</f>
        <v>main.routing.module.ts</v>
      </c>
      <c r="M44" s="59" t="s">
        <v>232</v>
      </c>
    </row>
    <row r="45" spans="1:14" ht="21.75" customHeight="1" x14ac:dyDescent="0.25">
      <c r="B45" s="60" t="s">
        <v>226</v>
      </c>
      <c r="C45" s="48" t="str">
        <f ca="1">B.Frontend!H10</f>
        <v>import { GridApi, GridReadyEvent } from '@ag-grid-enterprise/all-modules';
import { Component, Injector, OnInit, ViewChild } from '@angular/core';
import { CustomColDef, GridParams, PaginationParamsModel } from '@app/shared/common/models/base.model';
import { GridTableService } from '@app/shared/common/services/grid-table.service';
import { AppComponentBase } from '@shared/common/app-component-base';
import { MstWptWorkingTimeDto, MstWptWorkingTimeServiceProxy } from '@shared/service-proxies/service-proxies';
import { finalize } from 'rxjs/internal/operators/finalize';
import { CreateOrEditWorkingTimeModalComponent } from './create-or-edit-workingtime-modal.component';
import { DatePipe } from '@angular/common';
import { FileDownloadService } from '@shared/utils/file-download.service';
import ceil from 'lodash-es/ceil';
import { Paginator } from 'primeng/paginator';
@Component({
    templateUrl: './workingtime.component.html',
    styleUrls: ['./workingtime.component.less'],
})
export class WorkingTimeComponent extends AppComponentBase implements OnInit {
    @ViewChild('createOrEditModalWorkingTime', { static: true }) createOrEditModalWorkingTime:| CreateOrEditWorkingTimeModalComponent|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MstWptWorkingTimeDto = new MstWptWorkingTimeDto();
    saveSelectedRow: MstWptWorkingTimeDto = new MstWptWorkingTimeDto();
    datas: MstWptWorkingTimeDto = new MstWptWorkingTimeDto();
    isLoading: boolean = false;
    dataParams: GridParams | undefined;
    rowData: any[] = [];
    gridApi!: GridApi;
    rowSelection = 'multiple';
    filter: string = '';
	pipe = new DatePipe('en-US');
    shiftNo : number = 0 ;
	shopId : number = 0 ;
	workingType : number = 0 ;
startTime : any ;
	endTime : any ;
	description : string = '' ; 
patternHId : number = 0 ;
	seasonType : string = '' ; 
	dayOfWeek : string = '' ; 
weekWorkingDays : number = 0 ;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MstWptWorkingTimeServiceProxy,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this.l('Shift No'),headerTooltip: this.l('Shift No'),field: 'shiftNo',flex: 1},
			{headerName: this.l('Shop Id'),headerTooltip: this.l('Shop Id'),field: 'shopId',flex: 1},
			{headerName: this.l('Working Type'),headerTooltip: this.l('Working Type'),field: 'workingType',flex: 1},
			{headerName: this.l('Start Time'),headerTooltip: this.l('Start Time'),field: 'startTime',flex: 1},
			{headerName: this.l('End Time'),headerTooltip: this.l('End Time'),field: 'endTime',flex: 1},
			{headerName: this.l('Description'),headerTooltip: this.l('Description'),field: 'description',flex: 1},
			{headerName: this.l('Pattern H Id'),headerTooltip: this.l('Pattern H Id'),field: 'patternHId',flex: 1},
			{headerName: this.l('Season Type'),headerTooltip: this.l('Season Type'),field: 'seasonType',flex: 1},
			{headerName: this.l('Day Of Week'),headerTooltip: this.l('Day Of Week'),field: 'dayOfWeek',flex: 1},
			{headerName: this.l('Week Working Days'),headerTooltip: this.l('Week Working Days'),field: 'weekWorkingDays',flex: 1},
			{headerName: this.l('Is Active'),headerTooltip: this.l('Is Active'),field: 'isActive',flex: 1},      	  
        ];
    }
    ngOnInit(): void {
        this.paginationParams = { pageNum: 1, pageSize: 20, totalCount: 0 };
    }
    searchDatas(): void {
        // this.paginator.changePage(this.paginator.getPage());
        this._service.getAll(
			this.shiftNo,
			this.shopId,
			this.workingType,
			this.startTime,
			this.endTime,
			this.description,
			this.patternHId,
			this.seasonType,
			this.dayOfWeek,
			this.weekWorkingDays,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this.shiftNo = 0,
		this.shopId = 0,
		this.workingType = 0,
this.startTime = '',
		this.endTime = '',
		this.description = '',
this.patternHId = 0,
		this.seasonType = '',
		this.dayOfWeek = '',
this.weekWorkingDays = 0,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this.shiftNo,
			this.shopId,
			this.workingType,
			this.startTime,
			this.endTime,
			this.description,
			this.patternHId,
			this.seasonType,
			this.dayOfWeek,
			this.weekWorkingDays,
			this.isActive,
			'',
            this.paginationParams.skipCount,
            this.paginationParams.pageSize
        );
    }
    onChangeRowSelection(params: { api: { getSelectedRows: () =&gt; MstWptWorkingTimeDto[] } }) {
        this.saveSelectedRow = params.api.getSelectedRows()[0] ?? new MstWptWorkingTimeDto();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MstWptWorkingTimeDto):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this._service.getWorkingTimeToExcel(
			this.shiftNo,
			this.shopId,
			this.workingType,
			this.startTime,
			this.endTime,
			this.description,
			this.patternHId,
			this.seasonType,
			this.dayOfWeek,
			this.weekWorkingDays,
			this.isActive,
            )
            .subscribe((result) =&gt; {
                this._fileDownloadService.downloadTempFile(result);
        });
    }
}</v>
      </c>
      <c r="D45" s="48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Master Working Pattern Pattern D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[(ngModel)]='description' name='description'
									class='form-control' [placeholder]="l('Description')"
									type='text' (keyup.enter)='searchDatas()'&gt;
								&lt;/div&gt;
								&lt;div class='input-search'&gt;
									&lt;input [(ngModel)]='seasonType' name='seasonType'
									class='form-control' [placeholder]="l('Season Type')"
									type='text' (keyup.enter)='searchDatas()'&gt;
								&lt;/div&gt;
								&lt;div class='input-search'&gt;
									&lt;input [(ngModel)]='dayOfWeek' name='dayOfWeek'
									class='form-control' [placeholder]="l('Day Of Week')"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(click)="createOrEditModalWorkingTime.show()"&gt;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(click)="createOrEditModalWorkingTime.show(selectedRow)"&gt;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&lt;create-or-edit-workingtime-modal
    #createOrEditModalWorkingTime
    (modalSave)="callBackDataGrid(dataParams)"
    (modalClose)="onChangeRowSelection(dataParams)"
&gt;
&lt;/create-or-edit-workingtime-modal&gt;</v>
      </c>
      <c r="E45" s="48" t="str">
        <f>B.Frontend!J10</f>
        <v>.input-search{
    width: 250px;
    border-radius: 10px;
    margin-left: 10px;
}
.btn-search{
    width: 50px;
    margin-left: 10px;
}</v>
      </c>
      <c r="F45" s="48" t="str">
        <f ca="1">B.Frontend!K10</f>
        <v>&lt;div bsModal #createOrEditModalWorkingTime="bs-modal"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WorkingTime')}}&lt;/h3&gt;
                    &lt;h3 *ngIf="!rowdata.id"&gt;{{('Create New WorkingTime')}}&lt;/h3&gt;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title'&gt;Description&lt;/label&gt;
						&lt;input type='text' class='col-md-10 form-control input-text' name='Description' [(ngModel)]='rowdata.description'&gt;
					&lt;/div&gt;
					&lt;div class='col-md-12 form-group row'&gt;
						&lt;label class='col-md-2 form-control title'&gt;Season Type&lt;/label&gt;
						&lt;input type='text' class='col-md-10 form-control input-text' name='SeasonType' [(ngModel)]='rowdata.seasonType'&gt;
					&lt;/div&gt;
					&lt;div class='col-md-12 form-group row'&gt;
						&lt;label class='col-md-2 form-control title'&gt;Day Of Week&lt;/label&gt;
						&lt;input type='text' class='col-md-10 form-control input-text' name='DayOfWeek' [(ngModel)]='rowdata.dayOfWeek'&gt;
					&lt;/div&gt;
					&lt;div class='col-md-12 form-group row'&gt;
						&lt;label class='col-md-2 form-control title'&gt;Is Active&lt;/label&gt;
						&lt;input class='col-md-10 form-control checkboxActive' type='checkbox' name='isActive'
						[checked]='_isActive' (change)='changeActive($event)'&gt;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45" s="48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CreateOrEditMstWptWorkingTimeDto, MstWptWorkingTimeServiceProxy } from '@shared/service-proxies/service-proxies';
import { BsDatepickerDirective } from 'ngx-bootstrap/datepicker';
@Component({
    selector: 'create-or-edit-workingtime-modal',
    templateUrl: './create-or-edit-workingtime-modal.component.html',
    styleUrls: ['./create-or-edit-workingtime-modal.component.less']
    })
export class CreateOrEditWorkingTimeModalComponent extends AppComponentBase {
    @ViewChild('createOrEditModalWorkingTime',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CreateOrEditMstWptWorkingTimeDto = new CreateOrEditMstWptWorkingTimeDto();
    active: boolean = false;
    saving: boolean = false;
    _isActive: boolean;
    constructor(
        injector: Injector,
        private _mstwptWorkingTimeService: MstWptWorkingTimeServiceProxy,
    ) 
    {
        super(injector);
    }
    show(rowdata?: CreateOrEditMstWptWorkingTimeDto): void {
        if (!rowdata) this.rowdata = new CreateOrEditMstWptWorkingTimeDto();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this._mstwptWorkingTimeService.createOrEdit(this.rowdata)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45" s="48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45" s="48" t="str">
        <f>B.Frontend!N10</f>
        <v>import {NgModule} from '@angular/core';
import {AppSharedModule} from '@app/shared/app-shared.module';
import { WorkingTimeRoutingModule } from './workingtime-routing.module';
import { WorkingTimeComponent } from './workingtime.component';
import { CreateOrEditWorkingTimeModalComponent } from './create-or-edit-workingtime-modal.component';
@NgModule({
    declarations: [
       WorkingTimeComponent, 
        CreateOrEditWorkingTimeModalComponent
    ],
    imports: [
        AppSharedModule, WorkingTimeRoutingModule]
})
export class WorkingTimeModule {}</v>
      </c>
      <c r="J45" s="48" t="str">
        <f>B.Frontend!O10</f>
        <v>import {NgModule} from '@angular/core';
import {RouterModule, Routes} from '@angular/router';
import { WorkingTimeComponent } from './workingtime.component';
const routes: Routes = [{
    path: '',
    component: WorkingTimeComponent,
    pathMatch: 'full'
}];
@NgModule({
    imports: [RouterModule.forChild(routes)],
    exports: [RouterModule],
})
export class WorkingTimeRoutingModule {}</v>
      </c>
      <c r="K45" s="48" t="str">
        <f>B.Frontend!P10</f>
        <v xml:space="preserve"> new AppMenuItem("WorkingTime", "Pages.Master.WorkingPattern.WorkingTime", "flaticon-book",   "/app/main/master/workingpattern/workingtime"),</v>
      </c>
      <c r="L45" s="49" t="str">
        <f>B.Frontend!Q10</f>
        <v>{
    path: 'master/workingpattern/workingtime',
    loadChildren: () =&gt; import('./master/workingpattern/workingtime/workingtime.module').then(m =&gt; m.WorkingTimeModule),
    data: { permission: 'Pages.Master.WorkingPattern.WorkingTime' }
},</v>
      </c>
      <c r="M45" s="47" t="str">
        <f>B.Frontend!R10</f>
        <v>ApiServiceProxies.MstWptWorkingTimeServiceProxy,</v>
      </c>
    </row>
    <row r="47" spans="1:14" x14ac:dyDescent="0.25">
      <c r="B47" s="1" t="s">
        <v>75</v>
      </c>
    </row>
  </sheetData>
  <mergeCells count="2">
    <mergeCell ref="C43:J43"/>
    <mergeCell ref="K43:L4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W21"/>
  <sheetViews>
    <sheetView tabSelected="1" topLeftCell="A6" workbookViewId="0">
      <pane xSplit="1" topLeftCell="G1" activePane="topRight" state="frozen"/>
      <selection pane="topRight" activeCell="O9" sqref="O9:O19"/>
    </sheetView>
  </sheetViews>
  <sheetFormatPr defaultColWidth="9.140625" defaultRowHeight="15" x14ac:dyDescent="0.25"/>
  <cols>
    <col min="1" max="1" width="20.85546875" style="8" customWidth="1"/>
    <col min="2" max="2" width="20.42578125" style="9" customWidth="1"/>
    <col min="3" max="3" width="19.42578125" style="8" customWidth="1"/>
    <col min="4" max="4" width="23.42578125" style="8" customWidth="1"/>
    <col min="5" max="5" width="14.42578125" style="8" customWidth="1"/>
    <col min="6" max="6" width="14.85546875" style="8" customWidth="1"/>
    <col min="7" max="7" width="17.28515625" style="8" bestFit="1" customWidth="1"/>
    <col min="8" max="8" width="15" style="8" customWidth="1"/>
    <col min="9" max="9" width="16" style="8" customWidth="1"/>
    <col min="10" max="10" width="15.85546875" style="8" customWidth="1"/>
    <col min="11" max="11" width="16" style="8" customWidth="1"/>
    <col min="12" max="12" width="16.7109375" style="8" customWidth="1"/>
    <col min="13" max="13" width="17.42578125" style="8" customWidth="1"/>
    <col min="14" max="14" width="16.140625" style="8" customWidth="1"/>
    <col min="15" max="15" width="14.7109375" style="8" customWidth="1"/>
    <col min="16" max="16" width="16" style="8" customWidth="1"/>
    <col min="17" max="17" width="15.7109375" style="8" customWidth="1"/>
    <col min="18" max="18" width="19.5703125" style="8" customWidth="1"/>
    <col min="19" max="19" width="20.5703125" style="8" customWidth="1"/>
    <col min="20" max="20" width="17" style="8" customWidth="1"/>
    <col min="21" max="21" width="14" style="8" customWidth="1"/>
    <col min="22" max="22" width="15.140625" style="8" customWidth="1"/>
    <col min="23" max="23" width="27.85546875" style="9" customWidth="1"/>
    <col min="24" max="16384" width="9.140625" style="8"/>
  </cols>
  <sheetData>
    <row r="1" spans="1:23" s="11" customFormat="1" ht="14.25" customHeight="1" x14ac:dyDescent="0.25">
      <c r="A1" s="1" t="s">
        <v>11</v>
      </c>
      <c r="B1" s="10" t="s">
        <v>71</v>
      </c>
      <c r="C1" s="10" t="s">
        <v>54</v>
      </c>
      <c r="D1" s="10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vovina.Master.WorkingPattern.Dto;</v>
      </c>
      <c r="E1" s="10" t="s">
        <v>268</v>
      </c>
      <c r="F1" s="11" t="s">
        <v>239</v>
      </c>
      <c r="H1" s="11" t="s">
        <v>240</v>
      </c>
      <c r="J1" s="11" t="s">
        <v>241</v>
      </c>
      <c r="L1" s="11" t="s">
        <v>242</v>
      </c>
      <c r="M1" s="11" t="s">
        <v>243</v>
      </c>
      <c r="N1" s="11" t="s">
        <v>244</v>
      </c>
      <c r="O1" s="11" t="s">
        <v>245</v>
      </c>
      <c r="T1" s="10" t="s">
        <v>259</v>
      </c>
      <c r="U1" s="10" t="s">
        <v>230</v>
      </c>
      <c r="W1" s="10"/>
    </row>
    <row r="2" spans="1:23" s="11" customFormat="1" ht="30" x14ac:dyDescent="0.25">
      <c r="A2" s="1" t="s">
        <v>12</v>
      </c>
      <c r="B2" s="30" t="s">
        <v>269</v>
      </c>
      <c r="C2" s="14" t="s">
        <v>40</v>
      </c>
      <c r="D2" s="14" t="s">
        <v>41</v>
      </c>
      <c r="E2" s="14" t="s">
        <v>42</v>
      </c>
      <c r="F2" s="14" t="s">
        <v>51</v>
      </c>
      <c r="G2" s="14" t="s">
        <v>49</v>
      </c>
      <c r="H2" s="14" t="s">
        <v>52</v>
      </c>
      <c r="I2" s="14" t="s">
        <v>45</v>
      </c>
      <c r="J2" s="14" t="s">
        <v>53</v>
      </c>
      <c r="K2" s="14" t="s">
        <v>55</v>
      </c>
      <c r="L2" s="14" t="s">
        <v>62</v>
      </c>
      <c r="M2" s="14" t="s">
        <v>61</v>
      </c>
      <c r="N2" s="14" t="s">
        <v>65</v>
      </c>
      <c r="O2" s="14" t="s">
        <v>85</v>
      </c>
      <c r="T2" s="11" t="s">
        <v>246</v>
      </c>
      <c r="V2" s="11" t="s">
        <v>247</v>
      </c>
      <c r="W2" s="10" t="s">
        <v>258</v>
      </c>
    </row>
    <row r="3" spans="1:23" s="11" customFormat="1" ht="33" customHeight="1" x14ac:dyDescent="0.25">
      <c r="A3" s="1" t="s">
        <v>5</v>
      </c>
      <c r="B3" s="30" t="s">
        <v>283</v>
      </c>
      <c r="C3" s="10" t="s">
        <v>43</v>
      </c>
      <c r="D3" s="10" t="s">
        <v>44</v>
      </c>
      <c r="E3" s="10" t="s">
        <v>39</v>
      </c>
      <c r="F3" s="11" t="str">
        <f>"J"&amp;COUNTA($A:$A)</f>
        <v>J19</v>
      </c>
      <c r="G3" s="4" t="s">
        <v>57</v>
      </c>
      <c r="H3" s="10" t="str">
        <f>"I"&amp;COUNTA($A:$A)</f>
        <v>I19</v>
      </c>
      <c r="I3" s="10" t="str">
        <f>REPT(CHAR(9),2)&amp;"[Required]"&amp;"
"</f>
        <v xml:space="preserve">		[Required]
</v>
      </c>
      <c r="J3" s="11" t="str">
        <f>"L"&amp;COUNTA($A:$A)</f>
        <v>L19</v>
      </c>
      <c r="K3" s="5" t="s">
        <v>56</v>
      </c>
      <c r="L3" s="11" t="str">
        <f>"M"&amp;COUNTA($A:$A)</f>
        <v>M19</v>
      </c>
      <c r="M3" s="11" t="str">
        <f>"N"&amp;COUNTA($A:$A)</f>
        <v>N19</v>
      </c>
      <c r="N3" s="11" t="str">
        <f>"O"&amp;COUNTA($A:$A)</f>
        <v>O19</v>
      </c>
      <c r="O3" s="11" t="str">
        <f>"P"&amp;COUNTA($A:$A)</f>
        <v>P19</v>
      </c>
      <c r="Q3" s="11" t="str">
        <f>RIGHT(B2,(LEN(B2)-FIND(".",B2,1)))</f>
        <v>WorkingPattern</v>
      </c>
      <c r="R3" s="32" t="str">
        <f>REPT(CHAR(9),1)&amp;"public class "&amp;B3&amp;"ExportInput"&amp;C3</f>
        <v xml:space="preserve">	public class MstWptWorkingTimeExportInput{
</v>
      </c>
      <c r="S3" s="11" t="str">
        <f>"namespace "&amp;$B$6&amp;".Exporting
"&amp;$C$3</f>
        <v xml:space="preserve">namespace vovina.Master.WorkingPattern.Exporting
{
</v>
      </c>
      <c r="T3" s="11" t="str">
        <f>"T"&amp;COUNTA($A:$A)</f>
        <v>T19</v>
      </c>
      <c r="V3" s="11" t="str">
        <f>"V"&amp;COUNTA($A:$A)</f>
        <v>V19</v>
      </c>
      <c r="W3" s="10" t="str">
        <f>"W"&amp;COUNTA($A:$A)</f>
        <v>W19</v>
      </c>
    </row>
    <row r="4" spans="1:23" s="11" customFormat="1" ht="33" customHeight="1" x14ac:dyDescent="0.25">
      <c r="A4" s="1" t="s">
        <v>237</v>
      </c>
      <c r="B4" s="63" t="s">
        <v>88</v>
      </c>
      <c r="C4" s="10"/>
      <c r="D4" s="10"/>
      <c r="E4" s="10"/>
      <c r="G4" s="4"/>
      <c r="H4" s="10"/>
      <c r="I4" s="10"/>
      <c r="K4" s="5"/>
      <c r="R4" s="32"/>
      <c r="W4" s="10"/>
    </row>
    <row r="5" spans="1:23" s="11" customFormat="1" ht="33" customHeight="1" x14ac:dyDescent="0.25">
      <c r="A5" s="1" t="s">
        <v>238</v>
      </c>
      <c r="B5" s="63" t="s">
        <v>284</v>
      </c>
      <c r="C5" s="10"/>
      <c r="D5" s="10"/>
      <c r="E5" s="10"/>
      <c r="G5" s="4"/>
      <c r="H5" s="10"/>
      <c r="I5" s="10"/>
      <c r="K5" s="5"/>
      <c r="R5" s="32"/>
      <c r="W5" s="10"/>
    </row>
    <row r="6" spans="1:23" customFormat="1" ht="16.5" customHeight="1" x14ac:dyDescent="0.25">
      <c r="A6" s="1" t="s">
        <v>6</v>
      </c>
      <c r="B6" s="10" t="str">
        <f>"vovina."&amp;B2</f>
        <v>vovina.Master.WorkingPattern</v>
      </c>
      <c r="C6" s="11" t="str">
        <f>"namespace "&amp;$B$6&amp;"
"&amp;$C$3</f>
        <v xml:space="preserve">namespace vovina.Master.WorkingPattern
{
</v>
      </c>
      <c r="D6" s="11" t="str">
        <f>REPT(CHAR(9),1)&amp;"public class "&amp;B3&amp;G3&amp;REPT(CHAR(9),1)&amp;"
"&amp;REPT(CHAR(9),1)&amp;C3</f>
        <v xml:space="preserve">	public class MstWptWorkingTime: FullAuditedEntity&lt;long&gt;, IEntity&lt;long&gt;	
	{
</v>
      </c>
      <c r="E6" s="11" t="str">
        <f>REPT(CHAR(9),1)&amp;"public class "&amp;B3&amp;"Consts"&amp;REPT(CHAR(9),1)&amp;"
"&amp;REPT(CHAR(9),1)&amp;C3</f>
        <v xml:space="preserve">	public class MstWptWorkingTimeConsts	
	{
</v>
      </c>
      <c r="F6" s="11" t="str">
        <f>REPT(CHAR(9),1)&amp;"public class "&amp;B3&amp;"Dto"&amp;K3&amp;REPT(CHAR(9),1)&amp;"
"&amp;REPT(CHAR(9),1)&amp;C3</f>
        <v xml:space="preserve">	public class MstWptWorkingTimeDto : EntityDto&lt;long?&gt;	
	{
</v>
      </c>
      <c r="G6" s="11" t="str">
        <f>REPT(CHAR(9),1)&amp;"public class CreateOrEdit"&amp;B3&amp;"Dto"&amp;K3&amp;REPT(CHAR(9),1)&amp;"
"&amp;REPT(CHAR(9),1)&amp;C3</f>
        <v xml:space="preserve">	public class CreateOrEditMstWptWorkingTimeDto : EntityDto&lt;long?&gt;	
	{
</v>
      </c>
      <c r="H6" s="11" t="str">
        <f>REPT(CHAR(9),1)&amp;"public class Get"&amp;B3&amp;"Input : PagedAndSortedResultRequestDto"&amp;REPT(CHAR(9),1)&amp;"
"&amp;REPT(CHAR(9),1)&amp;C3</f>
        <v xml:space="preserve">	public class GetMstWptWorkingTimeInput : PagedAndSortedResultRequestDto	
	{
</v>
      </c>
      <c r="I6" s="11"/>
      <c r="J6" s="1" t="s">
        <v>72</v>
      </c>
      <c r="K6" s="1" t="s">
        <v>66</v>
      </c>
      <c r="L6" s="1" t="s">
        <v>67</v>
      </c>
      <c r="M6" s="1" t="s">
        <v>68</v>
      </c>
      <c r="N6" s="1" t="s">
        <v>236</v>
      </c>
      <c r="O6" s="1" t="s">
        <v>235</v>
      </c>
      <c r="P6" s="1" t="s">
        <v>69</v>
      </c>
      <c r="Q6" s="1" t="s">
        <v>70</v>
      </c>
      <c r="R6" s="1" t="s">
        <v>202</v>
      </c>
      <c r="S6" s="1" t="s">
        <v>204</v>
      </c>
      <c r="T6" s="1" t="s">
        <v>203</v>
      </c>
      <c r="U6" s="1" t="s">
        <v>227</v>
      </c>
      <c r="W6" s="28"/>
    </row>
    <row r="7" spans="1:23" customFormat="1" ht="15.75" customHeight="1" x14ac:dyDescent="0.25">
      <c r="A7" s="1" t="s">
        <v>13</v>
      </c>
      <c r="B7" s="10" t="str">
        <f>B3</f>
        <v>MstWptWorkingTime</v>
      </c>
      <c r="C7" s="11" t="str">
        <f>REPT(CHAR(9),1)&amp;"[Table("""&amp;B7&amp;""")]"&amp;"
"</f>
        <v xml:space="preserve">	[Table("MstWptWorkingTime")]
</v>
      </c>
      <c r="D7" s="11"/>
      <c r="E7" s="11"/>
      <c r="F7" s="11"/>
      <c r="G7" s="11"/>
      <c r="H7" s="11"/>
      <c r="I7" s="11"/>
      <c r="J7" s="6" t="str">
        <f ca="1">SUBSTITUTE(SUBSTITUTE((B1&amp;C6&amp;C7&amp;K21&amp;D6&amp;I21&amp;E3&amp;J21&amp;""&amp;REPT(CHAR(9),1)&amp;D3&amp;D3),"WorkingPattern",$Q$3),"Master",$B$4)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vovina.Master.WorkingPattern
{
	[Table("MstWptWorkingTime")]
	[Index(nameof(ShiftNo), Name="IX_MstWptWorkingTime_ShiftNo")]
	[Index(nameof(ShopId), Name="IX_MstWptWorkingTime_ShopId")]
	[Index(nameof(PatternHId), Name="IX_MstWptWorkingTime_PatternHId")]
	public class MstWptWorkingTime: FullAuditedEntity&lt;long&gt;, IEntity&lt;long&gt;	
	{
		public const int MaxDescriptionLength = 250;
		public const int MaxSeasonTypeLength = 10;
		public const int MaxDayOfWeekLength = 100;
		public const int MaxIsActiveLength = 1;
		public virtual int ShiftNo { get; set; }
		public virtual int ShopId { get; set; }
		public virtual int WorkingType { get; set; }
		public virtual TimeSpan StartTime { get; set; }
		public virtual TimeSpan EndTime { get; set; }
		[StringLength(MaxDescriptionLength)]
		public virtual string Description { get; set; }
		public virtual int PatternHId { get; set; }
		[StringLength(MaxSeasonTypeLength)]
		public virtual string SeasonType { get; set; }
		[StringLength(MaxDayOfWeekLength)]
		public virtual string DayOfWeek { get; set; }
		public virtual int WeekWorkingDays { get; set; }
		[StringLength(MaxIsActiveLength)]
		public virtual string IsActive { get; set; }
	}
}
</v>
      </c>
      <c r="K7" t="str">
        <f>SUBSTITUTE(SUBSTITUTE(("public virtual DbSet&lt;"&amp;B3&amp;"&gt; "&amp;B3&amp;"s { get; set; }"),"WorkingPattern",$Q$3),"Master",$B$4)</f>
        <v>public virtual DbSet&lt;MstWptWorkingTime&gt; MstWptWorkingTimes { get; set; }</v>
      </c>
      <c r="L7" t="str">
        <f ca="1">SUBSTITUTE(SUBSTITUTE((C6&amp;E6&amp;I21&amp;"
"&amp;REPT(CHAR(9),2)&amp;"// Define Store Name: Format SP_ + &lt;Store Name&gt; = &lt;Store Name&gt;
"&amp;E3&amp;REPT(CHAR(9),1)&amp;D3&amp;D3),"WorkingPattern",$Q$3),"Master",$B$4)</f>
        <v xml:space="preserve">namespace vovina.Master.WorkingPattern
{
	public class MstWptWorkingTimeConsts	
	{
		public const int MaxDescriptionLength = 250;
		public const int MaxSeasonTypeLength = 10;
		public const int MaxDayOfWeekLength = 100;
		public const int MaxIsActiveLength = 1;
		// Define Store Name: Format SP_ + &lt;Store Name&gt; = &lt;Store Name&gt;
	}
}
</v>
      </c>
      <c r="M7" t="str">
        <f ca="1">SUBSTITUTE(SUBSTITUTE((C1&amp;"namespace "&amp;B6&amp;".Dto"&amp;E3&amp;C3&amp;F6&amp;M21&amp;E3&amp;REPT(CHAR(9),1)&amp;D3&amp;G6&amp;N21&amp;REPT(CHAR(9),1)&amp;D3&amp;H6&amp;O21&amp;"
"&amp;REPT(CHAR(9),1)&amp;D3&amp;D3),"WorkingPattern",$Q$3),"Master",$B$4)</f>
        <v xml:space="preserve">using Abp.Application.Services.Dto;
using System;
using System.ComponentModel.DataAnnotations;
namespace vovina.Master.WorkingPattern.Dto
{
	public class MstWptWorkingTimeDto : EntityDto&lt;long?&gt;	
	{
		public virtual int ShiftNo { get; set; }
		public virtual int ShopId { get; set; }
		public virtual int WorkingType { get; set; }
		public virtual TimeSpan? StartTime { get; set; }
		public virtual TimeSpan? EndTime { get; set; }
		public virtual string Description { get; set; }
		public virtual int PatternHId { get; set; }
		public virtual string SeasonType { get; set; }
		public virtual string DayOfWeek { get; set; }
		public virtual int WeekWorkingDays { get; set; }
		public virtual string IsActive { get; set; }
	}
	public class CreateOrEditMstWptWorkingTimeDto : EntityDto&lt;long?&gt;	
	{
		public virtual int ShiftNo { get; set; }
		public virtual int ShopId { get; set; }
		public virtual int WorkingType { get; set; }
		public virtual TimeSpan? StartTime { get; set; }
		public virtual TimeSpan? EndTime { get; set; }
		[StringLength(MstWptWorkingTimeConsts.MaxDescriptionLength)]
		public virtual string Description { get; set; }
		public virtual int PatternHId { get; set; }
		[StringLength(MstWptWorkingTimeConsts.MaxSeasonTypeLength)]
		public virtual string SeasonType { get; set; }
		[StringLength(MstWptWorkingTimeConsts.MaxDayOfWeekLength)]
		public virtual string DayOfWeek { get; set; }
		public virtual int WeekWorkingDays { get; set; }
		[StringLength(MstWptWorkingTimeConsts.MaxIsActiveLength)]
		public virtual string IsActive { get; set; }
	}
	public class GetMstWptWorkingTimeInput : PagedAndSortedResultRequestDto	
	{
		public virtual int ShiftNo { get; set; }
		public virtual int ShopId { get; set; }
		public virtual int WorkingType { get; set; }
		public virtual string Description { get; set; }
		public virtual int PatternHId { get; set; }
		public virtual string SeasonType { get; set; }
		public virtual string DayOfWeek { get; set; }
		public virtual int WeekWorkingDays { get; set; }
		public virtual string IsActive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"""&amp;SUBSTITUTE(B2,".","")&amp;B5&amp;"""));"
&amp;E3&amp;REPT(CHAR(9),2)&amp;"per"&amp;B3&amp;".CreateChildPermission(AppPermissions.Pages_"&amp;SUBSTITUTE(B2,".","_")&amp;"_"&amp;B5&amp;"_CreateEdit, L( """&amp;SUBSTITUTE(B2,".","")&amp;B5&amp;"CreateEdit"&amp;"""));"
&amp;E3&amp;REPT(CHAR(9),2)&amp;"per"&amp;B3&amp;".CreateChildPermission(AppPermissions.Pages_"&amp;SUBSTITUTE(B2,".","_")&amp;"_"&amp;B5&amp;"_Delete, L( """&amp;SUBSTITUTE(B2,".","")&amp;B5&amp;"Delete"&amp;"""));"),"WorkingPattern",$Q$3),"Master",$B$4)</f>
        <v xml:space="preserve">		var perMstWptWorkingTime = PARENTS.CreateChildPermission(AppPermissions.Pages_Master_WorkingPattern_WorkingTime, L( "MasterWorkingPatternWorkingTime"));
		perMstWptWorkingTime.CreateChildPermission(AppPermissions.Pages_Master_WorkingPattern_WorkingTime_CreateEdit, L( "MasterWorkingPatternWorkingTimeCreateEdit"));
		perMstWptWorkingTime.CreateChildPermission(AppPermissions.Pages_Master_WorkingPattern_WorkingTime_Delete, L( "MasterWorkingPatternWorkingTimeDelete"));</v>
      </c>
      <c r="O7" s="28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Pages_Master_WorkingPattern_WorkingTime = "Pages.Master.WorkingPattern.WorkingTime";
		public const string Pages_Master_WorkingPattern_WorkingTime_CreateEdit = "Pages.Master.WorkingPattern.WorkingTime.CreateEdit";
		public const string Pages_Master_WorkingPattern_WorkingTime_Delete = "Pages.Master.WorkingPattern.WorkingTime.Delete";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vovina.Master.WorkingPattern.Dto;
namespace vovina.Master.WorkingPattern
{
	public interface IMstWptWorkingTimeAppService : IApplicationService
	{
		Task&lt;PagedResultDto&lt;MstWptWorkingTimeDto&gt;&gt; GetAll(GetMstWptWorkingTimeInput input);
		Task CreateOrEdit(CreateOrEditMstWptWorkingTimeDto input);
		Task Delete(EntityDto input);
	}
}
</v>
      </c>
      <c r="Q7" t="str">
        <f ca="1">SUBSTITUTE(SUBSTITUTE(SUBSTITUTE(SUBSTITUTE(SUBSTITUTE(SUBSTITUTE(E1,"MstWptCalendar",$B$3),"&lt;PROPERTIES&gt;",P21),"Calendar",$B$5),"WorkingPattern",$Q$3),"Master",$B$4),"&lt;PARAMS_SEARCH&gt;",$W$21)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[AbpAuthorize(AppPermissions.Pages_Master_WorkingPattern_WorkingTime)]
    public class MstWptWorkingTimeAppService : vovinaAppServiceBase, IMstWptWorkingTimeAppService
    {
        private readonly IDapperRepository&lt;MstWptWorkingTime, long&gt; _dapperRepo;
        private readonly IRepository&lt;MstWptWorkingTime, long&gt; _repo;
        private readonly IMstWptWorkingTimeExcelExporter _calendarListExcelExporter;
        public MstWptWorkingTimeAppService(IRepository&lt;MstWptWorkingTime,long&gt; repo, 
                                         IDapperRepository&lt;MstWptWorkingTime,long&gt; dapperRepo,
                                        IMstWptWorkingTimeExcelExporter calendarListExcelExporter
            )
        {
            _repo = repo;
            _dapperRepo = dapperRepo;
            _calendarListExcelExporter = calendarListExcelExporter;
        }
        [AbpAuthorize(AppPermissions.Pages_Master_WorkingPattern_WorkingTime_CreateEdit)]
        public async Task CreateOrEdit(CreateOrEditMstWptWorkingTimeDto input)
        {
            if (input.Id == null) await Create(input);
            else await Update(input);
        }
        //CREATE
        private async Task Create(CreateOrEditMstWptWorkingTimeDto input)
        {          
            var mainObj = ObjectMapper.Map&lt;MstWptWorkingTime&gt;(input);
            await CurrentUnitOfWork.GetDbContext&lt;vovinaDbContext&gt;().AddAsync(mainObj);
        }
        // EDIT
        private async Task Update(CreateOrEditMstWptWorkingTimeDto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[AbpAuthorize(AppPermissions.Pages_Master_WorkingPattern_WorkingTime_Delete)]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Task&lt;PagedResultDto&lt;MstWptWorkingTimeDto&gt;&gt; GetAll(GetMstWptWorkingTimeInput input)
        {
            var filtered = _repo.GetAll()
				.WhereIf(!string.IsNullOrWhiteSpace(input.Description), e =&gt; e.Description.Contains(input.Description))
				.WhereIf(!string.IsNullOrWhiteSpace(input.SeasonType), e =&gt; e.SeasonType.Contains(input.SeasonType))
				.WhereIf(!string.IsNullOrWhiteSpace(input.DayOfWeek), e =&gt; e.DayOfWeek.Contains(input.DayOfWeek))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MstWptWorkingTimeDto
                        {
							Id = o.Id,
							ShiftNo = o.ShiftNo,
							ShopId = o.ShopId,
							WorkingType = o.WorkingType,
							StartTime = o.StartTime,
							EndTime = o.EndTime,
							Description = o.Description,
							PatternHId = o.PatternHId,
							SeasonType = o.SeasonType,
							DayOfWeek = o.DayOfWeek,
							WeekWorkingDays = o.WeekWorkingDays,
							IsActive = o.IsActive,
                        };
            var totalCount = await filtered.CountAsync();
			var paged = system.PageBy(input);
            return new PagedResultDto&lt;MstWptWorkingTimeDto&gt;(
                totalCount,
                 await paged.ToListAsync()
            );
        }
        public async Task&lt;FileDto&gt; GetWorkingTimeToExcel(MstWptWorkingTimeExportInput input)
        {
            var query = from o in _repo.GetAll()
                        select new MstWptWorkingTimeDto
                        {
							Id = o.Id,
							ShiftNo = o.ShiftNo,
							ShopId = o.ShopId,
							WorkingType = o.WorkingType,
							StartTime = o.StartTime,
							EndTime = o.EndTime,
							Description = o.Description,
							PatternHId = o.PatternHId,
							SeasonType = o.SeasonType,
							DayOfWeek = o.DayOfWeek,
							WeekWorkingDays = o.WeekWorkingDays,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_dapperRepo.ExecuteAsync(MstWptWorkingTimeConsts.SP_MST_WPT_CALENDAR_GENERATE);
       // }
    }
}</v>
      </c>
      <c r="R7" t="str">
        <f ca="1">SUBSTITUTE(SUBSTITUTE((C1&amp;"namespace "&amp;B6&amp;".Dto"&amp;E3&amp;C3&amp;R3&amp;M21&amp;E3&amp;REPT(CHAR(9),1)&amp;D3&amp;D3),"WorkingPattern",$Q$3),"Master",$B$4)</f>
        <v xml:space="preserve">using Abp.Application.Services.Dto;
using System;
using System.ComponentModel.DataAnnotations;
namespace vovina.Master.WorkingPattern.Dto
{
	public class MstWptWorkingTimeExportInput{
		public virtual int ShiftNo { get; set; }
		public virtual int ShopId { get; set; }
		public virtual int WorkingType { get; set; }
		public virtual TimeSpan? StartTime { get; set; }
		public virtual TimeSpan? EndTime { get; set; }
		public virtual string Description { get; set; }
		public virtual int PatternHId { get; set; }
		public virtual string SeasonType { get; set; }
		public virtual string DayOfWeek { get; set; }
		public virtual int WeekWorkingDays { get; set; }
		public virtual string IsActive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vovina.Master.WorkingPattern.Dto;
namespace vovina.Master.WorkingPattern.Exporting
{
	public interface IMstWptWorkingTimeExcelExporter : IApplicationService
	{
		FileDto ExportToFile(List&lt;MstWptWorkingTimeDto&gt; mstwptworkingtime);
	}
}
</v>
      </c>
      <c r="T7" s="28" t="str">
        <f ca="1">SUBSTITUTE(SUBSTITUTE(SUBSTITUTE(SUBSTITUTE(SUBSTITUTE(SUBSTITUTE(SUBSTITUTE(T1,"MstWptCalendar",$B$3),"&lt;PROPERTIES1&gt;",V21),"&lt;PROPERTIES&gt;",T21),"Calendar",$B$5),"calendar",LOWER(B5)),"WorkingPattern",$Q$3),"Master",$B$4)</f>
        <v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MstWptWorkingTimeExcelExporter : NpoiExcelExporterBase, IMstWptWorkingTimeExcelExporter
    {
        public MstWptWorkingTimeExcelExporter(ITempFileCacheManager tempFileCacheManager) : base(tempFileCacheManager) { }
        public FileDto ExportToFile(List&lt;MstWptWorkingTimeDto&gt; workingtime)
        {
            return CreateExcelPackage(
				"MasterWorkingPatternWorkingTime.xlsx",
				excelPackage =&gt;
				 {
					var sheet = excelPackage.CreateSheet("WorkingTime");
					AddHeader(
								sheet,
								("ShiftNo"),
								("ShopId"),
								("WorkingType"),
								("StartTime"),
								("EndTime"),
								("Description"),
								("PatternHId"),
								("SeasonType"),
								("DayOfWeek"),
								("WeekWorkingDays"),
								("IsActive"),
							   );
					AddObjects(
						 sheet, 1, workingtime,                                       
								_ =&gt; _.ShiftNo,
								_ =&gt; _.ShopId,
								_ =&gt; _.WorkingType,
								_ =&gt; _.StartTime,
								_ =&gt; _.EndTime,
								_ =&gt; _.Description,
								_ =&gt; _.PatternHId,
								_ =&gt; _.SeasonType,
								_ =&gt; _.DayOfWeek,
								_ =&gt; _.WeekWorkingDays,
								_ =&gt; _.IsActive,
								);
			for (var i = 0; i &lt; 8; i++)
				{
					sheet.AutoSizeColumn(i);
				}
			});
        }
    }
}</v>
      </c>
      <c r="U7" s="28" t="str">
        <f>SUBSTITUTE(SUBSTITUTE(U1,"MstWptCalendar",$B$3),"Master",$B$4)</f>
        <v xml:space="preserve">  configuration.CreateMap&lt;MstWptWorkingTimeDto, MstWptWorkingTime&gt;();
  configuration.CreateMap&lt;MstWptWorkingTime, MstWptWorkingTimeDto&gt;();
  configuration.CreateMap&lt;CreateOrEditMstWptWorkingTimeDto, MstWptWorkingTime&gt;();</v>
      </c>
      <c r="V7" s="28"/>
      <c r="W7" s="28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37</v>
      </c>
      <c r="F8" s="2" t="s">
        <v>59</v>
      </c>
      <c r="G8" s="2" t="s">
        <v>9</v>
      </c>
      <c r="H8" s="2" t="s">
        <v>15</v>
      </c>
      <c r="I8" s="2" t="s">
        <v>50</v>
      </c>
      <c r="J8" s="2" t="s">
        <v>38</v>
      </c>
      <c r="K8" s="2" t="s">
        <v>46</v>
      </c>
      <c r="L8" s="2" t="s">
        <v>47</v>
      </c>
      <c r="M8" s="2" t="s">
        <v>63</v>
      </c>
      <c r="N8" s="2" t="s">
        <v>58</v>
      </c>
      <c r="O8" s="2" t="s">
        <v>64</v>
      </c>
      <c r="P8" s="20" t="s">
        <v>84</v>
      </c>
      <c r="W8" s="3"/>
    </row>
    <row r="9" spans="1:23" customFormat="1" ht="22.5" customHeight="1" x14ac:dyDescent="0.25">
      <c r="A9" t="s">
        <v>273</v>
      </c>
      <c r="B9" t="s">
        <v>4</v>
      </c>
      <c r="C9" t="s">
        <v>1</v>
      </c>
      <c r="D9" t="str">
        <f>SUBSTITUTE(PROPER(A9),"_","")</f>
        <v>ShiftNo</v>
      </c>
      <c r="E9" t="str">
        <f t="shared" ref="E9:E19" si="0">IFERROR(LEFT(B9, FIND("(",B9)-1),B9)</f>
        <v>int</v>
      </c>
      <c r="F9" s="7"/>
      <c r="G9" t="str">
        <f t="shared" ref="G9:G19" si="1">IFERROR(MID(B9,FIND("(",B9) +1, FIND(")",B9) - FIND("(",B9) - 1),"")</f>
        <v/>
      </c>
      <c r="H9" t="str">
        <f>+VLOOKUP(E9,'Data Type Mapping'!A:B,2,)</f>
        <v>int</v>
      </c>
      <c r="I9" t="str">
        <f t="shared" ref="I9:I19" si="2">IF(H9="string",REPT(CHAR(9),2)&amp;"public const int Max"&amp;D9&amp;"Length = "&amp;G9&amp;";"&amp;$E$3,"" )</f>
        <v/>
      </c>
      <c r="J9" t="str">
        <f t="shared" ref="J9:J19" si="3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public virtual int ShiftNo { get; set; }
</v>
      </c>
      <c r="K9" s="7" t="s">
        <v>206</v>
      </c>
      <c r="L9" t="str">
        <f>IF(K9="","",REPT(CHAR(9),1)&amp;"[Index(nameof("&amp;IF(D9="","",""&amp;D9)&amp;")"&amp;", Name="&amp;"""IX_"&amp;$B$7&amp;"_"&amp;D9&amp;""")]")</f>
        <v xml:space="preserve">	[Index(nameof(ShiftNo), Name="IX_MstWptWorkingTime_ShiftNo")]</v>
      </c>
      <c r="M9" t="str">
        <f>REPT(CHAR(9),2)&amp;"public virtual "&amp;IF(OR(H9="DateTime",H9="TimeSpan"),H9&amp;"?",H9)&amp;IF(C9="?","? "," ")&amp;D9&amp;" { get; set; }" &amp; "
"</f>
        <v xml:space="preserve">		public virtual int ShiftNo { get; set; }
</v>
      </c>
      <c r="N9" t="str">
        <f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public virtual int ShiftNo { get; set; }
</v>
      </c>
      <c r="O9" t="str">
        <f>IF(OR(H9="string",H9="DateTime",H9="int"),REPT(CHAR(9),2)&amp;"public virtual "&amp;IF(OR(H9="DateTime",H9="TimeSpan"),H9&amp;"?",H9)&amp;IF(C9="?","? "," ")&amp;D9&amp;" { get; set; }"&amp;$E$3,"")</f>
        <v xml:space="preserve">		public virtual int ShiftNo { get; set; }
</v>
      </c>
      <c r="P9" t="str">
        <f t="shared" ref="P9:P19" si="4">REPT(CHAR(9),7)&amp;D9&amp;" = o." &amp;D9 &amp;","</f>
        <v xml:space="preserve">							ShiftNo = o.ShiftNo,</v>
      </c>
      <c r="T9" s="68" t="str">
        <f>REPT(CHAR(9),8)&amp;"("""&amp;D9&amp;"""),"</f>
        <v xml:space="preserve">								("ShiftNo"),</v>
      </c>
      <c r="V9" s="69" t="str">
        <f>REPT(CHAR(9),8)&amp;"_ =&gt; _."&amp;D9&amp;","</f>
        <v xml:space="preserve">								_ =&gt; _.ShiftNo,</v>
      </c>
      <c r="W9" s="68" t="str">
        <f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/>
      </c>
    </row>
    <row r="10" spans="1:23" customFormat="1" ht="21" customHeight="1" x14ac:dyDescent="0.25">
      <c r="A10" t="s">
        <v>286</v>
      </c>
      <c r="B10" t="s">
        <v>4</v>
      </c>
      <c r="C10" t="s">
        <v>1</v>
      </c>
      <c r="D10" t="str">
        <f t="shared" ref="D10:D12" si="5">SUBSTITUTE(PROPER(A10),"_","")</f>
        <v>ShopId</v>
      </c>
      <c r="E10" t="str">
        <f>IFERROR(LEFT(B10, FIND("(",B10)-1),B10)</f>
        <v>int</v>
      </c>
      <c r="F10" s="7"/>
      <c r="G10" t="str">
        <f t="shared" si="1"/>
        <v/>
      </c>
      <c r="H10" t="str">
        <f>+VLOOKUP(E10,'Data Type Mapping'!A:B,2,)</f>
        <v>int</v>
      </c>
      <c r="I10" t="str">
        <f t="shared" si="2"/>
        <v/>
      </c>
      <c r="J10" t="str">
        <f t="shared" si="3"/>
        <v xml:space="preserve">		public virtual int ShopId { get; set; }
</v>
      </c>
      <c r="K10" s="7" t="s">
        <v>206</v>
      </c>
      <c r="L10" t="str">
        <f t="shared" ref="L10:L12" si="6">IF(K10="","",REPT(CHAR(9),1)&amp;"[Index(nameof("&amp;IF(D10="","",""&amp;D10)&amp;")"&amp;", Name="&amp;"""IX_"&amp;$B$7&amp;"_"&amp;D10&amp;""")]")</f>
        <v xml:space="preserve">	[Index(nameof(ShopId), Name="IX_MstWptWorkingTime_ShopId")]</v>
      </c>
      <c r="M10" t="str">
        <f t="shared" ref="M10:M19" si="7">REPT(CHAR(9),2)&amp;"public virtual "&amp;IF(OR(H10="DateTime",H10="TimeSpan"),H10&amp;"?",H10)&amp;IF(C10="?","? "," ")&amp;D10&amp;" { get; set; }" &amp; "
"</f>
        <v xml:space="preserve">		public virtual int ShopId { get; set; }
</v>
      </c>
      <c r="N10" t="str">
        <f t="shared" ref="N10:N19" si="8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public virtual int ShopId { get; set; }
</v>
      </c>
      <c r="O10" t="str">
        <f t="shared" ref="O10:O19" si="9">IF(OR(H10="string",H10="DateTime",H10="int"),REPT(CHAR(9),2)&amp;"public virtual "&amp;IF(OR(H10="DateTime",H10="TimeSpan"),H10&amp;"?",H10)&amp;IF(C10="?","? "," ")&amp;D10&amp;" { get; set; }"&amp;$E$3,"")</f>
        <v xml:space="preserve">		public virtual int ShopId { get; set; }
</v>
      </c>
      <c r="P10" t="str">
        <f t="shared" si="4"/>
        <v xml:space="preserve">							ShopId = o.ShopId,</v>
      </c>
      <c r="T10" s="68" t="str">
        <f t="shared" ref="T10:T12" si="10">REPT(CHAR(9),8)&amp;"("""&amp;D10&amp;"""),"</f>
        <v xml:space="preserve">								("ShopId"),</v>
      </c>
      <c r="V10" s="69" t="str">
        <f t="shared" ref="V10:V12" si="11">REPT(CHAR(9),8)&amp;"_ =&gt; _."&amp;D10&amp;","</f>
        <v xml:space="preserve">								_ =&gt; _.ShopId,</v>
      </c>
      <c r="W10" s="68" t="str">
        <f t="shared" ref="W10:W12" si="12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/>
      </c>
    </row>
    <row r="11" spans="1:23" customFormat="1" ht="21" customHeight="1" x14ac:dyDescent="0.25">
      <c r="A11" t="s">
        <v>287</v>
      </c>
      <c r="B11" t="s">
        <v>4</v>
      </c>
      <c r="C11" t="s">
        <v>1</v>
      </c>
      <c r="D11" t="str">
        <f t="shared" si="5"/>
        <v>WorkingType</v>
      </c>
      <c r="E11" t="str">
        <f t="shared" si="0"/>
        <v>int</v>
      </c>
      <c r="F11" s="7"/>
      <c r="G11" t="str">
        <f t="shared" si="1"/>
        <v/>
      </c>
      <c r="H11" t="str">
        <f>+VLOOKUP(E11,'Data Type Mapping'!A:B,2,)</f>
        <v>int</v>
      </c>
      <c r="I11" t="str">
        <f t="shared" si="2"/>
        <v/>
      </c>
      <c r="J11" t="str">
        <f t="shared" si="3"/>
        <v xml:space="preserve">		public virtual int WorkingType { get; set; }
</v>
      </c>
      <c r="K11" s="7"/>
      <c r="L11" t="str">
        <f t="shared" si="6"/>
        <v/>
      </c>
      <c r="M11" t="str">
        <f t="shared" si="7"/>
        <v xml:space="preserve">		public virtual int WorkingType { get; set; }
</v>
      </c>
      <c r="N11" t="str">
        <f t="shared" si="8"/>
        <v xml:space="preserve">		public virtual int WorkingType { get; set; }
</v>
      </c>
      <c r="O11" t="str">
        <f t="shared" si="9"/>
        <v xml:space="preserve">		public virtual int WorkingType { get; set; }
</v>
      </c>
      <c r="P11" t="str">
        <f t="shared" si="4"/>
        <v xml:space="preserve">							WorkingType = o.WorkingType,</v>
      </c>
      <c r="T11" s="68" t="str">
        <f t="shared" si="10"/>
        <v xml:space="preserve">								("WorkingType"),</v>
      </c>
      <c r="V11" s="69" t="str">
        <f t="shared" si="11"/>
        <v xml:space="preserve">								_ =&gt; _.WorkingType,</v>
      </c>
      <c r="W11" s="68" t="str">
        <f t="shared" si="12"/>
        <v/>
      </c>
    </row>
    <row r="12" spans="1:23" customFormat="1" ht="21" customHeight="1" x14ac:dyDescent="0.25">
      <c r="A12" t="s">
        <v>274</v>
      </c>
      <c r="B12" t="s">
        <v>279</v>
      </c>
      <c r="C12" t="s">
        <v>1</v>
      </c>
      <c r="D12" t="str">
        <f t="shared" si="5"/>
        <v>StartTime</v>
      </c>
      <c r="E12" t="str">
        <f t="shared" si="0"/>
        <v>time</v>
      </c>
      <c r="F12" s="7"/>
      <c r="G12" t="str">
        <f t="shared" si="1"/>
        <v>7</v>
      </c>
      <c r="H12" t="str">
        <f>+VLOOKUP(E12,'Data Type Mapping'!A:B,2,)</f>
        <v>TimeSpan</v>
      </c>
      <c r="I12" t="str">
        <f t="shared" si="2"/>
        <v/>
      </c>
      <c r="J12" t="str">
        <f t="shared" si="3"/>
        <v xml:space="preserve">		public virtual TimeSpan StartTime { get; set; }
</v>
      </c>
      <c r="K12" s="7"/>
      <c r="L12" t="str">
        <f t="shared" si="6"/>
        <v/>
      </c>
      <c r="M12" t="str">
        <f t="shared" si="7"/>
        <v xml:space="preserve">		public virtual TimeSpan? StartTime { get; set; }
</v>
      </c>
      <c r="N12" t="str">
        <f t="shared" si="8"/>
        <v xml:space="preserve">		public virtual TimeSpan? StartTime { get; set; }
</v>
      </c>
      <c r="O12" t="str">
        <f t="shared" si="9"/>
        <v/>
      </c>
      <c r="P12" t="str">
        <f t="shared" si="4"/>
        <v xml:space="preserve">							StartTime = o.StartTime,</v>
      </c>
      <c r="T12" s="68" t="str">
        <f t="shared" si="10"/>
        <v xml:space="preserve">								("StartTime"),</v>
      </c>
      <c r="V12" s="69" t="str">
        <f t="shared" si="11"/>
        <v xml:space="preserve">								_ =&gt; _.StartTime,</v>
      </c>
      <c r="W12" s="68" t="str">
        <f t="shared" si="12"/>
        <v/>
      </c>
    </row>
    <row r="13" spans="1:23" customFormat="1" ht="21" customHeight="1" x14ac:dyDescent="0.25">
      <c r="A13" t="s">
        <v>275</v>
      </c>
      <c r="B13" t="s">
        <v>279</v>
      </c>
      <c r="C13" t="s">
        <v>1</v>
      </c>
      <c r="D13" t="str">
        <f t="shared" ref="D13:D15" si="13">SUBSTITUTE(PROPER(A13),"_","")</f>
        <v>EndTime</v>
      </c>
      <c r="E13" t="str">
        <f t="shared" ref="E13:E15" si="14">IFERROR(LEFT(B13, FIND("(",B13)-1),B13)</f>
        <v>time</v>
      </c>
      <c r="F13" s="7"/>
      <c r="G13" t="str">
        <f t="shared" ref="G13:G15" si="15">IFERROR(MID(B13,FIND("(",B13) +1, FIND(")",B13) - FIND("(",B13) - 1),"")</f>
        <v>7</v>
      </c>
      <c r="H13" t="str">
        <f>+VLOOKUP(E13,'Data Type Mapping'!A:B,2,)</f>
        <v>TimeSpan</v>
      </c>
      <c r="I13" t="str">
        <f t="shared" ref="I13:I15" si="16">IF(H13="string",REPT(CHAR(9),2)&amp;"public const int Max"&amp;D13&amp;"Length = "&amp;G13&amp;";"&amp;$E$3,"" )</f>
        <v/>
      </c>
      <c r="J13" t="str">
        <f t="shared" ref="J13:J15" si="17">IF(F13="","",REPT(CHAR(9),2)&amp;"[Column(TypeName="""&amp;F13&amp;""")]"&amp;$E$3)&amp;IF(C13="Checked","",$I$3)&amp;IF(H13="string",REPT(CHAR(9),2)&amp;"[StringLength(Max"&amp;D13&amp;"Length"&amp;")]"&amp;$E$3,"")&amp;REPT(CHAR(9),2)&amp;"public virtual "&amp;H13&amp;IF(C13="?","? "," ")&amp;D13&amp;" { get; set; }" &amp; "
"</f>
        <v xml:space="preserve">		public virtual TimeSpan EndTime { get; set; }
</v>
      </c>
      <c r="K13" s="7"/>
      <c r="L13" t="str">
        <f t="shared" ref="L13:L15" si="18">IF(K13="","",REPT(CHAR(9),1)&amp;"[Index(nameof("&amp;IF(D13="","",""&amp;D13)&amp;")"&amp;", Name="&amp;"""IX_"&amp;$B$7&amp;"_"&amp;D13&amp;""")]")</f>
        <v/>
      </c>
      <c r="M13" t="str">
        <f t="shared" si="7"/>
        <v xml:space="preserve">		public virtual TimeSpan? EndTime { get; set; }
</v>
      </c>
      <c r="N13" t="str">
        <f t="shared" si="8"/>
        <v xml:space="preserve">		public virtual TimeSpan? EndTime { get; set; }
</v>
      </c>
      <c r="O13" t="str">
        <f t="shared" si="9"/>
        <v/>
      </c>
      <c r="P13" t="str">
        <f t="shared" ref="P13:P15" si="19">REPT(CHAR(9),7)&amp;D13&amp;" = o." &amp;D13 &amp;","</f>
        <v xml:space="preserve">							EndTime = o.EndTime,</v>
      </c>
      <c r="T13" s="68" t="str">
        <f t="shared" ref="T13:T15" si="20">REPT(CHAR(9),8)&amp;"("""&amp;D13&amp;"""),"</f>
        <v xml:space="preserve">								("EndTime"),</v>
      </c>
      <c r="V13" s="69" t="str">
        <f t="shared" ref="V13:V15" si="21">REPT(CHAR(9),8)&amp;"_ =&gt; _."&amp;D13&amp;","</f>
        <v xml:space="preserve">								_ =&gt; _.EndTime,</v>
      </c>
      <c r="W13" s="68" t="str">
        <f t="shared" ref="W13:W15" si="22">IF(H13="string",REPT(CHAR(9),4)&amp;".WhereIf(!string.IsNullOrWhiteSpace(input."&amp;D13&amp;"), e =&gt; e."&amp;D13&amp;".Contains(input."&amp;D13&amp;"))",IF(H13="DateTime",REPT(CHAR(9),4)&amp;".WhereIf(input."&amp;D13&amp;".HasValue, t =&gt; t."&amp;D13&amp;" == input."&amp;D13&amp;".Value)",""))</f>
        <v/>
      </c>
    </row>
    <row r="14" spans="1:23" customFormat="1" ht="21" customHeight="1" x14ac:dyDescent="0.25">
      <c r="A14" t="s">
        <v>288</v>
      </c>
      <c r="B14" t="s">
        <v>290</v>
      </c>
      <c r="C14" t="s">
        <v>1</v>
      </c>
      <c r="D14" t="str">
        <f t="shared" si="13"/>
        <v>Description</v>
      </c>
      <c r="E14" t="str">
        <f t="shared" si="14"/>
        <v>nvarchar</v>
      </c>
      <c r="F14" s="7"/>
      <c r="G14" t="str">
        <f t="shared" si="15"/>
        <v>250</v>
      </c>
      <c r="H14" t="str">
        <f>+VLOOKUP(E14,'Data Type Mapping'!A:B,2,)</f>
        <v>string</v>
      </c>
      <c r="I14" t="str">
        <f t="shared" si="16"/>
        <v xml:space="preserve">		public const int MaxDescriptionLength = 250;
</v>
      </c>
      <c r="J14" t="str">
        <f t="shared" si="17"/>
        <v xml:space="preserve">		[StringLength(MaxDescriptionLength)]
		public virtual string Description { get; set; }
</v>
      </c>
      <c r="K14" s="7"/>
      <c r="L14" t="str">
        <f t="shared" si="18"/>
        <v/>
      </c>
      <c r="M14" t="str">
        <f t="shared" si="7"/>
        <v xml:space="preserve">		public virtual string Description { get; set; }
</v>
      </c>
      <c r="N14" t="str">
        <f t="shared" si="8"/>
        <v xml:space="preserve">		[StringLength(MstWptWorkingTimeConsts.MaxDescriptionLength)]
		public virtual string Description { get; set; }
</v>
      </c>
      <c r="O14" t="str">
        <f t="shared" si="9"/>
        <v xml:space="preserve">		public virtual string Description { get; set; }
</v>
      </c>
      <c r="P14" t="str">
        <f t="shared" si="19"/>
        <v xml:space="preserve">							Description = o.Description,</v>
      </c>
      <c r="T14" s="68" t="str">
        <f t="shared" si="20"/>
        <v xml:space="preserve">								("Description"),</v>
      </c>
      <c r="V14" s="69" t="str">
        <f t="shared" si="21"/>
        <v xml:space="preserve">								_ =&gt; _.Description,</v>
      </c>
      <c r="W14" s="68" t="str">
        <f t="shared" si="22"/>
        <v xml:space="preserve">				.WhereIf(!string.IsNullOrWhiteSpace(input.Description), e =&gt; e.Description.Contains(input.Description))</v>
      </c>
    </row>
    <row r="15" spans="1:23" customFormat="1" ht="21" customHeight="1" x14ac:dyDescent="0.25">
      <c r="A15" t="s">
        <v>272</v>
      </c>
      <c r="B15" t="s">
        <v>4</v>
      </c>
      <c r="C15" t="s">
        <v>1</v>
      </c>
      <c r="D15" t="str">
        <f t="shared" si="13"/>
        <v>PatternHId</v>
      </c>
      <c r="E15" t="str">
        <f t="shared" si="14"/>
        <v>int</v>
      </c>
      <c r="F15" s="7"/>
      <c r="G15" t="str">
        <f t="shared" si="15"/>
        <v/>
      </c>
      <c r="H15" t="str">
        <f>+VLOOKUP(E15,'Data Type Mapping'!A:B,2,)</f>
        <v>int</v>
      </c>
      <c r="I15" t="str">
        <f t="shared" si="16"/>
        <v/>
      </c>
      <c r="J15" t="str">
        <f t="shared" si="17"/>
        <v xml:space="preserve">		public virtual int PatternHId { get; set; }
</v>
      </c>
      <c r="K15" s="7" t="s">
        <v>206</v>
      </c>
      <c r="L15" t="str">
        <f t="shared" si="18"/>
        <v xml:space="preserve">	[Index(nameof(PatternHId), Name="IX_MstWptWorkingTime_PatternHId")]</v>
      </c>
      <c r="M15" t="str">
        <f t="shared" si="7"/>
        <v xml:space="preserve">		public virtual int PatternHId { get; set; }
</v>
      </c>
      <c r="N15" t="str">
        <f t="shared" si="8"/>
        <v xml:space="preserve">		public virtual int PatternHId { get; set; }
</v>
      </c>
      <c r="O15" t="str">
        <f t="shared" si="9"/>
        <v xml:space="preserve">		public virtual int PatternHId { get; set; }
</v>
      </c>
      <c r="P15" t="str">
        <f t="shared" si="19"/>
        <v xml:space="preserve">							PatternHId = o.PatternHId,</v>
      </c>
      <c r="T15" s="68" t="str">
        <f t="shared" si="20"/>
        <v xml:space="preserve">								("PatternHId"),</v>
      </c>
      <c r="V15" s="69" t="str">
        <f t="shared" si="21"/>
        <v xml:space="preserve">								_ =&gt; _.PatternHId,</v>
      </c>
      <c r="W15" s="68" t="str">
        <f t="shared" si="22"/>
        <v/>
      </c>
    </row>
    <row r="16" spans="1:23" customFormat="1" ht="21" customHeight="1" x14ac:dyDescent="0.25">
      <c r="A16" t="s">
        <v>277</v>
      </c>
      <c r="B16" t="s">
        <v>278</v>
      </c>
      <c r="C16" t="s">
        <v>1</v>
      </c>
      <c r="D16" t="str">
        <f t="shared" ref="D16" si="23">SUBSTITUTE(PROPER(A16),"_","")</f>
        <v>SeasonType</v>
      </c>
      <c r="E16" t="str">
        <f t="shared" si="0"/>
        <v>varchar</v>
      </c>
      <c r="F16" s="7"/>
      <c r="G16" t="str">
        <f t="shared" si="1"/>
        <v>10</v>
      </c>
      <c r="H16" t="str">
        <f>+VLOOKUP(E16,'Data Type Mapping'!A:B,2,)</f>
        <v>string</v>
      </c>
      <c r="I16" t="str">
        <f t="shared" si="2"/>
        <v xml:space="preserve">		public const int MaxSeasonTypeLength = 10;
</v>
      </c>
      <c r="J16" t="str">
        <f t="shared" si="3"/>
        <v xml:space="preserve">		[StringLength(MaxSeasonTypeLength)]
		public virtual string SeasonType { get; set; }
</v>
      </c>
      <c r="K16" s="7"/>
      <c r="L16" t="str">
        <f t="shared" ref="L16" si="24">IF(K16="","",REPT(CHAR(9),1)&amp;"[Index(nameof("&amp;IF(D16="","",""&amp;D16)&amp;")"&amp;", Name="&amp;"""IX_"&amp;$B$7&amp;"_"&amp;D16&amp;""")]")</f>
        <v/>
      </c>
      <c r="M16" t="str">
        <f t="shared" si="7"/>
        <v xml:space="preserve">		public virtual string SeasonType { get; set; }
</v>
      </c>
      <c r="N16" t="str">
        <f t="shared" si="8"/>
        <v xml:space="preserve">		[StringLength(MstWptWorkingTimeConsts.MaxSeasonTypeLength)]
		public virtual string SeasonType { get; set; }
</v>
      </c>
      <c r="O16" t="str">
        <f t="shared" si="9"/>
        <v xml:space="preserve">		public virtual string SeasonType { get; set; }
</v>
      </c>
      <c r="P16" t="str">
        <f t="shared" si="4"/>
        <v xml:space="preserve">							SeasonType = o.SeasonType,</v>
      </c>
      <c r="T16" s="68" t="str">
        <f t="shared" ref="T16" si="25">REPT(CHAR(9),8)&amp;"("""&amp;D16&amp;"""),"</f>
        <v xml:space="preserve">								("SeasonType"),</v>
      </c>
      <c r="V16" s="69" t="str">
        <f t="shared" ref="V16" si="26">REPT(CHAR(9),8)&amp;"_ =&gt; _."&amp;D16&amp;","</f>
        <v xml:space="preserve">								_ =&gt; _.SeasonType,</v>
      </c>
      <c r="W16" s="68" t="str">
        <f t="shared" ref="W16" si="27">IF(H16="string",REPT(CHAR(9),4)&amp;".WhereIf(!string.IsNullOrWhiteSpace(input."&amp;D16&amp;"), e =&gt; e."&amp;D16&amp;".Contains(input."&amp;D16&amp;"))",IF(H16="DateTime",REPT(CHAR(9),4)&amp;".WhereIf(input."&amp;D16&amp;".HasValue, t =&gt; t."&amp;D16&amp;" == input."&amp;D16&amp;".Value)",""))</f>
        <v xml:space="preserve">				.WhereIf(!string.IsNullOrWhiteSpace(input.SeasonType), e =&gt; e.SeasonType.Contains(input.SeasonType))</v>
      </c>
    </row>
    <row r="17" spans="1:23" customFormat="1" ht="21" customHeight="1" x14ac:dyDescent="0.25">
      <c r="A17" t="s">
        <v>276</v>
      </c>
      <c r="B17" t="s">
        <v>280</v>
      </c>
      <c r="C17" t="s">
        <v>1</v>
      </c>
      <c r="D17" t="str">
        <f t="shared" ref="D17" si="28">SUBSTITUTE(PROPER(A17),"_","")</f>
        <v>DayOfWeek</v>
      </c>
      <c r="E17" t="str">
        <f t="shared" ref="E17" si="29">IFERROR(LEFT(B17, FIND("(",B17)-1),B17)</f>
        <v>varchar</v>
      </c>
      <c r="F17" s="7"/>
      <c r="G17" t="str">
        <f t="shared" ref="G17" si="30">IFERROR(MID(B17,FIND("(",B17) +1, FIND(")",B17) - FIND("(",B17) - 1),"")</f>
        <v>100</v>
      </c>
      <c r="H17" t="str">
        <f>+VLOOKUP(E17,'Data Type Mapping'!A:B,2,)</f>
        <v>string</v>
      </c>
      <c r="I17" t="str">
        <f t="shared" ref="I17" si="31">IF(H17="string",REPT(CHAR(9),2)&amp;"public const int Max"&amp;D17&amp;"Length = "&amp;G17&amp;";"&amp;$E$3,"" )</f>
        <v xml:space="preserve">		public const int MaxDayOfWeekLength = 100;
</v>
      </c>
      <c r="J17" t="str">
        <f t="shared" ref="J17" si="32">IF(F17="","",REPT(CHAR(9),2)&amp;"[Column(TypeName="""&amp;F17&amp;""")]"&amp;$E$3)&amp;IF(C17="Checked","",$I$3)&amp;IF(H17="string",REPT(CHAR(9),2)&amp;"[StringLength(Max"&amp;D17&amp;"Length"&amp;")]"&amp;$E$3,"")&amp;REPT(CHAR(9),2)&amp;"public virtual "&amp;H17&amp;IF(C17="?","? "," ")&amp;D17&amp;" { get; set; }" &amp; "
"</f>
        <v xml:space="preserve">		[StringLength(MaxDayOfWeekLength)]
		public virtual string DayOfWeek { get; set; }
</v>
      </c>
      <c r="K17" s="7"/>
      <c r="L17" t="str">
        <f t="shared" ref="L17" si="33">IF(K17="","",REPT(CHAR(9),1)&amp;"[Index(nameof("&amp;IF(D17="","",""&amp;D17)&amp;")"&amp;", Name="&amp;"""IX_"&amp;$B$7&amp;"_"&amp;D17&amp;""")]")</f>
        <v/>
      </c>
      <c r="M17" t="str">
        <f t="shared" si="7"/>
        <v xml:space="preserve">		public virtual string DayOfWeek { get; set; }
</v>
      </c>
      <c r="N17" t="str">
        <f t="shared" si="8"/>
        <v xml:space="preserve">		[StringLength(MstWptWorkingTimeConsts.MaxDayOfWeekLength)]
		public virtual string DayOfWeek { get; set; }
</v>
      </c>
      <c r="O17" t="str">
        <f t="shared" si="9"/>
        <v xml:space="preserve">		public virtual string DayOfWeek { get; set; }
</v>
      </c>
      <c r="P17" t="str">
        <f t="shared" ref="P17" si="34">REPT(CHAR(9),7)&amp;D17&amp;" = o." &amp;D17 &amp;","</f>
        <v xml:space="preserve">							DayOfWeek = o.DayOfWeek,</v>
      </c>
      <c r="T17" s="68" t="str">
        <f t="shared" ref="T17" si="35">REPT(CHAR(9),8)&amp;"("""&amp;D17&amp;"""),"</f>
        <v xml:space="preserve">								("DayOfWeek"),</v>
      </c>
      <c r="V17" s="69" t="str">
        <f t="shared" ref="V17" si="36">REPT(CHAR(9),8)&amp;"_ =&gt; _."&amp;D17&amp;","</f>
        <v xml:space="preserve">								_ =&gt; _.DayOfWeek,</v>
      </c>
      <c r="W17" s="68" t="str">
        <f t="shared" ref="W17" si="37">IF(H17="string",REPT(CHAR(9),4)&amp;".WhereIf(!string.IsNullOrWhiteSpace(input."&amp;D17&amp;"), e =&gt; e."&amp;D17&amp;".Contains(input."&amp;D17&amp;"))",IF(H17="DateTime",REPT(CHAR(9),4)&amp;".WhereIf(input."&amp;D17&amp;".HasValue, t =&gt; t."&amp;D17&amp;" == input."&amp;D17&amp;".Value)",""))</f>
        <v xml:space="preserve">				.WhereIf(!string.IsNullOrWhiteSpace(input.DayOfWeek), e =&gt; e.DayOfWeek.Contains(input.DayOfWeek))</v>
      </c>
    </row>
    <row r="18" spans="1:23" customFormat="1" ht="21" customHeight="1" x14ac:dyDescent="0.25">
      <c r="A18" t="s">
        <v>289</v>
      </c>
      <c r="B18" t="s">
        <v>4</v>
      </c>
      <c r="C18" t="s">
        <v>1</v>
      </c>
      <c r="D18" t="str">
        <f t="shared" ref="D18:D19" si="38">SUBSTITUTE(PROPER(A18),"_","")</f>
        <v>WeekWorkingDays</v>
      </c>
      <c r="E18" t="str">
        <f t="shared" si="0"/>
        <v>int</v>
      </c>
      <c r="F18" s="7"/>
      <c r="G18" t="str">
        <f t="shared" si="1"/>
        <v/>
      </c>
      <c r="H18" t="str">
        <f>+VLOOKUP(E18,'Data Type Mapping'!A:B,2,)</f>
        <v>int</v>
      </c>
      <c r="I18" t="str">
        <f t="shared" si="2"/>
        <v/>
      </c>
      <c r="J18" t="str">
        <f t="shared" si="3"/>
        <v xml:space="preserve">		public virtual int WeekWorkingDays { get; set; }
</v>
      </c>
      <c r="K18" s="7"/>
      <c r="L18" t="str">
        <f t="shared" ref="L18:L19" si="39">IF(K18="","",REPT(CHAR(9),1)&amp;"[Index(nameof("&amp;IF(D18="","",""&amp;D18)&amp;")"&amp;", Name="&amp;"""IX_"&amp;$B$7&amp;"_"&amp;D18&amp;""")]")</f>
        <v/>
      </c>
      <c r="M18" t="str">
        <f t="shared" si="7"/>
        <v xml:space="preserve">		public virtual int WeekWorkingDays { get; set; }
</v>
      </c>
      <c r="N18" t="str">
        <f t="shared" si="8"/>
        <v xml:space="preserve">		public virtual int WeekWorkingDays { get; set; }
</v>
      </c>
      <c r="O18" t="str">
        <f t="shared" si="9"/>
        <v xml:space="preserve">		public virtual int WeekWorkingDays { get; set; }
</v>
      </c>
      <c r="P18" t="str">
        <f t="shared" si="4"/>
        <v xml:space="preserve">							WeekWorkingDays = o.WeekWorkingDays,</v>
      </c>
      <c r="T18" s="68" t="str">
        <f t="shared" ref="T18:T19" si="40">REPT(CHAR(9),8)&amp;"("""&amp;D18&amp;"""),"</f>
        <v xml:space="preserve">								("WeekWorkingDays"),</v>
      </c>
      <c r="V18" s="69" t="str">
        <f t="shared" ref="V18:V19" si="41">REPT(CHAR(9),8)&amp;"_ =&gt; _."&amp;D18&amp;","</f>
        <v xml:space="preserve">								_ =&gt; _.WeekWorkingDays,</v>
      </c>
      <c r="W18" s="68" t="str">
        <f t="shared" ref="W18:W19" si="42">IF(H18="string",REPT(CHAR(9),4)&amp;".WhereIf(!string.IsNullOrWhiteSpace(input."&amp;D18&amp;"), e =&gt; e."&amp;D18&amp;".Contains(input."&amp;D18&amp;"))",IF(H18="DateTime",REPT(CHAR(9),4)&amp;".WhereIf(input."&amp;D18&amp;".HasValue, t =&gt; t."&amp;D18&amp;" == input."&amp;D18&amp;".Value)",""))</f>
        <v/>
      </c>
    </row>
    <row r="19" spans="1:23" customFormat="1" ht="18.75" customHeight="1" x14ac:dyDescent="0.25">
      <c r="A19" t="s">
        <v>270</v>
      </c>
      <c r="B19" t="s">
        <v>271</v>
      </c>
      <c r="C19" t="s">
        <v>1</v>
      </c>
      <c r="D19" t="str">
        <f t="shared" si="38"/>
        <v>IsActive</v>
      </c>
      <c r="E19" t="str">
        <f t="shared" si="0"/>
        <v>varchar</v>
      </c>
      <c r="F19" s="7"/>
      <c r="G19" t="str">
        <f t="shared" si="1"/>
        <v>1</v>
      </c>
      <c r="H19" t="str">
        <f>+VLOOKUP(E19,'Data Type Mapping'!A:B,2,)</f>
        <v>string</v>
      </c>
      <c r="I19" t="str">
        <f t="shared" si="2"/>
        <v xml:space="preserve">		public const int MaxIsActiveLength = 1;
</v>
      </c>
      <c r="J19" t="str">
        <f t="shared" si="3"/>
        <v xml:space="preserve">		[StringLength(MaxIsActiveLength)]
		public virtual string IsActive { get; set; }
</v>
      </c>
      <c r="K19" s="7"/>
      <c r="L19" t="str">
        <f t="shared" si="39"/>
        <v/>
      </c>
      <c r="M19" t="str">
        <f t="shared" si="7"/>
        <v xml:space="preserve">		public virtual string IsActive { get; set; }
</v>
      </c>
      <c r="N19" t="str">
        <f t="shared" si="8"/>
        <v xml:space="preserve">		[StringLength(MstWptWorkingTimeConsts.MaxIsActiveLength)]
		public virtual string IsActive { get; set; }
</v>
      </c>
      <c r="O19" t="str">
        <f t="shared" si="9"/>
        <v xml:space="preserve">		public virtual string IsActive { get; set; }
</v>
      </c>
      <c r="P19" t="str">
        <f t="shared" si="4"/>
        <v xml:space="preserve">							IsActive = o.IsActive,</v>
      </c>
      <c r="T19" s="68" t="str">
        <f t="shared" si="40"/>
        <v xml:space="preserve">								("IsActive"),</v>
      </c>
      <c r="V19" s="69" t="str">
        <f t="shared" si="41"/>
        <v xml:space="preserve">								_ =&gt; _.IsActive,</v>
      </c>
      <c r="W19" s="68" t="str">
        <f t="shared" si="42"/>
        <v xml:space="preserve">				.WhereIf(!string.IsNullOrWhiteSpace(input.IsActive), e =&gt; e.IsActive.Contains(input.IsActive))</v>
      </c>
    </row>
    <row r="21" spans="1:23" ht="45.75" customHeight="1" x14ac:dyDescent="0.25">
      <c r="H21" s="12"/>
      <c r="I21" s="34" t="str">
        <f ca="1">TEXTJOIN2("
", TRUE,INDIRECT( $H$1):INDIRECT( $H$3))</f>
        <v xml:space="preserve">		public const int MaxDescriptionLength = 250;
		public const int MaxSeasonTypeLength = 10;
		public const int MaxDayOfWeekLength = 100;
		public const int MaxIsActiveLength = 1;
</v>
      </c>
      <c r="J21" s="33" t="str">
        <f ca="1">TEXTJOIN2("
", TRUE,INDIRECT( $F$1):INDIRECT( $F$3))</f>
        <v xml:space="preserve">		public virtual int ShiftNo { get; set; }
		public virtual int ShopId { get; set; }
		public virtual int WorkingType { get; set; }
		public virtual TimeSpan StartTime { get; set; }
		public virtual TimeSpan EndTime { get; set; }
		[StringLength(MaxDescriptionLength)]
		public virtual string Description { get; set; }
		public virtual int PatternHId { get; set; }
		[StringLength(MaxSeasonTypeLength)]
		public virtual string SeasonType { get; set; }
		[StringLength(MaxDayOfWeekLength)]
		public virtual string DayOfWeek { get; set; }
		public virtual int WeekWorkingDays { get; set; }
		[StringLength(MaxIsActiveLength)]
		public virtual string IsActive { get; set; }
</v>
      </c>
      <c r="K21" s="35" t="str">
        <f ca="1">TEXTJOIN2("
", TRUE,INDIRECT( $J$1):INDIRECT( $J$3))</f>
        <v xml:space="preserve">	[Index(nameof(ShiftNo), Name="IX_MstWptWorkingTime_ShiftNo")]
	[Index(nameof(ShopId), Name="IX_MstWptWorkingTime_ShopId")]
	[Index(nameof(PatternHId), Name="IX_MstWptWorkingTime_PatternHId")]
</v>
      </c>
      <c r="L21" s="13" t="s">
        <v>60</v>
      </c>
      <c r="M21" s="36" t="str">
        <f ca="1">TEXTJOIN2("
",TRUE,INDIRECT( $L$1):INDIRECT($L$3))</f>
        <v xml:space="preserve">		public virtual int ShiftNo { get; set; }
		public virtual int ShopId { get; set; }
		public virtual int WorkingType { get; set; }
		public virtual TimeSpan? StartTime { get; set; }
		public virtual TimeSpan? EndTime { get; set; }
		public virtual string Description { get; set; }
		public virtual int PatternHId { get; set; }
		public virtual string SeasonType { get; set; }
		public virtual string DayOfWeek { get; set; }
		public virtual int WeekWorkingDays { get; set; }
		public virtual string IsActive { get; set; }
</v>
      </c>
      <c r="N21" s="33" t="str">
        <f ca="1">TEXTJOIN2("
",TRUE,INDIRECT( $M$1):INDIRECT($M$3))</f>
        <v xml:space="preserve">		public virtual int ShiftNo { get; set; }
		public virtual int ShopId { get; set; }
		public virtual int WorkingType { get; set; }
		public virtual TimeSpan? StartTime { get; set; }
		public virtual TimeSpan? EndTime { get; set; }
		[StringLength(MstWptWorkingTimeConsts.MaxDescriptionLength)]
		public virtual string Description { get; set; }
		public virtual int PatternHId { get; set; }
		[StringLength(MstWptWorkingTimeConsts.MaxSeasonTypeLength)]
		public virtual string SeasonType { get; set; }
		[StringLength(MstWptWorkingTimeConsts.MaxDayOfWeekLength)]
		public virtual string DayOfWeek { get; set; }
		public virtual int WeekWorkingDays { get; set; }
		[StringLength(MstWptWorkingTimeConsts.MaxIsActiveLength)]
		public virtual string IsActive { get; set; }
</v>
      </c>
      <c r="O21" s="33" t="str">
        <f ca="1">TEXTJOIN2("
",TRUE,INDIRECT( $N$1):INDIRECT($N$3))</f>
        <v xml:space="preserve">		public virtual int ShiftNo { get; set; }
		public virtual int ShopId { get; set; }
		public virtual int WorkingType { get; set; }
		public virtual string Description { get; set; }
		public virtual int PatternHId { get; set; }
		public virtual string SeasonType { get; set; }
		public virtual string DayOfWeek { get; set; }
		public virtual int WeekWorkingDays { get; set; }
		public virtual string IsActive { get; set; }
</v>
      </c>
      <c r="P21" s="9" t="str">
        <f ca="1">TEXTJOIN2("
",TRUE,INDIRECT( $O$1):INDIRECT($O$3))</f>
        <v xml:space="preserve">							ShiftNo = o.ShiftNo,
							ShopId = o.ShopId,
							WorkingType = o.WorkingType,
							StartTime = o.StartTime,
							EndTime = o.EndTime,
							Description = o.Description,
							PatternHId = o.PatternHId,
							SeasonType = o.SeasonType,
							DayOfWeek = o.DayOfWeek,
							WeekWorkingDays = o.WeekWorkingDays,
							IsActive = o.IsActive,</v>
      </c>
      <c r="T21" s="9" t="str">
        <f ca="1">TEXTJOIN2("
",TRUE,INDIRECT( $T$2):INDIRECT($T$3))</f>
        <v xml:space="preserve">								("ShiftNo"),
								("ShopId"),
								("WorkingType"),
								("StartTime"),
								("EndTime"),
								("Description"),
								("PatternHId"),
								("SeasonType"),
								("DayOfWeek"),
								("WeekWorkingDays"),
								("IsActive"),</v>
      </c>
      <c r="V21" s="9" t="str">
        <f ca="1">TEXTJOIN2("
",TRUE,INDIRECT( $V$2):INDIRECT($V$3))</f>
        <v xml:space="preserve">								_ =&gt; _.ShiftNo,
								_ =&gt; _.ShopId,
								_ =&gt; _.WorkingType,
								_ =&gt; _.StartTime,
								_ =&gt; _.EndTime,
								_ =&gt; _.Description,
								_ =&gt; _.PatternHId,
								_ =&gt; _.SeasonType,
								_ =&gt; _.DayOfWeek,
								_ =&gt; _.WeekWorkingDays,
								_ =&gt; _.IsActive,</v>
      </c>
      <c r="W21" s="9" t="str">
        <f ca="1">TEXTJOIN2("
",TRUE,INDIRECT( $W$2):INDIRECT($W$3))</f>
        <v xml:space="preserve">				.WhereIf(!string.IsNullOrWhiteSpace(input.Description), e =&gt; e.Description.Contains(input.Description))
				.WhereIf(!string.IsNullOrWhiteSpace(input.SeasonType), e =&gt; e.SeasonType.Contains(input.SeasonType))
				.WhereIf(!string.IsNullOrWhiteSpace(input.DayOfWeek), e =&gt; e.DayOfWeek.Contains(input.DayOfWeek))
				.WhereIf(!string.IsNullOrWhiteSpace(input.IsActive), e =&gt; e.IsActive.Contains(input.IsActive))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V28"/>
  <sheetViews>
    <sheetView topLeftCell="A7" workbookViewId="0">
      <selection activeCell="P18" sqref="P18"/>
    </sheetView>
  </sheetViews>
  <sheetFormatPr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24.42578125" customWidth="1"/>
    <col min="9" max="9" width="26.140625" customWidth="1"/>
    <col min="10" max="10" width="22.28515625" customWidth="1"/>
    <col min="11" max="11" width="25.85546875" customWidth="1"/>
    <col min="12" max="12" width="23.7109375" customWidth="1"/>
    <col min="13" max="13" width="23.42578125" customWidth="1"/>
    <col min="14" max="14" width="20.42578125" customWidth="1"/>
    <col min="15" max="15" width="20.5703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ht="45" x14ac:dyDescent="0.25">
      <c r="A1" s="41" t="s">
        <v>212</v>
      </c>
      <c r="B1" s="42" t="s">
        <v>285</v>
      </c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</row>
    <row r="2" spans="1:22" x14ac:dyDescent="0.25">
      <c r="A2" s="41" t="s">
        <v>237</v>
      </c>
      <c r="B2" s="71" t="str">
        <f>A.Backend!B4</f>
        <v>Master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</row>
    <row r="3" spans="1:22" x14ac:dyDescent="0.25">
      <c r="A3" s="41" t="s">
        <v>237</v>
      </c>
      <c r="B3" s="71" t="str">
        <f>LOWER(B2)</f>
        <v>master</v>
      </c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</row>
    <row r="4" spans="1:22" x14ac:dyDescent="0.25">
      <c r="A4" s="41" t="s">
        <v>214</v>
      </c>
      <c r="B4" s="72" t="str">
        <f>A.Backend!Q3</f>
        <v>WorkingPattern</v>
      </c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</row>
    <row r="5" spans="1:22" x14ac:dyDescent="0.25">
      <c r="A5" s="41" t="s">
        <v>214</v>
      </c>
      <c r="B5" s="72" t="str">
        <f>LOWER(B4)</f>
        <v>workingpattern</v>
      </c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</row>
    <row r="6" spans="1:22" x14ac:dyDescent="0.25">
      <c r="A6" s="41" t="s">
        <v>224</v>
      </c>
      <c r="B6" s="73" t="str">
        <f>A.Backend!B3</f>
        <v>MstWptWorkingTime</v>
      </c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</row>
    <row r="7" spans="1:22" x14ac:dyDescent="0.25">
      <c r="A7" s="41" t="s">
        <v>215</v>
      </c>
      <c r="B7" s="72" t="str">
        <f>A.Backend!B5</f>
        <v>WorkingTime</v>
      </c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</row>
    <row r="8" spans="1:22" x14ac:dyDescent="0.25">
      <c r="A8" s="41" t="s">
        <v>213</v>
      </c>
      <c r="B8" s="72" t="str">
        <f>LOWER(B7)</f>
        <v>workingtime</v>
      </c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</row>
    <row r="9" spans="1:22" ht="18.75" customHeight="1" x14ac:dyDescent="0.25">
      <c r="A9" s="52" t="s">
        <v>216</v>
      </c>
      <c r="B9" s="53"/>
      <c r="C9" s="52"/>
      <c r="D9" s="52"/>
      <c r="E9" s="52"/>
      <c r="F9" s="52"/>
      <c r="G9" s="52"/>
      <c r="H9" s="44" t="s">
        <v>262</v>
      </c>
      <c r="I9" s="45" t="s">
        <v>256</v>
      </c>
      <c r="J9" s="44" t="s">
        <v>219</v>
      </c>
      <c r="K9" s="46" t="s">
        <v>257</v>
      </c>
      <c r="L9" s="45" t="s">
        <v>261</v>
      </c>
      <c r="M9" s="44" t="s">
        <v>249</v>
      </c>
      <c r="N9" s="44" t="s">
        <v>220</v>
      </c>
      <c r="O9" s="44" t="s">
        <v>221</v>
      </c>
      <c r="P9" s="45" t="s">
        <v>223</v>
      </c>
      <c r="Q9" s="44" t="s">
        <v>250</v>
      </c>
      <c r="R9" s="44" t="s">
        <v>233</v>
      </c>
      <c r="S9" s="31"/>
      <c r="T9" s="31"/>
      <c r="U9" s="31"/>
      <c r="V9" s="31"/>
    </row>
    <row r="10" spans="1:22" ht="18.75" customHeight="1" x14ac:dyDescent="0.25">
      <c r="A10" s="54" t="s">
        <v>217</v>
      </c>
      <c r="B10" s="55"/>
      <c r="C10" s="56"/>
      <c r="D10" s="56"/>
      <c r="E10" s="56"/>
      <c r="F10" s="56"/>
      <c r="G10" s="56"/>
      <c r="H10" s="47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 } from '@app/shared/common/models/base.model';
import { GridTableService } from '@app/shared/common/services/grid-table.service';
import { AppComponentBase } from '@shared/common/app-component-base';
import { MstWptWorkingTimeDto, MstWptWorkingTimeServiceProxy } from '@shared/service-proxies/service-proxies';
import { finalize } from 'rxjs/internal/operators/finalize';
import { CreateOrEditWorkingTimeModalComponent } from './create-or-edit-workingtime-modal.component';
import { DatePipe } from '@angular/common';
import { FileDownloadService } from '@shared/utils/file-download.service';
import ceil from 'lodash-es/ceil';
import { Paginator } from 'primeng/paginator';
@Component({
    templateUrl: './workingtime.component.html',
    styleUrls: ['./workingtime.component.less'],
})
export class WorkingTimeComponent extends AppComponentBase implements OnInit {
    @ViewChild('createOrEditModalWorkingTime', { static: true }) createOrEditModalWorkingTime:| CreateOrEditWorkingTimeModalComponent|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MstWptWorkingTimeDto = new MstWptWorkingTimeDto();
    saveSelectedRow: MstWptWorkingTimeDto = new MstWptWorkingTimeDto();
    datas: MstWptWorkingTimeDto = new MstWptWorkingTimeDto();
    isLoading: boolean = false;
    dataParams: GridParams | undefined;
    rowData: any[] = [];
    gridApi!: GridApi;
    rowSelection = 'multiple';
    filter: string = '';
	pipe = new DatePipe('en-US');
    shiftNo : number = 0 ;
	shopId : number = 0 ;
	workingType : number = 0 ;
startTime : any ;
	endTime : any ;
	description : string = '' ; 
patternHId : number = 0 ;
	seasonType : string = '' ; 
	dayOfWeek : string = '' ; 
weekWorkingDays : number = 0 ;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MstWptWorkingTimeServiceProxy,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this.l('Shift No'),headerTooltip: this.l('Shift No'),field: 'shiftNo',flex: 1},
			{headerName: this.l('Shop Id'),headerTooltip: this.l('Shop Id'),field: 'shopId',flex: 1},
			{headerName: this.l('Working Type'),headerTooltip: this.l('Working Type'),field: 'workingType',flex: 1},
			{headerName: this.l('Start Time'),headerTooltip: this.l('Start Time'),field: 'startTime',flex: 1},
			{headerName: this.l('End Time'),headerTooltip: this.l('End Time'),field: 'endTime',flex: 1},
			{headerName: this.l('Description'),headerTooltip: this.l('Description'),field: 'description',flex: 1},
			{headerName: this.l('Pattern H Id'),headerTooltip: this.l('Pattern H Id'),field: 'patternHId',flex: 1},
			{headerName: this.l('Season Type'),headerTooltip: this.l('Season Type'),field: 'seasonType',flex: 1},
			{headerName: this.l('Day Of Week'),headerTooltip: this.l('Day Of Week'),field: 'dayOfWeek',flex: 1},
			{headerName: this.l('Week Working Days'),headerTooltip: this.l('Week Working Days'),field: 'weekWorkingDays',flex: 1},
			{headerName: this.l('Is Active'),headerTooltip: this.l('Is Active'),field: 'isActive',flex: 1},      	  
        ];
    }
    ngOnInit(): void {
        this.paginationParams = { pageNum: 1, pageSize: 20, totalCount: 0 };
    }
    searchDatas(): void {
        // this.paginator.changePage(this.paginator.getPage());
        this._service.getAll(
			this.shiftNo,
			this.shopId,
			this.workingType,
			this.startTime,
			this.endTime,
			this.description,
			this.patternHId,
			this.seasonType,
			this.dayOfWeek,
			this.weekWorkingDays,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this.shiftNo = 0,
		this.shopId = 0,
		this.workingType = 0,
this.startTime = '',
		this.endTime = '',
		this.description = '',
this.patternHId = 0,
		this.seasonType = '',
		this.dayOfWeek = '',
this.weekWorkingDays = 0,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this.shiftNo,
			this.shopId,
			this.workingType,
			this.startTime,
			this.endTime,
			this.description,
			this.patternHId,
			this.seasonType,
			this.dayOfWeek,
			this.weekWorkingDays,
			this.isActive,
			'',
            this.paginationParams.skipCount,
            this.paginationParams.pageSize
        );
    }
    onChangeRowSelection(params: { api: { getSelectedRows: () =&gt; MstWptWorkingTimeDto[] } }) {
        this.saveSelectedRow = params.api.getSelectedRows()[0] ?? new MstWptWorkingTimeDto();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MstWptWorkingTimeDto):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this._service.getWorkingTimeToExcel(
			this.shiftNo,
			this.shopId,
			this.workingType,
			this.startTime,
			this.endTime,
			this.description,
			this.patternHId,
			this.seasonType,
			this.dayOfWeek,
			this.weekWorkingDays,
			this.isActive,
            )
            .subscribe((result) =&gt; {
                this._fileDownloadService.downloadTempFile(result);
        });
    }
}</v>
      </c>
      <c r="I10" s="47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Master Working Pattern Pattern D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[(ngModel)]='description' name='description'
									class='form-control' [placeholder]="l('Description')"
									type='text' (keyup.enter)='searchDatas()'&gt;
								&lt;/div&gt;
								&lt;div class='input-search'&gt;
									&lt;input [(ngModel)]='seasonType' name='seasonType'
									class='form-control' [placeholder]="l('Season Type')"
									type='text' (keyup.enter)='searchDatas()'&gt;
								&lt;/div&gt;
								&lt;div class='input-search'&gt;
									&lt;input [(ngModel)]='dayOfWeek' name='dayOfWeek'
									class='form-control' [placeholder]="l('Day Of Week')"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(click)="createOrEditModalWorkingTime.show()"&gt;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(click)="createOrEditModalWorkingTime.show(selectedRow)"&gt;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&lt;create-or-edit-workingtime-modal
    #createOrEditModalWorkingTime
    (modalSave)="callBackDataGrid(dataParams)"
    (modalClose)="onChangeRowSelection(dataParams)"
&gt;
&lt;/create-or-edit-workingtime-modal&gt;</v>
      </c>
      <c r="J10" s="47" t="str">
        <f>J9</f>
        <v>.input-search{
    width: 250px;
    border-radius: 10px;
    margin-left: 10px;
}
.btn-search{
    width: 50px;
    margin-left: 10px;
}</v>
      </c>
      <c r="K10" s="47" t="str">
        <f ca="1">SUBSTITUTE(SUBSTITUTE(SUBSTITUTE(SUBSTITUTE(K9,"MstWptCalendar",$B$6),"Calendar",$B$7),"calendar",$B$8),"&lt;PROPERTIES&gt;",K13)</f>
        <v>&lt;div bsModal #createOrEditModalWorkingTime="bs-modal"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WorkingTime')}}&lt;/h3&gt;
                    &lt;h3 *ngIf="!rowdata.id"&gt;{{('Create New WorkingTime')}}&lt;/h3&gt;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title'&gt;Description&lt;/label&gt;
						&lt;input type='text' class='col-md-10 form-control input-text' name='Description' [(ngModel)]='rowdata.description'&gt;
					&lt;/div&gt;
					&lt;div class='col-md-12 form-group row'&gt;
						&lt;label class='col-md-2 form-control title'&gt;Season Type&lt;/label&gt;
						&lt;input type='text' class='col-md-10 form-control input-text' name='SeasonType' [(ngModel)]='rowdata.seasonType'&gt;
					&lt;/div&gt;
					&lt;div class='col-md-12 form-group row'&gt;
						&lt;label class='col-md-2 form-control title'&gt;Day Of Week&lt;/label&gt;
						&lt;input type='text' class='col-md-10 form-control input-text' name='DayOfWeek' [(ngModel)]='rowdata.dayOfWeek'&gt;
					&lt;/div&gt;
					&lt;div class='col-md-12 form-group row'&gt;
						&lt;label class='col-md-2 form-control title'&gt;Is Active&lt;/label&gt;
						&lt;input class='col-md-10 form-control checkboxActive' type='checkbox' name='isActive'
						[checked]='_isActive' (change)='changeActive($event)'&gt;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7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CreateOrEditMstWptWorkingTimeDto, MstWptWorkingTimeServiceProxy } from '@shared/service-proxies/service-proxies';
import { BsDatepickerDirective } from 'ngx-bootstrap/datepicker';
@Component({
    selector: 'create-or-edit-workingtime-modal',
    templateUrl: './create-or-edit-workingtime-modal.component.html',
    styleUrls: ['./create-or-edit-workingtime-modal.component.less']
    })
export class CreateOrEditWorkingTimeModalComponent extends AppComponentBase {
    @ViewChild('createOrEditModalWorkingTime',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CreateOrEditMstWptWorkingTimeDto = new CreateOrEditMstWptWorkingTimeDto();
    active: boolean = false;
    saving: boolean = false;
    _isActive: boolean;
    constructor(
        injector: Injector,
        private _mstwptWorkingTimeService: MstWptWorkingTimeServiceProxy,
    ) 
    {
        super(injector);
    }
    show(rowdata?: CreateOrEditMstWptWorkingTimeDto): void {
        if (!rowdata) this.rowdata = new CreateOrEditMstWptWorkingTimeDto();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this._mstwptWorkingTimeService.createOrEdit(this.rowdata)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7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7" t="str">
        <f>SUBSTITUTE(SUBSTITUTE(SUBSTITUTE(N9,"MstWptCalendar",$B$6),"Calendar",$B$7),"calendar",$B$8)</f>
        <v>import {NgModule} from '@angular/core';
import {AppSharedModule} from '@app/shared/app-shared.module';
import { WorkingTimeRoutingModule } from './workingtime-routing.module';
import { WorkingTimeComponent } from './workingtime.component';
import { CreateOrEditWorkingTimeModalComponent } from './create-or-edit-workingtime-modal.component';
@NgModule({
    declarations: [
       WorkingTimeComponent, 
        CreateOrEditWorkingTimeModalComponent
    ],
    imports: [
        AppSharedModule, WorkingTimeRoutingModule]
})
export class WorkingTimeModule {}</v>
      </c>
      <c r="O10" s="47" t="str">
        <f>SUBSTITUTE(SUBSTITUTE(SUBSTITUTE(O9,"MstWptCalendar",$B$6),"Calendar",$B$7),"calendar",$B$8)</f>
        <v>import {NgModule} from '@angular/core';
import {RouterModule, Routes} from '@angular/router';
import { WorkingTimeComponent } from './workingtime.component';
const routes: Routes = [{
    path: '',
    component: WorkingTimeComponent,
    pathMatch: 'full'
}];
@NgModule({
    imports: [RouterModule.forChild(routes)],
    exports: [RouterModule],
})
export class WorkingTimeRoutingModule {}</v>
      </c>
      <c r="P10" s="47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AppMenuItem("WorkingTime", "Pages.Master.WorkingPattern.WorkingTime", "flaticon-book",   "/app/main/master/workingpattern/workingtime"),</v>
      </c>
      <c r="Q10" s="47" t="str">
        <f>SUBSTITUTE(SUBSTITUTE(SUBSTITUTE(SUBSTITUTE(SUBSTITUTE(SUBSTITUTE(SUBSTITUTE(Q9,"MstWptCalendar",$B$6),"Calendar",$B$7),"calendar",$B$8),"WorkingPattern",$B$4),"workingpattern",$B$5),"Master",$B$2),"master",$B$3)</f>
        <v>{
    path: 'master/workingpattern/workingtime',
    loadChildren: () =&gt; import('./master/workingpattern/workingtime/workingtime.module').then(m =&gt; m.WorkingTimeModule),
    data: { permission: 'Pages.Master.WorkingPattern.WorkingTime' }
},</v>
      </c>
      <c r="R10" s="49" t="str">
        <f>SUBSTITUTE(R9,"MstWptCalendar",$B$6)</f>
        <v>ApiServiceProxies.MstWptWorkingTimeServiceProxy,</v>
      </c>
      <c r="S10" s="31"/>
      <c r="T10" s="31"/>
      <c r="U10" s="31"/>
      <c r="V10" s="31"/>
    </row>
    <row r="11" spans="1:22" x14ac:dyDescent="0.25">
      <c r="A11" s="57">
        <v>1</v>
      </c>
      <c r="B11" s="37">
        <v>1</v>
      </c>
      <c r="C11" s="31"/>
      <c r="D11" s="31"/>
      <c r="E11" s="31"/>
      <c r="F11" s="31"/>
      <c r="G11" s="31"/>
      <c r="H11" s="31" t="s">
        <v>248</v>
      </c>
      <c r="I11" s="31" t="s">
        <v>263</v>
      </c>
      <c r="J11" s="31"/>
      <c r="K11" s="31" t="s">
        <v>260</v>
      </c>
      <c r="L11" s="31" t="s">
        <v>264</v>
      </c>
      <c r="M11" s="38"/>
      <c r="N11" s="31"/>
      <c r="O11" s="31"/>
      <c r="P11" s="31"/>
      <c r="Q11" s="31"/>
      <c r="R11" s="31"/>
      <c r="S11" s="31" t="s">
        <v>253</v>
      </c>
      <c r="T11" s="31" t="s">
        <v>254</v>
      </c>
      <c r="U11" s="31" t="s">
        <v>265</v>
      </c>
      <c r="V11" s="70" t="s">
        <v>267</v>
      </c>
    </row>
    <row r="12" spans="1:22" x14ac:dyDescent="0.25">
      <c r="A12" s="57">
        <v>2</v>
      </c>
      <c r="B12" s="37"/>
      <c r="C12" s="31"/>
      <c r="D12" s="31"/>
      <c r="E12" s="31"/>
      <c r="F12" s="31"/>
      <c r="G12" s="31"/>
      <c r="H12" s="31" t="str">
        <f>"H"&amp;COUNTA($A:$A)</f>
        <v>H25</v>
      </c>
      <c r="I12" s="31" t="str">
        <f>"I"&amp;COUNTA($A:$A)</f>
        <v>I25</v>
      </c>
      <c r="J12" s="31"/>
      <c r="K12" s="31" t="str">
        <f>"K"&amp;COUNTA($A:$A)</f>
        <v>K25</v>
      </c>
      <c r="L12" s="31" t="str">
        <f>"L"&amp;COUNTA($A:$A)</f>
        <v>L25</v>
      </c>
      <c r="M12" s="31"/>
      <c r="N12" s="31"/>
      <c r="O12" s="31"/>
      <c r="P12" s="31"/>
      <c r="Q12" s="31"/>
      <c r="R12" s="31"/>
      <c r="S12" s="31" t="str">
        <f>"S"&amp;COUNTA($A:$A)</f>
        <v>S25</v>
      </c>
      <c r="T12" s="31" t="str">
        <f>"T"&amp;COUNTA($A:$A)</f>
        <v>T25</v>
      </c>
      <c r="U12" s="31" t="str">
        <f>"U"&amp;COUNTA($A:$A)</f>
        <v>U25</v>
      </c>
      <c r="V12" s="31" t="str">
        <f>"V"&amp;COUNTA($A:$A)</f>
        <v>V25</v>
      </c>
    </row>
    <row r="13" spans="1:22" ht="17.25" customHeight="1" x14ac:dyDescent="0.25">
      <c r="A13" s="57">
        <v>3</v>
      </c>
      <c r="B13" s="31"/>
      <c r="C13" s="31"/>
      <c r="D13" s="31"/>
      <c r="E13" s="31"/>
      <c r="F13" s="31"/>
      <c r="G13" s="31"/>
      <c r="H13" s="38" t="str">
        <f ca="1">TEXTJOIN2("
",TRUE,INDIRECT(H11):INDIRECT(H12))</f>
        <v xml:space="preserve">			{headerName: this.l('Shift No'),headerTooltip: this.l('Shift No'),field: 'shiftNo',flex: 1},
			{headerName: this.l('Shop Id'),headerTooltip: this.l('Shop Id'),field: 'shopId',flex: 1},
			{headerName: this.l('Working Type'),headerTooltip: this.l('Working Type'),field: 'workingType',flex: 1},
			{headerName: this.l('Start Time'),headerTooltip: this.l('Start Time'),field: 'startTime',flex: 1},
			{headerName: this.l('End Time'),headerTooltip: this.l('End Time'),field: 'endTime',flex: 1},
			{headerName: this.l('Description'),headerTooltip: this.l('Description'),field: 'description',flex: 1},
			{headerName: this.l('Pattern H Id'),headerTooltip: this.l('Pattern H Id'),field: 'patternHId',flex: 1},
			{headerName: this.l('Season Type'),headerTooltip: this.l('Season Type'),field: 'seasonType',flex: 1},
			{headerName: this.l('Day Of Week'),headerTooltip: this.l('Day Of Week'),field: 'dayOfWeek',flex: 1},
			{headerName: this.l('Week Working Days'),headerTooltip: this.l('Week Working Days'),field: 'weekWorkingDays',flex: 1},
			{headerName: this.l('Is Active'),headerTooltip: this.l('Is Active'),field: 'isActive',flex: 1},</v>
      </c>
      <c r="I13" s="38" t="str">
        <f ca="1">TEXTJOIN2("
",TRUE,INDIRECT(I11):INDIRECT(I12))</f>
        <v xml:space="preserve">								&lt;div class='input-search'&gt;
									&lt;input [(ngModel)]='description' name='description'
									class='form-control' [placeholder]="l('Description')"
									type='text' (keyup.enter)='searchDatas()'&gt;
								&lt;/div&gt;
								&lt;div class='input-search'&gt;
									&lt;input [(ngModel)]='seasonType' name='seasonType'
									class='form-control' [placeholder]="l('Season Type')"
									type='text' (keyup.enter)='searchDatas()'&gt;
								&lt;/div&gt;
								&lt;div class='input-search'&gt;
									&lt;input [(ngModel)]='dayOfWeek' name='dayOfWeek'
									class='form-control' [placeholder]="l('Day Of Week')"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</v>
      </c>
      <c r="J13" s="31"/>
      <c r="K13" s="38" t="str">
        <f ca="1">TEXTJOIN2("
",TRUE,INDIRECT(K11):INDIRECT(K12))</f>
        <v xml:space="preserve">					&lt;div class='col-md-12 form-group row'&gt;
						&lt;label class='col-md-2 form-control title'&gt;Description&lt;/label&gt;
						&lt;input type='text' class='col-md-10 form-control input-text' name='Description' [(ngModel)]='rowdata.description'&gt;
					&lt;/div&gt;
					&lt;div class='col-md-12 form-group row'&gt;
						&lt;label class='col-md-2 form-control title'&gt;Season Type&lt;/label&gt;
						&lt;input type='text' class='col-md-10 form-control input-text' name='SeasonType' [(ngModel)]='rowdata.seasonType'&gt;
					&lt;/div&gt;
					&lt;div class='col-md-12 form-group row'&gt;
						&lt;label class='col-md-2 form-control title'&gt;Day Of Week&lt;/label&gt;
						&lt;input type='text' class='col-md-10 form-control input-text' name='DayOfWeek' [(ngModel)]='rowdata.dayOfWeek'&gt;
					&lt;/div&gt;
					&lt;div class='col-md-12 form-group row'&gt;
						&lt;label class='col-md-2 form-control title'&gt;Is Active&lt;/label&gt;
						&lt;input class='col-md-10 form-control checkboxActive' type='checkbox' name='isActive'
						[checked]='_isActive' (change)='changeActive($event)'&gt;
					&lt;/div&gt;</v>
      </c>
      <c r="L13" s="59" t="str">
        <f ca="1">TEXTJOIN2("
",TRUE,INDIRECT(L11):INDIRECT(L12))</f>
        <v/>
      </c>
      <c r="M13" s="31"/>
      <c r="N13" s="31"/>
      <c r="O13" s="31"/>
      <c r="P13" s="31"/>
      <c r="Q13" s="31"/>
      <c r="R13" s="31"/>
      <c r="S13" s="67" t="str">
        <f ca="1">TEXTJOIN2("
",TRUE,INDIRECT(S11):INDIRECT(S12))</f>
        <v xml:space="preserve">shiftNo : number = 0 ;
	shopId : number = 0 ;
	workingType : number = 0 ;
startTime : any ;
	endTime : any ;
	description : string = '' ; 
patternHId : number = 0 ;
	seasonType : string = '' ; 
	dayOfWeek : string = '' ; 
weekWorkingDays : number = 0 ;
	isActive : string = '' ; </v>
      </c>
      <c r="T13" s="67" t="str">
        <f ca="1">TEXTJOIN2("
",TRUE,INDIRECT(T11):INDIRECT(T12))</f>
        <v xml:space="preserve">			this.shiftNo,
			this.shopId,
			this.workingType,
			this.startTime,
			this.endTime,
			this.description,
			this.patternHId,
			this.seasonType,
			this.dayOfWeek,
			this.weekWorkingDays,
			this.isActive,</v>
      </c>
      <c r="U13" s="67" t="str">
        <f ca="1">TEXTJOIN2("
",TRUE,INDIRECT(U11):INDIRECT(U12))</f>
        <v>this.shiftNo = 0,
		this.shopId = 0,
		this.workingType = 0,
this.startTime = '',
		this.endTime = '',
		this.description = '',
this.patternHId = 0,
		this.seasonType = '',
		this.dayOfWeek = '',
this.weekWorkingDays = 0,
		this.isActive = '',</v>
      </c>
      <c r="V13" s="31" t="str">
        <f ca="1">TEXTJOIN2("
",TRUE,INDIRECT(V11):INDIRECT(V12))</f>
        <v>isActive</v>
      </c>
    </row>
    <row r="14" spans="1:22" x14ac:dyDescent="0.25">
      <c r="A14" s="41" t="s">
        <v>218</v>
      </c>
      <c r="B14" s="31"/>
      <c r="C14" s="31"/>
      <c r="D14" s="31"/>
      <c r="E14" s="31"/>
      <c r="F14" s="31"/>
      <c r="G14" s="31"/>
      <c r="H14" s="39" t="str">
        <f>B8&amp;".component.ts"</f>
        <v>workingtime.component.ts</v>
      </c>
      <c r="I14" s="40" t="str">
        <f>B8&amp;".component.html"</f>
        <v>workingtime.component.html</v>
      </c>
      <c r="J14" s="39" t="str">
        <f>B8&amp;".component.less"</f>
        <v>workingtime.component.less</v>
      </c>
      <c r="K14" s="40" t="str">
        <f>"create-or-edit-"&amp;B8&amp;"-modal.component.html"</f>
        <v>create-or-edit-workingtime-modal.component.html</v>
      </c>
      <c r="L14" s="40" t="str">
        <f>"create-or-edit-"&amp;B8&amp;"-modal.component.ts"</f>
        <v>create-or-edit-workingtime-modal.component.ts</v>
      </c>
      <c r="M14" s="40" t="str">
        <f>"create-or-edit-"&amp;B8&amp;"-modal.component.less"</f>
        <v>create-or-edit-workingtime-modal.component.less</v>
      </c>
      <c r="N14" s="40" t="str">
        <f>B8&amp;".module.ts"</f>
        <v>workingtime.module.ts</v>
      </c>
      <c r="O14" s="40" t="str">
        <f>B8&amp;"-routing.module.ts"</f>
        <v>workingtime-routing.module.ts</v>
      </c>
      <c r="P14" s="40" t="s">
        <v>222</v>
      </c>
      <c r="Q14" s="40" t="s">
        <v>225</v>
      </c>
      <c r="R14" s="41" t="s">
        <v>232</v>
      </c>
      <c r="S14" s="40" t="s">
        <v>251</v>
      </c>
      <c r="T14" s="40" t="s">
        <v>252</v>
      </c>
      <c r="U14" s="40" t="s">
        <v>255</v>
      </c>
      <c r="V14" s="40" t="s">
        <v>266</v>
      </c>
    </row>
    <row r="15" spans="1:22" ht="18" customHeight="1" x14ac:dyDescent="0.25">
      <c r="A15" s="43" t="s">
        <v>273</v>
      </c>
      <c r="B15" s="31" t="str">
        <f>SUBSTITUTE(PROPER(A15),"_","")</f>
        <v>ShiftNo</v>
      </c>
      <c r="C15" s="31" t="str">
        <f>SUBSTITUTE(PROPER(A15),"_"," ")</f>
        <v>Shift No</v>
      </c>
      <c r="D15" s="31" t="str">
        <f>LOWER(LEFT(B15,1))&amp;RIGHT(B15,LEN(B15) - 1)</f>
        <v>shiftNo</v>
      </c>
      <c r="E15" s="31" t="str">
        <f>A.Backend!H9</f>
        <v>int</v>
      </c>
      <c r="F15" s="31" t="str">
        <f>A.Backend!G9</f>
        <v/>
      </c>
      <c r="G15" s="31" t="str">
        <f>IF(E15="string"," : string = '' ; ",IF(OR(E15="DateTime",E15="TimeSpan")," : any ;",IF(E15="int"," : number = 0 ;","")))</f>
        <v xml:space="preserve"> : number = 0 ;</v>
      </c>
      <c r="H15" s="38" t="str">
        <f t="shared" ref="H15:H25" si="0">IF(E15="DateTime",
REPT(CHAR(9),3)&amp;"{headerName: this.l('"&amp;C15&amp;"'),headerTooltip: this.l('"&amp;C15&amp;"'),field: '"&amp;D15&amp;"',valueGetter: (params) =&gt; this.pipe.transform(params.data?."&amp;D15&amp;", 'dd/MM/yyyy'),flex: 1},",
REPT(CHAR(9),3)&amp;"{headerName: this.l('"&amp;C15&amp;"'),headerTooltip: this.l('"&amp;C15&amp;"'),field: '"&amp;D15&amp;"',flex: 1},")</f>
        <v xml:space="preserve">			{headerName: this.l('Shift No'),headerTooltip: this.l('Shift No'),field: 'shiftNo',flex: 1},</v>
      </c>
      <c r="I15" s="38" t="str">
        <f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/>
      </c>
      <c r="J15" s="31"/>
      <c r="K15" s="38" t="str">
        <f>IF(E15="DateTime",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"&amp;REPT(CHAR(9),6)&amp;"&lt;input class='col-md-10 form-control checkboxActive' type='checkbox' name='"&amp;D15&amp;"'
"&amp;REPT(CHAR(9),6)&amp;"[checked]='_"&amp;D15&amp;"' (change)='changeActive($event)'&gt;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"&amp;REPT(CHAR(9),5)&amp;"&lt;/div&gt;","")))</f>
        <v/>
      </c>
      <c r="L15" s="59" t="str">
        <f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31"/>
      <c r="N15" s="31"/>
      <c r="O15" s="31"/>
      <c r="P15" s="31"/>
      <c r="Q15" s="31"/>
      <c r="R15" s="31"/>
      <c r="S15" s="31" t="str">
        <f>D15&amp;G15</f>
        <v>shiftNo : number = 0 ;</v>
      </c>
      <c r="T15" s="31" t="str">
        <f t="shared" ref="T15:T24" si="1">REPT(CHAR(9),3)&amp;"this."&amp;D15&amp;","</f>
        <v xml:space="preserve">			this.shiftNo,</v>
      </c>
      <c r="U15" s="31" t="str">
        <f>IF(E15="int","this."&amp;D15&amp;" = 0,","this."&amp;D15&amp;" = '',")</f>
        <v>this.shiftNo = 0,</v>
      </c>
      <c r="V15" s="31" t="str">
        <f>IF(AND(E15="string",F15="1"),D15,"")</f>
        <v/>
      </c>
    </row>
    <row r="16" spans="1:22" ht="15" customHeight="1" x14ac:dyDescent="0.25">
      <c r="A16" s="43" t="s">
        <v>286</v>
      </c>
      <c r="B16" s="31" t="str">
        <f t="shared" ref="B16:B25" si="2">SUBSTITUTE(PROPER(A16),"_","")</f>
        <v>ShopId</v>
      </c>
      <c r="C16" s="31" t="str">
        <f t="shared" ref="C16:C25" si="3">SUBSTITUTE(PROPER(A16),"_"," ")</f>
        <v>Shop Id</v>
      </c>
      <c r="D16" s="31" t="str">
        <f t="shared" ref="D16:D25" si="4">LOWER(LEFT(B16,1))&amp;RIGHT(B16,LEN(B16) - 1)</f>
        <v>shopId</v>
      </c>
      <c r="E16" s="31" t="str">
        <f>A.Backend!H10</f>
        <v>int</v>
      </c>
      <c r="F16" s="31" t="str">
        <f>A.Backend!G10</f>
        <v/>
      </c>
      <c r="G16" s="31" t="str">
        <f t="shared" ref="G16:G25" si="5">IF(E16="string"," : string = '' ; ",IF(OR(E16="DateTime",E16="TimeSpan")," : any ;",IF(E16="int"," : number = 0 ;","")))</f>
        <v xml:space="preserve"> : number = 0 ;</v>
      </c>
      <c r="H16" s="38" t="str">
        <f t="shared" si="0"/>
        <v xml:space="preserve">			{headerName: this.l('Shop Id'),headerTooltip: this.l('Shop Id'),field: 'shopId',flex: 1},</v>
      </c>
      <c r="I16" s="38" t="str">
        <f t="shared" ref="I16:I25" si="6">IF(E16="DateTime",
REPT(CHAR(9),8)&amp;"&lt;div class='input-search'&gt;
"&amp;REPT(CHAR(9),9)&amp;"&lt;input type='text' [placeholder]=""l('"&amp;C16&amp;"')"" [(ngModel)]='"&amp;D16&amp;"' 
"&amp;REPT(CHAR(9),9)&amp;"name='"&amp;D16&amp;"'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IF(E16="string",
REPT(CHAR(9),8)&amp;"&lt;div class='input-search'&gt;
"&amp;REPT(CHAR(9),9)&amp;"&lt;input [(ngModel)]='"&amp;D16&amp;"' name='"&amp;D16&amp;"'
"&amp;REPT(CHAR(9),9)&amp;"class='form-control' [placeholder]=""l('"&amp;C16&amp;"')""
"&amp;REPT(CHAR(9),9)&amp;"type='text' (keyup.enter)='searchDatas()'&gt;
"&amp;REPT(CHAR(9),8)&amp;"&lt;/div&gt;",""))</f>
        <v/>
      </c>
      <c r="J16" s="31"/>
      <c r="K16" s="38" t="str">
        <f t="shared" ref="K16:K25" si="7">IF(E16="DateTime",
REPT(CHAR(9),5)&amp;"&lt;div class='col-md-12 form-group row'&gt;
"&amp;REPT(CHAR(9),6)&amp;"&lt;label class='col-md-2 form-control title'&gt;"&amp;C16&amp;"&lt;/label&gt;
"&amp;REPT(CHAR(9),6)&amp;"&lt;input type='text' class='col-md-10 form-control input-text' name='"&amp;D16&amp;"' 
"&amp;REPT(CHAR(9),6)&amp;"#datepicker='bsDatepicker' [(ngModel)]='rowdata."&amp;D16&amp;"'  bsDatepicker &gt;
"&amp;REPT(CHAR(9),5)&amp;"&lt;/div&gt;",
IF(AND(E16="string",F16="1"),
REPT(CHAR(9),5)&amp;"&lt;div class='col-md-12 form-group row'&gt;
"&amp;REPT(CHAR(9),6)&amp;"&lt;label class='col-md-2 form-control title'&gt;"&amp;C16&amp;"&lt;/label&gt;
"&amp;REPT(CHAR(9),6)&amp;"&lt;input class='col-md-10 form-control checkboxActive' type='checkbox' name='"&amp;D16&amp;"'
"&amp;REPT(CHAR(9),6)&amp;"[checked]='_"&amp;D16&amp;"' (change)='changeActive($event)'&gt;
"&amp;REPT(CHAR(9),5)&amp;"&lt;/div&gt;",
IF(E16="string",
REPT(CHAR(9),5)&amp;"&lt;div class='col-md-12 form-group row'&gt;
"&amp;REPT(CHAR(9),6)&amp;"&lt;label class='col-md-2 form-control title'&gt;"&amp;C16&amp;"&lt;/label&gt;
"&amp;REPT(CHAR(9),6)&amp;"&lt;input type='text' class='col-md-10 form-control input-text' name='"&amp;B16&amp;"' [(ngModel)]='rowdata."&amp;D16&amp;"'&gt;
"&amp;REPT(CHAR(9),5)&amp;"&lt;/div&gt;","")))</f>
        <v/>
      </c>
      <c r="L16" s="59" t="str">
        <f t="shared" ref="L16:L25" si="8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31"/>
      <c r="N16" s="31"/>
      <c r="O16" s="31"/>
      <c r="P16" s="31"/>
      <c r="Q16" s="31"/>
      <c r="R16" s="31"/>
      <c r="S16" s="31" t="str">
        <f>REPT(CHAR(9),1)&amp;D16&amp;G16</f>
        <v xml:space="preserve">	shopId : number = 0 ;</v>
      </c>
      <c r="T16" s="31" t="str">
        <f t="shared" si="1"/>
        <v xml:space="preserve">			this.shopId,</v>
      </c>
      <c r="U16" s="31" t="str">
        <f>IF(E16="int",REPT(CHAR(9),2)&amp;"this."&amp;D16&amp;" = 0,",REPT(CHAR(9),2)&amp;"this."&amp;D16&amp;" = '',")</f>
        <v xml:space="preserve">		this.shopId = 0,</v>
      </c>
      <c r="V16" s="31" t="str">
        <f t="shared" ref="V16:V25" si="9">IF(AND(E16="string",F16="1"),D16,"")</f>
        <v/>
      </c>
    </row>
    <row r="17" spans="1:22" ht="15" customHeight="1" x14ac:dyDescent="0.25">
      <c r="A17" s="43" t="s">
        <v>287</v>
      </c>
      <c r="B17" s="31" t="str">
        <f t="shared" ref="B17" si="10">SUBSTITUTE(PROPER(A17),"_","")</f>
        <v>WorkingType</v>
      </c>
      <c r="C17" s="31" t="str">
        <f t="shared" ref="C17" si="11">SUBSTITUTE(PROPER(A17),"_"," ")</f>
        <v>Working Type</v>
      </c>
      <c r="D17" s="31" t="str">
        <f t="shared" ref="D17" si="12">LOWER(LEFT(B17,1))&amp;RIGHT(B17,LEN(B17) - 1)</f>
        <v>workingType</v>
      </c>
      <c r="E17" s="31" t="str">
        <f>A.Backend!H11</f>
        <v>int</v>
      </c>
      <c r="F17" s="31" t="str">
        <f>A.Backend!G11</f>
        <v/>
      </c>
      <c r="G17" s="31" t="str">
        <f t="shared" si="5"/>
        <v xml:space="preserve"> : number = 0 ;</v>
      </c>
      <c r="H17" s="38" t="str">
        <f t="shared" si="0"/>
        <v xml:space="preserve">			{headerName: this.l('Working Type'),headerTooltip: this.l('Working Type'),field: 'workingType',flex: 1},</v>
      </c>
      <c r="I17" s="38" t="str">
        <f t="shared" si="6"/>
        <v/>
      </c>
      <c r="J17" s="31"/>
      <c r="K17" s="38" t="str">
        <f t="shared" ref="K17" si="13">IF(E17="DateTime",
REPT(CHAR(9),5)&amp;"&lt;div class='col-md-12 form-group row'&gt;
"&amp;REPT(CHAR(9),6)&amp;"&lt;label class='col-md-2 form-control title'&gt;"&amp;C17&amp;"&lt;/label&gt;
"&amp;REPT(CHAR(9),6)&amp;"&lt;input type='text' class='col-md-10 form-control input-text' name='"&amp;D17&amp;"' 
"&amp;REPT(CHAR(9),6)&amp;"#datepicker='bsDatepicker' [(ngModel)]='rowdata."&amp;D17&amp;"'  bsDatepicker &gt;
"&amp;REPT(CHAR(9),5)&amp;"&lt;/div&gt;",
IF(AND(E17="string",F17="1"),
REPT(CHAR(9),5)&amp;"&lt;div class='col-md-12 form-group row'&gt;
"&amp;REPT(CHAR(9),6)&amp;"&lt;label class='col-md-2 form-control title'&gt;"&amp;C17&amp;"&lt;/label&gt;
"&amp;REPT(CHAR(9),6)&amp;"&lt;input class='col-md-10 form-control checkboxActive' type='checkbox' name='"&amp;D17&amp;"'
"&amp;REPT(CHAR(9),6)&amp;"[checked]='_"&amp;D17&amp;"' (change)='changeActive($event)'&gt;
"&amp;REPT(CHAR(9),5)&amp;"&lt;/div&gt;",
IF(E17="string",
REPT(CHAR(9),5)&amp;"&lt;div class='col-md-12 form-group row'&gt;
"&amp;REPT(CHAR(9),6)&amp;"&lt;label class='col-md-2 form-control title'&gt;"&amp;C17&amp;"&lt;/label&gt;
"&amp;REPT(CHAR(9),6)&amp;"&lt;input type='text' class='col-md-10 form-control input-text' name='"&amp;B17&amp;"' [(ngModel)]='rowdata."&amp;D17&amp;"'&gt;
"&amp;REPT(CHAR(9),5)&amp;"&lt;/div&gt;","")))</f>
        <v/>
      </c>
      <c r="L17" s="59" t="str">
        <f t="shared" ref="L17" si="14">IF(E17="DateTime",
REPT(CHAR(9),2)&amp;"const dateValue =  this.rowdata."&amp;D17&amp;" ? new Date(this.rowdata."&amp;D17&amp;"?.toString()) : new Date();
"&amp;REPT(CHAR(9),2)&amp;"this.datepicker?.bsValueChange.emit(dateValue);","")</f>
        <v/>
      </c>
      <c r="M17" s="31"/>
      <c r="N17" s="31"/>
      <c r="O17" s="31"/>
      <c r="P17" s="31"/>
      <c r="Q17" s="31"/>
      <c r="R17" s="31"/>
      <c r="S17" s="31" t="str">
        <f>REPT(CHAR(9),1)&amp;D17&amp;G17</f>
        <v xml:space="preserve">	workingType : number = 0 ;</v>
      </c>
      <c r="T17" s="31" t="str">
        <f t="shared" si="1"/>
        <v xml:space="preserve">			this.workingType,</v>
      </c>
      <c r="U17" s="31" t="str">
        <f>IF(E17="int",REPT(CHAR(9),2)&amp;"this."&amp;D17&amp;" = 0,",REPT(CHAR(9),2)&amp;"this."&amp;D17&amp;" = '',")</f>
        <v xml:space="preserve">		this.workingType = 0,</v>
      </c>
      <c r="V17" s="31" t="str">
        <f t="shared" ref="V17" si="15">IF(AND(E17="string",F17="1"),D17,"")</f>
        <v/>
      </c>
    </row>
    <row r="18" spans="1:22" ht="18" customHeight="1" x14ac:dyDescent="0.25">
      <c r="A18" s="43" t="s">
        <v>274</v>
      </c>
      <c r="B18" s="31" t="str">
        <f>SUBSTITUTE(PROPER(A18),"_","")</f>
        <v>StartTime</v>
      </c>
      <c r="C18" s="31" t="str">
        <f>SUBSTITUTE(PROPER(A18),"_"," ")</f>
        <v>Start Time</v>
      </c>
      <c r="D18" s="31" t="str">
        <f>LOWER(LEFT(B18,1))&amp;RIGHT(B18,LEN(B18) - 1)</f>
        <v>startTime</v>
      </c>
      <c r="E18" s="31" t="str">
        <f>A.Backend!H12</f>
        <v>TimeSpan</v>
      </c>
      <c r="F18" s="31" t="str">
        <f>A.Backend!G12</f>
        <v>7</v>
      </c>
      <c r="G18" s="31" t="str">
        <f t="shared" si="5"/>
        <v xml:space="preserve"> : any ;</v>
      </c>
      <c r="H18" s="38" t="str">
        <f t="shared" si="0"/>
        <v xml:space="preserve">			{headerName: this.l('Start Time'),headerTooltip: this.l('Start Time'),field: 'startTime',flex: 1},</v>
      </c>
      <c r="I18" s="38" t="str">
        <f t="shared" si="6"/>
        <v/>
      </c>
      <c r="J18" s="31"/>
      <c r="K18" s="38" t="str">
        <f>IF(E18="DateTime",
REPT(CHAR(9),5)&amp;"&lt;div class='col-md-12 form-group row'&gt;
"&amp;REPT(CHAR(9),6)&amp;"&lt;label class='col-md-2 form-control title'&gt;"&amp;C18&amp;"&lt;/label&gt;
"&amp;REPT(CHAR(9),6)&amp;"&lt;input type='text' class='col-md-10 form-control input-text' name='"&amp;D18&amp;"' 
"&amp;REPT(CHAR(9),6)&amp;"#datepicker='bsDatepicker' [(ngModel)]='rowdata."&amp;D18&amp;"'  bsDatepicker &gt;
"&amp;REPT(CHAR(9),5)&amp;"&lt;/div&gt;",
IF(AND(E18="string",F18="1"),
REPT(CHAR(9),5)&amp;"&lt;div class='col-md-12 form-group row'&gt;
"&amp;REPT(CHAR(9),6)&amp;"&lt;label class='col-md-2 form-control title'&gt;"&amp;C18&amp;"&lt;/label&gt;
"&amp;REPT(CHAR(9),6)&amp;"&lt;input class='col-md-10 form-control checkboxActive' type='checkbox' name='"&amp;D18&amp;"'
"&amp;REPT(CHAR(9),6)&amp;"[checked]='_"&amp;D18&amp;"' (change)='changeActive($event)'&gt;
"&amp;REPT(CHAR(9),5)&amp;"&lt;/div&gt;",
IF(E18="string",
REPT(CHAR(9),5)&amp;"&lt;div class='col-md-12 form-group row'&gt;
"&amp;REPT(CHAR(9),6)&amp;"&lt;label class='col-md-2 form-control title'&gt;"&amp;C18&amp;"&lt;/label&gt;
"&amp;REPT(CHAR(9),6)&amp;"&lt;input type='text' class='col-md-10 form-control input-text' name='"&amp;B18&amp;"' [(ngModel)]='rowdata."&amp;D18&amp;"'&gt;
"&amp;REPT(CHAR(9),5)&amp;"&lt;/div&gt;","")))</f>
        <v/>
      </c>
      <c r="L18" s="59" t="str">
        <f>IF(E18="DateTime",
REPT(CHAR(9),2)&amp;"const dateValue =  this.rowdata."&amp;D18&amp;" ? new Date(this.rowdata."&amp;D18&amp;"?.toString()) : new Date();
"&amp;REPT(CHAR(9),2)&amp;"this.datepicker?.bsValueChange.emit(dateValue);","")</f>
        <v/>
      </c>
      <c r="M18" s="31"/>
      <c r="N18" s="31"/>
      <c r="O18" s="31"/>
      <c r="P18" s="31"/>
      <c r="Q18" s="31"/>
      <c r="R18" s="31"/>
      <c r="S18" s="31" t="str">
        <f>D18&amp;G18</f>
        <v>startTime : any ;</v>
      </c>
      <c r="T18" s="31" t="str">
        <f t="shared" si="1"/>
        <v xml:space="preserve">			this.startTime,</v>
      </c>
      <c r="U18" s="31" t="str">
        <f>IF(E18="int","this."&amp;D18&amp;" = 0,","this."&amp;D18&amp;" = '',")</f>
        <v>this.startTime = '',</v>
      </c>
      <c r="V18" s="31" t="str">
        <f>IF(AND(E18="string",F18="1"),D18,"")</f>
        <v/>
      </c>
    </row>
    <row r="19" spans="1:22" ht="15" customHeight="1" x14ac:dyDescent="0.25">
      <c r="A19" s="43" t="s">
        <v>275</v>
      </c>
      <c r="B19" s="31" t="str">
        <f t="shared" ref="B19:B20" si="16">SUBSTITUTE(PROPER(A19),"_","")</f>
        <v>EndTime</v>
      </c>
      <c r="C19" s="31" t="str">
        <f t="shared" ref="C19:C20" si="17">SUBSTITUTE(PROPER(A19),"_"," ")</f>
        <v>End Time</v>
      </c>
      <c r="D19" s="31" t="str">
        <f t="shared" ref="D19:D20" si="18">LOWER(LEFT(B19,1))&amp;RIGHT(B19,LEN(B19) - 1)</f>
        <v>endTime</v>
      </c>
      <c r="E19" s="31" t="str">
        <f>A.Backend!H13</f>
        <v>TimeSpan</v>
      </c>
      <c r="F19" s="31" t="str">
        <f>A.Backend!G13</f>
        <v>7</v>
      </c>
      <c r="G19" s="31" t="str">
        <f t="shared" si="5"/>
        <v xml:space="preserve"> : any ;</v>
      </c>
      <c r="H19" s="38" t="str">
        <f t="shared" si="0"/>
        <v xml:space="preserve">			{headerName: this.l('End Time'),headerTooltip: this.l('End Time'),field: 'endTime',flex: 1},</v>
      </c>
      <c r="I19" s="38" t="str">
        <f t="shared" si="6"/>
        <v/>
      </c>
      <c r="J19" s="31"/>
      <c r="K19" s="38" t="str">
        <f t="shared" ref="K19:K20" si="19">IF(E19="DateTime",
REPT(CHAR(9),5)&amp;"&lt;div class='col-md-12 form-group row'&gt;
"&amp;REPT(CHAR(9),6)&amp;"&lt;label class='col-md-2 form-control title'&gt;"&amp;C19&amp;"&lt;/label&gt;
"&amp;REPT(CHAR(9),6)&amp;"&lt;input type='text' class='col-md-10 form-control input-text' name='"&amp;D19&amp;"' 
"&amp;REPT(CHAR(9),6)&amp;"#datepicker='bsDatepicker' [(ngModel)]='rowdata."&amp;D19&amp;"'  bsDatepicker &gt;
"&amp;REPT(CHAR(9),5)&amp;"&lt;/div&gt;",
IF(AND(E19="string",F19="1"),
REPT(CHAR(9),5)&amp;"&lt;div class='col-md-12 form-group row'&gt;
"&amp;REPT(CHAR(9),6)&amp;"&lt;label class='col-md-2 form-control title'&gt;"&amp;C19&amp;"&lt;/label&gt;
"&amp;REPT(CHAR(9),6)&amp;"&lt;input class='col-md-10 form-control checkboxActive' type='checkbox' name='"&amp;D19&amp;"'
"&amp;REPT(CHAR(9),6)&amp;"[checked]='_"&amp;D19&amp;"' (change)='changeActive($event)'&gt;
"&amp;REPT(CHAR(9),5)&amp;"&lt;/div&gt;",
IF(E19="string",
REPT(CHAR(9),5)&amp;"&lt;div class='col-md-12 form-group row'&gt;
"&amp;REPT(CHAR(9),6)&amp;"&lt;label class='col-md-2 form-control title'&gt;"&amp;C19&amp;"&lt;/label&gt;
"&amp;REPT(CHAR(9),6)&amp;"&lt;input type='text' class='col-md-10 form-control input-text' name='"&amp;B19&amp;"' [(ngModel)]='rowdata."&amp;D19&amp;"'&gt;
"&amp;REPT(CHAR(9),5)&amp;"&lt;/div&gt;","")))</f>
        <v/>
      </c>
      <c r="L19" s="59" t="str">
        <f t="shared" ref="L19:L20" si="20">IF(E19="DateTime",
REPT(CHAR(9),2)&amp;"const dateValue =  this.rowdata."&amp;D19&amp;" ? new Date(this.rowdata."&amp;D19&amp;"?.toString()) : new Date();
"&amp;REPT(CHAR(9),2)&amp;"this.datepicker?.bsValueChange.emit(dateValue);","")</f>
        <v/>
      </c>
      <c r="M19" s="31"/>
      <c r="N19" s="31"/>
      <c r="O19" s="31"/>
      <c r="P19" s="31"/>
      <c r="Q19" s="31"/>
      <c r="R19" s="31"/>
      <c r="S19" s="31" t="str">
        <f>REPT(CHAR(9),1)&amp;D19&amp;G19</f>
        <v xml:space="preserve">	endTime : any ;</v>
      </c>
      <c r="T19" s="31" t="str">
        <f t="shared" ref="T19:T21" si="21">REPT(CHAR(9),3)&amp;"this."&amp;D19&amp;","</f>
        <v xml:space="preserve">			this.endTime,</v>
      </c>
      <c r="U19" s="31" t="str">
        <f>IF(E19="int",REPT(CHAR(9),2)&amp;"this."&amp;D19&amp;" = 0,",REPT(CHAR(9),2)&amp;"this."&amp;D19&amp;" = '',")</f>
        <v xml:space="preserve">		this.endTime = '',</v>
      </c>
      <c r="V19" s="31" t="str">
        <f t="shared" ref="V19:V20" si="22">IF(AND(E19="string",F19="1"),D19,"")</f>
        <v/>
      </c>
    </row>
    <row r="20" spans="1:22" ht="15" customHeight="1" x14ac:dyDescent="0.25">
      <c r="A20" s="43" t="s">
        <v>288</v>
      </c>
      <c r="B20" s="31" t="str">
        <f t="shared" si="16"/>
        <v>Description</v>
      </c>
      <c r="C20" s="31" t="str">
        <f t="shared" si="17"/>
        <v>Description</v>
      </c>
      <c r="D20" s="31" t="str">
        <f t="shared" si="18"/>
        <v>description</v>
      </c>
      <c r="E20" s="31" t="str">
        <f>A.Backend!H14</f>
        <v>string</v>
      </c>
      <c r="F20" s="31" t="str">
        <f>A.Backend!G14</f>
        <v>250</v>
      </c>
      <c r="G20" s="31" t="str">
        <f t="shared" si="5"/>
        <v xml:space="preserve"> : string = '' ; </v>
      </c>
      <c r="H20" s="38" t="str">
        <f t="shared" si="0"/>
        <v xml:space="preserve">			{headerName: this.l('Description'),headerTooltip: this.l('Description'),field: 'description',flex: 1},</v>
      </c>
      <c r="I20" s="38" t="str">
        <f t="shared" si="6"/>
        <v xml:space="preserve">								&lt;div class='input-search'&gt;
									&lt;input [(ngModel)]='description' name='description'
									class='form-control' [placeholder]="l('Description')"
									type='text' (keyup.enter)='searchDatas()'&gt;
								&lt;/div&gt;</v>
      </c>
      <c r="J20" s="31"/>
      <c r="K20" s="38" t="str">
        <f t="shared" si="19"/>
        <v xml:space="preserve">					&lt;div class='col-md-12 form-group row'&gt;
						&lt;label class='col-md-2 form-control title'&gt;Description&lt;/label&gt;
						&lt;input type='text' class='col-md-10 form-control input-text' name='Description' [(ngModel)]='rowdata.description'&gt;
					&lt;/div&gt;</v>
      </c>
      <c r="L20" s="59" t="str">
        <f t="shared" si="20"/>
        <v/>
      </c>
      <c r="M20" s="31"/>
      <c r="N20" s="31"/>
      <c r="O20" s="31"/>
      <c r="P20" s="31"/>
      <c r="Q20" s="31"/>
      <c r="R20" s="31"/>
      <c r="S20" s="31" t="str">
        <f>REPT(CHAR(9),1)&amp;D20&amp;G20</f>
        <v xml:space="preserve">	description : string = '' ; </v>
      </c>
      <c r="T20" s="31" t="str">
        <f t="shared" si="21"/>
        <v xml:space="preserve">			this.description,</v>
      </c>
      <c r="U20" s="31" t="str">
        <f>IF(E20="int",REPT(CHAR(9),2)&amp;"this."&amp;D20&amp;" = 0,",REPT(CHAR(9),2)&amp;"this."&amp;D20&amp;" = '',")</f>
        <v xml:space="preserve">		this.description = '',</v>
      </c>
      <c r="V20" s="31" t="str">
        <f t="shared" si="22"/>
        <v/>
      </c>
    </row>
    <row r="21" spans="1:22" ht="18" customHeight="1" x14ac:dyDescent="0.25">
      <c r="A21" s="43" t="s">
        <v>272</v>
      </c>
      <c r="B21" s="31" t="str">
        <f>SUBSTITUTE(PROPER(A21),"_","")</f>
        <v>PatternHId</v>
      </c>
      <c r="C21" s="31" t="str">
        <f>SUBSTITUTE(PROPER(A21),"_"," ")</f>
        <v>Pattern H Id</v>
      </c>
      <c r="D21" s="31" t="str">
        <f>LOWER(LEFT(B21,1))&amp;RIGHT(B21,LEN(B21) - 1)</f>
        <v>patternHId</v>
      </c>
      <c r="E21" s="31" t="str">
        <f>A.Backend!H15</f>
        <v>int</v>
      </c>
      <c r="F21" s="31" t="str">
        <f>A.Backend!G15</f>
        <v/>
      </c>
      <c r="G21" s="31" t="str">
        <f t="shared" si="5"/>
        <v xml:space="preserve"> : number = 0 ;</v>
      </c>
      <c r="H21" s="38" t="str">
        <f t="shared" si="0"/>
        <v xml:space="preserve">			{headerName: this.l('Pattern H Id'),headerTooltip: this.l('Pattern H Id'),field: 'patternHId',flex: 1},</v>
      </c>
      <c r="I21" s="38" t="str">
        <f t="shared" si="6"/>
        <v/>
      </c>
      <c r="J21" s="31"/>
      <c r="K21" s="38" t="str">
        <f>IF(E21="DateTime",
REPT(CHAR(9),5)&amp;"&lt;div class='col-md-12 form-group row'&gt;
"&amp;REPT(CHAR(9),6)&amp;"&lt;label class='col-md-2 form-control title'&gt;"&amp;C21&amp;"&lt;/label&gt;
"&amp;REPT(CHAR(9),6)&amp;"&lt;input type='text' class='col-md-10 form-control input-text' name='"&amp;D21&amp;"' 
"&amp;REPT(CHAR(9),6)&amp;"#datepicker='bsDatepicker' [(ngModel)]='rowdata."&amp;D21&amp;"'  bsDatepicker &gt;
"&amp;REPT(CHAR(9),5)&amp;"&lt;/div&gt;",
IF(AND(E21="string",F21="1"),
REPT(CHAR(9),5)&amp;"&lt;div class='col-md-12 form-group row'&gt;
"&amp;REPT(CHAR(9),6)&amp;"&lt;label class='col-md-2 form-control title'&gt;"&amp;C21&amp;"&lt;/label&gt;
"&amp;REPT(CHAR(9),6)&amp;"&lt;input class='col-md-10 form-control checkboxActive' type='checkbox' name='"&amp;D21&amp;"'
"&amp;REPT(CHAR(9),6)&amp;"[checked]='_"&amp;D21&amp;"' (change)='changeActive($event)'&gt;
"&amp;REPT(CHAR(9),5)&amp;"&lt;/div&gt;",
IF(E21="string",
REPT(CHAR(9),5)&amp;"&lt;div class='col-md-12 form-group row'&gt;
"&amp;REPT(CHAR(9),6)&amp;"&lt;label class='col-md-2 form-control title'&gt;"&amp;C21&amp;"&lt;/label&gt;
"&amp;REPT(CHAR(9),6)&amp;"&lt;input type='text' class='col-md-10 form-control input-text' name='"&amp;B21&amp;"' [(ngModel)]='rowdata."&amp;D21&amp;"'&gt;
"&amp;REPT(CHAR(9),5)&amp;"&lt;/div&gt;","")))</f>
        <v/>
      </c>
      <c r="L21" s="59" t="str">
        <f>IF(E21="DateTime",
REPT(CHAR(9),2)&amp;"const dateValue =  this.rowdata."&amp;D21&amp;" ? new Date(this.rowdata."&amp;D21&amp;"?.toString()) : new Date();
"&amp;REPT(CHAR(9),2)&amp;"this.datepicker?.bsValueChange.emit(dateValue);","")</f>
        <v/>
      </c>
      <c r="M21" s="31"/>
      <c r="N21" s="31"/>
      <c r="O21" s="31"/>
      <c r="P21" s="31"/>
      <c r="Q21" s="31"/>
      <c r="R21" s="31"/>
      <c r="S21" s="31" t="str">
        <f>D21&amp;G21</f>
        <v>patternHId : number = 0 ;</v>
      </c>
      <c r="T21" s="31" t="str">
        <f t="shared" si="21"/>
        <v xml:space="preserve">			this.patternHId,</v>
      </c>
      <c r="U21" s="31" t="str">
        <f>IF(E21="int","this."&amp;D21&amp;" = 0,","this."&amp;D21&amp;" = '',")</f>
        <v>this.patternHId = 0,</v>
      </c>
      <c r="V21" s="31" t="str">
        <f>IF(AND(E21="string",F21="1"),D21,"")</f>
        <v/>
      </c>
    </row>
    <row r="22" spans="1:22" ht="15" customHeight="1" x14ac:dyDescent="0.25">
      <c r="A22" s="43" t="s">
        <v>277</v>
      </c>
      <c r="B22" s="31" t="str">
        <f t="shared" ref="B22:B23" si="23">SUBSTITUTE(PROPER(A22),"_","")</f>
        <v>SeasonType</v>
      </c>
      <c r="C22" s="31" t="str">
        <f t="shared" ref="C22:C23" si="24">SUBSTITUTE(PROPER(A22),"_"," ")</f>
        <v>Season Type</v>
      </c>
      <c r="D22" s="31" t="str">
        <f t="shared" ref="D22:D23" si="25">LOWER(LEFT(B22,1))&amp;RIGHT(B22,LEN(B22) - 1)</f>
        <v>seasonType</v>
      </c>
      <c r="E22" s="31" t="str">
        <f>A.Backend!H16</f>
        <v>string</v>
      </c>
      <c r="F22" s="31" t="str">
        <f>A.Backend!G16</f>
        <v>10</v>
      </c>
      <c r="G22" s="31" t="str">
        <f t="shared" si="5"/>
        <v xml:space="preserve"> : string = '' ; </v>
      </c>
      <c r="H22" s="38" t="str">
        <f t="shared" si="0"/>
        <v xml:space="preserve">			{headerName: this.l('Season Type'),headerTooltip: this.l('Season Type'),field: 'seasonType',flex: 1},</v>
      </c>
      <c r="I22" s="38" t="str">
        <f t="shared" si="6"/>
        <v xml:space="preserve">								&lt;div class='input-search'&gt;
									&lt;input [(ngModel)]='seasonType' name='seasonType'
									class='form-control' [placeholder]="l('Season Type')"
									type='text' (keyup.enter)='searchDatas()'&gt;
								&lt;/div&gt;</v>
      </c>
      <c r="J22" s="31"/>
      <c r="K22" s="38" t="str">
        <f t="shared" ref="K22:K23" si="26">IF(E22="DateTime",
REPT(CHAR(9),5)&amp;"&lt;div class='col-md-12 form-group row'&gt;
"&amp;REPT(CHAR(9),6)&amp;"&lt;label class='col-md-2 form-control title'&gt;"&amp;C22&amp;"&lt;/label&gt;
"&amp;REPT(CHAR(9),6)&amp;"&lt;input type='text' class='col-md-10 form-control input-text' name='"&amp;D22&amp;"' 
"&amp;REPT(CHAR(9),6)&amp;"#datepicker='bsDatepicker' [(ngModel)]='rowdata."&amp;D22&amp;"'  bsDatepicker &gt;
"&amp;REPT(CHAR(9),5)&amp;"&lt;/div&gt;",
IF(AND(E22="string",F22="1"),
REPT(CHAR(9),5)&amp;"&lt;div class='col-md-12 form-group row'&gt;
"&amp;REPT(CHAR(9),6)&amp;"&lt;label class='col-md-2 form-control title'&gt;"&amp;C22&amp;"&lt;/label&gt;
"&amp;REPT(CHAR(9),6)&amp;"&lt;input class='col-md-10 form-control checkboxActive' type='checkbox' name='"&amp;D22&amp;"'
"&amp;REPT(CHAR(9),6)&amp;"[checked]='_"&amp;D22&amp;"' (change)='changeActive($event)'&gt;
"&amp;REPT(CHAR(9),5)&amp;"&lt;/div&gt;",
IF(E22="string",
REPT(CHAR(9),5)&amp;"&lt;div class='col-md-12 form-group row'&gt;
"&amp;REPT(CHAR(9),6)&amp;"&lt;label class='col-md-2 form-control title'&gt;"&amp;C22&amp;"&lt;/label&gt;
"&amp;REPT(CHAR(9),6)&amp;"&lt;input type='text' class='col-md-10 form-control input-text' name='"&amp;B22&amp;"' [(ngModel)]='rowdata."&amp;D22&amp;"'&gt;
"&amp;REPT(CHAR(9),5)&amp;"&lt;/div&gt;","")))</f>
        <v xml:space="preserve">					&lt;div class='col-md-12 form-group row'&gt;
						&lt;label class='col-md-2 form-control title'&gt;Season Type&lt;/label&gt;
						&lt;input type='text' class='col-md-10 form-control input-text' name='SeasonType' [(ngModel)]='rowdata.seasonType'&gt;
					&lt;/div&gt;</v>
      </c>
      <c r="L22" s="59" t="str">
        <f t="shared" ref="L22:L23" si="27">IF(E22="DateTime",
REPT(CHAR(9),2)&amp;"const dateValue =  this.rowdata."&amp;D22&amp;" ? new Date(this.rowdata."&amp;D22&amp;"?.toString()) : new Date();
"&amp;REPT(CHAR(9),2)&amp;"this.datepicker?.bsValueChange.emit(dateValue);","")</f>
        <v/>
      </c>
      <c r="M22" s="31"/>
      <c r="N22" s="31"/>
      <c r="O22" s="31"/>
      <c r="P22" s="31"/>
      <c r="Q22" s="31"/>
      <c r="R22" s="31"/>
      <c r="S22" s="31" t="str">
        <f>REPT(CHAR(9),1)&amp;D22&amp;G22</f>
        <v xml:space="preserve">	seasonType : string = '' ; </v>
      </c>
      <c r="T22" s="31" t="str">
        <f t="shared" si="1"/>
        <v xml:space="preserve">			this.seasonType,</v>
      </c>
      <c r="U22" s="31" t="str">
        <f>IF(E22="int",REPT(CHAR(9),2)&amp;"this."&amp;D22&amp;" = 0,",REPT(CHAR(9),2)&amp;"this."&amp;D22&amp;" = '',")</f>
        <v xml:space="preserve">		this.seasonType = '',</v>
      </c>
      <c r="V22" s="31" t="str">
        <f t="shared" ref="V22:V23" si="28">IF(AND(E22="string",F22="1"),D22,"")</f>
        <v/>
      </c>
    </row>
    <row r="23" spans="1:22" ht="15" customHeight="1" x14ac:dyDescent="0.25">
      <c r="A23" s="43" t="s">
        <v>276</v>
      </c>
      <c r="B23" s="31" t="str">
        <f t="shared" si="23"/>
        <v>DayOfWeek</v>
      </c>
      <c r="C23" s="31" t="str">
        <f t="shared" si="24"/>
        <v>Day Of Week</v>
      </c>
      <c r="D23" s="31" t="str">
        <f t="shared" si="25"/>
        <v>dayOfWeek</v>
      </c>
      <c r="E23" s="31" t="str">
        <f>A.Backend!H17</f>
        <v>string</v>
      </c>
      <c r="F23" s="31" t="str">
        <f>A.Backend!G17</f>
        <v>100</v>
      </c>
      <c r="G23" s="31" t="str">
        <f t="shared" si="5"/>
        <v xml:space="preserve"> : string = '' ; </v>
      </c>
      <c r="H23" s="38" t="str">
        <f t="shared" si="0"/>
        <v xml:space="preserve">			{headerName: this.l('Day Of Week'),headerTooltip: this.l('Day Of Week'),field: 'dayOfWeek',flex: 1},</v>
      </c>
      <c r="I23" s="38" t="str">
        <f t="shared" si="6"/>
        <v xml:space="preserve">								&lt;div class='input-search'&gt;
									&lt;input [(ngModel)]='dayOfWeek' name='dayOfWeek'
									class='form-control' [placeholder]="l('Day Of Week')"
									type='text' (keyup.enter)='searchDatas()'&gt;
								&lt;/div&gt;</v>
      </c>
      <c r="J23" s="31"/>
      <c r="K23" s="38" t="str">
        <f t="shared" si="26"/>
        <v xml:space="preserve">					&lt;div class='col-md-12 form-group row'&gt;
						&lt;label class='col-md-2 form-control title'&gt;Day Of Week&lt;/label&gt;
						&lt;input type='text' class='col-md-10 form-control input-text' name='DayOfWeek' [(ngModel)]='rowdata.dayOfWeek'&gt;
					&lt;/div&gt;</v>
      </c>
      <c r="L23" s="59" t="str">
        <f t="shared" si="27"/>
        <v/>
      </c>
      <c r="M23" s="31"/>
      <c r="N23" s="31"/>
      <c r="O23" s="31"/>
      <c r="P23" s="31"/>
      <c r="Q23" s="31"/>
      <c r="R23" s="31"/>
      <c r="S23" s="31" t="str">
        <f>REPT(CHAR(9),1)&amp;D23&amp;G23</f>
        <v xml:space="preserve">	dayOfWeek : string = '' ; </v>
      </c>
      <c r="T23" s="31" t="str">
        <f t="shared" si="1"/>
        <v xml:space="preserve">			this.dayOfWeek,</v>
      </c>
      <c r="U23" s="31" t="str">
        <f>IF(E23="int",REPT(CHAR(9),2)&amp;"this."&amp;D23&amp;" = 0,",REPT(CHAR(9),2)&amp;"this."&amp;D23&amp;" = '',")</f>
        <v xml:space="preserve">		this.dayOfWeek = '',</v>
      </c>
      <c r="V23" s="31" t="str">
        <f t="shared" si="28"/>
        <v/>
      </c>
    </row>
    <row r="24" spans="1:22" ht="18" customHeight="1" x14ac:dyDescent="0.25">
      <c r="A24" s="43" t="s">
        <v>289</v>
      </c>
      <c r="B24" s="31" t="str">
        <f>SUBSTITUTE(PROPER(A24),"_","")</f>
        <v>WeekWorkingDays</v>
      </c>
      <c r="C24" s="31" t="str">
        <f>SUBSTITUTE(PROPER(A24),"_"," ")</f>
        <v>Week Working Days</v>
      </c>
      <c r="D24" s="31" t="str">
        <f>LOWER(LEFT(B24,1))&amp;RIGHT(B24,LEN(B24) - 1)</f>
        <v>weekWorkingDays</v>
      </c>
      <c r="E24" s="31" t="str">
        <f>A.Backend!H18</f>
        <v>int</v>
      </c>
      <c r="F24" s="31" t="str">
        <f>A.Backend!G18</f>
        <v/>
      </c>
      <c r="G24" s="31" t="str">
        <f t="shared" si="5"/>
        <v xml:space="preserve"> : number = 0 ;</v>
      </c>
      <c r="H24" s="38" t="str">
        <f t="shared" si="0"/>
        <v xml:space="preserve">			{headerName: this.l('Week Working Days'),headerTooltip: this.l('Week Working Days'),field: 'weekWorkingDays',flex: 1},</v>
      </c>
      <c r="I24" s="38" t="str">
        <f t="shared" si="6"/>
        <v/>
      </c>
      <c r="J24" s="31"/>
      <c r="K24" s="38" t="str">
        <f>IF(E24="DateTime",
REPT(CHAR(9),5)&amp;"&lt;div class='col-md-12 form-group row'&gt;
"&amp;REPT(CHAR(9),6)&amp;"&lt;label class='col-md-2 form-control title'&gt;"&amp;C24&amp;"&lt;/label&gt;
"&amp;REPT(CHAR(9),6)&amp;"&lt;input type='text' class='col-md-10 form-control input-text' name='"&amp;D24&amp;"' 
"&amp;REPT(CHAR(9),6)&amp;"#datepicker='bsDatepicker' [(ngModel)]='rowdata."&amp;D24&amp;"'  bsDatepicker &gt;
"&amp;REPT(CHAR(9),5)&amp;"&lt;/div&gt;",
IF(AND(E24="string",F24="1"),
REPT(CHAR(9),5)&amp;"&lt;div class='col-md-12 form-group row'&gt;
"&amp;REPT(CHAR(9),6)&amp;"&lt;label class='col-md-2 form-control title'&gt;"&amp;C24&amp;"&lt;/label&gt;
"&amp;REPT(CHAR(9),6)&amp;"&lt;input class='col-md-10 form-control checkboxActive' type='checkbox' name='"&amp;D24&amp;"'
"&amp;REPT(CHAR(9),6)&amp;"[checked]='_"&amp;D24&amp;"' (change)='changeActive($event)'&gt;
"&amp;REPT(CHAR(9),5)&amp;"&lt;/div&gt;",
IF(E24="string",
REPT(CHAR(9),5)&amp;"&lt;div class='col-md-12 form-group row'&gt;
"&amp;REPT(CHAR(9),6)&amp;"&lt;label class='col-md-2 form-control title'&gt;"&amp;C24&amp;"&lt;/label&gt;
"&amp;REPT(CHAR(9),6)&amp;"&lt;input type='text' class='col-md-10 form-control input-text' name='"&amp;B24&amp;"' [(ngModel)]='rowdata."&amp;D24&amp;"'&gt;
"&amp;REPT(CHAR(9),5)&amp;"&lt;/div&gt;","")))</f>
        <v/>
      </c>
      <c r="L24" s="59" t="str">
        <f>IF(E24="DateTime",
REPT(CHAR(9),2)&amp;"const dateValue =  this.rowdata."&amp;D24&amp;" ? new Date(this.rowdata."&amp;D24&amp;"?.toString()) : new Date();
"&amp;REPT(CHAR(9),2)&amp;"this.datepicker?.bsValueChange.emit(dateValue);","")</f>
        <v/>
      </c>
      <c r="M24" s="31"/>
      <c r="N24" s="31"/>
      <c r="O24" s="31"/>
      <c r="P24" s="31"/>
      <c r="Q24" s="31"/>
      <c r="R24" s="31"/>
      <c r="S24" s="31" t="str">
        <f>D24&amp;G24</f>
        <v>weekWorkingDays : number = 0 ;</v>
      </c>
      <c r="T24" s="31" t="str">
        <f t="shared" si="1"/>
        <v xml:space="preserve">			this.weekWorkingDays,</v>
      </c>
      <c r="U24" s="31" t="str">
        <f>IF(E24="int","this."&amp;D24&amp;" = 0,","this."&amp;D24&amp;" = '',")</f>
        <v>this.weekWorkingDays = 0,</v>
      </c>
      <c r="V24" s="31" t="str">
        <f>IF(AND(E24="string",F24="1"),D24,"")</f>
        <v/>
      </c>
    </row>
    <row r="25" spans="1:22" ht="18" customHeight="1" x14ac:dyDescent="0.25">
      <c r="A25" s="43" t="s">
        <v>270</v>
      </c>
      <c r="B25" s="31" t="str">
        <f t="shared" si="2"/>
        <v>IsActive</v>
      </c>
      <c r="C25" s="31" t="str">
        <f t="shared" si="3"/>
        <v>Is Active</v>
      </c>
      <c r="D25" s="31" t="str">
        <f t="shared" si="4"/>
        <v>isActive</v>
      </c>
      <c r="E25" s="31" t="str">
        <f>A.Backend!H19</f>
        <v>string</v>
      </c>
      <c r="F25" s="31" t="str">
        <f>A.Backend!G19</f>
        <v>1</v>
      </c>
      <c r="G25" s="31" t="str">
        <f t="shared" si="5"/>
        <v xml:space="preserve"> : string = '' ; </v>
      </c>
      <c r="H25" s="38" t="str">
        <f t="shared" si="0"/>
        <v xml:space="preserve">			{headerName: this.l('Is Active'),headerTooltip: this.l('Is Active'),field: 'isActive',flex: 1},</v>
      </c>
      <c r="I25" s="38" t="str">
        <f t="shared" si="6"/>
        <v xml:space="preserve">								&lt;div class='input-search'&gt;
									&lt;input [(ngModel)]='isActive' name='isActive'
									class='form-control' [placeholder]="l('Is Active')"
									type='text' (keyup.enter)='searchDatas()'&gt;
								&lt;/div&gt;</v>
      </c>
      <c r="J25" s="31"/>
      <c r="K25" s="38" t="str">
        <f t="shared" si="7"/>
        <v xml:space="preserve">					&lt;div class='col-md-12 form-group row'&gt;
						&lt;label class='col-md-2 form-control title'&gt;Is Active&lt;/label&gt;
						&lt;input class='col-md-10 form-control checkboxActive' type='checkbox' name='isActive'
						[checked]='_isActive' (change)='changeActive($event)'&gt;
					&lt;/div&gt;</v>
      </c>
      <c r="L25" s="59" t="str">
        <f t="shared" si="8"/>
        <v/>
      </c>
      <c r="M25" s="31"/>
      <c r="N25" s="31"/>
      <c r="O25" s="31"/>
      <c r="P25" s="31"/>
      <c r="Q25" s="31"/>
      <c r="R25" s="31"/>
      <c r="S25" s="31" t="str">
        <f t="shared" ref="S25" si="29">REPT(CHAR(9),1)&amp;D25&amp;G25</f>
        <v xml:space="preserve">	isActive : string = '' ; </v>
      </c>
      <c r="T25" s="31" t="str">
        <f t="shared" ref="T25" si="30">REPT(CHAR(9),3)&amp;"this."&amp;D25&amp;","</f>
        <v xml:space="preserve">			this.isActive,</v>
      </c>
      <c r="U25" s="31" t="str">
        <f t="shared" ref="U25" si="31">IF(E25="int",REPT(CHAR(9),2)&amp;"this."&amp;D25&amp;" = 0,",REPT(CHAR(9),2)&amp;"this."&amp;D25&amp;" = '',")</f>
        <v xml:space="preserve">		this.isActive = '',</v>
      </c>
      <c r="V25" s="31" t="str">
        <f t="shared" si="9"/>
        <v>isActive</v>
      </c>
    </row>
    <row r="28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B20"/>
  <sheetViews>
    <sheetView workbookViewId="0">
      <selection activeCell="B24" sqref="B24"/>
    </sheetView>
  </sheetViews>
  <sheetFormatPr defaultRowHeight="15" x14ac:dyDescent="0.25"/>
  <cols>
    <col min="1" max="1" width="22.5703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33</v>
      </c>
    </row>
    <row r="3" spans="1:2" x14ac:dyDescent="0.25">
      <c r="A3" t="s">
        <v>18</v>
      </c>
      <c r="B3" t="s">
        <v>33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36</v>
      </c>
    </row>
    <row r="6" spans="1:2" x14ac:dyDescent="0.25">
      <c r="A6" t="s">
        <v>23</v>
      </c>
      <c r="B6" t="s">
        <v>34</v>
      </c>
    </row>
    <row r="7" spans="1:2" x14ac:dyDescent="0.25">
      <c r="A7" t="s">
        <v>24</v>
      </c>
      <c r="B7" t="s">
        <v>4</v>
      </c>
    </row>
    <row r="8" spans="1:2" x14ac:dyDescent="0.25">
      <c r="A8" t="s">
        <v>4</v>
      </c>
      <c r="B8" t="s">
        <v>4</v>
      </c>
    </row>
    <row r="9" spans="1:2" x14ac:dyDescent="0.25">
      <c r="A9" t="s">
        <v>0</v>
      </c>
      <c r="B9" t="s">
        <v>48</v>
      </c>
    </row>
    <row r="10" spans="1:2" x14ac:dyDescent="0.25">
      <c r="A10" t="s">
        <v>25</v>
      </c>
      <c r="B10" t="s">
        <v>28</v>
      </c>
    </row>
    <row r="11" spans="1:2" x14ac:dyDescent="0.25">
      <c r="A11" t="s">
        <v>26</v>
      </c>
      <c r="B11" t="s">
        <v>28</v>
      </c>
    </row>
    <row r="12" spans="1:2" x14ac:dyDescent="0.25">
      <c r="A12" t="s">
        <v>27</v>
      </c>
      <c r="B12" t="s">
        <v>28</v>
      </c>
    </row>
    <row r="13" spans="1:2" x14ac:dyDescent="0.25">
      <c r="A13" t="s">
        <v>28</v>
      </c>
      <c r="B13" t="s">
        <v>28</v>
      </c>
    </row>
    <row r="14" spans="1:2" x14ac:dyDescent="0.25">
      <c r="A14" t="s">
        <v>29</v>
      </c>
      <c r="B14" t="s">
        <v>28</v>
      </c>
    </row>
    <row r="15" spans="1:2" x14ac:dyDescent="0.25">
      <c r="A15" t="s">
        <v>30</v>
      </c>
      <c r="B15" t="s">
        <v>28</v>
      </c>
    </row>
    <row r="16" spans="1:2" x14ac:dyDescent="0.25">
      <c r="A16" t="s">
        <v>31</v>
      </c>
      <c r="B16" t="s">
        <v>32</v>
      </c>
    </row>
    <row r="17" spans="1:2" x14ac:dyDescent="0.25">
      <c r="A17" t="s">
        <v>3</v>
      </c>
      <c r="B17" t="s">
        <v>32</v>
      </c>
    </row>
    <row r="18" spans="1:2" x14ac:dyDescent="0.25">
      <c r="A18" t="s">
        <v>35</v>
      </c>
      <c r="B18" t="s">
        <v>32</v>
      </c>
    </row>
    <row r="19" spans="1:2" x14ac:dyDescent="0.25">
      <c r="A19" t="s">
        <v>2</v>
      </c>
      <c r="B19" t="s">
        <v>32</v>
      </c>
    </row>
    <row r="20" spans="1:2" x14ac:dyDescent="0.25">
      <c r="A20" t="s">
        <v>281</v>
      </c>
      <c r="B20" t="s">
        <v>282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3"/>
  <dimension ref="A2:C103"/>
  <sheetViews>
    <sheetView topLeftCell="A76" workbookViewId="0">
      <selection activeCell="E95" sqref="E95"/>
    </sheetView>
  </sheetViews>
  <sheetFormatPr defaultRowHeight="15.75" x14ac:dyDescent="0.25"/>
  <cols>
    <col min="1" max="1" width="14.28515625" customWidth="1"/>
    <col min="2" max="2" width="71.7109375" style="22" customWidth="1"/>
  </cols>
  <sheetData>
    <row r="2" spans="1:2" x14ac:dyDescent="0.25">
      <c r="A2" s="24" t="s">
        <v>193</v>
      </c>
      <c r="B2" s="25" t="s">
        <v>190</v>
      </c>
    </row>
    <row r="3" spans="1:2" x14ac:dyDescent="0.25">
      <c r="B3" s="22" t="s">
        <v>115</v>
      </c>
    </row>
    <row r="4" spans="1:2" x14ac:dyDescent="0.25">
      <c r="B4" s="22" t="s">
        <v>116</v>
      </c>
    </row>
    <row r="5" spans="1:2" x14ac:dyDescent="0.25">
      <c r="B5" s="22" t="s">
        <v>117</v>
      </c>
    </row>
    <row r="6" spans="1:2" x14ac:dyDescent="0.25">
      <c r="B6" s="22" t="s">
        <v>118</v>
      </c>
    </row>
    <row r="7" spans="1:2" x14ac:dyDescent="0.25">
      <c r="B7" s="22" t="s">
        <v>119</v>
      </c>
    </row>
    <row r="8" spans="1:2" x14ac:dyDescent="0.25">
      <c r="B8" s="22" t="s">
        <v>120</v>
      </c>
    </row>
    <row r="9" spans="1:2" x14ac:dyDescent="0.25">
      <c r="B9" s="22" t="s">
        <v>121</v>
      </c>
    </row>
    <row r="10" spans="1:2" x14ac:dyDescent="0.25">
      <c r="B10" s="22" t="s">
        <v>122</v>
      </c>
    </row>
    <row r="11" spans="1:2" x14ac:dyDescent="0.25">
      <c r="B11" s="22" t="s">
        <v>123</v>
      </c>
    </row>
    <row r="12" spans="1:2" x14ac:dyDescent="0.25">
      <c r="B12" s="22" t="s">
        <v>124</v>
      </c>
    </row>
    <row r="13" spans="1:2" x14ac:dyDescent="0.25">
      <c r="B13" s="22" t="s">
        <v>125</v>
      </c>
    </row>
    <row r="14" spans="1:2" x14ac:dyDescent="0.25">
      <c r="B14" s="22" t="s">
        <v>126</v>
      </c>
    </row>
    <row r="15" spans="1:2" x14ac:dyDescent="0.25">
      <c r="B15" s="22" t="s">
        <v>127</v>
      </c>
    </row>
    <row r="16" spans="1:2" x14ac:dyDescent="0.25">
      <c r="B16" s="22" t="s">
        <v>128</v>
      </c>
    </row>
    <row r="17" spans="1:3" x14ac:dyDescent="0.25">
      <c r="B17" s="22" t="s">
        <v>129</v>
      </c>
    </row>
    <row r="18" spans="1:3" x14ac:dyDescent="0.25">
      <c r="B18" s="22" t="s">
        <v>130</v>
      </c>
      <c r="C18" t="s">
        <v>192</v>
      </c>
    </row>
    <row r="19" spans="1:3" x14ac:dyDescent="0.25">
      <c r="B19" s="22" t="s">
        <v>131</v>
      </c>
    </row>
    <row r="20" spans="1:3" x14ac:dyDescent="0.25">
      <c r="B20" s="22" t="s">
        <v>132</v>
      </c>
    </row>
    <row r="21" spans="1:3" x14ac:dyDescent="0.25">
      <c r="B21" s="22" t="s">
        <v>133</v>
      </c>
    </row>
    <row r="22" spans="1:3" x14ac:dyDescent="0.25">
      <c r="B22" s="22" t="s">
        <v>134</v>
      </c>
      <c r="C22" t="s">
        <v>197</v>
      </c>
    </row>
    <row r="23" spans="1:3" x14ac:dyDescent="0.25">
      <c r="B23" s="22" t="s">
        <v>135</v>
      </c>
    </row>
    <row r="24" spans="1:3" x14ac:dyDescent="0.25">
      <c r="B24" s="22" t="s">
        <v>136</v>
      </c>
    </row>
    <row r="25" spans="1:3" x14ac:dyDescent="0.25">
      <c r="B25" s="22" t="s">
        <v>137</v>
      </c>
    </row>
    <row r="26" spans="1:3" x14ac:dyDescent="0.25">
      <c r="A26" s="24" t="s">
        <v>194</v>
      </c>
      <c r="B26" s="25" t="s">
        <v>191</v>
      </c>
    </row>
    <row r="27" spans="1:3" x14ac:dyDescent="0.25">
      <c r="B27" s="22" t="s">
        <v>138</v>
      </c>
    </row>
    <row r="28" spans="1:3" x14ac:dyDescent="0.25">
      <c r="B28" s="23" t="s">
        <v>139</v>
      </c>
    </row>
    <row r="29" spans="1:3" x14ac:dyDescent="0.25">
      <c r="B29" s="22" t="s">
        <v>140</v>
      </c>
    </row>
    <row r="30" spans="1:3" x14ac:dyDescent="0.25">
      <c r="B30" s="22" t="s">
        <v>141</v>
      </c>
    </row>
    <row r="31" spans="1:3" x14ac:dyDescent="0.25">
      <c r="B31" s="22" t="s">
        <v>142</v>
      </c>
    </row>
    <row r="32" spans="1:3" x14ac:dyDescent="0.25">
      <c r="B32" s="22" t="s">
        <v>143</v>
      </c>
    </row>
    <row r="33" spans="2:2" x14ac:dyDescent="0.25">
      <c r="B33" s="22" t="s">
        <v>144</v>
      </c>
    </row>
    <row r="34" spans="2:2" x14ac:dyDescent="0.25">
      <c r="B34" s="22" t="s">
        <v>145</v>
      </c>
    </row>
    <row r="35" spans="2:2" x14ac:dyDescent="0.25">
      <c r="B35" s="22" t="s">
        <v>146</v>
      </c>
    </row>
    <row r="36" spans="2:2" x14ac:dyDescent="0.25">
      <c r="B36" s="22" t="s">
        <v>147</v>
      </c>
    </row>
    <row r="37" spans="2:2" x14ac:dyDescent="0.25">
      <c r="B37" s="22" t="s">
        <v>148</v>
      </c>
    </row>
    <row r="38" spans="2:2" x14ac:dyDescent="0.25">
      <c r="B38" s="22" t="s">
        <v>149</v>
      </c>
    </row>
    <row r="39" spans="2:2" x14ac:dyDescent="0.25">
      <c r="B39" s="22" t="s">
        <v>150</v>
      </c>
    </row>
    <row r="40" spans="2:2" x14ac:dyDescent="0.25">
      <c r="B40" s="22" t="s">
        <v>151</v>
      </c>
    </row>
    <row r="41" spans="2:2" x14ac:dyDescent="0.25">
      <c r="B41" s="22" t="s">
        <v>152</v>
      </c>
    </row>
    <row r="42" spans="2:2" x14ac:dyDescent="0.25">
      <c r="B42" s="22" t="s">
        <v>153</v>
      </c>
    </row>
    <row r="43" spans="2:2" x14ac:dyDescent="0.25">
      <c r="B43" s="23" t="s">
        <v>154</v>
      </c>
    </row>
    <row r="44" spans="2:2" x14ac:dyDescent="0.25">
      <c r="B44" s="22" t="s">
        <v>140</v>
      </c>
    </row>
    <row r="45" spans="2:2" x14ac:dyDescent="0.25">
      <c r="B45" s="22" t="s">
        <v>155</v>
      </c>
    </row>
    <row r="46" spans="2:2" x14ac:dyDescent="0.25">
      <c r="B46" s="22" t="s">
        <v>156</v>
      </c>
    </row>
    <row r="47" spans="2:2" x14ac:dyDescent="0.25">
      <c r="B47" s="22" t="s">
        <v>157</v>
      </c>
    </row>
    <row r="48" spans="2:2" x14ac:dyDescent="0.25">
      <c r="B48" s="22" t="s">
        <v>158</v>
      </c>
    </row>
    <row r="49" spans="2:2" x14ac:dyDescent="0.25">
      <c r="B49" s="22" t="s">
        <v>141</v>
      </c>
    </row>
    <row r="50" spans="2:2" x14ac:dyDescent="0.25">
      <c r="B50" s="22" t="s">
        <v>142</v>
      </c>
    </row>
    <row r="51" spans="2:2" x14ac:dyDescent="0.25">
      <c r="B51" s="22" t="s">
        <v>143</v>
      </c>
    </row>
    <row r="52" spans="2:2" x14ac:dyDescent="0.25">
      <c r="B52" s="22" t="s">
        <v>144</v>
      </c>
    </row>
    <row r="53" spans="2:2" x14ac:dyDescent="0.25">
      <c r="B53" s="22" t="s">
        <v>145</v>
      </c>
    </row>
    <row r="54" spans="2:2" x14ac:dyDescent="0.25">
      <c r="B54" s="22" t="s">
        <v>146</v>
      </c>
    </row>
    <row r="55" spans="2:2" x14ac:dyDescent="0.25">
      <c r="B55" s="22" t="s">
        <v>147</v>
      </c>
    </row>
    <row r="56" spans="2:2" x14ac:dyDescent="0.25">
      <c r="B56" s="22" t="s">
        <v>159</v>
      </c>
    </row>
    <row r="57" spans="2:2" x14ac:dyDescent="0.25">
      <c r="B57" s="22" t="s">
        <v>160</v>
      </c>
    </row>
    <row r="58" spans="2:2" x14ac:dyDescent="0.25">
      <c r="B58" s="22" t="s">
        <v>148</v>
      </c>
    </row>
    <row r="59" spans="2:2" x14ac:dyDescent="0.25">
      <c r="B59" s="22" t="s">
        <v>149</v>
      </c>
    </row>
    <row r="60" spans="2:2" x14ac:dyDescent="0.25">
      <c r="B60" s="22" t="s">
        <v>161</v>
      </c>
    </row>
    <row r="61" spans="2:2" x14ac:dyDescent="0.25">
      <c r="B61" s="22" t="s">
        <v>162</v>
      </c>
    </row>
    <row r="62" spans="2:2" x14ac:dyDescent="0.25">
      <c r="B62" s="22" t="s">
        <v>163</v>
      </c>
    </row>
    <row r="63" spans="2:2" x14ac:dyDescent="0.25">
      <c r="B63" s="22" t="s">
        <v>158</v>
      </c>
    </row>
    <row r="64" spans="2:2" x14ac:dyDescent="0.25">
      <c r="B64" s="22" t="s">
        <v>150</v>
      </c>
    </row>
    <row r="65" spans="2:2" x14ac:dyDescent="0.25">
      <c r="B65" s="22" t="s">
        <v>151</v>
      </c>
    </row>
    <row r="66" spans="2:2" x14ac:dyDescent="0.25">
      <c r="B66" s="22" t="s">
        <v>164</v>
      </c>
    </row>
    <row r="67" spans="2:2" x14ac:dyDescent="0.25">
      <c r="B67" s="22" t="s">
        <v>158</v>
      </c>
    </row>
    <row r="68" spans="2:2" x14ac:dyDescent="0.25">
      <c r="B68" s="22" t="s">
        <v>152</v>
      </c>
    </row>
    <row r="69" spans="2:2" x14ac:dyDescent="0.25">
      <c r="B69" s="22" t="s">
        <v>165</v>
      </c>
    </row>
    <row r="70" spans="2:2" x14ac:dyDescent="0.25">
      <c r="B70" s="23" t="s">
        <v>166</v>
      </c>
    </row>
    <row r="71" spans="2:2" x14ac:dyDescent="0.25">
      <c r="B71" s="22" t="s">
        <v>140</v>
      </c>
    </row>
    <row r="72" spans="2:2" x14ac:dyDescent="0.25">
      <c r="B72" s="22" t="s">
        <v>141</v>
      </c>
    </row>
    <row r="73" spans="2:2" x14ac:dyDescent="0.25">
      <c r="B73" s="22" t="s">
        <v>142</v>
      </c>
    </row>
    <row r="74" spans="2:2" x14ac:dyDescent="0.25">
      <c r="B74" s="22" t="s">
        <v>143</v>
      </c>
    </row>
    <row r="75" spans="2:2" x14ac:dyDescent="0.25">
      <c r="B75" s="22" t="s">
        <v>147</v>
      </c>
    </row>
    <row r="76" spans="2:2" x14ac:dyDescent="0.25">
      <c r="B76" s="22" t="s">
        <v>149</v>
      </c>
    </row>
    <row r="77" spans="2:2" x14ac:dyDescent="0.25">
      <c r="B77" s="22" t="s">
        <v>150</v>
      </c>
    </row>
    <row r="78" spans="2:2" x14ac:dyDescent="0.25">
      <c r="B78" s="22" t="s">
        <v>151</v>
      </c>
    </row>
    <row r="79" spans="2:2" x14ac:dyDescent="0.25">
      <c r="B79" s="22" t="s">
        <v>152</v>
      </c>
    </row>
    <row r="80" spans="2:2" x14ac:dyDescent="0.25">
      <c r="B80" s="22" t="s">
        <v>165</v>
      </c>
    </row>
    <row r="81" spans="1:2" x14ac:dyDescent="0.25">
      <c r="B81" s="23" t="s">
        <v>167</v>
      </c>
    </row>
    <row r="82" spans="1:2" x14ac:dyDescent="0.25">
      <c r="B82" s="23" t="s">
        <v>168</v>
      </c>
    </row>
    <row r="83" spans="1:2" x14ac:dyDescent="0.25">
      <c r="B83" s="23" t="s">
        <v>169</v>
      </c>
    </row>
    <row r="84" spans="1:2" x14ac:dyDescent="0.25">
      <c r="B84" s="23" t="s">
        <v>170</v>
      </c>
    </row>
    <row r="85" spans="1:2" x14ac:dyDescent="0.25">
      <c r="B85" s="23" t="s">
        <v>171</v>
      </c>
    </row>
    <row r="86" spans="1:2" x14ac:dyDescent="0.25">
      <c r="B86" s="23" t="s">
        <v>172</v>
      </c>
    </row>
    <row r="87" spans="1:2" x14ac:dyDescent="0.25">
      <c r="B87" s="23" t="s">
        <v>173</v>
      </c>
    </row>
    <row r="88" spans="1:2" x14ac:dyDescent="0.25">
      <c r="A88" s="24" t="s">
        <v>195</v>
      </c>
      <c r="B88" s="26" t="s">
        <v>174</v>
      </c>
    </row>
    <row r="89" spans="1:2" x14ac:dyDescent="0.25">
      <c r="B89" s="22" t="s">
        <v>175</v>
      </c>
    </row>
    <row r="90" spans="1:2" x14ac:dyDescent="0.25">
      <c r="B90" s="22" t="s">
        <v>176</v>
      </c>
    </row>
    <row r="91" spans="1:2" x14ac:dyDescent="0.25">
      <c r="B91" s="22" t="s">
        <v>177</v>
      </c>
    </row>
    <row r="92" spans="1:2" x14ac:dyDescent="0.25">
      <c r="B92" s="22" t="s">
        <v>178</v>
      </c>
    </row>
    <row r="93" spans="1:2" x14ac:dyDescent="0.25">
      <c r="B93" s="22" t="s">
        <v>179</v>
      </c>
    </row>
    <row r="94" spans="1:2" x14ac:dyDescent="0.25">
      <c r="B94" s="22" t="s">
        <v>180</v>
      </c>
    </row>
    <row r="95" spans="1:2" x14ac:dyDescent="0.25">
      <c r="B95" s="22" t="s">
        <v>181</v>
      </c>
    </row>
    <row r="96" spans="1:2" x14ac:dyDescent="0.25">
      <c r="B96" s="22" t="s">
        <v>182</v>
      </c>
    </row>
    <row r="97" spans="2:2" x14ac:dyDescent="0.25">
      <c r="B97" s="22" t="s">
        <v>183</v>
      </c>
    </row>
    <row r="98" spans="2:2" x14ac:dyDescent="0.25">
      <c r="B98" s="22" t="s">
        <v>184</v>
      </c>
    </row>
    <row r="99" spans="2:2" x14ac:dyDescent="0.25">
      <c r="B99" s="22" t="s">
        <v>185</v>
      </c>
    </row>
    <row r="100" spans="2:2" x14ac:dyDescent="0.25">
      <c r="B100" s="22" t="s">
        <v>186</v>
      </c>
    </row>
    <row r="101" spans="2:2" x14ac:dyDescent="0.25">
      <c r="B101" s="22" t="s">
        <v>187</v>
      </c>
    </row>
    <row r="102" spans="2:2" x14ac:dyDescent="0.25">
      <c r="B102" s="22" t="s">
        <v>188</v>
      </c>
    </row>
    <row r="103" spans="2:2" x14ac:dyDescent="0.25">
      <c r="B103" s="22" t="s">
        <v>189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Quang Trung</cp:lastModifiedBy>
  <dcterms:created xsi:type="dcterms:W3CDTF">2022-04-01T07:31:40Z</dcterms:created>
  <dcterms:modified xsi:type="dcterms:W3CDTF">2022-05-25T03:37:49Z</dcterms:modified>
</cp:coreProperties>
</file>
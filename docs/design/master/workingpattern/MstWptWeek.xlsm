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sourccode3T\docs\design\master\workingpattern\"/>
    </mc:Choice>
  </mc:AlternateContent>
  <xr:revisionPtr revIDLastSave="0" documentId="13_ncr:1_{F48A9788-6119-4793-99BC-365518196B82}" xr6:coauthVersionLast="36" xr6:coauthVersionMax="36" xr10:uidLastSave="{00000000-0000-0000-0000-000000000000}"/>
  <bookViews>
    <workbookView xWindow="0" yWindow="0" windowWidth="28800" windowHeight="11805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4" i="3" l="1"/>
  <c r="K16" i="5"/>
  <c r="K17" i="5"/>
  <c r="K18" i="5"/>
  <c r="K15" i="5"/>
  <c r="G16" i="5"/>
  <c r="G17" i="5"/>
  <c r="G18" i="5"/>
  <c r="F16" i="5"/>
  <c r="F17" i="5"/>
  <c r="F18" i="5"/>
  <c r="E16" i="5"/>
  <c r="E17" i="5"/>
  <c r="E18" i="5"/>
  <c r="E44" i="3"/>
  <c r="D44" i="3"/>
  <c r="L10" i="1" l="1"/>
  <c r="G10" i="1"/>
  <c r="E10" i="1"/>
  <c r="H10" i="1" s="1"/>
  <c r="D10" i="1"/>
  <c r="V10" i="1" s="1"/>
  <c r="C17" i="5"/>
  <c r="B17" i="5"/>
  <c r="D17" i="5" s="1"/>
  <c r="P10" i="1" l="1"/>
  <c r="T10" i="1"/>
  <c r="N10" i="1"/>
  <c r="I10" i="1"/>
  <c r="M10" i="1"/>
  <c r="W10" i="1"/>
  <c r="O10" i="1"/>
  <c r="J10" i="1"/>
  <c r="T17" i="5"/>
  <c r="B15" i="5"/>
  <c r="B16" i="5"/>
  <c r="C18" i="5"/>
  <c r="B18" i="5"/>
  <c r="C15" i="5" l="1"/>
  <c r="C16" i="5"/>
  <c r="V12" i="5" l="1"/>
  <c r="U12" i="5"/>
  <c r="T12" i="5"/>
  <c r="S12" i="5"/>
  <c r="L12" i="5"/>
  <c r="K12" i="5"/>
  <c r="I12" i="5"/>
  <c r="H12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L14" i="5"/>
  <c r="G44" i="3" s="1"/>
  <c r="K14" i="5"/>
  <c r="F44" i="3" s="1"/>
  <c r="L44" i="3"/>
  <c r="K44" i="3"/>
  <c r="O14" i="5"/>
  <c r="J44" i="3" s="1"/>
  <c r="N14" i="5"/>
  <c r="I44" i="3" s="1"/>
  <c r="J14" i="5"/>
  <c r="I14" i="5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1" i="1"/>
  <c r="D12" i="1"/>
  <c r="V12" i="1" l="1"/>
  <c r="T12" i="1"/>
  <c r="V11" i="1"/>
  <c r="T11" i="1"/>
  <c r="D15" i="5"/>
  <c r="V14" i="1"/>
  <c r="T15" i="5" l="1"/>
  <c r="D18" i="5"/>
  <c r="D16" i="5"/>
  <c r="T16" i="5" l="1"/>
  <c r="T18" i="5"/>
  <c r="R3" i="1"/>
  <c r="D1" i="1"/>
  <c r="F6" i="1"/>
  <c r="T13" i="5"/>
  <c r="L12" i="1" l="1"/>
  <c r="G9" i="1"/>
  <c r="F15" i="5" s="1"/>
  <c r="G11" i="1"/>
  <c r="G12" i="1"/>
  <c r="E9" i="1"/>
  <c r="H9" i="1" s="1"/>
  <c r="E11" i="1"/>
  <c r="H11" i="1" s="1"/>
  <c r="E12" i="1"/>
  <c r="H12" i="1" s="1"/>
  <c r="P9" i="1"/>
  <c r="P11" i="1"/>
  <c r="P12" i="1"/>
  <c r="T14" i="1"/>
  <c r="S17" i="5" l="1"/>
  <c r="L17" i="5"/>
  <c r="V17" i="5"/>
  <c r="U17" i="5"/>
  <c r="I17" i="5"/>
  <c r="H17" i="5"/>
  <c r="W12" i="1"/>
  <c r="O12" i="1"/>
  <c r="M12" i="1"/>
  <c r="N12" i="1"/>
  <c r="W11" i="1"/>
  <c r="N11" i="1"/>
  <c r="M11" i="1"/>
  <c r="O11" i="1"/>
  <c r="E15" i="5"/>
  <c r="M9" i="1"/>
  <c r="O9" i="1"/>
  <c r="N9" i="1"/>
  <c r="W9" i="1"/>
  <c r="T7" i="1"/>
  <c r="I12" i="1"/>
  <c r="I11" i="1"/>
  <c r="I9" i="1"/>
  <c r="W14" i="1"/>
  <c r="L15" i="5" l="1"/>
  <c r="V15" i="5"/>
  <c r="G15" i="5"/>
  <c r="S15" i="5" s="1"/>
  <c r="I15" i="5"/>
  <c r="U15" i="5"/>
  <c r="H15" i="5"/>
  <c r="S16" i="5"/>
  <c r="L16" i="5"/>
  <c r="V16" i="5"/>
  <c r="I16" i="5"/>
  <c r="H16" i="5"/>
  <c r="U16" i="5"/>
  <c r="L18" i="5"/>
  <c r="V18" i="5"/>
  <c r="S18" i="5"/>
  <c r="H18" i="5"/>
  <c r="U18" i="5"/>
  <c r="I18" i="5"/>
  <c r="G6" i="1"/>
  <c r="H13" i="5"/>
  <c r="I13" i="5"/>
  <c r="K13" i="5"/>
  <c r="L13" i="5"/>
  <c r="V13" i="5"/>
  <c r="U13" i="5"/>
  <c r="S13" i="5"/>
  <c r="K10" i="5" l="1"/>
  <c r="F45" i="3" s="1"/>
  <c r="L10" i="5"/>
  <c r="G45" i="3" s="1"/>
  <c r="H10" i="5"/>
  <c r="C45" i="3" s="1"/>
  <c r="I10" i="5"/>
  <c r="D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9" i="1" l="1"/>
  <c r="L11" i="1"/>
  <c r="J12" i="1"/>
  <c r="J9" i="1"/>
  <c r="J11" i="1"/>
  <c r="C7" i="1"/>
  <c r="I14" i="1"/>
  <c r="J14" i="1"/>
  <c r="N14" i="1"/>
  <c r="O14" i="1"/>
  <c r="P14" i="1"/>
  <c r="Q7" i="1" l="1"/>
  <c r="M38" i="3" s="1"/>
  <c r="L7" i="1"/>
  <c r="G38" i="3" s="1"/>
  <c r="K38" i="3"/>
  <c r="J38" i="3"/>
  <c r="M14" i="1"/>
  <c r="K14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<sst xmlns="http://schemas.openxmlformats.org/spreadsheetml/2006/main" count="341" uniqueCount="278">
  <si>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</si>
  <si>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</si>
  <si>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</si>
  <si>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</si>
  <si>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</si>
  <si>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</si>
  <si>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</si>
  <si>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</si>
  <si>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</si>
  <si>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</si>
  <si>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</si>
  <si>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</si>
  <si>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</si>
  <si>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</si>
  <si>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</si>
  <si>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</si>
  <si>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</si>
  <si>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</si>
  <si>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</si>
  <si>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</si>
  <si>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</si>
  <si>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</si>
  <si>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</si>
  <si>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</si>
  <si>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</si>
  <si>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</si>
  <si>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</si>
  <si>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</si>
  <si>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</si>
  <si>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</si>
  <si>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</si>
  <si>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</si>
  <si>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</si>
  <si>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</si>
  <si>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</si>
  <si>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</si>
  <si>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</si>
  <si>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</si>
  <si>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</si>
  <si>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</si>
  <si>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</si>
  <si>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</si>
  <si>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</si>
  <si>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</si>
  <si>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</si>
  <si>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</si>
  <si>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</si>
  <si>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</si>
  <si>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</si>
  <si>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</si>
  <si>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</si>
  <si>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</si>
  <si>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</si>
  <si>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</si>
  <si>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</si>
  <si>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</si>
  <si>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</si>
  <si>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</si>
  <si>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</si>
  <si>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</si>
  <si>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</si>
  <si>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</si>
  <si>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</si>
  <si>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</si>
  <si>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</si>
  <si>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</si>
  <si>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</si>
  <si>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</si>
  <si>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</si>
  <si>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</si>
  <si>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</si>
  <si>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</si>
  <si>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</si>
  <si>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</si>
  <si>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</si>
  <si>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</si>
  <si>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</si>
  <si>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</si>
  <si>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</si>
  <si>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</si>
  <si>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</si>
  <si>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</si>
  <si>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</si>
  <si>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</si>
  <si>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</si>
  <si>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</si>
  <si>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</si>
  <si>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</si>
  <si>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</si>
  <si>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</si>
  <si>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</si>
  <si>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</si>
  <si>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</si>
  <si>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</si>
  <si>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</si>
  <si>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</si>
  <si>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</si>
  <si>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</si>
  <si>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</si>
  <si>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</si>
  <si>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</si>
  <si>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</si>
  <si>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</si>
  <si>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</si>
  <si>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</si>
  <si>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</si>
  <si>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</si>
  <si>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</si>
  <si>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</si>
  <si>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</si>
  <si>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</si>
  <si>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</si>
  <si>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</si>
  <si>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</si>
  <si>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</si>
  <si>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</si>
  <si>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</si>
  <si>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</si>
  <si>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</si>
  <si>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</si>
  <si>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</si>
  <si>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</si>
  <si>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</si>
  <si>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</si>
  <si>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</si>
  <si>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</si>
  <si>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</si>
  <si>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</si>
  <si>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</si>
  <si>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</si>
  <si>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</si>
  <si>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</si>
  <si>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</si>
  <si>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</si>
  <si>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</si>
  <si>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</si>
  <si>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</si>
  <si>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</si>
  <si>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</si>
  <si>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</si>
  <si>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</si>
  <si>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</si>
  <si>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</si>
  <si>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</si>
  <si>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</si>
  <si>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</si>
  <si>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</si>
  <si>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</si>
  <si>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</si>
  <si>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</si>
  <si>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</si>
  <si>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</si>
  <si>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</si>
  <si>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</si>
  <si>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</si>
  <si>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</si>
  <si>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</si>
  <si>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</si>
  <si>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</si>
  <si>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</si>
  <si>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</si>
  <si>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</si>
  <si>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</si>
  <si>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</si>
  <si>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</si>
  <si>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</si>
  <si>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</si>
  <si>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</si>
  <si>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</si>
  <si>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</si>
  <si>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</si>
  <si>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</si>
  <si>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</si>
  <si>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</si>
  <si>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</si>
  <si>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</si>
  <si>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</si>
  <si>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</si>
  <si>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</si>
  <si>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</si>
  <si>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</si>
  <si>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</si>
  <si>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</si>
  <si>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</si>
  <si>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</si>
  <si>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</si>
  <si>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</si>
  <si>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</si>
  <si>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</si>
  <si>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</si>
  <si>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</si>
  <si>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</si>
  <si>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</si>
  <si>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</si>
  <si>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</si>
  <si>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</si>
  <si>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</si>
  <si>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</si>
  <si>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</si>
  <si>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</si>
  <si>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</si>
  <si>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</si>
  <si>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</si>
  <si>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</si>
  <si>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</si>
  <si>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</si>
  <si>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</si>
  <si>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</si>
  <si>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</si>
  <si>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</si>
  <si>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</si>
  <si>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</si>
  <si>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</si>
  <si>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</si>
  <si>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</si>
  <si>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</si>
  <si>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</si>
  <si>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</si>
  <si>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</si>
  <si>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</si>
  <si>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</si>
  <si>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</si>
  <si>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</si>
  <si>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</si>
  <si>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</si>
  <si>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</si>
  <si>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</si>
  <si>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</si>
  <si>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</si>
  <si>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</si>
  <si>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</si>
  <si>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</si>
  <si>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</si>
  <si>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</si>
  <si>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</si>
  <si>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</si>
  <si>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</si>
  <si>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</si>
  <si>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</si>
  <si>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</si>
  <si>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</si>
  <si>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</si>
  <si>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</si>
  <si>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</si>
  <si>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</si>
  <si>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</si>
  <si>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</si>
  <si>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</si>
  <si>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</si>
  <si>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</si>
  <si>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</si>
  <si>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</si>
  <si>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</si>
  <si>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</si>
  <si>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</si>
  <si>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</si>
  <si>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</si>
  <si>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</si>
  <si>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</si>
  <si>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</si>
  <si>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</si>
  <si>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</si>
  <si>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</si>
  <si>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</si>
  <si>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</si>
  <si>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</si>
  <si>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</si>
  <si>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</si>
  <si>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</si>
  <si>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Master.WorkingPattern</t>
  </si>
  <si>
    <t>IS_ACTIVE</t>
  </si>
  <si>
    <t>varchar(1)</t>
  </si>
  <si>
    <t>MstWptWeek</t>
  </si>
  <si>
    <t>Week</t>
  </si>
  <si>
    <t>Master Working Pattern Week</t>
  </si>
  <si>
    <t>WORKING_YEAR</t>
  </si>
  <si>
    <t>WEEK_NUMBER</t>
  </si>
  <si>
    <t>WORKING_DAYS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</si>
</sst>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14" borderId="3" xfId="0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/>
    </xf>
    <xf numFmtId="0" fontId="0" fillId="14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abSelected="1" topLeftCell="D28" workbookViewId="0">
      <selection activeCell="H45" sqref="H45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2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1" t="s">
        <v>226</v>
      </c>
      <c r="C38" s="50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[Table("MstWptWeek")]
	[Index(nameof(WorkingYear), Name="IX_MstWptWeek_WorkingYear")]
	public class MstWptWeek: FullAuditedEntity&lt;long&gt;, IEntity&lt;long&gt;	
	{
		public const int MaxIsActiveLength = 1;
		public virtual int WorkingYear { get; set; }
		public virtual int WeekNumber { get; set; }
		public virtual int WorkingDays { get; set; }
		[StringLength(MaxIsActiveLength)]
		public virtual string IsActive { get; set; }
	}
}
</v>
      </c>
      <c r="D38" s="50" t="str">
        <f>A.Backend!O7</f>
        <v xml:space="preserve">		public const string Pages_Master_WorkingPattern_Week = "Pages.Master.WorkingPattern.Week";
		public const string Pages_Master_WorkingPattern_Week_CreateEdit = "Pages.Master.WorkingPattern.Week.CreateEdit";
		public const string Pages_Master_WorkingPattern_Week_Delete = "Pages.Master.WorkingPattern.Week.Delete";
</v>
      </c>
      <c r="E38" s="50" t="str">
        <f>A.Backend!N7</f>
        <v xml:space="preserve">		var perMstWptWeek = PARENTS.CreateChildPermission(AppPermissions.Pages_Master_WorkingPattern_Week, L( "MasterWorkingPatternWeek"));
		perMstWptWeek.CreateChildPermission(AppPermissions.Pages_Master_WorkingPattern_Week_CreateEdit, L( "MasterWorkingPatternWeekCreateEdit"));
		perMstWptWeek.CreateChildPermission(AppPermissions.Pages_Master_WorkingPattern_Week_Delete, L( "MasterWorkingPatternWeekDelete"));</v>
      </c>
      <c r="F38" s="50" t="str">
        <f>A.Backend!K7</f>
        <v>public virtual DbSet&lt;MstWptWeek&gt; MstWptWeeks { get; set; }</v>
      </c>
      <c r="G38" s="50" t="str">
        <f ca="1">A.Backend!L7</f>
        <v xml:space="preserve">namespace vovina.Master.WorkingPattern
{
	public class MstWptWeekConsts	
	{
		public const int MaxIsActiveLength = 1;
		// Define Store Name: Format SP_ + &lt;Store Name&gt; = &lt;Store Name&gt;
	}
}
</v>
      </c>
      <c r="H38" s="50" t="str">
        <f ca="1">A.Backend!M7</f>
        <v xml:space="preserve">using Abp.Application.Services.Dto;
using System;
using System.ComponentModel.DataAnnotations;
namespace vovina.Master.WorkingPattern.Dto
{
	public class MstWptWeekDto : EntityDto&lt;long?&gt;	
	{
		public virtual int WorkingYear { get; set; }
		public virtual int WeekNumber { get; set; }
		public virtual int WorkingDays { get; set; }
		public virtual string IsActive { get; set; }
	}
	public class CreateOrEditMstWptWeekDto : EntityDto&lt;long?&gt;	
	{
		public virtual int WorkingYear { get; set; }
		public virtual int WeekNumber { get; set; }
		public virtual int WorkingDays { get; set; }
		[StringLength(MstWptWeekConsts.MaxIsActiveLength)]
		public virtual string IsActive { get; set; }
	}
	public class GetMstWptWeekInput : PagedAndSortedResultRequestDto	
	{
		public virtual int WorkingYear { get; set; }
		public virtual int WeekNumber { get; set; }
		public virtual int WorkingDays { get; set; }
		public virtual string IsActive { get; set; }
	}
}
</v>
      </c>
      <c r="I38" s="50" t="str">
        <f ca="1">A.Backend!R7</f>
        <v xml:space="preserve">using Abp.Application.Services.Dto;
using System;
using System.ComponentModel.DataAnnotations;
namespace vovina.Master.WorkingPattern.Dto
{
	public class MstWptWeekExportInput{
		public virtual int WorkingYear { get; set; }
		public virtual int WeekNumber { get; set; }
		public virtual int WorkingDays { get; set; }
		public virtual string IsActive { get; set; }
	}
}
</v>
      </c>
      <c r="J38" s="50" t="str">
        <f>A.Backend!P7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IMstWptWeekAppService : IApplicationService
	{
		Task&lt;PagedResultDto&lt;MstWptWeekDto&gt;&gt; GetAll(GetMstWptWeekInput input);
		Task CreateOrEdit(CreateOrEditMstWptWeekDto input);
		Task Delete(EntityDto input);
	}
}
</v>
      </c>
      <c r="K38" s="50" t="str">
        <f>A.Backend!S7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IMstWptWeekExcelExporter : IApplicationService
	{
		FileDto ExportToFile(List&lt;MstWptWeekDto&gt; mstwptweek);
	}
}
</v>
      </c>
      <c r="L38" s="50" t="str">
        <f ca="1">A.Backend!T7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MstWptWeekExcelExporter : NpoiExcelExporterBase, IMstWptWeekExcelExporter
    {
        public MstWptWeekExcelExporter(ITempFileCacheManager tempFileCacheManager) : base(tempFileCacheManager) { }
        public FileDto ExportToFile(List&lt;MstWptWeekDto&gt; week)
        {
            return CreateExcelPackage(
				"MasterWorkingPatternWeek.xlsx",
				excelPackage =&gt;
				 {
					var sheet = excelPackage.CreateSheet("Week");
					AddHeader(
								sheet,
								("WorkingYear"),
								("WeekNumber"),
								("WorkingDays"),
								("IsActive"),
							   );
					AddObjects(
						 sheet, 1, week,                                       
								_ =&gt; _.WorkingYear,
								_ =&gt; _.WeekNumber,
								_ =&gt; _.WorkingDays,
								_ =&gt; _.IsActive,
								);
			for (var i = 0; i &lt; 8; i++)
				{
					sheet.AutoSizeColumn(i);
				}
			});
        }
    }
}</v>
      </c>
      <c r="M38" s="58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[AbpAuthorize(AppPermissions.Pages_Master_WorkingPattern_Week)]
    public class MstWptWeekAppService : vovinaAppServiceBase, IMstWptWeekAppService
    {
        private readonly IDapperRepository&lt;MstWptWeek, long&gt; _dapperRepo;
        private readonly IRepository&lt;MstWptWeek, long&gt; _repo;
        private readonly IMstWptWeekExcelExporter _calendarListExcelExporter;
        public MstWptWeekAppService(IRepository&lt;MstWptWeek,long&gt; repo, 
                                         IDapperRepository&lt;MstWptWeek,long&gt; dapperRepo,
                                        IMstWptWeekExcelExporter calendarListExcelExporter
            )
        {
            _repo = repo;
            _dapperRepo = dapperRepo;
            _calendarListExcelExporter = calendarListExcelExporter;
        }
        [AbpAuthorize(AppPermissions.Pages_Master_WorkingPattern_Week_CreateEdit)]
        public async Task CreateOrEdit(CreateOrEditMstWptWeekDto input)
        {
            if (input.Id == null) await Create(input);
            else await Update(input);
        }
        //CREATE
        private async Task Create(CreateOrEditMstWptWeekDto input)
        {          
            var mainObj = ObjectMapper.Map&lt;MstWptWeek&gt;(input);
            await CurrentUnitOfWork.GetDbContext&lt;vovinaDbContext&gt;().AddAsync(mainObj);
        }
        // EDIT
        private async Task Update(CreateOrEditMstWptWeekDto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[AbpAuthorize(AppPermissions.Pages_Master_WorkingPattern_Week_Delete)]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Task&lt;PagedResultDto&lt;MstWptWeekDto&gt;&gt; GetAll(GetMstWptWeekInput input)
        {
            var filtered = _repo.GetAll()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MstWptWeekDto
                        {
							Id = o.Id,
							WorkingYear = o.WorkingYear,
							WeekNumber = o.WeekNumber,
							WorkingDays = o.WorkingDays,
							IsActive = o.IsActive,
                        };
            var totalCount = await filtered.CountAsync();
			var paged = system.PageBy(input);
            return new PagedResultDto&lt;MstWptWeekDto&gt;(
                totalCount,
                 await paged.ToListAsync()
            );
        }
        public async Task&lt;FileDto&gt; GetWeekToExcel(MstWptWeekExportInput input)
        {
            var query = from o in _repo.GetAll()
                        select new MstWptWeekDto
                        {
							Id = o.Id,
							WorkingYear = o.WorkingYear,
							WeekNumber = o.WeekNumber,
							WorkingDays = o.WorkingDays,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_dapperRepo.ExecuteAsync(MstWptWeekConsts.SP_MST_WPT_CALENDAR_GENERATE);
       // }
    }
}</v>
      </c>
      <c r="N38" s="61" t="str">
        <f>A.Backend!U7</f>
        <v xml:space="preserve">  configuration.CreateMap&lt;MstWptWeekDto, MstWptWeek&gt;();
  configuration.CreateMap&lt;MstWptWeek, MstWptWeekDto&gt;();
  configuration.CreateMap&lt;CreateOrEditMstWptWeekDto, MstWptWeek&gt;();</v>
      </c>
    </row>
    <row r="39" spans="1:14" s="16" customFormat="1" ht="21.75" customHeight="1" x14ac:dyDescent="0.25">
      <c r="C39" s="64"/>
      <c r="D39" s="29"/>
      <c r="E39" s="29"/>
      <c r="F39" s="29"/>
      <c r="G39" s="29"/>
      <c r="H39" s="65"/>
      <c r="I39" s="66"/>
      <c r="J39" s="29"/>
      <c r="K39" s="29"/>
      <c r="M39" s="65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week</v>
      </c>
      <c r="C43" s="74" t="str">
        <f>"create folder " &amp;B43</f>
        <v>create folder week</v>
      </c>
      <c r="D43" s="74"/>
      <c r="E43" s="74"/>
      <c r="F43" s="74"/>
      <c r="G43" s="74"/>
      <c r="H43" s="74"/>
      <c r="I43" s="74"/>
      <c r="J43" s="74"/>
      <c r="K43" s="75" t="s">
        <v>228</v>
      </c>
      <c r="L43" s="75"/>
      <c r="M43" s="31"/>
    </row>
    <row r="44" spans="1:14" s="28" customFormat="1" ht="18" customHeight="1" x14ac:dyDescent="0.25">
      <c r="B44" s="59" t="s">
        <v>229</v>
      </c>
      <c r="C44" s="31" t="str">
        <f>B.Frontend!H14</f>
        <v>week.component.ts</v>
      </c>
      <c r="D44" s="31" t="str">
        <f>B.Frontend!I14</f>
        <v>week.component.html</v>
      </c>
      <c r="E44" s="31" t="str">
        <f>B.Frontend!J14</f>
        <v>week.component.less</v>
      </c>
      <c r="F44" s="31" t="str">
        <f>B.Frontend!K14</f>
        <v>create-or-edit-week-modal.component.html</v>
      </c>
      <c r="G44" s="31" t="str">
        <f>B.Frontend!L14</f>
        <v>create-or-edit-week-modal.component.ts</v>
      </c>
      <c r="H44" s="31" t="e">
        <f>B.Frontend!H45M14</f>
        <v>#NAME?</v>
      </c>
      <c r="I44" s="31" t="str">
        <f>B.Frontend!N14</f>
        <v>week.module.ts</v>
      </c>
      <c r="J44" s="31" t="str">
        <f>B.Frontend!O14</f>
        <v>week-routing.module.ts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59" t="s">
        <v>232</v>
      </c>
    </row>
    <row r="45" spans="1:14" ht="21.75" customHeight="1" x14ac:dyDescent="0.25">
      <c r="B45" s="60" t="s">
        <v>226</v>
      </c>
      <c r="C45" s="48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MstWptWeekDto, MstWptWeekServiceProxy } from '@shared/service-proxies/service-proxies';
import { finalize } from 'rxjs/internal/operators/finalize';
import { CreateOrEditWeekModalComponent } from './create-or-edit-week-modal.component';
import { DatePipe } from '@angular/common';
import { FileDownloadService } from '@shared/utils/file-download.service';
import ceil from 'lodash-es/ceil';
import { Paginator } from 'primeng/paginator';
@Component({
    templateUrl: './week.component.html',
    styleUrls: ['./week.component.less'],
})
export class WeekComponent extends AppComponentBase implements OnInit {
    @ViewChild('createOrEditModalWeek', { static: true }) createOrEditModalWeek:| CreateOrEditWeekModalComponent|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MstWptWeekDto = new MstWptWeekDto();
    saveSelectedRow: MstWptWeekDto = new MstWptWeekDto();
    datas: MstWptWeekDto = new MstWptWeekDto();
    isLoading: boolean = false;
    dataParams: GridParams | undefined;
    rowData: any[] = [];
    gridApi!: GridApi;
    rowSelection = 'multiple';
    filter: string = '';
	pipe = new DatePipe('en-US');
    workingYear : number = 0 ;
	weekNumber : number = 0 ;
workingDays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MstWptWeekServiceProxy,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Year'),headerTooltip: this.l('Working Year'),field: 'workingYear',flex: 1},
			{headerName: this.l('Week Number'),headerTooltip: this.l('Week Number'),field: 'weekNumber',flex: 1},
			{headerName: this.l('Working Days'),headerTooltip: this.l('Working Days'),field: 'workingDays',flex: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this.workingYear,
			this.weekNumber,
			this.workingDays,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this.workingYear = 0,
		this.weekNumber = 0,
this.workingDays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this.workingYear,
			this.weekNumber,
			this.workingDays,
			this.isActive,
			'',
            this.paginationParams.skipCount,
            this.paginationParams.pageSize
        );
    }
    onChangeRowSelection(params: { api: { getSelectedRows: () =&gt; MstWptWeekDto[] } }) {
        this.saveSelectedRow = params.api.getSelectedRows()[0] ?? new MstWptWeekDto();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MstWptWeekDto):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this._service.getWeekToExcel(
			this.workingYear,
			this.weekNumber,
			this.workingDays,
			this.isActive,
            )
            .subscribe((result) =&gt; {
                this._fileDownloadService.downloadTempFile(result);
        });
    }
}</v>
      </c>
      <c r="D45" s="48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Week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(click)="createOrEditModalWeek.show()"&gt;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(click)="createOrEditModalWeek.show(selectedRow)"&gt;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&lt;create-or-edit-week-modal
    #createOrEditModalWeek
    (modalSave)="callBackDataGrid(dataParams)"
    (modalClose)="onChangeRowSelection(dataParams)"
&gt;
&lt;/create-or-edit-week-modal&gt;</v>
      </c>
      <c r="E45" s="48" t="str">
        <f>B.Frontend!J10</f>
        <v>.input-search{
    width: 250px;
    border-radius: 10px;
    margin-left: 10px;
}
.btn-search{
    width: 50px;
    margin-left: 10px;
}</v>
      </c>
      <c r="F45" s="48" t="str">
        <f ca="1">B.Frontend!K10</f>
        <v>&lt;div bsModal #createOrEditModalWeek="bs-modal"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Week')}}&lt;/h3&gt;
                    &lt;h3 *ngIf="!rowdata.id"&gt;{{('Create New Week')}}&lt;/h3&gt;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Year&lt;/label&gt;
						&lt;input type='number' class='col-md-10 form-control input-text' name='WorkingYear' [(ngModel)]='rowdata.workingYear'&gt;
					&lt;/div&gt;
					&lt;div class='col-md-12 form-group row'&gt;
						&lt;label class='col-md-2 form-control title'&gt;Week Number&lt;/label&gt;
						&lt;input type='number' class='col-md-10 form-control input-text' name='WeekNumber' [(ngModel)]='rowdata.weekNumber'&gt;
					&lt;/div&gt;
					&lt;div class='col-md-12 form-group row'&gt;
						&lt;label class='col-md-2 form-control title'&gt;Working Days&lt;/label&gt;
						&lt;input type='number' class='col-md-10 form-control input-text' name='WorkingDays' [(ngModel)]='rowdata.workingDays'&gt;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8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CreateOrEditMstWptWeekDto, MstWptWeekServiceProxy } from '@shared/service-proxies/service-proxies';
import { BsDatepickerDirective } from 'ngx-bootstrap/datepicker';
@Component({
    selector: 'create-or-edit-week-modal',
    templateUrl: './create-or-edit-week-modal.component.html',
    styleUrls: ['./create-or-edit-week-modal.component.less']
    })
export class CreateOrEditWeekModalComponent extends AppComponentBase {
    @ViewChild('createOrEditModalWeek',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CreateOrEditMstWptWeekDto = new CreateOrEditMstWptWeekDto();
    active: boolean = false;
    saving: boolean = false;
    _isActive: boolean;
    constructor(
        injector: Injector,
        private _mstwptWeekService: MstWptWeekServiceProxy,
    ) 
    {
        super(injector);
    }
    show(rowdata?: CreateOrEditMstWptWeekDto): void {
        if (!rowdata) this.rowdata = new CreateOrEditMstWptWeekDto();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this._mstwptWeekService.createOrEdit(this.rowdata)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8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8" t="str">
        <f>B.Frontend!N10</f>
        <v>import {NgModule} from '@angular/core';
import {AppSharedModule} from '@app/shared/app-shared.module';
import { WeekRoutingModule } from './week-routing.module';
import { WeekComponent } from './week.component';
import { CreateOrEditWeekModalComponent } from './create-or-edit-week-modal.component';
@NgModule({
    declarations: [
       WeekComponent, 
        CreateOrEditWeekModalComponent
    ],
    imports: [
        AppSharedModule, WeekRoutingModule]
})
export class WeekModule {}</v>
      </c>
      <c r="J45" s="48" t="str">
        <f>B.Frontend!O10</f>
        <v>import {NgModule} from '@angular/core';
import {RouterModule, Routes} from '@angular/router';
import { WeekComponent } from './week.component';
const routes: Routes = [{
    path: '',
    component: WeekComponent,
    pathMatch: 'full'
}];
@NgModule({
    imports: [RouterModule.forChild(routes)],
    exports: [RouterModule],
})
export class WeekRoutingModule {}</v>
      </c>
      <c r="K45" s="48" t="str">
        <f>B.Frontend!P10</f>
        <v xml:space="preserve"> new AppMenuItem("Week", "Pages.Master.WorkingPattern.Week", "flaticon-book",   "/app/main/master/workingpattern/week"),</v>
      </c>
      <c r="L45" s="49" t="str">
        <f>B.Frontend!Q10</f>
        <v>{
    path: 'master/workingpattern/week',
    loadChildren: () =&gt; import('./master/workingpattern/week/week.module').then(m =&gt; m.WeekModule),
    data: { permission: 'Pages.Master.WorkingPattern.Week' }
},</v>
      </c>
      <c r="M45" s="47" t="str">
        <f>B.Frontend!R10</f>
        <v>ApiServiceProxies.MstWptWeekServiceProxy,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4"/>
  <sheetViews>
    <sheetView workbookViewId="0">
      <pane xSplit="1" topLeftCell="B1" activePane="topRight" state="frozen"/>
      <selection pane="topRight" activeCell="B12" sqref="B12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ht="30" x14ac:dyDescent="0.25">
      <c r="A2" s="1" t="s">
        <v>12</v>
      </c>
      <c r="B2" s="30" t="s">
        <v>269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272</v>
      </c>
      <c r="C3" s="10" t="s">
        <v>43</v>
      </c>
      <c r="D3" s="10" t="s">
        <v>44</v>
      </c>
      <c r="E3" s="10" t="s">
        <v>39</v>
      </c>
      <c r="F3" s="11" t="str">
        <f>"J"&amp;COUNTA($A:$A)</f>
        <v>J12</v>
      </c>
      <c r="G3" s="4" t="s">
        <v>57</v>
      </c>
      <c r="H3" s="10" t="str">
        <f>"I"&amp;COUNTA($A:$A)</f>
        <v>I12</v>
      </c>
      <c r="I3" s="10" t="str">
        <f>REPT(CHAR(9),2)&amp;"[Required]"&amp;"
"</f>
        <v xml:space="preserve">		[Required]
</v>
      </c>
      <c r="J3" s="11" t="str">
        <f>"L"&amp;COUNTA($A:$A)</f>
        <v>L12</v>
      </c>
      <c r="K3" s="5" t="s">
        <v>56</v>
      </c>
      <c r="L3" s="11" t="str">
        <f>"M"&amp;COUNTA($A:$A)</f>
        <v>M12</v>
      </c>
      <c r="M3" s="11" t="str">
        <f>"N"&amp;COUNTA($A:$A)</f>
        <v>N12</v>
      </c>
      <c r="N3" s="11" t="str">
        <f>"O"&amp;COUNTA($A:$A)</f>
        <v>O12</v>
      </c>
      <c r="O3" s="11" t="str">
        <f>"P"&amp;COUNTA($A:$A)</f>
        <v>P12</v>
      </c>
      <c r="Q3" s="11" t="str">
        <f>RIGHT(B2,(LEN(B2)-FIND(".",B2,1)))</f>
        <v>WorkingPattern</v>
      </c>
      <c r="R3" s="32" t="str">
        <f>REPT(CHAR(9),1)&amp;"public class "&amp;B3&amp;"ExportInput"&amp;C3</f>
        <v xml:space="preserve">	public class MstWptWeekExportInput{
</v>
      </c>
      <c r="S3" s="11" t="str">
        <f>"namespace "&amp;$B$6&amp;".Exporting
"&amp;$C$3</f>
        <v xml:space="preserve">namespace vovina.Master.WorkingPattern.Exporting
{
</v>
      </c>
      <c r="T3" s="11" t="str">
        <f>"T"&amp;COUNTA($A:$A)</f>
        <v>T12</v>
      </c>
      <c r="V3" s="11" t="str">
        <f>"V"&amp;COUNTA($A:$A)</f>
        <v>V12</v>
      </c>
      <c r="W3" s="10" t="str">
        <f>"W"&amp;COUNTA($A:$A)</f>
        <v>W12</v>
      </c>
    </row>
    <row r="4" spans="1:23" s="11" customFormat="1" ht="33" customHeight="1" x14ac:dyDescent="0.25">
      <c r="A4" s="1" t="s">
        <v>237</v>
      </c>
      <c r="B4" s="63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3" t="s">
        <v>273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vovina.Master.WorkingPattern</v>
      </c>
      <c r="C6" s="11" t="str">
        <f>"namespace "&amp;$B$6&amp;"
"&amp;$C$3</f>
        <v xml:space="preserve">namespace vovina.Master.WorkingPattern
{
</v>
      </c>
      <c r="D6" s="11" t="str">
        <f>REPT(CHAR(9),1)&amp;"public class "&amp;B3&amp;G3&amp;REPT(CHAR(9),1)&amp;"
"&amp;REPT(CHAR(9),1)&amp;C3</f>
        <v xml:space="preserve">	public class MstWptWeek: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MstWptWeekConsts	
	{
</v>
      </c>
      <c r="F6" s="11" t="str">
        <f>REPT(CHAR(9),1)&amp;"public class "&amp;B3&amp;"Dto"&amp;K3&amp;REPT(CHAR(9),1)&amp;"
"&amp;REPT(CHAR(9),1)&amp;C3</f>
        <v xml:space="preserve">	public class MstWptWeekDto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CreateOrEditMstWptWeekDto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GetMstWptWeekInput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MstWptWeek</v>
      </c>
      <c r="C7" s="11" t="str">
        <f>REPT(CHAR(9),1)&amp;"[Table("""&amp;B7&amp;""")]"&amp;"
"</f>
        <v xml:space="preserve">	[Table("MstWptWeek")]
</v>
      </c>
      <c r="D7" s="11"/>
      <c r="E7" s="11"/>
      <c r="F7" s="11"/>
      <c r="G7" s="11"/>
      <c r="H7" s="11"/>
      <c r="I7" s="11"/>
      <c r="J7" s="6" t="str">
        <f ca="1">SUBSTITUTE(SUBSTITUTE((B1&amp;C6&amp;C7&amp;K14&amp;D6&amp;I14&amp;E3&amp;J14&amp;""&amp;REPT(CHAR(9),1)&amp;D3&amp;D3),"WorkingPattern",$Q$3),"Master",$B$4)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[Table("MstWptWeek")]
	[Index(nameof(WorkingYear), Name="IX_MstWptWeek_WorkingYear")]
	public class MstWptWeek: FullAuditedEntity&lt;long&gt;, IEntity&lt;long&gt;	
	{
		public const int MaxIsActiveLength = 1;
		public virtual int WorkingYear { get; set; }
		public virtual int WeekNumber { get; set; }
		public virtual int WorkingDays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DbSet&lt;MstWptWeek&gt; MstWptWeeks { get; set; }</v>
      </c>
      <c r="L7" t="str">
        <f ca="1">SUBSTITUTE(SUBSTITUTE((C6&amp;E6&amp;I14&amp;"
"&amp;REPT(CHAR(9),2)&amp;"// Define Store Name: Format SP_ + &lt;Store Name&gt; = &lt;Store Name&gt;
"&amp;E3&amp;REPT(CHAR(9),1)&amp;D3&amp;D3),"WorkingPattern",$Q$3),"Master",$B$4)</f>
        <v xml:space="preserve">namespace vovina.Master.WorkingPattern
{
	public class MstWptWeekConsts	
	{
		public const int MaxIsActiveLength = 1;
		// Define Store Name: Format SP_ + &lt;Store Name&gt; = &lt;Store Name&gt;
	}
}
</v>
      </c>
      <c r="M7" t="str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 xml:space="preserve">using Abp.Application.Services.Dto;
using System;
using System.ComponentModel.DataAnnotations;
namespace vovina.Master.WorkingPattern.Dto
{
	public class MstWptWeekDto : EntityDto&lt;long?&gt;	
	{
		public virtual int WorkingYear { get; set; }
		public virtual int WeekNumber { get; set; }
		public virtual int WorkingDays { get; set; }
		public virtual string IsActive { get; set; }
	}
	public class CreateOrEditMstWptWeekDto : EntityDto&lt;long?&gt;	
	{
		public virtual int WorkingYear { get; set; }
		public virtual int WeekNumber { get; set; }
		public virtual int WorkingDays { get; set; }
		[StringLength(MstWptWeekConsts.MaxIsActiveLength)]
		public virtual string IsActive { get; set; }
	}
	public class GetMstWptWeekInput : PagedAndSortedResultRequestDto	
	{
		public virtual int WorkingYear { get; set; }
		public virtual int WeekNumber { get; set; }
		public virtual int WorkingDays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perMstWptWeek = PARENTS.CreateChildPermission(AppPermissions.Pages_Master_WorkingPattern_Week, L( "MasterWorkingPatternWeek"));
		perMstWptWeek.CreateChildPermission(AppPermissions.Pages_Master_WorkingPattern_Week_CreateEdit, L( "MasterWorkingPatternWeekCreateEdit"));
		perMstWptWeek.CreateChildPermission(AppPermissions.Pages_Master_WorkingPattern_Week_Delete, L( "MasterWorkingPatternWeekDelete"));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Pages_Master_WorkingPattern_Week = "Pages.Master.WorkingPattern.Week";
		public const string Pages_Master_WorkingPattern_Week_CreateEdit = "Pages.Master.WorkingPattern.Week.CreateEdit";
		public const string Pages_Master_WorkingPattern_Week_Delete = "Pages.Master.WorkingPattern.Week.Delete";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IMstWptWeekAppService : IApplicationService
	{
		Task&lt;PagedResultDto&lt;MstWptWeekDto&gt;&gt; GetAll(GetMstWptWeekInput input);
		Task CreateOrEdit(CreateOrEditMstWptWeekDto input);
		Task Delete(EntityDto input);
	}
}
</v>
      </c>
      <c r="Q7" t="str">
        <f ca="1">SUBSTITUTE(SUBSTITUTE(SUBSTITUTE(SUBSTITUTE(SUBSTITUTE(SUBSTITUTE(E1,"MstWptCalendar",$B$3),"&lt;PROPERTIES&gt;",P14),"Calendar",$B$5),"WorkingPattern",$Q$3),"Master",$B$4),"&lt;PARAMS_SEARCH&gt;",$W$14)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[AbpAuthorize(AppPermissions.Pages_Master_WorkingPattern_Week)]
    public class MstWptWeekAppService : vovinaAppServiceBase, IMstWptWeekAppService
    {
        private readonly IDapperRepository&lt;MstWptWeek, long&gt; _dapperRepo;
        private readonly IRepository&lt;MstWptWeek, long&gt; _repo;
        private readonly IMstWptWeekExcelExporter _calendarListExcelExporter;
        public MstWptWeekAppService(IRepository&lt;MstWptWeek,long&gt; repo, 
                                         IDapperRepository&lt;MstWptWeek,long&gt; dapperRepo,
                                        IMstWptWeekExcelExporter calendarListExcelExporter
            )
        {
            _repo = repo;
            _dapperRepo = dapperRepo;
            _calendarListExcelExporter = calendarListExcelExporter;
        }
        [AbpAuthorize(AppPermissions.Pages_Master_WorkingPattern_Week_CreateEdit)]
        public async Task CreateOrEdit(CreateOrEditMstWptWeekDto input)
        {
            if (input.Id == null) await Create(input);
            else await Update(input);
        }
        //CREATE
        private async Task Create(CreateOrEditMstWptWeekDto input)
        {          
            var mainObj = ObjectMapper.Map&lt;MstWptWeek&gt;(input);
            await CurrentUnitOfWork.GetDbContext&lt;vovinaDbContext&gt;().AddAsync(mainObj);
        }
        // EDIT
        private async Task Update(CreateOrEditMstWptWeekDto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[AbpAuthorize(AppPermissions.Pages_Master_WorkingPattern_Week_Delete)]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Task&lt;PagedResultDto&lt;MstWptWeekDto&gt;&gt; GetAll(GetMstWptWeekInput input)
        {
            var filtered = _repo.GetAll()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MstWptWeekDto
                        {
							Id = o.Id,
							WorkingYear = o.WorkingYear,
							WeekNumber = o.WeekNumber,
							WorkingDays = o.WorkingDays,
							IsActive = o.IsActive,
                        };
            var totalCount = await filtered.CountAsync();
			var paged = system.PageBy(input);
            return new PagedResultDto&lt;MstWptWeekDto&gt;(
                totalCount,
                 await paged.ToListAsync()
            );
        }
        public async Task&lt;FileDto&gt; GetWeekToExcel(MstWptWeekExportInput input)
        {
            var query = from o in _repo.GetAll()
                        select new MstWptWeekDto
                        {
							Id = o.Id,
							WorkingYear = o.WorkingYear,
							WeekNumber = o.WeekNumber,
							WorkingDays = o.WorkingDays,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_dapperRepo.ExecuteAsync(MstWptWeekConsts.SP_MST_WPT_CALENDAR_GENERATE);
       // }
    }
}</v>
      </c>
      <c r="R7" t="str">
        <f ca="1">SUBSTITUTE(SUBSTITUTE((C1&amp;"namespace "&amp;B6&amp;".Dto"&amp;E3&amp;C3&amp;R3&amp;M14&amp;E3&amp;REPT(CHAR(9),1)&amp;D3&amp;D3),"WorkingPattern",$Q$3),"Master",$B$4)</f>
        <v xml:space="preserve">using Abp.Application.Services.Dto;
using System;
using System.ComponentModel.DataAnnotations;
namespace vovina.Master.WorkingPattern.Dto
{
	public class MstWptWeekExportInput{
		public virtual int WorkingYear { get; set; }
		public virtual int WeekNumber { get; set; }
		public virtual int WorkingDays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IMstWptWeekExcelExporter : IApplicationService
	{
		FileDto ExportToFile(List&lt;MstWptWeekDto&gt; mstwptweek);
	}
}
</v>
      </c>
      <c r="T7" s="28" t="str">
        <f ca="1">SUBSTITUTE(SUBSTITUTE(SUBSTITUTE(SUBSTITUTE(SUBSTITUTE(SUBSTITUTE(SUBSTITUTE(T1,"MstWptCalendar",$B$3),"&lt;PROPERTIES1&gt;",V14),"&lt;PROPERTIES&gt;",T14),"Calendar",$B$5),"calendar",LOWER(B5)),"WorkingPattern",$Q$3),"Master",$B$4)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MstWptWeekExcelExporter : NpoiExcelExporterBase, IMstWptWeekExcelExporter
    {
        public MstWptWeekExcelExporter(ITempFileCacheManager tempFileCacheManager) : base(tempFileCacheManager) { }
        public FileDto ExportToFile(List&lt;MstWptWeekDto&gt; week)
        {
            return CreateExcelPackage(
				"MasterWorkingPatternWeek.xlsx",
				excelPackage =&gt;
				 {
					var sheet = excelPackage.CreateSheet("Week");
					AddHeader(
								sheet,
								("WorkingYear"),
								("WeekNumber"),
								("WorkingDays"),
								("IsActive"),
							   );
					AddObjects(
						 sheet, 1, week,                                       
								_ =&gt; _.WorkingYear,
								_ =&gt; _.WeekNumber,
								_ =&gt; _.WorkingDays,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configuration.CreateMap&lt;MstWptWeekDto, MstWptWeek&gt;();
  configuration.CreateMap&lt;MstWptWeek, MstWptWeekDto&gt;();
  configuration.CreateMap&lt;CreateOrEditMstWptWeekDto, MstWptWeek&gt;();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275</v>
      </c>
      <c r="B9" t="s">
        <v>4</v>
      </c>
      <c r="C9" t="s">
        <v>1</v>
      </c>
      <c r="D9" t="str">
        <f>SUBSTITUTE(PROPER(A9),"_","")</f>
        <v>WorkingYear</v>
      </c>
      <c r="E9" t="str">
        <f t="shared" ref="E9:E12" si="0">IFERROR(LEFT(B9, FIND("(",B9)-1),B9)</f>
        <v>int</v>
      </c>
      <c r="F9" s="7"/>
      <c r="G9" t="str">
        <f t="shared" ref="G9:G12" si="1">IFERROR(MID(B9,FIND("(",B9) +1, FIND(")",B9) - FIND("(",B9) - 1),"")</f>
        <v/>
      </c>
      <c r="H9" t="str">
        <f>+VLOOKUP(E9,'Data Type Mapping'!A:B,2,)</f>
        <v>int</v>
      </c>
      <c r="I9" t="str">
        <f t="shared" ref="I9:I12" si="2">IF(H9="string",REPT(CHAR(9),2)&amp;"public const int Max"&amp;D9&amp;"Length = "&amp;G9&amp;";"&amp;$E$3,"" )</f>
        <v/>
      </c>
      <c r="J9" t="str">
        <f t="shared" ref="J9:J12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 WorkingYear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[Index(nameof(WorkingYear), Name="IX_MstWptWeek_WorkingYear")]</v>
      </c>
      <c r="M9" t="str">
        <f>REPT(CHAR(9),2)&amp;"public virtual "&amp;IF(H9="DateTime",H9&amp;"?",H9)&amp;IF(C9="?","? "," ")&amp;D9&amp;" { get; set; }" &amp; "
"</f>
        <v xml:space="preserve">		public virtual int WorkingYear { get; set; }
</v>
      </c>
      <c r="N9" t="str">
        <f>IF(C9="Checked","",$I$3)&amp;IF(H9="string",REPT(CHAR(9),2)&amp;"[StringLength("&amp;$B$3&amp;"Consts.Max"&amp;D9&amp;"Length"&amp;")]"&amp;$E$3,"")&amp;REPT(CHAR(9),2)&amp;"public virtual "&amp;IF(H9="DateTime",H9&amp;"?",H9)&amp;IF(C9="?","? "," ")&amp;D9&amp;" { get; set; }" &amp; "
"</f>
        <v xml:space="preserve">		public virtual int WorkingYear { get; set; }
</v>
      </c>
      <c r="O9" t="str">
        <f>IF(OR(H9="string",H9="DateTime",H9="int"),REPT(CHAR(9),2)&amp;"public virtual "&amp;IF(H9="DateTime",H9&amp;"?",H9)&amp;IF(C9="?","? "," ")&amp;D9&amp;" { get; set; }"&amp;$E$3,"")</f>
        <v xml:space="preserve">		public virtual int WorkingYear { get; set; }
</v>
      </c>
      <c r="P9" t="str">
        <f t="shared" ref="P9:P12" si="4">REPT(CHAR(9),7)&amp;D9&amp;" = o." &amp;D9 &amp;","</f>
        <v xml:space="preserve">							WorkingYear = o.WorkingYear,</v>
      </c>
      <c r="T9" s="68" t="str">
        <f>REPT(CHAR(9),8)&amp;"("""&amp;D9&amp;"""),"</f>
        <v xml:space="preserve">								("WorkingYear"),</v>
      </c>
      <c r="V9" s="69" t="str">
        <f>REPT(CHAR(9),8)&amp;"_ =&gt; _."&amp;D9&amp;","</f>
        <v xml:space="preserve">								_ =&gt; _.WorkingYear,</v>
      </c>
      <c r="W9" s="68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276</v>
      </c>
      <c r="B10" t="s">
        <v>4</v>
      </c>
      <c r="C10" t="s">
        <v>1</v>
      </c>
      <c r="D10" t="str">
        <f t="shared" ref="D10" si="5">SUBSTITUTE(PROPER(A10),"_","")</f>
        <v>WeekNumber</v>
      </c>
      <c r="E10" t="str">
        <f t="shared" ref="E10" si="6">IFERROR(LEFT(B10, FIND("(",B10)-1),B10)</f>
        <v>int</v>
      </c>
      <c r="F10" s="7"/>
      <c r="G10" t="str">
        <f t="shared" ref="G10" si="7">IFERROR(MID(B10,FIND("(",B10) +1, FIND(")",B10) - FIND("(",B10) - 1),"")</f>
        <v/>
      </c>
      <c r="H10" t="str">
        <f>+VLOOKUP(E10,'Data Type Mapping'!A:B,2,)</f>
        <v>int</v>
      </c>
      <c r="I10" t="str">
        <f t="shared" ref="I10" si="8">IF(H10="string",REPT(CHAR(9),2)&amp;"public const int Max"&amp;D10&amp;"Length = "&amp;G10&amp;";"&amp;$E$3,"" )</f>
        <v/>
      </c>
      <c r="J10" t="str">
        <f t="shared" ref="J10" si="9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 WeekNumber { get; set; }
</v>
      </c>
      <c r="K10" s="7"/>
      <c r="L10" t="str">
        <f t="shared" ref="L10" si="10">IF(K10="","",REPT(CHAR(9),1)&amp;"[Index(nameof("&amp;IF(D10="","",""&amp;D10)&amp;")"&amp;", Name="&amp;"""IX_"&amp;$B$7&amp;"_"&amp;D10&amp;""")]")</f>
        <v/>
      </c>
      <c r="M10" t="str">
        <f t="shared" ref="M10" si="11">REPT(CHAR(9),2)&amp;"public virtual "&amp;IF(H10="DateTime",H10&amp;"?",H10)&amp;IF(C10="?","? "," ")&amp;D10&amp;" { get; set; }" &amp; "
"</f>
        <v xml:space="preserve">		public virtual int WeekNumber { get; set; }
</v>
      </c>
      <c r="N10" t="str">
        <f t="shared" ref="N10" si="12">IF(C10="Checked","",$I$3)&amp;IF(H10="string",REPT(CHAR(9),2)&amp;"[StringLength("&amp;$B$3&amp;"Consts.Max"&amp;D10&amp;"Length"&amp;")]"&amp;$E$3,"")&amp;REPT(CHAR(9),2)&amp;"public virtual "&amp;IF(H10="DateTime",H10&amp;"?",H10)&amp;IF(C10="?","? "," ")&amp;D10&amp;" { get; set; }" &amp; "
"</f>
        <v xml:space="preserve">		public virtual int WeekNumber { get; set; }
</v>
      </c>
      <c r="O10" t="str">
        <f t="shared" ref="O10" si="13">IF(OR(H10="string",H10="DateTime",H10="int"),REPT(CHAR(9),2)&amp;"public virtual "&amp;IF(H10="DateTime",H10&amp;"?",H10)&amp;IF(C10="?","? "," ")&amp;D10&amp;" { get; set; }"&amp;$E$3,"")</f>
        <v xml:space="preserve">		public virtual int WeekNumber { get; set; }
</v>
      </c>
      <c r="P10" t="str">
        <f t="shared" ref="P10" si="14">REPT(CHAR(9),7)&amp;D10&amp;" = o." &amp;D10 &amp;","</f>
        <v xml:space="preserve">							WeekNumber = o.WeekNumber,</v>
      </c>
      <c r="T10" s="68" t="str">
        <f t="shared" ref="T10" si="15">REPT(CHAR(9),8)&amp;"("""&amp;D10&amp;"""),"</f>
        <v xml:space="preserve">								("WeekNumber"),</v>
      </c>
      <c r="V10" s="69" t="str">
        <f t="shared" ref="V10" si="16">REPT(CHAR(9),8)&amp;"_ =&gt; _."&amp;D10&amp;","</f>
        <v xml:space="preserve">								_ =&gt; _.WeekNumber,</v>
      </c>
      <c r="W10" s="68" t="str">
        <f t="shared" ref="W10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21" customHeight="1" x14ac:dyDescent="0.25">
      <c r="A11" t="s">
        <v>277</v>
      </c>
      <c r="B11" t="s">
        <v>4</v>
      </c>
      <c r="C11" t="s">
        <v>1</v>
      </c>
      <c r="D11" t="str">
        <f t="shared" ref="D11:D12" si="18">SUBSTITUTE(PROPER(A11),"_","")</f>
        <v>WorkingDays</v>
      </c>
      <c r="E11" t="str">
        <f t="shared" si="0"/>
        <v>int</v>
      </c>
      <c r="F11" s="7"/>
      <c r="G11" t="str">
        <f t="shared" si="1"/>
        <v/>
      </c>
      <c r="H11" t="str">
        <f>+VLOOKUP(E11,'Data Type Mapping'!A:B,2,)</f>
        <v>int</v>
      </c>
      <c r="I11" t="str">
        <f t="shared" si="2"/>
        <v/>
      </c>
      <c r="J11" t="str">
        <f t="shared" si="3"/>
        <v xml:space="preserve">		public virtual int WorkingDays { get; set; }
</v>
      </c>
      <c r="K11" s="7"/>
      <c r="L11" t="str">
        <f t="shared" ref="L11:L12" si="19">IF(K11="","",REPT(CHAR(9),1)&amp;"[Index(nameof("&amp;IF(D11="","",""&amp;D11)&amp;")"&amp;", Name="&amp;"""IX_"&amp;$B$7&amp;"_"&amp;D11&amp;""")]")</f>
        <v/>
      </c>
      <c r="M11" t="str">
        <f t="shared" ref="M11:M12" si="20">REPT(CHAR(9),2)&amp;"public virtual "&amp;IF(H11="DateTime",H11&amp;"?",H11)&amp;IF(C11="?","? "," ")&amp;D11&amp;" { get; set; }" &amp; "
"</f>
        <v xml:space="preserve">		public virtual int WorkingDays { get; set; }
</v>
      </c>
      <c r="N11" t="str">
        <f t="shared" ref="N11:N12" si="21">IF(C11="Checked","",$I$3)&amp;IF(H11="string",REPT(CHAR(9),2)&amp;"[StringLength("&amp;$B$3&amp;"Consts.Max"&amp;D11&amp;"Length"&amp;")]"&amp;$E$3,"")&amp;REPT(CHAR(9),2)&amp;"public virtual "&amp;IF(H11="DateTime",H11&amp;"?",H11)&amp;IF(C11="?","? "," ")&amp;D11&amp;" { get; set; }" &amp; "
"</f>
        <v xml:space="preserve">		public virtual int WorkingDays { get; set; }
</v>
      </c>
      <c r="O11" t="str">
        <f t="shared" ref="O11:O12" si="22">IF(OR(H11="string",H11="DateTime",H11="int"),REPT(CHAR(9),2)&amp;"public virtual "&amp;IF(H11="DateTime",H11&amp;"?",H11)&amp;IF(C11="?","? "," ")&amp;D11&amp;" { get; set; }"&amp;$E$3,"")</f>
        <v xml:space="preserve">		public virtual int WorkingDays { get; set; }
</v>
      </c>
      <c r="P11" t="str">
        <f t="shared" si="4"/>
        <v xml:space="preserve">							WorkingDays = o.WorkingDays,</v>
      </c>
      <c r="T11" s="68" t="str">
        <f t="shared" ref="T11:T12" si="23">REPT(CHAR(9),8)&amp;"("""&amp;D11&amp;"""),"</f>
        <v xml:space="preserve">								("WorkingDays"),</v>
      </c>
      <c r="V11" s="69" t="str">
        <f t="shared" ref="V11:V12" si="24">REPT(CHAR(9),8)&amp;"_ =&gt; _."&amp;D11&amp;","</f>
        <v xml:space="preserve">								_ =&gt; _.WorkingDays,</v>
      </c>
      <c r="W11" s="68" t="str">
        <f t="shared" ref="W11:W12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25">
      <c r="A12" t="s">
        <v>270</v>
      </c>
      <c r="B12" t="s">
        <v>271</v>
      </c>
      <c r="C12" t="s">
        <v>1</v>
      </c>
      <c r="D12" t="str">
        <f t="shared" si="18"/>
        <v>IsActive</v>
      </c>
      <c r="E12" t="str">
        <f t="shared" si="0"/>
        <v>varchar</v>
      </c>
      <c r="F12" s="7"/>
      <c r="G12" t="str">
        <f t="shared" si="1"/>
        <v>1</v>
      </c>
      <c r="H12" t="str">
        <f>+VLOOKUP(E12,'Data Type Mapping'!A:B,2,)</f>
        <v>string</v>
      </c>
      <c r="I12" t="str">
        <f t="shared" si="2"/>
        <v xml:space="preserve">		public const int MaxIsActiveLength = 1;
</v>
      </c>
      <c r="J12" t="str">
        <f t="shared" si="3"/>
        <v xml:space="preserve">		[StringLength(MaxIsActiveLength)]
		public virtual string IsActive { get; set; }
</v>
      </c>
      <c r="K12" s="7"/>
      <c r="L12" t="str">
        <f t="shared" si="19"/>
        <v/>
      </c>
      <c r="M12" t="str">
        <f t="shared" si="20"/>
        <v xml:space="preserve">		public virtual string IsActive { get; set; }
</v>
      </c>
      <c r="N12" t="str">
        <f t="shared" si="21"/>
        <v xml:space="preserve">		[StringLength(MstWptWeekConsts.MaxIsActiveLength)]
		public virtual string IsActive { get; set; }
</v>
      </c>
      <c r="O12" t="str">
        <f t="shared" si="22"/>
        <v xml:space="preserve">		public virtual string IsActive { get; set; }
</v>
      </c>
      <c r="P12" t="str">
        <f t="shared" si="4"/>
        <v xml:space="preserve">							IsActive = o.IsActive,</v>
      </c>
      <c r="T12" s="68" t="str">
        <f t="shared" si="23"/>
        <v xml:space="preserve">								("IsActive"),</v>
      </c>
      <c r="V12" s="69" t="str">
        <f t="shared" si="24"/>
        <v xml:space="preserve">								_ =&gt; _.IsActive,</v>
      </c>
      <c r="W12" s="68" t="str">
        <f t="shared" si="25"/>
        <v xml:space="preserve">				.WhereIf(!string.IsNullOrWhiteSpace(input.IsActive), e =&gt; e.IsActive.Contains(input.IsActive))</v>
      </c>
    </row>
    <row r="14" spans="1:23" ht="45.75" customHeight="1" x14ac:dyDescent="0.25">
      <c r="H14" s="12"/>
      <c r="I14" s="34" t="str">
        <f ca="1">TEXTJOIN2("
", TRUE,INDIRECT( $H$1):INDIRECT( $H$3))</f>
        <v xml:space="preserve">		public const int MaxIsActiveLength = 1;
</v>
      </c>
      <c r="J14" s="33" t="str">
        <f ca="1">TEXTJOIN2("
", TRUE,INDIRECT( $F$1):INDIRECT( $F$3))</f>
        <v xml:space="preserve">		public virtual int WorkingYear { get; set; }
		public virtual int WeekNumber { get; set; }
		public virtual int WorkingDays { get; set; }
		[StringLength(MaxIsActiveLength)]
		public virtual string IsActive { get; set; }
</v>
      </c>
      <c r="K14" s="35" t="str">
        <f ca="1">TEXTJOIN2("
", TRUE,INDIRECT( $J$1):INDIRECT( $J$3))</f>
        <v xml:space="preserve">	[Index(nameof(WorkingYear), Name="IX_MstWptWeek_WorkingYear")]
</v>
      </c>
      <c r="L14" s="13" t="s">
        <v>60</v>
      </c>
      <c r="M14" s="36" t="str">
        <f ca="1">TEXTJOIN2("
",TRUE,INDIRECT( $L$1):INDIRECT($L$3))</f>
        <v xml:space="preserve">		public virtual int WorkingYear { get; set; }
		public virtual int WeekNumber { get; set; }
		public virtual int WorkingDays { get; set; }
		public virtual string IsActive { get; set; }
</v>
      </c>
      <c r="N14" s="33" t="str">
        <f ca="1">TEXTJOIN2("
",TRUE,INDIRECT( $M$1):INDIRECT($M$3))</f>
        <v xml:space="preserve">		public virtual int WorkingYear { get; set; }
		public virtual int WeekNumber { get; set; }
		public virtual int WorkingDays { get; set; }
		[StringLength(MstWptWeekConsts.MaxIsActiveLength)]
		public virtual string IsActive { get; set; }
</v>
      </c>
      <c r="O14" s="33" t="str">
        <f ca="1">TEXTJOIN2("
",TRUE,INDIRECT( $N$1):INDIRECT($N$3))</f>
        <v xml:space="preserve">		public virtual int WorkingYear { get; set; }
		public virtual int WeekNumber { get; set; }
		public virtual int WorkingDays { get; set; }
		public virtual string IsActive { get; set; }
</v>
      </c>
      <c r="P14" s="9" t="str">
        <f ca="1">TEXTJOIN2("
",TRUE,INDIRECT( $O$1):INDIRECT($O$3))</f>
        <v xml:space="preserve">							WorkingYear = o.WorkingYear,
							WeekNumber = o.WeekNumber,
							WorkingDays = o.WorkingDays,
							IsActive = o.IsActive,</v>
      </c>
      <c r="T14" s="9" t="str">
        <f ca="1">TEXTJOIN2("
",TRUE,INDIRECT( $T$2):INDIRECT($T$3))</f>
        <v xml:space="preserve">								("WorkingYear"),
								("WeekNumber"),
								("WorkingDays"),
								("IsActive"),</v>
      </c>
      <c r="V14" s="9" t="str">
        <f ca="1">TEXTJOIN2("
",TRUE,INDIRECT( $V$2):INDIRECT($V$3))</f>
        <v xml:space="preserve">								_ =&gt; _.WorkingYear,
								_ =&gt; _.WeekNumber,
								_ =&gt; _.WorkingDays,
								_ =&gt; _.IsActive,</v>
      </c>
      <c r="W14" s="9" t="str">
        <f ca="1">TEXTJOIN2("
",TRUE,INDIRECT( $W$2):INDIRECT($W$3))</f>
        <v xml:space="preserve">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1"/>
  <sheetViews>
    <sheetView topLeftCell="A11" workbookViewId="0">
      <selection activeCell="E21" sqref="E21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274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71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71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72" t="str">
        <f>A.Backend!Q3</f>
        <v>WorkingPattern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72" t="str">
        <f>LOWER(B4)</f>
        <v>workingpattern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73" t="str">
        <f>A.Backend!B3</f>
        <v>MstWptWeek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72" t="str">
        <f>A.Backend!B5</f>
        <v>Week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72" t="str">
        <f>LOWER(B7)</f>
        <v>week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2" t="s">
        <v>216</v>
      </c>
      <c r="B9" s="53"/>
      <c r="C9" s="52"/>
      <c r="D9" s="52"/>
      <c r="E9" s="52"/>
      <c r="F9" s="52"/>
      <c r="G9" s="52"/>
      <c r="H9" s="44" t="s">
        <v>262</v>
      </c>
      <c r="I9" s="45" t="s">
        <v>256</v>
      </c>
      <c r="J9" s="44" t="s">
        <v>219</v>
      </c>
      <c r="K9" s="46" t="s">
        <v>257</v>
      </c>
      <c r="L9" s="45" t="s">
        <v>261</v>
      </c>
      <c r="M9" s="44" t="s">
        <v>249</v>
      </c>
      <c r="N9" s="44" t="s">
        <v>220</v>
      </c>
      <c r="O9" s="44" t="s">
        <v>221</v>
      </c>
      <c r="P9" s="45" t="s">
        <v>223</v>
      </c>
      <c r="Q9" s="44" t="s">
        <v>250</v>
      </c>
      <c r="R9" s="44" t="s">
        <v>233</v>
      </c>
      <c r="S9" s="31"/>
      <c r="T9" s="31"/>
      <c r="U9" s="31"/>
      <c r="V9" s="31"/>
    </row>
    <row r="10" spans="1:22" ht="18.75" customHeight="1" x14ac:dyDescent="0.25">
      <c r="A10" s="54" t="s">
        <v>217</v>
      </c>
      <c r="B10" s="55"/>
      <c r="C10" s="56"/>
      <c r="D10" s="56"/>
      <c r="E10" s="56"/>
      <c r="F10" s="56"/>
      <c r="G10" s="56"/>
      <c r="H10" s="47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MstWptWeekDto, MstWptWeekServiceProxy } from '@shared/service-proxies/service-proxies';
import { finalize } from 'rxjs/internal/operators/finalize';
import { CreateOrEditWeekModalComponent } from './create-or-edit-week-modal.component';
import { DatePipe } from '@angular/common';
import { FileDownloadService } from '@shared/utils/file-download.service';
import ceil from 'lodash-es/ceil';
import { Paginator } from 'primeng/paginator';
@Component({
    templateUrl: './week.component.html',
    styleUrls: ['./week.component.less'],
})
export class WeekComponent extends AppComponentBase implements OnInit {
    @ViewChild('createOrEditModalWeek', { static: true }) createOrEditModalWeek:| CreateOrEditWeekModalComponent|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MstWptWeekDto = new MstWptWeekDto();
    saveSelectedRow: MstWptWeekDto = new MstWptWeekDto();
    datas: MstWptWeekDto = new MstWptWeekDto();
    isLoading: boolean = false;
    dataParams: GridParams | undefined;
    rowData: any[] = [];
    gridApi!: GridApi;
    rowSelection = 'multiple';
    filter: string = '';
	pipe = new DatePipe('en-US');
    workingYear : number = 0 ;
	weekNumber : number = 0 ;
workingDays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MstWptWeekServiceProxy,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Year'),headerTooltip: this.l('Working Year'),field: 'workingYear',flex: 1},
			{headerName: this.l('Week Number'),headerTooltip: this.l('Week Number'),field: 'weekNumber',flex: 1},
			{headerName: this.l('Working Days'),headerTooltip: this.l('Working Days'),field: 'workingDays',flex: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this.workingYear,
			this.weekNumber,
			this.workingDays,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this.workingYear = 0,
		this.weekNumber = 0,
this.workingDays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this.workingYear,
			this.weekNumber,
			this.workingDays,
			this.isActive,
			'',
            this.paginationParams.skipCount,
            this.paginationParams.pageSize
        );
    }
    onChangeRowSelection(params: { api: { getSelectedRows: () =&gt; MstWptWeekDto[] } }) {
        this.saveSelectedRow = params.api.getSelectedRows()[0] ?? new MstWptWeekDto();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MstWptWeekDto):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this._service.getWeekToExcel(
			this.workingYear,
			this.weekNumber,
			this.workingDays,
			this.isActive,
            )
            .subscribe((result) =&gt; {
                this._fileDownloadService.downloadTempFile(result);
        });
    }
}</v>
      </c>
      <c r="I10" s="47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Week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(click)="createOrEditModalWeek.show()"&gt;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(click)="createOrEditModalWeek.show(selectedRow)"&gt;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&lt;create-or-edit-week-modal
    #createOrEditModalWeek
    (modalSave)="callBackDataGrid(dataParams)"
    (modalClose)="onChangeRowSelection(dataParams)"
&gt;
&lt;/create-or-edit-week-modal&gt;</v>
      </c>
      <c r="J10" s="47" t="str">
        <f>J9</f>
        <v>.input-search{
    width: 250px;
    border-radius: 10px;
    margin-left: 10px;
}
.btn-search{
    width: 50px;
    margin-left: 10px;
}</v>
      </c>
      <c r="K10" s="47" t="str">
        <f ca="1">SUBSTITUTE(SUBSTITUTE(SUBSTITUTE(SUBSTITUTE(K9,"MstWptCalendar",$B$6),"Calendar",$B$7),"calendar",$B$8),"&lt;PROPERTIES&gt;",K13)</f>
        <v>&lt;div bsModal #createOrEditModalWeek="bs-modal"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Week')}}&lt;/h3&gt;
                    &lt;h3 *ngIf="!rowdata.id"&gt;{{('Create New Week')}}&lt;/h3&gt;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Year&lt;/label&gt;
						&lt;input type='number' class='col-md-10 form-control input-text' name='WorkingYear' [(ngModel)]='rowdata.workingYear'&gt;
					&lt;/div&gt;
					&lt;div class='col-md-12 form-group row'&gt;
						&lt;label class='col-md-2 form-control title'&gt;Week Number&lt;/label&gt;
						&lt;input type='number' class='col-md-10 form-control input-text' name='WeekNumber' [(ngModel)]='rowdata.weekNumber'&gt;
					&lt;/div&gt;
					&lt;div class='col-md-12 form-group row'&gt;
						&lt;label class='col-md-2 form-control title'&gt;Working Days&lt;/label&gt;
						&lt;input type='number' class='col-md-10 form-control input-text' name='WorkingDays' [(ngModel)]='rowdata.workingDays'&gt;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7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CreateOrEditMstWptWeekDto, MstWptWeekServiceProxy } from '@shared/service-proxies/service-proxies';
import { BsDatepickerDirective } from 'ngx-bootstrap/datepicker';
@Component({
    selector: 'create-or-edit-week-modal',
    templateUrl: './create-or-edit-week-modal.component.html',
    styleUrls: ['./create-or-edit-week-modal.component.less']
    })
export class CreateOrEditWeekModalComponent extends AppComponentBase {
    @ViewChild('createOrEditModalWeek',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CreateOrEditMstWptWeekDto = new CreateOrEditMstWptWeekDto();
    active: boolean = false;
    saving: boolean = false;
    _isActive: boolean;
    constructor(
        injector: Injector,
        private _mstwptWeekService: MstWptWeekServiceProxy,
    ) 
    {
        super(injector);
    }
    show(rowdata?: CreateOrEditMstWptWeekDto): void {
        if (!rowdata) this.rowdata = new CreateOrEditMstWptWeekDto();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this._mstwptWeekService.createOrEdit(this.rowdata)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7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7" t="str">
        <f>SUBSTITUTE(SUBSTITUTE(SUBSTITUTE(N9,"MstWptCalendar",$B$6),"Calendar",$B$7),"calendar",$B$8)</f>
        <v>import {NgModule} from '@angular/core';
import {AppSharedModule} from '@app/shared/app-shared.module';
import { WeekRoutingModule } from './week-routing.module';
import { WeekComponent } from './week.component';
import { CreateOrEditWeekModalComponent } from './create-or-edit-week-modal.component';
@NgModule({
    declarations: [
       WeekComponent, 
        CreateOrEditWeekModalComponent
    ],
    imports: [
        AppSharedModule, WeekRoutingModule]
})
export class WeekModule {}</v>
      </c>
      <c r="O10" s="47" t="str">
        <f>SUBSTITUTE(SUBSTITUTE(SUBSTITUTE(O9,"MstWptCalendar",$B$6),"Calendar",$B$7),"calendar",$B$8)</f>
        <v>import {NgModule} from '@angular/core';
import {RouterModule, Routes} from '@angular/router';
import { WeekComponent } from './week.component';
const routes: Routes = [{
    path: '',
    component: WeekComponent,
    pathMatch: 'full'
}];
@NgModule({
    imports: [RouterModule.forChild(routes)],
    exports: [RouterModule],
})
export class WeekRoutingModule {}</v>
      </c>
      <c r="P10" s="47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AppMenuItem("Week", "Pages.Master.WorkingPattern.Week", "flaticon-book",   "/app/main/master/workingpattern/week"),</v>
      </c>
      <c r="Q10" s="47" t="str">
        <f>SUBSTITUTE(SUBSTITUTE(SUBSTITUTE(SUBSTITUTE(SUBSTITUTE(SUBSTITUTE(SUBSTITUTE(Q9,"MstWptCalendar",$B$6),"Calendar",$B$7),"calendar",$B$8),"WorkingPattern",$B$4),"workingpattern",$B$5),"Master",$B$2),"master",$B$3)</f>
        <v>{
    path: 'master/workingpattern/week',
    loadChildren: () =&gt; import('./master/workingpattern/week/week.module').then(m =&gt; m.WeekModule),
    data: { permission: 'Pages.Master.WorkingPattern.Week' }
},</v>
      </c>
      <c r="R10" s="49" t="str">
        <f>SUBSTITUTE(R9,"MstWptCalendar",$B$6)</f>
        <v>ApiServiceProxies.MstWptWeekServiceProxy,</v>
      </c>
      <c r="S10" s="31"/>
      <c r="T10" s="31"/>
      <c r="U10" s="31"/>
      <c r="V10" s="31"/>
    </row>
    <row r="11" spans="1:22" x14ac:dyDescent="0.25">
      <c r="A11" s="57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263</v>
      </c>
      <c r="J11" s="31"/>
      <c r="K11" s="31" t="s">
        <v>260</v>
      </c>
      <c r="L11" s="31" t="s">
        <v>264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265</v>
      </c>
      <c r="V11" s="70" t="s">
        <v>267</v>
      </c>
    </row>
    <row r="12" spans="1:22" x14ac:dyDescent="0.25">
      <c r="A12" s="57">
        <v>2</v>
      </c>
      <c r="B12" s="37"/>
      <c r="C12" s="31"/>
      <c r="D12" s="31"/>
      <c r="E12" s="31"/>
      <c r="F12" s="31"/>
      <c r="G12" s="31"/>
      <c r="H12" s="31" t="str">
        <f>"H"&amp;COUNTA($A:$A)</f>
        <v>H18</v>
      </c>
      <c r="I12" s="31" t="str">
        <f>"I"&amp;COUNTA($A:$A)</f>
        <v>I18</v>
      </c>
      <c r="J12" s="31"/>
      <c r="K12" s="31" t="str">
        <f>"K"&amp;COUNTA($A:$A)</f>
        <v>K18</v>
      </c>
      <c r="L12" s="31" t="str">
        <f>"L"&amp;COUNTA($A:$A)</f>
        <v>L18</v>
      </c>
      <c r="M12" s="31"/>
      <c r="N12" s="31"/>
      <c r="O12" s="31"/>
      <c r="P12" s="31"/>
      <c r="Q12" s="31"/>
      <c r="R12" s="31"/>
      <c r="S12" s="31" t="str">
        <f>"S"&amp;COUNTA($A:$A)</f>
        <v>S18</v>
      </c>
      <c r="T12" s="31" t="str">
        <f>"T"&amp;COUNTA($A:$A)</f>
        <v>T18</v>
      </c>
      <c r="U12" s="31" t="str">
        <f>"U"&amp;COUNTA($A:$A)</f>
        <v>U18</v>
      </c>
      <c r="V12" s="31" t="str">
        <f>"V"&amp;COUNTA($A:$A)</f>
        <v>V18</v>
      </c>
    </row>
    <row r="13" spans="1:22" ht="17.25" customHeight="1" x14ac:dyDescent="0.25">
      <c r="A13" s="57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this.l('Working Year'),headerTooltip: this.l('Working Year'),field: 'workingYear',flex: 1},
			{headerName: this.l('Week Number'),headerTooltip: this.l('Week Number'),field: 'weekNumber',flex: 1},
			{headerName: this.l('Working Days'),headerTooltip: this.l('Working Days'),field: 'workingDays',flex: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title'&gt;Working Year&lt;/label&gt;
						&lt;input type='number' class='col-md-10 form-control input-text' name='WorkingYear' [(ngModel)]='rowdata.workingYear'&gt;
					&lt;/div&gt;
					&lt;div class='col-md-12 form-group row'&gt;
						&lt;label class='col-md-2 form-control title'&gt;Week Number&lt;/label&gt;
						&lt;input type='number' class='col-md-10 form-control input-text' name='WeekNumber' [(ngModel)]='rowdata.weekNumber'&gt;
					&lt;/div&gt;
					&lt;div class='col-md-12 form-group row'&gt;
						&lt;label class='col-md-2 form-control title'&gt;Working Days&lt;/label&gt;
						&lt;input type='number' class='col-md-10 form-control input-text' name='WorkingDays' [(ngModel)]='rowdata.workingDays'&gt;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59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7" t="str">
        <f ca="1">TEXTJOIN2("
",TRUE,INDIRECT(S11):INDIRECT(S12))</f>
        <v xml:space="preserve">workingYear : number = 0 ;
	weekNumber : number = 0 ;
workingDays : number = 0 ;
	isActive : string = '' ; </v>
      </c>
      <c r="T13" s="67" t="str">
        <f ca="1">TEXTJOIN2("
",TRUE,INDIRECT(T11):INDIRECT(T12))</f>
        <v xml:space="preserve">			this.workingYear,
			this.weekNumber,
			this.workingDays,
			this.isActive,</v>
      </c>
      <c r="U13" s="67" t="str">
        <f ca="1">TEXTJOIN2("
",TRUE,INDIRECT(U11):INDIRECT(U12))</f>
        <v>this.workingYear = 0,
		this.weekNumber = 0,
this.workingDays = 0,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week.component.ts</v>
      </c>
      <c r="I14" s="40" t="str">
        <f>B8&amp;".component.html"</f>
        <v>week.component.html</v>
      </c>
      <c r="J14" s="39" t="str">
        <f>B8&amp;".component.less"</f>
        <v>week.component.less</v>
      </c>
      <c r="K14" s="40" t="str">
        <f>"create-or-edit-"&amp;B8&amp;"-modal.component.html"</f>
        <v>create-or-edit-week-modal.component.html</v>
      </c>
      <c r="L14" s="40" t="str">
        <f>"create-or-edit-"&amp;B8&amp;"-modal.component.ts"</f>
        <v>create-or-edit-week-modal.component.ts</v>
      </c>
      <c r="M14" s="40" t="str">
        <f>"create-or-edit-"&amp;B8&amp;"-modal.component.less"</f>
        <v>create-or-edit-week-modal.component.less</v>
      </c>
      <c r="N14" s="40" t="str">
        <f>B8&amp;".module.ts"</f>
        <v>week.module.ts</v>
      </c>
      <c r="O14" s="40" t="str">
        <f>B8&amp;"-routing.module.ts"</f>
        <v>week-routing.module.ts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266</v>
      </c>
    </row>
    <row r="15" spans="1:22" ht="18" customHeight="1" x14ac:dyDescent="0.25">
      <c r="A15" s="43" t="s">
        <v>275</v>
      </c>
      <c r="B15" s="31" t="str">
        <f>SUBSTITUTE(PROPER(A15),"_","")</f>
        <v>WorkingYear</v>
      </c>
      <c r="C15" s="31" t="str">
        <f>SUBSTITUTE(PROPER(A15),"_"," ")</f>
        <v>Working Year</v>
      </c>
      <c r="D15" s="31" t="str">
        <f>LOWER(LEFT(B15,1))&amp;RIGHT(B15,LEN(B15) - 1)</f>
        <v>workingYear</v>
      </c>
      <c r="E15" s="31" t="str">
        <f>A.Backend!H9</f>
        <v>int</v>
      </c>
      <c r="F15" s="31" t="str">
        <f>A.Backend!G9</f>
        <v/>
      </c>
      <c r="G15" s="31" t="str">
        <f>IF(E15="string"," : string = '' ; ",IF(E15="DateTime","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this.l('Working Year'),headerTooltip: this.l('Working Year'),field: 'workingYear',flex: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IF(E15="DateTime",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title'&gt;Working Year&lt;/label&gt;
						&lt;input type='number' class='col-md-10 form-control input-text' name='WorkingYear' [(ngModel)]='rowdata.workingYear'&gt;
					&lt;/div&gt;</v>
      </c>
      <c r="L15" s="59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workingYear : number = 0 ;</v>
      </c>
      <c r="T15" s="31" t="str">
        <f>REPT(CHAR(9),3)&amp;"this."&amp;D15&amp;","</f>
        <v xml:space="preserve">			this.workingYear,</v>
      </c>
      <c r="U15" s="31" t="str">
        <f>IF(E15="int","this."&amp;D15&amp;" = 0,","this."&amp;D15&amp;" = '',")</f>
        <v>this.workingYear = 0,</v>
      </c>
      <c r="V15" s="31" t="str">
        <f>IF(AND(E15="string",F15="1"),D15,"")</f>
        <v/>
      </c>
    </row>
    <row r="16" spans="1:22" ht="15" customHeight="1" x14ac:dyDescent="0.25">
      <c r="A16" s="43" t="s">
        <v>276</v>
      </c>
      <c r="B16" s="31" t="str">
        <f t="shared" ref="B16:B18" si="0">SUBSTITUTE(PROPER(A16),"_","")</f>
        <v>WeekNumber</v>
      </c>
      <c r="C16" s="31" t="str">
        <f t="shared" ref="C16:C18" si="1">SUBSTITUTE(PROPER(A16),"_"," ")</f>
        <v>Week Number</v>
      </c>
      <c r="D16" s="31" t="str">
        <f t="shared" ref="D16:D18" si="2">LOWER(LEFT(B16,1))&amp;RIGHT(B16,LEN(B16) - 1)</f>
        <v>weekNumber</v>
      </c>
      <c r="E16" s="31" t="str">
        <f>A.Backend!H10</f>
        <v>int</v>
      </c>
      <c r="F16" s="31" t="str">
        <f>A.Backend!G10</f>
        <v/>
      </c>
      <c r="G16" s="31" t="str">
        <f t="shared" ref="G16:G18" si="3">IF(E16="string"," : string = '' ; ",IF(E16="DateTime"," : any ;",IF(E16="int"," : number = 0 ;","")))</f>
        <v xml:space="preserve"> : number = 0 ;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this.l('Week Number'),headerTooltip: this.l('Week Number'),field: 'weekNumber',flex: 1},</v>
      </c>
      <c r="I16" s="38" t="str">
        <f t="shared" ref="I16:I18" si="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18" si="5">IF(E16="DateTime",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title'&gt;Week Number&lt;/label&gt;
						&lt;input type='number' class='col-md-10 form-control input-text' name='WeekNumber' [(ngModel)]='rowdata.weekNumber'&gt;
					&lt;/div&gt;</v>
      </c>
      <c r="L16" s="59" t="str">
        <f t="shared" ref="L16:L18" si="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weekNumber : number = 0 ;</v>
      </c>
      <c r="T16" s="31" t="str">
        <f>REPT(CHAR(9),3)&amp;"this."&amp;D16&amp;","</f>
        <v xml:space="preserve">			this.weekNumber,</v>
      </c>
      <c r="U16" s="31" t="str">
        <f>IF(E16="int",REPT(CHAR(9),2)&amp;"this."&amp;D16&amp;" = 0,",REPT(CHAR(9),2)&amp;"this."&amp;D16&amp;" = '',")</f>
        <v xml:space="preserve">		this.weekNumber = 0,</v>
      </c>
      <c r="V16" s="31" t="str">
        <f t="shared" ref="V16:V18" si="7">IF(AND(E16="string",F16="1"),D16,"")</f>
        <v/>
      </c>
    </row>
    <row r="17" spans="1:22" ht="18" customHeight="1" x14ac:dyDescent="0.25">
      <c r="A17" s="43" t="s">
        <v>277</v>
      </c>
      <c r="B17" s="31" t="str">
        <f>SUBSTITUTE(PROPER(A17),"_","")</f>
        <v>WorkingDays</v>
      </c>
      <c r="C17" s="31" t="str">
        <f>SUBSTITUTE(PROPER(A17),"_"," ")</f>
        <v>Working Days</v>
      </c>
      <c r="D17" s="31" t="str">
        <f>LOWER(LEFT(B17,1))&amp;RIGHT(B17,LEN(B17) - 1)</f>
        <v>workingDays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this.l('Working Days'),headerTooltip: this.l('Working Days'),field: 'workingDays',flex: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/>
      </c>
      <c r="J17" s="31"/>
      <c r="K17" s="38" t="str">
        <f t="shared" si="5"/>
        <v xml:space="preserve">					&lt;div class='col-md-12 form-group row'&gt;
						&lt;label class='col-md-2 form-control title'&gt;Working Days&lt;/label&gt;
						&lt;input type='number' class='col-md-10 form-control input-text' name='WorkingDays' [(ngModel)]='rowdata.workingDays'&gt;
					&lt;/div&gt;</v>
      </c>
      <c r="L17" s="59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>workingDays : number = 0 ;</v>
      </c>
      <c r="T17" s="31" t="str">
        <f>REPT(CHAR(9),3)&amp;"this."&amp;D17&amp;","</f>
        <v xml:space="preserve">			this.workingDays,</v>
      </c>
      <c r="U17" s="31" t="str">
        <f>IF(E17="int","this."&amp;D17&amp;" = 0,","this."&amp;D17&amp;" = '',")</f>
        <v>this.workingDays = 0,</v>
      </c>
      <c r="V17" s="31" t="str">
        <f>IF(AND(E17="string",F17="1"),D17,"")</f>
        <v/>
      </c>
    </row>
    <row r="18" spans="1:22" ht="18" customHeight="1" x14ac:dyDescent="0.25">
      <c r="A18" s="43" t="s">
        <v>270</v>
      </c>
      <c r="B18" s="31" t="str">
        <f t="shared" si="0"/>
        <v>IsActive</v>
      </c>
      <c r="C18" s="31" t="str">
        <f t="shared" si="1"/>
        <v>Is Active</v>
      </c>
      <c r="D18" s="31" t="str">
        <f t="shared" si="2"/>
        <v>isActive</v>
      </c>
      <c r="E18" s="31" t="str">
        <f>A.Backend!H12</f>
        <v>string</v>
      </c>
      <c r="F18" s="31" t="str">
        <f>A.Backend!G12</f>
        <v>1</v>
      </c>
      <c r="G18" s="31" t="str">
        <f t="shared" si="3"/>
        <v xml:space="preserve"> : string = '' ; </v>
      </c>
      <c r="H18" s="38" t="str">
        <f t="shared" ref="H18" si="8">IF(E18="DateTime",
REPT(CHAR(9),3)&amp;"{headerName: this.l('"&amp;C18&amp;"'),headerTooltip: this.l('"&amp;C18&amp;"'),field: '"&amp;D18&amp;"',valueGetter: (params) =&gt; this.pipe.transform(params.data?."&amp;D18&amp;", 'dd/MM/yyyy'),flex: 1},",
REPT(CHAR(9),3)&amp;"{headerName: this.l('"&amp;C18&amp;"'),headerTooltip: this.l('"&amp;C18&amp;"'),field: '"&amp;D18&amp;"',flex: 1},")</f>
        <v xml:space="preserve">			{headerName: this.l('Is Active'),headerTooltip: this.l('Is Active'),field: 'isActive',flex: 1},</v>
      </c>
      <c r="I18" s="38" t="str">
        <f t="shared" si="4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8" s="31"/>
      <c r="K18" s="38" t="str">
        <f t="shared" si="5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8" s="59" t="str">
        <f t="shared" si="6"/>
        <v/>
      </c>
      <c r="M18" s="31"/>
      <c r="N18" s="31"/>
      <c r="O18" s="31"/>
      <c r="P18" s="31"/>
      <c r="Q18" s="31"/>
      <c r="R18" s="31"/>
      <c r="S18" s="31" t="str">
        <f t="shared" ref="S18" si="9">REPT(CHAR(9),1)&amp;D18&amp;G18</f>
        <v xml:space="preserve">	isActive : string = '' ; </v>
      </c>
      <c r="T18" s="31" t="str">
        <f t="shared" ref="T18" si="10">REPT(CHAR(9),3)&amp;"this."&amp;D18&amp;","</f>
        <v xml:space="preserve">			this.isActive,</v>
      </c>
      <c r="U18" s="31" t="str">
        <f t="shared" ref="U18" si="11">IF(E18="int",REPT(CHAR(9),2)&amp;"this."&amp;D18&amp;" = 0,",REPT(CHAR(9),2)&amp;"this."&amp;D18&amp;" = '',")</f>
        <v xml:space="preserve">		this.isActive = '',</v>
      </c>
      <c r="V18" s="31" t="str">
        <f t="shared" si="7"/>
        <v>isActive</v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Hai_Cuba</cp:lastModifiedBy>
  <dcterms:created xsi:type="dcterms:W3CDTF">2022-04-01T07:31:40Z</dcterms:created>
  <dcterms:modified xsi:type="dcterms:W3CDTF">2022-05-25T10:11:18Z</dcterms:modified>
</cp:coreProperties>
</file>
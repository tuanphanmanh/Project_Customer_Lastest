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  <sheet name="SampleData" sheetId="7" r:id="rId6"/>
  </sheets>
  <functionGroups builtInGroupCount="18"/>
  <externalReferences>
    <externalReference r:id="rId7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F17" i="5" s="1"/>
  <c r="E11" i="1"/>
  <c r="H11" i="1" s="1"/>
  <c r="E17" i="5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L13" i="5"/>
  <c r="H13" i="5"/>
  <c r="V13" i="5"/>
  <c r="U13" i="5"/>
  <c r="S13" i="5"/>
  <c r="I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P13" i="1"/>
  <c r="I13" i="1"/>
  <c r="J13" i="1"/>
  <c r="O13" i="1"/>
  <c r="N13" i="1"/>
  <c r="Q7" i="1" l="1"/>
  <c r="M68" i="3" s="1"/>
  <c r="L7" i="1"/>
  <c r="G68" i="3" s="1"/>
  <c r="K68" i="3"/>
  <c r="J68" i="3"/>
  <c r="M13" i="1"/>
  <c r="K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<sst xmlns="http://schemas.openxmlformats.org/spreadsheetml/2006/main" count="527" uniqueCount="443">
  <si>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</si>
  <si>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</si>
  <si>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</si>
  <si>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</si>
  <si>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</si>
  <si>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</si>
  <si>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</si>
  <si>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</si>
  <si>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</si>
  <si>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</si>
  <si>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</si>
  <si>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</si>
  <si>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</si>
  <si>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</si>
  <si>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</si>
  <si>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</si>
  <si>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</si>
  <si>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</si>
  <si>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</si>
  <si>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</si>
  <si>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</si>
  <si>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</si>
  <si>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</si>
  <si>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</si>
  <si>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</si>
  <si>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</si>
  <si>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</si>
  <si>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</si>
  <si>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</si>
  <si>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</si>
  <si>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</si>
  <si>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</si>
  <si>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</si>
  <si>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</si>
  <si>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</si>
  <si>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</si>
  <si>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</si>
  <si>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</si>
  <si>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</si>
  <si>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</si>
  <si>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</si>
  <si>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</si>
  <si>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</si>
  <si>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</si>
  <si>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</si>
  <si>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</si>
  <si>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</si>
  <si>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</si>
  <si>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</si>
  <si>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</si>
  <si>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</si>
  <si>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</si>
  <si>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</si>
  <si>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</si>
  <si>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</si>
  <si>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</si>
  <si>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</si>
  <si>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</si>
  <si>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</si>
  <si>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</si>
  <si>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</si>
  <si>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</si>
  <si>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</si>
  <si>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</si>
  <si>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</si>
  <si>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</si>
  <si>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</si>
  <si>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</si>
  <si>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</si>
  <si>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</si>
  <si>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</si>
  <si>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</si>
  <si>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</si>
  <si>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</si>
  <si>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</si>
  <si>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</si>
  <si>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</si>
  <si>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</si>
  <si>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</si>
  <si>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</si>
  <si>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</si>
  <si>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</si>
  <si>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</si>
  <si>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</si>
  <si>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</si>
  <si>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</si>
  <si>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</si>
  <si>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</si>
  <si>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</si>
  <si>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</si>
  <si>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</si>
  <si>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</si>
  <si>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</si>
  <si>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</si>
  <si>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</si>
  <si>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</si>
  <si>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</si>
  <si>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</si>
  <si>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</si>
  <si>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</si>
  <si>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</si>
  <si>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</si>
  <si>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</si>
  <si>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</si>
  <si>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</si>
  <si>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</si>
  <si>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</si>
  <si>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</si>
  <si>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</si>
  <si>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</si>
  <si>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</si>
  <si>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</si>
  <si>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</si>
  <si>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</si>
  <si>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</si>
  <si>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</si>
  <si>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</si>
  <si>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</si>
  <si>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</si>
  <si>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</si>
  <si>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</si>
  <si>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</si>
  <si>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</si>
  <si>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</si>
  <si>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</si>
  <si>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</si>
  <si>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</si>
  <si>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</si>
  <si>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</si>
  <si>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</si>
  <si>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</si>
  <si>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</si>
  <si>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</si>
  <si>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</si>
  <si>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</si>
  <si>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</si>
  <si>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</si>
  <si>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</si>
  <si>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</si>
  <si>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</si>
  <si>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</si>
  <si>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</si>
  <si>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</si>
  <si>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</si>
  <si>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</si>
  <si>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</si>
  <si>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</si>
  <si>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</si>
  <si>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</si>
  <si>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</si>
  <si>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</si>
  <si>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</si>
  <si>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</si>
  <si>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</si>
  <si>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</si>
  <si>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</si>
  <si>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</si>
  <si>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</si>
  <si>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</si>
  <si>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</si>
  <si>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</si>
  <si>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</si>
  <si>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</si>
  <si>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</si>
  <si>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</si>
  <si>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</si>
  <si>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</si>
  <si>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</si>
  <si>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</si>
  <si>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</si>
  <si>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</si>
  <si>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</si>
  <si>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</si>
  <si>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</si>
  <si>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</si>
  <si>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</si>
  <si>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</si>
  <si>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</si>
  <si>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</si>
  <si>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</si>
  <si>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</si>
  <si>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</si>
  <si>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</si>
  <si>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</si>
  <si>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</si>
  <si>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</si>
  <si>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</si>
  <si>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</si>
  <si>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</si>
  <si>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</si>
  <si>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</si>
  <si>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</si>
  <si>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</si>
  <si>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</si>
  <si>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</si>
  <si>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</si>
  <si>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</si>
  <si>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</si>
  <si>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</si>
  <si>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</si>
  <si>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</si>
  <si>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</si>
  <si>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</si>
  <si>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</si>
  <si>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</si>
  <si>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</si>
  <si>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</si>
  <si>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</si>
  <si>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</si>
  <si>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</si>
  <si>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</si>
  <si>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</si>
  <si>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</si>
  <si>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</si>
  <si>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</si>
  <si>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</si>
  <si>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</si>
  <si>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</si>
  <si>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</si>
  <si>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</si>
  <si>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</si>
  <si>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</si>
  <si>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</si>
  <si>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</si>
  <si>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</si>
  <si>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</si>
  <si>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</si>
  <si>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</si>
  <si>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</si>
  <si>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</si>
  <si>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</si>
  <si>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</si>
  <si>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</si>
  <si>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</si>
  <si>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</si>
  <si>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</si>
  <si>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</si>
  <si>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</si>
  <si>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</si>
  <si>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</si>
  <si>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</si>
  <si>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</si>
  <si>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</si>
  <si>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</si>
  <si>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</si>
  <si>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</si>
  <si>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</si>
  <si>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</si>
  <si>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</si>
  <si>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</si>
  <si>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</si>
  <si>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</si>
  <si>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</si>
  <si>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</si>
  <si>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</si>
  <si>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</si>
  <si>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</si>
  <si>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</si>
  <si>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</si>
  <si>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</si>
  <si>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</si>
  <si>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</si>
  <si>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</si>
  <si>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</si>
  <si>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</si>
  <si>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</si>
  <si>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</si>
  <si>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</si>
  <si>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</si>
  <si>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</si>
  <si>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</si>
  <si>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</si>
  <si>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</si>
  <si>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</si>
  <si>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</si>
  <si>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</si>
  <si>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</si>
  <si>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</si>
  <si>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</si>
  <si>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</si>
  <si>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</si>
  <si>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</si>
  <si>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</si>
  <si>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</si>
  <si>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</si>
  <si>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</si>
  <si>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</si>
  <si>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</si>
  <si>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</si>
  <si>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</si>
  <si>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</si>
  <si>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</si>
  <si>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</si>
  <si>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</si>
  <si>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</si>
  <si>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</si>
  <si>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</si>
  <si>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</si>
  <si>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</si>
  <si>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</si>
  <si>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</si>
  <si>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</si>
  <si>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</si>
  <si>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</si>
  <si>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</si>
  <si>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</si>
  <si>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</si>
  <si>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</si>
  <si>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</si>
  <si>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</si>
  <si>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</si>
  <si>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</si>
  <si>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</si>
  <si>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</si>
  <si>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</si>
  <si>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</si>
  <si>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</si>
  <si>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</si>
  <si>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</si>
  <si>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</si>
  <si>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</si>
  <si>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</si>
  <si>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</si>
  <si>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</si>
  <si>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</si>
  <si>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</si>
  <si>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</si>
  <si>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</si>
  <si>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</si>
  <si>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</si>
  <si>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</si>
  <si>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</si>
  <si>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</si>
  <si>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</si>
  <si>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</si>
  <si>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</si>
  <si>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</si>
  <si>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</si>
  <si>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</si>
  <si>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</si>
  <si>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</si>
  <si>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</si>
  <si>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</si>
  <si>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</si>
  <si>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</si>
  <si>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</si>
  <si>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</si>
  <si>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</si>
  <si>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</si>
  <si>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</si>
  <si>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</si>
  <si>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</si>
  <si>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</si>
  <si>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CODE</t>
  </si>
  <si>
    <t>NAME</t>
  </si>
  <si>
    <t>MstCmmUom</t>
  </si>
  <si>
    <t>Uom</t>
  </si>
  <si>
    <t>Description(30)</t>
  </si>
  <si>
    <t>PAC</t>
  </si>
  <si>
    <t>Pack</t>
  </si>
  <si>
    <t>SET</t>
  </si>
  <si>
    <t>Set</t>
  </si>
  <si>
    <t>BOX</t>
  </si>
  <si>
    <t>Box</t>
  </si>
  <si>
    <t>TO</t>
  </si>
  <si>
    <t>Ton</t>
  </si>
  <si>
    <t>KG</t>
  </si>
  <si>
    <t>Kilogram</t>
  </si>
  <si>
    <t>G</t>
  </si>
  <si>
    <t>Gram</t>
  </si>
  <si>
    <t>M</t>
  </si>
  <si>
    <t>Meter</t>
  </si>
  <si>
    <t>CM</t>
  </si>
  <si>
    <t>Centimeter</t>
  </si>
  <si>
    <t>M2</t>
  </si>
  <si>
    <t>Square meter</t>
  </si>
  <si>
    <t>M3</t>
  </si>
  <si>
    <t>Cubic meter</t>
  </si>
  <si>
    <t>PC</t>
  </si>
  <si>
    <t>Pieces</t>
  </si>
  <si>
    <t>EA</t>
  </si>
  <si>
    <t>Each</t>
  </si>
  <si>
    <t>RM</t>
  </si>
  <si>
    <t>Ream</t>
  </si>
  <si>
    <t>CAN</t>
  </si>
  <si>
    <t>Can</t>
  </si>
  <si>
    <t>L</t>
  </si>
  <si>
    <t>Liter</t>
  </si>
  <si>
    <t>ML</t>
  </si>
  <si>
    <t>Milliliter</t>
  </si>
  <si>
    <t>ROL</t>
  </si>
  <si>
    <t>Roll</t>
  </si>
  <si>
    <t>BT</t>
  </si>
  <si>
    <t>Bottle</t>
  </si>
  <si>
    <t>DR</t>
  </si>
  <si>
    <t>Drum</t>
  </si>
  <si>
    <t>GAL</t>
  </si>
  <si>
    <t>Gallon</t>
  </si>
  <si>
    <t>TB</t>
  </si>
  <si>
    <t>Tube</t>
  </si>
  <si>
    <t>TN</t>
  </si>
  <si>
    <t>Tin</t>
  </si>
  <si>
    <t>PAA</t>
  </si>
  <si>
    <t>Pair</t>
  </si>
  <si>
    <t>PAL</t>
  </si>
  <si>
    <t>Pallet</t>
  </si>
  <si>
    <t>PL</t>
  </si>
  <si>
    <t>Pail</t>
  </si>
  <si>
    <t>AU</t>
  </si>
  <si>
    <t>Activ.unit</t>
  </si>
  <si>
    <t>BAG</t>
  </si>
  <si>
    <t>Bag</t>
  </si>
  <si>
    <t>DZ</t>
  </si>
  <si>
    <t>Dozen</t>
  </si>
  <si>
    <t>SH</t>
  </si>
  <si>
    <t>Sheet</t>
  </si>
  <si>
    <t>CYL</t>
  </si>
  <si>
    <t>Cylinder</t>
  </si>
  <si>
    <t>MON</t>
  </si>
  <si>
    <t>Months</t>
  </si>
  <si>
    <t>D</t>
  </si>
  <si>
    <t>Days</t>
  </si>
  <si>
    <t>H</t>
  </si>
  <si>
    <t>Hour</t>
  </si>
  <si>
    <t>MIN</t>
  </si>
  <si>
    <t>min.</t>
  </si>
  <si>
    <t>PDA</t>
  </si>
  <si>
    <t>Consultant Days</t>
  </si>
  <si>
    <t>S</t>
  </si>
  <si>
    <t>Second</t>
  </si>
  <si>
    <t>UNT</t>
  </si>
  <si>
    <t>Unit</t>
  </si>
  <si>
    <t>LOT</t>
  </si>
  <si>
    <t>Lot</t>
  </si>
  <si>
    <t>CV</t>
  </si>
  <si>
    <t>Case</t>
  </si>
  <si>
    <t>Unit(3)</t>
  </si>
  <si>
    <t>nvarchar(3)</t>
  </si>
  <si>
    <t>nvarchar(30)</t>
  </si>
  <si>
    <t>Unit of Measure</t>
  </si>
  <si>
    <t>IHP</t>
  </si>
  <si>
    <t>Ihp</t>
  </si>
  <si>
    <t>InvIhp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</si>
</sst>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1"/>
      <color rgb="FFFFFFFF"/>
      <name val="Segoe UI"/>
      <family val="2"/>
    </font>
    <font>
      <sz val="1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rgb="FF00206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20" fillId="0" borderId="6" xfId="0" applyFont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0" fillId="0" borderId="7" xfId="0" applyFont="1" applyBorder="1" applyAlignment="1">
      <alignment horizontal="center" vertical="top"/>
    </xf>
    <xf numFmtId="0" fontId="20" fillId="0" borderId="8" xfId="0" applyFont="1" applyBorder="1" applyAlignment="1">
      <alignment horizontal="center" vertical="top"/>
    </xf>
    <xf numFmtId="0" fontId="20" fillId="0" borderId="9" xfId="0" applyFont="1" applyBorder="1" applyAlignment="1">
      <alignment horizontal="center" vertical="top"/>
    </xf>
    <xf numFmtId="0" fontId="20" fillId="0" borderId="7" xfId="0" applyFont="1" applyBorder="1" applyAlignment="1">
      <alignment horizontal="left" vertical="top"/>
    </xf>
    <xf numFmtId="0" fontId="20" fillId="0" borderId="8" xfId="0" applyFont="1" applyBorder="1" applyAlignment="1">
      <alignment horizontal="left" vertical="top"/>
    </xf>
    <xf numFmtId="0" fontId="20" fillId="0" borderId="9" xfId="0" applyFont="1" applyBorder="1" applyAlignment="1">
      <alignment horizontal="left" vertical="top"/>
    </xf>
    <xf numFmtId="0" fontId="20" fillId="0" borderId="5" xfId="0" applyFont="1" applyBorder="1" applyAlignment="1">
      <alignment horizontal="center" vertical="top"/>
    </xf>
    <xf numFmtId="0" fontId="20" fillId="0" borderId="6" xfId="0" applyFont="1" applyBorder="1" applyAlignment="1">
      <alignment horizontal="center" vertical="top"/>
    </xf>
    <xf numFmtId="0" fontId="20" fillId="0" borderId="10" xfId="0" applyFont="1" applyBorder="1" applyAlignment="1">
      <alignment horizontal="center" vertical="top"/>
    </xf>
    <xf numFmtId="0" fontId="20" fillId="0" borderId="5" xfId="0" applyFont="1" applyBorder="1" applyAlignment="1">
      <alignment horizontal="left" vertical="top"/>
    </xf>
    <xf numFmtId="0" fontId="20" fillId="0" borderId="6" xfId="0" applyFont="1" applyBorder="1" applyAlignment="1">
      <alignment horizontal="left" vertical="top"/>
    </xf>
    <xf numFmtId="0" fontId="20" fillId="0" borderId="6" xfId="0" applyFont="1" applyBorder="1"/>
    <xf numFmtId="0" fontId="20" fillId="0" borderId="11" xfId="0" applyFont="1" applyBorder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0" fillId="0" borderId="11" xfId="0" applyFont="1" applyBorder="1" applyAlignment="1">
      <alignment horizontal="left" vertical="top"/>
    </xf>
    <xf numFmtId="0" fontId="20" fillId="0" borderId="12" xfId="0" applyFont="1" applyBorder="1" applyAlignment="1">
      <alignment horizontal="left" vertical="top"/>
    </xf>
    <xf numFmtId="0" fontId="19" fillId="14" borderId="5" xfId="0" applyFont="1" applyFill="1" applyBorder="1" applyAlignment="1">
      <alignment horizontal="center" vertical="center"/>
    </xf>
    <xf numFmtId="0" fontId="19" fillId="14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D47" sqref="D4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348</v>
      </c>
      <c r="F18" s="1" t="s">
        <v>350</v>
      </c>
      <c r="G18" t="s">
        <v>349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336</v>
      </c>
      <c r="G42" t="s">
        <v>336</v>
      </c>
    </row>
    <row r="43" spans="1:8" x14ac:dyDescent="0.25">
      <c r="A43" s="1"/>
      <c r="D43" t="s">
        <v>326</v>
      </c>
      <c r="F43" s="1" t="s">
        <v>331</v>
      </c>
      <c r="G43" t="s">
        <v>337</v>
      </c>
    </row>
    <row r="44" spans="1:8" x14ac:dyDescent="0.25">
      <c r="A44" s="1"/>
      <c r="D44" t="s">
        <v>328</v>
      </c>
      <c r="F44" s="1" t="s">
        <v>332</v>
      </c>
      <c r="G44" t="s">
        <v>338</v>
      </c>
    </row>
    <row r="45" spans="1:8" x14ac:dyDescent="0.25">
      <c r="A45" s="1"/>
      <c r="D45" t="s">
        <v>327</v>
      </c>
      <c r="F45" s="1" t="s">
        <v>333</v>
      </c>
      <c r="G45" t="s">
        <v>339</v>
      </c>
    </row>
    <row r="46" spans="1:8" x14ac:dyDescent="0.25">
      <c r="A46" s="1"/>
      <c r="D46" t="s">
        <v>440</v>
      </c>
      <c r="F46" s="1" t="s">
        <v>441</v>
      </c>
      <c r="G46" t="s">
        <v>442</v>
      </c>
    </row>
    <row r="47" spans="1:8" x14ac:dyDescent="0.25">
      <c r="A47" s="1"/>
      <c r="D47" t="s">
        <v>345</v>
      </c>
      <c r="F47" s="1" t="s">
        <v>346</v>
      </c>
      <c r="G47" t="s">
        <v>347</v>
      </c>
    </row>
    <row r="48" spans="1:8" x14ac:dyDescent="0.25">
      <c r="A48" s="1"/>
      <c r="D48" t="s">
        <v>330</v>
      </c>
      <c r="F48" s="1" t="s">
        <v>334</v>
      </c>
      <c r="G48" t="s">
        <v>340</v>
      </c>
    </row>
    <row r="49" spans="1:7" x14ac:dyDescent="0.25">
      <c r="A49" s="1"/>
      <c r="D49" t="s">
        <v>329</v>
      </c>
      <c r="F49" s="1" t="s">
        <v>335</v>
      </c>
      <c r="G49" t="s">
        <v>341</v>
      </c>
    </row>
    <row r="50" spans="1:7" x14ac:dyDescent="0.25">
      <c r="A50" s="1"/>
      <c r="D50" t="s">
        <v>342</v>
      </c>
      <c r="F50" s="1" t="s">
        <v>343</v>
      </c>
      <c r="G50" t="s">
        <v>344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[Table("MstCmmUom")]
	[Index(nameof(Code), Name="IX_MstCmmUom_Code")]
	[Index(nameof(IsActive), Name="IX_MstCmmUom_IsActive")]	public class MstCmmUom: FullAuditedEntity&lt;long&gt;, IEntity&lt;long&gt;	
	{
		public const int MaxCodeLength = 3;
		public const int MaxNameLength = 30;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48" t="str">
        <f>A.Backend!O7</f>
        <v xml:space="preserve">		public const string Pages_Master_Common_Uom = "Pages.Master.Common.Uom";
		public const string Pages_Master_Common_Uom_CreateEdit = "Pages.Master.Common.Uom.CreateEdit";
		public const string Pages_Master_Common_Uom_Delete = "Pages.Master.Common.Uom.Delete";
</v>
      </c>
      <c r="E68" s="48" t="str">
        <f>A.Backend!N7</f>
        <v xml:space="preserve">		var perMstCmmUom = PARENTS.CreateChildPermission(AppPermissions.Pages_Master_Common_Uom, L( "MasterCommonUom"), multiTenancySides: MultiTenancySides.Tenant);
		perMstCmmUom.CreateChildPermission(AppPermissions.Pages_Master_Common_Uom_CreateEdit, L( "MasterCommonUomCreateEdit"), multiTenancySides: MultiTenancySides.Tenant);
		perMstCmmUom.CreateChildPermission(AppPermissions.Pages_Master_Common_Uom_Delete, L( "MasterCommonUomDelete"), multiTenancySides: MultiTenancySides.Tenant);</v>
      </c>
      <c r="F68" s="48" t="str">
        <f>A.Backend!K7</f>
        <v>public virtual DbSet&lt;MstCmmUom&gt; MstCmmUoms { get; set; }</v>
      </c>
      <c r="G68" s="48" t="str">
        <f ca="1">A.Backend!L7</f>
        <v xml:space="preserve">namespace prod.Master.Common
{
	public class MstCmmUomConsts	
	{
		public const int MaxCodeLength = 3;
		public const int MaxNameLength = 30;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MstCmmUomDto : EntityDto&lt;long?&gt;	
	{
		public virtual string Code { get; set; }
		public virtual string Name { get; set; }
		public virtual string IsActive { get; set; }
	}
	public class CreateOrEditMstCmmUomDto : EntityDto&lt;long?&gt;	
	{
		[StringLength(MstCmmUomConsts.MaxCodeLength)]
		public virtual string Code { get; set; }
		[StringLength(MstCmmUomConsts.MaxNameLength)]
		public virtual string Name { get; set; }
		[StringLength(MstCmmUomConsts.MaxIsActiveLength)]
		public virtual string IsActive { get; set; }
	}
	public class GetMstCmmUomInput : PagedAndSortedResultRequestDto	
	{
		public virtual string Code { get; set; }
		public virtual string Name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MstCmmUomExportInput{
		public virtual string Code { get; set; }
		public virtual string Name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IMstCmmUomAppService : IApplicationService
	{
		Task&lt;PagedResultDto&lt;MstCmmUomDto&gt;&gt; GetAll(GetMstCmmUomInput input);
		Task CreateOrEdit(CreateOrEditMstCmmUomDto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IMstCmmUomExcelExporter : IApplicationService
	{
		FileDto ExportToFile(List&lt;MstCmmUomDto&gt; mstcmmuom);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MstCmmUomExcelExporter : NpoiExcelExporterBase, IMstCmmUomExcelExporter
    {
        public MstCmmUomExcelExporter(ITempFileCacheManager tempFileCacheManager) : base(tempFileCacheManager) { }
        public FileDto ExportToFile(List&lt;MstCmmUomDto&gt; uom)
        {
            return CreateExcelPackage(
				"MasterCommonUom.xlsx",
				excelPackage =&gt;
				 {
					var sheet = excelPackage.CreateSheet("Uom");
					AddHeader(
								sheet,
								("Code"),
								("Name"),
								("IsActive"),
							   );
					AddObjects(
						 sheet, 1, uom,                                       
								_ =&gt; _.Code,
								_ =&gt; _.Name,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[AbpAuthorize(AppPermissions.Pages_Master_Common_Uom)]
    public class MstCmmUomAppService : vovinaAppServiceBase, IMstCmmUomAppService
    {
        private readonly IDapperRepository&lt;MstCmmUom, long&gt; _dapperRepo;
        private readonly IRepository&lt;MstCmmUom, long&gt; _repo;
        private readonly IMstCmmUomExcelExporter _calendarListExcelExporter;
        public MstCmmUomAppService(IRepository&lt;MstCmmUom,long&gt; repo, 
                                         IDapperRepository&lt;MstCmmUom,long&gt; dapperRepo,
                                        IMstCmmUomExcelExporter calendarListExcelExporter
            )
        {
            _repo = repo;
            _dapperRepo = dapperRepo;
            _calendarListExcelExporter = calendarListExcelExporter;
        }
        [AbpAuthorize(AppPermissions.Pages_Master_Common_Uom_CreateEdit)]
        public async Task CreateOrEdit(CreateOrEditMstCmmUomDto input)
        {
            if (input.Id == null) await Create(input);
            else await Update(input);
        }
        //CREATE
        private async Task Create(CreateOrEditMstCmmUomDto input)
        {          
            var mainObj = ObjectMapper.Map&lt;MstCmmUom&gt;(input);
            await CurrentUnitOfWork.GetDbContext&lt;vovinaDbContext&gt;().AddAsync(mainObj);
        }
        // EDIT
        private async Task Update(CreateOrEditMstCmmUomDto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[AbpAuthorize(AppPermissions.Pages_Master_Common_Uom_Delete)]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Task&lt;PagedResultDto&lt;MstCmmUomDto&gt;&gt; GetAll(GetMstCmmUomInput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MstCmmUomDto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PagedResultDto&lt;MstCmmUomDto&gt;(
                totalCount,
                 await paged.ToListAsync()
            );
        }
        public async Task&lt;FileDto&gt; GetUomToExcel(MstCmmUomExportInput input)
        {
            var query = from o in _repo.GetAll()
                        select new MstCmmUomDto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_dapperRepo.ExecuteAsync(MstCmmUomConsts.SP_MST_WPT_CALENDAR_GENERATE);
       // }
    }
}</v>
      </c>
      <c r="N68" s="58" t="str">
        <f>A.Backend!U7</f>
        <v xml:space="preserve">  configuration.CreateMap&lt;MstCmmUomDto, MstCmmUom&gt;();
  configuration.CreateMap&lt;MstCmmUom, MstCmmUomDto&gt;();
  configuration.CreateMap&lt;CreateOrEditMstCmmUomDto, MstCmmUom&gt;();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uom</v>
      </c>
      <c r="C73" s="67" t="str">
        <f>"create folder " &amp;B73</f>
        <v>create folder uom</v>
      </c>
      <c r="D73" s="67"/>
      <c r="E73" s="67"/>
      <c r="F73" s="67"/>
      <c r="G73" s="67"/>
      <c r="H73" s="67"/>
      <c r="I73" s="67"/>
      <c r="J73" s="67"/>
      <c r="K73" s="68" t="s">
        <v>228</v>
      </c>
      <c r="L73" s="68"/>
      <c r="M73" s="28"/>
    </row>
    <row r="74" spans="2:14" s="26" customFormat="1" ht="18" customHeight="1" x14ac:dyDescent="0.25">
      <c r="B74" s="56" t="s">
        <v>229</v>
      </c>
      <c r="C74" s="28" t="str">
        <f>B.Frontend!H14</f>
        <v>uom.component.ts</v>
      </c>
      <c r="D74" s="28" t="str">
        <f>B.Frontend!I14</f>
        <v>uom.component.html</v>
      </c>
      <c r="E74" s="28" t="str">
        <f>B.Frontend!J14</f>
        <v>uom.component.less</v>
      </c>
      <c r="F74" s="28" t="str">
        <f>B.Frontend!K14</f>
        <v>create-or-edit-uom-modal.component.html</v>
      </c>
      <c r="G74" s="28" t="str">
        <f>B.Frontend!L14</f>
        <v>create-or-edit-uom-modal.component.ts</v>
      </c>
      <c r="H74" s="28" t="str">
        <f>B.Frontend!M14</f>
        <v>create-or-edit-uom-modal.component.less</v>
      </c>
      <c r="I74" s="28" t="str">
        <f>B.Frontend!N14</f>
        <v>uom.module.ts</v>
      </c>
      <c r="J74" s="28" t="str">
        <f>B.Frontend!O14</f>
        <v>uom-routing.module.ts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MstCmmUomDto, MstCmmUomServiceProxy } from '@shared/service-proxies/service-proxies';
import { finalize } from 'rxjs/internal/operators/finalize';
import { CreateOrEditUomModalComponent } from './create-or-edit-uom-modal.component';
import { DatePipe } from '@angular/common';
import { FileDownloadService } from '@shared/utils/file-download.service';
import ceil from 'lodash-es/ceil';
import { Paginator } from 'primeng/paginator';
@Component({
    templateUrl: './uom.component.html',
    styleUrls: ['./uom.component.less'],
})
export class UomComponent extends AppComponentBase implements OnInit {
    @ViewChild('createOrEditModalUom', { static: true }) createOrEditModalUom:| CreateOrEditUomModalComponent|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MstCmmUomDto = new MstCmmUomDto();
    saveSelectedRow: MstCmmUomDto = new MstCmmUomDto();
    datas: MstCmmUomDto = new MstCmmUomDto();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MstCmmUomServiceProxy,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MstCmmUomDto[] } }) {
        this.saveSelectedRow = params.api.getSelectedRows()[0] ?? new MstCmmUomDto();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MstCmmUomDto):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this._service.getUomToExcel(
			this.code,
			this.name,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Unit of Measure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(click)="createOrEditModalUom.show()"&gt;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(click)="createOrEditModalUom.show(selectedRow)"&gt;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&lt;create-or-edit-uom-modal
    #createOrEditModalUom
    (modalSave)="callBackDataGrid(dataParams)"
    (modalClose)="onChangeRowSelection(dataParams)"
&gt;
&lt;/create-or-edit-uom-modal&gt;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#createOrEditModalUom="bs-modal"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Uom')}}&lt;/h3&gt;
                    &lt;h3 *ngIf="!rowdata.id"&gt;{{('Create New Uom')}}&lt;/h3&gt;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CreateOrEditMstCmmUomDto, MstCmmUomServiceProxy } from '@shared/service-proxies/service-proxies';
import { BsDatepickerDirective } from 'ngx-bootstrap/datepicker';
@Component({
    selector: 'create-or-edit-uom-modal',
    templateUrl: './create-or-edit-uom-modal.component.html',
    styleUrls: ['./create-or-edit-uom-modal.component.less']
    })
export class CreateOrEditUomModalComponent extends AppComponentBase {
    @ViewChild('createOrEditModalUom',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CreateOrEditMstCmmUomDto = new CreateOrEditMstCmmUomDto();
    active: boolean = false;
    saving: boolean = false;
    _isActive: boolean;
    constructor(
        injector: Injector,
        private _mstwptUomService: MstCmmUomServiceProxy,
    ) 
    {
        super(injector);
    }
    show(rowdata?: CreateOrEditMstCmmUomDto): void {
        if (!rowdata) this.rowdata = new CreateOrEditMstCmmUomDto();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this._mstwptUomService.createOrEdit(this.rowdata)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UomRoutingModule } from './uom-routing.module';
import { UomComponent } from './uom.component';
import { CreateOrEditUomModalComponent } from './create-or-edit-uom-modal.component';
@NgModule({
    declarations: [
       UomComponent, 
        CreateOrEditUomModalComponent
    ],
    imports: [
        AppSharedModule, UomRoutingModule]
})
export class UomModule {}</v>
      </c>
      <c r="J75" s="46" t="str">
        <f>B.Frontend!O10</f>
        <v>import {NgModule} from '@angular/core';
import {RouterModule, Routes} from '@angular/router';
import { UomComponent } from './uom.component';
const routes: Routes = [{
    path: '',
    component: UomComponent,
    pathMatch: 'full'
}];
@NgModule({
    imports: [RouterModule.forChild(routes)],
    exports: [RouterModule],
})
export class UomRoutingModule {}</v>
      </c>
      <c r="K75" s="46" t="str">
        <f>B.Frontend!P10</f>
        <v xml:space="preserve"> new AppMenuItem("Uom", "Pages.Master.Common.Uom", "flaticon-book",   "/app/main/master/common/uom"),</v>
      </c>
      <c r="L75" s="47" t="str">
        <f>B.Frontend!Q10</f>
        <v>{
    path: 'master/common/uom',
    loadChildren: () =&gt; import('./master/common/uom/uom.module').then(m =&gt; m.UomModule),
    data: { permission: 'Pages.Master.Common.Uom' }
},</v>
      </c>
      <c r="M75" s="45" t="str">
        <f>B.Frontend!R10</f>
        <v>ApiServiceProxies.MstCmmUomServiceProxy,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D13" sqref="D1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351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355</v>
      </c>
      <c r="C3" s="9" t="s">
        <v>43</v>
      </c>
      <c r="D3" s="9" t="s">
        <v>44</v>
      </c>
      <c r="E3" s="9" t="s">
        <v>39</v>
      </c>
      <c r="F3" s="10" t="str">
        <f>"J"&amp;COUNTA($A:$A)</f>
        <v>J11</v>
      </c>
      <c r="G3" s="4" t="s">
        <v>57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56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MstCmmUomExportInput{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356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MstCmmUom: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MstCmmUomConsts	
	{
</v>
      </c>
      <c r="F6" s="10" t="str">
        <f>REPT(CHAR(9),1)&amp;"public class "&amp;B3&amp;"Dto"&amp;K3&amp;REPT(CHAR(9),1)&amp;"
"&amp;REPT(CHAR(9),1)&amp;C3</f>
        <v xml:space="preserve">	public class MstCmmUomDto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CreateOrEditMstCmmUomDto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GetMstCmmUomInput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MstCmmUom</v>
      </c>
      <c r="C7" s="10" t="str">
        <f>REPT(CHAR(9),1)&amp;"[Table("""&amp;B7&amp;""")]"&amp;"
"</f>
        <v xml:space="preserve">	[Table("MstCmmUom")]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[Table("MstCmmUom")]
	[Index(nameof(Code), Name="IX_MstCmmUom_Code")]
	[Index(nameof(IsActive), Name="IX_MstCmmUom_IsActive")]	public class MstCmmUom: FullAuditedEntity&lt;long&gt;, IEntity&lt;long&gt;	
	{
		public const int MaxCodeLength = 3;
		public const int MaxNameLength = 30;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DbSet&lt;MstCmmUom&gt; MstCmmUoms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MstCmmUomConsts	
	{
		public const int MaxCodeLength = 3;
		public const int MaxNameLength = 30;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MstCmmUomDto : EntityDto&lt;long?&gt;	
	{
		public virtual string Code { get; set; }
		public virtual string Name { get; set; }
		public virtual string IsActive { get; set; }
	}
	public class CreateOrEditMstCmmUomDto : EntityDto&lt;long?&gt;	
	{
		[StringLength(MstCmmUomConsts.MaxCodeLength)]
		public virtual string Code { get; set; }
		[StringLength(MstCmmUomConsts.MaxNameLength)]
		public virtual string Name { get; set; }
		[StringLength(MstCmmUomConsts.MaxIsActiveLength)]
		public virtual string IsActive { get; set; }
	}
	public class GetMstCmmUomInput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perMstCmmUom = PARENTS.CreateChildPermission(AppPermissions.Pages_Master_Common_Uom, L( "MasterCommonUom"), multiTenancySides: MultiTenancySides.Tenant);
		perMstCmmUom.CreateChildPermission(AppPermissions.Pages_Master_Common_Uom_CreateEdit, L( "MasterCommonUomCreateEdit"), multiTenancySides: MultiTenancySides.Tenant);
		perMstCmmUom.CreateChildPermission(AppPermissions.Pages_Master_Common_Uom_Delete, L( "MasterCommonUomDelete"),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Pages_Master_Common_Uom = "Pages.Master.Common.Uom";
		public const string Pages_Master_Common_Uom_CreateEdit = "Pages.Master.Common.Uom.CreateEdit";
		public const string Pages_Master_Common_Uom_Delete = "Pages.Master.Common.Uom.Delete";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IMstCmmUomAppService : IApplicationService
	{
		Task&lt;PagedResultDto&lt;MstCmmUomDto&gt;&gt; GetAll(GetMstCmmUomInput input);
		Task CreateOrEdit(CreateOrEditMstCmmUomDto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[AbpAuthorize(AppPermissions.Pages_Master_Common_Uom)]
    public class MstCmmUomAppService : vovinaAppServiceBase, IMstCmmUomAppService
    {
        private readonly IDapperRepository&lt;MstCmmUom, long&gt; _dapperRepo;
        private readonly IRepository&lt;MstCmmUom, long&gt; _repo;
        private readonly IMstCmmUomExcelExporter _calendarListExcelExporter;
        public MstCmmUomAppService(IRepository&lt;MstCmmUom,long&gt; repo, 
                                         IDapperRepository&lt;MstCmmUom,long&gt; dapperRepo,
                                        IMstCmmUomExcelExporter calendarListExcelExporter
            )
        {
            _repo = repo;
            _dapperRepo = dapperRepo;
            _calendarListExcelExporter = calendarListExcelExporter;
        }
        [AbpAuthorize(AppPermissions.Pages_Master_Common_Uom_CreateEdit)]
        public async Task CreateOrEdit(CreateOrEditMstCmmUomDto input)
        {
            if (input.Id == null) await Create(input);
            else await Update(input);
        }
        //CREATE
        private async Task Create(CreateOrEditMstCmmUomDto input)
        {          
            var mainObj = ObjectMapper.Map&lt;MstCmmUom&gt;(input);
            await CurrentUnitOfWork.GetDbContext&lt;vovinaDbContext&gt;().AddAsync(mainObj);
        }
        // EDIT
        private async Task Update(CreateOrEditMstCmmUomDto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[AbpAuthorize(AppPermissions.Pages_Master_Common_Uom_Delete)]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Task&lt;PagedResultDto&lt;MstCmmUomDto&gt;&gt; GetAll(GetMstCmmUomInput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MstCmmUomDto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PagedResultDto&lt;MstCmmUomDto&gt;(
                totalCount,
                 await paged.ToListAsync()
            );
        }
        public async Task&lt;FileDto&gt; GetUomToExcel(MstCmmUomExportInput input)
        {
            var query = from o in _repo.GetAll()
                        select new MstCmmUomDto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_dapperRepo.ExecuteAsync(MstCmmUomConsts.SP_MST_WPT_CALENDAR_GENERATE);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MstCmmUomExportInput{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IMstCmmUomExcelExporter : IApplicationService
	{
		FileDto ExportToFile(List&lt;MstCmmUomDto&gt; mstcmmuom);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MstCmmUomExcelExporter : NpoiExcelExporterBase, IMstCmmUomExcelExporter
    {
        public MstCmmUomExcelExporter(ITempFileCacheManager tempFileCacheManager) : base(tempFileCacheManager) { }
        public FileDto ExportToFile(List&lt;MstCmmUomDto&gt; uom)
        {
            return CreateExcelPackage(
				"MasterCommonUom.xlsx",
				excelPackage =&gt;
				 {
					var sheet = excelPackage.CreateSheet("Uom");
					AddHeader(
								sheet,
								("Code"),
								("Name"),
								("IsActive"),
							   );
					AddObjects(
						 sheet, 1, uom,                                       
								_ =&gt; _.Code,
								_ =&gt; _.Name,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configuration.CreateMap&lt;MstCmmUomDto, MstCmmUom&gt;();
  configuration.CreateMap&lt;MstCmmUom, MstCmmUomDto&gt;();
  configuration.CreateMap&lt;CreateOrEditMstCmmUomDto, MstCmmUom&gt;();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353</v>
      </c>
      <c r="B9" t="s">
        <v>437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3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3;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Name="IX_MstCmmUom_Code")]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[StringLength(MstCmmUomConsts.MaxCodeLength)]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4" t="str">
        <f t="shared" ref="T9" si="10">REPT(CHAR(9),8)&amp;"("""&amp;D9&amp;"""),"</f>
        <v xml:space="preserve">								("Code"),</v>
      </c>
      <c r="V9" s="65" t="str">
        <f t="shared" ref="V9" si="11">REPT(CHAR(9),8)&amp;"_ =&gt; _."&amp;D9&amp;","</f>
        <v xml:space="preserve">								_ =&gt; _.Code,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354</v>
      </c>
      <c r="B10" t="s">
        <v>438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30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30;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[StringLength(MstCmmUomConsts.MaxNameLength)]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4" t="str">
        <f t="shared" ref="T10" si="23">REPT(CHAR(9),8)&amp;"("""&amp;D10&amp;"""),"</f>
        <v xml:space="preserve">								("Name"),</v>
      </c>
      <c r="V10" s="65" t="str">
        <f t="shared" ref="V10" si="24">REPT(CHAR(9),8)&amp;"_ =&gt; _."&amp;D10&amp;","</f>
        <v xml:space="preserve">								_ =&gt; _.Name,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352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6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6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Name="IX_MstCmmUom_IsActive")]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[StringLength(MstCmmUomConsts.MaxIsActiveLength)]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4" t="str">
        <f t="shared" ref="T11" si="34">REPT(CHAR(9),8)&amp;"("""&amp;D11&amp;"""),"</f>
        <v xml:space="preserve">								("IsActive"),</v>
      </c>
      <c r="V11" s="65" t="str">
        <f t="shared" ref="V11" si="35">REPT(CHAR(9),8)&amp;"_ =&gt; _."&amp;D11&amp;","</f>
        <v xml:space="preserve">								_ =&gt; _.IsActive,</v>
      </c>
      <c r="W11" s="64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1"/>
      <c r="I13" s="31" t="str">
        <f ca="1">TEXTJOIN2("
", TRUE,INDIRECT( $H$1):INDIRECT( $H$3))</f>
        <v xml:space="preserve">		public const int MaxCodeLength = 3;
		public const int MaxNameLength = 30;
		public const int MaxIsActiveLength = 1;
</v>
      </c>
      <c r="J13" s="30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2" t="str">
        <f ca="1">TEXTJOIN2("
", TRUE,INDIRECT( $J$1):INDIRECT( $J$3))</f>
        <v xml:space="preserve">	[Index(nameof(Code), Name="IX_MstCmmUom_Code")]
	[Index(nameof(IsActive), Name="IX_MstCmmUom_IsActive")]</v>
      </c>
      <c r="L13" s="12" t="s">
        <v>60</v>
      </c>
      <c r="M13" s="33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0" t="str">
        <f ca="1">TEXTJOIN2("
",TRUE,INDIRECT( $M$1):INDIRECT($M$3))</f>
        <v xml:space="preserve">		[StringLength(MstCmmUomConsts.MaxCodeLength)]
		public virtual string Code { get; set; }
		[StringLength(MstCmmUomConsts.MaxNameLength)]
		public virtual string Name { get; set; }
		[StringLength(MstCmmUomConsts.MaxIsActiveLength)]
		public virtual string IsActive { get; set; }
</v>
      </c>
      <c r="O13" s="30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8" t="str">
        <f ca="1">TEXTJOIN2("
",TRUE,INDIRECT( $O$1):INDIRECT($O$3))</f>
        <v xml:space="preserve">							Code = o.Code,
							Name = o.Name,
							IsActive = o.IsActive,</v>
      </c>
      <c r="T13" s="8" t="str">
        <f ca="1">TEXTJOIN2("
",TRUE,INDIRECT( $T$2):INDIRECT($T$3))</f>
        <v xml:space="preserve">								("Code"),
								("Name"),
								("IsActive"),</v>
      </c>
      <c r="V13" s="8" t="str">
        <f ca="1">TEXTJOIN2("
",TRUE,INDIRECT( $V$2):INDIRECT($V$3))</f>
        <v xml:space="preserve">								_ =&gt; _.Code,
								_ =&gt; _.Name,
								_ =&gt; _.IsActive,</v>
      </c>
      <c r="W13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2" sqref="B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212</v>
      </c>
      <c r="B1" s="39" t="s">
        <v>439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MstCmmUom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Uom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uom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MstCmmUomDto, MstCmmUomServiceProxy } from '@shared/service-proxies/service-proxies';
import { finalize } from 'rxjs/internal/operators/finalize';
import { CreateOrEditUomModalComponent } from './create-or-edit-uom-modal.component';
import { DatePipe } from '@angular/common';
import { FileDownloadService } from '@shared/utils/file-download.service';
import ceil from 'lodash-es/ceil';
import { Paginator } from 'primeng/paginator';
@Component({
    templateUrl: './uom.component.html',
    styleUrls: ['./uom.component.less'],
})
export class UomComponent extends AppComponentBase implements OnInit {
    @ViewChild('createOrEditModalUom', { static: true }) createOrEditModalUom:| CreateOrEditUomModalComponent|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MstCmmUomDto = new MstCmmUomDto();
    saveSelectedRow: MstCmmUomDto = new MstCmmUomDto();
    datas: MstCmmUomDto = new MstCmmUomDto();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MstCmmUomServiceProxy,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MstCmmUomDto[] } }) {
        this.saveSelectedRow = params.api.getSelectedRows()[0] ?? new MstCmmUomDto();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MstCmmUomDto):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this._service.getUomToExcel(
			this.code,
			this.name,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Unit of Measure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(click)="createOrEditModalUom.show()"&gt;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(click)="createOrEditModalUom.show(selectedRow)"&gt;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&lt;create-or-edit-uom-modal
    #createOrEditModalUom
    (modalSave)="callBackDataGrid(dataParams)"
    (modalClose)="onChangeRowSelection(dataParams)"
&gt;
&lt;/create-or-edit-uom-modal&gt;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#createOrEditModalUom="bs-modal"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Uom')}}&lt;/h3&gt;
                    &lt;h3 *ngIf="!rowdata.id"&gt;{{('Create New Uom')}}&lt;/h3&gt;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CreateOrEditMstCmmUomDto, MstCmmUomServiceProxy } from '@shared/service-proxies/service-proxies';
import { BsDatepickerDirective } from 'ngx-bootstrap/datepicker';
@Component({
    selector: 'create-or-edit-uom-modal',
    templateUrl: './create-or-edit-uom-modal.component.html',
    styleUrls: ['./create-or-edit-uom-modal.component.less']
    })
export class CreateOrEditUomModalComponent extends AppComponentBase {
    @ViewChild('createOrEditModalUom',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CreateOrEditMstCmmUomDto = new CreateOrEditMstCmmUomDto();
    active: boolean = false;
    saving: boolean = false;
    _isActive: boolean;
    constructor(
        injector: Injector,
        private _mstwptUomService: MstCmmUomServiceProxy,
    ) 
    {
        super(injector);
    }
    show(rowdata?: CreateOrEditMstCmmUomDto): void {
        if (!rowdata) this.rowdata = new CreateOrEditMstCmmUomDto();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this._mstwptUomService.createOrEdit(this.rowdata)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UomRoutingModule } from './uom-routing.module';
import { UomComponent } from './uom.component';
import { CreateOrEditUomModalComponent } from './create-or-edit-uom-modal.component';
@NgModule({
    declarations: [
       UomComponent, 
        CreateOrEditUomModalComponent
    ],
    imports: [
        AppSharedModule, UomRoutingModule]
})
export class UomModule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UomComponent } from './uom.component';
const routes: Routes = [{
    path: '',
    component: UomComponent,
    pathMatch: 'full'
}];
@NgModule({
    imports: [RouterModule.forChild(routes)],
    exports: [RouterModule],
})
export class UomRoutingModule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AppMenuItem("Uom", "Pages.Master.Common.Uom", "flaticon-book",   "/app/main/master/common/uom"),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'master/common/uom',
    loadChildren: () =&gt; import('./master/common/uom/uom.module').then(m =&gt; m.UomModule),
    data: { permission: 'Pages.Master.Common.Uom' }
},</v>
      </c>
      <c r="R10" s="47" t="str">
        <f>SUBSTITUTE(R9,"MstWptCalendar",$B$6)</f>
        <v>ApiServiceProxies.MstCmmUomServiceProxy,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code : string = '' ; 
	name : string = '' ; 
	isActive : string = '' ; </v>
      </c>
      <c r="T13" s="63" t="str">
        <f ca="1">TEXTJOIN2("
",TRUE,INDIRECT(T11):INDIRECT(T12))</f>
        <v xml:space="preserve">			this.code,
			this.name,
			this.isActive,</v>
      </c>
      <c r="U13" s="63" t="str">
        <f ca="1">TEXTJOIN2("
",TRUE,INDIRECT(U11):INDIRECT(U12))</f>
        <v xml:space="preserve">		this.code = '',
		this.name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uom.component.ts</v>
      </c>
      <c r="I14" s="37" t="str">
        <f>B8&amp;".component.html"</f>
        <v>uom.component.html</v>
      </c>
      <c r="J14" s="36" t="str">
        <f>B8&amp;".component.less"</f>
        <v>uom.component.less</v>
      </c>
      <c r="K14" s="37" t="str">
        <f>"create-or-edit-"&amp;B8&amp;"-modal.component.html"</f>
        <v>create-or-edit-uom-modal.component.html</v>
      </c>
      <c r="L14" s="37" t="str">
        <f>"create-or-edit-"&amp;B8&amp;"-modal.component.ts"</f>
        <v>create-or-edit-uom-modal.component.ts</v>
      </c>
      <c r="M14" s="37" t="str">
        <f>"create-or-edit-"&amp;B8&amp;"-modal.component.less"</f>
        <v>create-or-edit-uom-modal.component.less</v>
      </c>
      <c r="N14" s="37" t="str">
        <f>B8&amp;".module.ts"</f>
        <v>uom.module.ts</v>
      </c>
      <c r="O14" s="37" t="str">
        <f>B8&amp;"-routing.module.ts"</f>
        <v>uom-routing.module.ts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353</v>
      </c>
      <c r="B15" s="28" t="str">
        <f t="shared" ref="B15:B16" si="0">SUBSTITUTE(PROPER(A15),"_","")</f>
        <v>Code</v>
      </c>
      <c r="C15" s="28" t="str">
        <f t="shared" ref="C15:C16" si="1">SUBSTITUTE(PROPER(A15),"_"," ")</f>
        <v>Code</v>
      </c>
      <c r="D15" s="28" t="str">
        <f t="shared" ref="D15:D16" si="2">LOWER(LEFT(B15,1))&amp;RIGHT(B15,LEN(B15) - 1)</f>
        <v>code</v>
      </c>
      <c r="E15" s="28" t="str">
        <f>A.Backend!H9</f>
        <v>string</v>
      </c>
      <c r="F15" s="28" t="str">
        <f>A.Backend!G9</f>
        <v>3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code : string = '' ; </v>
      </c>
      <c r="T15" s="28" t="str">
        <f>REPT(CHAR(9),3)&amp;"this."&amp;D15&amp;","</f>
        <v xml:space="preserve">			this.code,</v>
      </c>
      <c r="U15" s="28" t="str">
        <f>IF(E15="int",REPT(CHAR(9),2)&amp;"this."&amp;D15&amp;" = 0,",REPT(CHAR(9),2)&amp;"this."&amp;D15&amp;" = '',")</f>
        <v xml:space="preserve">		this.code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354</v>
      </c>
      <c r="B16" s="28" t="str">
        <f t="shared" si="0"/>
        <v>Name</v>
      </c>
      <c r="C16" s="28" t="str">
        <f t="shared" si="1"/>
        <v>Name</v>
      </c>
      <c r="D16" s="28" t="str">
        <f t="shared" si="2"/>
        <v>name</v>
      </c>
      <c r="E16" s="28" t="str">
        <f>A.Backend!H10</f>
        <v>string</v>
      </c>
      <c r="F16" s="28" t="str">
        <f>A.Backend!G10</f>
        <v>30</v>
      </c>
      <c r="G16" s="28" t="str">
        <f t="shared" si="3"/>
        <v xml:space="preserve"> : string = '' ; </v>
      </c>
      <c r="H16" s="35" t="str">
        <f t="shared" si="4"/>
        <v xml:space="preserve">			{headerName: this.l('Name'),headerTooltip: this.l('Name'),field: 'name',flex: 1},</v>
      </c>
      <c r="I16" s="35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name : string = '' ; </v>
      </c>
      <c r="T16" s="28" t="str">
        <f t="shared" ref="T16" si="10">REPT(CHAR(9),3)&amp;"this."&amp;D16&amp;","</f>
        <v xml:space="preserve">			this.name,</v>
      </c>
      <c r="U16" s="28" t="str">
        <f t="shared" ref="U16" si="11">IF(E16="int",REPT(CHAR(9),2)&amp;"this."&amp;D16&amp;" = 0,",REPT(CHAR(9),2)&amp;"this."&amp;D16&amp;" = '',")</f>
        <v xml:space="preserve">		this.name = '',</v>
      </c>
      <c r="V16" s="28" t="str">
        <f t="shared" si="8"/>
        <v/>
      </c>
    </row>
    <row r="17" spans="1:22" ht="18" customHeight="1" x14ac:dyDescent="0.25">
      <c r="A17" s="28" t="s">
        <v>324</v>
      </c>
      <c r="B17" s="28" t="str">
        <f t="shared" ref="B17" si="12">SUBSTITUTE(PROPER(A17),"_","")</f>
        <v>IsActive</v>
      </c>
      <c r="C17" s="28" t="str">
        <f t="shared" ref="C17" si="13">SUBSTITUTE(PROPER(A17),"_"," ")</f>
        <v>Is Active</v>
      </c>
      <c r="D17" s="28" t="str">
        <f t="shared" ref="D17" si="14">LOWER(LEFT(B17,1))&amp;RIGHT(B17,LEN(B17) - 1)</f>
        <v>isActive</v>
      </c>
      <c r="E17" s="28" t="str">
        <f>A.Backend!H11</f>
        <v>string</v>
      </c>
      <c r="F17" s="28" t="str">
        <f>A.Backend!G11</f>
        <v>1</v>
      </c>
      <c r="G17" s="28" t="str">
        <f t="shared" ref="G17" si="15">IF(E17="string"," : string = '' ; ",IF(OR(E17="DateTime",E17="TimeSpan")," : any ;",IF(E17="int"," : number = 0 ;","")))</f>
        <v xml:space="preserve"> : string = '' ; </v>
      </c>
      <c r="H17" s="35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5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28"/>
      <c r="K17" s="35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56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" si="20">REPT(CHAR(9),1)&amp;D17&amp;G17</f>
        <v xml:space="preserve">	isActive : string = '' ; </v>
      </c>
      <c r="T17" s="28" t="str">
        <f t="shared" ref="T17" si="21">REPT(CHAR(9),3)&amp;"this."&amp;D17&amp;","</f>
        <v xml:space="preserve">			this.isActive,</v>
      </c>
      <c r="U17" s="28" t="str">
        <f t="shared" ref="U17" si="22">IF(E17="int",REPT(CHAR(9),2)&amp;"this."&amp;D17&amp;" = 0,",REPT(CHAR(9),2)&amp;"this."&amp;D17&amp;" = '',")</f>
        <v xml:space="preserve">		this.isActive = '',</v>
      </c>
      <c r="V17" s="28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1"/>
  <sheetViews>
    <sheetView tabSelected="1" workbookViewId="0">
      <selection activeCell="A7" sqref="A7:E7"/>
    </sheetView>
  </sheetViews>
  <sheetFormatPr defaultRowHeight="15" x14ac:dyDescent="0.25"/>
  <cols>
    <col min="1" max="15" width="4.140625" customWidth="1"/>
  </cols>
  <sheetData>
    <row r="1" spans="1:15" ht="16.5" x14ac:dyDescent="0.25">
      <c r="A1" s="86" t="s">
        <v>436</v>
      </c>
      <c r="B1" s="87"/>
      <c r="C1" s="87"/>
      <c r="D1" s="87"/>
      <c r="E1" s="87"/>
      <c r="F1" s="87" t="s">
        <v>357</v>
      </c>
      <c r="G1" s="87"/>
      <c r="H1" s="87"/>
      <c r="I1" s="87"/>
      <c r="J1" s="87"/>
      <c r="K1" s="87"/>
      <c r="L1" s="87"/>
      <c r="M1" s="87"/>
      <c r="N1" s="87"/>
      <c r="O1" s="87"/>
    </row>
    <row r="2" spans="1:15" ht="16.5" x14ac:dyDescent="0.25">
      <c r="A2" s="75" t="s">
        <v>358</v>
      </c>
      <c r="B2" s="76"/>
      <c r="C2" s="76"/>
      <c r="D2" s="76"/>
      <c r="E2" s="77"/>
      <c r="F2" s="78" t="s">
        <v>359</v>
      </c>
      <c r="G2" s="79"/>
      <c r="H2" s="79"/>
      <c r="I2" s="79"/>
      <c r="J2" s="79"/>
      <c r="K2" s="79"/>
      <c r="L2" s="79"/>
      <c r="M2" s="79"/>
      <c r="N2" s="79"/>
      <c r="O2" s="79"/>
    </row>
    <row r="3" spans="1:15" ht="16.5" x14ac:dyDescent="0.25">
      <c r="A3" s="75" t="s">
        <v>360</v>
      </c>
      <c r="B3" s="76"/>
      <c r="C3" s="76"/>
      <c r="D3" s="76"/>
      <c r="E3" s="77"/>
      <c r="F3" s="78" t="s">
        <v>361</v>
      </c>
      <c r="G3" s="79"/>
      <c r="H3" s="79"/>
      <c r="I3" s="79"/>
      <c r="J3" s="79"/>
      <c r="K3" s="79"/>
      <c r="L3" s="79"/>
      <c r="M3" s="79"/>
      <c r="N3" s="79"/>
      <c r="O3" s="79"/>
    </row>
    <row r="4" spans="1:15" ht="16.5" x14ac:dyDescent="0.25">
      <c r="A4" s="75" t="s">
        <v>362</v>
      </c>
      <c r="B4" s="76"/>
      <c r="C4" s="76"/>
      <c r="D4" s="76"/>
      <c r="E4" s="77"/>
      <c r="F4" s="78" t="s">
        <v>363</v>
      </c>
      <c r="G4" s="79"/>
      <c r="H4" s="79"/>
      <c r="I4" s="79"/>
      <c r="J4" s="79"/>
      <c r="K4" s="79"/>
      <c r="L4" s="79"/>
      <c r="M4" s="79"/>
      <c r="N4" s="79"/>
      <c r="O4" s="79"/>
    </row>
    <row r="5" spans="1:15" ht="16.5" x14ac:dyDescent="0.25">
      <c r="A5" s="75" t="s">
        <v>364</v>
      </c>
      <c r="B5" s="76"/>
      <c r="C5" s="76"/>
      <c r="D5" s="76"/>
      <c r="E5" s="77"/>
      <c r="F5" s="78" t="s">
        <v>365</v>
      </c>
      <c r="G5" s="79"/>
      <c r="H5" s="79"/>
      <c r="I5" s="79"/>
      <c r="J5" s="79"/>
      <c r="K5" s="79"/>
      <c r="L5" s="79"/>
      <c r="M5" s="79"/>
      <c r="N5" s="79"/>
      <c r="O5" s="79"/>
    </row>
    <row r="6" spans="1:15" ht="16.5" x14ac:dyDescent="0.25">
      <c r="A6" s="75" t="s">
        <v>366</v>
      </c>
      <c r="B6" s="76"/>
      <c r="C6" s="76"/>
      <c r="D6" s="76"/>
      <c r="E6" s="77"/>
      <c r="F6" s="78" t="s">
        <v>367</v>
      </c>
      <c r="G6" s="79"/>
      <c r="H6" s="79"/>
      <c r="I6" s="79"/>
      <c r="J6" s="79"/>
      <c r="K6" s="79"/>
      <c r="L6" s="79"/>
      <c r="M6" s="79"/>
      <c r="N6" s="79"/>
      <c r="O6" s="79"/>
    </row>
    <row r="7" spans="1:15" ht="16.5" x14ac:dyDescent="0.25">
      <c r="A7" s="75" t="s">
        <v>368</v>
      </c>
      <c r="B7" s="76"/>
      <c r="C7" s="76"/>
      <c r="D7" s="76"/>
      <c r="E7" s="77"/>
      <c r="F7" s="78" t="s">
        <v>369</v>
      </c>
      <c r="G7" s="79"/>
      <c r="H7" s="79"/>
      <c r="I7" s="79"/>
      <c r="J7" s="79"/>
      <c r="K7" s="79"/>
      <c r="L7" s="79"/>
      <c r="M7" s="79"/>
      <c r="N7" s="79"/>
      <c r="O7" s="79"/>
    </row>
    <row r="8" spans="1:15" ht="16.5" x14ac:dyDescent="0.25">
      <c r="A8" s="75" t="s">
        <v>370</v>
      </c>
      <c r="B8" s="76"/>
      <c r="C8" s="76"/>
      <c r="D8" s="76"/>
      <c r="E8" s="77"/>
      <c r="F8" s="78" t="s">
        <v>371</v>
      </c>
      <c r="G8" s="79"/>
      <c r="H8" s="79"/>
      <c r="I8" s="79"/>
      <c r="J8" s="79"/>
      <c r="K8" s="79"/>
      <c r="L8" s="79"/>
      <c r="M8" s="79"/>
      <c r="N8" s="79"/>
      <c r="O8" s="79"/>
    </row>
    <row r="9" spans="1:15" ht="16.5" x14ac:dyDescent="0.25">
      <c r="A9" s="75" t="s">
        <v>372</v>
      </c>
      <c r="B9" s="76"/>
      <c r="C9" s="76"/>
      <c r="D9" s="76"/>
      <c r="E9" s="77"/>
      <c r="F9" s="78" t="s">
        <v>373</v>
      </c>
      <c r="G9" s="79"/>
      <c r="H9" s="79"/>
      <c r="I9" s="79"/>
      <c r="J9" s="79"/>
      <c r="K9" s="79"/>
      <c r="L9" s="79"/>
      <c r="M9" s="79"/>
      <c r="N9" s="79"/>
      <c r="O9" s="79"/>
    </row>
    <row r="10" spans="1:15" ht="16.5" x14ac:dyDescent="0.25">
      <c r="A10" s="75" t="s">
        <v>374</v>
      </c>
      <c r="B10" s="76"/>
      <c r="C10" s="76"/>
      <c r="D10" s="76"/>
      <c r="E10" s="77"/>
      <c r="F10" s="78" t="s">
        <v>375</v>
      </c>
      <c r="G10" s="79"/>
      <c r="H10" s="79"/>
      <c r="I10" s="79"/>
      <c r="J10" s="79"/>
      <c r="K10" s="79"/>
      <c r="L10" s="79"/>
      <c r="M10" s="79"/>
      <c r="N10" s="79"/>
      <c r="O10" s="79"/>
    </row>
    <row r="11" spans="1:15" ht="16.5" x14ac:dyDescent="0.25">
      <c r="A11" s="75" t="s">
        <v>376</v>
      </c>
      <c r="B11" s="76"/>
      <c r="C11" s="76"/>
      <c r="D11" s="76"/>
      <c r="E11" s="77"/>
      <c r="F11" s="78" t="s">
        <v>377</v>
      </c>
      <c r="G11" s="79"/>
      <c r="H11" s="79"/>
      <c r="I11" s="79"/>
      <c r="J11" s="79"/>
      <c r="K11" s="79"/>
      <c r="L11" s="79"/>
      <c r="M11" s="79"/>
      <c r="N11" s="79"/>
      <c r="O11" s="79"/>
    </row>
    <row r="12" spans="1:15" ht="16.5" x14ac:dyDescent="0.25">
      <c r="A12" s="75" t="s">
        <v>378</v>
      </c>
      <c r="B12" s="76"/>
      <c r="C12" s="76"/>
      <c r="D12" s="76"/>
      <c r="E12" s="77"/>
      <c r="F12" s="78" t="s">
        <v>379</v>
      </c>
      <c r="G12" s="79"/>
      <c r="H12" s="79"/>
      <c r="I12" s="79"/>
      <c r="J12" s="79"/>
      <c r="K12" s="79"/>
      <c r="L12" s="79"/>
      <c r="M12" s="79"/>
      <c r="N12" s="79"/>
      <c r="O12" s="79"/>
    </row>
    <row r="13" spans="1:15" ht="16.5" x14ac:dyDescent="0.25">
      <c r="A13" s="75" t="s">
        <v>380</v>
      </c>
      <c r="B13" s="76"/>
      <c r="C13" s="76"/>
      <c r="D13" s="76"/>
      <c r="E13" s="77"/>
      <c r="F13" s="78" t="s">
        <v>381</v>
      </c>
      <c r="G13" s="79"/>
      <c r="H13" s="79"/>
      <c r="I13" s="79"/>
      <c r="J13" s="79"/>
      <c r="K13" s="79"/>
      <c r="L13" s="79"/>
      <c r="M13" s="79"/>
      <c r="N13" s="79"/>
      <c r="O13" s="79"/>
    </row>
    <row r="14" spans="1:15" ht="16.5" x14ac:dyDescent="0.25">
      <c r="A14" s="75" t="s">
        <v>382</v>
      </c>
      <c r="B14" s="76"/>
      <c r="C14" s="76"/>
      <c r="D14" s="76"/>
      <c r="E14" s="77"/>
      <c r="F14" s="78" t="s">
        <v>383</v>
      </c>
      <c r="G14" s="79"/>
      <c r="H14" s="79"/>
      <c r="I14" s="79"/>
      <c r="J14" s="79"/>
      <c r="K14" s="79"/>
      <c r="L14" s="79"/>
      <c r="M14" s="79"/>
      <c r="N14" s="79"/>
      <c r="O14" s="79"/>
    </row>
    <row r="15" spans="1:15" ht="16.5" x14ac:dyDescent="0.25">
      <c r="A15" s="75" t="s">
        <v>384</v>
      </c>
      <c r="B15" s="76"/>
      <c r="C15" s="76"/>
      <c r="D15" s="76"/>
      <c r="E15" s="77"/>
      <c r="F15" s="78" t="s">
        <v>385</v>
      </c>
      <c r="G15" s="79"/>
      <c r="H15" s="79"/>
      <c r="I15" s="79"/>
      <c r="J15" s="79"/>
      <c r="K15" s="79"/>
      <c r="L15" s="79"/>
      <c r="M15" s="79"/>
      <c r="N15" s="79"/>
      <c r="O15" s="79"/>
    </row>
    <row r="16" spans="1:15" ht="16.5" x14ac:dyDescent="0.25">
      <c r="A16" s="75" t="s">
        <v>386</v>
      </c>
      <c r="B16" s="76"/>
      <c r="C16" s="76"/>
      <c r="D16" s="76"/>
      <c r="E16" s="77"/>
      <c r="F16" s="78" t="s">
        <v>387</v>
      </c>
      <c r="G16" s="79"/>
      <c r="H16" s="79"/>
      <c r="I16" s="79"/>
      <c r="J16" s="79"/>
      <c r="K16" s="79"/>
      <c r="L16" s="79"/>
      <c r="M16" s="79"/>
      <c r="N16" s="79"/>
      <c r="O16" s="79"/>
    </row>
    <row r="17" spans="1:15" ht="16.5" x14ac:dyDescent="0.25">
      <c r="A17" s="75" t="s">
        <v>388</v>
      </c>
      <c r="B17" s="76"/>
      <c r="C17" s="76"/>
      <c r="D17" s="76"/>
      <c r="E17" s="77"/>
      <c r="F17" s="78" t="s">
        <v>389</v>
      </c>
      <c r="G17" s="79"/>
      <c r="H17" s="79"/>
      <c r="I17" s="79"/>
      <c r="J17" s="79"/>
      <c r="K17" s="79"/>
      <c r="L17" s="79"/>
      <c r="M17" s="79"/>
      <c r="N17" s="79"/>
      <c r="O17" s="79"/>
    </row>
    <row r="18" spans="1:15" ht="16.5" x14ac:dyDescent="0.25">
      <c r="A18" s="75" t="s">
        <v>390</v>
      </c>
      <c r="B18" s="76"/>
      <c r="C18" s="76"/>
      <c r="D18" s="76"/>
      <c r="E18" s="77"/>
      <c r="F18" s="78" t="s">
        <v>391</v>
      </c>
      <c r="G18" s="79"/>
      <c r="H18" s="79"/>
      <c r="I18" s="79"/>
      <c r="J18" s="79"/>
      <c r="K18" s="79"/>
      <c r="L18" s="79"/>
      <c r="M18" s="79"/>
      <c r="N18" s="79"/>
      <c r="O18" s="79"/>
    </row>
    <row r="19" spans="1:15" ht="16.5" x14ac:dyDescent="0.25">
      <c r="A19" s="75" t="s">
        <v>392</v>
      </c>
      <c r="B19" s="76"/>
      <c r="C19" s="76"/>
      <c r="D19" s="76"/>
      <c r="E19" s="77"/>
      <c r="F19" s="78" t="s">
        <v>393</v>
      </c>
      <c r="G19" s="79"/>
      <c r="H19" s="79"/>
      <c r="I19" s="79"/>
      <c r="J19" s="79"/>
      <c r="K19" s="79"/>
      <c r="L19" s="79"/>
      <c r="M19" s="79"/>
      <c r="N19" s="79"/>
      <c r="O19" s="79"/>
    </row>
    <row r="20" spans="1:15" ht="16.5" x14ac:dyDescent="0.25">
      <c r="A20" s="75" t="s">
        <v>394</v>
      </c>
      <c r="B20" s="76"/>
      <c r="C20" s="76"/>
      <c r="D20" s="76"/>
      <c r="E20" s="77"/>
      <c r="F20" s="78" t="s">
        <v>395</v>
      </c>
      <c r="G20" s="79"/>
      <c r="H20" s="79"/>
      <c r="I20" s="79"/>
      <c r="J20" s="79"/>
      <c r="K20" s="79"/>
      <c r="L20" s="79"/>
      <c r="M20" s="79"/>
      <c r="N20" s="79"/>
      <c r="O20" s="79"/>
    </row>
    <row r="21" spans="1:15" ht="16.5" x14ac:dyDescent="0.3">
      <c r="A21" s="75" t="s">
        <v>396</v>
      </c>
      <c r="B21" s="76"/>
      <c r="C21" s="76"/>
      <c r="D21" s="76"/>
      <c r="E21" s="77"/>
      <c r="F21" s="78" t="s">
        <v>397</v>
      </c>
      <c r="G21" s="79"/>
      <c r="H21" s="79"/>
      <c r="I21" s="80"/>
      <c r="J21" s="80"/>
      <c r="K21" s="80"/>
      <c r="L21" s="80"/>
      <c r="M21" s="80"/>
      <c r="N21" s="80"/>
      <c r="O21" s="66"/>
    </row>
    <row r="22" spans="1:15" ht="16.5" x14ac:dyDescent="0.3">
      <c r="A22" s="75" t="s">
        <v>398</v>
      </c>
      <c r="B22" s="76"/>
      <c r="C22" s="76"/>
      <c r="D22" s="76"/>
      <c r="E22" s="77"/>
      <c r="F22" s="78" t="s">
        <v>399</v>
      </c>
      <c r="G22" s="79"/>
      <c r="H22" s="79"/>
      <c r="I22" s="80"/>
      <c r="J22" s="80"/>
      <c r="K22" s="80"/>
      <c r="L22" s="80"/>
      <c r="M22" s="80"/>
      <c r="N22" s="80"/>
      <c r="O22" s="66"/>
    </row>
    <row r="23" spans="1:15" ht="16.5" x14ac:dyDescent="0.3">
      <c r="A23" s="75" t="s">
        <v>400</v>
      </c>
      <c r="B23" s="76"/>
      <c r="C23" s="76"/>
      <c r="D23" s="76"/>
      <c r="E23" s="77"/>
      <c r="F23" s="78" t="s">
        <v>401</v>
      </c>
      <c r="G23" s="79"/>
      <c r="H23" s="79"/>
      <c r="I23" s="80"/>
      <c r="J23" s="80"/>
      <c r="K23" s="80"/>
      <c r="L23" s="80"/>
      <c r="M23" s="80"/>
      <c r="N23" s="80"/>
      <c r="O23" s="66"/>
    </row>
    <row r="24" spans="1:15" ht="16.5" x14ac:dyDescent="0.3">
      <c r="A24" s="75" t="s">
        <v>402</v>
      </c>
      <c r="B24" s="76"/>
      <c r="C24" s="76"/>
      <c r="D24" s="76"/>
      <c r="E24" s="77"/>
      <c r="F24" s="78" t="s">
        <v>403</v>
      </c>
      <c r="G24" s="79"/>
      <c r="H24" s="79"/>
      <c r="I24" s="80"/>
      <c r="J24" s="80"/>
      <c r="K24" s="80"/>
      <c r="L24" s="80"/>
      <c r="M24" s="80"/>
      <c r="N24" s="80"/>
      <c r="O24" s="66"/>
    </row>
    <row r="25" spans="1:15" ht="16.5" x14ac:dyDescent="0.25">
      <c r="A25" s="75" t="s">
        <v>404</v>
      </c>
      <c r="B25" s="76"/>
      <c r="C25" s="76"/>
      <c r="D25" s="76"/>
      <c r="E25" s="77"/>
      <c r="F25" s="78" t="s">
        <v>405</v>
      </c>
      <c r="G25" s="79"/>
      <c r="H25" s="79"/>
      <c r="I25" s="79"/>
      <c r="J25" s="79"/>
      <c r="K25" s="79"/>
      <c r="L25" s="79"/>
      <c r="M25" s="79"/>
      <c r="N25" s="79"/>
      <c r="O25" s="79"/>
    </row>
    <row r="26" spans="1:15" ht="16.5" x14ac:dyDescent="0.3">
      <c r="A26" s="75" t="s">
        <v>406</v>
      </c>
      <c r="B26" s="76"/>
      <c r="C26" s="76"/>
      <c r="D26" s="76"/>
      <c r="E26" s="77"/>
      <c r="F26" s="78" t="s">
        <v>407</v>
      </c>
      <c r="G26" s="79"/>
      <c r="H26" s="79"/>
      <c r="I26" s="80"/>
      <c r="J26" s="80"/>
      <c r="K26" s="80"/>
      <c r="L26" s="80"/>
      <c r="M26" s="80"/>
      <c r="N26" s="80"/>
      <c r="O26" s="66"/>
    </row>
    <row r="27" spans="1:15" ht="16.5" x14ac:dyDescent="0.25">
      <c r="A27" s="75" t="s">
        <v>408</v>
      </c>
      <c r="B27" s="76"/>
      <c r="C27" s="76"/>
      <c r="D27" s="76"/>
      <c r="E27" s="77"/>
      <c r="F27" s="78" t="s">
        <v>409</v>
      </c>
      <c r="G27" s="79"/>
      <c r="H27" s="79"/>
      <c r="I27" s="79"/>
      <c r="J27" s="79"/>
      <c r="K27" s="79"/>
      <c r="L27" s="79"/>
      <c r="M27" s="79"/>
      <c r="N27" s="79"/>
      <c r="O27" s="79"/>
    </row>
    <row r="28" spans="1:15" ht="16.5" x14ac:dyDescent="0.25">
      <c r="A28" s="75" t="s">
        <v>410</v>
      </c>
      <c r="B28" s="76"/>
      <c r="C28" s="76"/>
      <c r="D28" s="76"/>
      <c r="E28" s="77"/>
      <c r="F28" s="78" t="s">
        <v>411</v>
      </c>
      <c r="G28" s="79"/>
      <c r="H28" s="79"/>
      <c r="I28" s="79"/>
      <c r="J28" s="79"/>
      <c r="K28" s="79"/>
      <c r="L28" s="79"/>
      <c r="M28" s="79"/>
      <c r="N28" s="79"/>
      <c r="O28" s="79"/>
    </row>
    <row r="29" spans="1:15" ht="16.5" x14ac:dyDescent="0.25">
      <c r="A29" s="75" t="s">
        <v>412</v>
      </c>
      <c r="B29" s="76"/>
      <c r="C29" s="76"/>
      <c r="D29" s="76"/>
      <c r="E29" s="77"/>
      <c r="F29" s="78" t="s">
        <v>413</v>
      </c>
      <c r="G29" s="79"/>
      <c r="H29" s="79"/>
      <c r="I29" s="79"/>
      <c r="J29" s="79"/>
      <c r="K29" s="79"/>
      <c r="L29" s="79"/>
      <c r="M29" s="79"/>
      <c r="N29" s="79"/>
      <c r="O29" s="79"/>
    </row>
    <row r="30" spans="1:15" ht="16.5" x14ac:dyDescent="0.3">
      <c r="A30" s="75" t="s">
        <v>414</v>
      </c>
      <c r="B30" s="76"/>
      <c r="C30" s="76"/>
      <c r="D30" s="76"/>
      <c r="E30" s="77"/>
      <c r="F30" s="78" t="s">
        <v>415</v>
      </c>
      <c r="G30" s="79"/>
      <c r="H30" s="79"/>
      <c r="I30" s="80"/>
      <c r="J30" s="80"/>
      <c r="K30" s="80"/>
      <c r="L30" s="80"/>
      <c r="M30" s="80"/>
      <c r="N30" s="80"/>
      <c r="O30" s="66"/>
    </row>
    <row r="31" spans="1:15" ht="16.5" x14ac:dyDescent="0.3">
      <c r="A31" s="75" t="s">
        <v>416</v>
      </c>
      <c r="B31" s="76"/>
      <c r="C31" s="76"/>
      <c r="D31" s="76"/>
      <c r="E31" s="77"/>
      <c r="F31" s="78" t="s">
        <v>417</v>
      </c>
      <c r="G31" s="79"/>
      <c r="H31" s="79"/>
      <c r="I31" s="80"/>
      <c r="J31" s="80"/>
      <c r="K31" s="80"/>
      <c r="L31" s="80"/>
      <c r="M31" s="80"/>
      <c r="N31" s="80"/>
      <c r="O31" s="66"/>
    </row>
    <row r="32" spans="1:15" ht="16.5" x14ac:dyDescent="0.25">
      <c r="A32" s="81" t="s">
        <v>418</v>
      </c>
      <c r="B32" s="82"/>
      <c r="C32" s="82"/>
      <c r="D32" s="82"/>
      <c r="E32" s="83"/>
      <c r="F32" s="84" t="s">
        <v>419</v>
      </c>
      <c r="G32" s="85"/>
      <c r="H32" s="85"/>
      <c r="I32" s="85"/>
      <c r="J32" s="85"/>
      <c r="K32" s="85"/>
      <c r="L32" s="85"/>
      <c r="M32" s="85"/>
      <c r="N32" s="85"/>
      <c r="O32" s="85"/>
    </row>
    <row r="33" spans="1:15" ht="16.5" x14ac:dyDescent="0.25">
      <c r="A33" s="69" t="s">
        <v>420</v>
      </c>
      <c r="B33" s="70"/>
      <c r="C33" s="70"/>
      <c r="D33" s="70"/>
      <c r="E33" s="71"/>
      <c r="F33" s="72" t="s">
        <v>421</v>
      </c>
      <c r="G33" s="73"/>
      <c r="H33" s="73"/>
      <c r="I33" s="73"/>
      <c r="J33" s="73"/>
      <c r="K33" s="73"/>
      <c r="L33" s="73"/>
      <c r="M33" s="73"/>
      <c r="N33" s="73"/>
      <c r="O33" s="74"/>
    </row>
    <row r="34" spans="1:15" ht="16.5" x14ac:dyDescent="0.25">
      <c r="A34" s="69" t="s">
        <v>422</v>
      </c>
      <c r="B34" s="70"/>
      <c r="C34" s="70"/>
      <c r="D34" s="70"/>
      <c r="E34" s="71"/>
      <c r="F34" s="72" t="s">
        <v>423</v>
      </c>
      <c r="G34" s="73"/>
      <c r="H34" s="73"/>
      <c r="I34" s="73"/>
      <c r="J34" s="73"/>
      <c r="K34" s="73"/>
      <c r="L34" s="73"/>
      <c r="M34" s="73"/>
      <c r="N34" s="73"/>
      <c r="O34" s="74"/>
    </row>
    <row r="35" spans="1:15" ht="16.5" x14ac:dyDescent="0.25">
      <c r="A35" s="69" t="s">
        <v>424</v>
      </c>
      <c r="B35" s="70"/>
      <c r="C35" s="70"/>
      <c r="D35" s="70"/>
      <c r="E35" s="71"/>
      <c r="F35" s="72" t="s">
        <v>425</v>
      </c>
      <c r="G35" s="73"/>
      <c r="H35" s="73"/>
      <c r="I35" s="73"/>
      <c r="J35" s="73"/>
      <c r="K35" s="73"/>
      <c r="L35" s="73"/>
      <c r="M35" s="73"/>
      <c r="N35" s="73"/>
      <c r="O35" s="74"/>
    </row>
    <row r="36" spans="1:15" ht="16.5" x14ac:dyDescent="0.25">
      <c r="A36" s="69" t="s">
        <v>418</v>
      </c>
      <c r="B36" s="70"/>
      <c r="C36" s="70"/>
      <c r="D36" s="70"/>
      <c r="E36" s="71"/>
      <c r="F36" s="72" t="s">
        <v>419</v>
      </c>
      <c r="G36" s="73"/>
      <c r="H36" s="73"/>
      <c r="I36" s="73"/>
      <c r="J36" s="73"/>
      <c r="K36" s="73"/>
      <c r="L36" s="73"/>
      <c r="M36" s="73"/>
      <c r="N36" s="73"/>
      <c r="O36" s="74"/>
    </row>
    <row r="37" spans="1:15" ht="16.5" x14ac:dyDescent="0.25">
      <c r="A37" s="69" t="s">
        <v>426</v>
      </c>
      <c r="B37" s="70"/>
      <c r="C37" s="70"/>
      <c r="D37" s="70"/>
      <c r="E37" s="71"/>
      <c r="F37" s="72" t="s">
        <v>427</v>
      </c>
      <c r="G37" s="73"/>
      <c r="H37" s="73"/>
      <c r="I37" s="73"/>
      <c r="J37" s="73"/>
      <c r="K37" s="73"/>
      <c r="L37" s="73"/>
      <c r="M37" s="73"/>
      <c r="N37" s="73"/>
      <c r="O37" s="74"/>
    </row>
    <row r="38" spans="1:15" ht="16.5" x14ac:dyDescent="0.25">
      <c r="A38" s="69" t="s">
        <v>428</v>
      </c>
      <c r="B38" s="70"/>
      <c r="C38" s="70"/>
      <c r="D38" s="70"/>
      <c r="E38" s="71"/>
      <c r="F38" s="72" t="s">
        <v>429</v>
      </c>
      <c r="G38" s="73"/>
      <c r="H38" s="73"/>
      <c r="I38" s="73"/>
      <c r="J38" s="73"/>
      <c r="K38" s="73"/>
      <c r="L38" s="73"/>
      <c r="M38" s="73"/>
      <c r="N38" s="73"/>
      <c r="O38" s="74"/>
    </row>
    <row r="39" spans="1:15" ht="16.5" x14ac:dyDescent="0.25">
      <c r="A39" s="69" t="s">
        <v>430</v>
      </c>
      <c r="B39" s="70"/>
      <c r="C39" s="70"/>
      <c r="D39" s="70"/>
      <c r="E39" s="71"/>
      <c r="F39" s="72" t="s">
        <v>431</v>
      </c>
      <c r="G39" s="73"/>
      <c r="H39" s="73"/>
      <c r="I39" s="73"/>
      <c r="J39" s="73"/>
      <c r="K39" s="73"/>
      <c r="L39" s="73"/>
      <c r="M39" s="73"/>
      <c r="N39" s="73"/>
      <c r="O39" s="74"/>
    </row>
    <row r="40" spans="1:15" ht="16.5" x14ac:dyDescent="0.25">
      <c r="A40" s="69" t="s">
        <v>432</v>
      </c>
      <c r="B40" s="70"/>
      <c r="C40" s="70"/>
      <c r="D40" s="70"/>
      <c r="E40" s="71"/>
      <c r="F40" s="72" t="s">
        <v>433</v>
      </c>
      <c r="G40" s="73"/>
      <c r="H40" s="73"/>
      <c r="I40" s="73"/>
      <c r="J40" s="73"/>
      <c r="K40" s="73"/>
      <c r="L40" s="73"/>
      <c r="M40" s="73"/>
      <c r="N40" s="73"/>
      <c r="O40" s="74"/>
    </row>
    <row r="41" spans="1:15" ht="16.5" x14ac:dyDescent="0.25">
      <c r="A41" s="69" t="s">
        <v>434</v>
      </c>
      <c r="B41" s="70"/>
      <c r="C41" s="70"/>
      <c r="D41" s="70"/>
      <c r="E41" s="71"/>
      <c r="F41" s="72" t="s">
        <v>435</v>
      </c>
      <c r="G41" s="73"/>
      <c r="H41" s="73"/>
      <c r="I41" s="73"/>
      <c r="J41" s="73"/>
      <c r="K41" s="73"/>
      <c r="L41" s="73"/>
      <c r="M41" s="73"/>
      <c r="N41" s="73"/>
      <c r="O41" s="74"/>
    </row>
  </sheetData>
  <mergeCells count="96">
    <mergeCell ref="A1:E1"/>
    <mergeCell ref="F1:O1"/>
    <mergeCell ref="A2:E2"/>
    <mergeCell ref="F2:O2"/>
    <mergeCell ref="A3:E3"/>
    <mergeCell ref="F3:O3"/>
    <mergeCell ref="A4:E4"/>
    <mergeCell ref="F4:O4"/>
    <mergeCell ref="A5:E5"/>
    <mergeCell ref="F5:O5"/>
    <mergeCell ref="A6:E6"/>
    <mergeCell ref="F6:O6"/>
    <mergeCell ref="A7:E7"/>
    <mergeCell ref="F7:O7"/>
    <mergeCell ref="A8:E8"/>
    <mergeCell ref="F8:O8"/>
    <mergeCell ref="A9:E9"/>
    <mergeCell ref="F9:O9"/>
    <mergeCell ref="A10:E10"/>
    <mergeCell ref="F10:O10"/>
    <mergeCell ref="A11:E11"/>
    <mergeCell ref="F11:O11"/>
    <mergeCell ref="A12:E12"/>
    <mergeCell ref="F12:O12"/>
    <mergeCell ref="A13:E13"/>
    <mergeCell ref="F13:O13"/>
    <mergeCell ref="A14:E14"/>
    <mergeCell ref="F14:O14"/>
    <mergeCell ref="A15:E15"/>
    <mergeCell ref="F15:O15"/>
    <mergeCell ref="A16:E16"/>
    <mergeCell ref="F16:O16"/>
    <mergeCell ref="A17:E17"/>
    <mergeCell ref="F17:O17"/>
    <mergeCell ref="A18:E18"/>
    <mergeCell ref="F18:O18"/>
    <mergeCell ref="A19:E19"/>
    <mergeCell ref="F19:O19"/>
    <mergeCell ref="A20:E20"/>
    <mergeCell ref="F20:O20"/>
    <mergeCell ref="A21:E21"/>
    <mergeCell ref="F21:H21"/>
    <mergeCell ref="I21:K21"/>
    <mergeCell ref="L21:N21"/>
    <mergeCell ref="A22:E22"/>
    <mergeCell ref="F22:H22"/>
    <mergeCell ref="I22:K22"/>
    <mergeCell ref="L22:N22"/>
    <mergeCell ref="A23:E23"/>
    <mergeCell ref="F23:H23"/>
    <mergeCell ref="I23:K23"/>
    <mergeCell ref="L23:N23"/>
    <mergeCell ref="A24:E24"/>
    <mergeCell ref="F24:H24"/>
    <mergeCell ref="I24:K24"/>
    <mergeCell ref="L24:N24"/>
    <mergeCell ref="A25:E25"/>
    <mergeCell ref="F25:O25"/>
    <mergeCell ref="A26:E26"/>
    <mergeCell ref="F26:H26"/>
    <mergeCell ref="I26:K26"/>
    <mergeCell ref="L26:N26"/>
    <mergeCell ref="A27:E27"/>
    <mergeCell ref="F27:O27"/>
    <mergeCell ref="A28:E28"/>
    <mergeCell ref="F28:O28"/>
    <mergeCell ref="A29:E29"/>
    <mergeCell ref="F29:O29"/>
    <mergeCell ref="A30:E30"/>
    <mergeCell ref="F30:H30"/>
    <mergeCell ref="I30:K30"/>
    <mergeCell ref="L30:N30"/>
    <mergeCell ref="A31:E31"/>
    <mergeCell ref="F31:H31"/>
    <mergeCell ref="I31:K31"/>
    <mergeCell ref="L31:N31"/>
    <mergeCell ref="A32:E32"/>
    <mergeCell ref="F32:O32"/>
    <mergeCell ref="A33:E33"/>
    <mergeCell ref="F33:O33"/>
    <mergeCell ref="A34:E34"/>
    <mergeCell ref="F34:O34"/>
    <mergeCell ref="A35:E35"/>
    <mergeCell ref="F35:O35"/>
    <mergeCell ref="A36:E36"/>
    <mergeCell ref="F36:O36"/>
    <mergeCell ref="A37:E37"/>
    <mergeCell ref="F37:O37"/>
    <mergeCell ref="A38:E38"/>
    <mergeCell ref="F38:O38"/>
    <mergeCell ref="A39:E39"/>
    <mergeCell ref="F39:O39"/>
    <mergeCell ref="A40:E40"/>
    <mergeCell ref="F40:O40"/>
    <mergeCell ref="A41:E41"/>
    <mergeCell ref="F41:O4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Data Type Mapping</vt:lpstr>
      <vt:lpstr>Directory Tree</vt:lpstr>
      <vt:lpstr>SampleData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2023-05-20T10:36:04Z</dcterms:modified>
</cp:coreProperties>
</file>
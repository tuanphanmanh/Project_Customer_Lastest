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F23" i="5"/>
  <c r="D19" i="5"/>
  <c r="T19" i="5" s="1"/>
  <c r="C19" i="5"/>
  <c r="B19" i="5"/>
  <c r="I18" i="5"/>
  <c r="C18" i="5"/>
  <c r="B18" i="5"/>
  <c r="D18" i="5" s="1"/>
  <c r="H21" i="5"/>
  <c r="C21" i="5"/>
  <c r="B21" i="5"/>
  <c r="D21" i="5" s="1"/>
  <c r="T21" i="5" s="1"/>
  <c r="C20" i="5"/>
  <c r="B20" i="5"/>
  <c r="D20" i="5" s="1"/>
  <c r="V19" i="5" l="1"/>
  <c r="V21" i="5"/>
  <c r="H19" i="5"/>
  <c r="I20" i="5"/>
  <c r="T18" i="5"/>
  <c r="U18" i="5"/>
  <c r="K18" i="5"/>
  <c r="G18" i="5"/>
  <c r="S18" i="5" s="1"/>
  <c r="L18" i="5"/>
  <c r="V18" i="5"/>
  <c r="I19" i="5"/>
  <c r="H18" i="5"/>
  <c r="K19" i="5"/>
  <c r="U19" i="5"/>
  <c r="G19" i="5"/>
  <c r="S19" i="5" s="1"/>
  <c r="L19" i="5"/>
  <c r="T20" i="5"/>
  <c r="U20" i="5"/>
  <c r="K20" i="5"/>
  <c r="G20" i="5"/>
  <c r="S20" i="5" s="1"/>
  <c r="L20" i="5"/>
  <c r="V20" i="5"/>
  <c r="I21" i="5"/>
  <c r="H20" i="5"/>
  <c r="K21" i="5"/>
  <c r="U21" i="5"/>
  <c r="G21" i="5"/>
  <c r="S21" i="5" s="1"/>
  <c r="L21" i="5"/>
  <c r="L16" i="1"/>
  <c r="G16" i="1"/>
  <c r="E16" i="1"/>
  <c r="H16" i="1" s="1"/>
  <c r="D16" i="1"/>
  <c r="T16" i="1" s="1"/>
  <c r="L13" i="1"/>
  <c r="G13" i="1"/>
  <c r="E13" i="1"/>
  <c r="H13" i="1" s="1"/>
  <c r="D13" i="1"/>
  <c r="V13" i="1" s="1"/>
  <c r="L12" i="1"/>
  <c r="G12" i="1"/>
  <c r="E12" i="1"/>
  <c r="H12" i="1" s="1"/>
  <c r="M12" i="1" s="1"/>
  <c r="D12" i="1"/>
  <c r="T12" i="1" s="1"/>
  <c r="L11" i="1"/>
  <c r="G11" i="1"/>
  <c r="E11" i="1"/>
  <c r="H11" i="1" s="1"/>
  <c r="D11" i="1"/>
  <c r="V11" i="1" s="1"/>
  <c r="M16" i="1" l="1"/>
  <c r="W16" i="1"/>
  <c r="O16" i="1"/>
  <c r="J16" i="1"/>
  <c r="N16" i="1"/>
  <c r="I16" i="1"/>
  <c r="V16" i="1"/>
  <c r="P16" i="1"/>
  <c r="P11" i="1"/>
  <c r="W13" i="1"/>
  <c r="O13" i="1"/>
  <c r="J13" i="1"/>
  <c r="N13" i="1"/>
  <c r="I13" i="1"/>
  <c r="M13" i="1"/>
  <c r="N11" i="1"/>
  <c r="I11" i="1"/>
  <c r="W11" i="1"/>
  <c r="O11" i="1"/>
  <c r="J11" i="1"/>
  <c r="M11" i="1"/>
  <c r="I12" i="1"/>
  <c r="N12" i="1"/>
  <c r="V12" i="1"/>
  <c r="P13" i="1"/>
  <c r="T11" i="1"/>
  <c r="J12" i="1"/>
  <c r="O12" i="1"/>
  <c r="W12" i="1"/>
  <c r="T13" i="1"/>
  <c r="P12" i="1"/>
  <c r="C22" i="5"/>
  <c r="B22" i="5"/>
  <c r="D22" i="5" s="1"/>
  <c r="C17" i="5"/>
  <c r="B17" i="5"/>
  <c r="D17" i="5" s="1"/>
  <c r="L15" i="1"/>
  <c r="G15" i="1"/>
  <c r="E15" i="1"/>
  <c r="H15" i="1" s="1"/>
  <c r="D15" i="1"/>
  <c r="T15" i="1" s="1"/>
  <c r="L14" i="1"/>
  <c r="G14" i="1"/>
  <c r="E14" i="1"/>
  <c r="H14" i="1" s="1"/>
  <c r="L17" i="5" s="1"/>
  <c r="D14" i="1"/>
  <c r="V14" i="1" s="1"/>
  <c r="M15" i="1" l="1"/>
  <c r="U22" i="5"/>
  <c r="I17" i="5"/>
  <c r="G17" i="5"/>
  <c r="S17" i="5" s="1"/>
  <c r="T22" i="5"/>
  <c r="K22" i="5"/>
  <c r="H17" i="5"/>
  <c r="K17" i="5"/>
  <c r="T17" i="5"/>
  <c r="U17" i="5"/>
  <c r="V17" i="5"/>
  <c r="N15" i="1"/>
  <c r="V15" i="1"/>
  <c r="J15" i="1"/>
  <c r="O15" i="1"/>
  <c r="W15" i="1"/>
  <c r="I15" i="1"/>
  <c r="P15" i="1"/>
  <c r="W14" i="1"/>
  <c r="O14" i="1"/>
  <c r="J14" i="1"/>
  <c r="N14" i="1"/>
  <c r="M14" i="1"/>
  <c r="I14" i="1"/>
  <c r="P14" i="1"/>
  <c r="T14" i="1"/>
  <c r="B6" i="1"/>
  <c r="H22" i="5" l="1"/>
  <c r="V22" i="5"/>
  <c r="G22" i="5"/>
  <c r="S22" i="5" s="1"/>
  <c r="I22" i="5"/>
  <c r="L22" i="5"/>
  <c r="C16" i="5"/>
  <c r="B16" i="5"/>
  <c r="D16" i="5" s="1"/>
  <c r="C15" i="5"/>
  <c r="B15" i="5"/>
  <c r="D15" i="5" s="1"/>
  <c r="T15" i="5" s="1"/>
  <c r="T16" i="5" l="1"/>
  <c r="C23" i="5" l="1"/>
  <c r="B23" i="5"/>
  <c r="D23" i="5" s="1"/>
  <c r="G17" i="1"/>
  <c r="E17" i="1"/>
  <c r="H17" i="1" s="1"/>
  <c r="E23" i="5" s="1"/>
  <c r="D17" i="1"/>
  <c r="V17" i="1" s="1"/>
  <c r="V23" i="5" l="1"/>
  <c r="H23" i="5"/>
  <c r="T23" i="5"/>
  <c r="K23" i="5"/>
  <c r="W17" i="1"/>
  <c r="J17" i="1"/>
  <c r="I17" i="1"/>
  <c r="O17" i="1"/>
  <c r="N17" i="1"/>
  <c r="M17" i="1"/>
  <c r="P17" i="1"/>
  <c r="T17" i="1"/>
  <c r="G9" i="1"/>
  <c r="F15" i="5" s="1"/>
  <c r="E9" i="1"/>
  <c r="H9" i="1" s="1"/>
  <c r="E15" i="5" s="1"/>
  <c r="D9" i="1"/>
  <c r="V9" i="1" s="1"/>
  <c r="I23" i="5" l="1"/>
  <c r="G23" i="5"/>
  <c r="S23" i="5" s="1"/>
  <c r="U23" i="5"/>
  <c r="L23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9" i="1"/>
  <c r="T7" i="1" l="1"/>
  <c r="W19" i="1"/>
  <c r="G6" i="1" l="1"/>
  <c r="K13" i="5"/>
  <c r="I13" i="5"/>
  <c r="S13" i="5"/>
  <c r="U13" i="5"/>
  <c r="V13" i="5"/>
  <c r="H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s="1"/>
  <c r="L9" i="1" l="1"/>
  <c r="L10" i="1"/>
  <c r="C7" i="1"/>
  <c r="I19" i="1"/>
  <c r="P19" i="1"/>
  <c r="N19" i="1"/>
  <c r="J19" i="1"/>
  <c r="O19" i="1"/>
  <c r="Q7" i="1" l="1"/>
  <c r="M68" i="3" s="1"/>
  <c r="L7" i="1"/>
  <c r="G68" i="3" s="1"/>
  <c r="K68" i="3"/>
  <c r="J68" i="3"/>
  <c r="K19" i="1"/>
  <c r="M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<sst xmlns="http://schemas.openxmlformats.org/spreadsheetml/2006/main" count="507" uniqueCount="389">
  <si>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</si>
  <si>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</si>
  <si>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</si>
  <si>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</si>
  <si>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</si>
  <si>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</si>
  <si>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</si>
  <si>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</si>
  <si>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</si>
  <si>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</si>
  <si>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</si>
  <si>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</si>
  <si>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</si>
  <si>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</si>
  <si>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</si>
  <si>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</si>
  <si>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</si>
  <si>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</si>
  <si>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</si>
  <si>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</si>
  <si>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</si>
  <si>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</si>
  <si>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</si>
  <si>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</si>
  <si>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</si>
  <si>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</si>
  <si>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</si>
  <si>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</si>
  <si>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</si>
  <si>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</si>
  <si>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</si>
  <si>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</si>
  <si>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</si>
  <si>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</si>
  <si>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</si>
  <si>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</si>
  <si>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</si>
  <si>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</si>
  <si>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</si>
  <si>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</si>
  <si>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</si>
  <si>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</si>
  <si>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</si>
  <si>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</si>
  <si>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</si>
  <si>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</si>
  <si>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</si>
  <si>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</si>
  <si>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</si>
  <si>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</si>
  <si>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</si>
  <si>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</si>
  <si>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</si>
  <si>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</si>
  <si>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</si>
  <si>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</si>
  <si>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</si>
  <si>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</si>
  <si>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</si>
  <si>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</si>
  <si>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</si>
  <si>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</si>
  <si>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</si>
  <si>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</si>
  <si>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</si>
  <si>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</si>
  <si>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</si>
  <si>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</si>
  <si>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</si>
  <si>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</si>
  <si>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</si>
  <si>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</si>
  <si>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</si>
  <si>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</si>
  <si>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</si>
  <si>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</si>
  <si>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</si>
  <si>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</si>
  <si>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</si>
  <si>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</si>
  <si>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</si>
  <si>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</si>
  <si>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</si>
  <si>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</si>
  <si>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</si>
  <si>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</si>
  <si>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</si>
  <si>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</si>
  <si>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</si>
  <si>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</si>
  <si>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</si>
  <si>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</si>
  <si>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</si>
  <si>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</si>
  <si>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</si>
  <si>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</si>
  <si>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</si>
  <si>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</si>
  <si>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</si>
  <si>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</si>
  <si>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</si>
  <si>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</si>
  <si>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</si>
  <si>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</si>
  <si>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</si>
  <si>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</si>
  <si>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</si>
  <si>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</si>
  <si>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</si>
  <si>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</si>
  <si>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</si>
  <si>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</si>
  <si>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</si>
  <si>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</si>
  <si>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</si>
  <si>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</si>
  <si>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</si>
  <si>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</si>
  <si>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</si>
  <si>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</si>
  <si>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</si>
  <si>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</si>
  <si>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</si>
  <si>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</si>
  <si>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</si>
  <si>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</si>
  <si>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</si>
  <si>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</si>
  <si>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</si>
  <si>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</si>
  <si>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</si>
  <si>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</si>
  <si>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</si>
  <si>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</si>
  <si>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</si>
  <si>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</si>
  <si>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</si>
  <si>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</si>
  <si>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</si>
  <si>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</si>
  <si>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</si>
  <si>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</si>
  <si>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</si>
  <si>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</si>
  <si>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</si>
  <si>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</si>
  <si>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</si>
  <si>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</si>
  <si>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</si>
  <si>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</si>
  <si>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</si>
  <si>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</si>
  <si>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</si>
  <si>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</si>
  <si>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</si>
  <si>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</si>
  <si>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</si>
  <si>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</si>
  <si>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</si>
  <si>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</si>
  <si>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</si>
  <si>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</si>
  <si>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</si>
  <si>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</si>
  <si>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</si>
  <si>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</si>
  <si>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</si>
  <si>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</si>
  <si>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</si>
  <si>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</si>
  <si>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</si>
  <si>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</si>
  <si>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</si>
  <si>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</si>
  <si>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</si>
  <si>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</si>
  <si>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</si>
  <si>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</si>
  <si>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</si>
  <si>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</si>
  <si>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</si>
  <si>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</si>
  <si>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</si>
  <si>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</si>
  <si>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</si>
  <si>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</si>
  <si>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</si>
  <si>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</si>
  <si>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</si>
  <si>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</si>
  <si>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</si>
  <si>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</si>
  <si>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</si>
  <si>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</si>
  <si>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</si>
  <si>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</si>
  <si>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</si>
  <si>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</si>
  <si>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</si>
  <si>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</si>
  <si>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</si>
  <si>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</si>
  <si>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</si>
  <si>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</si>
  <si>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</si>
  <si>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</si>
  <si>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</si>
  <si>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</si>
  <si>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</si>
  <si>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</si>
  <si>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</si>
  <si>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</si>
  <si>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</si>
  <si>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</si>
  <si>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</si>
  <si>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</si>
  <si>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</si>
  <si>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</si>
  <si>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</si>
  <si>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</si>
  <si>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</si>
  <si>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</si>
  <si>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</si>
  <si>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</si>
  <si>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</si>
  <si>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</si>
  <si>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</si>
  <si>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</si>
  <si>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</si>
  <si>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</si>
  <si>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</si>
  <si>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</si>
  <si>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</si>
  <si>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</si>
  <si>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</si>
  <si>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</si>
  <si>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</si>
  <si>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</si>
  <si>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</si>
  <si>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</si>
  <si>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</si>
  <si>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</si>
  <si>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</si>
  <si>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</si>
  <si>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</si>
  <si>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</si>
  <si>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</si>
  <si>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</si>
  <si>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</si>
  <si>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</si>
  <si>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</si>
  <si>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</si>
  <si>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</si>
  <si>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</si>
  <si>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</si>
  <si>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</si>
  <si>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</si>
  <si>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</si>
  <si>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</si>
  <si>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</si>
  <si>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</si>
  <si>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</si>
  <si>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</si>
  <si>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</si>
  <si>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</si>
  <si>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</si>
  <si>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</si>
  <si>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</si>
  <si>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</si>
  <si>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</si>
  <si>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</si>
  <si>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</si>
  <si>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</si>
  <si>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</si>
  <si>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</si>
  <si>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</si>
  <si>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</si>
  <si>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</si>
  <si>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</si>
  <si>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</si>
  <si>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</si>
  <si>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</si>
  <si>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</si>
  <si>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</si>
  <si>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</si>
  <si>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</si>
  <si>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</si>
  <si>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</si>
  <si>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</si>
  <si>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</si>
  <si>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</si>
  <si>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</si>
  <si>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</si>
  <si>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</si>
  <si>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</si>
  <si>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</si>
  <si>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</si>
  <si>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</si>
  <si>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</si>
  <si>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</si>
  <si>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</si>
  <si>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</si>
  <si>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</si>
  <si>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</si>
  <si>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</si>
  <si>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</si>
  <si>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</si>
  <si>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</si>
  <si>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</si>
  <si>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</si>
  <si>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</si>
  <si>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</si>
  <si>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</si>
  <si>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</si>
  <si>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</si>
  <si>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</si>
  <si>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</si>
  <si>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</si>
  <si>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</si>
  <si>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</si>
  <si>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</si>
  <si>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</si>
  <si>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</si>
  <si>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</si>
  <si>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</si>
  <si>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</si>
  <si>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</si>
  <si>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</si>
  <si>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</si>
  <si>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</si>
  <si>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</si>
  <si>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</si>
  <si>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</si>
  <si>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</si>
  <si>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</si>
  <si>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</si>
  <si>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</si>
  <si>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</si>
  <si>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</si>
  <si>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</si>
  <si>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</si>
  <si>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</si>
  <si>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</si>
  <si>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</si>
  <si>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</si>
  <si>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</si>
  <si>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</si>
  <si>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</si>
  <si>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</si>
  <si>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</si>
  <si>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</si>
  <si>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</si>
  <si>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</si>
  <si>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PLANT_CODE</t>
  </si>
  <si>
    <t>PLANT_NAME</t>
  </si>
  <si>
    <t>nvarchar(4)</t>
  </si>
  <si>
    <t>nvarchar(30)</t>
  </si>
  <si>
    <t>ADDRESS_LANGUAGE_VN</t>
  </si>
  <si>
    <t>ADDRESS_LANGUAGE_EN</t>
  </si>
  <si>
    <t>nvarchar(200)</t>
  </si>
  <si>
    <t>STORAGE_LOCATION</t>
  </si>
  <si>
    <t>STORAGE_LOCATION_NAME</t>
  </si>
  <si>
    <t>CATEGORY</t>
  </si>
  <si>
    <t>nvarchar(50)</t>
  </si>
  <si>
    <t>MstCmmStorageLocation</t>
  </si>
  <si>
    <t>StorageLocation</t>
  </si>
  <si>
    <t>CATEGORY_ID</t>
  </si>
  <si>
    <t>Storage Location</t>
  </si>
  <si>
    <t>IHP</t>
  </si>
  <si>
    <t>Ihp</t>
  </si>
  <si>
    <t>InvIhp</t>
  </si>
  <si>
    <t>Plant</t>
  </si>
  <si>
    <t>Plant name</t>
  </si>
  <si>
    <t>Storage location (4)</t>
  </si>
  <si>
    <t>Storage Location name(16)</t>
  </si>
  <si>
    <t>Address</t>
  </si>
  <si>
    <t>Language</t>
  </si>
  <si>
    <t>Category</t>
  </si>
  <si>
    <t>TMV</t>
  </si>
  <si>
    <t>GWH (CKD part)</t>
  </si>
  <si>
    <t>EN</t>
  </si>
  <si>
    <t>Phuc Thang ward – Phuc Yen city – Vinh Phuc province – Viet Nam</t>
  </si>
  <si>
    <t>Raw Material</t>
  </si>
  <si>
    <t>VN</t>
  </si>
  <si>
    <t>Phường Phúc Thắng – Thành phố Phúc Yên – Tỉnh Vĩnh Phúc – Việt Nam</t>
  </si>
  <si>
    <t>ACC for CBU</t>
  </si>
  <si>
    <t>Production Area</t>
  </si>
  <si>
    <t>Vehicle Yard</t>
  </si>
  <si>
    <t>Finished Goods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</si>
</sst>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FFFFFF"/>
        <bgColor rgb="FF000000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15" borderId="10" xfId="0" applyFont="1" applyFill="1" applyBorder="1" applyAlignment="1">
      <alignment vertical="center"/>
    </xf>
    <xf numFmtId="0" fontId="19" fillId="14" borderId="5" xfId="0" applyFont="1" applyFill="1" applyBorder="1" applyAlignment="1">
      <alignment horizontal="center" vertical="center"/>
    </xf>
    <xf numFmtId="0" fontId="19" fillId="14" borderId="11" xfId="0" applyFont="1" applyFill="1" applyBorder="1" applyAlignment="1">
      <alignment horizontal="center" vertical="center"/>
    </xf>
    <xf numFmtId="0" fontId="19" fillId="14" borderId="12" xfId="0" applyFont="1" applyFill="1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/>
    </xf>
    <xf numFmtId="0" fontId="19" fillId="14" borderId="6" xfId="0" applyFont="1" applyFill="1" applyBorder="1" applyAlignment="1">
      <alignment horizontal="center" vertical="center"/>
    </xf>
    <xf numFmtId="0" fontId="19" fillId="14" borderId="7" xfId="0" applyFont="1" applyFill="1" applyBorder="1" applyAlignment="1">
      <alignment horizontal="center" vertical="center"/>
    </xf>
    <xf numFmtId="0" fontId="19" fillId="14" borderId="14" xfId="0" applyFont="1" applyFill="1" applyBorder="1" applyAlignment="1">
      <alignment horizontal="center" vertical="center"/>
    </xf>
    <xf numFmtId="0" fontId="19" fillId="14" borderId="2" xfId="0" applyFont="1" applyFill="1" applyBorder="1" applyAlignment="1">
      <alignment horizontal="center" vertical="center"/>
    </xf>
    <xf numFmtId="0" fontId="19" fillId="14" borderId="0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top" wrapText="1"/>
    </xf>
    <xf numFmtId="0" fontId="19" fillId="14" borderId="11" xfId="0" applyFont="1" applyFill="1" applyBorder="1" applyAlignment="1">
      <alignment horizontal="center" vertical="top" wrapText="1"/>
    </xf>
    <xf numFmtId="0" fontId="19" fillId="14" borderId="2" xfId="0" applyFont="1" applyFill="1" applyBorder="1" applyAlignment="1">
      <alignment horizontal="center" vertical="top" wrapText="1"/>
    </xf>
    <xf numFmtId="0" fontId="19" fillId="14" borderId="13" xfId="0" applyFont="1" applyFill="1" applyBorder="1" applyAlignment="1">
      <alignment horizontal="center" vertical="top" wrapText="1"/>
    </xf>
    <xf numFmtId="0" fontId="19" fillId="14" borderId="6" xfId="0" applyFont="1" applyFill="1" applyBorder="1" applyAlignment="1">
      <alignment horizontal="center" vertical="center" wrapText="1"/>
    </xf>
    <xf numFmtId="0" fontId="19" fillId="14" borderId="7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2" xfId="0" applyFont="1" applyFill="1" applyBorder="1" applyAlignment="1">
      <alignment horizontal="center" vertical="center" wrapText="1"/>
    </xf>
    <xf numFmtId="0" fontId="19" fillId="14" borderId="13" xfId="0" applyFont="1" applyFill="1" applyBorder="1" applyAlignment="1">
      <alignment horizontal="center" vertical="center" wrapText="1"/>
    </xf>
    <xf numFmtId="0" fontId="20" fillId="15" borderId="6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20" fillId="15" borderId="12" xfId="0" applyFont="1" applyFill="1" applyBorder="1" applyAlignment="1">
      <alignment horizontal="center" vertical="center"/>
    </xf>
    <xf numFmtId="0" fontId="20" fillId="15" borderId="13" xfId="0" applyFont="1" applyFill="1" applyBorder="1" applyAlignment="1">
      <alignment horizontal="center" vertical="center"/>
    </xf>
    <xf numFmtId="0" fontId="20" fillId="15" borderId="7" xfId="0" applyFont="1" applyFill="1" applyBorder="1" applyAlignment="1">
      <alignment horizontal="center" vertical="center"/>
    </xf>
    <xf numFmtId="0" fontId="20" fillId="15" borderId="2" xfId="0" applyFont="1" applyFill="1" applyBorder="1" applyAlignment="1">
      <alignment horizontal="center" vertical="center"/>
    </xf>
    <xf numFmtId="0" fontId="21" fillId="15" borderId="6" xfId="0" applyFont="1" applyFill="1" applyBorder="1" applyAlignment="1">
      <alignment horizontal="center" vertical="center"/>
    </xf>
    <xf numFmtId="0" fontId="21" fillId="15" borderId="7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horizontal="center" vertical="center"/>
    </xf>
    <xf numFmtId="0" fontId="21" fillId="15" borderId="12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0" fontId="21" fillId="15" borderId="13" xfId="0" applyFont="1" applyFill="1" applyBorder="1" applyAlignment="1">
      <alignment horizontal="center" vertical="center"/>
    </xf>
    <xf numFmtId="0" fontId="20" fillId="15" borderId="8" xfId="0" applyFont="1" applyFill="1" applyBorder="1" applyAlignment="1">
      <alignment vertical="center"/>
    </xf>
    <xf numFmtId="0" fontId="20" fillId="15" borderId="9" xfId="0" applyFont="1" applyFill="1" applyBorder="1" applyAlignment="1">
      <alignment vertical="center"/>
    </xf>
    <xf numFmtId="0" fontId="20" fillId="15" borderId="5" xfId="0" applyFont="1" applyFill="1" applyBorder="1" applyAlignment="1">
      <alignment horizontal="center" vertical="center"/>
    </xf>
    <xf numFmtId="0" fontId="20" fillId="15" borderId="11" xfId="0" applyFont="1" applyFill="1" applyBorder="1" applyAlignment="1">
      <alignment horizontal="center" vertical="center"/>
    </xf>
    <xf numFmtId="0" fontId="20" fillId="15" borderId="0" xfId="0" applyFont="1" applyFill="1" applyBorder="1" applyAlignment="1">
      <alignment horizontal="center" vertical="center"/>
    </xf>
    <xf numFmtId="0" fontId="21" fillId="15" borderId="5" xfId="0" applyFont="1" applyFill="1" applyBorder="1" applyAlignment="1">
      <alignment horizontal="center" vertical="center"/>
    </xf>
    <xf numFmtId="0" fontId="21" fillId="15" borderId="0" xfId="0" applyFont="1" applyFill="1" applyBorder="1" applyAlignment="1">
      <alignment horizontal="center" vertical="center"/>
    </xf>
    <xf numFmtId="0" fontId="21" fillId="15" borderId="11" xfId="0" applyFont="1" applyFill="1" applyBorder="1" applyAlignment="1">
      <alignment horizontal="center" vertical="center"/>
    </xf>
    <xf numFmtId="0" fontId="20" fillId="15" borderId="8" xfId="0" applyFont="1" applyFill="1" applyBorder="1" applyAlignment="1">
      <alignment horizontal="center" vertical="center"/>
    </xf>
    <xf numFmtId="0" fontId="20" fillId="15" borderId="9" xfId="0" applyFont="1" applyFill="1" applyBorder="1" applyAlignment="1">
      <alignment horizontal="center" vertical="center"/>
    </xf>
    <xf numFmtId="0" fontId="20" fillId="1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D47" sqref="D4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368</v>
      </c>
      <c r="F46" s="1" t="s">
        <v>369</v>
      </c>
      <c r="G46" t="s">
        <v>370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[Table("MstCmmStorageLocation")]
	[Index(nameof(PlantCode), Name="IX_MstCmmStorageLocation_PlantCode")]
	[Index(nameof(StorageLocation), Name="IX_MstCmmStorageLocation_StorageLocation")]
	[Index(nameof(CategoryId), Name="IX_MstCmmStorageLocation_CategoryId")]
	[Index(nameof(IsActive), Name="IX_MstCmmStorageLocation_IsActive")]	public class MstCmmStorageLocation: FullAuditedEntity&lt;long&gt;, IEntity&lt;long&gt;	
	{
		public const int MaxPlantCodeLength = 4;
		public const int MaxPlantNameLength = 30;
		public const int MaxStorageLocationLength = 4;
		public const int MaxStorageLocationNameLength = 200;
		public const int MaxAddressLanguageEnLength = 200;
		public const int MaxAddressLanguageVnLength = 200;
		public const int MaxCategoryLength = 50;
		public const int MaxIsActiveLength = 1;
		[StringLength(MaxPlantCodeLength)]
		public virtual string PlantCode { get; set; }
		[StringLength(MaxPlantNameLength)]
		public virtual string PlantName { get; set; }
		[StringLength(MaxStorageLocationLength)]
		public virtual string StorageLocation { get; set; }
		[StringLength(MaxStorageLocationNameLength)]
		public virtual string StorageLocationName { get; set; }
		[StringLength(MaxAddressLanguageEnLength)]
		public virtual string AddressLanguageEn { get; set; }
		[StringLength(MaxAddressLanguageVnLength)]
		public virtual string AddressLanguageVn { get; set; }
		public virtual long CategoryId { get; set; }
		[StringLength(MaxCategoryLength)]
		public virtual string Category { get; set; }
		[StringLength(MaxIsActiveLength)]
		public virtual string IsActive { get; set; }
	}
}
</v>
      </c>
      <c r="D68" s="48" t="str">
        <f>A.Backend!O7</f>
        <v xml:space="preserve">		public const string Pages_Master_Common_StorageLocation = "Pages.Master.Common.StorageLocation";
		public const string Pages_Master_Common_StorageLocation_CreateEdit = "Pages.Master.Common.StorageLocation.CreateEdit";
		public const string Pages_Master_Common_StorageLocation_Delete = "Pages.Master.Common.StorageLocation.Delete";
</v>
      </c>
      <c r="E68" s="48" t="str">
        <f>A.Backend!N7</f>
        <v xml:space="preserve">		var perMstCmmStorageLocation = PARENTS.CreateChildPermission(AppPermissions.Pages_Master_Common_StorageLocation, L( "MasterCommonStorageLocation"), multiTenancySides: MultiTenancySides.Tenant);
		perMstCmmStorageLocation.CreateChildPermission(AppPermissions.Pages_Master_Common_StorageLocation_CreateEdit, L( "MasterCommonStorageLocationCreateEdit"), multiTenancySides: MultiTenancySides.Tenant);
		perMstCmmStorageLocation.CreateChildPermission(AppPermissions.Pages_Master_Common_StorageLocation_Delete, L( "MasterCommonStorageLocationDelete"), multiTenancySides: MultiTenancySides.Tenant);</v>
      </c>
      <c r="F68" s="48" t="str">
        <f>A.Backend!K7</f>
        <v>public virtual DbSet&lt;MstCmmStorageLocation&gt; MstCmmStorageLocations { get; set; }</v>
      </c>
      <c r="G68" s="48" t="str">
        <f ca="1">A.Backend!L7</f>
        <v xml:space="preserve">namespace prod.Master.Common
{
	public class MstCmmStorageLocationConsts	
	{
		public const int MaxPlantCodeLength = 4;
		public const int MaxPlantNameLength = 30;
		public const int MaxStorageLocationLength = 4;
		public const int MaxStorageLocationNameLength = 200;
		public const int MaxAddressLanguageEnLength = 200;
		public const int MaxAddressLanguageVnLength = 200;
		public const int MaxCategoryLength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MstCmmStorageLocationDto : EntityDto&lt;long?&gt;	
	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long CategoryId { get; set; }
		public virtual string Category { get; set; }
		public virtual string IsActive { get; set; }
	}
	public class CreateOrEditMstCmmStorageLocationDto : EntityDto&lt;long?&gt;	
	{
		[StringLength(MstCmmStorageLocationConsts.MaxPlantCodeLength)]
		public virtual string PlantCode { get; set; }
		[StringLength(MstCmmStorageLocationConsts.MaxPlantNameLength)]
		public virtual string PlantName { get; set; }
		[StringLength(MstCmmStorageLocationConsts.MaxStorageLocationLength)]
		public virtual string StorageLocation { get; set; }
		[StringLength(MstCmmStorageLocationConsts.MaxStorageLocationNameLength)]
		public virtual string StorageLocationName { get; set; }
		[StringLength(MstCmmStorageLocationConsts.MaxAddressLanguageEnLength)]
		public virtual string AddressLanguageEn { get; set; }
		[StringLength(MstCmmStorageLocationConsts.MaxAddressLanguageVnLength)]
		public virtual string AddressLanguageVn { get; set; }
		public virtual long CategoryId { get; set; }
		[StringLength(MstCmmStorageLocationConsts.MaxCategoryLength)]
		public virtual string Category { get; set; }
		[StringLength(MstCmmStorageLocationConsts.MaxIsActiveLength)]
		public virtual string IsActive { get; set; }
	}
	public class GetMstCmmStorageLocationInput : PagedAndSortedResultRequestDto	
	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string Category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MstCmmStorageLocationExportInput{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long CategoryId { get; set; }
		public virtual string Category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IMstCmmStorageLocationAppService : IApplicationService
	{
		Task&lt;PagedResultDto&lt;MstCmmStorageLocationDto&gt;&gt; GetAll(GetMstCmmStorageLocationInput input);
		Task CreateOrEdit(CreateOrEditMstCmmStorageLocationDto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IMstCmmStorageLocationExcelExporter : IApplicationService
	{
		FileDto ExportToFile(List&lt;MstCmmStorageLocationDto&gt; mstcmmstoragelocation);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MstCmmStorageLocationExcelExporter : NpoiExcelExporterBase, IMstCmmStorageLocationExcelExporter
    {
        public MstCmmStorageLocationExcelExporter(ITempFileCacheManager tempFileCacheManager) : base(tempFileCacheManager) { }
        public FileDto ExportToFile(List&lt;MstCmmStorageLocationDto&gt; storagelocation)
        {
            return CreateExcelPackage(
				"MasterCommonStorageLocation.xlsx",
				excelPackage =&gt;
				 {
					var sheet = excelPackage.CreateSheet("StorageLocation");
					AddHeader(
								sheet,
								("PlantCode"),
								("PlantName"),
								("StorageLocation"),
								("StorageLocationName"),
								("AddressLanguageEn"),
								("AddressLanguageVn"),
								("CategoryId"),
								("Category"),
								("IsActive"),
							   );
					AddObjects(
						 sheet, 1, storagelocation,                                       
								_ =&gt; _.PlantCode,
								_ =&gt; _.PlantName,
								_ =&gt; _.StorageLocation,
								_ =&gt; _.StorageLocationName,
								_ =&gt; _.AddressLanguageEn,
								_ =&gt; _.AddressLanguageVn,
								_ =&gt; _.CategoryId,
								_ =&gt; _.Category,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[AbpAuthorize(AppPermissions.Pages_Master_Common_StorageLocation)]
    public class MstCmmStorageLocationAppService : vovinaAppServiceBase, IMstCmmStorageLocationAppService
    {
        private readonly IDapperRepository&lt;MstCmmStorageLocation, long&gt; _dapperRepo;
        private readonly IRepository&lt;MstCmmStorageLocation, long&gt; _repo;
        private readonly IMstCmmStorageLocationExcelExporter _calendarListExcelExporter;
        public MstCmmStorageLocationAppService(IRepository&lt;MstCmmStorageLocation,long&gt; repo, 
                                         IDapperRepository&lt;MstCmmStorageLocation,long&gt; dapperRepo,
                                        IMstCmmStorageLocationExcelExporter calendarListExcelExporter
            )
        {
            _repo = repo;
            _dapperRepo = dapperRepo;
            _calendarListExcelExporter = calendarListExcelExporter;
        }
        [AbpAuthorize(AppPermissions.Pages_Master_Common_StorageLocation_CreateEdit)]
        public async Task CreateOrEdit(CreateOrEditMstCmmStorageLocationDto input)
        {
            if (input.Id == null) await Create(input);
            else await Update(input);
        }
        //CREATE
        private async Task Create(CreateOrEditMstCmmStorageLocationDto input)
        {          
            var mainObj = ObjectMapper.Map&lt;MstCmmStorageLocation&gt;(input);
            await CurrentUnitOfWork.GetDbContext&lt;vovinaDbContext&gt;().AddAsync(mainObj);
        }
        // EDIT
        private async Task Update(CreateOrEditMstCmmStorageLocationDto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[AbpAuthorize(AppPermissions.Pages_Master_Common_StorageLocation_Delete)]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Task&lt;PagedResultDto&lt;MstCmmStorageLocationDto&gt;&gt; GetAll(GetMstCmmStorageLocationInput input)
        {
            var filtered = _repo.GetAll()
				.WhereIf(!string.IsNullOrWhiteSpace(input.PlantCode), e =&gt; e.PlantCode.Contains(input.PlantCode))
				.WhereIf(!string.IsNullOrWhiteSpace(input.PlantName), e =&gt; e.PlantName.Contains(input.PlantName))
				.WhereIf(!string.IsNullOrWhiteSpace(input.StorageLocation), e =&gt; e.StorageLocation.Contains(input.StorageLocation))
				.WhereIf(!string.IsNullOrWhiteSpace(input.StorageLocationName), e =&gt; e.StorageLocationName.Contains(input.StorageLocationName))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.WhereIf(!string.IsNullOrWhiteSpace(input.Category), e =&gt; e.Category.Contains(input.Category))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MstCmmStorageLocationDto
                        {
							Id = o.Id,
							PlantCode = o.PlantCode,
							PlantName = o.PlantName,
							StorageLocation = o.StorageLocation,
							StorageLocationName = o.StorageLocationName,
							AddressLanguageEn = o.AddressLanguageEn,
							AddressLanguageVn = o.AddressLanguageVn,
							CategoryId = o.CategoryId,
							Category = o.Category,
							IsActive = o.IsActive,
                        };
            var totalCount = await filtered.CountAsync();
			var paged = system.PageBy(input);
            return new PagedResultDto&lt;MstCmmStorageLocationDto&gt;(
                totalCount,
                 await paged.ToListAsync()
            );
        }
        public async Task&lt;FileDto&gt; GetStorageLocationToExcel(MstCmmStorageLocationExportInput input)
        {
            var query = from o in _repo.GetAll()
                        select new MstCmmStorageLocationDto
                        {
							Id = o.Id,
							PlantCode = o.PlantCode,
							PlantName = o.PlantName,
							StorageLocation = o.StorageLocation,
							StorageLocationName = o.StorageLocationName,
							AddressLanguageEn = o.AddressLanguageEn,
							AddressLanguageVn = o.AddressLanguageVn,
							CategoryId = o.CategoryId,
							Category = o.Category,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_dapperRepo.ExecuteAsync(MstCmmStorageLocationConsts.SP_MST_WPT_CALENDAR_GENERATE);
       // }
    }
}</v>
      </c>
      <c r="N68" s="58" t="str">
        <f>A.Backend!U7</f>
        <v xml:space="preserve">  configuration.CreateMap&lt;MstCmmStorageLocationDto, MstCmmStorageLocation&gt;();
  configuration.CreateMap&lt;MstCmmStorageLocation, MstCmmStorageLocationDto&gt;();
  configuration.CreateMap&lt;CreateOrEditMstCmmStorageLocationDto, MstCmmStorageLocation&gt;();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storagelocation</v>
      </c>
      <c r="C73" s="66" t="str">
        <f>"create folder " &amp;B73</f>
        <v>create folder storagelocation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storagelocation.component.ts</v>
      </c>
      <c r="D74" s="28" t="str">
        <f>B.Frontend!I14</f>
        <v>storagelocation.component.html</v>
      </c>
      <c r="E74" s="28" t="str">
        <f>B.Frontend!J14</f>
        <v>storagelocation.component.less</v>
      </c>
      <c r="F74" s="28" t="str">
        <f>B.Frontend!K14</f>
        <v>create-or-edit-storagelocation-modal.component.html</v>
      </c>
      <c r="G74" s="28" t="str">
        <f>B.Frontend!L14</f>
        <v>create-or-edit-storagelocation-modal.component.ts</v>
      </c>
      <c r="H74" s="28" t="str">
        <f>B.Frontend!M14</f>
        <v>create-or-edit-storagelocation-modal.component.less</v>
      </c>
      <c r="I74" s="28" t="str">
        <f>B.Frontend!N14</f>
        <v>storagelocation.module.ts</v>
      </c>
      <c r="J74" s="28" t="str">
        <f>B.Frontend!O14</f>
        <v>storagelocation-routing.module.ts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MstCmmStorageLocationDto, MstCmmStorageLocationServiceProxy } from '@shared/service-proxies/service-proxies';
import { finalize } from 'rxjs/internal/operators/finalize';
import { CreateOrEditStorageLocationModalComponent } from './create-or-edit-storagelocation-modal.component';
import { DatePipe } from '@angular/common';
import { FileDownloadService } from '@shared/utils/file-download.service';
import ceil from 'lodash-es/ceil';
import { Paginator } from 'primeng/paginator';
@Component({
    templateUrl: './storagelocation.component.html',
    styleUrls: ['./storagelocation.component.less'],
})
export class StorageLocationComponent extends AppComponentBase implements OnInit {
    @ViewChild('createOrEditModalStorageLocation', { static: true }) createOrEditModalStorageLocation:| CreateOrEditStorageLocationModalComponent|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MstCmmStorageLocationDto = new MstCmmStorageLocationDto();
    saveSelectedRow: MstCmmStorageLocationDto = new MstCmmStorageLocationDto();
    datas: MstCmmStorageLocationDto = new MstCmmStorageLocationDto();
    isLoading: boolean = false;
    dataParams: GridParams | undefined;
    rowData: any[] = [];
    gridApi!: GridApi;
    rowSelection = 'multiple';
    filter: string = '';
	pipe = new DatePipe('en-US');
	frameworkComponents: FrameworkComponent;
    	plantCode : string = '' ; 
	plantName : string = '' ; 
	storageLocation : string = '' ; 
	storageLocationName : string = '' ; 
	addressLanguageEn : string = '' ; 
	addressLanguageVn : string = '' ; 
	categoryId
	category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MstCmmStorageLocationServiceProxy,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this.l('Plant Code'),headerTooltip: this.l('Plant Code'),field: 'plantCode',flex: 1},
			{headerName: this.l('Plant Name'),headerTooltip: this.l('Plant Name'),field: 'plantName',flex: 1},
			{headerName: this.l('Storage Location'),headerTooltip: this.l('Storage Location'),field: 'storageLocation',flex: 1},
			{headerName: this.l('Storage Location Name'),headerTooltip: this.l('Storage Location Name'),field: 'storageLocationName',flex: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this.l('Category Id'),headerTooltip: this.l('Category Id'),field: 'categoryId',flex: 1},
			{headerName: this.l('Category'),headerTooltip: this.l('Category'),field: 'category',flex: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this.plantCode,
			this.plantName,
			this.storageLocation,
			this.storageLocationName,
			this.addressLanguageEn,
			this.addressLanguageVn,
			this.categoryId,
			this.category,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this.plantCode = '',
		this.plantName = '',
		this.storageLocation = '',
		this.storageLocationName = '',
		this.addressLanguageEn = '',
		this.addressLanguageVn = '',
		this.categoryId = '',
		this.category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this.plantCode,
			this.plantName,
			this.storageLocation,
			this.storageLocationName,
			this.addressLanguageEn,
			this.addressLanguageVn,
			this.categoryId,
			this.category,
			this.isActive,
			'',
            this.paginationParams.skipCount,
            this.paginationParams.pageSize
        );
    }
    onChangeRowSelection(params: { api: { getSelectedRows: () =&gt; MstCmmStorageLocationDto[] } }) {
        this.saveSelectedRow = params.api.getSelectedRows()[0] ?? new MstCmmStorageLocationDto();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MstCmmStorageLocationDto):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this._service.getStorageLocationToExcel(
			this.plantCode,
			this.plantName,
			this.storageLocation,
			this.storageLocationName,
			this.addressLanguageEn,
			this.addressLanguageVn,
			this.categoryId,
			this.category,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Storage Location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[(ngModel)]='storageLocationName' name='storageLocationName'
									class='form-control' [placeholder]="l('Storage Location Name')"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[(ngModel)]='category' name='category'
									class='form-control' [placeholder]="l('Category')"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(click)="createOrEditModalStorageLocation.show()"&gt;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(click)="createOrEditModalStorageLocation.show(selectedRow)"&gt;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&lt;create-or-edit-storagelocation-modal
    #createOrEditModalStorageLocation
    (modalSave)="callBackDataGrid(dataParams)"
    (modalClose)="onChangeRowSelection(dataParams)"
&gt;
&lt;/create-or-edit-storagelocation-modal&gt;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#createOrEditModalStorageLocation="bs-modal"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StorageLocation')}}&lt;/h3&gt;
                    &lt;h3 *ngIf="!rowdata.id"&gt;{{('Create New StorageLocation')}}&lt;/h3&gt;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title'&gt;Storage Location Name&lt;/label&gt;
						&lt;input type='text' class='col-md-10 form-control input-text' name='StorageLocationName' [(ngModel)]='rowdata.storageLocationName'&gt;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title'&gt;Category&lt;/label&gt;
						&lt;input type='text' class='col-md-10 form-control input-text' name='Category' [(ngModel)]='rowdata.category'&gt;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CreateOrEditMstCmmStorageLocationDto, MstCmmStorageLocationServiceProxy } from '@shared/service-proxies/service-proxies';
import { BsDatepickerDirective } from 'ngx-bootstrap/datepicker';
@Component({
    selector: 'create-or-edit-storagelocation-modal',
    templateUrl: './create-or-edit-storagelocation-modal.component.html',
    styleUrls: ['./create-or-edit-storagelocation-modal.component.less']
    })
export class CreateOrEditStorageLocationModalComponent extends AppComponentBase {
    @ViewChild('createOrEditModalStorageLocation',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CreateOrEditMstCmmStorageLocationDto = new CreateOrEditMstCmmStorageLocationDto();
    active: boolean = false;
    saving: boolean = false;
    _isActive: boolean;
    constructor(
        injector: Injector,
        private _mstwptStorageLocationService: MstCmmStorageLocationServiceProxy,
    ) 
    {
        super(injector);
    }
    show(rowdata?: CreateOrEditMstCmmStorageLocationDto): void {
        if (!rowdata) this.rowdata = new CreateOrEditMstCmmStorageLocationDto();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this._mstwptStorageLocationService.createOrEdit(this.rowdata)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StorageLocationRoutingModule } from './storagelocation-routing.module';
import { StorageLocationComponent } from './storagelocation.component';
import { CreateOrEditStorageLocationModalComponent } from './create-or-edit-storagelocation-modal.component';
@NgModule({
    declarations: [
       StorageLocationComponent, 
        CreateOrEditStorageLocationModalComponent
    ],
    imports: [
        AppSharedModule, StorageLocationRoutingModule]
})
export class StorageLocationModule {}</v>
      </c>
      <c r="J75" s="46" t="str">
        <f>B.Frontend!O10</f>
        <v>import {NgModule} from '@angular/core';
import {RouterModule, Routes} from '@angular/router';
import { StorageLocationComponent } from './storagelocation.component';
const routes: Routes = [{
    path: '',
    component: StorageLocationComponent,
    pathMatch: 'full'
}];
@NgModule({
    imports: [RouterModule.forChild(routes)],
    exports: [RouterModule],
})
export class StorageLocationRoutingModule {}</v>
      </c>
      <c r="K75" s="46" t="str">
        <f>B.Frontend!P10</f>
        <v xml:space="preserve"> new AppMenuItem("StorageLocation", "Pages.Master.Common.StorageLocation", "flaticon-book",   "/app/main/master/common/storagelocation"),</v>
      </c>
      <c r="L75" s="47" t="str">
        <f>B.Frontend!Q10</f>
        <v>{
    path: 'master/common/storagelocation',
    loadChildren: () =&gt; import('./master/common/storagelocation/storagelocation.module').then(m =&gt; m.StorageLocationModule),
    data: { permission: 'Pages.Master.Common.StorageLocation' }
},</v>
      </c>
      <c r="M75" s="45" t="str">
        <f>B.Frontend!R10</f>
        <v>ApiServiceProxies.MstCmmStorageLocationServiceProxy,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A15" sqref="A15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364</v>
      </c>
      <c r="C3" s="9" t="s">
        <v>43</v>
      </c>
      <c r="D3" s="9" t="s">
        <v>44</v>
      </c>
      <c r="E3" s="9" t="s">
        <v>39</v>
      </c>
      <c r="F3" s="10" t="str">
        <f>"J"&amp;COUNTA($A:$A)</f>
        <v>J17</v>
      </c>
      <c r="G3" s="4" t="s">
        <v>57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56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MstCmmStorageLocationExportInput{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MstCmmStorageLocation: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MstCmmStorageLocationConsts	
	{
</v>
      </c>
      <c r="F6" s="10" t="str">
        <f>REPT(CHAR(9),1)&amp;"public class "&amp;B3&amp;"Dto"&amp;K3&amp;REPT(CHAR(9),1)&amp;"
"&amp;REPT(CHAR(9),1)&amp;C3</f>
        <v xml:space="preserve">	public class MstCmmStorageLocationDto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CreateOrEditMstCmmStorageLocationDto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GetMstCmmStorageLocationInput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MstCmmStorageLocation</v>
      </c>
      <c r="C7" s="10" t="str">
        <f>REPT(CHAR(9),1)&amp;"[Table("""&amp;B7&amp;""")]"&amp;"
"</f>
        <v xml:space="preserve">	[Table("MstCmmStorageLocation")]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[Table("MstCmmStorageLocation")]
	[Index(nameof(PlantCode), Name="IX_MstCmmStorageLocation_PlantCode")]
	[Index(nameof(StorageLocation), Name="IX_MstCmmStorageLocation_StorageLocation")]
	[Index(nameof(CategoryId), Name="IX_MstCmmStorageLocation_CategoryId")]
	[Index(nameof(IsActive), Name="IX_MstCmmStorageLocation_IsActive")]	public class MstCmmStorageLocation: FullAuditedEntity&lt;long&gt;, IEntity&lt;long&gt;	
	{
		public const int MaxPlantCodeLength = 4;
		public const int MaxPlantNameLength = 30;
		public const int MaxStorageLocationLength = 4;
		public const int MaxStorageLocationNameLength = 200;
		public const int MaxAddressLanguageEnLength = 200;
		public const int MaxAddressLanguageVnLength = 200;
		public const int MaxCategoryLength = 50;
		public const int MaxIsActiveLength = 1;
		[StringLength(MaxPlantCodeLength)]
		public virtual string PlantCode { get; set; }
		[StringLength(MaxPlantNameLength)]
		public virtual string PlantName { get; set; }
		[StringLength(MaxStorageLocationLength)]
		public virtual string StorageLocation { get; set; }
		[StringLength(MaxStorageLocationNameLength)]
		public virtual string StorageLocationName { get; set; }
		[StringLength(MaxAddressLanguageEnLength)]
		public virtual string AddressLanguageEn { get; set; }
		[StringLength(MaxAddressLanguageVnLength)]
		public virtual string AddressLanguageVn { get; set; }
		public virtual long CategoryId { get; set; }
		[StringLength(MaxCategoryLength)]
		public virtual string Category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DbSet&lt;MstCmmStorageLocation&gt; MstCmmStorageLocations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prod.Master.Common
{
	public class MstCmmStorageLocationConsts	
	{
		public const int MaxPlantCodeLength = 4;
		public const int MaxPlantNameLength = 30;
		public const int MaxStorageLocationLength = 4;
		public const int MaxStorageLocationNameLength = 200;
		public const int MaxAddressLanguageEnLength = 200;
		public const int MaxAddressLanguageVnLength = 200;
		public const int MaxCategoryLength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prod.Master.Common.Dto
{
	public class MstCmmStorageLocationDto : EntityDto&lt;long?&gt;	
	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long CategoryId { get; set; }
		public virtual string Category { get; set; }
		public virtual string IsActive { get; set; }
	}
	public class CreateOrEditMstCmmStorageLocationDto : EntityDto&lt;long?&gt;	
	{
		[StringLength(MstCmmStorageLocationConsts.MaxPlantCodeLength)]
		public virtual string PlantCode { get; set; }
		[StringLength(MstCmmStorageLocationConsts.MaxPlantNameLength)]
		public virtual string PlantName { get; set; }
		[StringLength(MstCmmStorageLocationConsts.MaxStorageLocationLength)]
		public virtual string StorageLocation { get; set; }
		[StringLength(MstCmmStorageLocationConsts.MaxStorageLocationNameLength)]
		public virtual string StorageLocationName { get; set; }
		[StringLength(MstCmmStorageLocationConsts.MaxAddressLanguageEnLength)]
		public virtual string AddressLanguageEn { get; set; }
		[StringLength(MstCmmStorageLocationConsts.MaxAddressLanguageVnLength)]
		public virtual string AddressLanguageVn { get; set; }
		public virtual long CategoryId { get; set; }
		[StringLength(MstCmmStorageLocationConsts.MaxCategoryLength)]
		public virtual string Category { get; set; }
		[StringLength(MstCmmStorageLocationConsts.MaxIsActiveLength)]
		public virtual string IsActive { get; set; }
	}
	public class GetMstCmmStorageLocationInput : PagedAndSortedResultRequestDto	
	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string Category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perMstCmmStorageLocation = PARENTS.CreateChildPermission(AppPermissions.Pages_Master_Common_StorageLocation, L( "MasterCommonStorageLocation"), multiTenancySides: MultiTenancySides.Tenant);
		perMstCmmStorageLocation.CreateChildPermission(AppPermissions.Pages_Master_Common_StorageLocation_CreateEdit, L( "MasterCommonStorageLocationCreateEdit"), multiTenancySides: MultiTenancySides.Tenant);
		perMstCmmStorageLocation.CreateChildPermission(AppPermissions.Pages_Master_Common_StorageLocation_Delete, L( "MasterCommonStorageLocationDelete"),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Pages_Master_Common_StorageLocation = "Pages.Master.Common.StorageLocation";
		public const string Pages_Master_Common_StorageLocation_CreateEdit = "Pages.Master.Common.StorageLocation.CreateEdit";
		public const string Pages_Master_Common_StorageLocation_Delete = "Pages.Master.Common.StorageLocation.Delete";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IMstCmmStorageLocationAppService : IApplicationService
	{
		Task&lt;PagedResultDto&lt;MstCmmStorageLocationDto&gt;&gt; GetAll(GetMstCmmStorageLocationInput input);
		Task CreateOrEdit(CreateOrEditMstCmmStorageLocationDto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[AbpAuthorize(AppPermissions.Pages_Master_Common_StorageLocation)]
    public class MstCmmStorageLocationAppService : vovinaAppServiceBase, IMstCmmStorageLocationAppService
    {
        private readonly IDapperRepository&lt;MstCmmStorageLocation, long&gt; _dapperRepo;
        private readonly IRepository&lt;MstCmmStorageLocation, long&gt; _repo;
        private readonly IMstCmmStorageLocationExcelExporter _calendarListExcelExporter;
        public MstCmmStorageLocationAppService(IRepository&lt;MstCmmStorageLocation,long&gt; repo, 
                                         IDapperRepository&lt;MstCmmStorageLocation,long&gt; dapperRepo,
                                        IMstCmmStorageLocationExcelExporter calendarListExcelExporter
            )
        {
            _repo = repo;
            _dapperRepo = dapperRepo;
            _calendarListExcelExporter = calendarListExcelExporter;
        }
        [AbpAuthorize(AppPermissions.Pages_Master_Common_StorageLocation_CreateEdit)]
        public async Task CreateOrEdit(CreateOrEditMstCmmStorageLocationDto input)
        {
            if (input.Id == null) await Create(input);
            else await Update(input);
        }
        //CREATE
        private async Task Create(CreateOrEditMstCmmStorageLocationDto input)
        {          
            var mainObj = ObjectMapper.Map&lt;MstCmmStorageLocation&gt;(input);
            await CurrentUnitOfWork.GetDbContext&lt;vovinaDbContext&gt;().AddAsync(mainObj);
        }
        // EDIT
        private async Task Update(CreateOrEditMstCmmStorageLocationDto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[AbpAuthorize(AppPermissions.Pages_Master_Common_StorageLocation_Delete)]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Task&lt;PagedResultDto&lt;MstCmmStorageLocationDto&gt;&gt; GetAll(GetMstCmmStorageLocationInput input)
        {
            var filtered = _repo.GetAll()
				.WhereIf(!string.IsNullOrWhiteSpace(input.PlantCode), e =&gt; e.PlantCode.Contains(input.PlantCode))
				.WhereIf(!string.IsNullOrWhiteSpace(input.PlantName), e =&gt; e.PlantName.Contains(input.PlantName))
				.WhereIf(!string.IsNullOrWhiteSpace(input.StorageLocation), e =&gt; e.StorageLocation.Contains(input.StorageLocation))
				.WhereIf(!string.IsNullOrWhiteSpace(input.StorageLocationName), e =&gt; e.StorageLocationName.Contains(input.StorageLocationName))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.WhereIf(!string.IsNullOrWhiteSpace(input.Category), e =&gt; e.Category.Contains(input.Category))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MstCmmStorageLocationDto
                        {
							Id = o.Id,
							PlantCode = o.PlantCode,
							PlantName = o.PlantName,
							StorageLocation = o.StorageLocation,
							StorageLocationName = o.StorageLocationName,
							AddressLanguageEn = o.AddressLanguageEn,
							AddressLanguageVn = o.AddressLanguageVn,
							CategoryId = o.CategoryId,
							Category = o.Category,
							IsActive = o.IsActive,
                        };
            var totalCount = await filtered.CountAsync();
			var paged = system.PageBy(input);
            return new PagedResultDto&lt;MstCmmStorageLocationDto&gt;(
                totalCount,
                 await paged.ToListAsync()
            );
        }
        public async Task&lt;FileDto&gt; GetStorageLocationToExcel(MstCmmStorageLocationExportInput input)
        {
            var query = from o in _repo.GetAll()
                        select new MstCmmStorageLocationDto
                        {
							Id = o.Id,
							PlantCode = o.PlantCode,
							PlantName = o.PlantName,
							StorageLocation = o.StorageLocation,
							StorageLocationName = o.StorageLocationName,
							AddressLanguageEn = o.AddressLanguageEn,
							AddressLanguageVn = o.AddressLanguageVn,
							CategoryId = o.CategoryId,
							Category = o.Category,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_dapperRepo.ExecuteAsync(MstCmmStorageLocationConsts.SP_MST_WPT_CALENDAR_GENERATE);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prod.Master.Common.Dto
{
	public class MstCmmStorageLocationExportInput{
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long CategoryId { get; set; }
		public virtual string Category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IMstCmmStorageLocationExcelExporter : IApplicationService
	{
		FileDto ExportToFile(List&lt;MstCmmStorageLocationDto&gt; mstcmmstoragelocation);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MstCmmStorageLocationExcelExporter : NpoiExcelExporterBase, IMstCmmStorageLocationExcelExporter
    {
        public MstCmmStorageLocationExcelExporter(ITempFileCacheManager tempFileCacheManager) : base(tempFileCacheManager) { }
        public FileDto ExportToFile(List&lt;MstCmmStorageLocationDto&gt; storagelocation)
        {
            return CreateExcelPackage(
				"MasterCommonStorageLocation.xlsx",
				excelPackage =&gt;
				 {
					var sheet = excelPackage.CreateSheet("StorageLocation");
					AddHeader(
								sheet,
								("PlantCode"),
								("PlantName"),
								("StorageLocation"),
								("StorageLocationName"),
								("AddressLanguageEn"),
								("AddressLanguageVn"),
								("CategoryId"),
								("Category"),
								("IsActive"),
							   );
					AddObjects(
						 sheet, 1, storagelocation,                                       
								_ =&gt; _.PlantCode,
								_ =&gt; _.PlantName,
								_ =&gt; _.StorageLocation,
								_ =&gt; _.StorageLocationName,
								_ =&gt; _.AddressLanguageEn,
								_ =&gt; _.AddressLanguageVn,
								_ =&gt; _.CategoryId,
								_ =&gt; _.Category,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configuration.CreateMap&lt;MstCmmStorageLocationDto, MstCmmStorageLocation&gt;();
  configuration.CreateMap&lt;MstCmmStorageLocation, MstCmmStorageLocationDto&gt;();
  configuration.CreateMap&lt;CreateOrEditMstCmmStorageLocationDto, MstCmmStorageLocation&gt;();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355</v>
      </c>
      <c r="C9" t="s">
        <v>1</v>
      </c>
      <c r="D9" t="str">
        <f t="shared" ref="D9" si="0">SUBSTITUTE(PROPER(A9),"_","")</f>
        <v>PlantCode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MaxPlantCodeLength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[StringLength(MaxPlantCodeLength)]
		public virtual string PlantCode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[Index(nameof(PlantCode), Name="IX_MstCmmStorageLocation_PlantCode")]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PlantCode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[StringLength(MstCmmStorageLocationConsts.MaxPlantCodeLength)]
		public virtual string PlantCode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PlantCode { get; set; }
</v>
      </c>
      <c r="P9" t="str">
        <f t="shared" ref="P9" si="9">REPT(CHAR(9),7)&amp;D9&amp;" = o." &amp;D9 &amp;","</f>
        <v xml:space="preserve">							PlantCode = o.PlantCode,</v>
      </c>
      <c r="T9" s="64" t="str">
        <f t="shared" ref="T9" si="10">REPT(CHAR(9),8)&amp;"("""&amp;D9&amp;"""),"</f>
        <v xml:space="preserve">								("PlantCode"),</v>
      </c>
      <c r="V9" s="65" t="str">
        <f t="shared" ref="V9" si="11">REPT(CHAR(9),8)&amp;"_ =&gt; _."&amp;D9&amp;","</f>
        <v xml:space="preserve">								_ =&gt; _.PlantCode,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.WhereIf(!string.IsNullOrWhiteSpace(input.PlantCode), e =&gt; e.PlantCode.Contains(input.PlantCode))</v>
      </c>
    </row>
    <row r="10" spans="1:23" customFormat="1" ht="18.75" customHeight="1" x14ac:dyDescent="0.25">
      <c r="A10" t="s">
        <v>354</v>
      </c>
      <c r="B10" t="s">
        <v>356</v>
      </c>
      <c r="C10" t="s">
        <v>1</v>
      </c>
      <c r="D10" t="str">
        <f t="shared" ref="D10:D13" si="13">SUBSTITUTE(PROPER(A10),"_","")</f>
        <v>PlantName</v>
      </c>
      <c r="E10" t="str">
        <f t="shared" ref="E10:E13" si="14">IFERROR(LEFT(B10, FIND("(",B10)-1),B10)</f>
        <v>nvarchar</v>
      </c>
      <c r="F10" s="6"/>
      <c r="G10" t="str">
        <f t="shared" ref="G10:G13" si="15">IFERROR(MID(B10,FIND("(",B10) +1, FIND(")",B10) - FIND("(",B10) - 1),"")</f>
        <v>30</v>
      </c>
      <c r="H10" t="str">
        <f>+VLOOKUP(E10,'Data Type Mapping'!A:B,2,)</f>
        <v>string</v>
      </c>
      <c r="I10" t="str">
        <f t="shared" ref="I10:I13" si="16">IF(H10="string",REPT(CHAR(9),2)&amp;"public const int Max"&amp;D10&amp;"Length = "&amp;G10&amp;";"&amp;$E$3,"" )</f>
        <v xml:space="preserve">		public const int MaxPlantNameLength = 30;
</v>
      </c>
      <c r="J10" t="str">
        <f t="shared" ref="J10:J13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[StringLength(MaxPlantNameLength)]
		public virtual string PlantName { get; set; }
</v>
      </c>
      <c r="K10" s="6"/>
      <c r="L10" t="str">
        <f t="shared" ref="L10:L13" si="18">IF(K10="","",REPT(CHAR(9),1)&amp;"[Index(nameof("&amp;IF(D10="","",""&amp;D10)&amp;")"&amp;", Name="&amp;"""IX_"&amp;$B$7&amp;"_"&amp;D10&amp;""")]")</f>
        <v/>
      </c>
      <c r="M10" t="str">
        <f t="shared" ref="M10:M13" si="19">REPT(CHAR(9),2)&amp;"public virtual "&amp;IF(OR(H10="DateTime",H10="TimeSpan"),H10&amp;"?",H10)&amp;IF(C10="?","? "," ")&amp;D10&amp;" { get; set; }" &amp; "
"</f>
        <v xml:space="preserve">		public virtual string PlantName { get; set; }
</v>
      </c>
      <c r="N10" t="str">
        <f t="shared" ref="N10:N13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[StringLength(MstCmmStorageLocationConsts.MaxPlantNameLength)]
		public virtual string PlantName { get; set; }
</v>
      </c>
      <c r="O10" t="str">
        <f t="shared" ref="O10:O13" si="21">IF(OR(H10="string",H10="DateTime",H10="int"),REPT(CHAR(9),2)&amp;"public virtual "&amp;IF(OR(H10="DateTime",H10="TimeSpan"),H10&amp;"?",H10)&amp;IF(C10="?","? "," ")&amp;D10&amp;" { get; set; }"&amp;$E$3,"")</f>
        <v xml:space="preserve">		public virtual string PlantName { get; set; }
</v>
      </c>
      <c r="P10" t="str">
        <f t="shared" ref="P10:P13" si="22">REPT(CHAR(9),7)&amp;D10&amp;" = o." &amp;D10 &amp;","</f>
        <v xml:space="preserve">							PlantName = o.PlantName,</v>
      </c>
      <c r="T10" s="64" t="str">
        <f t="shared" ref="T10:T13" si="23">REPT(CHAR(9),8)&amp;"("""&amp;D10&amp;"""),"</f>
        <v xml:space="preserve">								("PlantName"),</v>
      </c>
      <c r="V10" s="65" t="str">
        <f t="shared" ref="V10:V13" si="24">REPT(CHAR(9),8)&amp;"_ =&gt; _."&amp;D10&amp;","</f>
        <v xml:space="preserve">								_ =&gt; _.PlantName,</v>
      </c>
      <c r="W10" s="64" t="str">
        <f t="shared" ref="W10:W13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.WhereIf(!string.IsNullOrWhiteSpace(input.PlantName), e =&gt; e.PlantName.Contains(input.PlantName))</v>
      </c>
    </row>
    <row r="11" spans="1:23" customFormat="1" ht="18.75" customHeight="1" x14ac:dyDescent="0.25">
      <c r="A11" t="s">
        <v>360</v>
      </c>
      <c r="B11" t="s">
        <v>355</v>
      </c>
      <c r="C11" t="s">
        <v>1</v>
      </c>
      <c r="D11" t="str">
        <f t="shared" si="13"/>
        <v>StorageLocation</v>
      </c>
      <c r="E11" t="str">
        <f t="shared" si="14"/>
        <v>nvarchar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MaxStorageLocationLength = 4;
</v>
      </c>
      <c r="J11" t="str">
        <f t="shared" si="17"/>
        <v xml:space="preserve">		[StringLength(MaxStorageLocationLength)]
		public virtual string StorageLocation { get; set; }
</v>
      </c>
      <c r="K11" s="6" t="s">
        <v>206</v>
      </c>
      <c r="L11" t="str">
        <f t="shared" si="18"/>
        <v xml:space="preserve">	[Index(nameof(StorageLocation), Name="IX_MstCmmStorageLocation_StorageLocation")]</v>
      </c>
      <c r="M11" t="str">
        <f t="shared" si="19"/>
        <v xml:space="preserve">		public virtual string StorageLocation { get; set; }
</v>
      </c>
      <c r="N11" t="str">
        <f t="shared" si="20"/>
        <v xml:space="preserve">		[StringLength(MstCmmStorageLocationConsts.MaxStorageLocationLength)]
		public virtual string StorageLocation { get; set; }
</v>
      </c>
      <c r="O11" t="str">
        <f t="shared" si="21"/>
        <v xml:space="preserve">		public virtual string StorageLocation { get; set; }
</v>
      </c>
      <c r="P11" t="str">
        <f t="shared" si="22"/>
        <v xml:space="preserve">							StorageLocation = o.StorageLocation,</v>
      </c>
      <c r="T11" s="64" t="str">
        <f t="shared" si="23"/>
        <v xml:space="preserve">								("StorageLocation"),</v>
      </c>
      <c r="V11" s="65" t="str">
        <f t="shared" si="24"/>
        <v xml:space="preserve">								_ =&gt; _.StorageLocation,</v>
      </c>
      <c r="W11" s="64" t="str">
        <f t="shared" si="25"/>
        <v xml:space="preserve">				.WhereIf(!string.IsNullOrWhiteSpace(input.StorageLocation), e =&gt; e.StorageLocation.Contains(input.StorageLocation))</v>
      </c>
    </row>
    <row r="12" spans="1:23" customFormat="1" ht="18.75" customHeight="1" x14ac:dyDescent="0.25">
      <c r="A12" t="s">
        <v>361</v>
      </c>
      <c r="B12" t="s">
        <v>359</v>
      </c>
      <c r="C12" t="s">
        <v>1</v>
      </c>
      <c r="D12" t="str">
        <f t="shared" si="13"/>
        <v>StorageLocationName</v>
      </c>
      <c r="E12" t="str">
        <f t="shared" si="14"/>
        <v>nvarchar</v>
      </c>
      <c r="F12" s="6"/>
      <c r="G12" t="str">
        <f t="shared" si="15"/>
        <v>200</v>
      </c>
      <c r="H12" t="str">
        <f>+VLOOKUP(E12,'Data Type Mapping'!A:B,2,)</f>
        <v>string</v>
      </c>
      <c r="I12" t="str">
        <f t="shared" si="16"/>
        <v xml:space="preserve">		public const int MaxStorageLocationNameLength = 200;
</v>
      </c>
      <c r="J12" t="str">
        <f t="shared" si="17"/>
        <v xml:space="preserve">		[StringLength(MaxStorageLocationNameLength)]
		public virtual string StorageLocationName { get; set; }
</v>
      </c>
      <c r="K12" s="6"/>
      <c r="L12" t="str">
        <f t="shared" si="18"/>
        <v/>
      </c>
      <c r="M12" t="str">
        <f t="shared" si="19"/>
        <v xml:space="preserve">		public virtual string StorageLocationName { get; set; }
</v>
      </c>
      <c r="N12" t="str">
        <f t="shared" si="20"/>
        <v xml:space="preserve">		[StringLength(MstCmmStorageLocationConsts.MaxStorageLocationNameLength)]
		public virtual string StorageLocationName { get; set; }
</v>
      </c>
      <c r="O12" t="str">
        <f t="shared" si="21"/>
        <v xml:space="preserve">		public virtual string StorageLocationName { get; set; }
</v>
      </c>
      <c r="P12" t="str">
        <f t="shared" si="22"/>
        <v xml:space="preserve">							StorageLocationName = o.StorageLocationName,</v>
      </c>
      <c r="T12" s="64" t="str">
        <f t="shared" si="23"/>
        <v xml:space="preserve">								("StorageLocationName"),</v>
      </c>
      <c r="V12" s="65" t="str">
        <f t="shared" si="24"/>
        <v xml:space="preserve">								_ =&gt; _.StorageLocationName,</v>
      </c>
      <c r="W12" s="64" t="str">
        <f t="shared" si="25"/>
        <v xml:space="preserve">				.WhereIf(!string.IsNullOrWhiteSpace(input.StorageLocationName), e =&gt; e.StorageLocationName.Contains(input.StorageLocationName))</v>
      </c>
    </row>
    <row r="13" spans="1:23" customFormat="1" ht="18.75" customHeight="1" x14ac:dyDescent="0.25">
      <c r="A13" t="s">
        <v>358</v>
      </c>
      <c r="B13" t="s">
        <v>359</v>
      </c>
      <c r="C13" t="s">
        <v>1</v>
      </c>
      <c r="D13" t="str">
        <f t="shared" si="13"/>
        <v>AddressLanguageEn</v>
      </c>
      <c r="E13" t="str">
        <f t="shared" si="14"/>
        <v>nvarchar</v>
      </c>
      <c r="F13" s="6"/>
      <c r="G13" t="str">
        <f t="shared" si="15"/>
        <v>200</v>
      </c>
      <c r="H13" t="str">
        <f>+VLOOKUP(E13,'Data Type Mapping'!A:B,2,)</f>
        <v>string</v>
      </c>
      <c r="I13" t="str">
        <f t="shared" si="16"/>
        <v xml:space="preserve">		public const int MaxAddressLanguageEnLength = 200;
</v>
      </c>
      <c r="J13" t="str">
        <f t="shared" si="17"/>
        <v xml:space="preserve">		[StringLength(MaxAddressLanguageEnLength)]
		public virtual string AddressLanguageEn { get; set; }
</v>
      </c>
      <c r="K13" s="6"/>
      <c r="L13" t="str">
        <f t="shared" si="18"/>
        <v/>
      </c>
      <c r="M13" t="str">
        <f t="shared" si="19"/>
        <v xml:space="preserve">		public virtual string AddressLanguageEn { get; set; }
</v>
      </c>
      <c r="N13" t="str">
        <f t="shared" si="20"/>
        <v xml:space="preserve">		[StringLength(MstCmmStorageLocationConsts.MaxAddressLanguageEnLength)]
		public virtual string AddressLanguageEn { get; set; }
</v>
      </c>
      <c r="O13" t="str">
        <f t="shared" si="21"/>
        <v xml:space="preserve">		public virtual string AddressLanguageEn { get; set; }
</v>
      </c>
      <c r="P13" t="str">
        <f t="shared" si="22"/>
        <v xml:space="preserve">							AddressLanguageEn = o.AddressLanguageEn,</v>
      </c>
      <c r="T13" s="64" t="str">
        <f t="shared" si="23"/>
        <v xml:space="preserve">								("AddressLanguageEn"),</v>
      </c>
      <c r="V13" s="65" t="str">
        <f t="shared" si="24"/>
        <v xml:space="preserve">								_ =&gt; _.AddressLanguageEn,</v>
      </c>
      <c r="W13" s="64" t="str">
        <f t="shared" si="25"/>
        <v xml:space="preserve">				.WhereIf(!string.IsNullOrWhiteSpace(input.AddressLanguageEn), e =&gt; e.AddressLanguageEn.Contains(input.AddressLanguageEn))</v>
      </c>
    </row>
    <row r="14" spans="1:23" customFormat="1" ht="18.75" customHeight="1" x14ac:dyDescent="0.25">
      <c r="A14" t="s">
        <v>357</v>
      </c>
      <c r="B14" t="s">
        <v>359</v>
      </c>
      <c r="C14" t="s">
        <v>1</v>
      </c>
      <c r="D14" t="str">
        <f t="shared" ref="D14:D15" si="26">SUBSTITUTE(PROPER(A14),"_","")</f>
        <v>AddressLanguageVn</v>
      </c>
      <c r="E14" t="str">
        <f t="shared" ref="E14:E15" si="27">IFERROR(LEFT(B14, FIND("(",B14)-1),B14)</f>
        <v>nvarchar</v>
      </c>
      <c r="F14" s="6"/>
      <c r="G14" t="str">
        <f t="shared" ref="G14:G15" si="28">IFERROR(MID(B14,FIND("(",B14) +1, FIND(")",B14) - FIND("(",B14) - 1),"")</f>
        <v>200</v>
      </c>
      <c r="H14" t="str">
        <f>+VLOOKUP(E14,'Data Type Mapping'!A:B,2,)</f>
        <v>string</v>
      </c>
      <c r="I14" t="str">
        <f t="shared" ref="I14:I15" si="29">IF(H14="string",REPT(CHAR(9),2)&amp;"public const int Max"&amp;D14&amp;"Length = "&amp;G14&amp;";"&amp;$E$3,"" )</f>
        <v xml:space="preserve">		public const int MaxAddressLanguageVnLength = 200;
</v>
      </c>
      <c r="J14" t="str">
        <f t="shared" ref="J14:J15" si="30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[StringLength(MaxAddressLanguageVnLength)]
		public virtual string AddressLanguageVn { get; set; }
</v>
      </c>
      <c r="K14" s="6"/>
      <c r="L14" t="str">
        <f t="shared" ref="L14:L15" si="31">IF(K14="","",REPT(CHAR(9),1)&amp;"[Index(nameof("&amp;IF(D14="","",""&amp;D14)&amp;")"&amp;", Name="&amp;"""IX_"&amp;$B$7&amp;"_"&amp;D14&amp;""")]")</f>
        <v/>
      </c>
      <c r="M14" t="str">
        <f t="shared" ref="M14:M15" si="32">REPT(CHAR(9),2)&amp;"public virtual "&amp;IF(OR(H14="DateTime",H14="TimeSpan"),H14&amp;"?",H14)&amp;IF(C14="?","? "," ")&amp;D14&amp;" { get; set; }" &amp; "
"</f>
        <v xml:space="preserve">		public virtual string AddressLanguageVn { get; set; }
</v>
      </c>
      <c r="N14" t="str">
        <f t="shared" ref="N14:N15" si="33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[StringLength(MstCmmStorageLocationConsts.MaxAddressLanguageVnLength)]
		public virtual string AddressLanguageVn { get; set; }
</v>
      </c>
      <c r="O14" t="str">
        <f t="shared" ref="O14:O15" si="34">IF(OR(H14="string",H14="DateTime",H14="int"),REPT(CHAR(9),2)&amp;"public virtual "&amp;IF(OR(H14="DateTime",H14="TimeSpan"),H14&amp;"?",H14)&amp;IF(C14="?","? "," ")&amp;D14&amp;" { get; set; }"&amp;$E$3,"")</f>
        <v xml:space="preserve">		public virtual string AddressLanguageVn { get; set; }
</v>
      </c>
      <c r="P14" t="str">
        <f t="shared" ref="P14:P15" si="35">REPT(CHAR(9),7)&amp;D14&amp;" = o." &amp;D14 &amp;","</f>
        <v xml:space="preserve">							AddressLanguageVn = o.AddressLanguageVn,</v>
      </c>
      <c r="T14" s="64" t="str">
        <f t="shared" ref="T14:T15" si="36">REPT(CHAR(9),8)&amp;"("""&amp;D14&amp;"""),"</f>
        <v xml:space="preserve">								("AddressLanguageVn"),</v>
      </c>
      <c r="V14" s="65" t="str">
        <f t="shared" ref="V14:V15" si="37">REPT(CHAR(9),8)&amp;"_ =&gt; _."&amp;D14&amp;","</f>
        <v xml:space="preserve">								_ =&gt; _.AddressLanguageVn,</v>
      </c>
      <c r="W14" s="64" t="str">
        <f t="shared" ref="W14:W15" si="38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.WhereIf(!string.IsNullOrWhiteSpace(input.AddressLanguageVn), e =&gt; e.AddressLanguageVn.Contains(input.AddressLanguageVn))</v>
      </c>
    </row>
    <row r="15" spans="1:23" customFormat="1" ht="18.75" customHeight="1" x14ac:dyDescent="0.25">
      <c r="A15" t="s">
        <v>366</v>
      </c>
      <c r="B15" t="s">
        <v>0</v>
      </c>
      <c r="C15" t="s">
        <v>1</v>
      </c>
      <c r="D15" t="str">
        <f t="shared" si="26"/>
        <v>CategoryId</v>
      </c>
      <c r="E15" t="str">
        <f t="shared" si="27"/>
        <v>bigint</v>
      </c>
      <c r="F15" s="6"/>
      <c r="G15" t="str">
        <f t="shared" si="28"/>
        <v/>
      </c>
      <c r="H15" t="str">
        <f>+VLOOKUP(E15,'Data Type Mapping'!A:B,2,)</f>
        <v>long</v>
      </c>
      <c r="I15" t="str">
        <f t="shared" si="29"/>
        <v/>
      </c>
      <c r="J15" t="str">
        <f t="shared" si="30"/>
        <v xml:space="preserve">		public virtual long CategoryId { get; set; }
</v>
      </c>
      <c r="K15" s="6" t="s">
        <v>206</v>
      </c>
      <c r="L15" t="str">
        <f t="shared" si="31"/>
        <v xml:space="preserve">	[Index(nameof(CategoryId), Name="IX_MstCmmStorageLocation_CategoryId")]</v>
      </c>
      <c r="M15" t="str">
        <f t="shared" si="32"/>
        <v xml:space="preserve">		public virtual long CategoryId { get; set; }
</v>
      </c>
      <c r="N15" t="str">
        <f t="shared" si="33"/>
        <v xml:space="preserve">		public virtual long CategoryId { get; set; }
</v>
      </c>
      <c r="O15" t="str">
        <f t="shared" si="34"/>
        <v/>
      </c>
      <c r="P15" t="str">
        <f t="shared" si="35"/>
        <v xml:space="preserve">							CategoryId = o.CategoryId,</v>
      </c>
      <c r="T15" s="64" t="str">
        <f t="shared" si="36"/>
        <v xml:space="preserve">								("CategoryId"),</v>
      </c>
      <c r="V15" s="65" t="str">
        <f t="shared" si="37"/>
        <v xml:space="preserve">								_ =&gt; _.CategoryId,</v>
      </c>
      <c r="W15" s="64" t="str">
        <f t="shared" si="38"/>
        <v/>
      </c>
    </row>
    <row r="16" spans="1:23" customFormat="1" ht="18.75" customHeight="1" x14ac:dyDescent="0.25">
      <c r="A16" t="s">
        <v>362</v>
      </c>
      <c r="B16" t="s">
        <v>363</v>
      </c>
      <c r="C16" t="s">
        <v>1</v>
      </c>
      <c r="D16" t="str">
        <f t="shared" ref="D16" si="39">SUBSTITUTE(PROPER(A16),"_","")</f>
        <v>Category</v>
      </c>
      <c r="E16" t="str">
        <f t="shared" ref="E16" si="40">IFERROR(LEFT(B16, FIND("(",B16)-1),B16)</f>
        <v>nvarchar</v>
      </c>
      <c r="F16" s="6"/>
      <c r="G16" t="str">
        <f t="shared" ref="G16" si="41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42">IF(H16="string",REPT(CHAR(9),2)&amp;"public const int Max"&amp;D16&amp;"Length = "&amp;G16&amp;";"&amp;$E$3,"" )</f>
        <v xml:space="preserve">		public const int MaxCategoryLength = 50;
</v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[StringLength(MaxCategoryLength)]
		public virtual string Category { get; set; }
</v>
      </c>
      <c r="K16" s="6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string Category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[StringLength(MstCmmStorageLocationConsts.MaxCategoryLength)]
		public virtual string Category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string Category { get; set; }
</v>
      </c>
      <c r="P16" t="str">
        <f t="shared" ref="P16" si="48">REPT(CHAR(9),7)&amp;D16&amp;" = o." &amp;D16 &amp;","</f>
        <v xml:space="preserve">							Category = o.Category,</v>
      </c>
      <c r="T16" s="64" t="str">
        <f t="shared" ref="T16" si="49">REPT(CHAR(9),8)&amp;"("""&amp;D16&amp;"""),"</f>
        <v xml:space="preserve">								("Category"),</v>
      </c>
      <c r="V16" s="65" t="str">
        <f t="shared" ref="V16" si="50">REPT(CHAR(9),8)&amp;"_ =&gt; _."&amp;D16&amp;","</f>
        <v xml:space="preserve">								_ =&gt; _.Category,</v>
      </c>
      <c r="W16" s="64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.WhereIf(!string.IsNullOrWhiteSpace(input.Category), e =&gt; e.Category.Contains(input.Category))</v>
      </c>
    </row>
    <row r="17" spans="1:23" customFormat="1" ht="22.5" customHeight="1" x14ac:dyDescent="0.25">
      <c r="A17" t="s">
        <v>324</v>
      </c>
      <c r="B17" t="s">
        <v>352</v>
      </c>
      <c r="C17" t="s">
        <v>1</v>
      </c>
      <c r="D17" t="str">
        <f>SUBSTITUTE(PROPER(A17),"_","")</f>
        <v>IsActive</v>
      </c>
      <c r="E17" t="str">
        <f t="shared" ref="E17" si="52">IFERROR(LEFT(B17, FIND("(",B17)-1),B17)</f>
        <v>nvarchar</v>
      </c>
      <c r="F17" s="6"/>
      <c r="G17" t="str">
        <f t="shared" ref="G17" si="53">IFERROR(MID(B17,FIND("(",B17) +1, FIND(")",B17) - FIND("(",B17) - 1),"")</f>
        <v>1</v>
      </c>
      <c r="H17" t="str">
        <f>+VLOOKUP(E17,'[1]Data Type Mapping'!A:B,2,)</f>
        <v>string</v>
      </c>
      <c r="I17" t="str">
        <f t="shared" ref="I17" si="54">IF(H17="string",REPT(CHAR(9),2)&amp;"public const int Max"&amp;D17&amp;"Length = "&amp;G17&amp;";"&amp;$E$3,"" )</f>
        <v xml:space="preserve">		public const int MaxIsActiveLength = 1;
</v>
      </c>
      <c r="J17" t="str">
        <f t="shared" ref="J17" si="55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6" t="s">
        <v>206</v>
      </c>
      <c r="L17" t="str">
        <f>IF(K17="","",REPT(CHAR(9),1)&amp;"[Index(nameof("&amp;IF(D17="","",""&amp;D17)&amp;")"&amp;", Name="&amp;"""IX_"&amp;$B$7&amp;"_"&amp;D17&amp;""")]")</f>
        <v xml:space="preserve">	[Index(nameof(IsActive), Name="IX_MstCmmStorageLocation_IsActive")]</v>
      </c>
      <c r="M17" t="str">
        <f t="shared" ref="M17" si="56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57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[StringLength(MstCmmStorageLocationConsts.MaxIsActiveLength)]
		public virtual string IsActive { get; set; }
</v>
      </c>
      <c r="O17" t="str">
        <f t="shared" ref="O17" si="58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ref="P17" si="59">REPT(CHAR(9),7)&amp;D17&amp;" = o." &amp;D17 &amp;","</f>
        <v xml:space="preserve">							IsActive = o.IsActive,</v>
      </c>
      <c r="T17" s="64" t="str">
        <f t="shared" ref="T17" si="60">REPT(CHAR(9),8)&amp;"("""&amp;D17&amp;"""),"</f>
        <v xml:space="preserve">								("IsActive"),</v>
      </c>
      <c r="V17" s="65" t="str">
        <f t="shared" ref="V17" si="61">REPT(CHAR(9),8)&amp;"_ =&gt; _."&amp;D17&amp;","</f>
        <v xml:space="preserve">								_ =&gt; _.IsActive,</v>
      </c>
      <c r="W17" s="64" t="str">
        <f t="shared" ref="W17" si="62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MaxPlantCodeLength = 4;
		public const int MaxPlantNameLength = 30;
		public const int MaxStorageLocationLength = 4;
		public const int MaxStorageLocationNameLength = 200;
		public const int MaxAddressLanguageEnLength = 200;
		public const int MaxAddressLanguageVnLength = 200;
		public const int MaxCategoryLength = 50;
		public const int MaxIsActiveLength = 1;
</v>
      </c>
      <c r="J19" s="30" t="str">
        <f ca="1">TEXTJOIN2("
", TRUE,INDIRECT( $F$1):INDIRECT( $F$3))</f>
        <v xml:space="preserve">		[StringLength(MaxPlantCodeLength)]
		public virtual string PlantCode { get; set; }
		[StringLength(MaxPlantNameLength)]
		public virtual string PlantName { get; set; }
		[StringLength(MaxStorageLocationLength)]
		public virtual string StorageLocation { get; set; }
		[StringLength(MaxStorageLocationNameLength)]
		public virtual string StorageLocationName { get; set; }
		[StringLength(MaxAddressLanguageEnLength)]
		public virtual string AddressLanguageEn { get; set; }
		[StringLength(MaxAddressLanguageVnLength)]
		public virtual string AddressLanguageVn { get; set; }
		public virtual long CategoryId { get; set; }
		[StringLength(MaxCategoryLength)]
		public virtual string Category { get; set; }
		[StringLength(MaxIsActiveLength)]
		public virtual string IsActive { get; set; }
</v>
      </c>
      <c r="K19" s="32" t="str">
        <f ca="1">TEXTJOIN2("
", TRUE,INDIRECT( $J$1):INDIRECT( $J$3))</f>
        <v xml:space="preserve">	[Index(nameof(PlantCode), Name="IX_MstCmmStorageLocation_PlantCode")]
	[Index(nameof(StorageLocation), Name="IX_MstCmmStorageLocation_StorageLocation")]
	[Index(nameof(CategoryId), Name="IX_MstCmmStorageLocation_CategoryId")]
	[Index(nameof(IsActive), Name="IX_MstCmmStorageLocation_IsActive")]</v>
      </c>
      <c r="L19" s="12" t="s">
        <v>60</v>
      </c>
      <c r="M19" s="33" t="str">
        <f ca="1">TEXTJOIN2("
",TRUE,INDIRECT( $L$1):INDIRECT($L$3))</f>
        <v xml:space="preserve">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long CategoryId { get; set; }
		public virtual string Category { get; set; }
		public virtual string IsActive { get; set; }
</v>
      </c>
      <c r="N19" s="30" t="str">
        <f ca="1">TEXTJOIN2("
",TRUE,INDIRECT( $M$1):INDIRECT($M$3))</f>
        <v xml:space="preserve">		[StringLength(MstCmmStorageLocationConsts.MaxPlantCodeLength)]
		public virtual string PlantCode { get; set; }
		[StringLength(MstCmmStorageLocationConsts.MaxPlantNameLength)]
		public virtual string PlantName { get; set; }
		[StringLength(MstCmmStorageLocationConsts.MaxStorageLocationLength)]
		public virtual string StorageLocation { get; set; }
		[StringLength(MstCmmStorageLocationConsts.MaxStorageLocationNameLength)]
		public virtual string StorageLocationName { get; set; }
		[StringLength(MstCmmStorageLocationConsts.MaxAddressLanguageEnLength)]
		public virtual string AddressLanguageEn { get; set; }
		[StringLength(MstCmmStorageLocationConsts.MaxAddressLanguageVnLength)]
		public virtual string AddressLanguageVn { get; set; }
		public virtual long CategoryId { get; set; }
		[StringLength(MstCmmStorageLocationConsts.MaxCategoryLength)]
		public virtual string Category { get; set; }
		[StringLength(MstCmmStorageLocationConsts.MaxIsActiveLength)]
		public virtual string IsActive { get; set; }
</v>
      </c>
      <c r="O19" s="30" t="str">
        <f ca="1">TEXTJOIN2("
",TRUE,INDIRECT( $N$1):INDIRECT($N$3))</f>
        <v xml:space="preserve">		public virtual string PlantCode { get; set; }
		public virtual string PlantName { get; set; }
		public virtual string StorageLocation { get; set; }
		public virtual string StorageLocationName { get; set; }
		public virtual string AddressLanguageEn { get; set; }
		public virtual string AddressLanguageVn { get; set; }
		public virtual string Category { get; set; }
		public virtual string IsActive { get; set; }
</v>
      </c>
      <c r="P19" s="8" t="str">
        <f ca="1">TEXTJOIN2("
",TRUE,INDIRECT( $O$1):INDIRECT($O$3))</f>
        <v xml:space="preserve">							PlantCode = o.PlantCode,
							PlantName = o.PlantName,
							StorageLocation = o.StorageLocation,
							StorageLocationName = o.StorageLocationName,
							AddressLanguageEn = o.AddressLanguageEn,
							AddressLanguageVn = o.AddressLanguageVn,
							CategoryId = o.CategoryId,
							Category = o.Category,
							IsActive = o.IsActive,</v>
      </c>
      <c r="T19" s="8" t="str">
        <f ca="1">TEXTJOIN2("
",TRUE,INDIRECT( $T$2):INDIRECT($T$3))</f>
        <v xml:space="preserve">								("PlantCode"),
								("PlantName"),
								("StorageLocation"),
								("StorageLocationName"),
								("AddressLanguageEn"),
								("AddressLanguageVn"),
								("CategoryId"),
								("Category"),
								("IsActive"),</v>
      </c>
      <c r="V19" s="8" t="str">
        <f ca="1">TEXTJOIN2("
",TRUE,INDIRECT( $V$2):INDIRECT($V$3))</f>
        <v xml:space="preserve">								_ =&gt; _.PlantCode,
								_ =&gt; _.PlantName,
								_ =&gt; _.StorageLocation,
								_ =&gt; _.StorageLocationName,
								_ =&gt; _.AddressLanguageEn,
								_ =&gt; _.AddressLanguageVn,
								_ =&gt; _.CategoryId,
								_ =&gt; _.Category,
								_ =&gt; _.IsActive,</v>
      </c>
      <c r="W19" s="8" t="str">
        <f ca="1">TEXTJOIN2("
",TRUE,INDIRECT( $W$2):INDIRECT($W$3))</f>
        <v xml:space="preserve">				.WhereIf(!string.IsNullOrWhiteSpace(input.PlantCode), e =&gt; e.PlantCode.Contains(input.PlantCode))
				.WhereIf(!string.IsNullOrWhiteSpace(input.PlantName), e =&gt; e.PlantName.Contains(input.PlantName))
				.WhereIf(!string.IsNullOrWhiteSpace(input.StorageLocation), e =&gt; e.StorageLocation.Contains(input.StorageLocation))
				.WhereIf(!string.IsNullOrWhiteSpace(input.StorageLocationName), e =&gt; e.StorageLocationName.Contains(input.StorageLocationName))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.WhereIf(!string.IsNullOrWhiteSpace(input.Category), e =&gt; e.Category.Contains(input.Category))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C21" sqref="C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212</v>
      </c>
      <c r="B1" s="39" t="s">
        <v>367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MstCmmStorageLocation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StorageLocation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storagelocation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MstCmmStorageLocationDto, MstCmmStorageLocationServiceProxy } from '@shared/service-proxies/service-proxies';
import { finalize } from 'rxjs/internal/operators/finalize';
import { CreateOrEditStorageLocationModalComponent } from './create-or-edit-storagelocation-modal.component';
import { DatePipe } from '@angular/common';
import { FileDownloadService } from '@shared/utils/file-download.service';
import ceil from 'lodash-es/ceil';
import { Paginator } from 'primeng/paginator';
@Component({
    templateUrl: './storagelocation.component.html',
    styleUrls: ['./storagelocation.component.less'],
})
export class StorageLocationComponent extends AppComponentBase implements OnInit {
    @ViewChild('createOrEditModalStorageLocation', { static: true }) createOrEditModalStorageLocation:| CreateOrEditStorageLocationModalComponent|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MstCmmStorageLocationDto = new MstCmmStorageLocationDto();
    saveSelectedRow: MstCmmStorageLocationDto = new MstCmmStorageLocationDto();
    datas: MstCmmStorageLocationDto = new MstCmmStorageLocationDto();
    isLoading: boolean = false;
    dataParams: GridParams | undefined;
    rowData: any[] = [];
    gridApi!: GridApi;
    rowSelection = 'multiple';
    filter: string = '';
	pipe = new DatePipe('en-US');
	frameworkComponents: FrameworkComponent;
    	plantCode : string = '' ; 
	plantName : string = '' ; 
	storageLocation : string = '' ; 
	storageLocationName : string = '' ; 
	addressLanguageEn : string = '' ; 
	addressLanguageVn : string = '' ; 
	categoryId
	category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MstCmmStorageLocationServiceProxy,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this.l('Plant Code'),headerTooltip: this.l('Plant Code'),field: 'plantCode',flex: 1},
			{headerName: this.l('Plant Name'),headerTooltip: this.l('Plant Name'),field: 'plantName',flex: 1},
			{headerName: this.l('Storage Location'),headerTooltip: this.l('Storage Location'),field: 'storageLocation',flex: 1},
			{headerName: this.l('Storage Location Name'),headerTooltip: this.l('Storage Location Name'),field: 'storageLocationName',flex: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this.l('Category Id'),headerTooltip: this.l('Category Id'),field: 'categoryId',flex: 1},
			{headerName: this.l('Category'),headerTooltip: this.l('Category'),field: 'category',flex: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this.plantCode,
			this.plantName,
			this.storageLocation,
			this.storageLocationName,
			this.addressLanguageEn,
			this.addressLanguageVn,
			this.categoryId,
			this.category,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this.plantCode = '',
		this.plantName = '',
		this.storageLocation = '',
		this.storageLocationName = '',
		this.addressLanguageEn = '',
		this.addressLanguageVn = '',
		this.categoryId = '',
		this.category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this.plantCode,
			this.plantName,
			this.storageLocation,
			this.storageLocationName,
			this.addressLanguageEn,
			this.addressLanguageVn,
			this.categoryId,
			this.category,
			this.isActive,
			'',
            this.paginationParams.skipCount,
            this.paginationParams.pageSize
        );
    }
    onChangeRowSelection(params: { api: { getSelectedRows: () =&gt; MstCmmStorageLocationDto[] } }) {
        this.saveSelectedRow = params.api.getSelectedRows()[0] ?? new MstCmmStorageLocationDto();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MstCmmStorageLocationDto):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this._service.getStorageLocationToExcel(
			this.plantCode,
			this.plantName,
			this.storageLocation,
			this.storageLocationName,
			this.addressLanguageEn,
			this.addressLanguageVn,
			this.categoryId,
			this.category,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Storage Location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[(ngModel)]='storageLocationName' name='storageLocationName'
									class='form-control' [placeholder]="l('Storage Location Name')"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[(ngModel)]='category' name='category'
									class='form-control' [placeholder]="l('Category')"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(click)="createOrEditModalStorageLocation.show()"&gt;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(click)="createOrEditModalStorageLocation.show(selectedRow)"&gt;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&lt;create-or-edit-storagelocation-modal
    #createOrEditModalStorageLocation
    (modalSave)="callBackDataGrid(dataParams)"
    (modalClose)="onChangeRowSelection(dataParams)"
&gt;
&lt;/create-or-edit-storagelocation-modal&gt;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#createOrEditModalStorageLocation="bs-modal"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StorageLocation')}}&lt;/h3&gt;
                    &lt;h3 *ngIf="!rowdata.id"&gt;{{('Create New StorageLocation')}}&lt;/h3&gt;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title'&gt;Storage Location Name&lt;/label&gt;
						&lt;input type='text' class='col-md-10 form-control input-text' name='StorageLocationName' [(ngModel)]='rowdata.storageLocationName'&gt;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title'&gt;Category&lt;/label&gt;
						&lt;input type='text' class='col-md-10 form-control input-text' name='Category' [(ngModel)]='rowdata.category'&gt;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CreateOrEditMstCmmStorageLocationDto, MstCmmStorageLocationServiceProxy } from '@shared/service-proxies/service-proxies';
import { BsDatepickerDirective } from 'ngx-bootstrap/datepicker';
@Component({
    selector: 'create-or-edit-storagelocation-modal',
    templateUrl: './create-or-edit-storagelocation-modal.component.html',
    styleUrls: ['./create-or-edit-storagelocation-modal.component.less']
    })
export class CreateOrEditStorageLocationModalComponent extends AppComponentBase {
    @ViewChild('createOrEditModalStorageLocation',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CreateOrEditMstCmmStorageLocationDto = new CreateOrEditMstCmmStorageLocationDto();
    active: boolean = false;
    saving: boolean = false;
    _isActive: boolean;
    constructor(
        injector: Injector,
        private _mstwptStorageLocationService: MstCmmStorageLocationServiceProxy,
    ) 
    {
        super(injector);
    }
    show(rowdata?: CreateOrEditMstCmmStorageLocationDto): void {
        if (!rowdata) this.rowdata = new CreateOrEditMstCmmStorageLocationDto();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this._mstwptStorageLocationService.createOrEdit(this.rowdata)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StorageLocationRoutingModule } from './storagelocation-routing.module';
import { StorageLocationComponent } from './storagelocation.component';
import { CreateOrEditStorageLocationModalComponent } from './create-or-edit-storagelocation-modal.component';
@NgModule({
    declarations: [
       StorageLocationComponent, 
        CreateOrEditStorageLocationModalComponent
    ],
    imports: [
        AppSharedModule, StorageLocationRoutingModule]
})
export class StorageLocationModule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StorageLocationComponent } from './storagelocation.component';
const routes: Routes = [{
    path: '',
    component: StorageLocationComponent,
    pathMatch: 'full'
}];
@NgModule({
    imports: [RouterModule.forChild(routes)],
    exports: [RouterModule],
})
export class StorageLocationRoutingModule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AppMenuItem("StorageLocation", "Pages.Master.Common.StorageLocation", "flaticon-book",   "/app/main/master/common/storagelocation"),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'master/common/storagelocation',
    loadChildren: () =&gt; import('./master/common/storagelocation/storagelocation.module').then(m =&gt; m.StorageLocationModule),
    data: { permission: 'Pages.Master.Common.StorageLocation' }
},</v>
      </c>
      <c r="R10" s="47" t="str">
        <f>SUBSTITUTE(R9,"MstWptCalendar",$B$6)</f>
        <v>ApiServiceProxies.MstCmmStorageLocationServiceProxy,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this.l('Plant Code'),headerTooltip: this.l('Plant Code'),field: 'plantCode',flex: 1},
			{headerName: this.l('Plant Name'),headerTooltip: this.l('Plant Name'),field: 'plantName',flex: 1},
			{headerName: this.l('Storage Location'),headerTooltip: this.l('Storage Location'),field: 'storageLocation',flex: 1},
			{headerName: this.l('Storage Location Name'),headerTooltip: this.l('Storage Location Name'),field: 'storageLocationName',flex: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this.l('Category Id'),headerTooltip: this.l('Category Id'),field: 'categoryId',flex: 1},
			{headerName: this.l('Category'),headerTooltip: this.l('Category'),field: 'category',flex: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[(ngModel)]='storageLocation' name='storageLocation'
									class='form-control' [placeholder]="l('Storage Location')"
									type='text' (keyup.enter)='searchDatas()'&gt;
								&lt;/div&gt;
								&lt;div class='input-search'&gt;
									&lt;input [(ngModel)]='storageLocationName' name='storageLocationName'
									class='form-control' [placeholder]="l('Storage Location Name')"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[(ngModel)]='category' name='category'
									class='form-control' [placeholder]="l('Category')"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
					&lt;div class='col-md-12 form-group row'&gt;
						&lt;label class='col-md-2 form-control title'&gt;Storage Location Name&lt;/label&gt;
						&lt;input type='text' class='col-md-10 form-control input-text' name='StorageLocationName' [(ngModel)]='rowdata.storageLocationName'&gt;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title'&gt;Category&lt;/label&gt;
						&lt;input type='text' class='col-md-10 form-control input-text' name='Category' [(ngModel)]='rowdata.category'&gt;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plantCode : string = '' ; 
	plantName : string = '' ; 
	storageLocation : string = '' ; 
	storageLocationName : string = '' ; 
	addressLanguageEn : string = '' ; 
	addressLanguageVn : string = '' ; 
	categoryId
	category : string = '' ; 
	isActive : string = '' ; </v>
      </c>
      <c r="T13" s="63" t="str">
        <f ca="1">TEXTJOIN2("
",TRUE,INDIRECT(T11):INDIRECT(T12))</f>
        <v xml:space="preserve">			this.plantCode,
			this.plantName,
			this.storageLocation,
			this.storageLocationName,
			this.addressLanguageEn,
			this.addressLanguageVn,
			this.categoryId,
			this.category,
			this.isActive,</v>
      </c>
      <c r="U13" s="63" t="str">
        <f ca="1">TEXTJOIN2("
",TRUE,INDIRECT(U11):INDIRECT(U12))</f>
        <v xml:space="preserve">		this.plantCode = '',
		this.plantName = '',
		this.storageLocation = '',
		this.storageLocationName = '',
		this.addressLanguageEn = '',
		this.addressLanguageVn = '',
		this.categoryId = '',
		this.category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storagelocation.component.ts</v>
      </c>
      <c r="I14" s="37" t="str">
        <f>B8&amp;".component.html"</f>
        <v>storagelocation.component.html</v>
      </c>
      <c r="J14" s="36" t="str">
        <f>B8&amp;".component.less"</f>
        <v>storagelocation.component.less</v>
      </c>
      <c r="K14" s="37" t="str">
        <f>"create-or-edit-"&amp;B8&amp;"-modal.component.html"</f>
        <v>create-or-edit-storagelocation-modal.component.html</v>
      </c>
      <c r="L14" s="37" t="str">
        <f>"create-or-edit-"&amp;B8&amp;"-modal.component.ts"</f>
        <v>create-or-edit-storagelocation-modal.component.ts</v>
      </c>
      <c r="M14" s="37" t="str">
        <f>"create-or-edit-"&amp;B8&amp;"-modal.component.less"</f>
        <v>create-or-edit-storagelocation-modal.component.less</v>
      </c>
      <c r="N14" s="37" t="str">
        <f>B8&amp;".module.ts"</f>
        <v>storagelocation.module.ts</v>
      </c>
      <c r="O14" s="37" t="str">
        <f>B8&amp;"-routing.module.ts"</f>
        <v>storagelocation-routing.module.ts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PlantCode</v>
      </c>
      <c r="C15" s="28" t="str">
        <f t="shared" ref="C15:C16" si="1">SUBSTITUTE(PROPER(A15),"_"," ")</f>
        <v>Plant Code</v>
      </c>
      <c r="D15" s="28" t="str">
        <f t="shared" ref="D15:D16" si="2">LOWER(LEFT(B15,1))&amp;RIGHT(B15,LEN(B15) - 1)</f>
        <v>plantCode</v>
      </c>
      <c r="E15" s="28" t="str">
        <f>A.Backend!H9</f>
        <v>string</v>
      </c>
      <c r="F15" s="28" t="str">
        <f>A.Backend!G9</f>
        <v>4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this.l('Plant Code'),headerTooltip: this.l('Plant Code'),field: 'plantCode',flex: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[(ngModel)]='plantCode' name='plantCode'
									class='form-control' [placeholder]="l('Plant 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plantCode : string = '' ; </v>
      </c>
      <c r="T15" s="28" t="str">
        <f>REPT(CHAR(9),3)&amp;"this."&amp;D15&amp;","</f>
        <v xml:space="preserve">			this.plantCode,</v>
      </c>
      <c r="U15" s="28" t="str">
        <f>IF(E15="int",REPT(CHAR(9),2)&amp;"this."&amp;D15&amp;" = 0,",REPT(CHAR(9),2)&amp;"this."&amp;D15&amp;" = '',")</f>
        <v xml:space="preserve">		this.plantCode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PlantName</v>
      </c>
      <c r="C16" s="28" t="str">
        <f t="shared" si="1"/>
        <v>Plant Name</v>
      </c>
      <c r="D16" s="28" t="str">
        <f t="shared" si="2"/>
        <v>plantName</v>
      </c>
      <c r="E16" s="28" t="str">
        <f>A.Backend!H10</f>
        <v>string</v>
      </c>
      <c r="F16" s="28" t="str">
        <f>A.Backend!G10</f>
        <v>30</v>
      </c>
      <c r="G16" s="28" t="str">
        <f t="shared" si="3"/>
        <v xml:space="preserve"> : string = '' ; </v>
      </c>
      <c r="H16" s="35" t="str">
        <f t="shared" si="4"/>
        <v xml:space="preserve">			{headerName: this.l('Plant Name'),headerTooltip: this.l('Plant Name'),field: 'plantName',flex: 1},</v>
      </c>
      <c r="I16" s="35" t="str">
        <f t="shared" si="5"/>
        <v xml:space="preserve">								&lt;div class='input-search'&gt;
									&lt;input [(ngModel)]='plantName' name='plantName'
									class='form-control' [placeholder]="l('Plant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title'&gt;Plant Name&lt;/label&gt;
						&lt;input type='text' class='col-md-10 form-control input-text' name='PlantName' [(ngModel)]='rowdata.plantName'&gt;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plantName : string = '' ; </v>
      </c>
      <c r="T16" s="28" t="str">
        <f t="shared" ref="T16" si="10">REPT(CHAR(9),3)&amp;"this."&amp;D16&amp;","</f>
        <v xml:space="preserve">			this.plantName,</v>
      </c>
      <c r="U16" s="28" t="str">
        <f t="shared" ref="U16" si="11">IF(E16="int",REPT(CHAR(9),2)&amp;"this."&amp;D16&amp;" = 0,",REPT(CHAR(9),2)&amp;"this."&amp;D16&amp;" = '',")</f>
        <v xml:space="preserve">		this.plantName = '',</v>
      </c>
      <c r="V16" s="28" t="str">
        <f t="shared" si="8"/>
        <v/>
      </c>
    </row>
    <row r="17" spans="1:22" ht="18" customHeight="1" x14ac:dyDescent="0.25">
      <c r="A17" s="28" t="s">
        <v>360</v>
      </c>
      <c r="B17" s="28" t="str">
        <f t="shared" ref="B17:B22" si="12">SUBSTITUTE(PROPER(A17),"_","")</f>
        <v>StorageLocation</v>
      </c>
      <c r="C17" s="28" t="str">
        <f t="shared" ref="C17:C22" si="13">SUBSTITUTE(PROPER(A17),"_"," ")</f>
        <v>Storage Location</v>
      </c>
      <c r="D17" s="28" t="str">
        <f t="shared" ref="D17:D22" si="14">LOWER(LEFT(B17,1))&amp;RIGHT(B17,LEN(B17) - 1)</f>
        <v>storageLocation</v>
      </c>
      <c r="E17" s="28" t="str">
        <f>A.Backend!H11</f>
        <v>string</v>
      </c>
      <c r="F17" s="28" t="str">
        <f>A.Backend!G11</f>
        <v>4</v>
      </c>
      <c r="G17" s="28" t="str">
        <f t="shared" ref="G17:G22" si="15">IF(E17="string"," : string = '' ; ",IF(OR(E17="DateTime",E17="TimeSpan")," : any ;",IF(E17="int"," : number = 0 ;","")))</f>
        <v xml:space="preserve"> : string = '' ; </v>
      </c>
      <c r="H17" s="35" t="str">
        <f t="shared" ref="H17:H22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this.l('Storage Location'),headerTooltip: this.l('Storage Location'),field: 'storageLocation',flex: 1},</v>
      </c>
      <c r="I17" s="35" t="str">
        <f t="shared" ref="I17:I22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[(ngModel)]='storageLocation' name='storageLocation'
									class='form-control' [placeholder]="l('Storage Location')"
									type='text' (keyup.enter)='searchDatas()'&gt;
								&lt;/div&gt;</v>
      </c>
      <c r="J17" s="28"/>
      <c r="K17" s="35" t="str">
        <f t="shared" ref="K17:K22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title'&gt;Storage Location&lt;/label&gt;
						&lt;input type='text' class='col-md-10 form-control input-text' name='StorageLocation' [(ngModel)]='rowdata.storageLocation'&gt;
					&lt;/div&gt;</v>
      </c>
      <c r="L17" s="56" t="str">
        <f t="shared" ref="L17:L22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:S22" si="20">REPT(CHAR(9),1)&amp;D17&amp;G17</f>
        <v xml:space="preserve">	storageLocation : string = '' ; </v>
      </c>
      <c r="T17" s="28" t="str">
        <f t="shared" ref="T17:T22" si="21">REPT(CHAR(9),3)&amp;"this."&amp;D17&amp;","</f>
        <v xml:space="preserve">			this.storageLocation,</v>
      </c>
      <c r="U17" s="28" t="str">
        <f t="shared" ref="U17:U22" si="22">IF(E17="int",REPT(CHAR(9),2)&amp;"this."&amp;D17&amp;" = 0,",REPT(CHAR(9),2)&amp;"this."&amp;D17&amp;" = '',")</f>
        <v xml:space="preserve">		this.storageLocation = '',</v>
      </c>
      <c r="V17" s="28" t="str">
        <f t="shared" ref="V17:V22" si="23">IF(AND(E17="string",F17="1"),D17,"")</f>
        <v/>
      </c>
    </row>
    <row r="18" spans="1:22" ht="18" customHeight="1" x14ac:dyDescent="0.25">
      <c r="A18" s="28" t="s">
        <v>361</v>
      </c>
      <c r="B18" s="28" t="str">
        <f t="shared" si="12"/>
        <v>StorageLocationName</v>
      </c>
      <c r="C18" s="28" t="str">
        <f t="shared" si="13"/>
        <v>Storage Location Name</v>
      </c>
      <c r="D18" s="28" t="str">
        <f t="shared" si="14"/>
        <v>storageLocationName</v>
      </c>
      <c r="E18" s="28" t="str">
        <f>A.Backend!H12</f>
        <v>string</v>
      </c>
      <c r="F18" s="28" t="str">
        <f>A.Backend!G12</f>
        <v>200</v>
      </c>
      <c r="G18" s="28" t="str">
        <f t="shared" si="15"/>
        <v xml:space="preserve"> : string = '' ; </v>
      </c>
      <c r="H18" s="35" t="str">
        <f t="shared" si="16"/>
        <v xml:space="preserve">			{headerName: this.l('Storage Location Name'),headerTooltip: this.l('Storage Location Name'),field: 'storageLocationName',flex: 1},</v>
      </c>
      <c r="I18" s="35" t="str">
        <f t="shared" si="17"/>
        <v xml:space="preserve">								&lt;div class='input-search'&gt;
									&lt;input [(ngModel)]='storageLocationName' name='storageLocationName'
									class='form-control' [placeholder]="l('Storage Location Name')"
									type='text' (keyup.enter)='searchDatas()'&gt;
								&lt;/div&gt;</v>
      </c>
      <c r="J18" s="28"/>
      <c r="K18" s="35" t="str">
        <f t="shared" si="18"/>
        <v xml:space="preserve">					&lt;div class='col-md-12 form-group row'&gt;
						&lt;label class='col-md-2 form-control title'&gt;Storage Location Name&lt;/label&gt;
						&lt;input type='text' class='col-md-10 form-control input-text' name='StorageLocationName' [(ngModel)]='rowdata.storageLocationName'&gt;
					&lt;/div&gt;</v>
      </c>
      <c r="L18" s="56" t="str">
        <f t="shared" si="19"/>
        <v/>
      </c>
      <c r="M18" s="28"/>
      <c r="N18" s="28"/>
      <c r="O18" s="28"/>
      <c r="P18" s="28"/>
      <c r="Q18" s="28"/>
      <c r="R18" s="28"/>
      <c r="S18" s="28" t="str">
        <f t="shared" si="20"/>
        <v xml:space="preserve">	storageLocationName : string = '' ; </v>
      </c>
      <c r="T18" s="28" t="str">
        <f t="shared" si="21"/>
        <v xml:space="preserve">			this.storageLocationName,</v>
      </c>
      <c r="U18" s="28" t="str">
        <f t="shared" si="22"/>
        <v xml:space="preserve">		this.storageLocationName = '',</v>
      </c>
      <c r="V18" s="28" t="str">
        <f t="shared" si="23"/>
        <v/>
      </c>
    </row>
    <row r="19" spans="1:22" ht="18" customHeight="1" x14ac:dyDescent="0.25">
      <c r="A19" s="28" t="s">
        <v>358</v>
      </c>
      <c r="B19" s="28" t="str">
        <f t="shared" si="12"/>
        <v>AddressLanguageEn</v>
      </c>
      <c r="C19" s="28" t="str">
        <f t="shared" si="13"/>
        <v>Address Language En</v>
      </c>
      <c r="D19" s="28" t="str">
        <f t="shared" si="14"/>
        <v>addressLanguageEn</v>
      </c>
      <c r="E19" s="28" t="str">
        <f>A.Backend!H13</f>
        <v>string</v>
      </c>
      <c r="F19" s="28" t="str">
        <f>A.Backend!G13</f>
        <v>200</v>
      </c>
      <c r="G19" s="28" t="str">
        <f t="shared" si="15"/>
        <v xml:space="preserve"> : string = '' ; </v>
      </c>
      <c r="H19" s="35" t="str">
        <f t="shared" si="16"/>
        <v xml:space="preserve">			{headerName: this.l('Address Language En'),headerTooltip: this.l('Address Language En'),field: 'addressLanguageEn',flex: 1},</v>
      </c>
      <c r="I19" s="35" t="str">
        <f t="shared" si="17"/>
        <v xml:space="preserve">								&lt;div class='input-search'&gt;
									&lt;input [(ngModel)]='addressLanguageEn' name='addressLanguageEn'
									class='form-control' [placeholder]="l('Address Language En')"
									type='text' (keyup.enter)='searchDatas()'&gt;
								&lt;/div&gt;</v>
      </c>
      <c r="J19" s="28"/>
      <c r="K19" s="35" t="str">
        <f t="shared" si="18"/>
        <v xml:space="preserve">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20"/>
        <v xml:space="preserve">	addressLanguageEn : string = '' ; </v>
      </c>
      <c r="T19" s="28" t="str">
        <f t="shared" si="21"/>
        <v xml:space="preserve">			this.addressLanguageEn,</v>
      </c>
      <c r="U19" s="28" t="str">
        <f t="shared" si="22"/>
        <v xml:space="preserve">		this.addressLanguageEn = '',</v>
      </c>
      <c r="V19" s="28" t="str">
        <f t="shared" si="23"/>
        <v/>
      </c>
    </row>
    <row r="20" spans="1:22" ht="18" customHeight="1" x14ac:dyDescent="0.25">
      <c r="A20" s="28" t="s">
        <v>357</v>
      </c>
      <c r="B20" s="28" t="str">
        <f t="shared" ref="B20:B21" si="24">SUBSTITUTE(PROPER(A20),"_","")</f>
        <v>AddressLanguageVn</v>
      </c>
      <c r="C20" s="28" t="str">
        <f t="shared" ref="C20:C21" si="25">SUBSTITUTE(PROPER(A20),"_"," ")</f>
        <v>Address Language Vn</v>
      </c>
      <c r="D20" s="28" t="str">
        <f t="shared" ref="D20:D21" si="26">LOWER(LEFT(B20,1))&amp;RIGHT(B20,LEN(B20) - 1)</f>
        <v>addressLanguageVn</v>
      </c>
      <c r="E20" s="28" t="str">
        <f>A.Backend!H14</f>
        <v>string</v>
      </c>
      <c r="F20" s="28" t="str">
        <f>A.Backend!G14</f>
        <v>200</v>
      </c>
      <c r="G20" s="28" t="str">
        <f t="shared" ref="G20:G21" si="27">IF(E20="string"," : string = '' ; ",IF(OR(E20="DateTime",E20="TimeSpan")," : any ;",IF(E20="int"," : number = 0 ;","")))</f>
        <v xml:space="preserve"> : string = '' ; </v>
      </c>
      <c r="H20" s="35" t="str">
        <f t="shared" ref="H20:H21" si="28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this.l('Address Language Vn'),headerTooltip: this.l('Address Language Vn'),field: 'addressLanguageVn',flex: 1},</v>
      </c>
      <c r="I20" s="35" t="str">
        <f t="shared" ref="I20:I21" si="29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[(ngModel)]='addressLanguageVn' name='addressLanguageVn'
									class='form-control' [placeholder]="l('Address Language Vn')"
									type='text' (keyup.enter)='searchDatas()'&gt;
								&lt;/div&gt;</v>
      </c>
      <c r="J20" s="28"/>
      <c r="K20" s="35" t="str">
        <f t="shared" ref="K20:K21" si="30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</v>
      </c>
      <c r="L20" s="56" t="str">
        <f t="shared" ref="L20:L21" si="31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:S21" si="32">REPT(CHAR(9),1)&amp;D20&amp;G20</f>
        <v xml:space="preserve">	addressLanguageVn : string = '' ; </v>
      </c>
      <c r="T20" s="28" t="str">
        <f t="shared" ref="T20:T21" si="33">REPT(CHAR(9),3)&amp;"this."&amp;D20&amp;","</f>
        <v xml:space="preserve">			this.addressLanguageVn,</v>
      </c>
      <c r="U20" s="28" t="str">
        <f t="shared" ref="U20:U21" si="34">IF(E20="int",REPT(CHAR(9),2)&amp;"this."&amp;D20&amp;" = 0,",REPT(CHAR(9),2)&amp;"this."&amp;D20&amp;" = '',")</f>
        <v xml:space="preserve">		this.addressLanguageVn = '',</v>
      </c>
      <c r="V20" s="28" t="str">
        <f t="shared" ref="V20:V21" si="35">IF(AND(E20="string",F20="1"),D20,"")</f>
        <v/>
      </c>
    </row>
    <row r="21" spans="1:22" ht="18" customHeight="1" x14ac:dyDescent="0.25">
      <c r="A21" s="28" t="s">
        <v>366</v>
      </c>
      <c r="B21" s="28" t="str">
        <f t="shared" si="24"/>
        <v>CategoryId</v>
      </c>
      <c r="C21" s="28" t="str">
        <f t="shared" si="25"/>
        <v>Category Id</v>
      </c>
      <c r="D21" s="28" t="str">
        <f t="shared" si="26"/>
        <v>categoryId</v>
      </c>
      <c r="E21" s="28" t="str">
        <f>A.Backend!H15</f>
        <v>long</v>
      </c>
      <c r="F21" s="28" t="str">
        <f>A.Backend!G15</f>
        <v/>
      </c>
      <c r="G21" s="28" t="str">
        <f t="shared" si="27"/>
        <v/>
      </c>
      <c r="H21" s="35" t="str">
        <f t="shared" si="28"/>
        <v xml:space="preserve">			{headerName: this.l('Category Id'),headerTooltip: this.l('Category Id'),field: 'categoryId',flex: 1},</v>
      </c>
      <c r="I21" s="35" t="str">
        <f t="shared" si="29"/>
        <v/>
      </c>
      <c r="J21" s="28"/>
      <c r="K21" s="35" t="str">
        <f t="shared" si="30"/>
        <v/>
      </c>
      <c r="L21" s="56" t="str">
        <f t="shared" si="31"/>
        <v/>
      </c>
      <c r="M21" s="28"/>
      <c r="N21" s="28"/>
      <c r="O21" s="28"/>
      <c r="P21" s="28"/>
      <c r="Q21" s="28"/>
      <c r="R21" s="28"/>
      <c r="S21" s="28" t="str">
        <f t="shared" si="32"/>
        <v xml:space="preserve">	categoryId</v>
      </c>
      <c r="T21" s="28" t="str">
        <f t="shared" si="33"/>
        <v xml:space="preserve">			this.categoryId,</v>
      </c>
      <c r="U21" s="28" t="str">
        <f t="shared" si="34"/>
        <v xml:space="preserve">		this.categoryId = '',</v>
      </c>
      <c r="V21" s="28" t="str">
        <f t="shared" si="35"/>
        <v/>
      </c>
    </row>
    <row r="22" spans="1:22" ht="18" customHeight="1" x14ac:dyDescent="0.25">
      <c r="A22" s="28" t="s">
        <v>362</v>
      </c>
      <c r="B22" s="28" t="str">
        <f t="shared" si="12"/>
        <v>Category</v>
      </c>
      <c r="C22" s="28" t="str">
        <f t="shared" si="13"/>
        <v>Category</v>
      </c>
      <c r="D22" s="28" t="str">
        <f t="shared" si="14"/>
        <v>category</v>
      </c>
      <c r="E22" s="28" t="str">
        <f>A.Backend!H16</f>
        <v>string</v>
      </c>
      <c r="F22" s="28" t="str">
        <f>A.Backend!G16</f>
        <v>50</v>
      </c>
      <c r="G22" s="28" t="str">
        <f t="shared" si="15"/>
        <v xml:space="preserve"> : string = '' ; </v>
      </c>
      <c r="H22" s="35" t="str">
        <f t="shared" si="16"/>
        <v xml:space="preserve">			{headerName: this.l('Category'),headerTooltip: this.l('Category'),field: 'category',flex: 1},</v>
      </c>
      <c r="I22" s="35" t="str">
        <f t="shared" si="17"/>
        <v xml:space="preserve">								&lt;div class='input-search'&gt;
									&lt;input [(ngModel)]='category' name='category'
									class='form-control' [placeholder]="l('Category')"
									type='text' (keyup.enter)='searchDatas()'&gt;
								&lt;/div&gt;</v>
      </c>
      <c r="J22" s="28"/>
      <c r="K22" s="35" t="str">
        <f t="shared" si="18"/>
        <v xml:space="preserve">					&lt;div class='col-md-12 form-group row'&gt;
						&lt;label class='col-md-2 form-control title'&gt;Category&lt;/label&gt;
						&lt;input type='text' class='col-md-10 form-control input-text' name='Category' [(ngModel)]='rowdata.category'&gt;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si="20"/>
        <v xml:space="preserve">	category : string = '' ; </v>
      </c>
      <c r="T22" s="28" t="str">
        <f t="shared" si="21"/>
        <v xml:space="preserve">			this.category,</v>
      </c>
      <c r="U22" s="28" t="str">
        <f t="shared" si="22"/>
        <v xml:space="preserve">		this.category = '',</v>
      </c>
      <c r="V22" s="28" t="str">
        <f t="shared" si="23"/>
        <v/>
      </c>
    </row>
    <row r="23" spans="1:22" ht="18" customHeight="1" x14ac:dyDescent="0.25">
      <c r="A23" s="28" t="s">
        <v>324</v>
      </c>
      <c r="B23" s="28" t="str">
        <f t="shared" ref="B23" si="36">SUBSTITUTE(PROPER(A23),"_","")</f>
        <v>IsActive</v>
      </c>
      <c r="C23" s="28" t="str">
        <f t="shared" ref="C23" si="37">SUBSTITUTE(PROPER(A23),"_"," ")</f>
        <v>Is Active</v>
      </c>
      <c r="D23" s="28" t="str">
        <f t="shared" ref="D23" si="38">LOWER(LEFT(B23,1))&amp;RIGHT(B23,LEN(B23) - 1)</f>
        <v>isActive</v>
      </c>
      <c r="E23" s="28" t="str">
        <f>A.Backend!H17</f>
        <v>string</v>
      </c>
      <c r="F23" s="28" t="str">
        <f>A.Backend!G17</f>
        <v>1</v>
      </c>
      <c r="G23" s="28" t="str">
        <f t="shared" ref="G23" si="39">IF(E23="string"," : string = '' ; ",IF(OR(E23="DateTime",E23="TimeSpan")," : any ;",IF(E23="int"," : number = 0 ;","")))</f>
        <v xml:space="preserve"> : string = '' ; </v>
      </c>
      <c r="H23" s="35" t="str">
        <f t="shared" ref="H23" si="40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5" t="str">
        <f t="shared" ref="I23" si="41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28"/>
      <c r="K23" s="35" t="str">
        <f t="shared" ref="K23" si="42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56" t="str">
        <f t="shared" ref="L23" si="4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ref="S23" si="44">REPT(CHAR(9),1)&amp;D23&amp;G23</f>
        <v xml:space="preserve">	isActive : string = '' ; </v>
      </c>
      <c r="T23" s="28" t="str">
        <f t="shared" ref="T23" si="45">REPT(CHAR(9),3)&amp;"this."&amp;D23&amp;","</f>
        <v xml:space="preserve">			this.isActive,</v>
      </c>
      <c r="U23" s="28" t="str">
        <f t="shared" ref="U23" si="46">IF(E23="int",REPT(CHAR(9),2)&amp;"this."&amp;D23&amp;" = 0,",REPT(CHAR(9),2)&amp;"this."&amp;D23&amp;" = '',")</f>
        <v xml:space="preserve">		this.isActive = '',</v>
      </c>
      <c r="V23" s="28" t="str">
        <f t="shared" ref="V23" si="47">IF(AND(E23="string",F23="1"),D23,"")</f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10"/>
  <sheetViews>
    <sheetView workbookViewId="0">
      <selection activeCell="C7" sqref="C7:K8"/>
    </sheetView>
  </sheetViews>
  <sheetFormatPr defaultRowHeight="15" x14ac:dyDescent="0.25"/>
  <cols>
    <col min="1" max="2" width="4.7109375" customWidth="1"/>
    <col min="3" max="31" width="2" customWidth="1"/>
    <col min="32" max="53" width="5.7109375" customWidth="1"/>
    <col min="54" max="64" width="2" customWidth="1"/>
  </cols>
  <sheetData>
    <row r="1" spans="1:64" ht="16.5" customHeight="1" x14ac:dyDescent="0.25">
      <c r="A1" s="69" t="s">
        <v>371</v>
      </c>
      <c r="B1" s="70"/>
      <c r="C1" s="73" t="s">
        <v>372</v>
      </c>
      <c r="D1" s="74"/>
      <c r="E1" s="74"/>
      <c r="F1" s="74"/>
      <c r="G1" s="74"/>
      <c r="H1" s="74"/>
      <c r="I1" s="74"/>
      <c r="J1" s="74"/>
      <c r="K1" s="75"/>
      <c r="L1" s="73" t="s">
        <v>373</v>
      </c>
      <c r="M1" s="74"/>
      <c r="N1" s="74"/>
      <c r="O1" s="74"/>
      <c r="P1" s="74"/>
      <c r="Q1" s="74"/>
      <c r="R1" s="75"/>
      <c r="S1" s="69" t="s">
        <v>374</v>
      </c>
      <c r="T1" s="77"/>
      <c r="U1" s="77"/>
      <c r="V1" s="77"/>
      <c r="W1" s="77"/>
      <c r="X1" s="77"/>
      <c r="Y1" s="77"/>
      <c r="Z1" s="77"/>
      <c r="AA1" s="77"/>
      <c r="AB1" s="78" t="s">
        <v>375</v>
      </c>
      <c r="AC1" s="78"/>
      <c r="AD1" s="78"/>
      <c r="AE1" s="79"/>
      <c r="AF1" s="82" t="s">
        <v>375</v>
      </c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4"/>
      <c r="BB1" s="82" t="s">
        <v>377</v>
      </c>
      <c r="BC1" s="83"/>
      <c r="BD1" s="83"/>
      <c r="BE1" s="83"/>
      <c r="BF1" s="83"/>
      <c r="BG1" s="83"/>
      <c r="BH1" s="83"/>
      <c r="BI1" s="83"/>
      <c r="BJ1" s="83"/>
      <c r="BK1" s="83"/>
      <c r="BL1" s="83"/>
    </row>
    <row r="2" spans="1:64" ht="16.5" customHeight="1" x14ac:dyDescent="0.25">
      <c r="A2" s="71"/>
      <c r="B2" s="72"/>
      <c r="C2" s="71"/>
      <c r="D2" s="76"/>
      <c r="E2" s="76"/>
      <c r="F2" s="76"/>
      <c r="G2" s="76"/>
      <c r="H2" s="76"/>
      <c r="I2" s="76"/>
      <c r="J2" s="76"/>
      <c r="K2" s="72"/>
      <c r="L2" s="71"/>
      <c r="M2" s="76"/>
      <c r="N2" s="76"/>
      <c r="O2" s="76"/>
      <c r="P2" s="76"/>
      <c r="Q2" s="76"/>
      <c r="R2" s="72"/>
      <c r="S2" s="71"/>
      <c r="T2" s="76"/>
      <c r="U2" s="76"/>
      <c r="V2" s="76"/>
      <c r="W2" s="76"/>
      <c r="X2" s="76"/>
      <c r="Y2" s="76"/>
      <c r="Z2" s="76"/>
      <c r="AA2" s="76"/>
      <c r="AB2" s="80" t="s">
        <v>376</v>
      </c>
      <c r="AC2" s="80"/>
      <c r="AD2" s="80"/>
      <c r="AE2" s="81"/>
      <c r="AF2" s="85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7"/>
      <c r="BB2" s="85"/>
      <c r="BC2" s="86"/>
      <c r="BD2" s="86"/>
      <c r="BE2" s="86"/>
      <c r="BF2" s="86"/>
      <c r="BG2" s="86"/>
      <c r="BH2" s="86"/>
      <c r="BI2" s="86"/>
      <c r="BJ2" s="86"/>
      <c r="BK2" s="86"/>
      <c r="BL2" s="86"/>
    </row>
    <row r="3" spans="1:64" ht="16.5" x14ac:dyDescent="0.25">
      <c r="A3" s="88">
        <v>4631</v>
      </c>
      <c r="B3" s="89"/>
      <c r="C3" s="88" t="s">
        <v>378</v>
      </c>
      <c r="D3" s="92"/>
      <c r="E3" s="92"/>
      <c r="F3" s="92"/>
      <c r="G3" s="92"/>
      <c r="H3" s="92"/>
      <c r="I3" s="92"/>
      <c r="J3" s="92"/>
      <c r="K3" s="89"/>
      <c r="L3" s="88">
        <v>1001</v>
      </c>
      <c r="M3" s="92"/>
      <c r="N3" s="92"/>
      <c r="O3" s="92"/>
      <c r="P3" s="92"/>
      <c r="Q3" s="92"/>
      <c r="R3" s="89"/>
      <c r="S3" s="94" t="s">
        <v>379</v>
      </c>
      <c r="T3" s="95"/>
      <c r="U3" s="95"/>
      <c r="V3" s="95"/>
      <c r="W3" s="95"/>
      <c r="X3" s="95"/>
      <c r="Y3" s="95"/>
      <c r="Z3" s="95"/>
      <c r="AA3" s="96"/>
      <c r="AB3" s="100" t="s">
        <v>380</v>
      </c>
      <c r="AC3" s="101"/>
      <c r="AD3" s="101"/>
      <c r="AE3" s="68"/>
      <c r="AF3" s="108" t="s">
        <v>381</v>
      </c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10"/>
      <c r="BB3" s="94" t="s">
        <v>382</v>
      </c>
      <c r="BC3" s="95"/>
      <c r="BD3" s="95"/>
      <c r="BE3" s="95"/>
      <c r="BF3" s="95"/>
      <c r="BG3" s="95"/>
      <c r="BH3" s="95"/>
      <c r="BI3" s="95"/>
      <c r="BJ3" s="95"/>
      <c r="BK3" s="95"/>
      <c r="BL3" s="95"/>
    </row>
    <row r="4" spans="1:64" ht="16.5" x14ac:dyDescent="0.25">
      <c r="A4" s="90"/>
      <c r="B4" s="91"/>
      <c r="C4" s="90"/>
      <c r="D4" s="93"/>
      <c r="E4" s="93"/>
      <c r="F4" s="93"/>
      <c r="G4" s="93"/>
      <c r="H4" s="93"/>
      <c r="I4" s="93"/>
      <c r="J4" s="93"/>
      <c r="K4" s="91"/>
      <c r="L4" s="90"/>
      <c r="M4" s="93"/>
      <c r="N4" s="93"/>
      <c r="O4" s="93"/>
      <c r="P4" s="93"/>
      <c r="Q4" s="93"/>
      <c r="R4" s="91"/>
      <c r="S4" s="97"/>
      <c r="T4" s="98"/>
      <c r="U4" s="98"/>
      <c r="V4" s="98"/>
      <c r="W4" s="98"/>
      <c r="X4" s="98"/>
      <c r="Y4" s="98"/>
      <c r="Z4" s="98"/>
      <c r="AA4" s="99"/>
      <c r="AB4" s="100" t="s">
        <v>383</v>
      </c>
      <c r="AC4" s="101"/>
      <c r="AD4" s="101"/>
      <c r="AE4" s="68"/>
      <c r="AF4" s="108" t="s">
        <v>384</v>
      </c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10"/>
      <c r="BB4" s="97"/>
      <c r="BC4" s="98"/>
      <c r="BD4" s="98"/>
      <c r="BE4" s="98"/>
      <c r="BF4" s="98"/>
      <c r="BG4" s="98"/>
      <c r="BH4" s="98"/>
      <c r="BI4" s="98"/>
      <c r="BJ4" s="98"/>
      <c r="BK4" s="98"/>
      <c r="BL4" s="98"/>
    </row>
    <row r="5" spans="1:64" ht="16.5" x14ac:dyDescent="0.25">
      <c r="A5" s="88">
        <v>4631</v>
      </c>
      <c r="B5" s="89"/>
      <c r="C5" s="88" t="s">
        <v>378</v>
      </c>
      <c r="D5" s="92"/>
      <c r="E5" s="92"/>
      <c r="F5" s="92"/>
      <c r="G5" s="92"/>
      <c r="H5" s="92"/>
      <c r="I5" s="92"/>
      <c r="J5" s="92"/>
      <c r="K5" s="89"/>
      <c r="L5" s="88">
        <v>1002</v>
      </c>
      <c r="M5" s="92"/>
      <c r="N5" s="92"/>
      <c r="O5" s="92"/>
      <c r="P5" s="92"/>
      <c r="Q5" s="92"/>
      <c r="R5" s="89"/>
      <c r="S5" s="94" t="s">
        <v>385</v>
      </c>
      <c r="T5" s="95"/>
      <c r="U5" s="95"/>
      <c r="V5" s="95"/>
      <c r="W5" s="95"/>
      <c r="X5" s="95"/>
      <c r="Y5" s="95"/>
      <c r="Z5" s="95"/>
      <c r="AA5" s="96"/>
      <c r="AB5" s="100" t="s">
        <v>380</v>
      </c>
      <c r="AC5" s="101"/>
      <c r="AD5" s="101"/>
      <c r="AE5" s="68"/>
      <c r="AF5" s="108" t="s">
        <v>381</v>
      </c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10"/>
      <c r="BB5" s="94" t="s">
        <v>382</v>
      </c>
      <c r="BC5" s="95"/>
      <c r="BD5" s="95"/>
      <c r="BE5" s="95"/>
      <c r="BF5" s="95"/>
      <c r="BG5" s="95"/>
      <c r="BH5" s="95"/>
      <c r="BI5" s="95"/>
      <c r="BJ5" s="95"/>
      <c r="BK5" s="95"/>
      <c r="BL5" s="95"/>
    </row>
    <row r="6" spans="1:64" ht="16.5" x14ac:dyDescent="0.25">
      <c r="A6" s="90"/>
      <c r="B6" s="91"/>
      <c r="C6" s="90"/>
      <c r="D6" s="93"/>
      <c r="E6" s="93"/>
      <c r="F6" s="93"/>
      <c r="G6" s="93"/>
      <c r="H6" s="93"/>
      <c r="I6" s="93"/>
      <c r="J6" s="93"/>
      <c r="K6" s="91"/>
      <c r="L6" s="90"/>
      <c r="M6" s="93"/>
      <c r="N6" s="93"/>
      <c r="O6" s="93"/>
      <c r="P6" s="93"/>
      <c r="Q6" s="93"/>
      <c r="R6" s="91"/>
      <c r="S6" s="97"/>
      <c r="T6" s="98"/>
      <c r="U6" s="98"/>
      <c r="V6" s="98"/>
      <c r="W6" s="98"/>
      <c r="X6" s="98"/>
      <c r="Y6" s="98"/>
      <c r="Z6" s="98"/>
      <c r="AA6" s="99"/>
      <c r="AB6" s="100" t="s">
        <v>383</v>
      </c>
      <c r="AC6" s="101"/>
      <c r="AD6" s="101"/>
      <c r="AE6" s="68"/>
      <c r="AF6" s="108" t="s">
        <v>384</v>
      </c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10"/>
      <c r="BB6" s="97"/>
      <c r="BC6" s="98"/>
      <c r="BD6" s="98"/>
      <c r="BE6" s="98"/>
      <c r="BF6" s="98"/>
      <c r="BG6" s="98"/>
      <c r="BH6" s="98"/>
      <c r="BI6" s="98"/>
      <c r="BJ6" s="98"/>
      <c r="BK6" s="98"/>
      <c r="BL6" s="98"/>
    </row>
    <row r="7" spans="1:64" ht="16.5" x14ac:dyDescent="0.25">
      <c r="A7" s="88">
        <v>4631</v>
      </c>
      <c r="B7" s="89"/>
      <c r="C7" s="88" t="s">
        <v>378</v>
      </c>
      <c r="D7" s="92"/>
      <c r="E7" s="92"/>
      <c r="F7" s="92"/>
      <c r="G7" s="92"/>
      <c r="H7" s="92"/>
      <c r="I7" s="92"/>
      <c r="J7" s="92"/>
      <c r="K7" s="89"/>
      <c r="L7" s="88">
        <v>3001</v>
      </c>
      <c r="M7" s="92"/>
      <c r="N7" s="92"/>
      <c r="O7" s="92"/>
      <c r="P7" s="92"/>
      <c r="Q7" s="92"/>
      <c r="R7" s="89"/>
      <c r="S7" s="94" t="s">
        <v>386</v>
      </c>
      <c r="T7" s="95"/>
      <c r="U7" s="95"/>
      <c r="V7" s="95"/>
      <c r="W7" s="95"/>
      <c r="X7" s="95"/>
      <c r="Y7" s="95"/>
      <c r="Z7" s="95"/>
      <c r="AA7" s="96"/>
      <c r="AB7" s="100" t="s">
        <v>380</v>
      </c>
      <c r="AC7" s="101"/>
      <c r="AD7" s="101"/>
      <c r="AE7" s="68"/>
      <c r="AF7" s="108" t="s">
        <v>381</v>
      </c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10"/>
      <c r="BB7" s="94" t="s">
        <v>386</v>
      </c>
      <c r="BC7" s="95"/>
      <c r="BD7" s="95"/>
      <c r="BE7" s="95"/>
      <c r="BF7" s="95"/>
      <c r="BG7" s="95"/>
      <c r="BH7" s="95"/>
      <c r="BI7" s="95"/>
      <c r="BJ7" s="95"/>
      <c r="BK7" s="95"/>
      <c r="BL7" s="95"/>
    </row>
    <row r="8" spans="1:64" ht="16.5" x14ac:dyDescent="0.25">
      <c r="A8" s="90"/>
      <c r="B8" s="91"/>
      <c r="C8" s="90"/>
      <c r="D8" s="93"/>
      <c r="E8" s="93"/>
      <c r="F8" s="93"/>
      <c r="G8" s="93"/>
      <c r="H8" s="93"/>
      <c r="I8" s="93"/>
      <c r="J8" s="93"/>
      <c r="K8" s="91"/>
      <c r="L8" s="90"/>
      <c r="M8" s="93"/>
      <c r="N8" s="93"/>
      <c r="O8" s="93"/>
      <c r="P8" s="93"/>
      <c r="Q8" s="93"/>
      <c r="R8" s="91"/>
      <c r="S8" s="97"/>
      <c r="T8" s="98"/>
      <c r="U8" s="98"/>
      <c r="V8" s="98"/>
      <c r="W8" s="98"/>
      <c r="X8" s="98"/>
      <c r="Y8" s="98"/>
      <c r="Z8" s="98"/>
      <c r="AA8" s="99"/>
      <c r="AB8" s="100" t="s">
        <v>383</v>
      </c>
      <c r="AC8" s="101"/>
      <c r="AD8" s="101"/>
      <c r="AE8" s="68"/>
      <c r="AF8" s="108" t="s">
        <v>384</v>
      </c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10"/>
      <c r="BB8" s="97"/>
      <c r="BC8" s="98"/>
      <c r="BD8" s="98"/>
      <c r="BE8" s="98"/>
      <c r="BF8" s="98"/>
      <c r="BG8" s="98"/>
      <c r="BH8" s="98"/>
      <c r="BI8" s="98"/>
      <c r="BJ8" s="98"/>
      <c r="BK8" s="98"/>
      <c r="BL8" s="98"/>
    </row>
    <row r="9" spans="1:64" ht="16.5" x14ac:dyDescent="0.25">
      <c r="A9" s="88">
        <v>4631</v>
      </c>
      <c r="B9" s="89"/>
      <c r="C9" s="88" t="s">
        <v>378</v>
      </c>
      <c r="D9" s="92"/>
      <c r="E9" s="92"/>
      <c r="F9" s="92"/>
      <c r="G9" s="92"/>
      <c r="H9" s="92"/>
      <c r="I9" s="92"/>
      <c r="J9" s="92"/>
      <c r="K9" s="89"/>
      <c r="L9" s="88">
        <v>4001</v>
      </c>
      <c r="M9" s="92"/>
      <c r="N9" s="92"/>
      <c r="O9" s="92"/>
      <c r="P9" s="92"/>
      <c r="Q9" s="92"/>
      <c r="R9" s="89"/>
      <c r="S9" s="94" t="s">
        <v>387</v>
      </c>
      <c r="T9" s="95"/>
      <c r="U9" s="95"/>
      <c r="V9" s="95"/>
      <c r="W9" s="95"/>
      <c r="X9" s="95"/>
      <c r="Y9" s="95"/>
      <c r="Z9" s="95"/>
      <c r="AA9" s="96"/>
      <c r="AB9" s="100" t="s">
        <v>380</v>
      </c>
      <c r="AC9" s="101"/>
      <c r="AD9" s="101"/>
      <c r="AE9" s="68"/>
      <c r="AF9" s="108" t="s">
        <v>381</v>
      </c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10"/>
      <c r="BB9" s="94" t="s">
        <v>388</v>
      </c>
      <c r="BC9" s="95"/>
      <c r="BD9" s="95"/>
      <c r="BE9" s="95"/>
      <c r="BF9" s="95"/>
      <c r="BG9" s="95"/>
      <c r="BH9" s="95"/>
      <c r="BI9" s="95"/>
      <c r="BJ9" s="95"/>
      <c r="BK9" s="95"/>
      <c r="BL9" s="95"/>
    </row>
    <row r="10" spans="1:64" ht="16.5" x14ac:dyDescent="0.25">
      <c r="A10" s="102"/>
      <c r="B10" s="103"/>
      <c r="C10" s="102"/>
      <c r="D10" s="104"/>
      <c r="E10" s="104"/>
      <c r="F10" s="104"/>
      <c r="G10" s="104"/>
      <c r="H10" s="104"/>
      <c r="I10" s="104"/>
      <c r="J10" s="104"/>
      <c r="K10" s="103"/>
      <c r="L10" s="102"/>
      <c r="M10" s="104"/>
      <c r="N10" s="104"/>
      <c r="O10" s="104"/>
      <c r="P10" s="104"/>
      <c r="Q10" s="104"/>
      <c r="R10" s="103"/>
      <c r="S10" s="105"/>
      <c r="T10" s="106"/>
      <c r="U10" s="106"/>
      <c r="V10" s="106"/>
      <c r="W10" s="106"/>
      <c r="X10" s="106"/>
      <c r="Y10" s="106"/>
      <c r="Z10" s="106"/>
      <c r="AA10" s="107"/>
      <c r="AB10" s="100" t="s">
        <v>383</v>
      </c>
      <c r="AC10" s="101"/>
      <c r="AD10" s="101"/>
      <c r="AE10" s="68"/>
      <c r="AF10" s="108" t="s">
        <v>384</v>
      </c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10"/>
      <c r="BB10" s="105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</row>
  </sheetData>
  <mergeCells count="44">
    <mergeCell ref="AF3:BA3"/>
    <mergeCell ref="AF4:BA4"/>
    <mergeCell ref="AF5:BA5"/>
    <mergeCell ref="AF6:BA6"/>
    <mergeCell ref="AF7:BA7"/>
    <mergeCell ref="AF8:BA8"/>
    <mergeCell ref="BB9:BL10"/>
    <mergeCell ref="AB10:AD10"/>
    <mergeCell ref="AF9:BA9"/>
    <mergeCell ref="A9:B10"/>
    <mergeCell ref="C9:K10"/>
    <mergeCell ref="L9:R10"/>
    <mergeCell ref="S9:AA10"/>
    <mergeCell ref="AB9:AD9"/>
    <mergeCell ref="AF10:BA10"/>
    <mergeCell ref="BB7:BL8"/>
    <mergeCell ref="AB8:AD8"/>
    <mergeCell ref="A7:B8"/>
    <mergeCell ref="C7:K8"/>
    <mergeCell ref="L7:R8"/>
    <mergeCell ref="S7:AA8"/>
    <mergeCell ref="AB7:AD7"/>
    <mergeCell ref="AB6:AD6"/>
    <mergeCell ref="BB5:BL6"/>
    <mergeCell ref="A5:B6"/>
    <mergeCell ref="C5:K6"/>
    <mergeCell ref="L5:R6"/>
    <mergeCell ref="S5:AA6"/>
    <mergeCell ref="AB5:AD5"/>
    <mergeCell ref="BB3:BL4"/>
    <mergeCell ref="AB4:AD4"/>
    <mergeCell ref="AF1:BA2"/>
    <mergeCell ref="BB1:BL2"/>
    <mergeCell ref="A3:B4"/>
    <mergeCell ref="C3:K4"/>
    <mergeCell ref="L3:R4"/>
    <mergeCell ref="S3:AA4"/>
    <mergeCell ref="AB3:AD3"/>
    <mergeCell ref="A1:B2"/>
    <mergeCell ref="C1:K2"/>
    <mergeCell ref="L1:R2"/>
    <mergeCell ref="S1:AA2"/>
    <mergeCell ref="AB1:AE1"/>
    <mergeCell ref="AB2:A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2023-05-20T10:15:34Z</dcterms:modified>
</cp:coreProperties>
</file>